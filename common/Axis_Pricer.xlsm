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9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2260" documentId="109_{B2218631-DAE7-44C0-8A5B-5698C0FA09A6}" xr6:coauthVersionLast="47" xr6:coauthVersionMax="47" xr10:uidLastSave="{66FD6FE6-87F1-4F44-80E1-9A196627A6E8}"/>
  <bookViews>
    <workbookView xWindow="-120" yWindow="-120" windowWidth="29040" windowHeight="16440" firstSheet="1" activeTab="8" xr2:uid="{71AFAE33-16CD-4F47-AB4E-C8D72A89D700}"/>
  </bookViews>
  <sheets>
    <sheet name="Parametres" sheetId="3" r:id="rId1"/>
    <sheet name="IRS Strip" sheetId="4" r:id="rId2"/>
    <sheet name="Option" sheetId="2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FRTB" sheetId="16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" i="16" l="1"/>
  <c r="O15" i="16"/>
  <c r="O16" i="16"/>
  <c r="U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Q114" i="16" s="1" a="1"/>
  <c r="Q114" i="16"/>
  <c r="R114" i="16" a="1"/>
  <c r="R114" i="16"/>
  <c r="S114" i="16" a="1"/>
  <c r="S114" i="16" s="1"/>
  <c r="T114" i="16" a="1"/>
  <c r="T114" i="16" s="1"/>
  <c r="O115" i="16"/>
  <c r="P115" i="16" a="1"/>
  <c r="P115" i="16" s="1"/>
  <c r="Q115" i="16" a="1"/>
  <c r="Q115" i="16"/>
  <c r="R115" i="16" a="1"/>
  <c r="R115" i="16"/>
  <c r="S115" i="16" a="1"/>
  <c r="S115" i="16" s="1"/>
  <c r="T115" i="16" a="1"/>
  <c r="T115" i="16" s="1"/>
  <c r="O116" i="16"/>
  <c r="O117" i="16"/>
  <c r="S117" i="16" a="1"/>
  <c r="S117" i="16" s="1"/>
  <c r="O118" i="16"/>
  <c r="S118" i="16" s="1" a="1"/>
  <c r="P118" i="16" a="1"/>
  <c r="P118" i="16" s="1"/>
  <c r="Q118" i="16" a="1"/>
  <c r="Q118" i="16"/>
  <c r="R118" i="16" a="1"/>
  <c r="R118" i="16"/>
  <c r="S118" i="16"/>
  <c r="T118" i="16" a="1"/>
  <c r="T118" i="16"/>
  <c r="O119" i="16"/>
  <c r="S119" i="16" s="1" a="1"/>
  <c r="P119" i="16" a="1"/>
  <c r="P119" i="16"/>
  <c r="Q119" i="16" a="1"/>
  <c r="Q119" i="16" s="1"/>
  <c r="R119" i="16" a="1"/>
  <c r="R119" i="16" s="1"/>
  <c r="S119" i="16"/>
  <c r="T119" i="16" a="1"/>
  <c r="T119" i="16"/>
  <c r="O120" i="16"/>
  <c r="Q120" i="16" a="1"/>
  <c r="Q120" i="16" s="1"/>
  <c r="S120" i="16" a="1"/>
  <c r="S120" i="16" s="1"/>
  <c r="O121" i="16"/>
  <c r="Q121" i="16" s="1" a="1"/>
  <c r="Q121" i="16"/>
  <c r="R121" i="16" a="1"/>
  <c r="R121" i="16" s="1"/>
  <c r="S121" i="16" a="1"/>
  <c r="S121" i="16" s="1"/>
  <c r="T121" i="16" a="1"/>
  <c r="T121" i="16" s="1"/>
  <c r="O122" i="16"/>
  <c r="R122" i="16" a="1"/>
  <c r="R122" i="16"/>
  <c r="S122" i="16" a="1"/>
  <c r="S122" i="16" s="1"/>
  <c r="T122" i="16" a="1"/>
  <c r="T122" i="16" s="1"/>
  <c r="O123" i="16"/>
  <c r="P123" i="16" a="1"/>
  <c r="P123" i="16"/>
  <c r="Q123" i="16" a="1"/>
  <c r="Q123" i="16" s="1"/>
  <c r="R123" i="16" a="1"/>
  <c r="R123" i="16" s="1"/>
  <c r="S123" i="16" a="1"/>
  <c r="S123" i="16" s="1"/>
  <c r="T123" i="16" a="1"/>
  <c r="T123" i="16"/>
  <c r="O124" i="16"/>
  <c r="P124" i="16" s="1" a="1"/>
  <c r="P124" i="16" s="1"/>
  <c r="Q124" i="16" a="1"/>
  <c r="Q124" i="16" s="1"/>
  <c r="O125" i="16"/>
  <c r="S125" i="16" s="1" a="1"/>
  <c r="P125" i="16" a="1"/>
  <c r="P125" i="16" s="1"/>
  <c r="Q125" i="16" a="1"/>
  <c r="Q125" i="16" s="1"/>
  <c r="R125" i="16" a="1"/>
  <c r="R125" i="16" s="1"/>
  <c r="S125" i="16"/>
  <c r="T125" i="16" a="1"/>
  <c r="T125" i="16" s="1"/>
  <c r="O126" i="16"/>
  <c r="P126" i="16" s="1" a="1"/>
  <c r="P126" i="16" s="1"/>
  <c r="T126" i="16" a="1"/>
  <c r="T126" i="16"/>
  <c r="O127" i="16"/>
  <c r="P127" i="16" a="1"/>
  <c r="P127" i="16" s="1"/>
  <c r="Q127" i="16" a="1"/>
  <c r="Q127" i="16" s="1"/>
  <c r="R127" i="16" a="1"/>
  <c r="R127" i="16"/>
  <c r="S127" i="16" a="1"/>
  <c r="S127" i="16"/>
  <c r="T127" i="16" a="1"/>
  <c r="T127" i="16"/>
  <c r="O128" i="16"/>
  <c r="R128" i="16" a="1"/>
  <c r="R128" i="16"/>
  <c r="O129" i="16"/>
  <c r="Q129" i="16" s="1" a="1"/>
  <c r="Q129" i="16" s="1"/>
  <c r="T129" i="16" a="1"/>
  <c r="T129" i="16" s="1"/>
  <c r="O130" i="16"/>
  <c r="Q130" i="16" s="1" a="1"/>
  <c r="Q130" i="16" s="1"/>
  <c r="P130" i="16" a="1"/>
  <c r="P130" i="16"/>
  <c r="R130" i="16" a="1"/>
  <c r="R130" i="16"/>
  <c r="S130" i="16" a="1"/>
  <c r="S130" i="16"/>
  <c r="T130" i="16" a="1"/>
  <c r="T130" i="16" s="1"/>
  <c r="O131" i="16"/>
  <c r="P131" i="16" a="1"/>
  <c r="P131" i="16"/>
  <c r="Q131" i="16" a="1"/>
  <c r="Q131" i="16"/>
  <c r="R131" i="16" a="1"/>
  <c r="R131" i="16"/>
  <c r="S131" i="16" a="1"/>
  <c r="S131" i="16" s="1"/>
  <c r="T131" i="16" a="1"/>
  <c r="T131" i="16" s="1"/>
  <c r="O132" i="16"/>
  <c r="P132" i="16" s="1" a="1"/>
  <c r="P132" i="16" s="1"/>
  <c r="O133" i="16"/>
  <c r="T133" i="16" a="1"/>
  <c r="T133" i="16" s="1"/>
  <c r="O134" i="16"/>
  <c r="P134" i="16" s="1" a="1"/>
  <c r="P134" i="16" s="1"/>
  <c r="O135" i="16"/>
  <c r="P135" i="16" a="1"/>
  <c r="P135" i="16" s="1"/>
  <c r="Q135" i="16" a="1"/>
  <c r="Q135" i="16" s="1"/>
  <c r="R135" i="16" a="1"/>
  <c r="R135" i="16" s="1"/>
  <c r="O136" i="16"/>
  <c r="Q136" i="16" a="1"/>
  <c r="Q136" i="16" s="1"/>
  <c r="R136" i="16" a="1"/>
  <c r="R136" i="16"/>
  <c r="S136" i="16" a="1"/>
  <c r="S136" i="16" s="1"/>
  <c r="O137" i="16"/>
  <c r="Q137" i="16" s="1" a="1"/>
  <c r="Q137" i="16" s="1"/>
  <c r="P137" i="16" a="1"/>
  <c r="P137" i="16"/>
  <c r="R137" i="16" a="1"/>
  <c r="R137" i="16" s="1"/>
  <c r="S137" i="16" a="1"/>
  <c r="S137" i="16" s="1"/>
  <c r="T137" i="16" a="1"/>
  <c r="T137" i="16" s="1"/>
  <c r="O138" i="16"/>
  <c r="Q138" i="16" s="1" a="1"/>
  <c r="Q138" i="16" s="1"/>
  <c r="S138" i="16" a="1"/>
  <c r="S138" i="16"/>
  <c r="T138" i="16" a="1"/>
  <c r="T138" i="16" s="1"/>
  <c r="O139" i="16"/>
  <c r="P139" i="16" a="1"/>
  <c r="P139" i="16"/>
  <c r="Q139" i="16" a="1"/>
  <c r="Q139" i="16"/>
  <c r="R139" i="16" a="1"/>
  <c r="R139" i="16" s="1"/>
  <c r="S139" i="16" a="1"/>
  <c r="S139" i="16" s="1"/>
  <c r="T139" i="16" a="1"/>
  <c r="T139" i="16" s="1"/>
  <c r="O140" i="16"/>
  <c r="Q140" i="16" a="1"/>
  <c r="Q140" i="16"/>
  <c r="S140" i="16" a="1"/>
  <c r="S140" i="16" s="1"/>
  <c r="O141" i="16"/>
  <c r="T141" i="16" s="1" a="1"/>
  <c r="T141" i="16" s="1"/>
  <c r="P141" i="16" a="1"/>
  <c r="P141" i="16" s="1"/>
  <c r="Q141" i="16" a="1"/>
  <c r="Q141" i="16"/>
  <c r="R141" i="16" a="1"/>
  <c r="R141" i="16"/>
  <c r="S141" i="16" a="1"/>
  <c r="S141" i="16" s="1"/>
  <c r="O142" i="16"/>
  <c r="S142" i="16" s="1" a="1"/>
  <c r="P142" i="16" a="1"/>
  <c r="P142" i="16" s="1"/>
  <c r="Q142" i="16" a="1"/>
  <c r="Q142" i="16"/>
  <c r="R142" i="16" a="1"/>
  <c r="R142" i="16" s="1"/>
  <c r="S142" i="16"/>
  <c r="O143" i="16"/>
  <c r="O144" i="16"/>
  <c r="O145" i="16"/>
  <c r="Q145" i="16" a="1"/>
  <c r="Q145" i="16"/>
  <c r="R145" i="16" a="1"/>
  <c r="R145" i="16" s="1"/>
  <c r="T145" i="16" a="1"/>
  <c r="T145" i="16" s="1"/>
  <c r="O146" i="16"/>
  <c r="P146" i="16" s="1" a="1"/>
  <c r="P146" i="16" s="1"/>
  <c r="Q146" i="16" a="1"/>
  <c r="Q146" i="16"/>
  <c r="T146" i="16" a="1"/>
  <c r="T146" i="16" s="1"/>
  <c r="O147" i="16"/>
  <c r="P147" i="16" s="1" a="1"/>
  <c r="P147" i="16" s="1"/>
  <c r="S147" i="16" a="1"/>
  <c r="S147" i="16" s="1"/>
  <c r="T147" i="16" a="1"/>
  <c r="T147" i="16" s="1"/>
  <c r="O148" i="16"/>
  <c r="R148" i="16" s="1" a="1"/>
  <c r="R148" i="16" s="1"/>
  <c r="S148" i="16" a="1"/>
  <c r="S148" i="16" s="1"/>
  <c r="O149" i="16"/>
  <c r="P149" i="16" a="1"/>
  <c r="P149" i="16"/>
  <c r="Q149" i="16" a="1"/>
  <c r="Q149" i="16"/>
  <c r="R149" i="16" a="1"/>
  <c r="R149" i="16" s="1"/>
  <c r="S149" i="16" a="1"/>
  <c r="S149" i="16" s="1"/>
  <c r="T149" i="16" a="1"/>
  <c r="T149" i="16"/>
  <c r="O150" i="16"/>
  <c r="P150" i="16" a="1"/>
  <c r="P150" i="16"/>
  <c r="R150" i="16" a="1"/>
  <c r="R150" i="16" s="1"/>
  <c r="T150" i="16" a="1"/>
  <c r="T150" i="16" s="1"/>
  <c r="O151" i="16"/>
  <c r="P151" i="16" a="1"/>
  <c r="P151" i="16"/>
  <c r="Q151" i="16" a="1"/>
  <c r="Q151" i="16" s="1"/>
  <c r="R151" i="16" a="1"/>
  <c r="R151" i="16"/>
  <c r="S151" i="16" a="1"/>
  <c r="S151" i="16" s="1"/>
  <c r="T151" i="16" a="1"/>
  <c r="T151" i="16" s="1"/>
  <c r="O152" i="16"/>
  <c r="P152" i="16" a="1"/>
  <c r="P152" i="16" s="1"/>
  <c r="S152" i="16" a="1"/>
  <c r="S152" i="16" s="1"/>
  <c r="T152" i="16" a="1"/>
  <c r="T152" i="16" s="1"/>
  <c r="O153" i="16"/>
  <c r="P153" i="16" a="1"/>
  <c r="P153" i="16" s="1"/>
  <c r="Q153" i="16" a="1"/>
  <c r="Q153" i="16"/>
  <c r="R153" i="16" a="1"/>
  <c r="R153" i="16" s="1"/>
  <c r="S153" i="16" a="1"/>
  <c r="S153" i="16" s="1"/>
  <c r="T153" i="16" a="1"/>
  <c r="T153" i="16" s="1"/>
  <c r="O154" i="16"/>
  <c r="S154" i="16" s="1" a="1"/>
  <c r="S154" i="16" s="1"/>
  <c r="P154" i="16" a="1"/>
  <c r="P154" i="16" s="1"/>
  <c r="Q154" i="16" a="1"/>
  <c r="Q154" i="16" s="1"/>
  <c r="R154" i="16" a="1"/>
  <c r="R154" i="16" s="1"/>
  <c r="T154" i="16" a="1"/>
  <c r="T154" i="16"/>
  <c r="O155" i="16"/>
  <c r="P155" i="16" s="1" a="1"/>
  <c r="P155" i="16" s="1"/>
  <c r="O156" i="16"/>
  <c r="Q156" i="16" a="1"/>
  <c r="Q156" i="16" s="1"/>
  <c r="O157" i="16"/>
  <c r="P157" i="16" a="1"/>
  <c r="P157" i="16" s="1"/>
  <c r="R157" i="16" a="1"/>
  <c r="R157" i="16" s="1"/>
  <c r="O158" i="16"/>
  <c r="Q158" i="16" s="1" a="1"/>
  <c r="P158" i="16" a="1"/>
  <c r="P158" i="16"/>
  <c r="Q158" i="16"/>
  <c r="R158" i="16" a="1"/>
  <c r="R158" i="16" s="1"/>
  <c r="S158" i="16" a="1"/>
  <c r="S158" i="16"/>
  <c r="T158" i="16" a="1"/>
  <c r="T158" i="16"/>
  <c r="O159" i="16"/>
  <c r="P159" i="16" a="1"/>
  <c r="P159" i="16"/>
  <c r="Q159" i="16" a="1"/>
  <c r="Q159" i="16" s="1"/>
  <c r="R159" i="16" a="1"/>
  <c r="R159" i="16" s="1"/>
  <c r="S159" i="16" a="1"/>
  <c r="S159" i="16" s="1"/>
  <c r="T159" i="16" a="1"/>
  <c r="T159" i="16" s="1"/>
  <c r="O160" i="16"/>
  <c r="P160" i="16" s="1" a="1"/>
  <c r="P160" i="16" s="1"/>
  <c r="T160" i="16" a="1"/>
  <c r="T160" i="16"/>
  <c r="O161" i="16"/>
  <c r="O162" i="16"/>
  <c r="Q162" i="16" a="1"/>
  <c r="Q162" i="16"/>
  <c r="T162" i="16" a="1"/>
  <c r="T162" i="16" s="1"/>
  <c r="O163" i="16"/>
  <c r="P163" i="16" a="1"/>
  <c r="P163" i="16" s="1"/>
  <c r="Q163" i="16" a="1"/>
  <c r="Q163" i="16" s="1"/>
  <c r="R163" i="16" a="1"/>
  <c r="R163" i="16" s="1"/>
  <c r="S163" i="16" a="1"/>
  <c r="S163" i="16" s="1"/>
  <c r="T163" i="16" a="1"/>
  <c r="T163" i="16"/>
  <c r="O164" i="16"/>
  <c r="O165" i="16"/>
  <c r="P165" i="16" a="1"/>
  <c r="P165" i="16"/>
  <c r="Q165" i="16" a="1"/>
  <c r="Q165" i="16" s="1"/>
  <c r="O166" i="16"/>
  <c r="P166" i="16" s="1" a="1"/>
  <c r="P166" i="16" s="1"/>
  <c r="R166" i="16" a="1"/>
  <c r="R166" i="16" s="1"/>
  <c r="O167" i="16"/>
  <c r="P167" i="16" a="1"/>
  <c r="P167" i="16"/>
  <c r="Q167" i="16" a="1"/>
  <c r="Q167" i="16" s="1"/>
  <c r="R167" i="16" a="1"/>
  <c r="R167" i="16"/>
  <c r="S167" i="16" a="1"/>
  <c r="S167" i="16" s="1"/>
  <c r="T167" i="16" a="1"/>
  <c r="T167" i="16"/>
  <c r="O168" i="16"/>
  <c r="P168" i="16" a="1"/>
  <c r="P168" i="16" s="1"/>
  <c r="O169" i="16"/>
  <c r="P169" i="16" a="1"/>
  <c r="P169" i="16" s="1"/>
  <c r="T169" i="16" a="1"/>
  <c r="T169" i="16" s="1"/>
  <c r="O170" i="16"/>
  <c r="P170" i="16" s="1" a="1"/>
  <c r="P170" i="16" s="1"/>
  <c r="S170" i="16" a="1"/>
  <c r="S170" i="16" s="1"/>
  <c r="T170" i="16" a="1"/>
  <c r="T170" i="16" s="1"/>
  <c r="O171" i="16"/>
  <c r="S171" i="16" s="1" a="1"/>
  <c r="S171" i="16" s="1"/>
  <c r="P171" i="16" a="1"/>
  <c r="P171" i="16" s="1"/>
  <c r="Q171" i="16" a="1"/>
  <c r="Q171" i="16"/>
  <c r="R171" i="16" a="1"/>
  <c r="R171" i="16"/>
  <c r="T171" i="16" a="1"/>
  <c r="T171" i="16"/>
  <c r="O172" i="16"/>
  <c r="S172" i="16" a="1"/>
  <c r="S172" i="16" s="1"/>
  <c r="O173" i="16"/>
  <c r="Q173" i="16" s="1" a="1"/>
  <c r="Q173" i="16" s="1"/>
  <c r="R173" i="16" a="1"/>
  <c r="R173" i="16" s="1"/>
  <c r="S173" i="16" a="1"/>
  <c r="S173" i="16"/>
  <c r="O174" i="16"/>
  <c r="R174" i="16" a="1"/>
  <c r="R174" i="16" s="1"/>
  <c r="T174" i="16" a="1"/>
  <c r="T174" i="16"/>
  <c r="O175" i="16"/>
  <c r="Q175" i="16" s="1" a="1"/>
  <c r="Q175" i="16" s="1"/>
  <c r="R175" i="16" a="1"/>
  <c r="R175" i="16" s="1"/>
  <c r="S175" i="16" a="1"/>
  <c r="S175" i="16"/>
  <c r="T175" i="16" a="1"/>
  <c r="T175" i="16" s="1"/>
  <c r="O176" i="16"/>
  <c r="P176" i="16" a="1"/>
  <c r="P176" i="16"/>
  <c r="Q176" i="16" a="1"/>
  <c r="Q176" i="16" s="1"/>
  <c r="R176" i="16" a="1"/>
  <c r="R176" i="16"/>
  <c r="S176" i="16" a="1"/>
  <c r="S176" i="16" s="1"/>
  <c r="T176" i="16" a="1"/>
  <c r="T176" i="16"/>
  <c r="O177" i="16"/>
  <c r="P177" i="16" a="1"/>
  <c r="P177" i="16" s="1"/>
  <c r="O178" i="16"/>
  <c r="P178" i="16" s="1" a="1"/>
  <c r="P178" i="16" s="1"/>
  <c r="Q178" i="16" a="1"/>
  <c r="Q178" i="16" s="1"/>
  <c r="O179" i="16"/>
  <c r="P179" i="16" a="1"/>
  <c r="P179" i="16" s="1"/>
  <c r="R179" i="16" a="1"/>
  <c r="R179" i="16"/>
  <c r="O180" i="16"/>
  <c r="P180" i="16" s="1" a="1"/>
  <c r="P180" i="16" s="1"/>
  <c r="Q180" i="16" a="1"/>
  <c r="Q180" i="16" s="1"/>
  <c r="R180" i="16" a="1"/>
  <c r="R180" i="16"/>
  <c r="S180" i="16" a="1"/>
  <c r="S180" i="16"/>
  <c r="T180" i="16" a="1"/>
  <c r="T180" i="16" s="1"/>
  <c r="O181" i="16"/>
  <c r="Q181" i="16" a="1"/>
  <c r="Q181" i="16"/>
  <c r="R181" i="16" a="1"/>
  <c r="R181" i="16"/>
  <c r="S181" i="16" a="1"/>
  <c r="S181" i="16" s="1"/>
  <c r="O182" i="16"/>
  <c r="P182" i="16" s="1" a="1"/>
  <c r="P182" i="16" s="1"/>
  <c r="Q182" i="16" a="1"/>
  <c r="Q182" i="16"/>
  <c r="T182" i="16" a="1"/>
  <c r="T182" i="16" s="1"/>
  <c r="O183" i="16"/>
  <c r="T183" i="16" a="1"/>
  <c r="T183" i="16"/>
  <c r="O184" i="16"/>
  <c r="P184" i="16" a="1"/>
  <c r="P184" i="16" s="1"/>
  <c r="Q184" i="16" a="1"/>
  <c r="Q184" i="16"/>
  <c r="R184" i="16" a="1"/>
  <c r="R184" i="16"/>
  <c r="S184" i="16" a="1"/>
  <c r="S184" i="16" s="1"/>
  <c r="T184" i="16" a="1"/>
  <c r="T184" i="16" s="1"/>
  <c r="O185" i="16"/>
  <c r="R185" i="16" s="1" a="1"/>
  <c r="P185" i="16" a="1"/>
  <c r="P185" i="16"/>
  <c r="Q185" i="16" a="1"/>
  <c r="Q185" i="16"/>
  <c r="R185" i="16"/>
  <c r="S185" i="16" a="1"/>
  <c r="S185" i="16" s="1"/>
  <c r="T185" i="16" a="1"/>
  <c r="T185" i="16"/>
  <c r="O186" i="16"/>
  <c r="O187" i="16"/>
  <c r="P187" i="16" s="1" a="1"/>
  <c r="P187" i="16" s="1"/>
  <c r="O188" i="16"/>
  <c r="P188" i="16" a="1"/>
  <c r="P188" i="16" s="1"/>
  <c r="S188" i="16" a="1"/>
  <c r="S188" i="16" s="1"/>
  <c r="O189" i="16"/>
  <c r="Q189" i="16" s="1" a="1"/>
  <c r="Q189" i="16"/>
  <c r="R189" i="16" a="1"/>
  <c r="R189" i="16"/>
  <c r="S189" i="16" a="1"/>
  <c r="S189" i="16" s="1"/>
  <c r="O190" i="16"/>
  <c r="P190" i="16" a="1"/>
  <c r="P190" i="16"/>
  <c r="Q190" i="16" a="1"/>
  <c r="Q190" i="16" s="1"/>
  <c r="R190" i="16" a="1"/>
  <c r="R190" i="16" s="1"/>
  <c r="S190" i="16" a="1"/>
  <c r="S190" i="16" s="1"/>
  <c r="T190" i="16" a="1"/>
  <c r="T190" i="16"/>
  <c r="O191" i="16"/>
  <c r="P191" i="16" a="1"/>
  <c r="P191" i="16"/>
  <c r="R191" i="16" a="1"/>
  <c r="R191" i="16" s="1"/>
  <c r="T191" i="16" a="1"/>
  <c r="T191" i="16" s="1"/>
  <c r="O192" i="16"/>
  <c r="P192" i="16" a="1"/>
  <c r="P192" i="16"/>
  <c r="Q192" i="16" a="1"/>
  <c r="Q192" i="16" s="1"/>
  <c r="R192" i="16" a="1"/>
  <c r="R192" i="16"/>
  <c r="S192" i="16" a="1"/>
  <c r="S192" i="16" s="1"/>
  <c r="T192" i="16" a="1"/>
  <c r="T192" i="16" s="1"/>
  <c r="O193" i="16"/>
  <c r="S193" i="16" a="1"/>
  <c r="S193" i="16"/>
  <c r="T193" i="16" a="1"/>
  <c r="T193" i="16" s="1"/>
  <c r="O194" i="16"/>
  <c r="P194" i="16" a="1"/>
  <c r="P194" i="16"/>
  <c r="Q194" i="16" a="1"/>
  <c r="Q194" i="16"/>
  <c r="R194" i="16" a="1"/>
  <c r="R194" i="16"/>
  <c r="S194" i="16" a="1"/>
  <c r="S194" i="16" s="1"/>
  <c r="T194" i="16" a="1"/>
  <c r="T194" i="16"/>
  <c r="O195" i="16"/>
  <c r="R195" i="16" s="1" a="1"/>
  <c r="R195" i="16" s="1"/>
  <c r="P195" i="16" a="1"/>
  <c r="P195" i="16"/>
  <c r="Q195" i="16" a="1"/>
  <c r="Q195" i="16" s="1"/>
  <c r="S195" i="16" a="1"/>
  <c r="S195" i="16" s="1"/>
  <c r="O196" i="16"/>
  <c r="R196" i="16" a="1"/>
  <c r="R196" i="16"/>
  <c r="S196" i="16" a="1"/>
  <c r="S196" i="16"/>
  <c r="O197" i="16"/>
  <c r="S197" i="16" s="1" a="1"/>
  <c r="S197" i="16" s="1"/>
  <c r="P197" i="16" a="1"/>
  <c r="P197" i="16"/>
  <c r="Q197" i="16" a="1"/>
  <c r="Q197" i="16"/>
  <c r="R197" i="16" a="1"/>
  <c r="R197" i="16" s="1"/>
  <c r="T197" i="16" a="1"/>
  <c r="T197" i="16"/>
  <c r="O198" i="16"/>
  <c r="P198" i="16" s="1" a="1"/>
  <c r="P198" i="16" s="1"/>
  <c r="S198" i="16" a="1"/>
  <c r="S198" i="16" s="1"/>
  <c r="T198" i="16" a="1"/>
  <c r="T198" i="16"/>
  <c r="O199" i="16"/>
  <c r="P199" i="16" s="1" a="1"/>
  <c r="P199" i="16" s="1"/>
  <c r="Q199" i="16" a="1"/>
  <c r="Q199" i="16"/>
  <c r="R199" i="16" a="1"/>
  <c r="R199" i="16"/>
  <c r="S199" i="16" a="1"/>
  <c r="S199" i="16" s="1"/>
  <c r="O200" i="16"/>
  <c r="P200" i="16" a="1"/>
  <c r="P200" i="16" s="1"/>
  <c r="T200" i="16" a="1"/>
  <c r="T200" i="16"/>
  <c r="O201" i="16"/>
  <c r="P201" i="16" a="1"/>
  <c r="P201" i="16" s="1"/>
  <c r="O202" i="16"/>
  <c r="P202" i="16" a="1"/>
  <c r="P202" i="16"/>
  <c r="Q202" i="16" a="1"/>
  <c r="Q202" i="16" s="1"/>
  <c r="R202" i="16" a="1"/>
  <c r="R202" i="16"/>
  <c r="S202" i="16" a="1"/>
  <c r="S202" i="16" s="1"/>
  <c r="T202" i="16" a="1"/>
  <c r="T202" i="16"/>
  <c r="O203" i="16"/>
  <c r="T203" i="16" a="1"/>
  <c r="T203" i="16"/>
  <c r="O204" i="16"/>
  <c r="O205" i="16"/>
  <c r="S205" i="16" s="1" a="1"/>
  <c r="S205" i="16" s="1"/>
  <c r="P205" i="16" a="1"/>
  <c r="P205" i="16" s="1"/>
  <c r="Q205" i="16" a="1"/>
  <c r="Q205" i="16" s="1"/>
  <c r="R205" i="16" a="1"/>
  <c r="R205" i="16" s="1"/>
  <c r="T205" i="16" a="1"/>
  <c r="T205" i="16"/>
  <c r="O206" i="16"/>
  <c r="P206" i="16" s="1" a="1"/>
  <c r="P206" i="16" s="1"/>
  <c r="O207" i="16"/>
  <c r="P207" i="16" s="1" a="1"/>
  <c r="P207" i="16" s="1"/>
  <c r="Q207" i="16" a="1"/>
  <c r="Q207" i="16"/>
  <c r="R207" i="16" a="1"/>
  <c r="R207" i="16" s="1"/>
  <c r="S207" i="16" a="1"/>
  <c r="S207" i="16" s="1"/>
  <c r="O208" i="16"/>
  <c r="P208" i="16" a="1"/>
  <c r="P208" i="16" s="1"/>
  <c r="Q208" i="16" a="1"/>
  <c r="Q208" i="16"/>
  <c r="O209" i="16"/>
  <c r="Q209" i="16" s="1" a="1"/>
  <c r="Q209" i="16" s="1"/>
  <c r="P209" i="16" a="1"/>
  <c r="P209" i="16" s="1"/>
  <c r="R209" i="16" a="1"/>
  <c r="R209" i="16"/>
  <c r="S209" i="16" a="1"/>
  <c r="S209" i="16" s="1"/>
  <c r="O210" i="16"/>
  <c r="P210" i="16" a="1"/>
  <c r="P210" i="16"/>
  <c r="Q210" i="16" a="1"/>
  <c r="Q210" i="16"/>
  <c r="R210" i="16" a="1"/>
  <c r="R210" i="16" s="1"/>
  <c r="S210" i="16" a="1"/>
  <c r="S210" i="16" s="1"/>
  <c r="T210" i="16" a="1"/>
  <c r="T210" i="16"/>
  <c r="O211" i="16"/>
  <c r="P211" i="16" a="1"/>
  <c r="P211" i="16"/>
  <c r="Q211" i="16" a="1"/>
  <c r="Q211" i="16" s="1"/>
  <c r="O212" i="16"/>
  <c r="O213" i="16"/>
  <c r="S213" i="16" s="1" a="1"/>
  <c r="S213" i="16" s="1"/>
  <c r="P213" i="16" a="1"/>
  <c r="P213" i="16"/>
  <c r="Q213" i="16" a="1"/>
  <c r="Q213" i="16" s="1"/>
  <c r="R213" i="16" a="1"/>
  <c r="R213" i="16" s="1"/>
  <c r="T213" i="16" a="1"/>
  <c r="T213" i="16"/>
  <c r="O214" i="16"/>
  <c r="R214" i="16" s="1" a="1"/>
  <c r="P214" i="16" a="1"/>
  <c r="P214" i="16"/>
  <c r="Q214" i="16" a="1"/>
  <c r="Q214" i="16" s="1"/>
  <c r="R214" i="16"/>
  <c r="O215" i="16"/>
  <c r="O216" i="16"/>
  <c r="S216" i="16" s="1" a="1"/>
  <c r="S216" i="16" s="1"/>
  <c r="P216" i="16" a="1"/>
  <c r="P216" i="16"/>
  <c r="Q216" i="16" a="1"/>
  <c r="Q216" i="16" s="1"/>
  <c r="O217" i="16"/>
  <c r="P217" i="16" s="1" a="1"/>
  <c r="P217" i="16" s="1"/>
  <c r="R217" i="16" a="1"/>
  <c r="R217" i="16" s="1"/>
  <c r="O218" i="16"/>
  <c r="P218" i="16" a="1"/>
  <c r="P218" i="16"/>
  <c r="Q218" i="16" a="1"/>
  <c r="Q218" i="16" s="1"/>
  <c r="R218" i="16" a="1"/>
  <c r="R218" i="16"/>
  <c r="S218" i="16" a="1"/>
  <c r="S218" i="16" s="1"/>
  <c r="T218" i="16" a="1"/>
  <c r="T218" i="16"/>
  <c r="O219" i="16"/>
  <c r="S219" i="16" a="1"/>
  <c r="S219" i="16" s="1"/>
  <c r="O220" i="16"/>
  <c r="Q220" i="16" s="1" a="1"/>
  <c r="Q220" i="16"/>
  <c r="R220" i="16" a="1"/>
  <c r="R220" i="16"/>
  <c r="S220" i="16" a="1"/>
  <c r="S220" i="16" s="1"/>
  <c r="T220" i="16" a="1"/>
  <c r="T220" i="16" s="1"/>
  <c r="O221" i="16"/>
  <c r="S221" i="16" s="1" a="1"/>
  <c r="S221" i="16" s="1"/>
  <c r="P221" i="16" a="1"/>
  <c r="P221" i="16"/>
  <c r="Q221" i="16" a="1"/>
  <c r="Q221" i="16"/>
  <c r="R221" i="16" a="1"/>
  <c r="R221" i="16" s="1"/>
  <c r="T221" i="16" a="1"/>
  <c r="T221" i="16" s="1"/>
  <c r="O222" i="16"/>
  <c r="R222" i="16" s="1" a="1"/>
  <c r="P222" i="16" a="1"/>
  <c r="P222" i="16"/>
  <c r="Q222" i="16" a="1"/>
  <c r="Q222" i="16" s="1"/>
  <c r="R222" i="16"/>
  <c r="S222" i="16" a="1"/>
  <c r="S222" i="16" s="1"/>
  <c r="T222" i="16" a="1"/>
  <c r="T222" i="16" s="1"/>
  <c r="O223" i="16"/>
  <c r="Q223" i="16" a="1"/>
  <c r="Q223" i="16"/>
  <c r="R223" i="16" a="1"/>
  <c r="R223" i="16"/>
  <c r="S223" i="16" a="1"/>
  <c r="S223" i="16" s="1"/>
  <c r="O224" i="16"/>
  <c r="S224" i="16" s="1" a="1"/>
  <c r="P224" i="16" a="1"/>
  <c r="P224" i="16"/>
  <c r="Q224" i="16" a="1"/>
  <c r="Q224" i="16"/>
  <c r="R224" i="16" a="1"/>
  <c r="R224" i="16" s="1"/>
  <c r="S224" i="16"/>
  <c r="T224" i="16" a="1"/>
  <c r="T224" i="16" s="1"/>
  <c r="O225" i="16"/>
  <c r="Q225" i="16" s="1" a="1"/>
  <c r="Q225" i="16" s="1"/>
  <c r="P225" i="16" a="1"/>
  <c r="P225" i="16" s="1"/>
  <c r="R225" i="16" a="1"/>
  <c r="R225" i="16"/>
  <c r="S225" i="16" a="1"/>
  <c r="S225" i="16" s="1"/>
  <c r="O226" i="16"/>
  <c r="P226" i="16" a="1"/>
  <c r="P226" i="16"/>
  <c r="Q226" i="16" a="1"/>
  <c r="Q226" i="16" s="1"/>
  <c r="R226" i="16" a="1"/>
  <c r="R226" i="16" s="1"/>
  <c r="S226" i="16" a="1"/>
  <c r="S226" i="16" s="1"/>
  <c r="T226" i="16" a="1"/>
  <c r="T226" i="16"/>
  <c r="O227" i="16"/>
  <c r="O228" i="16"/>
  <c r="P228" i="16" s="1" a="1"/>
  <c r="P228" i="16" s="1"/>
  <c r="O229" i="16"/>
  <c r="S229" i="16" s="1" a="1"/>
  <c r="S229" i="16" s="1"/>
  <c r="P229" i="16" a="1"/>
  <c r="P229" i="16" s="1"/>
  <c r="Q229" i="16" a="1"/>
  <c r="Q229" i="16"/>
  <c r="R229" i="16" a="1"/>
  <c r="R229" i="16"/>
  <c r="T229" i="16" a="1"/>
  <c r="T229" i="16" s="1"/>
  <c r="O230" i="16"/>
  <c r="S230" i="16" a="1"/>
  <c r="S230" i="16"/>
  <c r="T230" i="16" a="1"/>
  <c r="T230" i="16"/>
  <c r="O231" i="16"/>
  <c r="Q231" i="16" s="1" a="1"/>
  <c r="Q231" i="16" s="1"/>
  <c r="R231" i="16" a="1"/>
  <c r="R231" i="16" s="1"/>
  <c r="S231" i="16" a="1"/>
  <c r="S231" i="16"/>
  <c r="O232" i="16"/>
  <c r="R232" i="16" a="1"/>
  <c r="R232" i="16" s="1"/>
  <c r="O233" i="16"/>
  <c r="Q233" i="16" s="1" a="1"/>
  <c r="Q233" i="16" s="1"/>
  <c r="R233" i="16" a="1"/>
  <c r="R233" i="16" s="1"/>
  <c r="S233" i="16" a="1"/>
  <c r="S233" i="16"/>
  <c r="T233" i="16" a="1"/>
  <c r="T233" i="16" s="1"/>
  <c r="O234" i="16"/>
  <c r="P234" i="16" a="1"/>
  <c r="P234" i="16"/>
  <c r="Q234" i="16" a="1"/>
  <c r="Q234" i="16" s="1"/>
  <c r="R234" i="16" a="1"/>
  <c r="R234" i="16"/>
  <c r="S234" i="16" a="1"/>
  <c r="S234" i="16" s="1"/>
  <c r="T234" i="16" a="1"/>
  <c r="T234" i="16"/>
  <c r="O235" i="16"/>
  <c r="P235" i="16" a="1"/>
  <c r="P235" i="16" s="1"/>
  <c r="O236" i="16"/>
  <c r="P236" i="16" s="1" a="1"/>
  <c r="P236" i="16" s="1"/>
  <c r="R236" i="16" a="1"/>
  <c r="R236" i="16" s="1"/>
  <c r="T236" i="16" a="1"/>
  <c r="T236" i="16" s="1"/>
  <c r="O237" i="16"/>
  <c r="S237" i="16" s="1" a="1"/>
  <c r="S237" i="16" s="1"/>
  <c r="P237" i="16" a="1"/>
  <c r="P237" i="16" s="1"/>
  <c r="Q237" i="16" a="1"/>
  <c r="Q237" i="16" s="1"/>
  <c r="R237" i="16" a="1"/>
  <c r="R237" i="16"/>
  <c r="T237" i="16" a="1"/>
  <c r="T237" i="16"/>
  <c r="O238" i="16"/>
  <c r="P238" i="16" s="1" a="1"/>
  <c r="P238" i="16" s="1"/>
  <c r="O239" i="16"/>
  <c r="Q239" i="16" a="1"/>
  <c r="Q239" i="16" s="1"/>
  <c r="S239" i="16" a="1"/>
  <c r="S239" i="16"/>
  <c r="O240" i="16"/>
  <c r="P240" i="16" s="1" a="1"/>
  <c r="P240" i="16" s="1"/>
  <c r="T240" i="16" a="1"/>
  <c r="T240" i="16" s="1"/>
  <c r="O241" i="16"/>
  <c r="P241" i="16" a="1"/>
  <c r="P241" i="16" s="1"/>
  <c r="O242" i="16"/>
  <c r="P242" i="16" a="1"/>
  <c r="P242" i="16"/>
  <c r="Q242" i="16" a="1"/>
  <c r="Q242" i="16"/>
  <c r="R242" i="16" a="1"/>
  <c r="R242" i="16" s="1"/>
  <c r="S242" i="16" a="1"/>
  <c r="S242" i="16" s="1"/>
  <c r="T242" i="16" a="1"/>
  <c r="T242" i="16"/>
  <c r="O243" i="16"/>
  <c r="R243" i="16" s="1" a="1"/>
  <c r="R243" i="16" s="1"/>
  <c r="P243" i="16" a="1"/>
  <c r="P243" i="16"/>
  <c r="Q243" i="16" a="1"/>
  <c r="Q243" i="16" s="1"/>
  <c r="S243" i="16" a="1"/>
  <c r="S243" i="16"/>
  <c r="T243" i="16" a="1"/>
  <c r="T243" i="16" s="1"/>
  <c r="O244" i="16"/>
  <c r="Q244" i="16" s="1" a="1"/>
  <c r="P244" i="16" a="1"/>
  <c r="P244" i="16" s="1"/>
  <c r="Q244" i="16"/>
  <c r="R244" i="16" a="1"/>
  <c r="R244" i="16" s="1"/>
  <c r="S244" i="16" a="1"/>
  <c r="S244" i="16" s="1"/>
  <c r="O245" i="16"/>
  <c r="S245" i="16" s="1" a="1"/>
  <c r="S245" i="16" s="1"/>
  <c r="P245" i="16" a="1"/>
  <c r="P245" i="16"/>
  <c r="Q245" i="16" a="1"/>
  <c r="Q245" i="16" s="1"/>
  <c r="R245" i="16" a="1"/>
  <c r="R245" i="16" s="1"/>
  <c r="T245" i="16" a="1"/>
  <c r="T245" i="16"/>
  <c r="O246" i="16"/>
  <c r="O247" i="16"/>
  <c r="Q247" i="16" a="1"/>
  <c r="Q247" i="16"/>
  <c r="R247" i="16" a="1"/>
  <c r="R247" i="16" s="1"/>
  <c r="O248" i="16"/>
  <c r="O249" i="16"/>
  <c r="P249" i="16" a="1"/>
  <c r="P249" i="16"/>
  <c r="R249" i="16" a="1"/>
  <c r="R249" i="16" s="1"/>
  <c r="O250" i="16"/>
  <c r="P250" i="16" a="1"/>
  <c r="P250" i="16"/>
  <c r="Q250" i="16" a="1"/>
  <c r="Q250" i="16" s="1"/>
  <c r="R250" i="16" a="1"/>
  <c r="R250" i="16"/>
  <c r="S250" i="16" a="1"/>
  <c r="S250" i="16" s="1"/>
  <c r="T250" i="16" a="1"/>
  <c r="T250" i="16" s="1"/>
  <c r="O251" i="16"/>
  <c r="O252" i="16"/>
  <c r="P252" i="16" a="1"/>
  <c r="P252" i="16" s="1"/>
  <c r="Q252" i="16" a="1"/>
  <c r="Q252" i="16"/>
  <c r="R252" i="16" a="1"/>
  <c r="R252" i="16" s="1"/>
  <c r="S252" i="16" a="1"/>
  <c r="S252" i="16" s="1"/>
  <c r="T252" i="16" a="1"/>
  <c r="T252" i="16" s="1"/>
  <c r="O253" i="16"/>
  <c r="S253" i="16" s="1" a="1"/>
  <c r="S253" i="16" s="1"/>
  <c r="Q253" i="16" a="1"/>
  <c r="Q253" i="16" s="1"/>
  <c r="R253" i="16" a="1"/>
  <c r="R253" i="16" s="1"/>
  <c r="T253" i="16" a="1"/>
  <c r="T253" i="16" s="1"/>
  <c r="O254" i="16"/>
  <c r="R254" i="16" s="1" a="1"/>
  <c r="R254" i="16" s="1"/>
  <c r="Q254" i="16" a="1"/>
  <c r="Q254" i="16" s="1"/>
  <c r="S254" i="16" a="1"/>
  <c r="S254" i="16" s="1"/>
  <c r="T254" i="16" a="1"/>
  <c r="T254" i="16" s="1"/>
  <c r="O255" i="16"/>
  <c r="R255" i="16" a="1"/>
  <c r="R255" i="16"/>
  <c r="S255" i="16" a="1"/>
  <c r="S255" i="16" s="1"/>
  <c r="O256" i="16"/>
  <c r="P256" i="16" s="1" a="1"/>
  <c r="P256" i="16" s="1"/>
  <c r="R256" i="16" a="1"/>
  <c r="R256" i="16" s="1"/>
  <c r="S256" i="16" a="1"/>
  <c r="S256" i="16" s="1"/>
  <c r="T256" i="16" a="1"/>
  <c r="T256" i="16" s="1"/>
  <c r="O257" i="16"/>
  <c r="Q257" i="16" s="1" a="1"/>
  <c r="P257" i="16" a="1"/>
  <c r="P257" i="16" s="1"/>
  <c r="Q257" i="16"/>
  <c r="R257" i="16" a="1"/>
  <c r="R257" i="16"/>
  <c r="S257" i="16" a="1"/>
  <c r="S257" i="16" s="1"/>
  <c r="T257" i="16" a="1"/>
  <c r="T257" i="16"/>
  <c r="O258" i="16"/>
  <c r="P258" i="16" a="1"/>
  <c r="P258" i="16" s="1"/>
  <c r="Q258" i="16" a="1"/>
  <c r="Q258" i="16"/>
  <c r="R258" i="16" a="1"/>
  <c r="R258" i="16" s="1"/>
  <c r="S258" i="16" a="1"/>
  <c r="S258" i="16" s="1"/>
  <c r="T258" i="16" a="1"/>
  <c r="T258" i="16" s="1"/>
  <c r="O259" i="16"/>
  <c r="P259" i="16" s="1" a="1"/>
  <c r="P259" i="16"/>
  <c r="S259" i="16" a="1"/>
  <c r="S259" i="16" s="1"/>
  <c r="T259" i="16" a="1"/>
  <c r="T259" i="16" s="1"/>
  <c r="O260" i="16"/>
  <c r="R260" i="16" a="1"/>
  <c r="R260" i="16"/>
  <c r="S260" i="16" a="1"/>
  <c r="S260" i="16" s="1"/>
  <c r="T260" i="16" a="1"/>
  <c r="T260" i="16" s="1"/>
  <c r="O261" i="16"/>
  <c r="S261" i="16" s="1" a="1"/>
  <c r="Q261" i="16" a="1"/>
  <c r="Q261" i="16"/>
  <c r="R261" i="16" a="1"/>
  <c r="R261" i="16"/>
  <c r="S261" i="16"/>
  <c r="T261" i="16" a="1"/>
  <c r="T261" i="16" s="1"/>
  <c r="O262" i="16"/>
  <c r="S262" i="16" s="1" a="1"/>
  <c r="S262" i="16" s="1"/>
  <c r="Q262" i="16" a="1"/>
  <c r="Q262" i="16" s="1"/>
  <c r="R262" i="16" a="1"/>
  <c r="R262" i="16"/>
  <c r="T262" i="16" a="1"/>
  <c r="T262" i="16"/>
  <c r="O263" i="16"/>
  <c r="Q263" i="16" s="1" a="1"/>
  <c r="Q263" i="16" s="1"/>
  <c r="S263" i="16" a="1"/>
  <c r="S263" i="16"/>
  <c r="O264" i="16"/>
  <c r="O265" i="16"/>
  <c r="S265" i="16" a="1"/>
  <c r="S265" i="16"/>
  <c r="T265" i="16" a="1"/>
  <c r="T265" i="16" s="1"/>
  <c r="O266" i="16"/>
  <c r="P266" i="16" a="1"/>
  <c r="P266" i="16" s="1"/>
  <c r="Q266" i="16" a="1"/>
  <c r="Q266" i="16" s="1"/>
  <c r="R266" i="16" a="1"/>
  <c r="R266" i="16"/>
  <c r="S266" i="16" a="1"/>
  <c r="S266" i="16" s="1"/>
  <c r="T266" i="16" a="1"/>
  <c r="T266" i="16"/>
  <c r="O267" i="16"/>
  <c r="P267" i="16" s="1" a="1"/>
  <c r="P267" i="16" s="1"/>
  <c r="Q267" i="16" a="1"/>
  <c r="Q267" i="16"/>
  <c r="T267" i="16" a="1"/>
  <c r="T267" i="16" s="1"/>
  <c r="O268" i="16"/>
  <c r="R268" i="16" s="1" a="1"/>
  <c r="R268" i="16"/>
  <c r="S268" i="16" a="1"/>
  <c r="S268" i="16"/>
  <c r="T268" i="16" a="1"/>
  <c r="T268" i="16" s="1"/>
  <c r="O269" i="16"/>
  <c r="P269" i="16" s="1" a="1"/>
  <c r="P269" i="16" s="1"/>
  <c r="R269" i="16" a="1"/>
  <c r="R269" i="16" s="1"/>
  <c r="T269" i="16" a="1"/>
  <c r="T269" i="16" s="1"/>
  <c r="O270" i="16"/>
  <c r="P270" i="16" s="1" a="1"/>
  <c r="P270" i="16" s="1"/>
  <c r="Q270" i="16" a="1"/>
  <c r="Q270" i="16" s="1"/>
  <c r="R270" i="16" a="1"/>
  <c r="R270" i="16" s="1"/>
  <c r="S270" i="16" a="1"/>
  <c r="S270" i="16"/>
  <c r="T270" i="16" a="1"/>
  <c r="T270" i="16" s="1"/>
  <c r="O271" i="16"/>
  <c r="Q271" i="16" a="1"/>
  <c r="Q271" i="16" s="1"/>
  <c r="R271" i="16" a="1"/>
  <c r="R271" i="16"/>
  <c r="S271" i="16" a="1"/>
  <c r="S271" i="16" s="1"/>
  <c r="O272" i="16"/>
  <c r="S272" i="16" s="1" a="1"/>
  <c r="Q272" i="16" a="1"/>
  <c r="Q272" i="16"/>
  <c r="R272" i="16" a="1"/>
  <c r="R272" i="16" s="1"/>
  <c r="S272" i="16"/>
  <c r="T272" i="16" a="1"/>
  <c r="T272" i="16" s="1"/>
  <c r="O273" i="16"/>
  <c r="P273" i="16" a="1"/>
  <c r="P273" i="16" s="1"/>
  <c r="S273" i="16" a="1"/>
  <c r="S273" i="16" s="1"/>
  <c r="T273" i="16" a="1"/>
  <c r="T273" i="16" s="1"/>
  <c r="O274" i="16"/>
  <c r="P274" i="16" a="1"/>
  <c r="P274" i="16" s="1"/>
  <c r="Q274" i="16" a="1"/>
  <c r="Q274" i="16"/>
  <c r="R274" i="16" a="1"/>
  <c r="R274" i="16" s="1"/>
  <c r="S274" i="16" a="1"/>
  <c r="S274" i="16" s="1"/>
  <c r="T274" i="16" a="1"/>
  <c r="T274" i="16" s="1"/>
  <c r="O275" i="16"/>
  <c r="O276" i="16"/>
  <c r="R276" i="16" s="1" a="1"/>
  <c r="R276" i="16" s="1"/>
  <c r="O277" i="16"/>
  <c r="S277" i="16" s="1" a="1"/>
  <c r="Q277" i="16" a="1"/>
  <c r="Q277" i="16"/>
  <c r="R277" i="16" a="1"/>
  <c r="R277" i="16" s="1"/>
  <c r="S277" i="16"/>
  <c r="T277" i="16" a="1"/>
  <c r="T277" i="16" s="1"/>
  <c r="O278" i="16"/>
  <c r="P278" i="16" a="1"/>
  <c r="P278" i="16"/>
  <c r="Q278" i="16" a="1"/>
  <c r="Q278" i="16" s="1"/>
  <c r="R278" i="16" a="1"/>
  <c r="R278" i="16" s="1"/>
  <c r="S278" i="16" a="1"/>
  <c r="S278" i="16" s="1"/>
  <c r="T278" i="16" a="1"/>
  <c r="T278" i="16"/>
  <c r="O279" i="16"/>
  <c r="Q279" i="16" a="1"/>
  <c r="Q279" i="16" s="1"/>
  <c r="O280" i="16"/>
  <c r="P280" i="16" a="1"/>
  <c r="P280" i="16" s="1"/>
  <c r="S280" i="16" a="1"/>
  <c r="S280" i="16" s="1"/>
  <c r="T280" i="16" a="1"/>
  <c r="T280" i="16" s="1"/>
  <c r="O281" i="16"/>
  <c r="P281" i="16" s="1" a="1"/>
  <c r="P281" i="16" s="1"/>
  <c r="Q281" i="16" a="1"/>
  <c r="Q281" i="16" s="1"/>
  <c r="R281" i="16" a="1"/>
  <c r="R281" i="16" s="1"/>
  <c r="S281" i="16" a="1"/>
  <c r="S281" i="16" s="1"/>
  <c r="O282" i="16"/>
  <c r="T282" i="16" a="1"/>
  <c r="T282" i="16" s="1"/>
  <c r="O283" i="16"/>
  <c r="T283" i="16" a="1"/>
  <c r="T283" i="16" s="1"/>
  <c r="O284" i="16"/>
  <c r="P284" i="16" s="1" a="1"/>
  <c r="P284" i="16"/>
  <c r="Q284" i="16" a="1"/>
  <c r="Q284" i="16"/>
  <c r="R284" i="16" a="1"/>
  <c r="R284" i="16" s="1"/>
  <c r="S284" i="16" a="1"/>
  <c r="S284" i="16" s="1"/>
  <c r="O285" i="16"/>
  <c r="P285" i="16" s="1" a="1"/>
  <c r="P285" i="16" s="1"/>
  <c r="T285" i="16" a="1"/>
  <c r="T285" i="16" s="1"/>
  <c r="O286" i="16"/>
  <c r="O287" i="16"/>
  <c r="P287" i="16" a="1"/>
  <c r="P287" i="16" s="1"/>
  <c r="Q287" i="16" a="1"/>
  <c r="Q287" i="16" s="1"/>
  <c r="R287" i="16" a="1"/>
  <c r="R287" i="16" s="1"/>
  <c r="S287" i="16" a="1"/>
  <c r="S287" i="16" s="1"/>
  <c r="T287" i="16" a="1"/>
  <c r="T287" i="16"/>
  <c r="O288" i="16"/>
  <c r="P288" i="16" a="1"/>
  <c r="P288" i="16" s="1"/>
  <c r="O289" i="16"/>
  <c r="P289" i="16" s="1" a="1"/>
  <c r="P289" i="16" s="1"/>
  <c r="Q289" i="16" a="1"/>
  <c r="Q289" i="16"/>
  <c r="R289" i="16" a="1"/>
  <c r="R289" i="16"/>
  <c r="S289" i="16" a="1"/>
  <c r="S289" i="16" s="1"/>
  <c r="O290" i="16"/>
  <c r="P290" i="16" a="1"/>
  <c r="P290" i="16"/>
  <c r="Q290" i="16" a="1"/>
  <c r="Q290" i="16"/>
  <c r="O291" i="16"/>
  <c r="Q291" i="16" s="1" a="1"/>
  <c r="Q291" i="16" s="1"/>
  <c r="P291" i="16" a="1"/>
  <c r="P291" i="16" s="1"/>
  <c r="R291" i="16" a="1"/>
  <c r="R291" i="16" s="1"/>
  <c r="S291" i="16" a="1"/>
  <c r="S291" i="16" s="1"/>
  <c r="O292" i="16"/>
  <c r="P292" i="16" s="1" a="1"/>
  <c r="P292" i="16" s="1"/>
  <c r="Q292" i="16" a="1"/>
  <c r="Q292" i="16"/>
  <c r="R292" i="16" a="1"/>
  <c r="R292" i="16"/>
  <c r="S292" i="16" a="1"/>
  <c r="S292" i="16" s="1"/>
  <c r="O293" i="16"/>
  <c r="R293" i="16" s="1" a="1"/>
  <c r="R293" i="16" s="1"/>
  <c r="Q293" i="16" a="1"/>
  <c r="Q293" i="16" s="1"/>
  <c r="S293" i="16" a="1"/>
  <c r="S293" i="16"/>
  <c r="O294" i="16"/>
  <c r="R294" i="16" a="1"/>
  <c r="R294" i="16"/>
  <c r="S294" i="16" a="1"/>
  <c r="S294" i="16"/>
  <c r="O295" i="16"/>
  <c r="S295" i="16" s="1" a="1"/>
  <c r="S295" i="16" s="1"/>
  <c r="P295" i="16" a="1"/>
  <c r="P295" i="16"/>
  <c r="Q295" i="16" a="1"/>
  <c r="Q295" i="16"/>
  <c r="R295" i="16" a="1"/>
  <c r="R295" i="16" s="1"/>
  <c r="T295" i="16" a="1"/>
  <c r="T295" i="16"/>
  <c r="O296" i="16"/>
  <c r="P296" i="16" a="1"/>
  <c r="P296" i="16"/>
  <c r="S296" i="16" a="1"/>
  <c r="S296" i="16"/>
  <c r="T296" i="16" a="1"/>
  <c r="T296" i="16" s="1"/>
  <c r="O297" i="16"/>
  <c r="P297" i="16" s="1" a="1"/>
  <c r="P297" i="16" s="1"/>
  <c r="Q297" i="16" a="1"/>
  <c r="Q297" i="16"/>
  <c r="R297" i="16" a="1"/>
  <c r="R297" i="16"/>
  <c r="S297" i="16" a="1"/>
  <c r="S297" i="16" s="1"/>
  <c r="O298" i="16"/>
  <c r="P298" i="16" s="1" a="1"/>
  <c r="P298" i="16" s="1"/>
  <c r="O299" i="16"/>
  <c r="P299" i="16" a="1"/>
  <c r="P299" i="16" s="1"/>
  <c r="O300" i="16"/>
  <c r="P300" i="16" s="1" a="1"/>
  <c r="P300" i="16"/>
  <c r="Q300" i="16" a="1"/>
  <c r="Q300" i="16" s="1"/>
  <c r="R300" i="16" a="1"/>
  <c r="R300" i="16"/>
  <c r="S300" i="16" a="1"/>
  <c r="S300" i="16" s="1"/>
  <c r="O301" i="16"/>
  <c r="P301" i="16" a="1"/>
  <c r="P301" i="16"/>
  <c r="O302" i="16"/>
  <c r="R302" i="16" a="1"/>
  <c r="R302" i="16" s="1"/>
  <c r="O303" i="16"/>
  <c r="S303" i="16" s="1" a="1"/>
  <c r="S303" i="16" s="1"/>
  <c r="P303" i="16" a="1"/>
  <c r="P303" i="16"/>
  <c r="Q303" i="16" a="1"/>
  <c r="Q303" i="16" s="1"/>
  <c r="R303" i="16" a="1"/>
  <c r="R303" i="16" s="1"/>
  <c r="T303" i="16" a="1"/>
  <c r="T303" i="16"/>
  <c r="O304" i="16"/>
  <c r="P304" i="16" a="1"/>
  <c r="P304" i="16" s="1"/>
  <c r="S304" i="16" a="1"/>
  <c r="S304" i="16" s="1"/>
  <c r="O305" i="16"/>
  <c r="P305" i="16" s="1" a="1"/>
  <c r="P305" i="16" s="1"/>
  <c r="Q305" i="16" a="1"/>
  <c r="Q305" i="16"/>
  <c r="R305" i="16" a="1"/>
  <c r="R305" i="16" s="1"/>
  <c r="S305" i="16" a="1"/>
  <c r="S305" i="16" s="1"/>
  <c r="O306" i="16"/>
  <c r="P306" i="16" a="1"/>
  <c r="P306" i="16" s="1"/>
  <c r="Q306" i="16" a="1"/>
  <c r="Q306" i="16"/>
  <c r="T306" i="16" a="1"/>
  <c r="T306" i="16" s="1"/>
  <c r="O307" i="16"/>
  <c r="Q307" i="16" s="1" a="1"/>
  <c r="Q307" i="16" s="1"/>
  <c r="P307" i="16" a="1"/>
  <c r="P307" i="16" s="1"/>
  <c r="R307" i="16" a="1"/>
  <c r="R307" i="16"/>
  <c r="S307" i="16" a="1"/>
  <c r="S307" i="16"/>
  <c r="T307" i="16" a="1"/>
  <c r="T307" i="16" s="1"/>
  <c r="O308" i="16"/>
  <c r="P308" i="16" s="1" a="1"/>
  <c r="P308" i="16"/>
  <c r="Q308" i="16" a="1"/>
  <c r="Q308" i="16" s="1"/>
  <c r="R308" i="16" a="1"/>
  <c r="R308" i="16" s="1"/>
  <c r="S308" i="16" a="1"/>
  <c r="S308" i="16" s="1"/>
  <c r="O309" i="16"/>
  <c r="R309" i="16" s="1" a="1"/>
  <c r="R309" i="16" s="1"/>
  <c r="P309" i="16" a="1"/>
  <c r="P309" i="16"/>
  <c r="Q309" i="16" a="1"/>
  <c r="Q309" i="16" s="1"/>
  <c r="S309" i="16" a="1"/>
  <c r="S309" i="16" s="1"/>
  <c r="T309" i="16" a="1"/>
  <c r="T309" i="16"/>
  <c r="O310" i="16"/>
  <c r="R310" i="16" a="1"/>
  <c r="R310" i="16" s="1"/>
  <c r="S310" i="16" a="1"/>
  <c r="S310" i="16" s="1"/>
  <c r="O311" i="16"/>
  <c r="S311" i="16" s="1" a="1"/>
  <c r="S311" i="16" s="1"/>
  <c r="P311" i="16" a="1"/>
  <c r="P311" i="16" s="1"/>
  <c r="Q311" i="16" a="1"/>
  <c r="Q311" i="16"/>
  <c r="R311" i="16" a="1"/>
  <c r="R311" i="16" s="1"/>
  <c r="T311" i="16" a="1"/>
  <c r="T311" i="16" s="1"/>
  <c r="O312" i="16"/>
  <c r="P312" i="16" a="1"/>
  <c r="P312" i="16" s="1"/>
  <c r="T312" i="16" a="1"/>
  <c r="T312" i="16"/>
  <c r="O313" i="16"/>
  <c r="P313" i="16" s="1" a="1"/>
  <c r="P313" i="16" s="1"/>
  <c r="Q313" i="16" a="1"/>
  <c r="Q313" i="16" s="1"/>
  <c r="R313" i="16" a="1"/>
  <c r="R313" i="16"/>
  <c r="S313" i="16" a="1"/>
  <c r="S313" i="16" s="1"/>
  <c r="F114" i="16"/>
  <c r="H114" i="16" s="1"/>
  <c r="F115" i="16"/>
  <c r="H115" i="16" s="1"/>
  <c r="F116" i="16"/>
  <c r="H116" i="16"/>
  <c r="F117" i="16"/>
  <c r="H117" i="16"/>
  <c r="F118" i="16"/>
  <c r="F119" i="16"/>
  <c r="H119" i="16" s="1"/>
  <c r="F120" i="16"/>
  <c r="H120" i="16"/>
  <c r="F121" i="16"/>
  <c r="H121" i="16"/>
  <c r="F122" i="16"/>
  <c r="F123" i="16"/>
  <c r="H123" i="16" s="1"/>
  <c r="F124" i="16"/>
  <c r="H124" i="16" s="1"/>
  <c r="F125" i="16"/>
  <c r="H125" i="16"/>
  <c r="F126" i="16"/>
  <c r="H126" i="16" s="1"/>
  <c r="F127" i="16"/>
  <c r="H127" i="16" s="1"/>
  <c r="F128" i="16"/>
  <c r="I128" i="16" s="1"/>
  <c r="F129" i="16"/>
  <c r="F130" i="16"/>
  <c r="H130" i="16" s="1"/>
  <c r="F131" i="16"/>
  <c r="H131" i="16" s="1"/>
  <c r="F132" i="16"/>
  <c r="H132" i="16"/>
  <c r="F133" i="16"/>
  <c r="H133" i="16"/>
  <c r="F134" i="16"/>
  <c r="F135" i="16"/>
  <c r="H135" i="16" s="1"/>
  <c r="F136" i="16"/>
  <c r="H136" i="16"/>
  <c r="F137" i="16"/>
  <c r="H137" i="16"/>
  <c r="F138" i="16"/>
  <c r="F139" i="16"/>
  <c r="H139" i="16" s="1"/>
  <c r="F140" i="16"/>
  <c r="H140" i="16" s="1"/>
  <c r="F141" i="16"/>
  <c r="H141" i="16"/>
  <c r="F142" i="16"/>
  <c r="H142" i="16" s="1"/>
  <c r="F143" i="16"/>
  <c r="H143" i="16" s="1"/>
  <c r="F144" i="16"/>
  <c r="I144" i="16" s="1"/>
  <c r="H144" i="16"/>
  <c r="F145" i="16"/>
  <c r="F146" i="16"/>
  <c r="H146" i="16" s="1"/>
  <c r="F147" i="16"/>
  <c r="H147" i="16" s="1"/>
  <c r="F148" i="16"/>
  <c r="H148" i="16"/>
  <c r="F149" i="16"/>
  <c r="H149" i="16" s="1"/>
  <c r="F150" i="16"/>
  <c r="F151" i="16"/>
  <c r="H151" i="16" s="1"/>
  <c r="F152" i="16"/>
  <c r="H152" i="16"/>
  <c r="F153" i="16"/>
  <c r="H153" i="16"/>
  <c r="F154" i="16"/>
  <c r="F155" i="16"/>
  <c r="H155" i="16" s="1"/>
  <c r="F156" i="16"/>
  <c r="H156" i="16" s="1"/>
  <c r="F157" i="16"/>
  <c r="H157" i="16"/>
  <c r="F158" i="16"/>
  <c r="H158" i="16" s="1"/>
  <c r="F159" i="16"/>
  <c r="H159" i="16" s="1"/>
  <c r="F160" i="16"/>
  <c r="I160" i="16" s="1"/>
  <c r="H160" i="16"/>
  <c r="F161" i="16"/>
  <c r="F162" i="16"/>
  <c r="H162" i="16" s="1"/>
  <c r="F163" i="16"/>
  <c r="H163" i="16" s="1"/>
  <c r="F164" i="16"/>
  <c r="H164" i="16"/>
  <c r="F165" i="16"/>
  <c r="H165" i="16"/>
  <c r="F166" i="16"/>
  <c r="F167" i="16"/>
  <c r="H167" i="16" s="1"/>
  <c r="F168" i="16"/>
  <c r="H168" i="16"/>
  <c r="F169" i="16"/>
  <c r="H169" i="16"/>
  <c r="F170" i="16"/>
  <c r="F171" i="16"/>
  <c r="H171" i="16" s="1"/>
  <c r="F172" i="16"/>
  <c r="H172" i="16" s="1"/>
  <c r="F173" i="16"/>
  <c r="H173" i="16"/>
  <c r="F174" i="16"/>
  <c r="H174" i="16" s="1"/>
  <c r="F175" i="16"/>
  <c r="H175" i="16" s="1"/>
  <c r="F176" i="16"/>
  <c r="F177" i="16"/>
  <c r="F178" i="16"/>
  <c r="H178" i="16" s="1"/>
  <c r="F179" i="16"/>
  <c r="H179" i="16" s="1"/>
  <c r="F180" i="16"/>
  <c r="H180" i="16"/>
  <c r="F181" i="16"/>
  <c r="H181" i="16"/>
  <c r="F182" i="16"/>
  <c r="F183" i="16"/>
  <c r="H183" i="16" s="1"/>
  <c r="F184" i="16"/>
  <c r="H184" i="16"/>
  <c r="F185" i="16"/>
  <c r="H185" i="16"/>
  <c r="F186" i="16"/>
  <c r="F187" i="16"/>
  <c r="H187" i="16" s="1"/>
  <c r="F188" i="16"/>
  <c r="H188" i="16" s="1"/>
  <c r="F189" i="16"/>
  <c r="H189" i="16"/>
  <c r="F190" i="16"/>
  <c r="H190" i="16" s="1"/>
  <c r="F191" i="16"/>
  <c r="H191" i="16" s="1"/>
  <c r="F192" i="16"/>
  <c r="I192" i="16" s="1"/>
  <c r="F193" i="16"/>
  <c r="F194" i="16"/>
  <c r="H194" i="16" s="1"/>
  <c r="F195" i="16"/>
  <c r="H195" i="16" s="1"/>
  <c r="F196" i="16"/>
  <c r="H196" i="16"/>
  <c r="F197" i="16"/>
  <c r="H197" i="16"/>
  <c r="F198" i="16"/>
  <c r="F199" i="16"/>
  <c r="H199" i="16" s="1"/>
  <c r="F200" i="16"/>
  <c r="H200" i="16"/>
  <c r="F201" i="16"/>
  <c r="H201" i="16"/>
  <c r="F202" i="16"/>
  <c r="F203" i="16"/>
  <c r="H203" i="16" s="1"/>
  <c r="F204" i="16"/>
  <c r="H204" i="16" s="1"/>
  <c r="F205" i="16"/>
  <c r="H205" i="16"/>
  <c r="F206" i="16"/>
  <c r="H206" i="16" s="1"/>
  <c r="F207" i="16"/>
  <c r="F208" i="16"/>
  <c r="I208" i="16" s="1"/>
  <c r="H208" i="16"/>
  <c r="F209" i="16"/>
  <c r="F210" i="16"/>
  <c r="H210" i="16" s="1"/>
  <c r="F211" i="16"/>
  <c r="H211" i="16" s="1"/>
  <c r="F212" i="16"/>
  <c r="H212" i="16"/>
  <c r="F213" i="16"/>
  <c r="H213" i="16" s="1"/>
  <c r="F214" i="16"/>
  <c r="F215" i="16"/>
  <c r="H215" i="16" s="1"/>
  <c r="F216" i="16"/>
  <c r="H216" i="16"/>
  <c r="F217" i="16"/>
  <c r="H217" i="16"/>
  <c r="F218" i="16"/>
  <c r="F219" i="16"/>
  <c r="H219" i="16" s="1"/>
  <c r="F220" i="16"/>
  <c r="H220" i="16" s="1"/>
  <c r="F221" i="16"/>
  <c r="H221" i="16"/>
  <c r="F222" i="16"/>
  <c r="H222" i="16" s="1"/>
  <c r="F223" i="16"/>
  <c r="F224" i="16"/>
  <c r="I224" i="16" s="1"/>
  <c r="H224" i="16"/>
  <c r="F225" i="16"/>
  <c r="F226" i="16"/>
  <c r="H226" i="16" s="1"/>
  <c r="F227" i="16"/>
  <c r="H227" i="16" s="1"/>
  <c r="F228" i="16"/>
  <c r="H228" i="16"/>
  <c r="F229" i="16"/>
  <c r="H229" i="16"/>
  <c r="F230" i="16"/>
  <c r="F231" i="16"/>
  <c r="H231" i="16" s="1"/>
  <c r="F232" i="16"/>
  <c r="H232" i="16"/>
  <c r="F233" i="16"/>
  <c r="H233" i="16"/>
  <c r="F234" i="16"/>
  <c r="F235" i="16"/>
  <c r="H235" i="16" s="1"/>
  <c r="F236" i="16"/>
  <c r="H236" i="16" s="1"/>
  <c r="F237" i="16"/>
  <c r="H237" i="16"/>
  <c r="F238" i="16"/>
  <c r="H238" i="16" s="1"/>
  <c r="F239" i="16"/>
  <c r="F240" i="16"/>
  <c r="F241" i="16"/>
  <c r="F242" i="16"/>
  <c r="H242" i="16" s="1"/>
  <c r="F243" i="16"/>
  <c r="H243" i="16" s="1"/>
  <c r="F244" i="16"/>
  <c r="H244" i="16"/>
  <c r="F245" i="16"/>
  <c r="H245" i="16"/>
  <c r="F246" i="16"/>
  <c r="F247" i="16"/>
  <c r="H247" i="16" s="1"/>
  <c r="F248" i="16"/>
  <c r="H248" i="16"/>
  <c r="F249" i="16"/>
  <c r="H249" i="16"/>
  <c r="F250" i="16"/>
  <c r="F251" i="16"/>
  <c r="F252" i="16"/>
  <c r="H252" i="16" s="1"/>
  <c r="F253" i="16"/>
  <c r="H253" i="16"/>
  <c r="F254" i="16"/>
  <c r="H254" i="16" s="1"/>
  <c r="F255" i="16"/>
  <c r="F256" i="16"/>
  <c r="I256" i="16" s="1"/>
  <c r="H256" i="16"/>
  <c r="F257" i="16"/>
  <c r="F258" i="16"/>
  <c r="H258" i="16" s="1"/>
  <c r="F259" i="16"/>
  <c r="H259" i="16" s="1"/>
  <c r="F260" i="16"/>
  <c r="H260" i="16"/>
  <c r="F261" i="16"/>
  <c r="H261" i="16"/>
  <c r="F262" i="16"/>
  <c r="F263" i="16"/>
  <c r="H263" i="16" s="1"/>
  <c r="F264" i="16"/>
  <c r="H264" i="16"/>
  <c r="F265" i="16"/>
  <c r="H265" i="16"/>
  <c r="F266" i="16"/>
  <c r="F267" i="16"/>
  <c r="H267" i="16" s="1"/>
  <c r="F268" i="16"/>
  <c r="H268" i="16" s="1"/>
  <c r="F269" i="16"/>
  <c r="H269" i="16"/>
  <c r="F270" i="16"/>
  <c r="H270" i="16" s="1"/>
  <c r="F271" i="16"/>
  <c r="F272" i="16"/>
  <c r="I272" i="16" s="1"/>
  <c r="H272" i="16"/>
  <c r="F273" i="16"/>
  <c r="F274" i="16"/>
  <c r="H274" i="16" s="1"/>
  <c r="F275" i="16"/>
  <c r="H275" i="16" s="1"/>
  <c r="F276" i="16"/>
  <c r="H276" i="16"/>
  <c r="F277" i="16"/>
  <c r="H277" i="16" s="1"/>
  <c r="F278" i="16"/>
  <c r="F279" i="16"/>
  <c r="H279" i="16" s="1"/>
  <c r="F280" i="16"/>
  <c r="H280" i="16"/>
  <c r="F281" i="16"/>
  <c r="H281" i="16"/>
  <c r="F282" i="16"/>
  <c r="F283" i="16"/>
  <c r="H283" i="16" s="1"/>
  <c r="F284" i="16"/>
  <c r="H284" i="16" s="1"/>
  <c r="F285" i="16"/>
  <c r="H285" i="16"/>
  <c r="F286" i="16"/>
  <c r="H286" i="16" s="1"/>
  <c r="F287" i="16"/>
  <c r="F288" i="16"/>
  <c r="I288" i="16" s="1"/>
  <c r="H288" i="16"/>
  <c r="F289" i="16"/>
  <c r="F290" i="16"/>
  <c r="H290" i="16" s="1"/>
  <c r="F291" i="16"/>
  <c r="H291" i="16" s="1"/>
  <c r="F292" i="16"/>
  <c r="H292" i="16"/>
  <c r="F293" i="16"/>
  <c r="H293" i="16"/>
  <c r="F294" i="16"/>
  <c r="F295" i="16"/>
  <c r="H295" i="16" s="1"/>
  <c r="F296" i="16"/>
  <c r="H296" i="16"/>
  <c r="F297" i="16"/>
  <c r="H297" i="16"/>
  <c r="F298" i="16"/>
  <c r="F299" i="16"/>
  <c r="H299" i="16" s="1"/>
  <c r="F300" i="16"/>
  <c r="H300" i="16" s="1"/>
  <c r="F301" i="16"/>
  <c r="H301" i="16"/>
  <c r="F302" i="16"/>
  <c r="H302" i="16" s="1"/>
  <c r="F303" i="16"/>
  <c r="F304" i="16"/>
  <c r="F305" i="16"/>
  <c r="F306" i="16"/>
  <c r="H306" i="16" s="1"/>
  <c r="F307" i="16"/>
  <c r="H307" i="16" s="1"/>
  <c r="F308" i="16"/>
  <c r="H308" i="16"/>
  <c r="F309" i="16"/>
  <c r="H309" i="16"/>
  <c r="F310" i="16"/>
  <c r="F311" i="16"/>
  <c r="I311" i="16" s="1"/>
  <c r="H311" i="16"/>
  <c r="F312" i="16"/>
  <c r="I312" i="16" s="1"/>
  <c r="H312" i="16"/>
  <c r="F313" i="16"/>
  <c r="I313" i="16" s="1"/>
  <c r="H313" i="16"/>
  <c r="I114" i="16"/>
  <c r="I115" i="16"/>
  <c r="I116" i="16"/>
  <c r="I117" i="16"/>
  <c r="I118" i="16"/>
  <c r="I119" i="16"/>
  <c r="I120" i="16"/>
  <c r="I121" i="16"/>
  <c r="I123" i="16"/>
  <c r="I124" i="16"/>
  <c r="I125" i="16"/>
  <c r="I126" i="16"/>
  <c r="I127" i="16"/>
  <c r="I130" i="16"/>
  <c r="I131" i="16"/>
  <c r="I132" i="16"/>
  <c r="I133" i="16"/>
  <c r="I134" i="16"/>
  <c r="I135" i="16"/>
  <c r="I136" i="16"/>
  <c r="I137" i="16"/>
  <c r="I139" i="16"/>
  <c r="I140" i="16"/>
  <c r="I141" i="16"/>
  <c r="I142" i="16"/>
  <c r="I143" i="16"/>
  <c r="I146" i="16"/>
  <c r="I147" i="16"/>
  <c r="I148" i="16"/>
  <c r="I149" i="16"/>
  <c r="I150" i="16"/>
  <c r="I151" i="16"/>
  <c r="I152" i="16"/>
  <c r="I153" i="16"/>
  <c r="I155" i="16"/>
  <c r="I156" i="16"/>
  <c r="I157" i="16"/>
  <c r="I158" i="16"/>
  <c r="I159" i="16"/>
  <c r="I162" i="16"/>
  <c r="I163" i="16"/>
  <c r="I164" i="16"/>
  <c r="I165" i="16"/>
  <c r="I166" i="16"/>
  <c r="I167" i="16"/>
  <c r="I168" i="16"/>
  <c r="I169" i="16"/>
  <c r="I171" i="16"/>
  <c r="I172" i="16"/>
  <c r="I173" i="16"/>
  <c r="I174" i="16"/>
  <c r="I175" i="16"/>
  <c r="I178" i="16"/>
  <c r="I179" i="16"/>
  <c r="I180" i="16"/>
  <c r="I181" i="16"/>
  <c r="I182" i="16"/>
  <c r="I183" i="16"/>
  <c r="I184" i="16"/>
  <c r="I185" i="16"/>
  <c r="I187" i="16"/>
  <c r="I188" i="16"/>
  <c r="I189" i="16"/>
  <c r="I190" i="16"/>
  <c r="I191" i="16"/>
  <c r="I194" i="16"/>
  <c r="I195" i="16"/>
  <c r="I196" i="16"/>
  <c r="I197" i="16"/>
  <c r="I198" i="16"/>
  <c r="I199" i="16"/>
  <c r="I200" i="16"/>
  <c r="I201" i="16"/>
  <c r="I203" i="16"/>
  <c r="I204" i="16"/>
  <c r="I205" i="16"/>
  <c r="I206" i="16"/>
  <c r="I210" i="16"/>
  <c r="I211" i="16"/>
  <c r="I212" i="16"/>
  <c r="I213" i="16"/>
  <c r="I214" i="16"/>
  <c r="I215" i="16"/>
  <c r="I216" i="16"/>
  <c r="I217" i="16"/>
  <c r="I219" i="16"/>
  <c r="I220" i="16"/>
  <c r="I221" i="16"/>
  <c r="I222" i="16"/>
  <c r="I226" i="16"/>
  <c r="I227" i="16"/>
  <c r="I228" i="16"/>
  <c r="I229" i="16"/>
  <c r="I230" i="16"/>
  <c r="I231" i="16"/>
  <c r="I232" i="16"/>
  <c r="I233" i="16"/>
  <c r="I235" i="16"/>
  <c r="I236" i="16"/>
  <c r="I237" i="16"/>
  <c r="I238" i="16"/>
  <c r="I242" i="16"/>
  <c r="I243" i="16"/>
  <c r="I244" i="16"/>
  <c r="I245" i="16"/>
  <c r="I246" i="16"/>
  <c r="I247" i="16"/>
  <c r="I248" i="16"/>
  <c r="I249" i="16"/>
  <c r="I252" i="16"/>
  <c r="I253" i="16"/>
  <c r="I254" i="16"/>
  <c r="I258" i="16"/>
  <c r="I259" i="16"/>
  <c r="I260" i="16"/>
  <c r="I261" i="16"/>
  <c r="I262" i="16"/>
  <c r="I263" i="16"/>
  <c r="I264" i="16"/>
  <c r="I265" i="16"/>
  <c r="I267" i="16"/>
  <c r="I268" i="16"/>
  <c r="I269" i="16"/>
  <c r="I270" i="16"/>
  <c r="I274" i="16"/>
  <c r="I275" i="16"/>
  <c r="I276" i="16"/>
  <c r="I277" i="16"/>
  <c r="I278" i="16"/>
  <c r="I279" i="16"/>
  <c r="I280" i="16"/>
  <c r="I281" i="16"/>
  <c r="I283" i="16"/>
  <c r="I284" i="16"/>
  <c r="I285" i="16"/>
  <c r="I286" i="16"/>
  <c r="I290" i="16"/>
  <c r="I291" i="16"/>
  <c r="I292" i="16"/>
  <c r="I293" i="16"/>
  <c r="I294" i="16"/>
  <c r="I295" i="16"/>
  <c r="I296" i="16"/>
  <c r="I297" i="16"/>
  <c r="I299" i="16"/>
  <c r="I300" i="16"/>
  <c r="I301" i="16"/>
  <c r="I302" i="16"/>
  <c r="I306" i="16"/>
  <c r="I307" i="16"/>
  <c r="I308" i="16"/>
  <c r="I309" i="16"/>
  <c r="I310" i="16"/>
  <c r="J114" i="16"/>
  <c r="L114" i="16"/>
  <c r="J115" i="16"/>
  <c r="L115" i="16"/>
  <c r="J116" i="16"/>
  <c r="M116" i="16" s="1"/>
  <c r="J117" i="16"/>
  <c r="L117" i="16"/>
  <c r="J118" i="16"/>
  <c r="L118" i="16"/>
  <c r="J119" i="16"/>
  <c r="L119" i="16"/>
  <c r="J120" i="16"/>
  <c r="L120" i="16" s="1"/>
  <c r="J121" i="16"/>
  <c r="L121" i="16"/>
  <c r="J122" i="16"/>
  <c r="L122" i="16"/>
  <c r="J123" i="16"/>
  <c r="L123" i="16"/>
  <c r="J124" i="16"/>
  <c r="M124" i="16" s="1"/>
  <c r="J125" i="16"/>
  <c r="L125" i="16"/>
  <c r="J126" i="16"/>
  <c r="L126" i="16"/>
  <c r="J127" i="16"/>
  <c r="L127" i="16"/>
  <c r="J128" i="16"/>
  <c r="L128" i="16" s="1"/>
  <c r="J129" i="16"/>
  <c r="L129" i="16"/>
  <c r="J130" i="16"/>
  <c r="L130" i="16"/>
  <c r="J131" i="16"/>
  <c r="L131" i="16"/>
  <c r="J132" i="16"/>
  <c r="M132" i="16" s="1"/>
  <c r="J133" i="16"/>
  <c r="L133" i="16"/>
  <c r="J134" i="16"/>
  <c r="L134" i="16"/>
  <c r="J135" i="16"/>
  <c r="L135" i="16"/>
  <c r="J136" i="16"/>
  <c r="L136" i="16" s="1"/>
  <c r="J137" i="16"/>
  <c r="L137" i="16"/>
  <c r="J138" i="16"/>
  <c r="L138" i="16"/>
  <c r="J139" i="16"/>
  <c r="L139" i="16"/>
  <c r="J140" i="16"/>
  <c r="M140" i="16" s="1"/>
  <c r="J141" i="16"/>
  <c r="L141" i="16"/>
  <c r="J142" i="16"/>
  <c r="L142" i="16"/>
  <c r="J143" i="16"/>
  <c r="L143" i="16"/>
  <c r="J144" i="16"/>
  <c r="L144" i="16" s="1"/>
  <c r="J145" i="16"/>
  <c r="L145" i="16"/>
  <c r="J146" i="16"/>
  <c r="L146" i="16"/>
  <c r="J147" i="16"/>
  <c r="L147" i="16"/>
  <c r="J148" i="16"/>
  <c r="M148" i="16" s="1"/>
  <c r="J149" i="16"/>
  <c r="L149" i="16"/>
  <c r="J150" i="16"/>
  <c r="L150" i="16"/>
  <c r="J151" i="16"/>
  <c r="L151" i="16"/>
  <c r="J152" i="16"/>
  <c r="L152" i="16" s="1"/>
  <c r="J153" i="16"/>
  <c r="L153" i="16"/>
  <c r="J154" i="16"/>
  <c r="L154" i="16"/>
  <c r="J155" i="16"/>
  <c r="L155" i="16"/>
  <c r="J156" i="16"/>
  <c r="M156" i="16" s="1"/>
  <c r="J157" i="16"/>
  <c r="L157" i="16"/>
  <c r="J158" i="16"/>
  <c r="L158" i="16"/>
  <c r="J159" i="16"/>
  <c r="L159" i="16"/>
  <c r="J160" i="16"/>
  <c r="L160" i="16" s="1"/>
  <c r="J161" i="16"/>
  <c r="L161" i="16"/>
  <c r="J162" i="16"/>
  <c r="L162" i="16"/>
  <c r="J163" i="16"/>
  <c r="L163" i="16"/>
  <c r="J164" i="16"/>
  <c r="M164" i="16" s="1"/>
  <c r="J165" i="16"/>
  <c r="L165" i="16"/>
  <c r="J166" i="16"/>
  <c r="L166" i="16"/>
  <c r="J167" i="16"/>
  <c r="L167" i="16"/>
  <c r="J168" i="16"/>
  <c r="L168" i="16" s="1"/>
  <c r="J169" i="16"/>
  <c r="L169" i="16"/>
  <c r="J170" i="16"/>
  <c r="L170" i="16"/>
  <c r="J171" i="16"/>
  <c r="L171" i="16"/>
  <c r="J172" i="16"/>
  <c r="M172" i="16" s="1"/>
  <c r="J173" i="16"/>
  <c r="L173" i="16"/>
  <c r="J174" i="16"/>
  <c r="L174" i="16"/>
  <c r="J175" i="16"/>
  <c r="L175" i="16"/>
  <c r="J176" i="16"/>
  <c r="L176" i="16" s="1"/>
  <c r="J177" i="16"/>
  <c r="L177" i="16"/>
  <c r="J178" i="16"/>
  <c r="L178" i="16"/>
  <c r="J179" i="16"/>
  <c r="L179" i="16"/>
  <c r="J180" i="16"/>
  <c r="M180" i="16" s="1"/>
  <c r="J181" i="16"/>
  <c r="L181" i="16"/>
  <c r="J182" i="16"/>
  <c r="L182" i="16"/>
  <c r="J183" i="16"/>
  <c r="L183" i="16"/>
  <c r="J184" i="16"/>
  <c r="L184" i="16" s="1"/>
  <c r="J185" i="16"/>
  <c r="L185" i="16"/>
  <c r="J186" i="16"/>
  <c r="L186" i="16"/>
  <c r="J187" i="16"/>
  <c r="M187" i="16" s="1"/>
  <c r="L187" i="16"/>
  <c r="J188" i="16"/>
  <c r="M188" i="16" s="1"/>
  <c r="J189" i="16"/>
  <c r="L189" i="16"/>
  <c r="J190" i="16"/>
  <c r="L190" i="16"/>
  <c r="J191" i="16"/>
  <c r="L191" i="16"/>
  <c r="J192" i="16"/>
  <c r="L192" i="16" s="1"/>
  <c r="J193" i="16"/>
  <c r="L193" i="16"/>
  <c r="J194" i="16"/>
  <c r="L194" i="16"/>
  <c r="J195" i="16"/>
  <c r="M195" i="16" s="1"/>
  <c r="L195" i="16"/>
  <c r="J196" i="16"/>
  <c r="M196" i="16" s="1"/>
  <c r="J197" i="16"/>
  <c r="L197" i="16"/>
  <c r="J198" i="16"/>
  <c r="L198" i="16"/>
  <c r="J199" i="16"/>
  <c r="L199" i="16"/>
  <c r="J200" i="16"/>
  <c r="L200" i="16" s="1"/>
  <c r="J201" i="16"/>
  <c r="L201" i="16"/>
  <c r="J202" i="16"/>
  <c r="L202" i="16"/>
  <c r="J203" i="16"/>
  <c r="L203" i="16"/>
  <c r="J204" i="16"/>
  <c r="M204" i="16" s="1"/>
  <c r="J205" i="16"/>
  <c r="L205" i="16"/>
  <c r="J206" i="16"/>
  <c r="L206" i="16"/>
  <c r="J207" i="16"/>
  <c r="L207" i="16"/>
  <c r="J208" i="16"/>
  <c r="M208" i="16" s="1"/>
  <c r="J209" i="16"/>
  <c r="L209" i="16"/>
  <c r="J210" i="16"/>
  <c r="L210" i="16"/>
  <c r="J211" i="16"/>
  <c r="L211" i="16"/>
  <c r="J212" i="16"/>
  <c r="M212" i="16" s="1"/>
  <c r="J213" i="16"/>
  <c r="L213" i="16"/>
  <c r="J214" i="16"/>
  <c r="L214" i="16"/>
  <c r="J215" i="16"/>
  <c r="M215" i="16" s="1"/>
  <c r="L215" i="16"/>
  <c r="J216" i="16"/>
  <c r="L216" i="16" s="1"/>
  <c r="J217" i="16"/>
  <c r="L217" i="16"/>
  <c r="J218" i="16"/>
  <c r="L218" i="16"/>
  <c r="J219" i="16"/>
  <c r="L219" i="16"/>
  <c r="J220" i="16"/>
  <c r="M220" i="16" s="1"/>
  <c r="J221" i="16"/>
  <c r="L221" i="16"/>
  <c r="J222" i="16"/>
  <c r="L222" i="16"/>
  <c r="J223" i="16"/>
  <c r="M223" i="16" s="1"/>
  <c r="L223" i="16"/>
  <c r="J224" i="16"/>
  <c r="L224" i="16" s="1"/>
  <c r="J225" i="16"/>
  <c r="L225" i="16"/>
  <c r="J226" i="16"/>
  <c r="L226" i="16"/>
  <c r="J227" i="16"/>
  <c r="L227" i="16"/>
  <c r="J228" i="16"/>
  <c r="M228" i="16" s="1"/>
  <c r="J229" i="16"/>
  <c r="L229" i="16"/>
  <c r="J230" i="16"/>
  <c r="L230" i="16"/>
  <c r="J231" i="16"/>
  <c r="L231" i="16"/>
  <c r="J232" i="16"/>
  <c r="L232" i="16" s="1"/>
  <c r="J233" i="16"/>
  <c r="L233" i="16"/>
  <c r="J234" i="16"/>
  <c r="L234" i="16"/>
  <c r="J235" i="16"/>
  <c r="L235" i="16"/>
  <c r="J236" i="16"/>
  <c r="M236" i="16" s="1"/>
  <c r="J237" i="16"/>
  <c r="L237" i="16"/>
  <c r="J238" i="16"/>
  <c r="L238" i="16"/>
  <c r="J239" i="16"/>
  <c r="L239" i="16"/>
  <c r="J240" i="16"/>
  <c r="L240" i="16" s="1"/>
  <c r="J241" i="16"/>
  <c r="L241" i="16"/>
  <c r="J242" i="16"/>
  <c r="L242" i="16"/>
  <c r="J243" i="16"/>
  <c r="L243" i="16"/>
  <c r="J244" i="16"/>
  <c r="M244" i="16" s="1"/>
  <c r="J245" i="16"/>
  <c r="L245" i="16"/>
  <c r="J246" i="16"/>
  <c r="L246" i="16"/>
  <c r="J247" i="16"/>
  <c r="L247" i="16"/>
  <c r="J248" i="16"/>
  <c r="L248" i="16" s="1"/>
  <c r="J249" i="16"/>
  <c r="L249" i="16"/>
  <c r="J250" i="16"/>
  <c r="L250" i="16"/>
  <c r="J251" i="16"/>
  <c r="M251" i="16" s="1"/>
  <c r="L251" i="16"/>
  <c r="J252" i="16"/>
  <c r="M252" i="16" s="1"/>
  <c r="J253" i="16"/>
  <c r="L253" i="16"/>
  <c r="J254" i="16"/>
  <c r="L254" i="16"/>
  <c r="J255" i="16"/>
  <c r="L255" i="16"/>
  <c r="J256" i="16"/>
  <c r="L256" i="16" s="1"/>
  <c r="J257" i="16"/>
  <c r="L257" i="16"/>
  <c r="J258" i="16"/>
  <c r="L258" i="16"/>
  <c r="J259" i="16"/>
  <c r="M259" i="16" s="1"/>
  <c r="L259" i="16"/>
  <c r="J260" i="16"/>
  <c r="M260" i="16" s="1"/>
  <c r="J261" i="16"/>
  <c r="L261" i="16"/>
  <c r="J262" i="16"/>
  <c r="L262" i="16"/>
  <c r="J263" i="16"/>
  <c r="L263" i="16"/>
  <c r="J264" i="16"/>
  <c r="J265" i="16"/>
  <c r="L265" i="16"/>
  <c r="J266" i="16"/>
  <c r="L266" i="16"/>
  <c r="J267" i="16"/>
  <c r="M267" i="16" s="1"/>
  <c r="L267" i="16"/>
  <c r="J268" i="16"/>
  <c r="J269" i="16"/>
  <c r="L269" i="16"/>
  <c r="J270" i="16"/>
  <c r="L270" i="16"/>
  <c r="J271" i="16"/>
  <c r="L271" i="16"/>
  <c r="J272" i="16"/>
  <c r="J273" i="16"/>
  <c r="L273" i="16"/>
  <c r="J274" i="16"/>
  <c r="L274" i="16"/>
  <c r="J275" i="16"/>
  <c r="L275" i="16"/>
  <c r="J276" i="16"/>
  <c r="J277" i="16"/>
  <c r="L277" i="16"/>
  <c r="J278" i="16"/>
  <c r="L278" i="16"/>
  <c r="J279" i="16"/>
  <c r="M279" i="16" s="1"/>
  <c r="L279" i="16"/>
  <c r="J280" i="16"/>
  <c r="J281" i="16"/>
  <c r="L281" i="16"/>
  <c r="J282" i="16"/>
  <c r="L282" i="16"/>
  <c r="J283" i="16"/>
  <c r="L283" i="16"/>
  <c r="J284" i="16"/>
  <c r="J285" i="16"/>
  <c r="L285" i="16"/>
  <c r="J286" i="16"/>
  <c r="L286" i="16"/>
  <c r="J287" i="16"/>
  <c r="M287" i="16" s="1"/>
  <c r="L287" i="16"/>
  <c r="J288" i="16"/>
  <c r="J289" i="16"/>
  <c r="L289" i="16"/>
  <c r="J290" i="16"/>
  <c r="L290" i="16"/>
  <c r="J291" i="16"/>
  <c r="L291" i="16"/>
  <c r="J292" i="16"/>
  <c r="J293" i="16"/>
  <c r="L293" i="16"/>
  <c r="J294" i="16"/>
  <c r="L294" i="16"/>
  <c r="J295" i="16"/>
  <c r="M295" i="16" s="1"/>
  <c r="L295" i="16"/>
  <c r="J296" i="16"/>
  <c r="J297" i="16"/>
  <c r="L297" i="16"/>
  <c r="J298" i="16"/>
  <c r="L298" i="16"/>
  <c r="J299" i="16"/>
  <c r="L299" i="16"/>
  <c r="J300" i="16"/>
  <c r="J301" i="16"/>
  <c r="L301" i="16"/>
  <c r="J302" i="16"/>
  <c r="L302" i="16"/>
  <c r="J303" i="16"/>
  <c r="L303" i="16"/>
  <c r="J304" i="16"/>
  <c r="J305" i="16"/>
  <c r="L305" i="16"/>
  <c r="J306" i="16"/>
  <c r="L306" i="16"/>
  <c r="J307" i="16"/>
  <c r="L307" i="16"/>
  <c r="J308" i="16"/>
  <c r="J309" i="16"/>
  <c r="L309" i="16"/>
  <c r="J310" i="16"/>
  <c r="L310" i="16"/>
  <c r="J311" i="16"/>
  <c r="L311" i="16"/>
  <c r="J312" i="16"/>
  <c r="J313" i="16"/>
  <c r="L313" i="16"/>
  <c r="M114" i="16"/>
  <c r="M115" i="16"/>
  <c r="M117" i="16"/>
  <c r="M118" i="16"/>
  <c r="M119" i="16"/>
  <c r="M120" i="16"/>
  <c r="M121" i="16"/>
  <c r="M122" i="16"/>
  <c r="M123" i="16"/>
  <c r="M125" i="16"/>
  <c r="M126" i="16"/>
  <c r="M127" i="16"/>
  <c r="M128" i="16"/>
  <c r="M129" i="16"/>
  <c r="M130" i="16"/>
  <c r="M131" i="16"/>
  <c r="M133" i="16"/>
  <c r="M134" i="16"/>
  <c r="M135" i="16"/>
  <c r="M136" i="16"/>
  <c r="M137" i="16"/>
  <c r="M138" i="16"/>
  <c r="M139" i="16"/>
  <c r="M141" i="16"/>
  <c r="M142" i="16"/>
  <c r="M143" i="16"/>
  <c r="M144" i="16"/>
  <c r="M145" i="16"/>
  <c r="M146" i="16"/>
  <c r="M147" i="16"/>
  <c r="M149" i="16"/>
  <c r="M150" i="16"/>
  <c r="M151" i="16"/>
  <c r="M152" i="16"/>
  <c r="M153" i="16"/>
  <c r="M154" i="16"/>
  <c r="M155" i="16"/>
  <c r="M157" i="16"/>
  <c r="M158" i="16"/>
  <c r="M159" i="16"/>
  <c r="M161" i="16"/>
  <c r="M162" i="16"/>
  <c r="M163" i="16"/>
  <c r="M165" i="16"/>
  <c r="M166" i="16"/>
  <c r="M167" i="16"/>
  <c r="M169" i="16"/>
  <c r="M170" i="16"/>
  <c r="M171" i="16"/>
  <c r="M173" i="16"/>
  <c r="M174" i="16"/>
  <c r="M175" i="16"/>
  <c r="M177" i="16"/>
  <c r="M178" i="16"/>
  <c r="M179" i="16"/>
  <c r="M181" i="16"/>
  <c r="M182" i="16"/>
  <c r="M183" i="16"/>
  <c r="M184" i="16"/>
  <c r="M185" i="16"/>
  <c r="M186" i="16"/>
  <c r="M189" i="16"/>
  <c r="M190" i="16"/>
  <c r="M191" i="16"/>
  <c r="M192" i="16"/>
  <c r="M193" i="16"/>
  <c r="M194" i="16"/>
  <c r="M197" i="16"/>
  <c r="M198" i="16"/>
  <c r="M199" i="16"/>
  <c r="M200" i="16"/>
  <c r="M201" i="16"/>
  <c r="M202" i="16"/>
  <c r="M203" i="16"/>
  <c r="M205" i="16"/>
  <c r="M206" i="16"/>
  <c r="M207" i="16"/>
  <c r="M209" i="16"/>
  <c r="M210" i="16"/>
  <c r="M211" i="16"/>
  <c r="M213" i="16"/>
  <c r="M214" i="16"/>
  <c r="M216" i="16"/>
  <c r="M217" i="16"/>
  <c r="M218" i="16"/>
  <c r="M219" i="16"/>
  <c r="M221" i="16"/>
  <c r="M222" i="16"/>
  <c r="M225" i="16"/>
  <c r="M226" i="16"/>
  <c r="M227" i="16"/>
  <c r="M229" i="16"/>
  <c r="M230" i="16"/>
  <c r="M231" i="16"/>
  <c r="M233" i="16"/>
  <c r="M234" i="16"/>
  <c r="M235" i="16"/>
  <c r="M237" i="16"/>
  <c r="M238" i="16"/>
  <c r="M239" i="16"/>
  <c r="M241" i="16"/>
  <c r="M242" i="16"/>
  <c r="M243" i="16"/>
  <c r="M245" i="16"/>
  <c r="M246" i="16"/>
  <c r="M247" i="16"/>
  <c r="M248" i="16"/>
  <c r="M249" i="16"/>
  <c r="M250" i="16"/>
  <c r="M253" i="16"/>
  <c r="M254" i="16"/>
  <c r="M255" i="16"/>
  <c r="M256" i="16"/>
  <c r="M257" i="16"/>
  <c r="M258" i="16"/>
  <c r="M261" i="16"/>
  <c r="M262" i="16"/>
  <c r="M263" i="16"/>
  <c r="M265" i="16"/>
  <c r="M266" i="16"/>
  <c r="M269" i="16"/>
  <c r="M270" i="16"/>
  <c r="M271" i="16"/>
  <c r="M273" i="16"/>
  <c r="M274" i="16"/>
  <c r="M275" i="16"/>
  <c r="M277" i="16"/>
  <c r="M278" i="16"/>
  <c r="M281" i="16"/>
  <c r="M282" i="16"/>
  <c r="M283" i="16"/>
  <c r="M285" i="16"/>
  <c r="M286" i="16"/>
  <c r="M289" i="16"/>
  <c r="M290" i="16"/>
  <c r="M291" i="16"/>
  <c r="M293" i="16"/>
  <c r="M294" i="16"/>
  <c r="M297" i="16"/>
  <c r="M298" i="16"/>
  <c r="M299" i="16"/>
  <c r="M301" i="16"/>
  <c r="M302" i="16"/>
  <c r="M303" i="16"/>
  <c r="M305" i="16"/>
  <c r="M306" i="16"/>
  <c r="M307" i="16"/>
  <c r="M309" i="16"/>
  <c r="M310" i="16"/>
  <c r="M311" i="16"/>
  <c r="M313" i="16"/>
  <c r="G114" i="16"/>
  <c r="K114" i="16"/>
  <c r="G115" i="16"/>
  <c r="K115" i="16"/>
  <c r="G116" i="16"/>
  <c r="K116" i="16"/>
  <c r="G117" i="16"/>
  <c r="K117" i="16"/>
  <c r="K118" i="16"/>
  <c r="G119" i="16"/>
  <c r="K119" i="16"/>
  <c r="G120" i="16"/>
  <c r="K120" i="16"/>
  <c r="G121" i="16"/>
  <c r="K121" i="16"/>
  <c r="K122" i="16"/>
  <c r="G123" i="16"/>
  <c r="K123" i="16"/>
  <c r="G124" i="16"/>
  <c r="K124" i="16"/>
  <c r="G125" i="16"/>
  <c r="K125" i="16"/>
  <c r="G126" i="16"/>
  <c r="K126" i="16"/>
  <c r="G127" i="16"/>
  <c r="K127" i="16"/>
  <c r="G128" i="16"/>
  <c r="K128" i="16"/>
  <c r="G129" i="16"/>
  <c r="K129" i="16"/>
  <c r="G130" i="16"/>
  <c r="K130" i="16"/>
  <c r="G131" i="16"/>
  <c r="K131" i="16"/>
  <c r="G132" i="16"/>
  <c r="K132" i="16"/>
  <c r="G133" i="16"/>
  <c r="K133" i="16"/>
  <c r="K134" i="16"/>
  <c r="G135" i="16"/>
  <c r="K135" i="16"/>
  <c r="G136" i="16"/>
  <c r="K136" i="16"/>
  <c r="G137" i="16"/>
  <c r="K137" i="16"/>
  <c r="K138" i="16"/>
  <c r="G139" i="16"/>
  <c r="K139" i="16"/>
  <c r="G140" i="16"/>
  <c r="K140" i="16"/>
  <c r="G141" i="16"/>
  <c r="K141" i="16"/>
  <c r="G142" i="16"/>
  <c r="K142" i="16"/>
  <c r="G143" i="16"/>
  <c r="K143" i="16"/>
  <c r="G144" i="16"/>
  <c r="K144" i="16"/>
  <c r="G145" i="16"/>
  <c r="K145" i="16"/>
  <c r="G146" i="16"/>
  <c r="K146" i="16"/>
  <c r="G147" i="16"/>
  <c r="K147" i="16"/>
  <c r="G148" i="16"/>
  <c r="K148" i="16"/>
  <c r="G149" i="16"/>
  <c r="K149" i="16"/>
  <c r="K150" i="16"/>
  <c r="G151" i="16"/>
  <c r="K151" i="16"/>
  <c r="G152" i="16"/>
  <c r="K152" i="16"/>
  <c r="G153" i="16"/>
  <c r="K153" i="16"/>
  <c r="K154" i="16"/>
  <c r="G155" i="16"/>
  <c r="K155" i="16"/>
  <c r="G156" i="16"/>
  <c r="K156" i="16"/>
  <c r="G157" i="16"/>
  <c r="K157" i="16"/>
  <c r="G158" i="16"/>
  <c r="K158" i="16"/>
  <c r="G159" i="16"/>
  <c r="K159" i="16"/>
  <c r="G160" i="16"/>
  <c r="K160" i="16"/>
  <c r="G161" i="16"/>
  <c r="K161" i="16"/>
  <c r="G162" i="16"/>
  <c r="K162" i="16"/>
  <c r="G163" i="16"/>
  <c r="K163" i="16"/>
  <c r="G164" i="16"/>
  <c r="K164" i="16"/>
  <c r="G165" i="16"/>
  <c r="K165" i="16"/>
  <c r="K166" i="16"/>
  <c r="G167" i="16"/>
  <c r="K167" i="16"/>
  <c r="G168" i="16"/>
  <c r="G169" i="16"/>
  <c r="K169" i="16"/>
  <c r="K170" i="16"/>
  <c r="G171" i="16"/>
  <c r="K171" i="16"/>
  <c r="G172" i="16"/>
  <c r="K172" i="16"/>
  <c r="G173" i="16"/>
  <c r="K173" i="16"/>
  <c r="G174" i="16"/>
  <c r="K174" i="16"/>
  <c r="G175" i="16"/>
  <c r="K175" i="16"/>
  <c r="G176" i="16"/>
  <c r="K176" i="16"/>
  <c r="G177" i="16"/>
  <c r="K177" i="16"/>
  <c r="G178" i="16"/>
  <c r="K178" i="16"/>
  <c r="G179" i="16"/>
  <c r="K179" i="16"/>
  <c r="G180" i="16"/>
  <c r="K180" i="16"/>
  <c r="G181" i="16"/>
  <c r="K181" i="16"/>
  <c r="K182" i="16"/>
  <c r="G183" i="16"/>
  <c r="K183" i="16"/>
  <c r="G184" i="16"/>
  <c r="K184" i="16"/>
  <c r="G185" i="16"/>
  <c r="K185" i="16"/>
  <c r="K186" i="16"/>
  <c r="G187" i="16"/>
  <c r="K187" i="16"/>
  <c r="G188" i="16"/>
  <c r="K188" i="16"/>
  <c r="G189" i="16"/>
  <c r="K189" i="16"/>
  <c r="G190" i="16"/>
  <c r="K190" i="16"/>
  <c r="G191" i="16"/>
  <c r="K191" i="16"/>
  <c r="G192" i="16"/>
  <c r="K192" i="16"/>
  <c r="G193" i="16"/>
  <c r="K193" i="16"/>
  <c r="G194" i="16"/>
  <c r="K194" i="16"/>
  <c r="G195" i="16"/>
  <c r="K195" i="16"/>
  <c r="G196" i="16"/>
  <c r="K196" i="16"/>
  <c r="G197" i="16"/>
  <c r="K197" i="16"/>
  <c r="K198" i="16"/>
  <c r="G199" i="16"/>
  <c r="K199" i="16"/>
  <c r="G200" i="16"/>
  <c r="K200" i="16"/>
  <c r="G201" i="16"/>
  <c r="K201" i="16"/>
  <c r="K202" i="16"/>
  <c r="G203" i="16"/>
  <c r="K203" i="16"/>
  <c r="G204" i="16"/>
  <c r="K204" i="16"/>
  <c r="G205" i="16"/>
  <c r="K205" i="16"/>
  <c r="G206" i="16"/>
  <c r="K206" i="16"/>
  <c r="G207" i="16"/>
  <c r="K207" i="16"/>
  <c r="G208" i="16"/>
  <c r="K208" i="16"/>
  <c r="G209" i="16"/>
  <c r="K209" i="16"/>
  <c r="G210" i="16"/>
  <c r="K210" i="16"/>
  <c r="G211" i="16"/>
  <c r="K211" i="16"/>
  <c r="G212" i="16"/>
  <c r="K212" i="16"/>
  <c r="G213" i="16"/>
  <c r="K213" i="16"/>
  <c r="K214" i="16"/>
  <c r="G215" i="16"/>
  <c r="K215" i="16"/>
  <c r="G216" i="16"/>
  <c r="K216" i="16"/>
  <c r="G217" i="16"/>
  <c r="K217" i="16"/>
  <c r="K218" i="16"/>
  <c r="G219" i="16"/>
  <c r="K219" i="16"/>
  <c r="G220" i="16"/>
  <c r="G221" i="16"/>
  <c r="K221" i="16"/>
  <c r="G222" i="16"/>
  <c r="K222" i="16"/>
  <c r="G223" i="16"/>
  <c r="K223" i="16"/>
  <c r="G224" i="16"/>
  <c r="G225" i="16"/>
  <c r="K225" i="16"/>
  <c r="G226" i="16"/>
  <c r="K226" i="16"/>
  <c r="G227" i="16"/>
  <c r="K227" i="16"/>
  <c r="G228" i="16"/>
  <c r="G229" i="16"/>
  <c r="K229" i="16"/>
  <c r="K230" i="16"/>
  <c r="G231" i="16"/>
  <c r="K231" i="16"/>
  <c r="G232" i="16"/>
  <c r="G233" i="16"/>
  <c r="K233" i="16"/>
  <c r="K234" i="16"/>
  <c r="G235" i="16"/>
  <c r="K235" i="16"/>
  <c r="G236" i="16"/>
  <c r="G237" i="16"/>
  <c r="K237" i="16"/>
  <c r="G238" i="16"/>
  <c r="K238" i="16"/>
  <c r="G239" i="16"/>
  <c r="K239" i="16"/>
  <c r="G240" i="16"/>
  <c r="G241" i="16"/>
  <c r="K241" i="16"/>
  <c r="G242" i="16"/>
  <c r="K242" i="16"/>
  <c r="G243" i="16"/>
  <c r="K243" i="16"/>
  <c r="G244" i="16"/>
  <c r="G245" i="16"/>
  <c r="K245" i="16"/>
  <c r="K246" i="16"/>
  <c r="G247" i="16"/>
  <c r="K247" i="16"/>
  <c r="G248" i="16"/>
  <c r="K248" i="16"/>
  <c r="G249" i="16"/>
  <c r="K249" i="16"/>
  <c r="K250" i="16"/>
  <c r="K251" i="16"/>
  <c r="G252" i="16"/>
  <c r="K252" i="16"/>
  <c r="G253" i="16"/>
  <c r="K253" i="16"/>
  <c r="G254" i="16"/>
  <c r="K254" i="16"/>
  <c r="G255" i="16"/>
  <c r="K255" i="16"/>
  <c r="G256" i="16"/>
  <c r="K256" i="16"/>
  <c r="K257" i="16"/>
  <c r="G258" i="16"/>
  <c r="K258" i="16"/>
  <c r="G259" i="16"/>
  <c r="K259" i="16"/>
  <c r="G260" i="16"/>
  <c r="K260" i="16"/>
  <c r="G261" i="16"/>
  <c r="K261" i="16"/>
  <c r="K262" i="16"/>
  <c r="G263" i="16"/>
  <c r="K263" i="16"/>
  <c r="G264" i="16"/>
  <c r="G265" i="16"/>
  <c r="K265" i="16"/>
  <c r="K266" i="16"/>
  <c r="G267" i="16"/>
  <c r="K267" i="16"/>
  <c r="G268" i="16"/>
  <c r="K268" i="16"/>
  <c r="G269" i="16"/>
  <c r="K269" i="16"/>
  <c r="G270" i="16"/>
  <c r="K270" i="16"/>
  <c r="G271" i="16"/>
  <c r="K271" i="16"/>
  <c r="G272" i="16"/>
  <c r="K272" i="16"/>
  <c r="G273" i="16"/>
  <c r="K273" i="16"/>
  <c r="G274" i="16"/>
  <c r="K274" i="16"/>
  <c r="G275" i="16"/>
  <c r="K275" i="16"/>
  <c r="G276" i="16"/>
  <c r="K276" i="16"/>
  <c r="G277" i="16"/>
  <c r="K277" i="16"/>
  <c r="K278" i="16"/>
  <c r="G279" i="16"/>
  <c r="K279" i="16"/>
  <c r="G280" i="16"/>
  <c r="G281" i="16"/>
  <c r="K281" i="16"/>
  <c r="K282" i="16"/>
  <c r="G283" i="16"/>
  <c r="K283" i="16"/>
  <c r="G284" i="16"/>
  <c r="G285" i="16"/>
  <c r="K285" i="16"/>
  <c r="G286" i="16"/>
  <c r="K286" i="16"/>
  <c r="G287" i="16"/>
  <c r="K287" i="16"/>
  <c r="G288" i="16"/>
  <c r="G289" i="16"/>
  <c r="K289" i="16"/>
  <c r="G290" i="16"/>
  <c r="K290" i="16"/>
  <c r="G291" i="16"/>
  <c r="K291" i="16"/>
  <c r="G292" i="16"/>
  <c r="G293" i="16"/>
  <c r="K293" i="16"/>
  <c r="K294" i="16"/>
  <c r="G295" i="16"/>
  <c r="K295" i="16"/>
  <c r="G296" i="16"/>
  <c r="G297" i="16"/>
  <c r="K297" i="16"/>
  <c r="K298" i="16"/>
  <c r="G299" i="16"/>
  <c r="K299" i="16"/>
  <c r="G300" i="16"/>
  <c r="K300" i="16"/>
  <c r="G301" i="16"/>
  <c r="K301" i="16"/>
  <c r="G302" i="16"/>
  <c r="K302" i="16"/>
  <c r="G303" i="16"/>
  <c r="K303" i="16"/>
  <c r="G304" i="16"/>
  <c r="K304" i="16"/>
  <c r="G305" i="16"/>
  <c r="K305" i="16"/>
  <c r="G306" i="16"/>
  <c r="K306" i="16"/>
  <c r="G307" i="16"/>
  <c r="K307" i="16"/>
  <c r="G308" i="16"/>
  <c r="K308" i="16"/>
  <c r="G309" i="16"/>
  <c r="K309" i="16"/>
  <c r="K310" i="16"/>
  <c r="G311" i="16"/>
  <c r="K311" i="16"/>
  <c r="G312" i="16"/>
  <c r="G313" i="16"/>
  <c r="K313" i="16"/>
  <c r="Z10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17" i="11"/>
  <c r="C18" i="11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14" i="6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C9" i="8"/>
  <c r="F11" i="8"/>
  <c r="P12" i="16"/>
  <c r="Q14" i="16" a="1"/>
  <c r="P16" i="16" a="1"/>
  <c r="T19" i="16" a="1"/>
  <c r="P22" i="16" a="1"/>
  <c r="S23" i="16" a="1"/>
  <c r="Q27" i="16" a="1"/>
  <c r="S30" i="16" a="1"/>
  <c r="T32" i="16" a="1"/>
  <c r="T34" i="16" a="1"/>
  <c r="R36" i="16" a="1"/>
  <c r="Q39" i="16" a="1"/>
  <c r="S41" i="16" a="1"/>
  <c r="R43" i="16" a="1"/>
  <c r="P45" i="16" a="1"/>
  <c r="Q46" i="16" a="1"/>
  <c r="Q49" i="16" a="1"/>
  <c r="R50" i="16" a="1"/>
  <c r="R53" i="16" a="1"/>
  <c r="T54" i="16" a="1"/>
  <c r="Q12" i="16"/>
  <c r="R14" i="16" a="1"/>
  <c r="Q16" i="16" a="1"/>
  <c r="P18" i="16" a="1"/>
  <c r="P20" i="16" a="1"/>
  <c r="Q22" i="16" a="1"/>
  <c r="P26" i="16" a="1"/>
  <c r="S27" i="16" a="1"/>
  <c r="T30" i="16" a="1"/>
  <c r="P33" i="16" a="1"/>
  <c r="R35" i="16" a="1"/>
  <c r="T36" i="16" a="1"/>
  <c r="S39" i="16" a="1"/>
  <c r="T41" i="16" a="1"/>
  <c r="S43" i="16" a="1"/>
  <c r="Q45" i="16" a="1"/>
  <c r="R46" i="16" a="1"/>
  <c r="S50" i="16" a="1"/>
  <c r="T53" i="16" a="1"/>
  <c r="Q55" i="16" a="1"/>
  <c r="R58" i="16" a="1"/>
  <c r="P60" i="16" a="1"/>
  <c r="T62" i="16" a="1"/>
  <c r="Q64" i="16" a="1"/>
  <c r="T67" i="16" a="1"/>
  <c r="P69" i="16" a="1"/>
  <c r="S72" i="16" a="1"/>
  <c r="T73" i="16" a="1"/>
  <c r="S75" i="16" a="1"/>
  <c r="P77" i="16" a="1"/>
  <c r="R78" i="16" a="1"/>
  <c r="Q81" i="16" a="1"/>
  <c r="T84" i="16" a="1"/>
  <c r="T87" i="16" a="1"/>
  <c r="Q90" i="16" a="1"/>
  <c r="R93" i="16" a="1"/>
  <c r="Q100" i="16" a="1"/>
  <c r="P103" i="16" a="1"/>
  <c r="T105" i="16" a="1"/>
  <c r="S107" i="16" a="1"/>
  <c r="P109" i="16" a="1"/>
  <c r="Q110" i="16" a="1"/>
  <c r="S113" i="16" a="1"/>
  <c r="F15" i="8" a="1"/>
  <c r="R12" i="16"/>
  <c r="T14" i="16" a="1"/>
  <c r="R16" i="16" a="1"/>
  <c r="Q18" i="16" a="1"/>
  <c r="S20" i="16" a="1"/>
  <c r="R22" i="16" a="1"/>
  <c r="P24" i="16" a="1"/>
  <c r="Q26" i="16" a="1"/>
  <c r="T27" i="16" a="1"/>
  <c r="Q31" i="16" a="1"/>
  <c r="T33" i="16" a="1"/>
  <c r="P35" i="16" a="1"/>
  <c r="S37" i="16" a="1"/>
  <c r="P40" i="16" a="1"/>
  <c r="T43" i="16" a="1"/>
  <c r="S46" i="16" a="1"/>
  <c r="R49" i="16" a="1"/>
  <c r="T50" i="16" a="1"/>
  <c r="P54" i="16" a="1"/>
  <c r="S58" i="16" a="1"/>
  <c r="Q60" i="16" a="1"/>
  <c r="R64" i="16" a="1"/>
  <c r="R66" i="16" a="1"/>
  <c r="T72" i="16" a="1"/>
  <c r="T78" i="16" a="1"/>
  <c r="R81" i="16" a="1"/>
  <c r="T83" i="16" a="1"/>
  <c r="P88" i="16" a="1"/>
  <c r="P93" i="16" a="1"/>
  <c r="P95" i="16" a="1"/>
  <c r="S96" i="16" a="1"/>
  <c r="S97" i="16" a="1"/>
  <c r="R100" i="16" a="1"/>
  <c r="Q103" i="16" a="1"/>
  <c r="S106" i="16" a="1"/>
  <c r="R107" i="16" a="1"/>
  <c r="Q109" i="16" a="1"/>
  <c r="R110" i="16" a="1"/>
  <c r="T113" i="16" a="1"/>
  <c r="S12" i="16"/>
  <c r="V14" i="16" a="1"/>
  <c r="T16" i="16" a="1"/>
  <c r="R18" i="16" a="1"/>
  <c r="S22" i="16" a="1"/>
  <c r="T24" i="16" a="1"/>
  <c r="R26" i="16" a="1"/>
  <c r="P28" i="16" a="1"/>
  <c r="R31" i="16" a="1"/>
  <c r="P37" i="16" a="1"/>
  <c r="R40" i="16" a="1"/>
  <c r="P42" i="16" a="1"/>
  <c r="P44" i="16" a="1"/>
  <c r="R45" i="16" a="1"/>
  <c r="T46" i="16" a="1"/>
  <c r="S49" i="16" a="1"/>
  <c r="P56" i="16" a="1"/>
  <c r="T58" i="16" a="1"/>
  <c r="P61" i="16" a="1"/>
  <c r="Q63" i="16" a="1"/>
  <c r="S64" i="16" a="1"/>
  <c r="S66" i="16" a="1"/>
  <c r="P68" i="16" a="1"/>
  <c r="Q73" i="16" a="1"/>
  <c r="P74" i="16" a="1"/>
  <c r="T75" i="16" a="1"/>
  <c r="Q77" i="16" a="1"/>
  <c r="Q79" i="16" a="1"/>
  <c r="S81" i="16" a="1"/>
  <c r="T88" i="16" a="1"/>
  <c r="Q93" i="16" a="1"/>
  <c r="Q95" i="16" a="1"/>
  <c r="T96" i="16" a="1"/>
  <c r="S100" i="16" a="1"/>
  <c r="R103" i="16" a="1"/>
  <c r="P106" i="16" a="1"/>
  <c r="T107" i="16" a="1"/>
  <c r="T110" i="16" a="1"/>
  <c r="T12" i="16"/>
  <c r="V12" i="16" a="1"/>
  <c r="Q17" i="16" a="1"/>
  <c r="Q23" i="16" a="1"/>
  <c r="S26" i="16" a="1"/>
  <c r="P30" i="16" a="1"/>
  <c r="P34" i="16" a="1"/>
  <c r="Q36" i="16" a="1"/>
  <c r="S40" i="16" a="1"/>
  <c r="T42" i="16" a="1"/>
  <c r="T49" i="16" a="1"/>
  <c r="S57" i="16" a="1"/>
  <c r="T59" i="16" a="1"/>
  <c r="T74" i="16" a="1"/>
  <c r="T77" i="16" a="1"/>
  <c r="T80" i="16" a="1"/>
  <c r="P84" i="16" a="1"/>
  <c r="P87" i="16" a="1"/>
  <c r="S89" i="16" a="1"/>
  <c r="S95" i="16" a="1"/>
  <c r="R97" i="16" a="1"/>
  <c r="Q105" i="16" a="1"/>
  <c r="T109" i="16" a="1"/>
  <c r="T25" i="16" a="1"/>
  <c r="S14" i="16" a="1"/>
  <c r="R17" i="16" a="1"/>
  <c r="T20" i="16" a="1"/>
  <c r="R23" i="16" a="1"/>
  <c r="T26" i="16" a="1"/>
  <c r="Q34" i="16" a="1"/>
  <c r="T40" i="16" a="1"/>
  <c r="Q54" i="16" a="1"/>
  <c r="R63" i="16" a="1"/>
  <c r="P66" i="16" a="1"/>
  <c r="Q68" i="16" a="1"/>
  <c r="R71" i="16" a="1"/>
  <c r="P75" i="16" a="1"/>
  <c r="P81" i="16" a="1"/>
  <c r="Q87" i="16" a="1"/>
  <c r="S93" i="16" a="1"/>
  <c r="T95" i="16" a="1"/>
  <c r="P102" i="16" a="1"/>
  <c r="Q108" i="16" a="1"/>
  <c r="S110" i="16" a="1"/>
  <c r="T22" i="16" a="1"/>
  <c r="P14" i="16" a="1"/>
  <c r="S17" i="16" a="1"/>
  <c r="S21" i="16" a="1"/>
  <c r="S31" i="16" a="1"/>
  <c r="R34" i="16" a="1"/>
  <c r="Q37" i="16" a="1"/>
  <c r="Q41" i="16" a="1"/>
  <c r="P46" i="16" a="1"/>
  <c r="P50" i="16" a="1"/>
  <c r="R54" i="16" a="1"/>
  <c r="P58" i="16" a="1"/>
  <c r="S63" i="16" a="1"/>
  <c r="Q66" i="16" a="1"/>
  <c r="R68" i="16" a="1"/>
  <c r="S71" i="16" a="1"/>
  <c r="R73" i="16" a="1"/>
  <c r="P76" i="16" a="1"/>
  <c r="S78" i="16" a="1"/>
  <c r="Q84" i="16" a="1"/>
  <c r="R87" i="16" a="1"/>
  <c r="T93" i="16" a="1"/>
  <c r="P98" i="16" a="1"/>
  <c r="R102" i="16" a="1"/>
  <c r="Q106" i="16" a="1"/>
  <c r="S108" i="16" a="1"/>
  <c r="P110" i="16" a="1"/>
  <c r="T106" i="16" a="1"/>
  <c r="Q15" i="16" a="1"/>
  <c r="R21" i="16" a="1"/>
  <c r="R27" i="16" a="1"/>
  <c r="S32" i="16" a="1"/>
  <c r="S34" i="16" a="1"/>
  <c r="R37" i="16" a="1"/>
  <c r="R41" i="16" a="1"/>
  <c r="R44" i="16" a="1"/>
  <c r="Q50" i="16" a="1"/>
  <c r="Q58" i="16" a="1"/>
  <c r="T61" i="16" a="1"/>
  <c r="T66" i="16" a="1"/>
  <c r="P72" i="16" a="1"/>
  <c r="S73" i="16" a="1"/>
  <c r="R76" i="16" a="1"/>
  <c r="Q78" i="16" a="1"/>
  <c r="P82" i="16" a="1"/>
  <c r="R84" i="16" a="1"/>
  <c r="S87" i="16" a="1"/>
  <c r="P92" i="16" a="1"/>
  <c r="R94" i="16" a="1"/>
  <c r="P96" i="16" a="1"/>
  <c r="T98" i="16" a="1"/>
  <c r="R106" i="16" a="1"/>
  <c r="T16" i="11" a="1"/>
  <c r="S62" i="16" a="1"/>
  <c r="Q89" i="16" a="1"/>
  <c r="R109" i="16" a="1"/>
  <c r="S15" i="16" a="1"/>
  <c r="S18" i="16" a="1"/>
  <c r="T21" i="16" a="1"/>
  <c r="Q25" i="16" a="1"/>
  <c r="Q32" i="16" a="1"/>
  <c r="T37" i="16" a="1"/>
  <c r="S44" i="16" a="1"/>
  <c r="P51" i="16" a="1"/>
  <c r="S54" i="16" a="1"/>
  <c r="R59" i="16" a="1"/>
  <c r="P64" i="16" a="1"/>
  <c r="R67" i="16" a="1"/>
  <c r="S68" i="16" a="1"/>
  <c r="Q72" i="16" a="1"/>
  <c r="S76" i="16" a="1"/>
  <c r="S84" i="16" a="1"/>
  <c r="T108" i="16" a="1"/>
  <c r="P111" i="16" a="1"/>
  <c r="I8" i="11" a="1"/>
  <c r="T18" i="16" a="1"/>
  <c r="S25" i="16" a="1"/>
  <c r="T28" i="16" a="1"/>
  <c r="R32" i="16" a="1"/>
  <c r="S35" i="16" a="1"/>
  <c r="T38" i="16" a="1"/>
  <c r="Q42" i="16" a="1"/>
  <c r="T44" i="16" a="1"/>
  <c r="T51" i="16" a="1"/>
  <c r="P59" i="16" a="1"/>
  <c r="R62" i="16" a="1"/>
  <c r="Q67" i="16" a="1"/>
  <c r="T68" i="16" a="1"/>
  <c r="R72" i="16" a="1"/>
  <c r="Q74" i="16" a="1"/>
  <c r="T76" i="16" a="1"/>
  <c r="S79" i="16" a="1"/>
  <c r="P83" i="16" a="1"/>
  <c r="P89" i="16" a="1"/>
  <c r="Q92" i="16" a="1"/>
  <c r="S94" i="16" a="1"/>
  <c r="P97" i="16" a="1"/>
  <c r="P100" i="16" a="1"/>
  <c r="S103" i="16" a="1"/>
  <c r="S16" i="16" a="1"/>
  <c r="T35" i="16" a="1"/>
  <c r="R42" i="16" a="1"/>
  <c r="S45" i="16" a="1"/>
  <c r="R48" i="16" a="1"/>
  <c r="Q59" i="16" a="1"/>
  <c r="T64" i="16" a="1"/>
  <c r="R74" i="16" a="1"/>
  <c r="S77" i="16" a="1"/>
  <c r="R83" i="16" a="1"/>
  <c r="R92" i="16" a="1"/>
  <c r="Q97" i="16" a="1"/>
  <c r="T103" i="16" a="1"/>
  <c r="P113" i="16" a="1"/>
  <c r="S42" i="16" a="1"/>
  <c r="P57" i="16" a="1"/>
  <c r="R89" i="16" a="1"/>
  <c r="R95" i="16" a="1"/>
  <c r="S109" i="16" a="1"/>
  <c r="S36" i="16" a="1"/>
  <c r="T29" i="16" a="1"/>
  <c r="P65" i="16" a="1"/>
  <c r="R77" i="16" a="1"/>
  <c r="T104" i="16" a="1"/>
  <c r="S59" i="16" a="1"/>
  <c r="S67" i="16" a="1"/>
  <c r="R113" i="16" a="1"/>
  <c r="S74" i="16" a="1"/>
  <c r="S80" i="16" a="1"/>
  <c r="P19" i="16" a="1"/>
  <c r="P101" i="16" a="1"/>
  <c r="T45" i="16" a="1"/>
  <c r="S53" i="16" a="1"/>
  <c r="P73" i="16" a="1"/>
  <c r="S92" i="16" a="1"/>
  <c r="S92" i="16" l="1"/>
  <c r="P73" i="16"/>
  <c r="S53" i="16"/>
  <c r="T45" i="16"/>
  <c r="P101" i="16"/>
  <c r="P19" i="16"/>
  <c r="S80" i="16"/>
  <c r="S74" i="16"/>
  <c r="R113" i="16"/>
  <c r="S67" i="16"/>
  <c r="S59" i="16"/>
  <c r="T104" i="16"/>
  <c r="R77" i="16"/>
  <c r="P65" i="16"/>
  <c r="T29" i="16"/>
  <c r="S36" i="16"/>
  <c r="S109" i="16"/>
  <c r="R95" i="16"/>
  <c r="R89" i="16"/>
  <c r="P57" i="16"/>
  <c r="S42" i="16"/>
  <c r="P113" i="16"/>
  <c r="T103" i="16"/>
  <c r="Q97" i="16"/>
  <c r="R92" i="16"/>
  <c r="R83" i="16"/>
  <c r="S77" i="16"/>
  <c r="R74" i="16"/>
  <c r="T64" i="16"/>
  <c r="Q59" i="16"/>
  <c r="R48" i="16"/>
  <c r="S45" i="16"/>
  <c r="R42" i="16"/>
  <c r="T35" i="16"/>
  <c r="S16" i="16"/>
  <c r="S103" i="16"/>
  <c r="P100" i="16"/>
  <c r="P97" i="16"/>
  <c r="S94" i="16"/>
  <c r="Q92" i="16"/>
  <c r="P89" i="16"/>
  <c r="P83" i="16"/>
  <c r="S79" i="16"/>
  <c r="T76" i="16"/>
  <c r="Q74" i="16"/>
  <c r="R72" i="16"/>
  <c r="T68" i="16"/>
  <c r="Q67" i="16"/>
  <c r="R62" i="16"/>
  <c r="P59" i="16"/>
  <c r="T51" i="16"/>
  <c r="T44" i="16"/>
  <c r="Q42" i="16"/>
  <c r="T38" i="16"/>
  <c r="S35" i="16"/>
  <c r="R32" i="16"/>
  <c r="T28" i="16"/>
  <c r="S25" i="16"/>
  <c r="T18" i="16"/>
  <c r="P111" i="16"/>
  <c r="T108" i="16"/>
  <c r="S84" i="16"/>
  <c r="S76" i="16"/>
  <c r="Q72" i="16"/>
  <c r="S68" i="16"/>
  <c r="R67" i="16"/>
  <c r="P64" i="16"/>
  <c r="R59" i="16"/>
  <c r="S54" i="16"/>
  <c r="P51" i="16"/>
  <c r="S44" i="16"/>
  <c r="T37" i="16"/>
  <c r="Q32" i="16"/>
  <c r="Q25" i="16"/>
  <c r="T21" i="16"/>
  <c r="S18" i="16"/>
  <c r="S15" i="16"/>
  <c r="R109" i="16"/>
  <c r="Q89" i="16"/>
  <c r="S62" i="16"/>
  <c r="R106" i="16"/>
  <c r="T98" i="16"/>
  <c r="P96" i="16"/>
  <c r="R94" i="16"/>
  <c r="P92" i="16"/>
  <c r="S87" i="16"/>
  <c r="R84" i="16"/>
  <c r="P82" i="16"/>
  <c r="Q78" i="16"/>
  <c r="R76" i="16"/>
  <c r="S73" i="16"/>
  <c r="P72" i="16"/>
  <c r="T66" i="16"/>
  <c r="T61" i="16"/>
  <c r="Q58" i="16"/>
  <c r="Q50" i="16"/>
  <c r="R44" i="16"/>
  <c r="R41" i="16"/>
  <c r="R37" i="16"/>
  <c r="S34" i="16"/>
  <c r="S32" i="16"/>
  <c r="R27" i="16"/>
  <c r="R21" i="16"/>
  <c r="Q15" i="16"/>
  <c r="T106" i="16"/>
  <c r="P110" i="16"/>
  <c r="S108" i="16"/>
  <c r="Q106" i="16"/>
  <c r="R102" i="16"/>
  <c r="P98" i="16"/>
  <c r="T93" i="16"/>
  <c r="R87" i="16"/>
  <c r="Q84" i="16"/>
  <c r="S78" i="16"/>
  <c r="P76" i="16"/>
  <c r="R73" i="16"/>
  <c r="S71" i="16"/>
  <c r="R68" i="16"/>
  <c r="Q66" i="16"/>
  <c r="S63" i="16"/>
  <c r="P58" i="16"/>
  <c r="R54" i="16"/>
  <c r="P50" i="16"/>
  <c r="P46" i="16"/>
  <c r="Q41" i="16"/>
  <c r="Q37" i="16"/>
  <c r="R34" i="16"/>
  <c r="S31" i="16"/>
  <c r="S21" i="16"/>
  <c r="S17" i="16"/>
  <c r="P14" i="16"/>
  <c r="T22" i="16"/>
  <c r="S110" i="16"/>
  <c r="Q108" i="16"/>
  <c r="P102" i="16"/>
  <c r="T95" i="16"/>
  <c r="S93" i="16"/>
  <c r="Q87" i="16"/>
  <c r="P81" i="16"/>
  <c r="P75" i="16"/>
  <c r="R71" i="16"/>
  <c r="Q68" i="16"/>
  <c r="P66" i="16"/>
  <c r="R63" i="16"/>
  <c r="Q54" i="16"/>
  <c r="T40" i="16"/>
  <c r="Q34" i="16"/>
  <c r="T26" i="16"/>
  <c r="R23" i="16"/>
  <c r="T20" i="16"/>
  <c r="R17" i="16"/>
  <c r="S14" i="16"/>
  <c r="T25" i="16"/>
  <c r="T109" i="16"/>
  <c r="Q105" i="16"/>
  <c r="R97" i="16"/>
  <c r="S95" i="16"/>
  <c r="S89" i="16"/>
  <c r="P87" i="16"/>
  <c r="P84" i="16"/>
  <c r="T80" i="16"/>
  <c r="T77" i="16"/>
  <c r="T74" i="16"/>
  <c r="T59" i="16"/>
  <c r="S57" i="16"/>
  <c r="T49" i="16"/>
  <c r="T42" i="16"/>
  <c r="S40" i="16"/>
  <c r="Q36" i="16"/>
  <c r="P34" i="16"/>
  <c r="P30" i="16"/>
  <c r="S26" i="16"/>
  <c r="Q23" i="16"/>
  <c r="Q17" i="16"/>
  <c r="V12" i="16"/>
  <c r="T110" i="16"/>
  <c r="T107" i="16"/>
  <c r="P106" i="16"/>
  <c r="R103" i="16"/>
  <c r="S100" i="16"/>
  <c r="T96" i="16"/>
  <c r="Q95" i="16"/>
  <c r="Q93" i="16"/>
  <c r="T88" i="16"/>
  <c r="S81" i="16"/>
  <c r="Q79" i="16"/>
  <c r="Q77" i="16"/>
  <c r="T75" i="16"/>
  <c r="P74" i="16"/>
  <c r="Q73" i="16"/>
  <c r="P68" i="16"/>
  <c r="S66" i="16"/>
  <c r="S64" i="16"/>
  <c r="Q63" i="16"/>
  <c r="P61" i="16"/>
  <c r="T58" i="16"/>
  <c r="P56" i="16"/>
  <c r="S49" i="16"/>
  <c r="T46" i="16"/>
  <c r="R45" i="16"/>
  <c r="P44" i="16"/>
  <c r="P42" i="16"/>
  <c r="R40" i="16"/>
  <c r="P37" i="16"/>
  <c r="R31" i="16"/>
  <c r="P28" i="16"/>
  <c r="R26" i="16"/>
  <c r="T24" i="16"/>
  <c r="S22" i="16"/>
  <c r="R18" i="16"/>
  <c r="T16" i="16"/>
  <c r="V14" i="16"/>
  <c r="T113" i="16"/>
  <c r="R110" i="16"/>
  <c r="Q109" i="16"/>
  <c r="R107" i="16"/>
  <c r="S106" i="16"/>
  <c r="Q103" i="16"/>
  <c r="R100" i="16"/>
  <c r="S97" i="16"/>
  <c r="S96" i="16"/>
  <c r="P95" i="16"/>
  <c r="P93" i="16"/>
  <c r="P88" i="16"/>
  <c r="T83" i="16"/>
  <c r="R81" i="16"/>
  <c r="T78" i="16"/>
  <c r="T72" i="16"/>
  <c r="R66" i="16"/>
  <c r="R64" i="16"/>
  <c r="Q60" i="16"/>
  <c r="S58" i="16"/>
  <c r="P54" i="16"/>
  <c r="T50" i="16"/>
  <c r="R49" i="16"/>
  <c r="S46" i="16"/>
  <c r="T43" i="16"/>
  <c r="P40" i="16"/>
  <c r="S37" i="16"/>
  <c r="P35" i="16"/>
  <c r="T33" i="16"/>
  <c r="Q31" i="16"/>
  <c r="T27" i="16"/>
  <c r="Q26" i="16"/>
  <c r="P24" i="16"/>
  <c r="R22" i="16"/>
  <c r="S20" i="16"/>
  <c r="Q18" i="16"/>
  <c r="R16" i="16"/>
  <c r="T14" i="16"/>
  <c r="F15" i="8"/>
  <c r="S113" i="16"/>
  <c r="Q110" i="16"/>
  <c r="P109" i="16"/>
  <c r="S107" i="16"/>
  <c r="T105" i="16"/>
  <c r="P103" i="16"/>
  <c r="Q100" i="16"/>
  <c r="R93" i="16"/>
  <c r="Q90" i="16"/>
  <c r="T87" i="16"/>
  <c r="T84" i="16"/>
  <c r="Q81" i="16"/>
  <c r="R78" i="16"/>
  <c r="P77" i="16"/>
  <c r="S75" i="16"/>
  <c r="T73" i="16"/>
  <c r="S72" i="16"/>
  <c r="P69" i="16"/>
  <c r="T67" i="16"/>
  <c r="Q64" i="16"/>
  <c r="T62" i="16"/>
  <c r="P60" i="16"/>
  <c r="R58" i="16"/>
  <c r="Q55" i="16"/>
  <c r="T53" i="16"/>
  <c r="S50" i="16"/>
  <c r="R46" i="16"/>
  <c r="Q45" i="16"/>
  <c r="S43" i="16"/>
  <c r="T41" i="16"/>
  <c r="S39" i="16"/>
  <c r="T36" i="16"/>
  <c r="R35" i="16"/>
  <c r="P33" i="16"/>
  <c r="T30" i="16"/>
  <c r="S27" i="16"/>
  <c r="P26" i="16"/>
  <c r="Q22" i="16"/>
  <c r="P20" i="16"/>
  <c r="P18" i="16"/>
  <c r="Q16" i="16"/>
  <c r="R14" i="16"/>
  <c r="T54" i="16"/>
  <c r="R53" i="16"/>
  <c r="R50" i="16"/>
  <c r="Q49" i="16"/>
  <c r="Q46" i="16"/>
  <c r="P45" i="16"/>
  <c r="R43" i="16"/>
  <c r="S41" i="16"/>
  <c r="Q39" i="16"/>
  <c r="R36" i="16"/>
  <c r="T34" i="16"/>
  <c r="T32" i="16"/>
  <c r="S30" i="16"/>
  <c r="Q27" i="16"/>
  <c r="S23" i="16"/>
  <c r="P22" i="16"/>
  <c r="T19" i="16"/>
  <c r="P16" i="16"/>
  <c r="Q14" i="16"/>
  <c r="F21" i="16"/>
  <c r="F29" i="16"/>
  <c r="F37" i="16"/>
  <c r="F45" i="16"/>
  <c r="F53" i="16"/>
  <c r="F61" i="16"/>
  <c r="F69" i="16"/>
  <c r="F77" i="16"/>
  <c r="F85" i="16"/>
  <c r="F93" i="16"/>
  <c r="F101" i="16"/>
  <c r="F109" i="16"/>
  <c r="F16" i="16"/>
  <c r="F24" i="16"/>
  <c r="F32" i="16"/>
  <c r="F40" i="16"/>
  <c r="F48" i="16"/>
  <c r="F56" i="16"/>
  <c r="F64" i="16"/>
  <c r="F72" i="16"/>
  <c r="F80" i="16"/>
  <c r="F88" i="16"/>
  <c r="F96" i="16"/>
  <c r="F104" i="16"/>
  <c r="F112" i="16"/>
  <c r="F19" i="16"/>
  <c r="F27" i="16"/>
  <c r="F35" i="16"/>
  <c r="F43" i="16"/>
  <c r="F51" i="16"/>
  <c r="F59" i="16"/>
  <c r="F67" i="16"/>
  <c r="F75" i="16"/>
  <c r="F83" i="16"/>
  <c r="F91" i="16"/>
  <c r="F99" i="16"/>
  <c r="F107" i="16"/>
  <c r="F20" i="16"/>
  <c r="F33" i="16"/>
  <c r="F46" i="16"/>
  <c r="F58" i="16"/>
  <c r="F71" i="16"/>
  <c r="F84" i="16"/>
  <c r="F97" i="16"/>
  <c r="F110" i="16"/>
  <c r="J20" i="16"/>
  <c r="J28" i="16"/>
  <c r="J36" i="16"/>
  <c r="J44" i="16"/>
  <c r="J52" i="16"/>
  <c r="J60" i="16"/>
  <c r="J68" i="16"/>
  <c r="J76" i="16"/>
  <c r="J84" i="16"/>
  <c r="J92" i="16"/>
  <c r="J100" i="16"/>
  <c r="J108" i="16"/>
  <c r="F25" i="16"/>
  <c r="F38" i="16"/>
  <c r="F50" i="16"/>
  <c r="F63" i="16"/>
  <c r="F76" i="16"/>
  <c r="F89" i="16"/>
  <c r="F102" i="16"/>
  <c r="J15" i="16"/>
  <c r="J23" i="16"/>
  <c r="J31" i="16"/>
  <c r="J39" i="16"/>
  <c r="J47" i="16"/>
  <c r="J55" i="16"/>
  <c r="J63" i="16"/>
  <c r="J71" i="16"/>
  <c r="J79" i="16"/>
  <c r="J87" i="16"/>
  <c r="J95" i="16"/>
  <c r="J103" i="16"/>
  <c r="J111" i="16"/>
  <c r="F17" i="16"/>
  <c r="F30" i="16"/>
  <c r="F42" i="16"/>
  <c r="F55" i="16"/>
  <c r="F68" i="16"/>
  <c r="F81" i="16"/>
  <c r="F94" i="16"/>
  <c r="F106" i="16"/>
  <c r="J18" i="16"/>
  <c r="J26" i="16"/>
  <c r="J34" i="16"/>
  <c r="J42" i="16"/>
  <c r="J50" i="16"/>
  <c r="J58" i="16"/>
  <c r="J66" i="16"/>
  <c r="J74" i="16"/>
  <c r="J82" i="16"/>
  <c r="J90" i="16"/>
  <c r="J98" i="16"/>
  <c r="J106" i="16"/>
  <c r="F22" i="16"/>
  <c r="F34" i="16"/>
  <c r="F47" i="16"/>
  <c r="F60" i="16"/>
  <c r="F73" i="16"/>
  <c r="F86" i="16"/>
  <c r="F98" i="16"/>
  <c r="F111" i="16"/>
  <c r="F36" i="16"/>
  <c r="F62" i="16"/>
  <c r="F87" i="16"/>
  <c r="F113" i="16"/>
  <c r="J21" i="16"/>
  <c r="J33" i="16"/>
  <c r="J46" i="16"/>
  <c r="J59" i="16"/>
  <c r="J72" i="16"/>
  <c r="J85" i="16"/>
  <c r="J97" i="16"/>
  <c r="J110" i="16"/>
  <c r="F28" i="16"/>
  <c r="F54" i="16"/>
  <c r="F79" i="16"/>
  <c r="F105" i="16"/>
  <c r="J25" i="16"/>
  <c r="J38" i="16"/>
  <c r="J51" i="16"/>
  <c r="J64" i="16"/>
  <c r="J77" i="16"/>
  <c r="J89" i="16"/>
  <c r="J102" i="16"/>
  <c r="F14" i="16"/>
  <c r="F39" i="16"/>
  <c r="F65" i="16"/>
  <c r="F90" i="16"/>
  <c r="J17" i="16"/>
  <c r="J30" i="16"/>
  <c r="J43" i="16"/>
  <c r="J56" i="16"/>
  <c r="J69" i="16"/>
  <c r="J81" i="16"/>
  <c r="J94" i="16"/>
  <c r="J107" i="16"/>
  <c r="F31" i="16"/>
  <c r="F57" i="16"/>
  <c r="F82" i="16"/>
  <c r="F108" i="16"/>
  <c r="J22" i="16"/>
  <c r="J35" i="16"/>
  <c r="J48" i="16"/>
  <c r="J61" i="16"/>
  <c r="J73" i="16"/>
  <c r="J86" i="16"/>
  <c r="J99" i="16"/>
  <c r="J112" i="16"/>
  <c r="F23" i="16"/>
  <c r="F49" i="16"/>
  <c r="F74" i="16"/>
  <c r="F100" i="16"/>
  <c r="J14" i="16"/>
  <c r="J27" i="16"/>
  <c r="J40" i="16"/>
  <c r="J53" i="16"/>
  <c r="J65" i="16"/>
  <c r="J78" i="16"/>
  <c r="J91" i="16"/>
  <c r="J104" i="16"/>
  <c r="F15" i="16"/>
  <c r="F41" i="16"/>
  <c r="F66" i="16"/>
  <c r="F92" i="16"/>
  <c r="J19" i="16"/>
  <c r="J32" i="16"/>
  <c r="J45" i="16"/>
  <c r="J57" i="16"/>
  <c r="J70" i="16"/>
  <c r="J83" i="16"/>
  <c r="J96" i="16"/>
  <c r="J109" i="16"/>
  <c r="F26" i="16"/>
  <c r="F52" i="16"/>
  <c r="F78" i="16"/>
  <c r="F103" i="16"/>
  <c r="J24" i="16"/>
  <c r="J37" i="16"/>
  <c r="J49" i="16"/>
  <c r="J62" i="16"/>
  <c r="J75" i="16"/>
  <c r="J88" i="16"/>
  <c r="J101" i="16"/>
  <c r="J113" i="16"/>
  <c r="J29" i="16"/>
  <c r="J67" i="16"/>
  <c r="F70" i="16"/>
  <c r="J105" i="16"/>
  <c r="J41" i="16"/>
  <c r="F18" i="16"/>
  <c r="J80" i="16"/>
  <c r="U13" i="11"/>
  <c r="F95" i="16"/>
  <c r="J16" i="16"/>
  <c r="J54" i="16"/>
  <c r="F44" i="16"/>
  <c r="T16" i="11"/>
  <c r="AB16" i="11"/>
  <c r="J93" i="16"/>
  <c r="I8" i="11"/>
  <c r="H257" i="16"/>
  <c r="I257" i="16"/>
  <c r="G257" i="16"/>
  <c r="H251" i="16"/>
  <c r="I251" i="16"/>
  <c r="G251" i="16"/>
  <c r="T115" i="11" a="1"/>
  <c r="T115" i="11" s="1"/>
  <c r="T117" i="11" a="1"/>
  <c r="T117" i="11" s="1"/>
  <c r="T119" i="11" a="1"/>
  <c r="T119" i="11" s="1"/>
  <c r="T121" i="11" a="1"/>
  <c r="T121" i="11" s="1"/>
  <c r="T123" i="11" a="1"/>
  <c r="T123" i="11" s="1"/>
  <c r="T125" i="11" a="1"/>
  <c r="T125" i="11" s="1"/>
  <c r="T127" i="11" a="1"/>
  <c r="T127" i="11" s="1"/>
  <c r="T129" i="11" a="1"/>
  <c r="T129" i="11" s="1"/>
  <c r="T131" i="11" a="1"/>
  <c r="T131" i="11" s="1"/>
  <c r="T133" i="11" a="1"/>
  <c r="T133" i="11" s="1"/>
  <c r="T135" i="11" a="1"/>
  <c r="T135" i="11" s="1"/>
  <c r="T137" i="11" a="1"/>
  <c r="T137" i="11" s="1"/>
  <c r="T139" i="11" a="1"/>
  <c r="T139" i="11" s="1"/>
  <c r="T141" i="11" a="1"/>
  <c r="T141" i="11" s="1"/>
  <c r="T143" i="11" a="1"/>
  <c r="T143" i="11" s="1"/>
  <c r="T145" i="11" a="1"/>
  <c r="T145" i="11" s="1"/>
  <c r="T147" i="11" a="1"/>
  <c r="T147" i="11" s="1"/>
  <c r="T149" i="11" a="1"/>
  <c r="T149" i="11" s="1"/>
  <c r="T151" i="11" a="1"/>
  <c r="T151" i="11" s="1"/>
  <c r="T153" i="11" a="1"/>
  <c r="T153" i="11" s="1"/>
  <c r="T155" i="11" a="1"/>
  <c r="T155" i="11" s="1"/>
  <c r="T157" i="11" a="1"/>
  <c r="T157" i="11" s="1"/>
  <c r="T159" i="11" a="1"/>
  <c r="T159" i="11" s="1"/>
  <c r="T161" i="11" a="1"/>
  <c r="T161" i="11" s="1"/>
  <c r="T163" i="11" a="1"/>
  <c r="T163" i="11" s="1"/>
  <c r="T165" i="11" a="1"/>
  <c r="T165" i="11" s="1"/>
  <c r="T167" i="11" a="1"/>
  <c r="T167" i="11" s="1"/>
  <c r="T169" i="11" a="1"/>
  <c r="T169" i="11" s="1"/>
  <c r="T171" i="11" a="1"/>
  <c r="T171" i="11" s="1"/>
  <c r="T173" i="11" a="1"/>
  <c r="T173" i="11" s="1"/>
  <c r="T175" i="11" a="1"/>
  <c r="T175" i="11" s="1"/>
  <c r="T177" i="11" a="1"/>
  <c r="T177" i="11" s="1"/>
  <c r="T179" i="11" a="1"/>
  <c r="T179" i="11" s="1"/>
  <c r="T181" i="11" a="1"/>
  <c r="T181" i="11" s="1"/>
  <c r="T183" i="11" a="1"/>
  <c r="T183" i="11" s="1"/>
  <c r="T185" i="11" a="1"/>
  <c r="T185" i="11" s="1"/>
  <c r="T187" i="11" a="1"/>
  <c r="T187" i="11" s="1"/>
  <c r="T189" i="11" a="1"/>
  <c r="T189" i="11" s="1"/>
  <c r="T191" i="11" a="1"/>
  <c r="T191" i="11" s="1"/>
  <c r="T193" i="11" a="1"/>
  <c r="T193" i="11" s="1"/>
  <c r="T195" i="11" a="1"/>
  <c r="T195" i="11" s="1"/>
  <c r="T197" i="11" a="1"/>
  <c r="T197" i="11" s="1"/>
  <c r="T199" i="11" a="1"/>
  <c r="T199" i="11" s="1"/>
  <c r="T201" i="11" a="1"/>
  <c r="T201" i="11" s="1"/>
  <c r="T203" i="11" a="1"/>
  <c r="T203" i="11" s="1"/>
  <c r="T205" i="11" a="1"/>
  <c r="T205" i="11" s="1"/>
  <c r="T207" i="11" a="1"/>
  <c r="T207" i="11" s="1"/>
  <c r="T209" i="11" a="1"/>
  <c r="T209" i="11" s="1"/>
  <c r="T211" i="11" a="1"/>
  <c r="T211" i="11" s="1"/>
  <c r="T213" i="11" a="1"/>
  <c r="T213" i="11" s="1"/>
  <c r="T215" i="11" a="1"/>
  <c r="T215" i="11" s="1"/>
  <c r="T217" i="11" a="1"/>
  <c r="T217" i="11" s="1"/>
  <c r="T219" i="11" a="1"/>
  <c r="T219" i="11" s="1"/>
  <c r="T221" i="11" a="1"/>
  <c r="T221" i="11" s="1"/>
  <c r="T223" i="11" a="1"/>
  <c r="T223" i="11" s="1"/>
  <c r="T225" i="11" a="1"/>
  <c r="T225" i="11" s="1"/>
  <c r="T227" i="11" a="1"/>
  <c r="T227" i="11" s="1"/>
  <c r="T229" i="11" a="1"/>
  <c r="T229" i="11" s="1"/>
  <c r="T231" i="11" a="1"/>
  <c r="T231" i="11" s="1"/>
  <c r="T233" i="11" a="1"/>
  <c r="T233" i="11" s="1"/>
  <c r="T235" i="11" a="1"/>
  <c r="T235" i="11" s="1"/>
  <c r="T237" i="11" a="1"/>
  <c r="T237" i="11" s="1"/>
  <c r="T239" i="11" a="1"/>
  <c r="T239" i="11" s="1"/>
  <c r="T241" i="11" a="1"/>
  <c r="T241" i="11" s="1"/>
  <c r="T243" i="11" a="1"/>
  <c r="T243" i="11" s="1"/>
  <c r="T245" i="11" a="1"/>
  <c r="T245" i="11" s="1"/>
  <c r="T247" i="11" a="1"/>
  <c r="T247" i="11" s="1"/>
  <c r="T249" i="11" a="1"/>
  <c r="T249" i="11" s="1"/>
  <c r="T251" i="11" a="1"/>
  <c r="T251" i="11" s="1"/>
  <c r="T253" i="11" a="1"/>
  <c r="T253" i="11" s="1"/>
  <c r="T255" i="11" a="1"/>
  <c r="T255" i="11" s="1"/>
  <c r="T257" i="11" a="1"/>
  <c r="T257" i="11" s="1"/>
  <c r="T259" i="11" a="1"/>
  <c r="T259" i="11" s="1"/>
  <c r="T261" i="11" a="1"/>
  <c r="T261" i="11" s="1"/>
  <c r="T263" i="11" a="1"/>
  <c r="T263" i="11" s="1"/>
  <c r="T265" i="11" a="1"/>
  <c r="T265" i="11" s="1"/>
  <c r="T267" i="11" a="1"/>
  <c r="T267" i="11" s="1"/>
  <c r="T269" i="11" a="1"/>
  <c r="T269" i="11" s="1"/>
  <c r="T271" i="11" a="1"/>
  <c r="T271" i="11" s="1"/>
  <c r="T273" i="11" a="1"/>
  <c r="T273" i="11" s="1"/>
  <c r="T275" i="11" a="1"/>
  <c r="T275" i="11" s="1"/>
  <c r="T277" i="11" a="1"/>
  <c r="T277" i="11" s="1"/>
  <c r="T279" i="11" a="1"/>
  <c r="T279" i="11" s="1"/>
  <c r="T281" i="11" a="1"/>
  <c r="T281" i="11" s="1"/>
  <c r="T283" i="11" a="1"/>
  <c r="T283" i="11" s="1"/>
  <c r="T285" i="11" a="1"/>
  <c r="T285" i="11" s="1"/>
  <c r="T287" i="11" a="1"/>
  <c r="T287" i="11" s="1"/>
  <c r="T289" i="11" a="1"/>
  <c r="T289" i="11" s="1"/>
  <c r="T291" i="11" a="1"/>
  <c r="T291" i="11" s="1"/>
  <c r="T293" i="11" a="1"/>
  <c r="T293" i="11" s="1"/>
  <c r="T295" i="11" a="1"/>
  <c r="T295" i="11" s="1"/>
  <c r="T297" i="11" a="1"/>
  <c r="T297" i="11" s="1"/>
  <c r="T299" i="11" a="1"/>
  <c r="T299" i="11" s="1"/>
  <c r="T301" i="11" a="1"/>
  <c r="T301" i="11" s="1"/>
  <c r="T303" i="11" a="1"/>
  <c r="T303" i="11" s="1"/>
  <c r="T305" i="11" a="1"/>
  <c r="T305" i="11" s="1"/>
  <c r="T307" i="11" a="1"/>
  <c r="T307" i="11" s="1"/>
  <c r="T309" i="11" a="1"/>
  <c r="T309" i="11" s="1"/>
  <c r="T311" i="11" a="1"/>
  <c r="T311" i="11" s="1"/>
  <c r="T313" i="11" a="1"/>
  <c r="T313" i="11" s="1"/>
  <c r="T116" i="11" a="1"/>
  <c r="T116" i="11" s="1"/>
  <c r="T118" i="11" a="1"/>
  <c r="T118" i="11" s="1"/>
  <c r="T120" i="11" a="1"/>
  <c r="T120" i="11" s="1"/>
  <c r="T122" i="11" a="1"/>
  <c r="T122" i="11" s="1"/>
  <c r="T124" i="11" a="1"/>
  <c r="T124" i="11" s="1"/>
  <c r="T126" i="11" a="1"/>
  <c r="T126" i="11" s="1"/>
  <c r="T128" i="11" a="1"/>
  <c r="T128" i="11" s="1"/>
  <c r="T130" i="11" a="1"/>
  <c r="T130" i="11" s="1"/>
  <c r="T132" i="11" a="1"/>
  <c r="T132" i="11" s="1"/>
  <c r="T134" i="11" a="1"/>
  <c r="T134" i="11" s="1"/>
  <c r="T136" i="11" a="1"/>
  <c r="T136" i="11" s="1"/>
  <c r="T138" i="11" a="1"/>
  <c r="T138" i="11" s="1"/>
  <c r="T140" i="11" a="1"/>
  <c r="T140" i="11" s="1"/>
  <c r="T142" i="11" a="1"/>
  <c r="T142" i="11" s="1"/>
  <c r="T144" i="11" a="1"/>
  <c r="T144" i="11" s="1"/>
  <c r="T146" i="11" a="1"/>
  <c r="T146" i="11" s="1"/>
  <c r="T148" i="11" a="1"/>
  <c r="T148" i="11" s="1"/>
  <c r="T150" i="11" a="1"/>
  <c r="T150" i="11" s="1"/>
  <c r="T152" i="11" a="1"/>
  <c r="T152" i="11" s="1"/>
  <c r="T154" i="11" a="1"/>
  <c r="T154" i="11" s="1"/>
  <c r="T156" i="11" a="1"/>
  <c r="T156" i="11" s="1"/>
  <c r="T158" i="11" a="1"/>
  <c r="T158" i="11" s="1"/>
  <c r="T160" i="11" a="1"/>
  <c r="T160" i="11" s="1"/>
  <c r="T162" i="11" a="1"/>
  <c r="T162" i="11" s="1"/>
  <c r="T164" i="11" a="1"/>
  <c r="T164" i="11" s="1"/>
  <c r="T166" i="11" a="1"/>
  <c r="T166" i="11" s="1"/>
  <c r="T168" i="11" a="1"/>
  <c r="T168" i="11" s="1"/>
  <c r="T170" i="11" a="1"/>
  <c r="T170" i="11" s="1"/>
  <c r="T172" i="11" a="1"/>
  <c r="T172" i="11" s="1"/>
  <c r="T174" i="11" a="1"/>
  <c r="T174" i="11" s="1"/>
  <c r="T176" i="11" a="1"/>
  <c r="T176" i="11" s="1"/>
  <c r="T178" i="11" a="1"/>
  <c r="T178" i="11" s="1"/>
  <c r="T180" i="11" a="1"/>
  <c r="T180" i="11" s="1"/>
  <c r="T182" i="11" a="1"/>
  <c r="T182" i="11" s="1"/>
  <c r="T184" i="11" a="1"/>
  <c r="T184" i="11" s="1"/>
  <c r="T186" i="11" a="1"/>
  <c r="T186" i="11" s="1"/>
  <c r="T188" i="11" a="1"/>
  <c r="T188" i="11" s="1"/>
  <c r="T190" i="11" a="1"/>
  <c r="T190" i="11" s="1"/>
  <c r="T192" i="11" a="1"/>
  <c r="T192" i="11" s="1"/>
  <c r="T194" i="11" a="1"/>
  <c r="T194" i="11" s="1"/>
  <c r="T196" i="11" a="1"/>
  <c r="T196" i="11" s="1"/>
  <c r="T198" i="11" a="1"/>
  <c r="T198" i="11" s="1"/>
  <c r="T200" i="11" a="1"/>
  <c r="T200" i="11" s="1"/>
  <c r="T202" i="11" a="1"/>
  <c r="T202" i="11" s="1"/>
  <c r="T204" i="11" a="1"/>
  <c r="T204" i="11" s="1"/>
  <c r="T206" i="11" a="1"/>
  <c r="T206" i="11" s="1"/>
  <c r="T208" i="11" a="1"/>
  <c r="T208" i="11" s="1"/>
  <c r="T210" i="11" a="1"/>
  <c r="T210" i="11" s="1"/>
  <c r="T212" i="11" a="1"/>
  <c r="T212" i="11" s="1"/>
  <c r="T214" i="11" a="1"/>
  <c r="T214" i="11" s="1"/>
  <c r="T216" i="11" a="1"/>
  <c r="T216" i="11" s="1"/>
  <c r="T218" i="11" a="1"/>
  <c r="T218" i="11" s="1"/>
  <c r="T220" i="11" a="1"/>
  <c r="T220" i="11" s="1"/>
  <c r="T222" i="11" a="1"/>
  <c r="T222" i="11" s="1"/>
  <c r="T224" i="11" a="1"/>
  <c r="T224" i="11" s="1"/>
  <c r="T226" i="11" a="1"/>
  <c r="T226" i="11" s="1"/>
  <c r="T228" i="11" a="1"/>
  <c r="T228" i="11" s="1"/>
  <c r="T230" i="11" a="1"/>
  <c r="T230" i="11" s="1"/>
  <c r="T232" i="11" a="1"/>
  <c r="T232" i="11" s="1"/>
  <c r="T234" i="11" a="1"/>
  <c r="T234" i="11" s="1"/>
  <c r="T236" i="11" a="1"/>
  <c r="T236" i="11" s="1"/>
  <c r="T238" i="11" a="1"/>
  <c r="T238" i="11" s="1"/>
  <c r="T240" i="11" a="1"/>
  <c r="T240" i="11" s="1"/>
  <c r="T242" i="11" a="1"/>
  <c r="T242" i="11" s="1"/>
  <c r="T244" i="11" a="1"/>
  <c r="T244" i="11" s="1"/>
  <c r="T246" i="11" a="1"/>
  <c r="T246" i="11" s="1"/>
  <c r="T248" i="11" a="1"/>
  <c r="T248" i="11" s="1"/>
  <c r="T250" i="11" a="1"/>
  <c r="T250" i="11" s="1"/>
  <c r="T252" i="11" a="1"/>
  <c r="T252" i="11" s="1"/>
  <c r="T254" i="11" a="1"/>
  <c r="T254" i="11" s="1"/>
  <c r="T256" i="11" a="1"/>
  <c r="T256" i="11" s="1"/>
  <c r="T258" i="11" a="1"/>
  <c r="T258" i="11" s="1"/>
  <c r="T260" i="11" a="1"/>
  <c r="T260" i="11" s="1"/>
  <c r="T262" i="11" a="1"/>
  <c r="T262" i="11" s="1"/>
  <c r="T264" i="11" a="1"/>
  <c r="T264" i="11" s="1"/>
  <c r="T266" i="11" a="1"/>
  <c r="T266" i="11" s="1"/>
  <c r="T268" i="11" a="1"/>
  <c r="T268" i="11" s="1"/>
  <c r="T270" i="11" a="1"/>
  <c r="T270" i="11" s="1"/>
  <c r="T272" i="11" a="1"/>
  <c r="T272" i="11" s="1"/>
  <c r="T274" i="11" a="1"/>
  <c r="T274" i="11" s="1"/>
  <c r="T276" i="11" a="1"/>
  <c r="T276" i="11" s="1"/>
  <c r="T278" i="11" a="1"/>
  <c r="T278" i="11" s="1"/>
  <c r="T280" i="11" a="1"/>
  <c r="T280" i="11" s="1"/>
  <c r="T282" i="11" a="1"/>
  <c r="T282" i="11" s="1"/>
  <c r="T284" i="11" a="1"/>
  <c r="T284" i="11" s="1"/>
  <c r="T286" i="11" a="1"/>
  <c r="T286" i="11" s="1"/>
  <c r="T288" i="11" a="1"/>
  <c r="T288" i="11" s="1"/>
  <c r="T290" i="11" a="1"/>
  <c r="T290" i="11" s="1"/>
  <c r="T292" i="11" a="1"/>
  <c r="T292" i="11" s="1"/>
  <c r="T294" i="11" a="1"/>
  <c r="T294" i="11" s="1"/>
  <c r="T296" i="11" a="1"/>
  <c r="T296" i="11" s="1"/>
  <c r="T298" i="11" a="1"/>
  <c r="T298" i="11" s="1"/>
  <c r="T300" i="11" a="1"/>
  <c r="T300" i="11" s="1"/>
  <c r="T302" i="11" a="1"/>
  <c r="T302" i="11" s="1"/>
  <c r="T304" i="11" a="1"/>
  <c r="T304" i="11" s="1"/>
  <c r="T306" i="11" a="1"/>
  <c r="T306" i="11" s="1"/>
  <c r="T308" i="11" a="1"/>
  <c r="T308" i="11" s="1"/>
  <c r="T310" i="11" a="1"/>
  <c r="T310" i="11" s="1"/>
  <c r="T312" i="11" a="1"/>
  <c r="T312" i="11" s="1"/>
  <c r="T314" i="11" a="1"/>
  <c r="T314" i="11" s="1"/>
  <c r="Y314" i="11" s="1"/>
  <c r="Z314" i="11" s="1"/>
  <c r="L312" i="16"/>
  <c r="M312" i="16"/>
  <c r="K312" i="16"/>
  <c r="L280" i="16"/>
  <c r="M280" i="16"/>
  <c r="K280" i="16"/>
  <c r="M284" i="16"/>
  <c r="L284" i="16"/>
  <c r="K284" i="16"/>
  <c r="I304" i="16"/>
  <c r="H304" i="16"/>
  <c r="L288" i="16"/>
  <c r="M288" i="16"/>
  <c r="K288" i="16"/>
  <c r="M292" i="16"/>
  <c r="L292" i="16"/>
  <c r="K292" i="16"/>
  <c r="H129" i="16"/>
  <c r="I129" i="16"/>
  <c r="L296" i="16"/>
  <c r="M296" i="16"/>
  <c r="K296" i="16"/>
  <c r="M264" i="16"/>
  <c r="L264" i="16"/>
  <c r="I176" i="16"/>
  <c r="H176" i="16"/>
  <c r="S186" i="16" a="1"/>
  <c r="S186" i="16" s="1"/>
  <c r="P186" i="16" a="1"/>
  <c r="P186" i="16" s="1"/>
  <c r="Q186" i="16" a="1"/>
  <c r="Q186" i="16" s="1"/>
  <c r="R186" i="16" a="1"/>
  <c r="R186" i="16" s="1"/>
  <c r="T186" i="16" a="1"/>
  <c r="T186" i="16" s="1"/>
  <c r="M300" i="16"/>
  <c r="L300" i="16"/>
  <c r="M268" i="16"/>
  <c r="L268" i="16"/>
  <c r="R275" i="16" a="1"/>
  <c r="R275" i="16" s="1"/>
  <c r="Q275" i="16" a="1"/>
  <c r="Q275" i="16" s="1"/>
  <c r="S275" i="16" a="1"/>
  <c r="S275" i="16" s="1"/>
  <c r="T275" i="16" a="1"/>
  <c r="T275" i="16" s="1"/>
  <c r="P275" i="16" a="1"/>
  <c r="P275" i="16" s="1"/>
  <c r="L304" i="16"/>
  <c r="M304" i="16"/>
  <c r="M272" i="16"/>
  <c r="L272" i="16"/>
  <c r="H193" i="16"/>
  <c r="I193" i="16"/>
  <c r="K264" i="16"/>
  <c r="M308" i="16"/>
  <c r="L308" i="16"/>
  <c r="M276" i="16"/>
  <c r="L276" i="16"/>
  <c r="I240" i="16"/>
  <c r="H240" i="16"/>
  <c r="P286" i="16" a="1"/>
  <c r="P286" i="16" s="1"/>
  <c r="T286" i="16" a="1"/>
  <c r="T286" i="16" s="1"/>
  <c r="Q286" i="16" a="1"/>
  <c r="Q286" i="16" s="1"/>
  <c r="R286" i="16" a="1"/>
  <c r="R286" i="16" s="1"/>
  <c r="S286" i="16" a="1"/>
  <c r="S286" i="16" s="1"/>
  <c r="S248" i="16" a="1"/>
  <c r="S248" i="16" s="1"/>
  <c r="R248" i="16" a="1"/>
  <c r="R248" i="16" s="1"/>
  <c r="T248" i="16" a="1"/>
  <c r="T248" i="16" s="1"/>
  <c r="Q248" i="16" a="1"/>
  <c r="Q248" i="16" s="1"/>
  <c r="P248" i="16" a="1"/>
  <c r="P248" i="16" s="1"/>
  <c r="K228" i="16"/>
  <c r="K224" i="16"/>
  <c r="K220" i="16"/>
  <c r="M224" i="16"/>
  <c r="M160" i="16"/>
  <c r="H303" i="16"/>
  <c r="I303" i="16"/>
  <c r="H262" i="16"/>
  <c r="G262" i="16"/>
  <c r="H250" i="16"/>
  <c r="G250" i="16"/>
  <c r="I250" i="16"/>
  <c r="H239" i="16"/>
  <c r="I239" i="16"/>
  <c r="H198" i="16"/>
  <c r="G198" i="16"/>
  <c r="H192" i="16"/>
  <c r="H186" i="16"/>
  <c r="G186" i="16"/>
  <c r="I186" i="16"/>
  <c r="H134" i="16"/>
  <c r="G134" i="16"/>
  <c r="H128" i="16"/>
  <c r="H122" i="16"/>
  <c r="G122" i="16"/>
  <c r="I122" i="16"/>
  <c r="Q299" i="16" a="1"/>
  <c r="Q299" i="16" s="1"/>
  <c r="R299" i="16" a="1"/>
  <c r="R299" i="16" s="1"/>
  <c r="S299" i="16" a="1"/>
  <c r="S299" i="16" s="1"/>
  <c r="K232" i="16"/>
  <c r="K168" i="16"/>
  <c r="M232" i="16"/>
  <c r="M168" i="16"/>
  <c r="H273" i="16"/>
  <c r="I273" i="16"/>
  <c r="H209" i="16"/>
  <c r="I209" i="16"/>
  <c r="H145" i="16"/>
  <c r="I145" i="16"/>
  <c r="R282" i="16" a="1"/>
  <c r="R282" i="16" s="1"/>
  <c r="S282" i="16" a="1"/>
  <c r="S282" i="16" s="1"/>
  <c r="P282" i="16" a="1"/>
  <c r="P282" i="16" s="1"/>
  <c r="Q282" i="16" a="1"/>
  <c r="Q282" i="16" s="1"/>
  <c r="R143" i="16" a="1"/>
  <c r="R143" i="16" s="1"/>
  <c r="T143" i="16" a="1"/>
  <c r="T143" i="16" s="1"/>
  <c r="Q143" i="16" a="1"/>
  <c r="Q143" i="16" s="1"/>
  <c r="S143" i="16" a="1"/>
  <c r="S143" i="16" s="1"/>
  <c r="P143" i="16" a="1"/>
  <c r="P143" i="16" s="1"/>
  <c r="K244" i="16"/>
  <c r="K240" i="16"/>
  <c r="K236" i="16"/>
  <c r="M240" i="16"/>
  <c r="M176" i="16"/>
  <c r="L260" i="16"/>
  <c r="L252" i="16"/>
  <c r="L244" i="16"/>
  <c r="L236" i="16"/>
  <c r="L228" i="16"/>
  <c r="L220" i="16"/>
  <c r="L212" i="16"/>
  <c r="L208" i="16"/>
  <c r="L204" i="16"/>
  <c r="L196" i="16"/>
  <c r="L188" i="16"/>
  <c r="L180" i="16"/>
  <c r="L172" i="16"/>
  <c r="L164" i="16"/>
  <c r="L156" i="16"/>
  <c r="L148" i="16"/>
  <c r="L140" i="16"/>
  <c r="L132" i="16"/>
  <c r="L124" i="16"/>
  <c r="L116" i="16"/>
  <c r="H278" i="16"/>
  <c r="G278" i="16"/>
  <c r="H266" i="16"/>
  <c r="G266" i="16"/>
  <c r="I266" i="16"/>
  <c r="H255" i="16"/>
  <c r="I255" i="16"/>
  <c r="H214" i="16"/>
  <c r="G214" i="16"/>
  <c r="H202" i="16"/>
  <c r="G202" i="16"/>
  <c r="I202" i="16"/>
  <c r="H150" i="16"/>
  <c r="G150" i="16"/>
  <c r="H138" i="16"/>
  <c r="G138" i="16"/>
  <c r="I138" i="16"/>
  <c r="P302" i="16" a="1"/>
  <c r="P302" i="16" s="1"/>
  <c r="T302" i="16" a="1"/>
  <c r="T302" i="16" s="1"/>
  <c r="Q302" i="16" a="1"/>
  <c r="Q302" i="16" s="1"/>
  <c r="S302" i="16" a="1"/>
  <c r="S302" i="16" s="1"/>
  <c r="T298" i="16" a="1"/>
  <c r="T298" i="16" s="1"/>
  <c r="Q265" i="16" a="1"/>
  <c r="Q265" i="16" s="1"/>
  <c r="P265" i="16" a="1"/>
  <c r="P265" i="16" s="1"/>
  <c r="R265" i="16" a="1"/>
  <c r="R265" i="16" s="1"/>
  <c r="R251" i="16" a="1"/>
  <c r="R251" i="16" s="1"/>
  <c r="P251" i="16" a="1"/>
  <c r="P251" i="16" s="1"/>
  <c r="Q251" i="16" a="1"/>
  <c r="Q251" i="16" s="1"/>
  <c r="T251" i="16" a="1"/>
  <c r="T251" i="16" s="1"/>
  <c r="S251" i="16" a="1"/>
  <c r="S251" i="16" s="1"/>
  <c r="R235" i="16" a="1"/>
  <c r="R235" i="16" s="1"/>
  <c r="S235" i="16" a="1"/>
  <c r="S235" i="16" s="1"/>
  <c r="T235" i="16" a="1"/>
  <c r="T235" i="16" s="1"/>
  <c r="Q235" i="16" a="1"/>
  <c r="Q235" i="16" s="1"/>
  <c r="Q201" i="16" a="1"/>
  <c r="Q201" i="16" s="1"/>
  <c r="R201" i="16" a="1"/>
  <c r="R201" i="16" s="1"/>
  <c r="S201" i="16" a="1"/>
  <c r="S201" i="16" s="1"/>
  <c r="T201" i="16" a="1"/>
  <c r="T201" i="16" s="1"/>
  <c r="H289" i="16"/>
  <c r="I289" i="16"/>
  <c r="H225" i="16"/>
  <c r="I225" i="16"/>
  <c r="H161" i="16"/>
  <c r="I161" i="16"/>
  <c r="R285" i="16" a="1"/>
  <c r="R285" i="16" s="1"/>
  <c r="Q285" i="16" a="1"/>
  <c r="Q285" i="16" s="1"/>
  <c r="S285" i="16" a="1"/>
  <c r="S285" i="16" s="1"/>
  <c r="Q264" i="16" a="1"/>
  <c r="Q264" i="16" s="1"/>
  <c r="P264" i="16" a="1"/>
  <c r="P264" i="16" s="1"/>
  <c r="R264" i="16" a="1"/>
  <c r="R264" i="16" s="1"/>
  <c r="S264" i="16" a="1"/>
  <c r="S264" i="16" s="1"/>
  <c r="T264" i="16" a="1"/>
  <c r="T264" i="16" s="1"/>
  <c r="H294" i="16"/>
  <c r="G294" i="16"/>
  <c r="H282" i="16"/>
  <c r="G282" i="16"/>
  <c r="I282" i="16"/>
  <c r="H271" i="16"/>
  <c r="I271" i="16"/>
  <c r="H230" i="16"/>
  <c r="G230" i="16"/>
  <c r="H218" i="16"/>
  <c r="G218" i="16"/>
  <c r="I218" i="16"/>
  <c r="H207" i="16"/>
  <c r="I207" i="16"/>
  <c r="H166" i="16"/>
  <c r="G166" i="16"/>
  <c r="H154" i="16"/>
  <c r="G154" i="16"/>
  <c r="I154" i="16"/>
  <c r="R298" i="16" a="1"/>
  <c r="R298" i="16" s="1"/>
  <c r="S298" i="16" a="1"/>
  <c r="S298" i="16" s="1"/>
  <c r="Q298" i="16" a="1"/>
  <c r="Q298" i="16" s="1"/>
  <c r="P276" i="16" a="1"/>
  <c r="P276" i="16" s="1"/>
  <c r="Q276" i="16" a="1"/>
  <c r="Q276" i="16" s="1"/>
  <c r="S276" i="16" a="1"/>
  <c r="S276" i="16" s="1"/>
  <c r="T276" i="16" a="1"/>
  <c r="T276" i="16" s="1"/>
  <c r="R246" i="16" a="1"/>
  <c r="R246" i="16" s="1"/>
  <c r="S246" i="16" a="1"/>
  <c r="S246" i="16" s="1"/>
  <c r="T246" i="16" a="1"/>
  <c r="T246" i="16" s="1"/>
  <c r="P246" i="16" a="1"/>
  <c r="P246" i="16" s="1"/>
  <c r="Q246" i="16" a="1"/>
  <c r="Q246" i="16" s="1"/>
  <c r="Q206" i="16" a="1"/>
  <c r="Q206" i="16" s="1"/>
  <c r="R206" i="16" a="1"/>
  <c r="R206" i="16" s="1"/>
  <c r="S206" i="16" a="1"/>
  <c r="S206" i="16" s="1"/>
  <c r="T206" i="16" a="1"/>
  <c r="T206" i="16" s="1"/>
  <c r="P204" i="16" a="1"/>
  <c r="P204" i="16" s="1"/>
  <c r="T204" i="16" a="1"/>
  <c r="T204" i="16" s="1"/>
  <c r="Q204" i="16" a="1"/>
  <c r="Q204" i="16" s="1"/>
  <c r="R204" i="16" a="1"/>
  <c r="R204" i="16" s="1"/>
  <c r="S204" i="16" a="1"/>
  <c r="S204" i="16" s="1"/>
  <c r="H305" i="16"/>
  <c r="I305" i="16"/>
  <c r="H241" i="16"/>
  <c r="I241" i="16"/>
  <c r="H177" i="16"/>
  <c r="I177" i="16"/>
  <c r="Q312" i="16" a="1"/>
  <c r="Q312" i="16" s="1"/>
  <c r="R312" i="16" a="1"/>
  <c r="R312" i="16" s="1"/>
  <c r="S312" i="16" a="1"/>
  <c r="S312" i="16" s="1"/>
  <c r="Q288" i="16" a="1"/>
  <c r="Q288" i="16" s="1"/>
  <c r="R288" i="16" a="1"/>
  <c r="R288" i="16" s="1"/>
  <c r="S288" i="16" a="1"/>
  <c r="S288" i="16" s="1"/>
  <c r="T288" i="16" a="1"/>
  <c r="T288" i="16" s="1"/>
  <c r="Q283" i="16" a="1"/>
  <c r="Q283" i="16" s="1"/>
  <c r="P283" i="16" a="1"/>
  <c r="P283" i="16" s="1"/>
  <c r="R283" i="16" a="1"/>
  <c r="R283" i="16" s="1"/>
  <c r="S283" i="16" a="1"/>
  <c r="S283" i="16" s="1"/>
  <c r="R238" i="16" a="1"/>
  <c r="R238" i="16" s="1"/>
  <c r="Q238" i="16" a="1"/>
  <c r="Q238" i="16" s="1"/>
  <c r="S238" i="16" a="1"/>
  <c r="S238" i="16" s="1"/>
  <c r="T238" i="16" a="1"/>
  <c r="T238" i="16" s="1"/>
  <c r="H310" i="16"/>
  <c r="G310" i="16"/>
  <c r="H298" i="16"/>
  <c r="G298" i="16"/>
  <c r="I298" i="16"/>
  <c r="H287" i="16"/>
  <c r="I287" i="16"/>
  <c r="H246" i="16"/>
  <c r="G246" i="16"/>
  <c r="H234" i="16"/>
  <c r="G234" i="16"/>
  <c r="I234" i="16"/>
  <c r="H223" i="16"/>
  <c r="I223" i="16"/>
  <c r="H182" i="16"/>
  <c r="G182" i="16"/>
  <c r="H170" i="16"/>
  <c r="G170" i="16"/>
  <c r="I170" i="16"/>
  <c r="H118" i="16"/>
  <c r="G118" i="16"/>
  <c r="R301" i="16" a="1"/>
  <c r="R301" i="16" s="1"/>
  <c r="Q301" i="16" a="1"/>
  <c r="Q301" i="16" s="1"/>
  <c r="S301" i="16" a="1"/>
  <c r="S301" i="16" s="1"/>
  <c r="T301" i="16" a="1"/>
  <c r="T301" i="16" s="1"/>
  <c r="T299" i="16" a="1"/>
  <c r="T299" i="16" s="1"/>
  <c r="Q228" i="16" a="1"/>
  <c r="Q228" i="16" s="1"/>
  <c r="R228" i="16" a="1"/>
  <c r="R228" i="16" s="1"/>
  <c r="T228" i="16" a="1"/>
  <c r="T228" i="16" s="1"/>
  <c r="S228" i="16" a="1"/>
  <c r="S228" i="16" s="1"/>
  <c r="R227" i="16" a="1"/>
  <c r="R227" i="16" s="1"/>
  <c r="Q227" i="16" a="1"/>
  <c r="Q227" i="16" s="1"/>
  <c r="S227" i="16" a="1"/>
  <c r="S227" i="16" s="1"/>
  <c r="P227" i="16" a="1"/>
  <c r="P227" i="16" s="1"/>
  <c r="T227" i="16" a="1"/>
  <c r="T227" i="16" s="1"/>
  <c r="Q157" i="16" a="1"/>
  <c r="Q157" i="16" s="1"/>
  <c r="T157" i="16" a="1"/>
  <c r="T157" i="16" s="1"/>
  <c r="S157" i="16" a="1"/>
  <c r="S157" i="16" s="1"/>
  <c r="Q304" i="16" a="1"/>
  <c r="Q304" i="16" s="1"/>
  <c r="R304" i="16" a="1"/>
  <c r="R304" i="16" s="1"/>
  <c r="P293" i="16" a="1"/>
  <c r="P293" i="16" s="1"/>
  <c r="R290" i="16" a="1"/>
  <c r="R290" i="16" s="1"/>
  <c r="S290" i="16" a="1"/>
  <c r="S290" i="16" s="1"/>
  <c r="P279" i="16" a="1"/>
  <c r="P279" i="16" s="1"/>
  <c r="T279" i="16" a="1"/>
  <c r="T279" i="16" s="1"/>
  <c r="R279" i="16" a="1"/>
  <c r="R279" i="16" s="1"/>
  <c r="S279" i="16" a="1"/>
  <c r="S279" i="16" s="1"/>
  <c r="R219" i="16" a="1"/>
  <c r="R219" i="16" s="1"/>
  <c r="P219" i="16" a="1"/>
  <c r="P219" i="16" s="1"/>
  <c r="Q219" i="16" a="1"/>
  <c r="Q219" i="16" s="1"/>
  <c r="T219" i="16" a="1"/>
  <c r="T219" i="16" s="1"/>
  <c r="Q161" i="16" a="1"/>
  <c r="Q161" i="16" s="1"/>
  <c r="R161" i="16" a="1"/>
  <c r="R161" i="16" s="1"/>
  <c r="S161" i="16" a="1"/>
  <c r="S161" i="16" s="1"/>
  <c r="P161" i="16" a="1"/>
  <c r="P161" i="16" s="1"/>
  <c r="T161" i="16" a="1"/>
  <c r="T161" i="16" s="1"/>
  <c r="P294" i="16" a="1"/>
  <c r="P294" i="16" s="1"/>
  <c r="T294" i="16" a="1"/>
  <c r="T294" i="16" s="1"/>
  <c r="Q294" i="16" a="1"/>
  <c r="Q294" i="16" s="1"/>
  <c r="Q249" i="16" a="1"/>
  <c r="Q249" i="16" s="1"/>
  <c r="S249" i="16" a="1"/>
  <c r="S249" i="16" s="1"/>
  <c r="T249" i="16" a="1"/>
  <c r="T249" i="16" s="1"/>
  <c r="S232" i="16" a="1"/>
  <c r="S232" i="16" s="1"/>
  <c r="P232" i="16" a="1"/>
  <c r="P232" i="16" s="1"/>
  <c r="Q232" i="16" a="1"/>
  <c r="Q232" i="16" s="1"/>
  <c r="T232" i="16" a="1"/>
  <c r="T232" i="16" s="1"/>
  <c r="P212" i="16" a="1"/>
  <c r="P212" i="16" s="1"/>
  <c r="T212" i="16" a="1"/>
  <c r="T212" i="16" s="1"/>
  <c r="Q212" i="16" a="1"/>
  <c r="Q212" i="16" s="1"/>
  <c r="S212" i="16" a="1"/>
  <c r="S212" i="16" s="1"/>
  <c r="R212" i="16" a="1"/>
  <c r="R212" i="16" s="1"/>
  <c r="R177" i="16" a="1"/>
  <c r="R177" i="16" s="1"/>
  <c r="S177" i="16" a="1"/>
  <c r="S177" i="16" s="1"/>
  <c r="Q177" i="16" a="1"/>
  <c r="Q177" i="16" s="1"/>
  <c r="T177" i="16" a="1"/>
  <c r="T177" i="16" s="1"/>
  <c r="R306" i="16" a="1"/>
  <c r="R306" i="16" s="1"/>
  <c r="S306" i="16" a="1"/>
  <c r="S306" i="16" s="1"/>
  <c r="T304" i="16" a="1"/>
  <c r="T304" i="16" s="1"/>
  <c r="T291" i="16" a="1"/>
  <c r="T291" i="16" s="1"/>
  <c r="T290" i="16" a="1"/>
  <c r="T290" i="16" s="1"/>
  <c r="Q280" i="16" a="1"/>
  <c r="Q280" i="16" s="1"/>
  <c r="R280" i="16" a="1"/>
  <c r="R280" i="16" s="1"/>
  <c r="P215" i="16" a="1"/>
  <c r="P215" i="16" s="1"/>
  <c r="T215" i="16" a="1"/>
  <c r="T215" i="16" s="1"/>
  <c r="S215" i="16" a="1"/>
  <c r="S215" i="16" s="1"/>
  <c r="Q215" i="16" a="1"/>
  <c r="Q215" i="16" s="1"/>
  <c r="R215" i="16" a="1"/>
  <c r="R215" i="16" s="1"/>
  <c r="Q188" i="16" a="1"/>
  <c r="Q188" i="16" s="1"/>
  <c r="R188" i="16" a="1"/>
  <c r="R188" i="16" s="1"/>
  <c r="T188" i="16" a="1"/>
  <c r="T188" i="16" s="1"/>
  <c r="R172" i="16" a="1"/>
  <c r="R172" i="16" s="1"/>
  <c r="P172" i="16" a="1"/>
  <c r="P172" i="16" s="1"/>
  <c r="Q172" i="16" a="1"/>
  <c r="Q172" i="16" s="1"/>
  <c r="T172" i="16" a="1"/>
  <c r="T172" i="16" s="1"/>
  <c r="P310" i="16" a="1"/>
  <c r="P310" i="16" s="1"/>
  <c r="T310" i="16" a="1"/>
  <c r="T310" i="16" s="1"/>
  <c r="Q310" i="16" a="1"/>
  <c r="Q310" i="16" s="1"/>
  <c r="Q296" i="16" a="1"/>
  <c r="Q296" i="16" s="1"/>
  <c r="R296" i="16" a="1"/>
  <c r="R296" i="16" s="1"/>
  <c r="T293" i="16" a="1"/>
  <c r="T293" i="16" s="1"/>
  <c r="Q241" i="16" a="1"/>
  <c r="Q241" i="16" s="1"/>
  <c r="R241" i="16" a="1"/>
  <c r="R241" i="16" s="1"/>
  <c r="S241" i="16" a="1"/>
  <c r="S241" i="16" s="1"/>
  <c r="T241" i="16" a="1"/>
  <c r="T241" i="16" s="1"/>
  <c r="P239" i="16" a="1"/>
  <c r="P239" i="16" s="1"/>
  <c r="T239" i="16" a="1"/>
  <c r="T239" i="16" s="1"/>
  <c r="R239" i="16" a="1"/>
  <c r="R239" i="16" s="1"/>
  <c r="S155" i="16" a="1"/>
  <c r="S155" i="16" s="1"/>
  <c r="Q155" i="16" a="1"/>
  <c r="Q155" i="16" s="1"/>
  <c r="R155" i="16" a="1"/>
  <c r="R155" i="16" s="1"/>
  <c r="T155" i="16" a="1"/>
  <c r="T155" i="16" s="1"/>
  <c r="Q183" i="16" a="1"/>
  <c r="Q183" i="16" s="1"/>
  <c r="R183" i="16" a="1"/>
  <c r="R183" i="16" s="1"/>
  <c r="P183" i="16" a="1"/>
  <c r="P183" i="16" s="1"/>
  <c r="S183" i="16" a="1"/>
  <c r="S183" i="16" s="1"/>
  <c r="S133" i="16" a="1"/>
  <c r="S133" i="16" s="1"/>
  <c r="P133" i="16" a="1"/>
  <c r="P133" i="16" s="1"/>
  <c r="Q133" i="16" a="1"/>
  <c r="Q133" i="16" s="1"/>
  <c r="R133" i="16" a="1"/>
  <c r="R133" i="16" s="1"/>
  <c r="T308" i="16" a="1"/>
  <c r="T308" i="16" s="1"/>
  <c r="T300" i="16" a="1"/>
  <c r="T300" i="16" s="1"/>
  <c r="T292" i="16" a="1"/>
  <c r="T292" i="16" s="1"/>
  <c r="T284" i="16" a="1"/>
  <c r="T284" i="16" s="1"/>
  <c r="Q273" i="16" a="1"/>
  <c r="Q273" i="16" s="1"/>
  <c r="R273" i="16" a="1"/>
  <c r="R273" i="16" s="1"/>
  <c r="P272" i="16" a="1"/>
  <c r="P272" i="16" s="1"/>
  <c r="Q268" i="16" a="1"/>
  <c r="Q268" i="16" s="1"/>
  <c r="P254" i="16" a="1"/>
  <c r="P254" i="16" s="1"/>
  <c r="P253" i="16" a="1"/>
  <c r="P253" i="16" s="1"/>
  <c r="P247" i="16" a="1"/>
  <c r="P247" i="16" s="1"/>
  <c r="T247" i="16" a="1"/>
  <c r="T247" i="16" s="1"/>
  <c r="S247" i="16" a="1"/>
  <c r="S247" i="16" s="1"/>
  <c r="R230" i="16" a="1"/>
  <c r="R230" i="16" s="1"/>
  <c r="P230" i="16" a="1"/>
  <c r="P230" i="16" s="1"/>
  <c r="Q230" i="16" a="1"/>
  <c r="Q230" i="16" s="1"/>
  <c r="R211" i="16" a="1"/>
  <c r="R211" i="16" s="1"/>
  <c r="S211" i="16" a="1"/>
  <c r="S211" i="16" s="1"/>
  <c r="T211" i="16" a="1"/>
  <c r="T211" i="16" s="1"/>
  <c r="R168" i="16" a="1"/>
  <c r="R168" i="16" s="1"/>
  <c r="S168" i="16" a="1"/>
  <c r="S168" i="16" s="1"/>
  <c r="Q168" i="16" a="1"/>
  <c r="Q168" i="16" s="1"/>
  <c r="T168" i="16" a="1"/>
  <c r="T168" i="16" s="1"/>
  <c r="T313" i="16" a="1"/>
  <c r="T313" i="16" s="1"/>
  <c r="T305" i="16" a="1"/>
  <c r="T305" i="16" s="1"/>
  <c r="T297" i="16" a="1"/>
  <c r="T297" i="16" s="1"/>
  <c r="T289" i="16" a="1"/>
  <c r="T289" i="16" s="1"/>
  <c r="T281" i="16" a="1"/>
  <c r="T281" i="16" s="1"/>
  <c r="P277" i="16" a="1"/>
  <c r="P277" i="16" s="1"/>
  <c r="P271" i="16" a="1"/>
  <c r="P271" i="16" s="1"/>
  <c r="T271" i="16" a="1"/>
  <c r="T271" i="16" s="1"/>
  <c r="P268" i="16" a="1"/>
  <c r="P268" i="16" s="1"/>
  <c r="P262" i="16" a="1"/>
  <c r="P262" i="16" s="1"/>
  <c r="P260" i="16" a="1"/>
  <c r="P260" i="16" s="1"/>
  <c r="Q260" i="16" a="1"/>
  <c r="Q260" i="16" s="1"/>
  <c r="R259" i="16" a="1"/>
  <c r="R259" i="16" s="1"/>
  <c r="Q259" i="16" a="1"/>
  <c r="Q259" i="16" s="1"/>
  <c r="Q256" i="16" a="1"/>
  <c r="Q256" i="16" s="1"/>
  <c r="P255" i="16" a="1"/>
  <c r="P255" i="16" s="1"/>
  <c r="T255" i="16" a="1"/>
  <c r="T255" i="16" s="1"/>
  <c r="Q255" i="16" a="1"/>
  <c r="Q255" i="16" s="1"/>
  <c r="Q236" i="16" a="1"/>
  <c r="Q236" i="16" s="1"/>
  <c r="S236" i="16" a="1"/>
  <c r="S236" i="16" s="1"/>
  <c r="R203" i="16" a="1"/>
  <c r="R203" i="16" s="1"/>
  <c r="P203" i="16" a="1"/>
  <c r="P203" i="16" s="1"/>
  <c r="Q203" i="16" a="1"/>
  <c r="Q203" i="16" s="1"/>
  <c r="S203" i="16" a="1"/>
  <c r="S203" i="16" s="1"/>
  <c r="R200" i="16" a="1"/>
  <c r="R200" i="16" s="1"/>
  <c r="S200" i="16" a="1"/>
  <c r="S200" i="16" s="1"/>
  <c r="Q200" i="16" a="1"/>
  <c r="Q200" i="16" s="1"/>
  <c r="S187" i="16" a="1"/>
  <c r="S187" i="16" s="1"/>
  <c r="R187" i="16" a="1"/>
  <c r="R187" i="16" s="1"/>
  <c r="Q187" i="16" a="1"/>
  <c r="Q187" i="16" s="1"/>
  <c r="T187" i="16" a="1"/>
  <c r="T187" i="16" s="1"/>
  <c r="R178" i="16" a="1"/>
  <c r="R178" i="16" s="1"/>
  <c r="S178" i="16" a="1"/>
  <c r="S178" i="16" s="1"/>
  <c r="T178" i="16" a="1"/>
  <c r="T178" i="16" s="1"/>
  <c r="P144" i="16" a="1"/>
  <c r="P144" i="16" s="1"/>
  <c r="T144" i="16" a="1"/>
  <c r="T144" i="16" s="1"/>
  <c r="Q144" i="16" a="1"/>
  <c r="Q144" i="16" s="1"/>
  <c r="S144" i="16" a="1"/>
  <c r="S144" i="16" s="1"/>
  <c r="R144" i="16" a="1"/>
  <c r="R144" i="16" s="1"/>
  <c r="S269" i="16" a="1"/>
  <c r="S269" i="16" s="1"/>
  <c r="Q269" i="16" a="1"/>
  <c r="Q269" i="16" s="1"/>
  <c r="R267" i="16" a="1"/>
  <c r="R267" i="16" s="1"/>
  <c r="S267" i="16" a="1"/>
  <c r="S267" i="16" s="1"/>
  <c r="P263" i="16" a="1"/>
  <c r="P263" i="16" s="1"/>
  <c r="T263" i="16" a="1"/>
  <c r="T263" i="16" s="1"/>
  <c r="R263" i="16" a="1"/>
  <c r="R263" i="16" s="1"/>
  <c r="S240" i="16" a="1"/>
  <c r="S240" i="16" s="1"/>
  <c r="Q240" i="16" a="1"/>
  <c r="Q240" i="16" s="1"/>
  <c r="R240" i="16" a="1"/>
  <c r="R240" i="16" s="1"/>
  <c r="Q217" i="16" a="1"/>
  <c r="Q217" i="16" s="1"/>
  <c r="S217" i="16" a="1"/>
  <c r="S217" i="16" s="1"/>
  <c r="T217" i="16" a="1"/>
  <c r="T217" i="16" s="1"/>
  <c r="P164" i="16" a="1"/>
  <c r="P164" i="16" s="1"/>
  <c r="T164" i="16" a="1"/>
  <c r="T164" i="16" s="1"/>
  <c r="S164" i="16" a="1"/>
  <c r="S164" i="16" s="1"/>
  <c r="R164" i="16" a="1"/>
  <c r="R164" i="16" s="1"/>
  <c r="Q164" i="16" a="1"/>
  <c r="Q164" i="16" s="1"/>
  <c r="R208" i="16" a="1"/>
  <c r="R208" i="16" s="1"/>
  <c r="S208" i="16" a="1"/>
  <c r="S208" i="16" s="1"/>
  <c r="S179" i="16" a="1"/>
  <c r="S179" i="16" s="1"/>
  <c r="Q179" i="16" a="1"/>
  <c r="Q179" i="16" s="1"/>
  <c r="R169" i="16" a="1"/>
  <c r="R169" i="16" s="1"/>
  <c r="Q169" i="16" a="1"/>
  <c r="Q169" i="16" s="1"/>
  <c r="S169" i="16" a="1"/>
  <c r="S169" i="16" s="1"/>
  <c r="R165" i="16" a="1"/>
  <c r="R165" i="16" s="1"/>
  <c r="S165" i="16" a="1"/>
  <c r="S165" i="16" s="1"/>
  <c r="T165" i="16" a="1"/>
  <c r="T165" i="16" s="1"/>
  <c r="S162" i="16" a="1"/>
  <c r="S162" i="16" s="1"/>
  <c r="P162" i="16" a="1"/>
  <c r="P162" i="16" s="1"/>
  <c r="R162" i="16" a="1"/>
  <c r="R162" i="16" s="1"/>
  <c r="S135" i="16" a="1"/>
  <c r="S135" i="16" s="1"/>
  <c r="T135" i="16" a="1"/>
  <c r="T135" i="16" s="1"/>
  <c r="P223" i="16" a="1"/>
  <c r="P223" i="16" s="1"/>
  <c r="T223" i="16" a="1"/>
  <c r="T223" i="16" s="1"/>
  <c r="T216" i="16" a="1"/>
  <c r="T216" i="16" s="1"/>
  <c r="T214" i="16" a="1"/>
  <c r="T214" i="16" s="1"/>
  <c r="P196" i="16" a="1"/>
  <c r="P196" i="16" s="1"/>
  <c r="T196" i="16" a="1"/>
  <c r="T196" i="16" s="1"/>
  <c r="Q196" i="16" a="1"/>
  <c r="Q196" i="16" s="1"/>
  <c r="R193" i="16" a="1"/>
  <c r="R193" i="16" s="1"/>
  <c r="P193" i="16" a="1"/>
  <c r="P193" i="16" s="1"/>
  <c r="Q193" i="16" a="1"/>
  <c r="Q193" i="16" s="1"/>
  <c r="Q191" i="16" a="1"/>
  <c r="Q191" i="16" s="1"/>
  <c r="S191" i="16" a="1"/>
  <c r="S191" i="16" s="1"/>
  <c r="R160" i="16" a="1"/>
  <c r="R160" i="16" s="1"/>
  <c r="Q160" i="16" a="1"/>
  <c r="Q160" i="16" s="1"/>
  <c r="S160" i="16" a="1"/>
  <c r="S160" i="16" s="1"/>
  <c r="P117" i="16" a="1"/>
  <c r="P117" i="16" s="1"/>
  <c r="Q117" i="16" a="1"/>
  <c r="Q117" i="16" s="1"/>
  <c r="R117" i="16" a="1"/>
  <c r="R117" i="16" s="1"/>
  <c r="T117" i="16" a="1"/>
  <c r="T117" i="16" s="1"/>
  <c r="P261" i="16" a="1"/>
  <c r="P261" i="16" s="1"/>
  <c r="T244" i="16" a="1"/>
  <c r="T244" i="16" s="1"/>
  <c r="P233" i="16" a="1"/>
  <c r="P233" i="16" s="1"/>
  <c r="T225" i="16" a="1"/>
  <c r="T225" i="16" s="1"/>
  <c r="P220" i="16" a="1"/>
  <c r="P220" i="16" s="1"/>
  <c r="T209" i="16" a="1"/>
  <c r="T209" i="16" s="1"/>
  <c r="T208" i="16" a="1"/>
  <c r="T208" i="16" s="1"/>
  <c r="P231" i="16" a="1"/>
  <c r="P231" i="16" s="1"/>
  <c r="T231" i="16" a="1"/>
  <c r="T231" i="16" s="1"/>
  <c r="R216" i="16" a="1"/>
  <c r="R216" i="16" s="1"/>
  <c r="S214" i="16" a="1"/>
  <c r="S214" i="16" s="1"/>
  <c r="Q198" i="16" a="1"/>
  <c r="Q198" i="16" s="1"/>
  <c r="R198" i="16" a="1"/>
  <c r="R198" i="16" s="1"/>
  <c r="T195" i="16" a="1"/>
  <c r="T195" i="16" s="1"/>
  <c r="R182" i="16" a="1"/>
  <c r="R182" i="16" s="1"/>
  <c r="S182" i="16" a="1"/>
  <c r="S182" i="16" s="1"/>
  <c r="T179" i="16" a="1"/>
  <c r="T179" i="16" s="1"/>
  <c r="S174" i="16" a="1"/>
  <c r="S174" i="16" s="1"/>
  <c r="P174" i="16" a="1"/>
  <c r="P174" i="16" s="1"/>
  <c r="Q174" i="16" a="1"/>
  <c r="Q174" i="16" s="1"/>
  <c r="Q170" i="16" a="1"/>
  <c r="Q170" i="16" s="1"/>
  <c r="R170" i="16" a="1"/>
  <c r="R170" i="16" s="1"/>
  <c r="Q166" i="16" a="1"/>
  <c r="Q166" i="16" s="1"/>
  <c r="S166" i="16" a="1"/>
  <c r="S166" i="16" s="1"/>
  <c r="T166" i="16" a="1"/>
  <c r="T166" i="16" s="1"/>
  <c r="P156" i="16" a="1"/>
  <c r="P156" i="16" s="1"/>
  <c r="T156" i="16" a="1"/>
  <c r="T156" i="16" s="1"/>
  <c r="R156" i="16" a="1"/>
  <c r="R156" i="16" s="1"/>
  <c r="S156" i="16" a="1"/>
  <c r="S156" i="16" s="1"/>
  <c r="S134" i="16" a="1"/>
  <c r="S134" i="16" s="1"/>
  <c r="Q134" i="16" a="1"/>
  <c r="Q134" i="16" s="1"/>
  <c r="R134" i="16" a="1"/>
  <c r="R134" i="16" s="1"/>
  <c r="T134" i="16" a="1"/>
  <c r="T134" i="16" s="1"/>
  <c r="R124" i="16" a="1"/>
  <c r="R124" i="16" s="1"/>
  <c r="S124" i="16" a="1"/>
  <c r="S124" i="16" s="1"/>
  <c r="T124" i="16" a="1"/>
  <c r="T124" i="16" s="1"/>
  <c r="R116" i="16" a="1"/>
  <c r="R116" i="16" s="1"/>
  <c r="Q116" i="16" a="1"/>
  <c r="Q116" i="16" s="1"/>
  <c r="P116" i="16" a="1"/>
  <c r="P116" i="16" s="1"/>
  <c r="S116" i="16" a="1"/>
  <c r="S116" i="16" s="1"/>
  <c r="T116" i="16" a="1"/>
  <c r="T116" i="16" s="1"/>
  <c r="P181" i="16" a="1"/>
  <c r="P181" i="16" s="1"/>
  <c r="T181" i="16" a="1"/>
  <c r="T181" i="16" s="1"/>
  <c r="R152" i="16" a="1"/>
  <c r="R152" i="16" s="1"/>
  <c r="Q152" i="16" a="1"/>
  <c r="Q152" i="16" s="1"/>
  <c r="P145" i="16" a="1"/>
  <c r="P145" i="16" s="1"/>
  <c r="S145" i="16" a="1"/>
  <c r="S145" i="16" s="1"/>
  <c r="R138" i="16" a="1"/>
  <c r="R138" i="16" s="1"/>
  <c r="Q132" i="16" a="1"/>
  <c r="Q132" i="16" s="1"/>
  <c r="S129" i="16" a="1"/>
  <c r="S129" i="16" s="1"/>
  <c r="Q126" i="16" a="1"/>
  <c r="Q126" i="16" s="1"/>
  <c r="T207" i="16" a="1"/>
  <c r="T207" i="16" s="1"/>
  <c r="T199" i="16" a="1"/>
  <c r="T199" i="16" s="1"/>
  <c r="P175" i="16" a="1"/>
  <c r="P175" i="16" s="1"/>
  <c r="Q150" i="16" a="1"/>
  <c r="Q150" i="16" s="1"/>
  <c r="S150" i="16" a="1"/>
  <c r="S150" i="16" s="1"/>
  <c r="P138" i="16" a="1"/>
  <c r="P138" i="16" s="1"/>
  <c r="P128" i="16" a="1"/>
  <c r="P128" i="16" s="1"/>
  <c r="T128" i="16" a="1"/>
  <c r="T128" i="16" s="1"/>
  <c r="S128" i="16" a="1"/>
  <c r="S128" i="16" s="1"/>
  <c r="Q128" i="16" a="1"/>
  <c r="Q128" i="16" s="1"/>
  <c r="P189" i="16" a="1"/>
  <c r="P189" i="16" s="1"/>
  <c r="T189" i="16" a="1"/>
  <c r="T189" i="16" s="1"/>
  <c r="P173" i="16" a="1"/>
  <c r="P173" i="16" s="1"/>
  <c r="T173" i="16" a="1"/>
  <c r="T173" i="16" s="1"/>
  <c r="P148" i="16" a="1"/>
  <c r="P148" i="16" s="1"/>
  <c r="T148" i="16" a="1"/>
  <c r="T148" i="16" s="1"/>
  <c r="Q148" i="16" a="1"/>
  <c r="Q148" i="16" s="1"/>
  <c r="Q147" i="16" a="1"/>
  <c r="Q147" i="16" s="1"/>
  <c r="R147" i="16" a="1"/>
  <c r="R147" i="16" s="1"/>
  <c r="S146" i="16" a="1"/>
  <c r="S146" i="16" s="1"/>
  <c r="R146" i="16" a="1"/>
  <c r="R146" i="16" s="1"/>
  <c r="S126" i="16" a="1"/>
  <c r="S126" i="16" s="1"/>
  <c r="R126" i="16" a="1"/>
  <c r="R126" i="16" s="1"/>
  <c r="R132" i="16" a="1"/>
  <c r="R132" i="16" s="1"/>
  <c r="S132" i="16" a="1"/>
  <c r="S132" i="16" s="1"/>
  <c r="T132" i="16" a="1"/>
  <c r="T132" i="16" s="1"/>
  <c r="R129" i="16" a="1"/>
  <c r="R129" i="16" s="1"/>
  <c r="P129" i="16" a="1"/>
  <c r="P129" i="16" s="1"/>
  <c r="R140" i="16" a="1"/>
  <c r="R140" i="16" s="1"/>
  <c r="P140" i="16" a="1"/>
  <c r="P140" i="16" s="1"/>
  <c r="Q122" i="16" a="1"/>
  <c r="Q122" i="16" s="1"/>
  <c r="P122" i="16" a="1"/>
  <c r="P122" i="16" s="1"/>
  <c r="P121" i="16" a="1"/>
  <c r="P121" i="16" s="1"/>
  <c r="T142" i="16" a="1"/>
  <c r="T142" i="16" s="1"/>
  <c r="T140" i="16" a="1"/>
  <c r="T140" i="16" s="1"/>
  <c r="P120" i="16" a="1"/>
  <c r="P120" i="16" s="1"/>
  <c r="T120" i="16" a="1"/>
  <c r="T120" i="16" s="1"/>
  <c r="R120" i="16" a="1"/>
  <c r="R120" i="16" s="1"/>
  <c r="P114" i="16" a="1"/>
  <c r="P114" i="16" s="1"/>
  <c r="P136" i="16" a="1"/>
  <c r="P136" i="16" s="1"/>
  <c r="T136" i="16" a="1"/>
  <c r="T136" i="16" s="1"/>
  <c r="E7" i="3"/>
  <c r="T30" i="11" a="1"/>
  <c r="T17" i="11" a="1"/>
  <c r="T32" i="11" a="1"/>
  <c r="T67" i="11" a="1"/>
  <c r="T83" i="11" a="1"/>
  <c r="T99" i="11" a="1"/>
  <c r="T24" i="11" a="1"/>
  <c r="T40" i="11" a="1"/>
  <c r="T64" i="11" a="1"/>
  <c r="T80" i="11" a="1"/>
  <c r="T96" i="11" a="1"/>
  <c r="T112" i="11" a="1"/>
  <c r="T34" i="11" a="1"/>
  <c r="P112" i="16" a="1"/>
  <c r="T82" i="16" a="1"/>
  <c r="S91" i="16" a="1"/>
  <c r="Q104" i="16" a="1"/>
  <c r="P99" i="16" a="1"/>
  <c r="T48" i="16" a="1"/>
  <c r="R86" i="16" a="1"/>
  <c r="S111" i="16" a="1"/>
  <c r="Q38" i="16" a="1"/>
  <c r="R80" i="16" a="1"/>
  <c r="S19" i="16" a="1"/>
  <c r="T69" i="16" a="1"/>
  <c r="R29" i="16" a="1"/>
  <c r="Q98" i="16" a="1"/>
  <c r="R88" i="16" a="1"/>
  <c r="S52" i="16" a="1"/>
  <c r="Q71" i="16" a="1"/>
  <c r="R61" i="16" a="1"/>
  <c r="P17" i="16" a="1"/>
  <c r="R28" i="16" a="1"/>
  <c r="P31" i="16" a="1"/>
  <c r="Q102" i="16" a="1"/>
  <c r="T65" i="16" a="1"/>
  <c r="R75" i="16" a="1"/>
  <c r="T81" i="16" a="1"/>
  <c r="T37" i="11" a="1"/>
  <c r="T26" i="11" a="1"/>
  <c r="T53" i="11" a="1"/>
  <c r="T69" i="11" a="1"/>
  <c r="T85" i="11" a="1"/>
  <c r="T101" i="11" a="1"/>
  <c r="T27" i="11" a="1"/>
  <c r="T43" i="11" a="1"/>
  <c r="T66" i="11" a="1"/>
  <c r="T82" i="11" a="1"/>
  <c r="T98" i="11" a="1"/>
  <c r="T114" i="11" a="1"/>
  <c r="T112" i="16" a="1"/>
  <c r="Q82" i="16" a="1"/>
  <c r="Q70" i="16" a="1"/>
  <c r="S104" i="16" a="1"/>
  <c r="R99" i="16" a="1"/>
  <c r="S48" i="16" a="1"/>
  <c r="P105" i="16" a="1"/>
  <c r="T111" i="16" a="1"/>
  <c r="R38" i="16" a="1"/>
  <c r="P47" i="16" a="1"/>
  <c r="R90" i="16" a="1"/>
  <c r="Q65" i="16" a="1"/>
  <c r="Q83" i="16" a="1"/>
  <c r="S88" i="16" a="1"/>
  <c r="T52" i="16" a="1"/>
  <c r="Q24" i="16" a="1"/>
  <c r="Q28" i="16" a="1"/>
  <c r="R79" i="16" a="1"/>
  <c r="S55" i="16" a="1"/>
  <c r="Q35" i="16" a="1"/>
  <c r="Q76" i="16" a="1"/>
  <c r="R15" i="16" a="1"/>
  <c r="Q43" i="16" a="1"/>
  <c r="P43" i="16" a="1"/>
  <c r="T46" i="11" a="1"/>
  <c r="T55" i="11" a="1"/>
  <c r="T87" i="11" a="1"/>
  <c r="T84" i="11" a="1"/>
  <c r="S99" i="16" a="1"/>
  <c r="S90" i="16" a="1"/>
  <c r="Q33" i="16" a="1"/>
  <c r="P32" i="16" a="1"/>
  <c r="S85" i="16" a="1"/>
  <c r="R108" i="16" a="1"/>
  <c r="P94" i="16" a="1"/>
  <c r="P53" i="16" a="1"/>
  <c r="T19" i="11" a="1"/>
  <c r="T38" i="11" a="1"/>
  <c r="T57" i="11" a="1"/>
  <c r="T73" i="11" a="1"/>
  <c r="T89" i="11" a="1"/>
  <c r="T105" i="11" a="1"/>
  <c r="T39" i="11" a="1"/>
  <c r="T54" i="11" a="1"/>
  <c r="T70" i="11" a="1"/>
  <c r="T86" i="11" a="1"/>
  <c r="T102" i="11" a="1"/>
  <c r="R112" i="16" a="1"/>
  <c r="T70" i="16" a="1"/>
  <c r="R101" i="16" a="1"/>
  <c r="T99" i="16" a="1"/>
  <c r="S105" i="16" a="1"/>
  <c r="Q85" i="16" a="1"/>
  <c r="Q47" i="16" a="1"/>
  <c r="T90" i="16" a="1"/>
  <c r="S65" i="16" a="1"/>
  <c r="P108" i="16" a="1"/>
  <c r="R56" i="16" a="1"/>
  <c r="S60" i="16" a="1"/>
  <c r="R33" i="16" a="1"/>
  <c r="S24" i="16" a="1"/>
  <c r="S28" i="16" a="1"/>
  <c r="Q62" i="16" a="1"/>
  <c r="Q51" i="16" a="1"/>
  <c r="R30" i="16" a="1"/>
  <c r="Q44" i="16" a="1"/>
  <c r="T89" i="16" a="1"/>
  <c r="T31" i="16" a="1"/>
  <c r="T39" i="16" a="1"/>
  <c r="T41" i="11" a="1"/>
  <c r="T59" i="11" a="1"/>
  <c r="T75" i="11" a="1"/>
  <c r="T91" i="11" a="1"/>
  <c r="T107" i="11" a="1"/>
  <c r="T15" i="11" a="1"/>
  <c r="T48" i="11" a="1"/>
  <c r="T56" i="11" a="1"/>
  <c r="T72" i="11" a="1"/>
  <c r="T88" i="11" a="1"/>
  <c r="T104" i="11" a="1"/>
  <c r="S112" i="16" a="1"/>
  <c r="Q91" i="16" a="1"/>
  <c r="S101" i="16" a="1"/>
  <c r="Q57" i="16" a="1"/>
  <c r="S56" i="16" a="1"/>
  <c r="P27" i="16" a="1"/>
  <c r="T28" i="11" a="1"/>
  <c r="T35" i="11" a="1"/>
  <c r="T50" i="11" a="1"/>
  <c r="T61" i="11" a="1"/>
  <c r="T77" i="11" a="1"/>
  <c r="T93" i="11" a="1"/>
  <c r="T109" i="11" a="1"/>
  <c r="T33" i="11" a="1"/>
  <c r="T18" i="11" a="1"/>
  <c r="T58" i="11" a="1"/>
  <c r="T74" i="11" a="1"/>
  <c r="T90" i="11" a="1"/>
  <c r="T106" i="11" a="1"/>
  <c r="T91" i="16" a="1"/>
  <c r="P70" i="16" a="1"/>
  <c r="T101" i="16" a="1"/>
  <c r="T86" i="16" a="1"/>
  <c r="T85" i="16" a="1"/>
  <c r="S102" i="16" a="1"/>
  <c r="R57" i="16" a="1"/>
  <c r="Q107" i="16" a="1"/>
  <c r="S47" i="16" a="1"/>
  <c r="S69" i="16" a="1"/>
  <c r="S29" i="16" a="1"/>
  <c r="P107" i="16" a="1"/>
  <c r="Q56" i="16" a="1"/>
  <c r="P52" i="16" a="1"/>
  <c r="P78" i="16" a="1"/>
  <c r="Q75" i="16" a="1"/>
  <c r="T94" i="16" a="1"/>
  <c r="R96" i="16" a="1"/>
  <c r="P41" i="16" a="1"/>
  <c r="P23" i="16" a="1"/>
  <c r="R25" i="16" a="1"/>
  <c r="P67" i="16" a="1"/>
  <c r="P21" i="16" a="1"/>
  <c r="T15" i="16" a="1"/>
  <c r="R55" i="16" a="1"/>
  <c r="T92" i="16" a="1"/>
  <c r="P15" i="16" a="1"/>
  <c r="T36" i="11" a="1"/>
  <c r="R105" i="16" a="1"/>
  <c r="R65" i="16" a="1"/>
  <c r="R24" i="16" a="1"/>
  <c r="Q53" i="16" a="1"/>
  <c r="P86" i="16" a="1"/>
  <c r="P90" i="16" a="1"/>
  <c r="Q96" i="16" a="1"/>
  <c r="P25" i="16" a="1"/>
  <c r="T44" i="11" a="1"/>
  <c r="T20" i="11" a="1"/>
  <c r="T63" i="11" a="1"/>
  <c r="T79" i="11" a="1"/>
  <c r="T95" i="11" a="1"/>
  <c r="T111" i="11" a="1"/>
  <c r="T42" i="11" a="1"/>
  <c r="T49" i="11" a="1"/>
  <c r="T60" i="11" a="1"/>
  <c r="T76" i="11" a="1"/>
  <c r="T92" i="11" a="1"/>
  <c r="T108" i="11" a="1"/>
  <c r="T22" i="11" a="1"/>
  <c r="R82" i="16" a="1"/>
  <c r="P91" i="16" a="1"/>
  <c r="Q101" i="16" a="1"/>
  <c r="P48" i="16" a="1"/>
  <c r="Q86" i="16" a="1"/>
  <c r="Q111" i="16" a="1"/>
  <c r="P85" i="16" a="1"/>
  <c r="T102" i="16" a="1"/>
  <c r="T57" i="16" a="1"/>
  <c r="Q80" i="16" a="1"/>
  <c r="R19" i="16" a="1"/>
  <c r="R69" i="16" a="1"/>
  <c r="P29" i="16" a="1"/>
  <c r="R98" i="16" a="1"/>
  <c r="T56" i="16" a="1"/>
  <c r="Q52" i="16" a="1"/>
  <c r="P71" i="16" a="1"/>
  <c r="S61" i="16" a="1"/>
  <c r="Q94" i="16" a="1"/>
  <c r="P55" i="16" a="1"/>
  <c r="Q40" i="16" a="1"/>
  <c r="T23" i="16" a="1"/>
  <c r="Q21" i="16" a="1"/>
  <c r="P63" i="16" a="1"/>
  <c r="Q20" i="16" a="1"/>
  <c r="C7" i="6"/>
  <c r="T29" i="11" a="1"/>
  <c r="T71" i="11" a="1"/>
  <c r="T103" i="11" a="1"/>
  <c r="T68" i="11" a="1"/>
  <c r="T100" i="11" a="1"/>
  <c r="Q112" i="16" a="1"/>
  <c r="R70" i="16" a="1"/>
  <c r="R85" i="16" a="1"/>
  <c r="S38" i="16" a="1"/>
  <c r="S83" i="16" a="1"/>
  <c r="P62" i="16" a="1"/>
  <c r="T97" i="16" a="1"/>
  <c r="S70" i="16" a="1"/>
  <c r="Q113" i="16" a="1"/>
  <c r="S33" i="16" a="1"/>
  <c r="Q30" i="16" a="1"/>
  <c r="T21" i="11" a="1"/>
  <c r="T51" i="11" a="1"/>
  <c r="T23" i="11" a="1"/>
  <c r="T65" i="11" a="1"/>
  <c r="T81" i="11" a="1"/>
  <c r="T97" i="11" a="1"/>
  <c r="T113" i="11" a="1"/>
  <c r="T45" i="11" a="1"/>
  <c r="T31" i="11" a="1"/>
  <c r="T62" i="11" a="1"/>
  <c r="T78" i="11" a="1"/>
  <c r="T94" i="11" a="1"/>
  <c r="T110" i="11" a="1"/>
  <c r="T25" i="11" a="1"/>
  <c r="S82" i="16" a="1"/>
  <c r="R91" i="16" a="1"/>
  <c r="R104" i="16" a="1"/>
  <c r="Q99" i="16" a="1"/>
  <c r="Q48" i="16" a="1"/>
  <c r="S86" i="16" a="1"/>
  <c r="R111" i="16" a="1"/>
  <c r="P38" i="16" a="1"/>
  <c r="P80" i="16" a="1"/>
  <c r="Q19" i="16" a="1"/>
  <c r="Q69" i="16" a="1"/>
  <c r="Q29" i="16" a="1"/>
  <c r="S98" i="16" a="1"/>
  <c r="Q88" i="16" a="1"/>
  <c r="R52" i="16" a="1"/>
  <c r="T71" i="16" a="1"/>
  <c r="Q61" i="16" a="1"/>
  <c r="P79" i="16" a="1"/>
  <c r="T55" i="16" a="1"/>
  <c r="R39" i="16" a="1"/>
  <c r="T100" i="16" a="1"/>
  <c r="R20" i="16" a="1"/>
  <c r="T63" i="16" a="1"/>
  <c r="T17" i="16" a="1"/>
  <c r="T79" i="16" a="1"/>
  <c r="P36" i="16" a="1"/>
  <c r="P49" i="16" a="1"/>
  <c r="T47" i="11" a="1"/>
  <c r="T52" i="11" a="1"/>
  <c r="P104" i="16" a="1"/>
  <c r="T47" i="16" a="1"/>
  <c r="R60" i="16" a="1"/>
  <c r="R51" i="16" a="1"/>
  <c r="P39" i="16" a="1"/>
  <c r="R47" i="16" a="1"/>
  <c r="T60" i="16" a="1"/>
  <c r="S51" i="16" a="1"/>
  <c r="N143" i="6" a="1"/>
  <c r="N83" i="6" a="1"/>
  <c r="N295" i="6" a="1"/>
  <c r="N199" i="6" a="1"/>
  <c r="N156" i="6" a="1"/>
  <c r="N23" i="6" a="1"/>
  <c r="N287" i="6" a="1"/>
  <c r="N237" i="6" a="1"/>
  <c r="N144" i="6" a="1"/>
  <c r="N318" i="6" a="1"/>
  <c r="N227" i="6" a="1"/>
  <c r="N180" i="6" a="1"/>
  <c r="N12" i="6" a="1"/>
  <c r="N356" i="6" a="1"/>
  <c r="N316" i="6" a="1"/>
  <c r="N272" i="6" a="1"/>
  <c r="N223" i="6" a="1"/>
  <c r="N179" i="6" a="1"/>
  <c r="N132" i="6" a="1"/>
  <c r="N73" i="6" a="1"/>
  <c r="N250" i="6" a="1"/>
  <c r="N106" i="6" a="1"/>
  <c r="N97" i="6" a="1"/>
  <c r="N326" i="6" a="1"/>
  <c r="N283" i="6" a="1"/>
  <c r="N190" i="6" a="1"/>
  <c r="N96" i="6" a="1"/>
  <c r="N357" i="6" a="1"/>
  <c r="N273" i="6" a="1"/>
  <c r="N133" i="6" a="1"/>
  <c r="N347" i="6" a="1"/>
  <c r="N306" i="6" a="1"/>
  <c r="N261" i="6" a="1"/>
  <c r="N213" i="6" a="1"/>
  <c r="N170" i="6" a="1"/>
  <c r="N120" i="6" a="1"/>
  <c r="N59" i="6" a="1"/>
  <c r="N236" i="6" a="1"/>
  <c r="N345" i="6" a="1"/>
  <c r="N305" i="6" a="1"/>
  <c r="N260" i="6" a="1"/>
  <c r="N212" i="6" a="1"/>
  <c r="N167" i="6" a="1"/>
  <c r="N119" i="6" a="1"/>
  <c r="N335" i="6" a="1"/>
  <c r="N296" i="6" a="1"/>
  <c r="N251" i="6" a="1"/>
  <c r="N200" i="6" a="1"/>
  <c r="N157" i="6" a="1"/>
  <c r="N110" i="6" a="1"/>
  <c r="N37" i="6" a="1"/>
  <c r="N72" i="6" a="1"/>
  <c r="N58" i="6" a="1"/>
  <c r="N36" i="6" a="1"/>
  <c r="N22" i="6" a="1"/>
  <c r="N355" i="6" a="1"/>
  <c r="N334" i="6" a="1"/>
  <c r="N314" i="6" a="1"/>
  <c r="N282" i="6" a="1"/>
  <c r="N271" i="6" a="1"/>
  <c r="N246" i="6" a="1"/>
  <c r="N235" i="6" a="1"/>
  <c r="N211" i="6" a="1"/>
  <c r="N186" i="6" a="1"/>
  <c r="N166" i="6" a="1"/>
  <c r="N142" i="6" a="1"/>
  <c r="N128" i="6" a="1"/>
  <c r="N95" i="6" a="1"/>
  <c r="N68" i="6" a="1"/>
  <c r="N35" i="6" a="1"/>
  <c r="N353" i="6" a="1"/>
  <c r="N342" i="6" a="1"/>
  <c r="N333" i="6" a="1"/>
  <c r="N323" i="6" a="1"/>
  <c r="N313" i="6" a="1"/>
  <c r="N303" i="6" a="1"/>
  <c r="N293" i="6" a="1"/>
  <c r="N281" i="6" a="1"/>
  <c r="N268" i="6" a="1"/>
  <c r="N258" i="6" a="1"/>
  <c r="N245" i="6" a="1"/>
  <c r="N234" i="6" a="1"/>
  <c r="N221" i="6" a="1"/>
  <c r="N207" i="6" a="1"/>
  <c r="N198" i="6" a="1"/>
  <c r="N185" i="6" a="1"/>
  <c r="N165" i="6" a="1"/>
  <c r="N151" i="6" a="1"/>
  <c r="N141" i="6" a="1"/>
  <c r="N127" i="6" a="1"/>
  <c r="N117" i="6" a="1"/>
  <c r="N105" i="6" a="1"/>
  <c r="N91" i="6" a="1"/>
  <c r="N81" i="6" a="1"/>
  <c r="N67" i="6" a="1"/>
  <c r="N57" i="6" a="1"/>
  <c r="N44" i="6" a="1"/>
  <c r="N31" i="6" a="1"/>
  <c r="N21" i="6" a="1"/>
  <c r="N14" i="6" a="1"/>
  <c r="N82" i="6" a="1"/>
  <c r="N46" i="6" a="1"/>
  <c r="M11" i="6" a="1"/>
  <c r="N343" i="6" a="1"/>
  <c r="N351" i="6" a="1"/>
  <c r="N302" i="6" a="1"/>
  <c r="N257" i="6" a="1"/>
  <c r="N164" i="6" a="1"/>
  <c r="N150" i="6" a="1"/>
  <c r="N140" i="6" a="1"/>
  <c r="N126" i="6" a="1"/>
  <c r="N104" i="6" a="1"/>
  <c r="N90" i="6" a="1"/>
  <c r="N80" i="6" a="1"/>
  <c r="N66" i="6" a="1"/>
  <c r="N53" i="6" a="1"/>
  <c r="N43" i="6" a="1"/>
  <c r="N30" i="6" a="1"/>
  <c r="N20" i="6" a="1"/>
  <c r="H11" i="6" a="1"/>
  <c r="N332" i="6" a="1"/>
  <c r="N312" i="6" a="1"/>
  <c r="N267" i="6" a="1"/>
  <c r="N220" i="6" a="1"/>
  <c r="N360" i="6" a="1"/>
  <c r="N350" i="6" a="1"/>
  <c r="N340" i="6" a="1"/>
  <c r="N330" i="6" a="1"/>
  <c r="N320" i="6" a="1"/>
  <c r="N311" i="6" a="1"/>
  <c r="N300" i="6" a="1"/>
  <c r="N290" i="6" a="1"/>
  <c r="N279" i="6" a="1"/>
  <c r="N266" i="6" a="1"/>
  <c r="N254" i="6" a="1"/>
  <c r="N243" i="6" a="1"/>
  <c r="N230" i="6" a="1"/>
  <c r="N219" i="6" a="1"/>
  <c r="N206" i="6" a="1"/>
  <c r="N193" i="6" a="1"/>
  <c r="N173" i="6" a="1"/>
  <c r="N163" i="6" a="1"/>
  <c r="N149" i="6" a="1"/>
  <c r="N136" i="6" a="1"/>
  <c r="N125" i="6" a="1"/>
  <c r="N113" i="6" a="1"/>
  <c r="N103" i="6" a="1"/>
  <c r="N89" i="6" a="1"/>
  <c r="N76" i="6" a="1"/>
  <c r="N65" i="6" a="1"/>
  <c r="N52" i="6" a="1"/>
  <c r="N42" i="6" a="1"/>
  <c r="N29" i="6" a="1"/>
  <c r="N16" i="6" a="1"/>
  <c r="G11" i="6" a="1"/>
  <c r="C7" i="11" a="1"/>
  <c r="N325" i="6" a="1"/>
  <c r="N304" i="6" a="1"/>
  <c r="N259" i="6" a="1"/>
  <c r="N222" i="6" a="1"/>
  <c r="N178" i="6" a="1"/>
  <c r="N155" i="6" a="1"/>
  <c r="N118" i="6" a="1"/>
  <c r="N45" i="6" a="1"/>
  <c r="L11" i="6" a="1"/>
  <c r="N321" i="6" a="1"/>
  <c r="N280" i="6" a="1"/>
  <c r="N244" i="6" a="1"/>
  <c r="N174" i="6" a="1"/>
  <c r="N349" i="6" a="1"/>
  <c r="N339" i="6" a="1"/>
  <c r="N328" i="6" a="1"/>
  <c r="N319" i="6" a="1"/>
  <c r="N310" i="6" a="1"/>
  <c r="N298" i="6" a="1"/>
  <c r="N289" i="6" a="1"/>
  <c r="N275" i="6" a="1"/>
  <c r="N265" i="6" a="1"/>
  <c r="N253" i="6" a="1"/>
  <c r="N242" i="6" a="1"/>
  <c r="N229" i="6" a="1"/>
  <c r="N215" i="6" a="1"/>
  <c r="N205" i="6" a="1"/>
  <c r="N192" i="6" a="1"/>
  <c r="N172" i="6" a="1"/>
  <c r="N159" i="6" a="1"/>
  <c r="N148" i="6" a="1"/>
  <c r="N135" i="6" a="1"/>
  <c r="N124" i="6" a="1"/>
  <c r="N112" i="6" a="1"/>
  <c r="N99" i="6" a="1"/>
  <c r="N88" i="6" a="1"/>
  <c r="N75" i="6" a="1"/>
  <c r="N64" i="6" a="1"/>
  <c r="N51" i="6" a="1"/>
  <c r="N39" i="6" a="1"/>
  <c r="N28" i="6" a="1"/>
  <c r="N15" i="6" a="1"/>
  <c r="F11" i="6" a="1"/>
  <c r="N341" i="6" a="1"/>
  <c r="N291" i="6" a="1"/>
  <c r="N197" i="6" a="1"/>
  <c r="N358" i="6" a="1"/>
  <c r="N348" i="6" a="1"/>
  <c r="N337" i="6" a="1"/>
  <c r="N327" i="6" a="1"/>
  <c r="N308" i="6" a="1"/>
  <c r="N297" i="6" a="1"/>
  <c r="N288" i="6" a="1"/>
  <c r="N274" i="6" a="1"/>
  <c r="N264" i="6" a="1"/>
  <c r="N252" i="6" a="1"/>
  <c r="N238" i="6" a="1"/>
  <c r="N228" i="6" a="1"/>
  <c r="N214" i="6" a="1"/>
  <c r="N204" i="6" a="1"/>
  <c r="N191" i="6" a="1"/>
  <c r="N181" i="6" a="1"/>
  <c r="N171" i="6" a="1"/>
  <c r="N158" i="6" a="1"/>
  <c r="N147" i="6" a="1"/>
  <c r="N134" i="6" a="1"/>
  <c r="N121" i="6" a="1"/>
  <c r="N111" i="6" a="1"/>
  <c r="N98" i="6" a="1"/>
  <c r="N87" i="6" a="1"/>
  <c r="N74" i="6" a="1"/>
  <c r="N60" i="6" a="1"/>
  <c r="N50" i="6" a="1"/>
  <c r="N38" i="6" a="1"/>
  <c r="N27" i="6" a="1"/>
  <c r="E11" i="6" a="1"/>
  <c r="N361" i="6" a="1"/>
  <c r="N354" i="6" a="1"/>
  <c r="N346" i="6" a="1"/>
  <c r="N338" i="6" a="1"/>
  <c r="N331" i="6" a="1"/>
  <c r="N324" i="6" a="1"/>
  <c r="N317" i="6" a="1"/>
  <c r="N309" i="6" a="1"/>
  <c r="N301" i="6" a="1"/>
  <c r="N294" i="6" a="1"/>
  <c r="N286" i="6" a="1"/>
  <c r="N278" i="6" a="1"/>
  <c r="N263" i="6" a="1"/>
  <c r="N256" i="6" a="1"/>
  <c r="N249" i="6" a="1"/>
  <c r="N241" i="6" a="1"/>
  <c r="N233" i="6" a="1"/>
  <c r="N226" i="6" a="1"/>
  <c r="N218" i="6" a="1"/>
  <c r="N210" i="6" a="1"/>
  <c r="N203" i="6" a="1"/>
  <c r="N196" i="6" a="1"/>
  <c r="N189" i="6" a="1"/>
  <c r="N184" i="6" a="1"/>
  <c r="N177" i="6" a="1"/>
  <c r="N162" i="6" a="1"/>
  <c r="N154" i="6" a="1"/>
  <c r="N146" i="6" a="1"/>
  <c r="N139" i="6" a="1"/>
  <c r="N131" i="6" a="1"/>
  <c r="N123" i="6" a="1"/>
  <c r="N116" i="6" a="1"/>
  <c r="N109" i="6" a="1"/>
  <c r="N102" i="6" a="1"/>
  <c r="N94" i="6" a="1"/>
  <c r="N86" i="6" a="1"/>
  <c r="N79" i="6" a="1"/>
  <c r="N71" i="6" a="1"/>
  <c r="N63" i="6" a="1"/>
  <c r="N56" i="6" a="1"/>
  <c r="N49" i="6" a="1"/>
  <c r="N34" i="6" a="1"/>
  <c r="N26" i="6" a="1"/>
  <c r="N19" i="6" a="1"/>
  <c r="N13" i="6" a="1"/>
  <c r="K11" i="6" a="1"/>
  <c r="N277" i="6" a="1"/>
  <c r="N255" i="6" a="1"/>
  <c r="N240" i="6" a="1"/>
  <c r="N217" i="6" a="1"/>
  <c r="N202" i="6" a="1"/>
  <c r="N183" i="6" a="1"/>
  <c r="N161" i="6" a="1"/>
  <c r="N138" i="6" a="1"/>
  <c r="N115" i="6" a="1"/>
  <c r="N101" i="6" a="1"/>
  <c r="N85" i="6" a="1"/>
  <c r="N62" i="6" a="1"/>
  <c r="N48" i="6" a="1"/>
  <c r="N41" i="6" a="1"/>
  <c r="N33" i="6" a="1"/>
  <c r="N18" i="6" a="1"/>
  <c r="J11" i="6" a="1"/>
  <c r="N285" i="6" a="1"/>
  <c r="N270" i="6" a="1"/>
  <c r="N248" i="6" a="1"/>
  <c r="N232" i="6" a="1"/>
  <c r="N225" i="6" a="1"/>
  <c r="N209" i="6" a="1"/>
  <c r="N195" i="6" a="1"/>
  <c r="N188" i="6" a="1"/>
  <c r="N176" i="6" a="1"/>
  <c r="N169" i="6" a="1"/>
  <c r="N153" i="6" a="1"/>
  <c r="N130" i="6" a="1"/>
  <c r="N122" i="6" a="1"/>
  <c r="N108" i="6" a="1"/>
  <c r="N93" i="6" a="1"/>
  <c r="N78" i="6" a="1"/>
  <c r="N70" i="6" a="1"/>
  <c r="N55" i="6" a="1"/>
  <c r="N25" i="6" a="1"/>
  <c r="N359" i="6" a="1"/>
  <c r="N352" i="6" a="1"/>
  <c r="N344" i="6" a="1"/>
  <c r="N336" i="6" a="1"/>
  <c r="N329" i="6" a="1"/>
  <c r="N322" i="6" a="1"/>
  <c r="N315" i="6" a="1"/>
  <c r="N307" i="6" a="1"/>
  <c r="N299" i="6" a="1"/>
  <c r="N292" i="6" a="1"/>
  <c r="N284" i="6" a="1"/>
  <c r="N276" i="6" a="1"/>
  <c r="N269" i="6" a="1"/>
  <c r="N262" i="6" a="1"/>
  <c r="N247" i="6" a="1"/>
  <c r="N239" i="6" a="1"/>
  <c r="N231" i="6" a="1"/>
  <c r="N224" i="6" a="1"/>
  <c r="N216" i="6" a="1"/>
  <c r="N208" i="6" a="1"/>
  <c r="N201" i="6" a="1"/>
  <c r="N194" i="6" a="1"/>
  <c r="N187" i="6" a="1"/>
  <c r="N182" i="6" a="1"/>
  <c r="N175" i="6" a="1"/>
  <c r="N168" i="6" a="1"/>
  <c r="N160" i="6" a="1"/>
  <c r="N152" i="6" a="1"/>
  <c r="N145" i="6" a="1"/>
  <c r="N137" i="6" a="1"/>
  <c r="N129" i="6" a="1"/>
  <c r="N114" i="6" a="1"/>
  <c r="N107" i="6" a="1"/>
  <c r="N100" i="6" a="1"/>
  <c r="N92" i="6" a="1"/>
  <c r="N84" i="6" a="1"/>
  <c r="N77" i="6" a="1"/>
  <c r="N69" i="6" a="1"/>
  <c r="N61" i="6" a="1"/>
  <c r="N54" i="6" a="1"/>
  <c r="N47" i="6" a="1"/>
  <c r="N40" i="6" a="1"/>
  <c r="N32" i="6" a="1"/>
  <c r="N24" i="6" a="1"/>
  <c r="N17" i="6" a="1"/>
  <c r="I11" i="6" a="1"/>
  <c r="I11" i="6" l="1"/>
  <c r="N17" i="6"/>
  <c r="N24" i="6"/>
  <c r="N32" i="6"/>
  <c r="N40" i="6"/>
  <c r="N47" i="6"/>
  <c r="N54" i="6"/>
  <c r="N61" i="6"/>
  <c r="N69" i="6"/>
  <c r="N77" i="6"/>
  <c r="N84" i="6"/>
  <c r="N92" i="6"/>
  <c r="N100" i="6"/>
  <c r="N107" i="6"/>
  <c r="N114" i="6"/>
  <c r="N129" i="6"/>
  <c r="N137" i="6"/>
  <c r="N145" i="6"/>
  <c r="N152" i="6"/>
  <c r="N160" i="6"/>
  <c r="N168" i="6"/>
  <c r="N175" i="6"/>
  <c r="N182" i="6"/>
  <c r="N187" i="6"/>
  <c r="N194" i="6"/>
  <c r="N201" i="6"/>
  <c r="N208" i="6"/>
  <c r="N216" i="6"/>
  <c r="N224" i="6"/>
  <c r="N231" i="6"/>
  <c r="N239" i="6"/>
  <c r="N247" i="6"/>
  <c r="N262" i="6"/>
  <c r="N269" i="6"/>
  <c r="N276" i="6"/>
  <c r="N284" i="6"/>
  <c r="N292" i="6"/>
  <c r="N299" i="6"/>
  <c r="N307" i="6"/>
  <c r="N315" i="6"/>
  <c r="N322" i="6"/>
  <c r="N329" i="6"/>
  <c r="N336" i="6"/>
  <c r="N344" i="6"/>
  <c r="N352" i="6"/>
  <c r="N359" i="6"/>
  <c r="N25" i="6"/>
  <c r="N55" i="6"/>
  <c r="N70" i="6"/>
  <c r="N78" i="6"/>
  <c r="N93" i="6"/>
  <c r="N108" i="6"/>
  <c r="N122" i="6"/>
  <c r="N130" i="6"/>
  <c r="N153" i="6"/>
  <c r="N169" i="6"/>
  <c r="N176" i="6"/>
  <c r="N188" i="6"/>
  <c r="N195" i="6"/>
  <c r="N209" i="6"/>
  <c r="N225" i="6"/>
  <c r="N232" i="6"/>
  <c r="N248" i="6"/>
  <c r="N270" i="6"/>
  <c r="N285" i="6"/>
  <c r="J11" i="6"/>
  <c r="N18" i="6"/>
  <c r="N33" i="6"/>
  <c r="N41" i="6"/>
  <c r="N48" i="6"/>
  <c r="N62" i="6"/>
  <c r="N85" i="6"/>
  <c r="N101" i="6"/>
  <c r="N115" i="6"/>
  <c r="N138" i="6"/>
  <c r="N161" i="6"/>
  <c r="N183" i="6"/>
  <c r="N202" i="6"/>
  <c r="N217" i="6"/>
  <c r="N240" i="6"/>
  <c r="N255" i="6"/>
  <c r="N277" i="6"/>
  <c r="K11" i="6"/>
  <c r="N13" i="6"/>
  <c r="Z13" i="6"/>
  <c r="AB13" i="6"/>
  <c r="O13" i="6"/>
  <c r="P13" i="6"/>
  <c r="W13" i="6"/>
  <c r="T13" i="6"/>
  <c r="AE13" i="6"/>
  <c r="Q13" i="6"/>
  <c r="V13" i="6"/>
  <c r="Y13" i="6"/>
  <c r="AD13" i="6"/>
  <c r="S13" i="6"/>
  <c r="R13" i="6"/>
  <c r="AA13" i="6"/>
  <c r="X13" i="6"/>
  <c r="U13" i="6"/>
  <c r="AC13" i="6"/>
  <c r="N19" i="6"/>
  <c r="N26" i="6"/>
  <c r="N34" i="6"/>
  <c r="N49" i="6"/>
  <c r="N56" i="6"/>
  <c r="N63" i="6"/>
  <c r="N71" i="6"/>
  <c r="N79" i="6"/>
  <c r="N86" i="6"/>
  <c r="N94" i="6"/>
  <c r="N102" i="6"/>
  <c r="N109" i="6"/>
  <c r="N116" i="6"/>
  <c r="N123" i="6"/>
  <c r="N131" i="6"/>
  <c r="N139" i="6"/>
  <c r="N146" i="6"/>
  <c r="N154" i="6"/>
  <c r="N162" i="6"/>
  <c r="N177" i="6"/>
  <c r="R184" i="6"/>
  <c r="N184" i="6"/>
  <c r="P184" i="6"/>
  <c r="AD184" i="6"/>
  <c r="AB184" i="6"/>
  <c r="Y184" i="6"/>
  <c r="T184" i="6"/>
  <c r="Q184" i="6"/>
  <c r="S184" i="6"/>
  <c r="V184" i="6"/>
  <c r="AE184" i="6"/>
  <c r="W184" i="6"/>
  <c r="AC184" i="6"/>
  <c r="U184" i="6"/>
  <c r="O184" i="6"/>
  <c r="Z184" i="6"/>
  <c r="AA184" i="6"/>
  <c r="X184" i="6"/>
  <c r="N189" i="6"/>
  <c r="N196" i="6"/>
  <c r="N203" i="6"/>
  <c r="N210" i="6"/>
  <c r="N218" i="6"/>
  <c r="N226" i="6"/>
  <c r="N233" i="6"/>
  <c r="N241" i="6"/>
  <c r="N249" i="6"/>
  <c r="N256" i="6"/>
  <c r="N263" i="6"/>
  <c r="N278" i="6"/>
  <c r="N286" i="6"/>
  <c r="N294" i="6"/>
  <c r="N301" i="6"/>
  <c r="N309" i="6"/>
  <c r="N317" i="6"/>
  <c r="N324" i="6"/>
  <c r="N331" i="6"/>
  <c r="N338" i="6"/>
  <c r="N346" i="6"/>
  <c r="N354" i="6"/>
  <c r="N361" i="6"/>
  <c r="E11" i="6"/>
  <c r="N27" i="6"/>
  <c r="N38" i="6"/>
  <c r="N50" i="6"/>
  <c r="N60" i="6"/>
  <c r="N74" i="6"/>
  <c r="N87" i="6"/>
  <c r="N98" i="6"/>
  <c r="N111" i="6"/>
  <c r="N121" i="6"/>
  <c r="N134" i="6"/>
  <c r="N147" i="6"/>
  <c r="N158" i="6"/>
  <c r="N171" i="6"/>
  <c r="N181" i="6"/>
  <c r="N191" i="6"/>
  <c r="N204" i="6"/>
  <c r="N214" i="6"/>
  <c r="N228" i="6"/>
  <c r="N238" i="6"/>
  <c r="N252" i="6"/>
  <c r="N264" i="6"/>
  <c r="N274" i="6"/>
  <c r="N288" i="6"/>
  <c r="N297" i="6"/>
  <c r="N308" i="6"/>
  <c r="N327" i="6"/>
  <c r="N337" i="6"/>
  <c r="N348" i="6"/>
  <c r="N358" i="6"/>
  <c r="N197" i="6"/>
  <c r="N291" i="6"/>
  <c r="N341" i="6"/>
  <c r="F11" i="6"/>
  <c r="N15" i="6"/>
  <c r="N28" i="6"/>
  <c r="N39" i="6"/>
  <c r="N51" i="6"/>
  <c r="N64" i="6"/>
  <c r="N75" i="6"/>
  <c r="N88" i="6"/>
  <c r="N99" i="6"/>
  <c r="N112" i="6"/>
  <c r="N124" i="6"/>
  <c r="N135" i="6"/>
  <c r="N148" i="6"/>
  <c r="N159" i="6"/>
  <c r="N172" i="6"/>
  <c r="N192" i="6"/>
  <c r="N205" i="6"/>
  <c r="N215" i="6"/>
  <c r="N229" i="6"/>
  <c r="N242" i="6"/>
  <c r="N253" i="6"/>
  <c r="N265" i="6"/>
  <c r="N275" i="6"/>
  <c r="N289" i="6"/>
  <c r="N298" i="6"/>
  <c r="N310" i="6"/>
  <c r="N319" i="6"/>
  <c r="N328" i="6"/>
  <c r="N339" i="6"/>
  <c r="N349" i="6"/>
  <c r="N174" i="6"/>
  <c r="N244" i="6"/>
  <c r="N280" i="6"/>
  <c r="N321" i="6"/>
  <c r="L11" i="6"/>
  <c r="N45" i="6"/>
  <c r="N118" i="6"/>
  <c r="N155" i="6"/>
  <c r="N178" i="6"/>
  <c r="N222" i="6"/>
  <c r="N259" i="6"/>
  <c r="N304" i="6"/>
  <c r="N325" i="6"/>
  <c r="C7" i="11"/>
  <c r="G11" i="6"/>
  <c r="N16" i="6"/>
  <c r="N29" i="6"/>
  <c r="N42" i="6"/>
  <c r="N52" i="6"/>
  <c r="N65" i="6"/>
  <c r="N76" i="6"/>
  <c r="N89" i="6"/>
  <c r="N103" i="6"/>
  <c r="N113" i="6"/>
  <c r="N125" i="6"/>
  <c r="N136" i="6"/>
  <c r="N149" i="6"/>
  <c r="N163" i="6"/>
  <c r="N173" i="6"/>
  <c r="N193" i="6"/>
  <c r="N206" i="6"/>
  <c r="N219" i="6"/>
  <c r="N230" i="6"/>
  <c r="N243" i="6"/>
  <c r="N254" i="6"/>
  <c r="N266" i="6"/>
  <c r="N279" i="6"/>
  <c r="N290" i="6"/>
  <c r="N300" i="6"/>
  <c r="N311" i="6"/>
  <c r="N320" i="6"/>
  <c r="N330" i="6"/>
  <c r="N340" i="6"/>
  <c r="N350" i="6"/>
  <c r="N360" i="6"/>
  <c r="N220" i="6"/>
  <c r="N267" i="6"/>
  <c r="N312" i="6"/>
  <c r="N332" i="6"/>
  <c r="H11" i="6"/>
  <c r="N20" i="6"/>
  <c r="N30" i="6"/>
  <c r="N43" i="6"/>
  <c r="N53" i="6"/>
  <c r="N66" i="6"/>
  <c r="N80" i="6"/>
  <c r="N90" i="6"/>
  <c r="N104" i="6"/>
  <c r="N126" i="6"/>
  <c r="N140" i="6"/>
  <c r="N150" i="6"/>
  <c r="N164" i="6"/>
  <c r="N257" i="6"/>
  <c r="N302" i="6"/>
  <c r="N351" i="6"/>
  <c r="N343" i="6"/>
  <c r="M11" i="6"/>
  <c r="N46" i="6"/>
  <c r="N82" i="6"/>
  <c r="S14" i="6"/>
  <c r="T14" i="6"/>
  <c r="U14" i="6"/>
  <c r="V14" i="6"/>
  <c r="AD14" i="6"/>
  <c r="P14" i="6"/>
  <c r="X14" i="6"/>
  <c r="Z14" i="6"/>
  <c r="AB14" i="6"/>
  <c r="N14" i="6"/>
  <c r="Q14" i="6"/>
  <c r="AC14" i="6"/>
  <c r="R14" i="6"/>
  <c r="AE14" i="6"/>
  <c r="W14" i="6"/>
  <c r="O14" i="6"/>
  <c r="AA14" i="6"/>
  <c r="Y14" i="6"/>
  <c r="N21" i="6"/>
  <c r="N31" i="6"/>
  <c r="N44" i="6"/>
  <c r="N57" i="6"/>
  <c r="N67" i="6"/>
  <c r="N81" i="6"/>
  <c r="N91" i="6"/>
  <c r="N105" i="6"/>
  <c r="N117" i="6"/>
  <c r="N127" i="6"/>
  <c r="N141" i="6"/>
  <c r="N151" i="6"/>
  <c r="N165" i="6"/>
  <c r="N185" i="6"/>
  <c r="N198" i="6"/>
  <c r="N207" i="6"/>
  <c r="N221" i="6"/>
  <c r="N234" i="6"/>
  <c r="N245" i="6"/>
  <c r="N258" i="6"/>
  <c r="N268" i="6"/>
  <c r="N281" i="6"/>
  <c r="N293" i="6"/>
  <c r="N303" i="6"/>
  <c r="N313" i="6"/>
  <c r="N323" i="6"/>
  <c r="N333" i="6"/>
  <c r="N342" i="6"/>
  <c r="N353" i="6"/>
  <c r="N35" i="6"/>
  <c r="N68" i="6"/>
  <c r="N95" i="6"/>
  <c r="N128" i="6"/>
  <c r="N142" i="6"/>
  <c r="N166" i="6"/>
  <c r="N186" i="6"/>
  <c r="N211" i="6"/>
  <c r="N235" i="6"/>
  <c r="N246" i="6"/>
  <c r="N271" i="6"/>
  <c r="N282" i="6"/>
  <c r="N314" i="6"/>
  <c r="N334" i="6"/>
  <c r="N355" i="6"/>
  <c r="N22" i="6"/>
  <c r="N36" i="6"/>
  <c r="N58" i="6"/>
  <c r="N72" i="6"/>
  <c r="N37" i="6"/>
  <c r="N110" i="6"/>
  <c r="N157" i="6"/>
  <c r="N200" i="6"/>
  <c r="N251" i="6"/>
  <c r="N296" i="6"/>
  <c r="N335" i="6"/>
  <c r="N119" i="6"/>
  <c r="N167" i="6"/>
  <c r="N212" i="6"/>
  <c r="N260" i="6"/>
  <c r="N305" i="6"/>
  <c r="N345" i="6"/>
  <c r="N236" i="6"/>
  <c r="N59" i="6"/>
  <c r="N120" i="6"/>
  <c r="N170" i="6"/>
  <c r="N213" i="6"/>
  <c r="N261" i="6"/>
  <c r="N306" i="6"/>
  <c r="N347" i="6"/>
  <c r="N133" i="6"/>
  <c r="N273" i="6"/>
  <c r="N357" i="6"/>
  <c r="N96" i="6"/>
  <c r="N190" i="6"/>
  <c r="N283" i="6"/>
  <c r="N326" i="6"/>
  <c r="N97" i="6"/>
  <c r="N106" i="6"/>
  <c r="N250" i="6"/>
  <c r="N73" i="6"/>
  <c r="N132" i="6"/>
  <c r="N179" i="6"/>
  <c r="N223" i="6"/>
  <c r="N272" i="6"/>
  <c r="N316" i="6"/>
  <c r="N356" i="6"/>
  <c r="Q12" i="6"/>
  <c r="U12" i="6"/>
  <c r="Y12" i="6"/>
  <c r="S12" i="6"/>
  <c r="AE12" i="6"/>
  <c r="V12" i="6"/>
  <c r="AC12" i="6"/>
  <c r="AD12" i="6"/>
  <c r="W12" i="6"/>
  <c r="O12" i="6"/>
  <c r="AA12" i="6"/>
  <c r="R12" i="6"/>
  <c r="Z12" i="6"/>
  <c r="P12" i="6"/>
  <c r="T12" i="6"/>
  <c r="AB12" i="6"/>
  <c r="X12" i="6"/>
  <c r="N12" i="6"/>
  <c r="N180" i="6"/>
  <c r="N227" i="6"/>
  <c r="N318" i="6"/>
  <c r="N144" i="6"/>
  <c r="N237" i="6"/>
  <c r="N287" i="6"/>
  <c r="N23" i="6"/>
  <c r="N156" i="6"/>
  <c r="N199" i="6"/>
  <c r="N295" i="6"/>
  <c r="N83" i="6"/>
  <c r="N143" i="6"/>
  <c r="S51" i="16"/>
  <c r="T60" i="16"/>
  <c r="R47" i="16"/>
  <c r="P39" i="16"/>
  <c r="R51" i="16"/>
  <c r="R60" i="16"/>
  <c r="T47" i="16"/>
  <c r="P104" i="16"/>
  <c r="P49" i="16"/>
  <c r="P36" i="16"/>
  <c r="T79" i="16"/>
  <c r="T17" i="16"/>
  <c r="T63" i="16"/>
  <c r="R20" i="16"/>
  <c r="T100" i="16"/>
  <c r="R39" i="16"/>
  <c r="T55" i="16"/>
  <c r="P79" i="16"/>
  <c r="Q61" i="16"/>
  <c r="T71" i="16"/>
  <c r="R52" i="16"/>
  <c r="Q88" i="16"/>
  <c r="S98" i="16"/>
  <c r="Q29" i="16"/>
  <c r="Q69" i="16"/>
  <c r="Q19" i="16"/>
  <c r="P80" i="16"/>
  <c r="P38" i="16"/>
  <c r="R111" i="16"/>
  <c r="S86" i="16"/>
  <c r="Q48" i="16"/>
  <c r="Q99" i="16"/>
  <c r="R104" i="16"/>
  <c r="R91" i="16"/>
  <c r="S82" i="16"/>
  <c r="Q30" i="16"/>
  <c r="S33" i="16"/>
  <c r="Q113" i="16"/>
  <c r="S70" i="16"/>
  <c r="T97" i="16"/>
  <c r="P62" i="16"/>
  <c r="S83" i="16"/>
  <c r="S38" i="16"/>
  <c r="R85" i="16"/>
  <c r="R70" i="16"/>
  <c r="Q112" i="16"/>
  <c r="C111" i="7"/>
  <c r="C118" i="7"/>
  <c r="Q20" i="16"/>
  <c r="P63" i="16"/>
  <c r="Q21" i="16"/>
  <c r="T23" i="16"/>
  <c r="Q40" i="16"/>
  <c r="P55" i="16"/>
  <c r="Q94" i="16"/>
  <c r="S61" i="16"/>
  <c r="P71" i="16"/>
  <c r="Q52" i="16"/>
  <c r="T56" i="16"/>
  <c r="R98" i="16"/>
  <c r="P29" i="16"/>
  <c r="R69" i="16"/>
  <c r="R19" i="16"/>
  <c r="Q80" i="16"/>
  <c r="T57" i="16"/>
  <c r="T102" i="16"/>
  <c r="P85" i="16"/>
  <c r="Q111" i="16"/>
  <c r="Q86" i="16"/>
  <c r="P48" i="16"/>
  <c r="Q101" i="16"/>
  <c r="P91" i="16"/>
  <c r="R82" i="16"/>
  <c r="P25" i="16"/>
  <c r="Q96" i="16"/>
  <c r="P90" i="16"/>
  <c r="P86" i="16"/>
  <c r="Q53" i="16"/>
  <c r="R24" i="16"/>
  <c r="R65" i="16"/>
  <c r="R105" i="16"/>
  <c r="P15" i="16"/>
  <c r="T92" i="16"/>
  <c r="R55" i="16"/>
  <c r="T15" i="16"/>
  <c r="P21" i="16"/>
  <c r="P67" i="16"/>
  <c r="R25" i="16"/>
  <c r="P23" i="16"/>
  <c r="P41" i="16"/>
  <c r="R96" i="16"/>
  <c r="T94" i="16"/>
  <c r="Q75" i="16"/>
  <c r="P78" i="16"/>
  <c r="P52" i="16"/>
  <c r="Q56" i="16"/>
  <c r="P107" i="16"/>
  <c r="S29" i="16"/>
  <c r="S69" i="16"/>
  <c r="S47" i="16"/>
  <c r="Q107" i="16"/>
  <c r="R57" i="16"/>
  <c r="S102" i="16"/>
  <c r="T85" i="16"/>
  <c r="T86" i="16"/>
  <c r="T101" i="16"/>
  <c r="P70" i="16"/>
  <c r="T91" i="16"/>
  <c r="P27" i="16"/>
  <c r="S56" i="16"/>
  <c r="Q57" i="16"/>
  <c r="S101" i="16"/>
  <c r="Q91" i="16"/>
  <c r="S112" i="16"/>
  <c r="T39" i="16"/>
  <c r="T31" i="16"/>
  <c r="T89" i="16"/>
  <c r="Q44" i="16"/>
  <c r="R30" i="16"/>
  <c r="Q51" i="16"/>
  <c r="Q62" i="16"/>
  <c r="S28" i="16"/>
  <c r="S24" i="16"/>
  <c r="R33" i="16"/>
  <c r="S60" i="16"/>
  <c r="R56" i="16"/>
  <c r="P108" i="16"/>
  <c r="S65" i="16"/>
  <c r="T90" i="16"/>
  <c r="Q47" i="16"/>
  <c r="Q85" i="16"/>
  <c r="S105" i="16"/>
  <c r="T99" i="16"/>
  <c r="R101" i="16"/>
  <c r="T70" i="16"/>
  <c r="R112" i="16"/>
  <c r="P53" i="16"/>
  <c r="P94" i="16"/>
  <c r="R108" i="16"/>
  <c r="S85" i="16"/>
  <c r="P32" i="16"/>
  <c r="Q33" i="16"/>
  <c r="S90" i="16"/>
  <c r="S99" i="16"/>
  <c r="P43" i="16"/>
  <c r="Q43" i="16"/>
  <c r="R15" i="16"/>
  <c r="Q76" i="16"/>
  <c r="Q35" i="16"/>
  <c r="S55" i="16"/>
  <c r="R79" i="16"/>
  <c r="Q28" i="16"/>
  <c r="Q24" i="16"/>
  <c r="T52" i="16"/>
  <c r="S88" i="16"/>
  <c r="Q83" i="16"/>
  <c r="Q65" i="16"/>
  <c r="R90" i="16"/>
  <c r="P47" i="16"/>
  <c r="R38" i="16"/>
  <c r="T111" i="16"/>
  <c r="P105" i="16"/>
  <c r="S48" i="16"/>
  <c r="R99" i="16"/>
  <c r="S104" i="16"/>
  <c r="Q70" i="16"/>
  <c r="Q82" i="16"/>
  <c r="T112" i="16"/>
  <c r="T81" i="16"/>
  <c r="R75" i="16"/>
  <c r="T65" i="16"/>
  <c r="Q102" i="16"/>
  <c r="P31" i="16"/>
  <c r="R28" i="16"/>
  <c r="P17" i="16"/>
  <c r="R61" i="16"/>
  <c r="Q71" i="16"/>
  <c r="S52" i="16"/>
  <c r="R88" i="16"/>
  <c r="Q98" i="16"/>
  <c r="R29" i="16"/>
  <c r="T69" i="16"/>
  <c r="S19" i="16"/>
  <c r="R80" i="16"/>
  <c r="Q38" i="16"/>
  <c r="S111" i="16"/>
  <c r="R86" i="16"/>
  <c r="T48" i="16"/>
  <c r="P99" i="16"/>
  <c r="Q104" i="16"/>
  <c r="S91" i="16"/>
  <c r="T82" i="16"/>
  <c r="P112" i="16"/>
  <c r="C23" i="7"/>
  <c r="C102" i="7"/>
  <c r="C95" i="7"/>
  <c r="C86" i="7"/>
  <c r="C79" i="7"/>
  <c r="C70" i="7"/>
  <c r="C63" i="7"/>
  <c r="C54" i="7"/>
  <c r="C47" i="7"/>
  <c r="C38" i="7"/>
  <c r="C31" i="7"/>
  <c r="C22" i="7"/>
  <c r="C15" i="7"/>
  <c r="C127" i="7"/>
  <c r="Y278" i="11"/>
  <c r="Z278" i="11" s="1"/>
  <c r="AA278" i="11"/>
  <c r="AC278" i="11" s="1"/>
  <c r="Y214" i="11"/>
  <c r="Z214" i="11" s="1"/>
  <c r="AA214" i="11"/>
  <c r="AC214" i="11" s="1"/>
  <c r="Y166" i="11"/>
  <c r="Z166" i="11" s="1"/>
  <c r="AA166" i="11"/>
  <c r="AC166" i="11" s="1"/>
  <c r="Y150" i="11"/>
  <c r="Z150" i="11" s="1"/>
  <c r="AA150" i="11"/>
  <c r="AC150" i="11" s="1"/>
  <c r="Y118" i="11"/>
  <c r="Z118" i="11" s="1"/>
  <c r="AA118" i="11"/>
  <c r="AC118" i="11" s="1"/>
  <c r="T39" i="11"/>
  <c r="AB39" i="11"/>
  <c r="Y281" i="11"/>
  <c r="Z281" i="11" s="1"/>
  <c r="AA281" i="11"/>
  <c r="AC281" i="11" s="1"/>
  <c r="Y265" i="11"/>
  <c r="Z265" i="11" s="1"/>
  <c r="AA265" i="11"/>
  <c r="AC265" i="11" s="1"/>
  <c r="Y217" i="11"/>
  <c r="Z217" i="11" s="1"/>
  <c r="AA217" i="11"/>
  <c r="AC217" i="11" s="1"/>
  <c r="Y169" i="11"/>
  <c r="Z169" i="11" s="1"/>
  <c r="AA169" i="11"/>
  <c r="AC169" i="11" s="1"/>
  <c r="Y153" i="11"/>
  <c r="Z153" i="11" s="1"/>
  <c r="AA153" i="11"/>
  <c r="AC153" i="11" s="1"/>
  <c r="Y137" i="11"/>
  <c r="Z137" i="11" s="1"/>
  <c r="AA137" i="11"/>
  <c r="AC137" i="11" s="1"/>
  <c r="T89" i="11"/>
  <c r="AB89" i="11"/>
  <c r="T19" i="11"/>
  <c r="AB19" i="11"/>
  <c r="K80" i="16"/>
  <c r="M80" i="16"/>
  <c r="L80" i="16"/>
  <c r="M101" i="16"/>
  <c r="L101" i="16"/>
  <c r="K101" i="16"/>
  <c r="H78" i="16"/>
  <c r="I78" i="16"/>
  <c r="G78" i="16"/>
  <c r="M45" i="16"/>
  <c r="K45" i="16"/>
  <c r="L45" i="16"/>
  <c r="M91" i="16"/>
  <c r="K91" i="16"/>
  <c r="L91" i="16"/>
  <c r="G74" i="16"/>
  <c r="H74" i="16"/>
  <c r="I74" i="16"/>
  <c r="K48" i="16"/>
  <c r="M48" i="16"/>
  <c r="L48" i="16"/>
  <c r="L94" i="16"/>
  <c r="M94" i="16"/>
  <c r="K94" i="16"/>
  <c r="I65" i="16"/>
  <c r="G65" i="16"/>
  <c r="H65" i="16"/>
  <c r="L38" i="16"/>
  <c r="M38" i="16"/>
  <c r="K38" i="16"/>
  <c r="M85" i="16"/>
  <c r="K85" i="16"/>
  <c r="L85" i="16"/>
  <c r="H62" i="16"/>
  <c r="G62" i="16"/>
  <c r="I62" i="16"/>
  <c r="G34" i="16"/>
  <c r="H34" i="16"/>
  <c r="I34" i="16"/>
  <c r="K58" i="16"/>
  <c r="M58" i="16"/>
  <c r="L58" i="16"/>
  <c r="I81" i="16"/>
  <c r="G81" i="16"/>
  <c r="H81" i="16"/>
  <c r="K95" i="16"/>
  <c r="M95" i="16"/>
  <c r="L95" i="16"/>
  <c r="K31" i="16"/>
  <c r="M31" i="16"/>
  <c r="L31" i="16"/>
  <c r="G38" i="16"/>
  <c r="H38" i="16"/>
  <c r="I38" i="16"/>
  <c r="M60" i="16"/>
  <c r="K60" i="16"/>
  <c r="L60" i="16"/>
  <c r="G84" i="16"/>
  <c r="H84" i="16"/>
  <c r="I84" i="16"/>
  <c r="G91" i="16"/>
  <c r="H91" i="16"/>
  <c r="I91" i="16"/>
  <c r="Y308" i="11"/>
  <c r="Z308" i="11" s="1"/>
  <c r="AA308" i="11"/>
  <c r="AC308" i="11" s="1"/>
  <c r="AA292" i="11"/>
  <c r="AC292" i="11" s="1"/>
  <c r="Y292" i="11"/>
  <c r="Z292" i="11" s="1"/>
  <c r="AA276" i="11"/>
  <c r="AC276" i="11" s="1"/>
  <c r="Y276" i="11"/>
  <c r="Z276" i="11" s="1"/>
  <c r="AA260" i="11"/>
  <c r="AC260" i="11" s="1"/>
  <c r="Y260" i="11"/>
  <c r="Z260" i="11" s="1"/>
  <c r="AA244" i="11"/>
  <c r="AC244" i="11" s="1"/>
  <c r="Y244" i="11"/>
  <c r="Z244" i="11" s="1"/>
  <c r="AA228" i="11"/>
  <c r="AC228" i="11" s="1"/>
  <c r="Y228" i="11"/>
  <c r="Z228" i="11" s="1"/>
  <c r="AA212" i="11"/>
  <c r="AC212" i="11" s="1"/>
  <c r="Y212" i="11"/>
  <c r="Z212" i="11" s="1"/>
  <c r="AA196" i="11"/>
  <c r="AC196" i="11" s="1"/>
  <c r="Y196" i="11"/>
  <c r="Z196" i="11" s="1"/>
  <c r="AA180" i="11"/>
  <c r="AC180" i="11" s="1"/>
  <c r="Y180" i="11"/>
  <c r="Z180" i="11" s="1"/>
  <c r="AA164" i="11"/>
  <c r="AC164" i="11" s="1"/>
  <c r="Y164" i="11"/>
  <c r="Z164" i="11" s="1"/>
  <c r="AA148" i="11"/>
  <c r="AC148" i="11" s="1"/>
  <c r="Y148" i="11"/>
  <c r="Z148" i="11" s="1"/>
  <c r="AA132" i="11"/>
  <c r="AC132" i="11" s="1"/>
  <c r="Y132" i="11"/>
  <c r="Z132" i="11" s="1"/>
  <c r="AA116" i="11"/>
  <c r="AC116" i="11" s="1"/>
  <c r="Y116" i="11"/>
  <c r="Z116" i="11" s="1"/>
  <c r="T100" i="11"/>
  <c r="AB100" i="11"/>
  <c r="AB84" i="11"/>
  <c r="T84" i="11"/>
  <c r="AB68" i="11"/>
  <c r="T68" i="11"/>
  <c r="AB52" i="11"/>
  <c r="T52" i="11"/>
  <c r="AB36" i="11"/>
  <c r="T36" i="11"/>
  <c r="Y311" i="11"/>
  <c r="Z311" i="11" s="1"/>
  <c r="AA311" i="11"/>
  <c r="AC311" i="11" s="1"/>
  <c r="AA295" i="11"/>
  <c r="AC295" i="11" s="1"/>
  <c r="Y295" i="11"/>
  <c r="Z295" i="11" s="1"/>
  <c r="Y279" i="11"/>
  <c r="Z279" i="11" s="1"/>
  <c r="AA279" i="11"/>
  <c r="AC279" i="11" s="1"/>
  <c r="Y263" i="11"/>
  <c r="Z263" i="11" s="1"/>
  <c r="AA263" i="11"/>
  <c r="AC263" i="11" s="1"/>
  <c r="Y247" i="11"/>
  <c r="Z247" i="11" s="1"/>
  <c r="AA247" i="11"/>
  <c r="AC247" i="11" s="1"/>
  <c r="Y231" i="11"/>
  <c r="Z231" i="11" s="1"/>
  <c r="AA231" i="11"/>
  <c r="AC231" i="11" s="1"/>
  <c r="Y215" i="11"/>
  <c r="Z215" i="11" s="1"/>
  <c r="AA215" i="11"/>
  <c r="AC215" i="11" s="1"/>
  <c r="Y199" i="11"/>
  <c r="Z199" i="11" s="1"/>
  <c r="AA199" i="11"/>
  <c r="AC199" i="11" s="1"/>
  <c r="Y183" i="11"/>
  <c r="Z183" i="11" s="1"/>
  <c r="AA183" i="11"/>
  <c r="AC183" i="11" s="1"/>
  <c r="Y167" i="11"/>
  <c r="Z167" i="11" s="1"/>
  <c r="AA167" i="11"/>
  <c r="AC167" i="11" s="1"/>
  <c r="Y151" i="11"/>
  <c r="Z151" i="11" s="1"/>
  <c r="AA151" i="11"/>
  <c r="AC151" i="11" s="1"/>
  <c r="Y135" i="11"/>
  <c r="Z135" i="11" s="1"/>
  <c r="AA135" i="11"/>
  <c r="AC135" i="11" s="1"/>
  <c r="Y119" i="11"/>
  <c r="Z119" i="11" s="1"/>
  <c r="AA119" i="11"/>
  <c r="AC119" i="11" s="1"/>
  <c r="T103" i="11"/>
  <c r="AB103" i="11"/>
  <c r="T87" i="11"/>
  <c r="AB87" i="11"/>
  <c r="T71" i="11"/>
  <c r="AB71" i="11"/>
  <c r="T55" i="11"/>
  <c r="AB55" i="11"/>
  <c r="T29" i="11"/>
  <c r="AB29" i="11"/>
  <c r="T46" i="11"/>
  <c r="AB46" i="11"/>
  <c r="C116" i="7"/>
  <c r="C100" i="7"/>
  <c r="C84" i="7"/>
  <c r="C68" i="7"/>
  <c r="C52" i="7"/>
  <c r="C36" i="7"/>
  <c r="C20" i="7"/>
  <c r="C125" i="7"/>
  <c r="C109" i="7"/>
  <c r="C93" i="7"/>
  <c r="C77" i="7"/>
  <c r="C61" i="7"/>
  <c r="C45" i="7"/>
  <c r="C29" i="7"/>
  <c r="C13" i="7"/>
  <c r="G18" i="16"/>
  <c r="H18" i="16"/>
  <c r="I18" i="16"/>
  <c r="L88" i="16"/>
  <c r="M88" i="16"/>
  <c r="K88" i="16"/>
  <c r="H52" i="16"/>
  <c r="I52" i="16"/>
  <c r="G52" i="16"/>
  <c r="M32" i="16"/>
  <c r="K32" i="16"/>
  <c r="L32" i="16"/>
  <c r="L78" i="16"/>
  <c r="M78" i="16"/>
  <c r="K78" i="16"/>
  <c r="H49" i="16"/>
  <c r="I49" i="16"/>
  <c r="G49" i="16"/>
  <c r="K35" i="16"/>
  <c r="L35" i="16"/>
  <c r="M35" i="16"/>
  <c r="K81" i="16"/>
  <c r="L81" i="16"/>
  <c r="M81" i="16"/>
  <c r="H39" i="16"/>
  <c r="I39" i="16"/>
  <c r="G39" i="16"/>
  <c r="K25" i="16"/>
  <c r="L25" i="16"/>
  <c r="M25" i="16"/>
  <c r="K72" i="16"/>
  <c r="L72" i="16"/>
  <c r="M72" i="16"/>
  <c r="H36" i="16"/>
  <c r="G36" i="16"/>
  <c r="I36" i="16"/>
  <c r="G22" i="16"/>
  <c r="H22" i="16"/>
  <c r="I22" i="16"/>
  <c r="L50" i="16"/>
  <c r="M50" i="16"/>
  <c r="K50" i="16"/>
  <c r="G68" i="16"/>
  <c r="I68" i="16"/>
  <c r="H68" i="16"/>
  <c r="K87" i="16"/>
  <c r="M87" i="16"/>
  <c r="L87" i="16"/>
  <c r="K23" i="16"/>
  <c r="M23" i="16"/>
  <c r="L23" i="16"/>
  <c r="G25" i="16"/>
  <c r="I25" i="16"/>
  <c r="H25" i="16"/>
  <c r="M52" i="16"/>
  <c r="K52" i="16"/>
  <c r="L52" i="16"/>
  <c r="H71" i="16"/>
  <c r="I71" i="16"/>
  <c r="G71" i="16"/>
  <c r="I83" i="16"/>
  <c r="G83" i="16"/>
  <c r="H83" i="16"/>
  <c r="G19" i="16"/>
  <c r="I19" i="16"/>
  <c r="H19" i="16"/>
  <c r="G56" i="16"/>
  <c r="I56" i="16"/>
  <c r="H56" i="16"/>
  <c r="G93" i="16"/>
  <c r="H93" i="16"/>
  <c r="I93" i="16"/>
  <c r="G29" i="16"/>
  <c r="H29" i="16"/>
  <c r="I29" i="16"/>
  <c r="Y306" i="11"/>
  <c r="Z306" i="11" s="1"/>
  <c r="AA306" i="11"/>
  <c r="AC306" i="11" s="1"/>
  <c r="Y290" i="11"/>
  <c r="Z290" i="11" s="1"/>
  <c r="AA290" i="11"/>
  <c r="AC290" i="11" s="1"/>
  <c r="AA274" i="11"/>
  <c r="AC274" i="11" s="1"/>
  <c r="Y274" i="11"/>
  <c r="Z274" i="11" s="1"/>
  <c r="Y258" i="11"/>
  <c r="Z258" i="11" s="1"/>
  <c r="AA258" i="11"/>
  <c r="AC258" i="11" s="1"/>
  <c r="AA242" i="11"/>
  <c r="AC242" i="11" s="1"/>
  <c r="Y242" i="11"/>
  <c r="Z242" i="11" s="1"/>
  <c r="Y226" i="11"/>
  <c r="Z226" i="11" s="1"/>
  <c r="AA226" i="11"/>
  <c r="AC226" i="11" s="1"/>
  <c r="AA210" i="11"/>
  <c r="AC210" i="11" s="1"/>
  <c r="Y210" i="11"/>
  <c r="Z210" i="11" s="1"/>
  <c r="Y194" i="11"/>
  <c r="Z194" i="11" s="1"/>
  <c r="AA194" i="11"/>
  <c r="AC194" i="11" s="1"/>
  <c r="AA178" i="11"/>
  <c r="AC178" i="11" s="1"/>
  <c r="Y178" i="11"/>
  <c r="Z178" i="11" s="1"/>
  <c r="Y162" i="11"/>
  <c r="Z162" i="11" s="1"/>
  <c r="AA162" i="11"/>
  <c r="AC162" i="11" s="1"/>
  <c r="AA146" i="11"/>
  <c r="AC146" i="11" s="1"/>
  <c r="Y146" i="11"/>
  <c r="Z146" i="11" s="1"/>
  <c r="Y130" i="11"/>
  <c r="Z130" i="11" s="1"/>
  <c r="AA130" i="11"/>
  <c r="AC130" i="11" s="1"/>
  <c r="T114" i="11"/>
  <c r="AB114" i="11"/>
  <c r="T98" i="11"/>
  <c r="AB98" i="11"/>
  <c r="T82" i="11"/>
  <c r="AB82" i="11"/>
  <c r="T66" i="11"/>
  <c r="AB66" i="11"/>
  <c r="T43" i="11"/>
  <c r="AB43" i="11"/>
  <c r="T27" i="11"/>
  <c r="AB27" i="11"/>
  <c r="AA309" i="11"/>
  <c r="AC309" i="11" s="1"/>
  <c r="Y309" i="11"/>
  <c r="Z309" i="11" s="1"/>
  <c r="AA293" i="11"/>
  <c r="AC293" i="11" s="1"/>
  <c r="Y293" i="11"/>
  <c r="Z293" i="11" s="1"/>
  <c r="Y277" i="11"/>
  <c r="Z277" i="11" s="1"/>
  <c r="AA277" i="11"/>
  <c r="AC277" i="11" s="1"/>
  <c r="Y261" i="11"/>
  <c r="Z261" i="11" s="1"/>
  <c r="AA261" i="11"/>
  <c r="AC261" i="11" s="1"/>
  <c r="Y245" i="11"/>
  <c r="Z245" i="11" s="1"/>
  <c r="AA245" i="11"/>
  <c r="AC245" i="11" s="1"/>
  <c r="Y229" i="11"/>
  <c r="Z229" i="11" s="1"/>
  <c r="AA229" i="11"/>
  <c r="AC229" i="11" s="1"/>
  <c r="Y213" i="11"/>
  <c r="Z213" i="11" s="1"/>
  <c r="AA213" i="11"/>
  <c r="AC213" i="11" s="1"/>
  <c r="Y197" i="11"/>
  <c r="Z197" i="11" s="1"/>
  <c r="AA197" i="11"/>
  <c r="AC197" i="11" s="1"/>
  <c r="Y181" i="11"/>
  <c r="Z181" i="11" s="1"/>
  <c r="AA181" i="11"/>
  <c r="AC181" i="11" s="1"/>
  <c r="Y165" i="11"/>
  <c r="Z165" i="11" s="1"/>
  <c r="AA165" i="11"/>
  <c r="AC165" i="11" s="1"/>
  <c r="Y149" i="11"/>
  <c r="Z149" i="11" s="1"/>
  <c r="AA149" i="11"/>
  <c r="AC149" i="11" s="1"/>
  <c r="Y133" i="11"/>
  <c r="Z133" i="11" s="1"/>
  <c r="AA133" i="11"/>
  <c r="AC133" i="11" s="1"/>
  <c r="Y117" i="11"/>
  <c r="Z117" i="11" s="1"/>
  <c r="AA117" i="11"/>
  <c r="AC117" i="11" s="1"/>
  <c r="T101" i="11"/>
  <c r="AB101" i="11"/>
  <c r="T85" i="11"/>
  <c r="AB85" i="11"/>
  <c r="T69" i="11"/>
  <c r="AB69" i="11"/>
  <c r="T53" i="11"/>
  <c r="AB53" i="11"/>
  <c r="T26" i="11"/>
  <c r="AB26" i="11"/>
  <c r="T37" i="11"/>
  <c r="AB37" i="11"/>
  <c r="C114" i="7"/>
  <c r="C98" i="7"/>
  <c r="C82" i="7"/>
  <c r="C66" i="7"/>
  <c r="C50" i="7"/>
  <c r="C34" i="7"/>
  <c r="C18" i="7"/>
  <c r="C123" i="7"/>
  <c r="C107" i="7"/>
  <c r="C91" i="7"/>
  <c r="C75" i="7"/>
  <c r="C59" i="7"/>
  <c r="C43" i="7"/>
  <c r="C27" i="7"/>
  <c r="C11" i="7"/>
  <c r="Y16" i="11"/>
  <c r="Z16" i="11" s="1"/>
  <c r="AA16" i="11"/>
  <c r="AC16" i="11" s="1"/>
  <c r="K41" i="16"/>
  <c r="L41" i="16"/>
  <c r="M41" i="16"/>
  <c r="L75" i="16"/>
  <c r="M75" i="16"/>
  <c r="K75" i="16"/>
  <c r="G26" i="16"/>
  <c r="H26" i="16"/>
  <c r="I26" i="16"/>
  <c r="K19" i="16"/>
  <c r="M19" i="16"/>
  <c r="L19" i="16"/>
  <c r="K65" i="16"/>
  <c r="L65" i="16"/>
  <c r="M65" i="16"/>
  <c r="H23" i="16"/>
  <c r="I23" i="16"/>
  <c r="G23" i="16"/>
  <c r="L22" i="16"/>
  <c r="M22" i="16"/>
  <c r="K22" i="16"/>
  <c r="M69" i="16"/>
  <c r="K69" i="16"/>
  <c r="L69" i="16"/>
  <c r="G14" i="16"/>
  <c r="H14" i="16"/>
  <c r="I14" i="16"/>
  <c r="G105" i="16"/>
  <c r="H105" i="16"/>
  <c r="I105" i="16"/>
  <c r="K59" i="16"/>
  <c r="L59" i="16"/>
  <c r="M59" i="16"/>
  <c r="H111" i="16"/>
  <c r="I111" i="16"/>
  <c r="G111" i="16"/>
  <c r="K106" i="16"/>
  <c r="L106" i="16"/>
  <c r="M106" i="16"/>
  <c r="K42" i="16"/>
  <c r="L42" i="16"/>
  <c r="M42" i="16"/>
  <c r="H55" i="16"/>
  <c r="I55" i="16"/>
  <c r="G55" i="16"/>
  <c r="K79" i="16"/>
  <c r="L79" i="16"/>
  <c r="M79" i="16"/>
  <c r="K15" i="16"/>
  <c r="L15" i="16"/>
  <c r="M15" i="16"/>
  <c r="M108" i="16"/>
  <c r="K108" i="16"/>
  <c r="L108" i="16"/>
  <c r="M44" i="16"/>
  <c r="K44" i="16"/>
  <c r="L44" i="16"/>
  <c r="G58" i="16"/>
  <c r="H58" i="16"/>
  <c r="I58" i="16"/>
  <c r="H75" i="16"/>
  <c r="I75" i="16"/>
  <c r="G75" i="16"/>
  <c r="G112" i="16"/>
  <c r="I112" i="16"/>
  <c r="H112" i="16"/>
  <c r="G48" i="16"/>
  <c r="I48" i="16"/>
  <c r="H48" i="16"/>
  <c r="G85" i="16"/>
  <c r="H85" i="16"/>
  <c r="I85" i="16"/>
  <c r="G21" i="16"/>
  <c r="H21" i="16"/>
  <c r="I21" i="16"/>
  <c r="Y230" i="11"/>
  <c r="Z230" i="11" s="1"/>
  <c r="AA230" i="11"/>
  <c r="AC230" i="11" s="1"/>
  <c r="AB102" i="11"/>
  <c r="T102" i="11"/>
  <c r="AA297" i="11"/>
  <c r="AC297" i="11" s="1"/>
  <c r="Y297" i="11"/>
  <c r="Z297" i="11" s="1"/>
  <c r="Y185" i="11"/>
  <c r="Z185" i="11" s="1"/>
  <c r="AA185" i="11"/>
  <c r="AC185" i="11" s="1"/>
  <c r="AB38" i="11"/>
  <c r="T38" i="11"/>
  <c r="G64" i="16"/>
  <c r="I64" i="16"/>
  <c r="H64" i="16"/>
  <c r="AB34" i="11"/>
  <c r="T34" i="11"/>
  <c r="AA304" i="11"/>
  <c r="AC304" i="11" s="1"/>
  <c r="Y304" i="11"/>
  <c r="Z304" i="11" s="1"/>
  <c r="AA288" i="11"/>
  <c r="AC288" i="11" s="1"/>
  <c r="Y288" i="11"/>
  <c r="Z288" i="11" s="1"/>
  <c r="AA272" i="11"/>
  <c r="AC272" i="11" s="1"/>
  <c r="Y272" i="11"/>
  <c r="Z272" i="11" s="1"/>
  <c r="AA256" i="11"/>
  <c r="AC256" i="11" s="1"/>
  <c r="Y256" i="11"/>
  <c r="Z256" i="11" s="1"/>
  <c r="AA240" i="11"/>
  <c r="AC240" i="11" s="1"/>
  <c r="Y240" i="11"/>
  <c r="Z240" i="11" s="1"/>
  <c r="AA224" i="11"/>
  <c r="AC224" i="11" s="1"/>
  <c r="Y224" i="11"/>
  <c r="Z224" i="11" s="1"/>
  <c r="AA208" i="11"/>
  <c r="AC208" i="11" s="1"/>
  <c r="Y208" i="11"/>
  <c r="Z208" i="11" s="1"/>
  <c r="AA192" i="11"/>
  <c r="AC192" i="11" s="1"/>
  <c r="Y192" i="11"/>
  <c r="Z192" i="11" s="1"/>
  <c r="AA176" i="11"/>
  <c r="AC176" i="11" s="1"/>
  <c r="Y176" i="11"/>
  <c r="Z176" i="11" s="1"/>
  <c r="AA160" i="11"/>
  <c r="AC160" i="11" s="1"/>
  <c r="Y160" i="11"/>
  <c r="Z160" i="11" s="1"/>
  <c r="AA144" i="11"/>
  <c r="AC144" i="11" s="1"/>
  <c r="Y144" i="11"/>
  <c r="Z144" i="11" s="1"/>
  <c r="AA128" i="11"/>
  <c r="AC128" i="11" s="1"/>
  <c r="Y128" i="11"/>
  <c r="Z128" i="11" s="1"/>
  <c r="T112" i="11"/>
  <c r="AB112" i="11"/>
  <c r="T96" i="11"/>
  <c r="AB96" i="11"/>
  <c r="T80" i="11"/>
  <c r="AB80" i="11"/>
  <c r="T64" i="11"/>
  <c r="AB64" i="11"/>
  <c r="T40" i="11"/>
  <c r="AB40" i="11"/>
  <c r="T24" i="11"/>
  <c r="AB24" i="11"/>
  <c r="Y307" i="11"/>
  <c r="Z307" i="11" s="1"/>
  <c r="AA307" i="11"/>
  <c r="AC307" i="11" s="1"/>
  <c r="AA291" i="11"/>
  <c r="AC291" i="11" s="1"/>
  <c r="Y291" i="11"/>
  <c r="Z291" i="11" s="1"/>
  <c r="Y275" i="11"/>
  <c r="Z275" i="11" s="1"/>
  <c r="AA275" i="11"/>
  <c r="AC275" i="11" s="1"/>
  <c r="Y259" i="11"/>
  <c r="Z259" i="11" s="1"/>
  <c r="AA259" i="11"/>
  <c r="AC259" i="11" s="1"/>
  <c r="Y243" i="11"/>
  <c r="Z243" i="11" s="1"/>
  <c r="AA243" i="11"/>
  <c r="AC243" i="11" s="1"/>
  <c r="Y227" i="11"/>
  <c r="Z227" i="11" s="1"/>
  <c r="AA227" i="11"/>
  <c r="AC227" i="11" s="1"/>
  <c r="Y211" i="11"/>
  <c r="Z211" i="11" s="1"/>
  <c r="AA211" i="11"/>
  <c r="AC211" i="11" s="1"/>
  <c r="Y195" i="11"/>
  <c r="Z195" i="11" s="1"/>
  <c r="AA195" i="11"/>
  <c r="AC195" i="11" s="1"/>
  <c r="Y179" i="11"/>
  <c r="Z179" i="11" s="1"/>
  <c r="AA179" i="11"/>
  <c r="AC179" i="11" s="1"/>
  <c r="Y163" i="11"/>
  <c r="Z163" i="11" s="1"/>
  <c r="AA163" i="11"/>
  <c r="AC163" i="11" s="1"/>
  <c r="Y147" i="11"/>
  <c r="Z147" i="11" s="1"/>
  <c r="AA147" i="11"/>
  <c r="AC147" i="11" s="1"/>
  <c r="Y131" i="11"/>
  <c r="Z131" i="11" s="1"/>
  <c r="AA131" i="11"/>
  <c r="AC131" i="11" s="1"/>
  <c r="Y115" i="11"/>
  <c r="Z115" i="11" s="1"/>
  <c r="AA115" i="11"/>
  <c r="AC115" i="11" s="1"/>
  <c r="T99" i="11"/>
  <c r="AB99" i="11"/>
  <c r="T83" i="11"/>
  <c r="AB83" i="11"/>
  <c r="T67" i="11"/>
  <c r="AB67" i="11"/>
  <c r="T32" i="11"/>
  <c r="AB32" i="11"/>
  <c r="T17" i="11"/>
  <c r="AB17" i="11"/>
  <c r="T30" i="11"/>
  <c r="AB30" i="11"/>
  <c r="T47" i="11"/>
  <c r="AB47" i="11"/>
  <c r="C128" i="7"/>
  <c r="C112" i="7"/>
  <c r="C96" i="7"/>
  <c r="C80" i="7"/>
  <c r="C64" i="7"/>
  <c r="C48" i="7"/>
  <c r="C32" i="7"/>
  <c r="C16" i="7"/>
  <c r="C121" i="7"/>
  <c r="C105" i="7"/>
  <c r="C89" i="7"/>
  <c r="C73" i="7"/>
  <c r="C57" i="7"/>
  <c r="C41" i="7"/>
  <c r="C25" i="7"/>
  <c r="G44" i="16"/>
  <c r="H44" i="16"/>
  <c r="I44" i="16"/>
  <c r="K105" i="16"/>
  <c r="L105" i="16"/>
  <c r="M105" i="16"/>
  <c r="L62" i="16"/>
  <c r="M62" i="16"/>
  <c r="K62" i="16"/>
  <c r="M109" i="16"/>
  <c r="K109" i="16"/>
  <c r="L109" i="16"/>
  <c r="G92" i="16"/>
  <c r="H92" i="16"/>
  <c r="I92" i="16"/>
  <c r="M53" i="16"/>
  <c r="K53" i="16"/>
  <c r="L53" i="16"/>
  <c r="K112" i="16"/>
  <c r="M112" i="16"/>
  <c r="L112" i="16"/>
  <c r="G108" i="16"/>
  <c r="H108" i="16"/>
  <c r="I108" i="16"/>
  <c r="M56" i="16"/>
  <c r="K56" i="16"/>
  <c r="L56" i="16"/>
  <c r="L102" i="16"/>
  <c r="M102" i="16"/>
  <c r="K102" i="16"/>
  <c r="H79" i="16"/>
  <c r="G79" i="16"/>
  <c r="I79" i="16"/>
  <c r="L46" i="16"/>
  <c r="M46" i="16"/>
  <c r="K46" i="16"/>
  <c r="G98" i="16"/>
  <c r="H98" i="16"/>
  <c r="I98" i="16"/>
  <c r="K98" i="16"/>
  <c r="L98" i="16"/>
  <c r="M98" i="16"/>
  <c r="K34" i="16"/>
  <c r="L34" i="16"/>
  <c r="M34" i="16"/>
  <c r="G42" i="16"/>
  <c r="H42" i="16"/>
  <c r="I42" i="16"/>
  <c r="K71" i="16"/>
  <c r="M71" i="16"/>
  <c r="L71" i="16"/>
  <c r="G102" i="16"/>
  <c r="H102" i="16"/>
  <c r="I102" i="16"/>
  <c r="M100" i="16"/>
  <c r="K100" i="16"/>
  <c r="L100" i="16"/>
  <c r="M36" i="16"/>
  <c r="K36" i="16"/>
  <c r="L36" i="16"/>
  <c r="G46" i="16"/>
  <c r="H46" i="16"/>
  <c r="I46" i="16"/>
  <c r="G67" i="16"/>
  <c r="H67" i="16"/>
  <c r="I67" i="16"/>
  <c r="G104" i="16"/>
  <c r="I104" i="16"/>
  <c r="H104" i="16"/>
  <c r="G40" i="16"/>
  <c r="I40" i="16"/>
  <c r="H40" i="16"/>
  <c r="G77" i="16"/>
  <c r="H77" i="16"/>
  <c r="I77" i="16"/>
  <c r="Y310" i="11"/>
  <c r="Z310" i="11" s="1"/>
  <c r="AA310" i="11"/>
  <c r="AC310" i="11" s="1"/>
  <c r="Y182" i="11"/>
  <c r="Z182" i="11" s="1"/>
  <c r="AA182" i="11"/>
  <c r="AC182" i="11" s="1"/>
  <c r="AB54" i="11"/>
  <c r="T54" i="11"/>
  <c r="Y201" i="11"/>
  <c r="Z201" i="11" s="1"/>
  <c r="AA201" i="11"/>
  <c r="AC201" i="11" s="1"/>
  <c r="T73" i="11"/>
  <c r="AB73" i="11"/>
  <c r="G101" i="16"/>
  <c r="H101" i="16"/>
  <c r="I101" i="16"/>
  <c r="AB25" i="11"/>
  <c r="T25" i="11"/>
  <c r="Y302" i="11"/>
  <c r="Z302" i="11" s="1"/>
  <c r="AA302" i="11"/>
  <c r="AC302" i="11" s="1"/>
  <c r="AA286" i="11"/>
  <c r="AC286" i="11" s="1"/>
  <c r="Y286" i="11"/>
  <c r="Z286" i="11" s="1"/>
  <c r="AA270" i="11"/>
  <c r="AC270" i="11" s="1"/>
  <c r="Y270" i="11"/>
  <c r="Z270" i="11" s="1"/>
  <c r="AA254" i="11"/>
  <c r="AC254" i="11" s="1"/>
  <c r="Y254" i="11"/>
  <c r="Z254" i="11" s="1"/>
  <c r="AA238" i="11"/>
  <c r="AC238" i="11" s="1"/>
  <c r="Y238" i="11"/>
  <c r="Z238" i="11" s="1"/>
  <c r="AA222" i="11"/>
  <c r="AC222" i="11" s="1"/>
  <c r="Y222" i="11"/>
  <c r="Z222" i="11" s="1"/>
  <c r="AA206" i="11"/>
  <c r="AC206" i="11" s="1"/>
  <c r="Y206" i="11"/>
  <c r="Z206" i="11" s="1"/>
  <c r="AA190" i="11"/>
  <c r="AC190" i="11" s="1"/>
  <c r="Y190" i="11"/>
  <c r="Z190" i="11" s="1"/>
  <c r="AA174" i="11"/>
  <c r="AC174" i="11" s="1"/>
  <c r="Y174" i="11"/>
  <c r="Z174" i="11" s="1"/>
  <c r="AA158" i="11"/>
  <c r="AC158" i="11" s="1"/>
  <c r="Y158" i="11"/>
  <c r="Z158" i="11" s="1"/>
  <c r="AA142" i="11"/>
  <c r="AC142" i="11" s="1"/>
  <c r="Y142" i="11"/>
  <c r="Z142" i="11" s="1"/>
  <c r="AA126" i="11"/>
  <c r="AC126" i="11" s="1"/>
  <c r="Y126" i="11"/>
  <c r="Z126" i="11" s="1"/>
  <c r="AB110" i="11"/>
  <c r="T110" i="11"/>
  <c r="AB94" i="11"/>
  <c r="T94" i="11"/>
  <c r="AB78" i="11"/>
  <c r="T78" i="11"/>
  <c r="AB62" i="11"/>
  <c r="T62" i="11"/>
  <c r="T31" i="11"/>
  <c r="AB31" i="11"/>
  <c r="T45" i="11"/>
  <c r="AB45" i="11"/>
  <c r="AA305" i="11"/>
  <c r="AC305" i="11" s="1"/>
  <c r="Y305" i="11"/>
  <c r="Z305" i="11" s="1"/>
  <c r="Y289" i="11"/>
  <c r="Z289" i="11" s="1"/>
  <c r="AA289" i="11"/>
  <c r="AC289" i="11" s="1"/>
  <c r="Y273" i="11"/>
  <c r="Z273" i="11" s="1"/>
  <c r="AA273" i="11"/>
  <c r="AC273" i="11" s="1"/>
  <c r="Y257" i="11"/>
  <c r="Z257" i="11" s="1"/>
  <c r="AA257" i="11"/>
  <c r="AC257" i="11" s="1"/>
  <c r="Y241" i="11"/>
  <c r="Z241" i="11" s="1"/>
  <c r="AA241" i="11"/>
  <c r="AC241" i="11" s="1"/>
  <c r="Y225" i="11"/>
  <c r="Z225" i="11" s="1"/>
  <c r="AA225" i="11"/>
  <c r="AC225" i="11" s="1"/>
  <c r="Y209" i="11"/>
  <c r="Z209" i="11" s="1"/>
  <c r="AA209" i="11"/>
  <c r="AC209" i="11" s="1"/>
  <c r="Y193" i="11"/>
  <c r="Z193" i="11" s="1"/>
  <c r="AA193" i="11"/>
  <c r="AC193" i="11" s="1"/>
  <c r="Y177" i="11"/>
  <c r="Z177" i="11" s="1"/>
  <c r="AA177" i="11"/>
  <c r="AC177" i="11" s="1"/>
  <c r="Y161" i="11"/>
  <c r="Z161" i="11" s="1"/>
  <c r="AA161" i="11"/>
  <c r="AC161" i="11" s="1"/>
  <c r="Y145" i="11"/>
  <c r="Z145" i="11" s="1"/>
  <c r="AA145" i="11"/>
  <c r="AC145" i="11" s="1"/>
  <c r="Y129" i="11"/>
  <c r="Z129" i="11" s="1"/>
  <c r="AA129" i="11"/>
  <c r="AC129" i="11" s="1"/>
  <c r="T113" i="11"/>
  <c r="AB113" i="11"/>
  <c r="T97" i="11"/>
  <c r="AB97" i="11"/>
  <c r="T81" i="11"/>
  <c r="AB81" i="11"/>
  <c r="T65" i="11"/>
  <c r="AB65" i="11"/>
  <c r="T23" i="11"/>
  <c r="AB23" i="11"/>
  <c r="T51" i="11"/>
  <c r="AB51" i="11"/>
  <c r="T21" i="11"/>
  <c r="AB21" i="11"/>
  <c r="C126" i="7"/>
  <c r="C110" i="7"/>
  <c r="C94" i="7"/>
  <c r="C78" i="7"/>
  <c r="C62" i="7"/>
  <c r="C46" i="7"/>
  <c r="C30" i="7"/>
  <c r="C14" i="7"/>
  <c r="C119" i="7"/>
  <c r="C103" i="7"/>
  <c r="C87" i="7"/>
  <c r="C71" i="7"/>
  <c r="C55" i="7"/>
  <c r="C39" i="7"/>
  <c r="L54" i="16"/>
  <c r="M54" i="16"/>
  <c r="K54" i="16"/>
  <c r="G70" i="16"/>
  <c r="H70" i="16"/>
  <c r="I70" i="16"/>
  <c r="K49" i="16"/>
  <c r="L49" i="16"/>
  <c r="M49" i="16"/>
  <c r="K96" i="16"/>
  <c r="L96" i="16"/>
  <c r="M96" i="16"/>
  <c r="G66" i="16"/>
  <c r="H66" i="16"/>
  <c r="I66" i="16"/>
  <c r="K40" i="16"/>
  <c r="L40" i="16"/>
  <c r="M40" i="16"/>
  <c r="K99" i="16"/>
  <c r="L99" i="16"/>
  <c r="M99" i="16"/>
  <c r="G82" i="16"/>
  <c r="H82" i="16"/>
  <c r="I82" i="16"/>
  <c r="M43" i="16"/>
  <c r="K43" i="16"/>
  <c r="L43" i="16"/>
  <c r="K89" i="16"/>
  <c r="L89" i="16"/>
  <c r="M89" i="16"/>
  <c r="G54" i="16"/>
  <c r="H54" i="16"/>
  <c r="I54" i="16"/>
  <c r="K33" i="16"/>
  <c r="L33" i="16"/>
  <c r="M33" i="16"/>
  <c r="I86" i="16"/>
  <c r="G86" i="16"/>
  <c r="H86" i="16"/>
  <c r="K90" i="16"/>
  <c r="L90" i="16"/>
  <c r="M90" i="16"/>
  <c r="K26" i="16"/>
  <c r="L26" i="16"/>
  <c r="M26" i="16"/>
  <c r="G30" i="16"/>
  <c r="H30" i="16"/>
  <c r="I30" i="16"/>
  <c r="K63" i="16"/>
  <c r="L63" i="16"/>
  <c r="M63" i="16"/>
  <c r="G89" i="16"/>
  <c r="I89" i="16"/>
  <c r="H89" i="16"/>
  <c r="M92" i="16"/>
  <c r="K92" i="16"/>
  <c r="L92" i="16"/>
  <c r="M28" i="16"/>
  <c r="K28" i="16"/>
  <c r="L28" i="16"/>
  <c r="G33" i="16"/>
  <c r="H33" i="16"/>
  <c r="I33" i="16"/>
  <c r="G59" i="16"/>
  <c r="H59" i="16"/>
  <c r="I59" i="16"/>
  <c r="G96" i="16"/>
  <c r="I96" i="16"/>
  <c r="H96" i="16"/>
  <c r="G32" i="16"/>
  <c r="I32" i="16"/>
  <c r="H32" i="16"/>
  <c r="G69" i="16"/>
  <c r="H69" i="16"/>
  <c r="I69" i="16"/>
  <c r="Y262" i="11"/>
  <c r="Z262" i="11" s="1"/>
  <c r="AA262" i="11"/>
  <c r="AC262" i="11" s="1"/>
  <c r="AB70" i="11"/>
  <c r="T70" i="11"/>
  <c r="Y249" i="11"/>
  <c r="Z249" i="11" s="1"/>
  <c r="AA249" i="11"/>
  <c r="AC249" i="11" s="1"/>
  <c r="Y121" i="11"/>
  <c r="Z121" i="11" s="1"/>
  <c r="AA121" i="11"/>
  <c r="AC121" i="11" s="1"/>
  <c r="AB22" i="11"/>
  <c r="T22" i="11"/>
  <c r="AA300" i="11"/>
  <c r="AC300" i="11" s="1"/>
  <c r="Y300" i="11"/>
  <c r="Z300" i="11" s="1"/>
  <c r="AA284" i="11"/>
  <c r="AC284" i="11" s="1"/>
  <c r="Y284" i="11"/>
  <c r="Z284" i="11" s="1"/>
  <c r="AA268" i="11"/>
  <c r="AC268" i="11" s="1"/>
  <c r="Y268" i="11"/>
  <c r="Z268" i="11" s="1"/>
  <c r="AA252" i="11"/>
  <c r="AC252" i="11" s="1"/>
  <c r="Y252" i="11"/>
  <c r="Z252" i="11" s="1"/>
  <c r="AA236" i="11"/>
  <c r="AC236" i="11" s="1"/>
  <c r="Y236" i="11"/>
  <c r="Z236" i="11" s="1"/>
  <c r="AA220" i="11"/>
  <c r="AC220" i="11" s="1"/>
  <c r="Y220" i="11"/>
  <c r="Z220" i="11" s="1"/>
  <c r="AA204" i="11"/>
  <c r="AC204" i="11" s="1"/>
  <c r="Y204" i="11"/>
  <c r="Z204" i="11" s="1"/>
  <c r="AA188" i="11"/>
  <c r="AC188" i="11" s="1"/>
  <c r="Y188" i="11"/>
  <c r="Z188" i="11" s="1"/>
  <c r="AA172" i="11"/>
  <c r="AC172" i="11" s="1"/>
  <c r="Y172" i="11"/>
  <c r="Z172" i="11" s="1"/>
  <c r="AA156" i="11"/>
  <c r="AC156" i="11" s="1"/>
  <c r="Y156" i="11"/>
  <c r="Z156" i="11" s="1"/>
  <c r="AA140" i="11"/>
  <c r="AC140" i="11" s="1"/>
  <c r="Y140" i="11"/>
  <c r="Z140" i="11" s="1"/>
  <c r="AA124" i="11"/>
  <c r="AC124" i="11" s="1"/>
  <c r="Y124" i="11"/>
  <c r="Z124" i="11" s="1"/>
  <c r="T108" i="11"/>
  <c r="AB108" i="11"/>
  <c r="T92" i="11"/>
  <c r="AB92" i="11"/>
  <c r="AB76" i="11"/>
  <c r="T76" i="11"/>
  <c r="AB60" i="11"/>
  <c r="T60" i="11"/>
  <c r="AB49" i="11"/>
  <c r="T49" i="11"/>
  <c r="T42" i="11"/>
  <c r="AB42" i="11"/>
  <c r="Y303" i="11"/>
  <c r="Z303" i="11" s="1"/>
  <c r="AA303" i="11"/>
  <c r="AC303" i="11" s="1"/>
  <c r="AA287" i="11"/>
  <c r="AC287" i="11" s="1"/>
  <c r="Y287" i="11"/>
  <c r="Z287" i="11" s="1"/>
  <c r="Y271" i="11"/>
  <c r="Z271" i="11" s="1"/>
  <c r="AA271" i="11"/>
  <c r="AC271" i="11" s="1"/>
  <c r="Y255" i="11"/>
  <c r="Z255" i="11" s="1"/>
  <c r="AA255" i="11"/>
  <c r="AC255" i="11" s="1"/>
  <c r="Y239" i="11"/>
  <c r="Z239" i="11" s="1"/>
  <c r="AA239" i="11"/>
  <c r="AC239" i="11" s="1"/>
  <c r="Y223" i="11"/>
  <c r="Z223" i="11" s="1"/>
  <c r="AA223" i="11"/>
  <c r="AC223" i="11" s="1"/>
  <c r="Y207" i="11"/>
  <c r="Z207" i="11" s="1"/>
  <c r="AA207" i="11"/>
  <c r="AC207" i="11" s="1"/>
  <c r="Y191" i="11"/>
  <c r="Z191" i="11" s="1"/>
  <c r="AA191" i="11"/>
  <c r="AC191" i="11" s="1"/>
  <c r="Y175" i="11"/>
  <c r="Z175" i="11" s="1"/>
  <c r="AA175" i="11"/>
  <c r="AC175" i="11" s="1"/>
  <c r="Y159" i="11"/>
  <c r="Z159" i="11" s="1"/>
  <c r="AA159" i="11"/>
  <c r="AC159" i="11" s="1"/>
  <c r="Y143" i="11"/>
  <c r="Z143" i="11" s="1"/>
  <c r="AA143" i="11"/>
  <c r="AC143" i="11" s="1"/>
  <c r="Y127" i="11"/>
  <c r="Z127" i="11" s="1"/>
  <c r="AA127" i="11"/>
  <c r="AC127" i="11" s="1"/>
  <c r="T111" i="11"/>
  <c r="AB111" i="11"/>
  <c r="T95" i="11"/>
  <c r="AB95" i="11"/>
  <c r="T79" i="11"/>
  <c r="AB79" i="11"/>
  <c r="T63" i="11"/>
  <c r="AB63" i="11"/>
  <c r="T20" i="11"/>
  <c r="AB20" i="11"/>
  <c r="T44" i="11"/>
  <c r="AB44" i="11"/>
  <c r="C124" i="7"/>
  <c r="C108" i="7"/>
  <c r="C92" i="7"/>
  <c r="C76" i="7"/>
  <c r="C60" i="7"/>
  <c r="C44" i="7"/>
  <c r="C28" i="7"/>
  <c r="C12" i="7"/>
  <c r="C117" i="7"/>
  <c r="C101" i="7"/>
  <c r="C85" i="7"/>
  <c r="C69" i="7"/>
  <c r="C53" i="7"/>
  <c r="C37" i="7"/>
  <c r="C21" i="7"/>
  <c r="K16" i="16"/>
  <c r="M16" i="16"/>
  <c r="L16" i="16"/>
  <c r="K67" i="16"/>
  <c r="L67" i="16"/>
  <c r="M67" i="16"/>
  <c r="M37" i="16"/>
  <c r="L37" i="16"/>
  <c r="K37" i="16"/>
  <c r="K83" i="16"/>
  <c r="L83" i="16"/>
  <c r="M83" i="16"/>
  <c r="G41" i="16"/>
  <c r="H41" i="16"/>
  <c r="I41" i="16"/>
  <c r="M27" i="16"/>
  <c r="K27" i="16"/>
  <c r="L27" i="16"/>
  <c r="L86" i="16"/>
  <c r="M86" i="16"/>
  <c r="K86" i="16"/>
  <c r="I57" i="16"/>
  <c r="G57" i="16"/>
  <c r="H57" i="16"/>
  <c r="L30" i="16"/>
  <c r="M30" i="16"/>
  <c r="K30" i="16"/>
  <c r="M77" i="16"/>
  <c r="K77" i="16"/>
  <c r="L77" i="16"/>
  <c r="G28" i="16"/>
  <c r="H28" i="16"/>
  <c r="I28" i="16"/>
  <c r="M21" i="16"/>
  <c r="K21" i="16"/>
  <c r="L21" i="16"/>
  <c r="I73" i="16"/>
  <c r="G73" i="16"/>
  <c r="H73" i="16"/>
  <c r="K82" i="16"/>
  <c r="L82" i="16"/>
  <c r="M82" i="16"/>
  <c r="M18" i="16"/>
  <c r="K18" i="16"/>
  <c r="L18" i="16"/>
  <c r="I17" i="16"/>
  <c r="G17" i="16"/>
  <c r="H17" i="16"/>
  <c r="K55" i="16"/>
  <c r="M55" i="16"/>
  <c r="L55" i="16"/>
  <c r="G76" i="16"/>
  <c r="H76" i="16"/>
  <c r="I76" i="16"/>
  <c r="M84" i="16"/>
  <c r="K84" i="16"/>
  <c r="L84" i="16"/>
  <c r="M20" i="16"/>
  <c r="K20" i="16"/>
  <c r="L20" i="16"/>
  <c r="G20" i="16"/>
  <c r="H20" i="16"/>
  <c r="I20" i="16"/>
  <c r="G51" i="16"/>
  <c r="H51" i="16"/>
  <c r="I51" i="16"/>
  <c r="G88" i="16"/>
  <c r="H88" i="16"/>
  <c r="I88" i="16"/>
  <c r="G24" i="16"/>
  <c r="H24" i="16"/>
  <c r="I24" i="16"/>
  <c r="G61" i="16"/>
  <c r="H61" i="16"/>
  <c r="I61" i="16"/>
  <c r="Y294" i="11"/>
  <c r="Z294" i="11" s="1"/>
  <c r="AA294" i="11"/>
  <c r="AC294" i="11" s="1"/>
  <c r="Y198" i="11"/>
  <c r="Z198" i="11" s="1"/>
  <c r="AA198" i="11"/>
  <c r="AC198" i="11" s="1"/>
  <c r="Y134" i="11"/>
  <c r="Z134" i="11" s="1"/>
  <c r="AA134" i="11"/>
  <c r="AC134" i="11" s="1"/>
  <c r="AA313" i="11"/>
  <c r="AC313" i="11" s="1"/>
  <c r="Y313" i="11"/>
  <c r="Z313" i="11" s="1"/>
  <c r="T105" i="11"/>
  <c r="AB105" i="11"/>
  <c r="G37" i="16"/>
  <c r="H37" i="16"/>
  <c r="I37" i="16"/>
  <c r="Y298" i="11"/>
  <c r="Z298" i="11" s="1"/>
  <c r="AA298" i="11"/>
  <c r="AC298" i="11" s="1"/>
  <c r="AA282" i="11"/>
  <c r="AC282" i="11" s="1"/>
  <c r="Y282" i="11"/>
  <c r="Z282" i="11" s="1"/>
  <c r="Y266" i="11"/>
  <c r="Z266" i="11" s="1"/>
  <c r="AA266" i="11"/>
  <c r="AC266" i="11" s="1"/>
  <c r="AA250" i="11"/>
  <c r="AC250" i="11" s="1"/>
  <c r="Y250" i="11"/>
  <c r="Z250" i="11" s="1"/>
  <c r="Y234" i="11"/>
  <c r="Z234" i="11" s="1"/>
  <c r="AA234" i="11"/>
  <c r="AC234" i="11" s="1"/>
  <c r="AA218" i="11"/>
  <c r="AC218" i="11" s="1"/>
  <c r="Y218" i="11"/>
  <c r="Z218" i="11" s="1"/>
  <c r="Y202" i="11"/>
  <c r="Z202" i="11" s="1"/>
  <c r="AA202" i="11"/>
  <c r="AC202" i="11" s="1"/>
  <c r="AA186" i="11"/>
  <c r="AC186" i="11" s="1"/>
  <c r="Y186" i="11"/>
  <c r="Z186" i="11" s="1"/>
  <c r="Y170" i="11"/>
  <c r="Z170" i="11" s="1"/>
  <c r="AA170" i="11"/>
  <c r="AC170" i="11" s="1"/>
  <c r="AA154" i="11"/>
  <c r="AC154" i="11" s="1"/>
  <c r="Y154" i="11"/>
  <c r="Z154" i="11" s="1"/>
  <c r="Y138" i="11"/>
  <c r="Z138" i="11" s="1"/>
  <c r="AA138" i="11"/>
  <c r="AC138" i="11" s="1"/>
  <c r="AA122" i="11"/>
  <c r="AC122" i="11" s="1"/>
  <c r="Y122" i="11"/>
  <c r="Z122" i="11" s="1"/>
  <c r="T106" i="11"/>
  <c r="AB106" i="11"/>
  <c r="T90" i="11"/>
  <c r="AB90" i="11"/>
  <c r="T74" i="11"/>
  <c r="AB74" i="11"/>
  <c r="T58" i="11"/>
  <c r="AB58" i="11"/>
  <c r="T18" i="11"/>
  <c r="AB18" i="11"/>
  <c r="AB33" i="11"/>
  <c r="T33" i="11"/>
  <c r="AA301" i="11"/>
  <c r="AC301" i="11" s="1"/>
  <c r="Y301" i="11"/>
  <c r="Z301" i="11" s="1"/>
  <c r="Y285" i="11"/>
  <c r="Z285" i="11" s="1"/>
  <c r="AA285" i="11"/>
  <c r="AC285" i="11" s="1"/>
  <c r="Y269" i="11"/>
  <c r="Z269" i="11" s="1"/>
  <c r="AA269" i="11"/>
  <c r="AC269" i="11" s="1"/>
  <c r="Y253" i="11"/>
  <c r="Z253" i="11" s="1"/>
  <c r="AA253" i="11"/>
  <c r="AC253" i="11" s="1"/>
  <c r="Y237" i="11"/>
  <c r="Z237" i="11" s="1"/>
  <c r="AA237" i="11"/>
  <c r="AC237" i="11" s="1"/>
  <c r="Y221" i="11"/>
  <c r="Z221" i="11" s="1"/>
  <c r="AA221" i="11"/>
  <c r="AC221" i="11" s="1"/>
  <c r="Y205" i="11"/>
  <c r="Z205" i="11" s="1"/>
  <c r="AA205" i="11"/>
  <c r="AC205" i="11" s="1"/>
  <c r="Y189" i="11"/>
  <c r="Z189" i="11" s="1"/>
  <c r="AA189" i="11"/>
  <c r="AC189" i="11" s="1"/>
  <c r="Y173" i="11"/>
  <c r="Z173" i="11" s="1"/>
  <c r="AA173" i="11"/>
  <c r="AC173" i="11" s="1"/>
  <c r="Y157" i="11"/>
  <c r="Z157" i="11" s="1"/>
  <c r="AA157" i="11"/>
  <c r="AC157" i="11" s="1"/>
  <c r="Y141" i="11"/>
  <c r="Z141" i="11" s="1"/>
  <c r="AA141" i="11"/>
  <c r="AC141" i="11" s="1"/>
  <c r="Y125" i="11"/>
  <c r="Z125" i="11" s="1"/>
  <c r="AA125" i="11"/>
  <c r="AC125" i="11" s="1"/>
  <c r="T109" i="11"/>
  <c r="AB109" i="11"/>
  <c r="T93" i="11"/>
  <c r="AB93" i="11"/>
  <c r="T77" i="11"/>
  <c r="AB77" i="11"/>
  <c r="T61" i="11"/>
  <c r="AB61" i="11"/>
  <c r="T50" i="11"/>
  <c r="AB50" i="11"/>
  <c r="T35" i="11"/>
  <c r="AB35" i="11"/>
  <c r="M93" i="16"/>
  <c r="K93" i="16"/>
  <c r="L93" i="16"/>
  <c r="C122" i="7"/>
  <c r="C106" i="7"/>
  <c r="C90" i="7"/>
  <c r="C74" i="7"/>
  <c r="C58" i="7"/>
  <c r="C42" i="7"/>
  <c r="C26" i="7"/>
  <c r="C10" i="7"/>
  <c r="C115" i="7"/>
  <c r="C99" i="7"/>
  <c r="C83" i="7"/>
  <c r="C67" i="7"/>
  <c r="C51" i="7"/>
  <c r="C35" i="7"/>
  <c r="C19" i="7"/>
  <c r="H95" i="16"/>
  <c r="I95" i="16"/>
  <c r="G95" i="16"/>
  <c r="M29" i="16"/>
  <c r="K29" i="16"/>
  <c r="L29" i="16"/>
  <c r="L24" i="16"/>
  <c r="M24" i="16"/>
  <c r="K24" i="16"/>
  <c r="L70" i="16"/>
  <c r="M70" i="16"/>
  <c r="K70" i="16"/>
  <c r="H15" i="16"/>
  <c r="G15" i="16"/>
  <c r="I15" i="16"/>
  <c r="L14" i="16"/>
  <c r="M14" i="16"/>
  <c r="K14" i="16"/>
  <c r="K73" i="16"/>
  <c r="L73" i="16"/>
  <c r="M73" i="16"/>
  <c r="H31" i="16"/>
  <c r="I31" i="16"/>
  <c r="G31" i="16"/>
  <c r="K17" i="16"/>
  <c r="L17" i="16"/>
  <c r="M17" i="16"/>
  <c r="K64" i="16"/>
  <c r="L64" i="16"/>
  <c r="M64" i="16"/>
  <c r="L110" i="16"/>
  <c r="M110" i="16"/>
  <c r="K110" i="16"/>
  <c r="H113" i="16"/>
  <c r="I113" i="16"/>
  <c r="G113" i="16"/>
  <c r="I60" i="16"/>
  <c r="G60" i="16"/>
  <c r="H60" i="16"/>
  <c r="K74" i="16"/>
  <c r="L74" i="16"/>
  <c r="M74" i="16"/>
  <c r="G106" i="16"/>
  <c r="H106" i="16"/>
  <c r="I106" i="16"/>
  <c r="K111" i="16"/>
  <c r="L111" i="16"/>
  <c r="M111" i="16"/>
  <c r="K47" i="16"/>
  <c r="L47" i="16"/>
  <c r="M47" i="16"/>
  <c r="H63" i="16"/>
  <c r="I63" i="16"/>
  <c r="G63" i="16"/>
  <c r="M76" i="16"/>
  <c r="K76" i="16"/>
  <c r="L76" i="16"/>
  <c r="G110" i="16"/>
  <c r="H110" i="16"/>
  <c r="I110" i="16"/>
  <c r="G107" i="16"/>
  <c r="H107" i="16"/>
  <c r="I107" i="16"/>
  <c r="G43" i="16"/>
  <c r="I43" i="16"/>
  <c r="H43" i="16"/>
  <c r="G80" i="16"/>
  <c r="H80" i="16"/>
  <c r="I80" i="16"/>
  <c r="G16" i="16"/>
  <c r="H16" i="16"/>
  <c r="I16" i="16"/>
  <c r="G53" i="16"/>
  <c r="H53" i="16"/>
  <c r="I53" i="16"/>
  <c r="Y246" i="11"/>
  <c r="Z246" i="11" s="1"/>
  <c r="AA246" i="11"/>
  <c r="AC246" i="11" s="1"/>
  <c r="AB86" i="11"/>
  <c r="T86" i="11"/>
  <c r="Y233" i="11"/>
  <c r="Z233" i="11" s="1"/>
  <c r="AA233" i="11"/>
  <c r="AC233" i="11" s="1"/>
  <c r="AB57" i="11"/>
  <c r="T57" i="11"/>
  <c r="H27" i="16"/>
  <c r="I27" i="16"/>
  <c r="G27" i="16"/>
  <c r="Y312" i="11"/>
  <c r="Z312" i="11" s="1"/>
  <c r="AA312" i="11"/>
  <c r="AC312" i="11" s="1"/>
  <c r="AA296" i="11"/>
  <c r="AC296" i="11" s="1"/>
  <c r="Y296" i="11"/>
  <c r="Z296" i="11" s="1"/>
  <c r="AA280" i="11"/>
  <c r="AC280" i="11" s="1"/>
  <c r="Y280" i="11"/>
  <c r="Z280" i="11" s="1"/>
  <c r="AA264" i="11"/>
  <c r="AC264" i="11" s="1"/>
  <c r="Y264" i="11"/>
  <c r="Z264" i="11" s="1"/>
  <c r="AA248" i="11"/>
  <c r="AC248" i="11" s="1"/>
  <c r="Y248" i="11"/>
  <c r="Z248" i="11" s="1"/>
  <c r="AA232" i="11"/>
  <c r="AC232" i="11" s="1"/>
  <c r="Y232" i="11"/>
  <c r="Z232" i="11" s="1"/>
  <c r="AA216" i="11"/>
  <c r="AC216" i="11" s="1"/>
  <c r="Y216" i="11"/>
  <c r="Z216" i="11" s="1"/>
  <c r="AA200" i="11"/>
  <c r="AC200" i="11" s="1"/>
  <c r="Y200" i="11"/>
  <c r="Z200" i="11" s="1"/>
  <c r="AA184" i="11"/>
  <c r="AC184" i="11" s="1"/>
  <c r="Y184" i="11"/>
  <c r="Z184" i="11" s="1"/>
  <c r="AA168" i="11"/>
  <c r="AC168" i="11" s="1"/>
  <c r="Y168" i="11"/>
  <c r="Z168" i="11" s="1"/>
  <c r="AA152" i="11"/>
  <c r="AC152" i="11" s="1"/>
  <c r="Y152" i="11"/>
  <c r="Z152" i="11" s="1"/>
  <c r="AA136" i="11"/>
  <c r="AC136" i="11" s="1"/>
  <c r="Y136" i="11"/>
  <c r="Z136" i="11" s="1"/>
  <c r="AA120" i="11"/>
  <c r="AC120" i="11" s="1"/>
  <c r="Y120" i="11"/>
  <c r="Z120" i="11" s="1"/>
  <c r="T104" i="11"/>
  <c r="AB104" i="11"/>
  <c r="T88" i="11"/>
  <c r="AB88" i="11"/>
  <c r="T72" i="11"/>
  <c r="AB72" i="11"/>
  <c r="T56" i="11"/>
  <c r="AB56" i="11"/>
  <c r="T48" i="11"/>
  <c r="AB48" i="11"/>
  <c r="T15" i="11"/>
  <c r="AB15" i="11"/>
  <c r="Y299" i="11"/>
  <c r="Z299" i="11" s="1"/>
  <c r="AA299" i="11"/>
  <c r="AC299" i="11" s="1"/>
  <c r="Y283" i="11"/>
  <c r="Z283" i="11" s="1"/>
  <c r="AA283" i="11"/>
  <c r="AC283" i="11" s="1"/>
  <c r="Y267" i="11"/>
  <c r="Z267" i="11" s="1"/>
  <c r="AA267" i="11"/>
  <c r="AC267" i="11" s="1"/>
  <c r="Y251" i="11"/>
  <c r="Z251" i="11" s="1"/>
  <c r="AA251" i="11"/>
  <c r="AC251" i="11" s="1"/>
  <c r="Y235" i="11"/>
  <c r="Z235" i="11" s="1"/>
  <c r="AA235" i="11"/>
  <c r="AC235" i="11" s="1"/>
  <c r="Y219" i="11"/>
  <c r="Z219" i="11" s="1"/>
  <c r="AA219" i="11"/>
  <c r="AC219" i="11" s="1"/>
  <c r="Y203" i="11"/>
  <c r="Z203" i="11" s="1"/>
  <c r="AA203" i="11"/>
  <c r="AC203" i="11" s="1"/>
  <c r="Y187" i="11"/>
  <c r="Z187" i="11" s="1"/>
  <c r="AA187" i="11"/>
  <c r="AC187" i="11" s="1"/>
  <c r="Y171" i="11"/>
  <c r="Z171" i="11" s="1"/>
  <c r="AA171" i="11"/>
  <c r="AC171" i="11" s="1"/>
  <c r="Y155" i="11"/>
  <c r="Z155" i="11" s="1"/>
  <c r="AA155" i="11"/>
  <c r="AC155" i="11" s="1"/>
  <c r="Y139" i="11"/>
  <c r="Z139" i="11" s="1"/>
  <c r="AA139" i="11"/>
  <c r="AC139" i="11" s="1"/>
  <c r="Y123" i="11"/>
  <c r="Z123" i="11" s="1"/>
  <c r="AA123" i="11"/>
  <c r="AC123" i="11" s="1"/>
  <c r="T107" i="11"/>
  <c r="AB107" i="11"/>
  <c r="T91" i="11"/>
  <c r="AB91" i="11"/>
  <c r="T75" i="11"/>
  <c r="AB75" i="11"/>
  <c r="T59" i="11"/>
  <c r="AB59" i="11"/>
  <c r="T41" i="11"/>
  <c r="AB41" i="11"/>
  <c r="AB28" i="11"/>
  <c r="T28" i="11"/>
  <c r="C120" i="7"/>
  <c r="C104" i="7"/>
  <c r="C88" i="7"/>
  <c r="C72" i="7"/>
  <c r="C56" i="7"/>
  <c r="C40" i="7"/>
  <c r="C24" i="7"/>
  <c r="C129" i="7"/>
  <c r="C113" i="7"/>
  <c r="C97" i="7"/>
  <c r="C81" i="7"/>
  <c r="C65" i="7"/>
  <c r="C49" i="7"/>
  <c r="C33" i="7"/>
  <c r="C17" i="7"/>
  <c r="K113" i="16"/>
  <c r="L113" i="16"/>
  <c r="M113" i="16"/>
  <c r="H103" i="16"/>
  <c r="I103" i="16"/>
  <c r="G103" i="16"/>
  <c r="K57" i="16"/>
  <c r="L57" i="16"/>
  <c r="M57" i="16"/>
  <c r="K104" i="16"/>
  <c r="L104" i="16"/>
  <c r="M104" i="16"/>
  <c r="H100" i="16"/>
  <c r="I100" i="16"/>
  <c r="G100" i="16"/>
  <c r="M61" i="16"/>
  <c r="K61" i="16"/>
  <c r="L61" i="16"/>
  <c r="K107" i="16"/>
  <c r="L107" i="16"/>
  <c r="M107" i="16"/>
  <c r="G90" i="16"/>
  <c r="H90" i="16"/>
  <c r="I90" i="16"/>
  <c r="K51" i="16"/>
  <c r="L51" i="16"/>
  <c r="M51" i="16"/>
  <c r="K97" i="16"/>
  <c r="L97" i="16"/>
  <c r="M97" i="16"/>
  <c r="H87" i="16"/>
  <c r="I87" i="16"/>
  <c r="G87" i="16"/>
  <c r="H47" i="16"/>
  <c r="I47" i="16"/>
  <c r="G47" i="16"/>
  <c r="M66" i="16"/>
  <c r="K66" i="16"/>
  <c r="L66" i="16"/>
  <c r="G94" i="16"/>
  <c r="H94" i="16"/>
  <c r="I94" i="16"/>
  <c r="K103" i="16"/>
  <c r="L103" i="16"/>
  <c r="M103" i="16"/>
  <c r="K39" i="16"/>
  <c r="L39" i="16"/>
  <c r="M39" i="16"/>
  <c r="G50" i="16"/>
  <c r="H50" i="16"/>
  <c r="I50" i="16"/>
  <c r="M68" i="16"/>
  <c r="K68" i="16"/>
  <c r="L68" i="16"/>
  <c r="G97" i="16"/>
  <c r="H97" i="16"/>
  <c r="I97" i="16"/>
  <c r="I99" i="16"/>
  <c r="G99" i="16"/>
  <c r="H99" i="16"/>
  <c r="I35" i="16"/>
  <c r="G35" i="16"/>
  <c r="H35" i="16"/>
  <c r="G72" i="16"/>
  <c r="I72" i="16"/>
  <c r="H72" i="16"/>
  <c r="G109" i="16"/>
  <c r="H109" i="16"/>
  <c r="I109" i="16"/>
  <c r="G45" i="16"/>
  <c r="H45" i="16"/>
  <c r="I45" i="16"/>
  <c r="C7" i="4"/>
  <c r="D13" i="7"/>
  <c r="D29" i="7"/>
  <c r="D45" i="7"/>
  <c r="D61" i="7"/>
  <c r="D77" i="7"/>
  <c r="D93" i="7"/>
  <c r="D109" i="7"/>
  <c r="D125" i="7"/>
  <c r="D90" i="7"/>
  <c r="D96" i="7"/>
  <c r="D102" i="7"/>
  <c r="D60" i="7"/>
  <c r="D114" i="7"/>
  <c r="D14" i="7"/>
  <c r="D36" i="7"/>
  <c r="D43" i="7"/>
  <c r="D107" i="7"/>
  <c r="D80" i="7"/>
  <c r="D82" i="7"/>
  <c r="D15" i="7"/>
  <c r="D31" i="7"/>
  <c r="D47" i="7"/>
  <c r="D63" i="7"/>
  <c r="D79" i="7"/>
  <c r="D95" i="7"/>
  <c r="D111" i="7"/>
  <c r="D127" i="7"/>
  <c r="D106" i="7"/>
  <c r="D112" i="7"/>
  <c r="D118" i="7"/>
  <c r="D76" i="7"/>
  <c r="D24" i="7"/>
  <c r="D30" i="7"/>
  <c r="D52" i="7"/>
  <c r="F16" i="4" a="1"/>
  <c r="F15" i="4" a="1"/>
  <c r="F14" i="4" a="1"/>
  <c r="D25" i="7"/>
  <c r="D57" i="7"/>
  <c r="D73" i="7"/>
  <c r="D89" i="7"/>
  <c r="D105" i="7"/>
  <c r="D121" i="7"/>
  <c r="D64" i="7"/>
  <c r="D70" i="7"/>
  <c r="D28" i="7"/>
  <c r="D50" i="7"/>
  <c r="D104" i="7"/>
  <c r="D110" i="7"/>
  <c r="D20" i="7"/>
  <c r="D27" i="7"/>
  <c r="D75" i="7"/>
  <c r="D123" i="7"/>
  <c r="D86" i="7"/>
  <c r="D120" i="7"/>
  <c r="D17" i="7"/>
  <c r="D33" i="7"/>
  <c r="D49" i="7"/>
  <c r="D65" i="7"/>
  <c r="D81" i="7"/>
  <c r="D97" i="7"/>
  <c r="D113" i="7"/>
  <c r="D129" i="7"/>
  <c r="D122" i="7"/>
  <c r="D128" i="7"/>
  <c r="D18" i="7"/>
  <c r="D92" i="7"/>
  <c r="D40" i="7"/>
  <c r="D46" i="7"/>
  <c r="D68" i="7"/>
  <c r="D11" i="7"/>
  <c r="D59" i="7"/>
  <c r="D91" i="7"/>
  <c r="D74" i="7"/>
  <c r="D44" i="7"/>
  <c r="D126" i="7"/>
  <c r="D19" i="7"/>
  <c r="D35" i="7"/>
  <c r="D51" i="7"/>
  <c r="D67" i="7"/>
  <c r="D83" i="7"/>
  <c r="D99" i="7"/>
  <c r="D115" i="7"/>
  <c r="D10" i="7"/>
  <c r="D16" i="7"/>
  <c r="D22" i="7"/>
  <c r="D66" i="7"/>
  <c r="D108" i="7"/>
  <c r="D56" i="7"/>
  <c r="D62" i="7"/>
  <c r="D84" i="7"/>
  <c r="D21" i="7"/>
  <c r="D37" i="7"/>
  <c r="D53" i="7"/>
  <c r="D69" i="7"/>
  <c r="D85" i="7"/>
  <c r="D101" i="7"/>
  <c r="D117" i="7"/>
  <c r="D26" i="7"/>
  <c r="D32" i="7"/>
  <c r="D38" i="7"/>
  <c r="D98" i="7"/>
  <c r="D124" i="7"/>
  <c r="D72" i="7"/>
  <c r="D78" i="7"/>
  <c r="D100" i="7"/>
  <c r="D23" i="7"/>
  <c r="D39" i="7"/>
  <c r="D55" i="7"/>
  <c r="D71" i="7"/>
  <c r="D87" i="7"/>
  <c r="D103" i="7"/>
  <c r="D119" i="7"/>
  <c r="D42" i="7"/>
  <c r="D48" i="7"/>
  <c r="D54" i="7"/>
  <c r="D12" i="7"/>
  <c r="D34" i="7"/>
  <c r="D88" i="7"/>
  <c r="D94" i="7"/>
  <c r="D116" i="7"/>
  <c r="D41" i="7"/>
  <c r="D58" i="7"/>
  <c r="L14" i="4" l="1"/>
  <c r="K14" i="4"/>
  <c r="P14" i="4"/>
  <c r="G14" i="4"/>
  <c r="Q14" i="4"/>
  <c r="I14" i="4"/>
  <c r="H14" i="4"/>
  <c r="M14" i="4"/>
  <c r="N14" i="4"/>
  <c r="J14" i="4"/>
  <c r="F14" i="4"/>
  <c r="O14" i="4"/>
  <c r="G15" i="4"/>
  <c r="L15" i="4"/>
  <c r="N15" i="4"/>
  <c r="K15" i="4"/>
  <c r="H15" i="4"/>
  <c r="Q15" i="4"/>
  <c r="F15" i="4"/>
  <c r="I15" i="4"/>
  <c r="O15" i="4"/>
  <c r="P15" i="4"/>
  <c r="M15" i="4"/>
  <c r="J15" i="4"/>
  <c r="J16" i="4"/>
  <c r="N16" i="4"/>
  <c r="Q16" i="4"/>
  <c r="I16" i="4"/>
  <c r="F16" i="4"/>
  <c r="G16" i="4"/>
  <c r="K16" i="4"/>
  <c r="L16" i="4"/>
  <c r="P16" i="4"/>
  <c r="H16" i="4"/>
  <c r="M16" i="4"/>
  <c r="O16" i="4"/>
  <c r="E37" i="7"/>
  <c r="E72" i="7"/>
  <c r="E83" i="7"/>
  <c r="E90" i="7"/>
  <c r="E53" i="7"/>
  <c r="E60" i="7"/>
  <c r="E14" i="7"/>
  <c r="E89" i="7"/>
  <c r="E96" i="7"/>
  <c r="E91" i="7"/>
  <c r="E98" i="7"/>
  <c r="E29" i="7"/>
  <c r="E36" i="7"/>
  <c r="E47" i="7"/>
  <c r="E23" i="7"/>
  <c r="E103" i="7"/>
  <c r="E69" i="7"/>
  <c r="E76" i="7"/>
  <c r="E30" i="7"/>
  <c r="E105" i="7"/>
  <c r="E112" i="7"/>
  <c r="E107" i="7"/>
  <c r="E114" i="7"/>
  <c r="E45" i="7"/>
  <c r="E52" i="7"/>
  <c r="E54" i="7"/>
  <c r="E115" i="7"/>
  <c r="E122" i="7"/>
  <c r="E85" i="7"/>
  <c r="E92" i="7"/>
  <c r="E39" i="7"/>
  <c r="E46" i="7"/>
  <c r="E121" i="7"/>
  <c r="E128" i="7"/>
  <c r="E123" i="7"/>
  <c r="E61" i="7"/>
  <c r="E68" i="7"/>
  <c r="E63" i="7"/>
  <c r="E118" i="7"/>
  <c r="E33" i="7"/>
  <c r="E51" i="7"/>
  <c r="E21" i="7"/>
  <c r="E64" i="7"/>
  <c r="E66" i="7"/>
  <c r="E31" i="7"/>
  <c r="E49" i="7"/>
  <c r="E67" i="7"/>
  <c r="E119" i="7"/>
  <c r="E88" i="7"/>
  <c r="E104" i="7"/>
  <c r="E113" i="7"/>
  <c r="E120" i="7"/>
  <c r="E101" i="7"/>
  <c r="E108" i="7"/>
  <c r="E55" i="7"/>
  <c r="E62" i="7"/>
  <c r="E16" i="7"/>
  <c r="E18" i="7"/>
  <c r="E77" i="7"/>
  <c r="E84" i="7"/>
  <c r="E127" i="7"/>
  <c r="E70" i="7"/>
  <c r="E111" i="7"/>
  <c r="E58" i="7"/>
  <c r="E56" i="7"/>
  <c r="E74" i="7"/>
  <c r="E44" i="7"/>
  <c r="E126" i="7"/>
  <c r="E73" i="7"/>
  <c r="E80" i="7"/>
  <c r="E75" i="7"/>
  <c r="E82" i="7"/>
  <c r="E13" i="7"/>
  <c r="E20" i="7"/>
  <c r="E38" i="7"/>
  <c r="E102" i="7"/>
  <c r="E65" i="7"/>
  <c r="E99" i="7"/>
  <c r="E97" i="7"/>
  <c r="E129" i="7"/>
  <c r="E19" i="7"/>
  <c r="E26" i="7"/>
  <c r="E117" i="7"/>
  <c r="E124" i="7"/>
  <c r="E71" i="7"/>
  <c r="E78" i="7"/>
  <c r="E25" i="7"/>
  <c r="E32" i="7"/>
  <c r="E27" i="7"/>
  <c r="E34" i="7"/>
  <c r="E93" i="7"/>
  <c r="E100" i="7"/>
  <c r="E15" i="7"/>
  <c r="E79" i="7"/>
  <c r="E40" i="7"/>
  <c r="E28" i="7"/>
  <c r="E110" i="7"/>
  <c r="E57" i="7"/>
  <c r="E59" i="7"/>
  <c r="E125" i="7"/>
  <c r="E95" i="7"/>
  <c r="E81" i="7"/>
  <c r="E106" i="7"/>
  <c r="E17" i="7"/>
  <c r="E24" i="7"/>
  <c r="E35" i="7"/>
  <c r="E42" i="7"/>
  <c r="E12" i="7"/>
  <c r="E87" i="7"/>
  <c r="E94" i="7"/>
  <c r="E41" i="7"/>
  <c r="E48" i="7"/>
  <c r="E43" i="7"/>
  <c r="E50" i="7"/>
  <c r="E109" i="7"/>
  <c r="E116" i="7"/>
  <c r="E22" i="7"/>
  <c r="E86" i="7"/>
  <c r="E10" i="7"/>
  <c r="E11" i="7"/>
  <c r="Y37" i="11"/>
  <c r="Z37" i="11" s="1"/>
  <c r="AA37" i="11"/>
  <c r="AC37" i="11" s="1"/>
  <c r="AA79" i="11"/>
  <c r="AC79" i="11" s="1"/>
  <c r="Y79" i="11"/>
  <c r="Z79" i="11" s="1"/>
  <c r="AA108" i="11"/>
  <c r="AC108" i="11" s="1"/>
  <c r="Y108" i="11"/>
  <c r="Z108" i="11" s="1"/>
  <c r="AA78" i="11"/>
  <c r="AC78" i="11" s="1"/>
  <c r="Y78" i="11"/>
  <c r="Z78" i="11" s="1"/>
  <c r="Y47" i="11"/>
  <c r="Z47" i="11" s="1"/>
  <c r="AA47" i="11"/>
  <c r="AC47" i="11" s="1"/>
  <c r="Y67" i="11"/>
  <c r="Z67" i="11" s="1"/>
  <c r="AA67" i="11"/>
  <c r="AC67" i="11" s="1"/>
  <c r="Y24" i="11"/>
  <c r="Z24" i="11" s="1"/>
  <c r="AA24" i="11"/>
  <c r="AC24" i="11" s="1"/>
  <c r="AA96" i="11"/>
  <c r="AC96" i="11" s="1"/>
  <c r="Y96" i="11"/>
  <c r="Z96" i="11" s="1"/>
  <c r="Y38" i="11"/>
  <c r="Z38" i="11" s="1"/>
  <c r="AA38" i="11"/>
  <c r="AC38" i="11" s="1"/>
  <c r="Y36" i="11"/>
  <c r="Z36" i="11" s="1"/>
  <c r="AA36" i="11"/>
  <c r="AC36" i="11" s="1"/>
  <c r="Y91" i="11"/>
  <c r="Z91" i="11" s="1"/>
  <c r="AA91" i="11"/>
  <c r="AC91" i="11" s="1"/>
  <c r="AA56" i="11"/>
  <c r="AC56" i="11" s="1"/>
  <c r="Y56" i="11"/>
  <c r="Z56" i="11" s="1"/>
  <c r="Y86" i="11"/>
  <c r="Z86" i="11" s="1"/>
  <c r="AA86" i="11"/>
  <c r="AC86" i="11" s="1"/>
  <c r="Y77" i="11"/>
  <c r="Z77" i="11" s="1"/>
  <c r="AA77" i="11"/>
  <c r="AC77" i="11" s="1"/>
  <c r="Y18" i="11"/>
  <c r="Z18" i="11" s="1"/>
  <c r="AA18" i="11"/>
  <c r="AC18" i="11" s="1"/>
  <c r="Y106" i="11"/>
  <c r="Z106" i="11" s="1"/>
  <c r="AA106" i="11"/>
  <c r="AC106" i="11" s="1"/>
  <c r="AA60" i="11"/>
  <c r="AC60" i="11" s="1"/>
  <c r="Y60" i="11"/>
  <c r="Z60" i="11" s="1"/>
  <c r="Y22" i="11"/>
  <c r="Z22" i="11" s="1"/>
  <c r="AA22" i="11"/>
  <c r="AC22" i="11" s="1"/>
  <c r="Y23" i="11"/>
  <c r="Z23" i="11" s="1"/>
  <c r="AA23" i="11"/>
  <c r="AC23" i="11" s="1"/>
  <c r="AA113" i="11"/>
  <c r="AC113" i="11" s="1"/>
  <c r="Y113" i="11"/>
  <c r="Z113" i="11" s="1"/>
  <c r="Y26" i="11"/>
  <c r="Z26" i="11" s="1"/>
  <c r="AA26" i="11"/>
  <c r="AC26" i="11" s="1"/>
  <c r="Y101" i="11"/>
  <c r="Z101" i="11" s="1"/>
  <c r="AA101" i="11"/>
  <c r="AC101" i="11" s="1"/>
  <c r="AA66" i="11"/>
  <c r="AC66" i="11" s="1"/>
  <c r="Y66" i="11"/>
  <c r="Z66" i="11" s="1"/>
  <c r="AA71" i="11"/>
  <c r="AC71" i="11" s="1"/>
  <c r="Y71" i="11"/>
  <c r="Z71" i="11" s="1"/>
  <c r="Y100" i="11"/>
  <c r="Z100" i="11" s="1"/>
  <c r="AA100" i="11"/>
  <c r="AC100" i="11" s="1"/>
  <c r="Y90" i="11"/>
  <c r="Z90" i="11" s="1"/>
  <c r="AA90" i="11"/>
  <c r="AC90" i="11" s="1"/>
  <c r="Y70" i="11"/>
  <c r="Z70" i="11" s="1"/>
  <c r="AA70" i="11"/>
  <c r="AC70" i="11" s="1"/>
  <c r="Y51" i="11"/>
  <c r="Z51" i="11" s="1"/>
  <c r="AA51" i="11"/>
  <c r="AC51" i="11" s="1"/>
  <c r="Y43" i="11"/>
  <c r="Z43" i="11" s="1"/>
  <c r="AA43" i="11"/>
  <c r="AC43" i="11" s="1"/>
  <c r="AA55" i="11"/>
  <c r="AC55" i="11" s="1"/>
  <c r="Y55" i="11"/>
  <c r="Z55" i="11" s="1"/>
  <c r="Y28" i="11"/>
  <c r="Z28" i="11" s="1"/>
  <c r="AA28" i="11"/>
  <c r="AC28" i="11" s="1"/>
  <c r="K12" i="16"/>
  <c r="K11" i="16" s="1"/>
  <c r="K10" i="16" s="1"/>
  <c r="Y44" i="11"/>
  <c r="Z44" i="11" s="1"/>
  <c r="AA44" i="11"/>
  <c r="AC44" i="11" s="1"/>
  <c r="Y95" i="11"/>
  <c r="Z95" i="11" s="1"/>
  <c r="AA95" i="11"/>
  <c r="AC95" i="11" s="1"/>
  <c r="Y94" i="11"/>
  <c r="Z94" i="11" s="1"/>
  <c r="AA94" i="11"/>
  <c r="AC94" i="11" s="1"/>
  <c r="Y30" i="11"/>
  <c r="Z30" i="11" s="1"/>
  <c r="AA30" i="11"/>
  <c r="AC30" i="11" s="1"/>
  <c r="Y83" i="11"/>
  <c r="Z83" i="11" s="1"/>
  <c r="AA83" i="11"/>
  <c r="AC83" i="11" s="1"/>
  <c r="Y40" i="11"/>
  <c r="Z40" i="11" s="1"/>
  <c r="AA40" i="11"/>
  <c r="AC40" i="11" s="1"/>
  <c r="AA112" i="11"/>
  <c r="AC112" i="11" s="1"/>
  <c r="Y112" i="11"/>
  <c r="Z112" i="11" s="1"/>
  <c r="AA52" i="11"/>
  <c r="AC52" i="11" s="1"/>
  <c r="Y52" i="11"/>
  <c r="Z52" i="11" s="1"/>
  <c r="Y54" i="11"/>
  <c r="Z54" i="11" s="1"/>
  <c r="AA54" i="11"/>
  <c r="AC54" i="11" s="1"/>
  <c r="AA114" i="11"/>
  <c r="AC114" i="11" s="1"/>
  <c r="Y114" i="11"/>
  <c r="Z114" i="11" s="1"/>
  <c r="Y41" i="11"/>
  <c r="Z41" i="11" s="1"/>
  <c r="AA41" i="11"/>
  <c r="AC41" i="11" s="1"/>
  <c r="Y107" i="11"/>
  <c r="Z107" i="11" s="1"/>
  <c r="AA107" i="11"/>
  <c r="AC107" i="11" s="1"/>
  <c r="Y72" i="11"/>
  <c r="Z72" i="11" s="1"/>
  <c r="AA72" i="11"/>
  <c r="AC72" i="11" s="1"/>
  <c r="Y35" i="11"/>
  <c r="Z35" i="11" s="1"/>
  <c r="AA35" i="11"/>
  <c r="AC35" i="11" s="1"/>
  <c r="Y93" i="11"/>
  <c r="Z93" i="11" s="1"/>
  <c r="AA93" i="11"/>
  <c r="AC93" i="11" s="1"/>
  <c r="Y58" i="11"/>
  <c r="Z58" i="11" s="1"/>
  <c r="AA58" i="11"/>
  <c r="AC58" i="11" s="1"/>
  <c r="Y76" i="11"/>
  <c r="Z76" i="11" s="1"/>
  <c r="AA76" i="11"/>
  <c r="AC76" i="11" s="1"/>
  <c r="AA65" i="11"/>
  <c r="AC65" i="11" s="1"/>
  <c r="Y65" i="11"/>
  <c r="Z65" i="11" s="1"/>
  <c r="Y45" i="11"/>
  <c r="Z45" i="11" s="1"/>
  <c r="AA45" i="11"/>
  <c r="AC45" i="11" s="1"/>
  <c r="Y34" i="11"/>
  <c r="Z34" i="11" s="1"/>
  <c r="AA34" i="11"/>
  <c r="AC34" i="11" s="1"/>
  <c r="G12" i="16"/>
  <c r="G11" i="16" s="1"/>
  <c r="G10" i="16" s="1"/>
  <c r="Y53" i="11"/>
  <c r="Z53" i="11" s="1"/>
  <c r="AA53" i="11"/>
  <c r="AC53" i="11" s="1"/>
  <c r="AA82" i="11"/>
  <c r="AC82" i="11" s="1"/>
  <c r="Y82" i="11"/>
  <c r="Z82" i="11" s="1"/>
  <c r="Y46" i="11"/>
  <c r="Z46" i="11" s="1"/>
  <c r="AA46" i="11"/>
  <c r="AC46" i="11" s="1"/>
  <c r="AA87" i="11"/>
  <c r="AC87" i="11" s="1"/>
  <c r="Y87" i="11"/>
  <c r="Z87" i="11" s="1"/>
  <c r="AA97" i="11"/>
  <c r="AC97" i="11" s="1"/>
  <c r="Y97" i="11"/>
  <c r="Z97" i="11" s="1"/>
  <c r="Y85" i="11"/>
  <c r="Z85" i="11" s="1"/>
  <c r="AA85" i="11"/>
  <c r="AC85" i="11" s="1"/>
  <c r="Y20" i="11"/>
  <c r="Z20" i="11" s="1"/>
  <c r="AA20" i="11"/>
  <c r="AC20" i="11" s="1"/>
  <c r="Y111" i="11"/>
  <c r="Z111" i="11" s="1"/>
  <c r="AA111" i="11"/>
  <c r="AC111" i="11" s="1"/>
  <c r="AA110" i="11"/>
  <c r="AC110" i="11" s="1"/>
  <c r="Y110" i="11"/>
  <c r="Z110" i="11" s="1"/>
  <c r="AA73" i="11"/>
  <c r="AC73" i="11" s="1"/>
  <c r="Y73" i="11"/>
  <c r="Z73" i="11" s="1"/>
  <c r="AA17" i="11"/>
  <c r="AC17" i="11" s="1"/>
  <c r="Y17" i="11"/>
  <c r="Z17" i="11" s="1"/>
  <c r="Y99" i="11"/>
  <c r="Z99" i="11" s="1"/>
  <c r="AA99" i="11"/>
  <c r="AC99" i="11" s="1"/>
  <c r="AA64" i="11"/>
  <c r="AC64" i="11" s="1"/>
  <c r="Y64" i="11"/>
  <c r="Z64" i="11" s="1"/>
  <c r="Y68" i="11"/>
  <c r="Z68" i="11" s="1"/>
  <c r="AA68" i="11"/>
  <c r="AC68" i="11" s="1"/>
  <c r="AA19" i="11"/>
  <c r="AC19" i="11" s="1"/>
  <c r="Y19" i="11"/>
  <c r="Z19" i="11" s="1"/>
  <c r="Y39" i="11"/>
  <c r="Z39" i="11" s="1"/>
  <c r="AA39" i="11"/>
  <c r="AC39" i="11" s="1"/>
  <c r="Y75" i="11"/>
  <c r="Z75" i="11" s="1"/>
  <c r="AA75" i="11"/>
  <c r="AC75" i="11" s="1"/>
  <c r="Y48" i="11"/>
  <c r="Z48" i="11" s="1"/>
  <c r="AA48" i="11"/>
  <c r="AC48" i="11" s="1"/>
  <c r="AA49" i="11"/>
  <c r="AC49" i="11" s="1"/>
  <c r="Y49" i="11"/>
  <c r="Z49" i="11" s="1"/>
  <c r="Y59" i="11"/>
  <c r="Z59" i="11" s="1"/>
  <c r="AA59" i="11"/>
  <c r="AC59" i="11" s="1"/>
  <c r="AA15" i="11"/>
  <c r="AC15" i="11" s="1"/>
  <c r="AC11" i="11" s="1"/>
  <c r="AC12" i="11" s="1"/>
  <c r="AC13" i="11" s="1"/>
  <c r="Y15" i="11"/>
  <c r="Z15" i="11" s="1"/>
  <c r="Z11" i="11" s="1"/>
  <c r="Z12" i="11" s="1"/>
  <c r="Z13" i="11" s="1"/>
  <c r="Y88" i="11"/>
  <c r="Z88" i="11" s="1"/>
  <c r="AA88" i="11"/>
  <c r="AC88" i="11" s="1"/>
  <c r="AA57" i="11"/>
  <c r="AC57" i="11" s="1"/>
  <c r="Y57" i="11"/>
  <c r="Z57" i="11" s="1"/>
  <c r="Y50" i="11"/>
  <c r="Z50" i="11" s="1"/>
  <c r="AA50" i="11"/>
  <c r="AC50" i="11" s="1"/>
  <c r="Y109" i="11"/>
  <c r="Z109" i="11" s="1"/>
  <c r="AA109" i="11"/>
  <c r="AC109" i="11" s="1"/>
  <c r="Y74" i="11"/>
  <c r="Z74" i="11" s="1"/>
  <c r="AA74" i="11"/>
  <c r="AC74" i="11" s="1"/>
  <c r="Y21" i="11"/>
  <c r="Z21" i="11" s="1"/>
  <c r="AA21" i="11"/>
  <c r="AC21" i="11" s="1"/>
  <c r="AA81" i="11"/>
  <c r="AC81" i="11" s="1"/>
  <c r="Y81" i="11"/>
  <c r="Z81" i="11" s="1"/>
  <c r="AA31" i="11"/>
  <c r="AC31" i="11" s="1"/>
  <c r="Y31" i="11"/>
  <c r="Z31" i="11" s="1"/>
  <c r="Y69" i="11"/>
  <c r="Z69" i="11" s="1"/>
  <c r="AA69" i="11"/>
  <c r="AC69" i="11" s="1"/>
  <c r="Y27" i="11"/>
  <c r="Z27" i="11" s="1"/>
  <c r="AA27" i="11"/>
  <c r="AC27" i="11" s="1"/>
  <c r="AA98" i="11"/>
  <c r="AC98" i="11" s="1"/>
  <c r="Y98" i="11"/>
  <c r="Z98" i="11" s="1"/>
  <c r="Y29" i="11"/>
  <c r="Z29" i="11" s="1"/>
  <c r="AA29" i="11"/>
  <c r="AC29" i="11" s="1"/>
  <c r="Y103" i="11"/>
  <c r="Z103" i="11" s="1"/>
  <c r="AA103" i="11"/>
  <c r="AC103" i="11" s="1"/>
  <c r="AA104" i="11"/>
  <c r="AC104" i="11" s="1"/>
  <c r="Y104" i="11"/>
  <c r="Z104" i="11" s="1"/>
  <c r="Y61" i="11"/>
  <c r="Z61" i="11" s="1"/>
  <c r="AA61" i="11"/>
  <c r="AC61" i="11" s="1"/>
  <c r="AA33" i="11"/>
  <c r="AC33" i="11" s="1"/>
  <c r="Y33" i="11"/>
  <c r="Z33" i="11" s="1"/>
  <c r="AA105" i="11"/>
  <c r="AC105" i="11" s="1"/>
  <c r="Y105" i="11"/>
  <c r="Z105" i="11" s="1"/>
  <c r="AA63" i="11"/>
  <c r="AC63" i="11" s="1"/>
  <c r="Y63" i="11"/>
  <c r="Z63" i="11" s="1"/>
  <c r="Y42" i="11"/>
  <c r="Z42" i="11" s="1"/>
  <c r="AA42" i="11"/>
  <c r="AC42" i="11" s="1"/>
  <c r="AA92" i="11"/>
  <c r="AC92" i="11" s="1"/>
  <c r="Y92" i="11"/>
  <c r="Z92" i="11" s="1"/>
  <c r="Y62" i="11"/>
  <c r="Z62" i="11" s="1"/>
  <c r="AA62" i="11"/>
  <c r="AC62" i="11" s="1"/>
  <c r="Y25" i="11"/>
  <c r="Z25" i="11" s="1"/>
  <c r="AA25" i="11"/>
  <c r="AC25" i="11" s="1"/>
  <c r="Y32" i="11"/>
  <c r="Z32" i="11" s="1"/>
  <c r="AA32" i="11"/>
  <c r="AC32" i="11" s="1"/>
  <c r="AA80" i="11"/>
  <c r="AC80" i="11" s="1"/>
  <c r="Y80" i="11"/>
  <c r="Z80" i="11" s="1"/>
  <c r="Y102" i="11"/>
  <c r="Z102" i="11" s="1"/>
  <c r="AA102" i="11"/>
  <c r="AC102" i="11" s="1"/>
  <c r="Y84" i="11"/>
  <c r="Z84" i="11" s="1"/>
  <c r="AA84" i="11"/>
  <c r="AC84" i="11" s="1"/>
  <c r="AA89" i="11"/>
  <c r="AC89" i="11" s="1"/>
  <c r="Y89" i="11"/>
  <c r="Z89" i="11" s="1"/>
  <c r="I7" i="7" a="1"/>
  <c r="F10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F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F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F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O12" authorId="1" shapeId="0" xr:uid="{BF5871BF-24F4-4A14-8B48-F017437B06C4}">
      <text>
        <r>
          <rPr>
            <b/>
            <sz val="9"/>
            <color indexed="81"/>
            <rFont val="Tahoma"/>
            <family val="2"/>
          </rPr>
          <t>Bpv of the tranche, multiplied by the size of the tranche</t>
        </r>
      </text>
    </comment>
    <comment ref="F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G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<sst xmlns="http://schemas.openxmlformats.org/spreadsheetml/2006/main" count="2479" uniqueCount="627">
  <si>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</si>
  <si>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</si>
  <si>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</si>
  <si>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</si>
  <si>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</si>
  <si>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</si>
  <si>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</si>
  <si>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</si>
  <si>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</si>
  <si>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</si>
  <si>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</si>
  <si>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</si>
  <si>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</si>
  <si>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</si>
  <si>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</si>
  <si>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</si>
  <si>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</si>
  <si>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</si>
  <si>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</si>
  <si>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</si>
  <si>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</si>
  <si>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</si>
  <si>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</si>
  <si>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</si>
  <si>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</si>
  <si>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</si>
  <si>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</si>
  <si>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</si>
  <si>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</si>
  <si>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</si>
  <si>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</si>
  <si>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</si>
  <si>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</si>
  <si>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</si>
  <si>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</si>
  <si>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</si>
  <si>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</si>
  <si>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</si>
  <si>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</si>
  <si>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</si>
  <si>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</si>
  <si>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</si>
  <si>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</si>
  <si>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</si>
  <si>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</si>
  <si>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</si>
  <si>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</si>
  <si>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</si>
  <si>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</si>
  <si>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</si>
  <si>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</si>
  <si>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</si>
  <si>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</si>
  <si>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</si>
  <si>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</si>
  <si>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</si>
  <si>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</si>
  <si>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</si>
  <si>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</si>
  <si>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</si>
  <si>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</si>
  <si>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</si>
  <si>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</si>
  <si>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</si>
  <si>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</si>
  <si>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</si>
  <si>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</si>
  <si>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</si>
  <si>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</si>
  <si>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</si>
  <si>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</si>
  <si>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</si>
  <si>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</si>
  <si>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</si>
  <si>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</si>
  <si>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</si>
  <si>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</si>
  <si>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</si>
  <si>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</si>
  <si>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</si>
  <si>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</si>
  <si>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</si>
  <si>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</si>
  <si>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</si>
  <si>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</si>
  <si>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</si>
  <si>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</si>
  <si>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</si>
  <si>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</si>
  <si>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</si>
  <si>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</si>
  <si>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</si>
  <si>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</si>
  <si>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</si>
  <si>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</si>
  <si>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</si>
  <si>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</si>
  <si>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</si>
  <si>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</si>
  <si>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</si>
  <si>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</si>
  <si>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</si>
  <si>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</si>
  <si>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</si>
  <si>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</si>
  <si>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</si>
  <si>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</si>
  <si>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</si>
  <si>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</si>
  <si>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</si>
  <si>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</si>
  <si>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</si>
  <si>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</si>
  <si>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</si>
  <si>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</si>
  <si>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</si>
  <si>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</si>
  <si>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</si>
  <si>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</si>
  <si>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</si>
  <si>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</si>
  <si>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</si>
  <si>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</si>
  <si>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</si>
  <si>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</si>
  <si>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</si>
  <si>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</si>
  <si>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</si>
  <si>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</si>
  <si>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</si>
  <si>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</si>
  <si>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</si>
  <si>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</si>
  <si>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</si>
  <si>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</si>
  <si>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</si>
  <si>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</si>
  <si>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</si>
  <si>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</si>
  <si>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</si>
  <si>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</si>
  <si>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</si>
  <si>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</si>
  <si>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</si>
  <si>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</si>
  <si>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</si>
  <si>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</si>
  <si>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</si>
  <si>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</si>
  <si>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</si>
  <si>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</si>
  <si>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</si>
  <si>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</si>
  <si>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</si>
  <si>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</si>
  <si>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</si>
  <si>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</si>
  <si>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</si>
  <si>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</si>
  <si>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</si>
  <si>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</si>
  <si>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</si>
  <si>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</si>
  <si>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</si>
  <si>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</si>
  <si>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</si>
  <si>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</si>
  <si>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</si>
  <si>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</si>
  <si>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</si>
  <si>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</si>
  <si>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</si>
  <si>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</si>
  <si>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</si>
  <si>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</si>
  <si>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</si>
  <si>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</si>
  <si>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</si>
  <si>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</si>
  <si>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</si>
  <si>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</si>
  <si>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</si>
  <si>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</si>
  <si>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</si>
  <si>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</si>
  <si>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</si>
  <si>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</si>
  <si>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</si>
  <si>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</si>
  <si>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</si>
  <si>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</si>
  <si>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</si>
  <si>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</si>
  <si>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</si>
  <si>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</si>
  <si>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</si>
  <si>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</si>
  <si>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</si>
  <si>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</si>
  <si>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</si>
  <si>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</si>
  <si>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</si>
  <si>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</si>
  <si>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</si>
  <si>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</si>
  <si>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</si>
  <si>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</si>
  <si>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</si>
  <si>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</si>
  <si>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</si>
  <si>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</si>
  <si>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</si>
  <si>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</si>
  <si>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</si>
  <si>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</si>
  <si>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</si>
  <si>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</si>
  <si>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</si>
  <si>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</si>
  <si>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</si>
  <si>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</si>
  <si>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</si>
  <si>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</si>
  <si>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</si>
  <si>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</si>
  <si>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</si>
  <si>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</si>
  <si>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</si>
  <si>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</si>
  <si>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</si>
  <si>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</si>
  <si>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</si>
  <si>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</si>
  <si>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</si>
  <si>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</si>
  <si>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</si>
  <si>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</si>
  <si>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</si>
  <si>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</si>
  <si>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</si>
  <si>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</si>
  <si>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</si>
  <si>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</si>
  <si>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</si>
  <si>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</si>
  <si>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</si>
  <si>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</si>
  <si>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</si>
  <si>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</si>
  <si>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</si>
  <si>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</si>
  <si>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</si>
  <si>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</si>
  <si>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</si>
  <si>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</si>
  <si>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</si>
  <si>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</si>
  <si>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</si>
  <si>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</si>
  <si>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</si>
  <si>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</si>
  <si>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</si>
  <si>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</si>
  <si>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</si>
  <si>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</si>
  <si>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</si>
  <si>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</si>
  <si>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</si>
  <si>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</si>
  <si>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</si>
  <si>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</si>
  <si>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</si>
  <si>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</si>
  <si>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</si>
  <si>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</si>
  <si>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</si>
  <si>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</si>
  <si>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</si>
  <si>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</si>
  <si>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</si>
  <si>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</si>
  <si>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</si>
  <si>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</si>
  <si>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</si>
  <si>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</si>
  <si>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</si>
  <si>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</si>
  <si>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</si>
  <si>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</si>
  <si>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</si>
  <si>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</si>
  <si>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</si>
  <si>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</si>
  <si>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</si>
  <si>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</si>
  <si>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</si>
  <si>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</si>
  <si>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</si>
  <si>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</si>
  <si>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</si>
  <si>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</si>
  <si>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</si>
  <si>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</si>
  <si>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</si>
  <si>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</si>
  <si>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</si>
  <si>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</si>
  <si>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</si>
  <si>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</si>
  <si>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</si>
  <si>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</si>
  <si>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</si>
  <si>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</si>
  <si>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</si>
  <si>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</si>
  <si>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</si>
  <si>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</si>
  <si>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</si>
  <si>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</si>
  <si>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</si>
  <si>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</si>
  <si>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</si>
  <si>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</si>
  <si>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</si>
  <si>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</si>
  <si>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</si>
  <si>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</si>
  <si>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</si>
  <si>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</si>
  <si>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</si>
  <si>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</si>
  <si>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</si>
  <si>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</si>
  <si>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</si>
  <si>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</si>
  <si>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</si>
  <si>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</si>
  <si>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</si>
  <si>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</si>
  <si>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</si>
  <si>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</si>
  <si>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</si>
  <si>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</si>
  <si>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</si>
  <si>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</si>
  <si>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</si>
  <si>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</si>
  <si>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</si>
  <si>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</si>
  <si>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</si>
  <si>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</si>
  <si>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</si>
  <si>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</si>
  <si>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</si>
  <si>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</si>
  <si>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</si>
  <si>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</si>
  <si>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</si>
  <si>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</si>
  <si>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</si>
  <si>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</si>
  <si>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</si>
  <si>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</si>
  <si>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</si>
  <si>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</si>
  <si>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</si>
  <si>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</si>
  <si>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</si>
  <si>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</si>
  <si>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</si>
  <si>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</si>
  <si>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</si>
  <si>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</si>
  <si>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</si>
  <si>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</si>
  <si>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</si>
  <si>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</si>
  <si>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</si>
  <si>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</si>
  <si>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</si>
  <si>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</si>
  <si>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</si>
  <si>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</si>
  <si>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</si>
  <si>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</si>
  <si>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</si>
  <si>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</si>
  <si>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</si>
  <si>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</si>
  <si>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</si>
  <si>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</si>
  <si>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</si>
  <si>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</si>
  <si>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</si>
  <si>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</si>
  <si>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</si>
  <si>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</si>
  <si>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</si>
  <si>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</si>
  <si>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</si>
  <si>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</si>
  <si>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</si>
  <si>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</si>
  <si>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</si>
  <si>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</si>
  <si>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</si>
  <si>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</si>
  <si>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</si>
  <si>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</si>
  <si>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</si>
  <si>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</si>
  <si>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</si>
  <si>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</si>
  <si>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</si>
  <si>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</si>
  <si>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</si>
  <si>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</si>
  <si>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</si>
  <si>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</si>
  <si>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</si>
  <si>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</si>
  <si>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</si>
  <si>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</si>
  <si>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</si>
  <si>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</si>
  <si>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</si>
  <si>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</si>
  <si>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</si>
  <si>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</si>
  <si>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</si>
  <si>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</si>
  <si>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</si>
  <si>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</si>
  <si>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</si>
  <si>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</si>
  <si>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</si>
  <si>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</si>
  <si>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</si>
  <si>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</si>
  <si>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</si>
  <si>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</si>
  <si>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</si>
  <si>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</si>
  <si>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</si>
  <si>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</si>
  <si>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</si>
  <si>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</si>
  <si>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</si>
  <si>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</si>
  <si>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</si>
  <si>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</si>
  <si>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</si>
  <si>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</si>
  <si>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</si>
  <si>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</si>
  <si>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</si>
  <si>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</si>
  <si>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</si>
  <si>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</si>
  <si>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</si>
  <si>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</si>
  <si>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</si>
  <si>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</si>
  <si>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</si>
  <si>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</si>
  <si>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</si>
  <si>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</si>
  <si>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</si>
  <si>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</si>
  <si>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</si>
  <si>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</si>
  <si>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</si>
  <si>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</si>
  <si>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</si>
  <si>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</si>
  <si>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</si>
  <si>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</si>
  <si>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</si>
  <si>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</si>
  <si>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</si>
  <si>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</si>
  <si>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</si>
  <si>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</si>
  <si>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</si>
  <si>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</si>
  <si>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</si>
  <si>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</si>
  <si>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</si>
  <si>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</si>
  <si>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</si>
  <si>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</si>
  <si>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</si>
  <si>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</si>
  <si>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</si>
  <si>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</si>
  <si>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</si>
  <si>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</si>
  <si>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</si>
  <si>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</si>
  <si>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</si>
  <si>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</si>
  <si>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</si>
  <si>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</si>
  <si>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</si>
  <si>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</si>
  <si>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</si>
  <si>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</si>
  <si>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</si>
  <si>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</si>
  <si>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</si>
  <si>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</si>
  <si>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</si>
  <si>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</si>
  <si>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</si>
  <si>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</si>
  <si>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</si>
  <si>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</si>
  <si>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</si>
  <si>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</si>
  <si>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</si>
  <si>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</si>
  <si>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</si>
  <si>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</si>
  <si>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</si>
  <si>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</si>
  <si>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</si>
  <si>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</si>
  <si>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</si>
  <si>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</si>
  <si>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</si>
  <si>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</si>
  <si>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</si>
  <si>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</si>
  <si>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</si>
  <si>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</si>
  <si>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</si>
  <si>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</si>
  <si>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</si>
  <si>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</si>
  <si>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</si>
  <si>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</si>
  <si>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</si>
  <si>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</si>
  <si>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</si>
  <si>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</si>
  <si>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</si>
  <si>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</si>
  <si>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</si>
  <si>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</si>
  <si>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</si>
  <si>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</si>
  <si>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</si>
  <si>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</si>
  <si>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</si>
  <si>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</si>
  <si>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</si>
  <si>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</si>
  <si>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</si>
  <si>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</si>
  <si>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</si>
  <si>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</si>
  <si>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</si>
  <si>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</si>
  <si>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</si>
  <si>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</si>
  <si>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</si>
  <si>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</si>
  <si>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</si>
  <si>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</si>
  <si>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</si>
  <si>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</si>
  <si>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</si>
  <si>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</si>
  <si>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</si>
  <si>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</si>
  <si>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</si>
  <si>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</si>
  <si>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</si>
  <si>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</si>
  <si>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</si>
  <si>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</si>
  <si>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</si>
  <si>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</si>
  <si>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</si>
  <si>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</si>
  <si>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</si>
  <si>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</si>
  <si>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</si>
  <si>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</si>
  <si>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</si>
  <si>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</si>
  <si>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</si>
  <si>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</si>
  <si>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</si>
  <si>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</si>
  <si>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</si>
  <si>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</si>
  <si>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</si>
  <si>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</si>
  <si>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</si>
  <si>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</si>
  <si>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</si>
  <si>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</si>
  <si>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</si>
  <si>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</si>
  <si>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</si>
  <si>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</si>
  <si>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GBP</t>
  </si>
  <si>
    <t>PAS STRIP IRS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</si>
  <si>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</si>
  <si>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</si>
  <si>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</si>
  <si>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</si>
  <si>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</si>
  <si>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</si>
  <si>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</si>
  <si>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</si>
  <si>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</si>
  <si>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</si>
  <si>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</si>
  <si>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</si>
  <si>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</si>
  <si>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CDO Delta CSR</t>
  </si>
  <si>
    <t>CDO Delta GIRR Weighted</t>
  </si>
  <si>
    <t>CDS Delta GIRR Weighted</t>
  </si>
  <si>
    <t>Kb</t>
  </si>
  <si>
    <t>Currency: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</si>
</sst>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88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5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9" fontId="34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23" fillId="0" borderId="49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0" fillId="0" borderId="27" xfId="0" applyBorder="1"/>
    <xf numFmtId="180" fontId="25" fillId="0" borderId="28" xfId="5" applyNumberFormat="1" applyFont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26" fillId="2" borderId="7" xfId="0" applyFont="1" applyFill="1" applyBorder="1" applyAlignment="1">
      <alignment horizontal="center"/>
    </xf>
    <xf numFmtId="177" fontId="25" fillId="4" borderId="23" xfId="1" quotePrefix="1" applyNumberFormat="1" applyFont="1" applyFill="1" applyBorder="1" applyAlignment="1">
      <alignment horizontal="center"/>
    </xf>
    <xf numFmtId="0" fontId="26" fillId="2" borderId="7" xfId="0" applyFont="1" applyFill="1" applyBorder="1"/>
    <xf numFmtId="0" fontId="26" fillId="2" borderId="1" xfId="0" applyFont="1" applyFill="1" applyBorder="1"/>
    <xf numFmtId="177" fontId="0" fillId="0" borderId="0" xfId="0" applyNumberFormat="1"/>
    <xf numFmtId="0" fontId="26" fillId="2" borderId="5" xfId="0" applyFont="1" applyFill="1" applyBorder="1"/>
    <xf numFmtId="0" fontId="26" fillId="2" borderId="6" xfId="0" applyFont="1" applyFill="1" applyBorder="1"/>
    <xf numFmtId="0" fontId="24" fillId="0" borderId="0" xfId="2" applyFont="1" applyAlignment="1">
      <alignment horizontal="center"/>
    </xf>
    <xf numFmtId="182" fontId="21" fillId="0" borderId="0" xfId="2" applyNumberFormat="1" applyFont="1" applyAlignment="1">
      <alignment horizontal="center"/>
    </xf>
    <xf numFmtId="0" fontId="34" fillId="0" borderId="9" xfId="2" applyFont="1" applyBorder="1" applyAlignment="1">
      <alignment horizontal="left"/>
    </xf>
    <xf numFmtId="0" fontId="21" fillId="7" borderId="0" xfId="2" applyFont="1" applyFill="1" applyAlignment="1"/>
    <xf numFmtId="178" fontId="21" fillId="7" borderId="0" xfId="2" applyNumberFormat="1" applyFont="1" applyFill="1" applyAlignment="1"/>
    <xf numFmtId="0" fontId="26" fillId="2" borderId="12" xfId="0" applyFont="1" applyFill="1" applyBorder="1" applyAlignment="1">
      <alignment horizontal="center"/>
    </xf>
    <xf numFmtId="0" fontId="26" fillId="2" borderId="9" xfId="0" applyFont="1" applyFill="1" applyBorder="1" applyAlignment="1">
      <alignment horizontal="center"/>
    </xf>
    <xf numFmtId="0" fontId="26" fillId="2" borderId="12" xfId="0" applyFont="1" applyFill="1" applyBorder="1"/>
    <xf numFmtId="0" fontId="38" fillId="8" borderId="0" xfId="0" applyFont="1" applyFill="1"/>
    <xf numFmtId="0" fontId="0" fillId="8" borderId="0" xfId="0" applyFill="1"/>
    <xf numFmtId="0" fontId="39" fillId="8" borderId="0" xfId="0" applyFont="1" applyFill="1" applyAlignment="1">
      <alignment horizontal="left" vertical="center" indent="1"/>
    </xf>
    <xf numFmtId="0" fontId="40" fillId="8" borderId="0" xfId="0" applyFont="1" applyFill="1" applyAlignment="1">
      <alignment horizontal="left" indent="1"/>
    </xf>
    <xf numFmtId="0" fontId="21" fillId="4" borderId="10" xfId="0" applyFont="1" applyFill="1" applyBorder="1"/>
    <xf numFmtId="0" fontId="26" fillId="2" borderId="14" xfId="0" applyFont="1" applyFill="1" applyBorder="1"/>
    <xf numFmtId="0" fontId="21" fillId="4" borderId="9" xfId="0" applyFont="1" applyFill="1" applyBorder="1"/>
    <xf numFmtId="177" fontId="47" fillId="4" borderId="1" xfId="0" applyNumberFormat="1" applyFont="1" applyFill="1" applyBorder="1"/>
    <xf numFmtId="177" fontId="47" fillId="4" borderId="0" xfId="0" applyNumberFormat="1" applyFont="1" applyFill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177" fontId="47" fillId="4" borderId="10" xfId="0" applyNumberFormat="1" applyFont="1" applyFill="1" applyBorder="1"/>
    <xf numFmtId="0" fontId="34" fillId="4" borderId="10" xfId="0" applyFont="1" applyFill="1" applyBorder="1" applyAlignment="1">
      <alignment horizontal="left"/>
    </xf>
    <xf numFmtId="0" fontId="34" fillId="4" borderId="11" xfId="0" applyFont="1" applyFill="1" applyBorder="1" applyAlignment="1">
      <alignment horizontal="left"/>
    </xf>
    <xf numFmtId="177" fontId="48" fillId="4" borderId="1" xfId="0" applyNumberFormat="1" applyFont="1" applyFill="1" applyBorder="1"/>
    <xf numFmtId="177" fontId="48" fillId="4" borderId="2" xfId="0" applyNumberFormat="1" applyFont="1" applyFill="1" applyBorder="1"/>
    <xf numFmtId="177" fontId="48" fillId="4" borderId="3" xfId="0" applyNumberFormat="1" applyFont="1" applyFill="1" applyBorder="1"/>
    <xf numFmtId="177" fontId="48" fillId="4" borderId="28" xfId="0" applyNumberFormat="1" applyFont="1" applyFill="1" applyBorder="1"/>
    <xf numFmtId="177" fontId="48" fillId="4" borderId="4" xfId="0" applyNumberFormat="1" applyFont="1" applyFill="1" applyBorder="1"/>
    <xf numFmtId="0" fontId="26" fillId="2" borderId="14" xfId="0" applyFont="1" applyFill="1" applyBorder="1" applyAlignment="1">
      <alignment horizontal="center"/>
    </xf>
    <xf numFmtId="0" fontId="26" fillId="2" borderId="6" xfId="0" applyFont="1" applyFill="1" applyBorder="1" applyAlignment="1">
      <alignment horizontal="center"/>
    </xf>
    <xf numFmtId="174" fontId="0" fillId="0" borderId="0" xfId="0" applyNumberFormat="1"/>
    <xf numFmtId="177" fontId="48" fillId="4" borderId="5" xfId="0" applyNumberFormat="1" applyFont="1" applyFill="1" applyBorder="1"/>
    <xf numFmtId="177" fontId="48" fillId="4" borderId="14" xfId="0" applyNumberFormat="1" applyFont="1" applyFill="1" applyBorder="1"/>
    <xf numFmtId="177" fontId="48" fillId="4" borderId="7" xfId="0" applyNumberFormat="1" applyFont="1" applyFill="1" applyBorder="1"/>
    <xf numFmtId="177" fontId="48" fillId="4" borderId="23" xfId="0" applyNumberFormat="1" applyFont="1" applyFill="1" applyBorder="1"/>
    <xf numFmtId="177" fontId="48" fillId="4" borderId="8" xfId="0" applyNumberFormat="1" applyFont="1" applyFill="1" applyBorder="1"/>
    <xf numFmtId="167" fontId="48" fillId="4" borderId="7" xfId="0" applyNumberFormat="1" applyFont="1" applyFill="1" applyBorder="1"/>
    <xf numFmtId="167" fontId="48" fillId="4" borderId="23" xfId="0" applyNumberFormat="1" applyFont="1" applyFill="1" applyBorder="1"/>
    <xf numFmtId="167" fontId="48" fillId="4" borderId="8" xfId="0" applyNumberFormat="1" applyFont="1" applyFill="1" applyBorder="1"/>
    <xf numFmtId="167" fontId="48" fillId="4" borderId="1" xfId="0" applyNumberFormat="1" applyFont="1" applyFill="1" applyBorder="1"/>
    <xf numFmtId="167" fontId="48" fillId="4" borderId="0" xfId="0" applyNumberFormat="1" applyFont="1" applyFill="1"/>
    <xf numFmtId="167" fontId="48" fillId="4" borderId="2" xfId="0" applyNumberFormat="1" applyFont="1" applyFill="1" applyBorder="1"/>
    <xf numFmtId="167" fontId="48" fillId="4" borderId="3" xfId="0" applyNumberFormat="1" applyFont="1" applyFill="1" applyBorder="1"/>
    <xf numFmtId="167" fontId="48" fillId="4" borderId="28" xfId="0" applyNumberFormat="1" applyFont="1" applyFill="1" applyBorder="1"/>
    <xf numFmtId="167" fontId="48" fillId="4" borderId="4" xfId="0" applyNumberFormat="1" applyFont="1" applyFill="1" applyBorder="1"/>
    <xf numFmtId="167" fontId="48" fillId="4" borderId="5" xfId="0" applyNumberFormat="1" applyFont="1" applyFill="1" applyBorder="1"/>
    <xf numFmtId="167" fontId="48" fillId="4" borderId="14" xfId="0" applyNumberFormat="1" applyFont="1" applyFill="1" applyBorder="1"/>
    <xf numFmtId="167" fontId="48" fillId="4" borderId="6" xfId="0" applyNumberFormat="1" applyFont="1" applyFill="1" applyBorder="1"/>
    <xf numFmtId="167" fontId="48" fillId="4" borderId="9" xfId="0" applyNumberFormat="1" applyFont="1" applyFill="1" applyBorder="1"/>
    <xf numFmtId="167" fontId="48" fillId="4" borderId="10" xfId="0" applyNumberFormat="1" applyFont="1" applyFill="1" applyBorder="1"/>
    <xf numFmtId="167" fontId="48" fillId="4" borderId="11" xfId="0" applyNumberFormat="1" applyFont="1" applyFill="1" applyBorder="1"/>
    <xf numFmtId="167" fontId="48" fillId="4" borderId="12" xfId="0" applyNumberFormat="1" applyFont="1" applyFill="1" applyBorder="1"/>
    <xf numFmtId="177" fontId="48" fillId="4" borderId="0" xfId="0" applyNumberFormat="1" applyFont="1" applyFill="1"/>
    <xf numFmtId="0" fontId="34" fillId="2" borderId="12" xfId="0" applyFont="1" applyFill="1" applyBorder="1"/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E6640A"/>
      <color rgb="FFE66E0A"/>
      <color rgb="FF008000"/>
      <color rgb="FF3399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2.2315147540802873E-3</c:v>
                </c:pt>
                <c:pt idx="1">
                  <c:v>2.2315147540814123E-3</c:v>
                </c:pt>
                <c:pt idx="2">
                  <c:v>2.2315147540799413E-3</c:v>
                </c:pt>
                <c:pt idx="3">
                  <c:v>2.2315147540801052E-3</c:v>
                </c:pt>
                <c:pt idx="4">
                  <c:v>2.2315147540801052E-3</c:v>
                </c:pt>
                <c:pt idx="5">
                  <c:v>2.2315147540793536E-3</c:v>
                </c:pt>
                <c:pt idx="6">
                  <c:v>4.9781208385098145E-3</c:v>
                </c:pt>
                <c:pt idx="7">
                  <c:v>4.9781208385089671E-3</c:v>
                </c:pt>
                <c:pt idx="8">
                  <c:v>4.9781208385098145E-3</c:v>
                </c:pt>
                <c:pt idx="9">
                  <c:v>4.9781208385103184E-3</c:v>
                </c:pt>
                <c:pt idx="10">
                  <c:v>4.9781208385085065E-3</c:v>
                </c:pt>
                <c:pt idx="11">
                  <c:v>4.9781208385111216E-3</c:v>
                </c:pt>
                <c:pt idx="12">
                  <c:v>5.6495716406230563E-3</c:v>
                </c:pt>
                <c:pt idx="13">
                  <c:v>5.6495716406237354E-3</c:v>
                </c:pt>
                <c:pt idx="14">
                  <c:v>5.6495716406244076E-3</c:v>
                </c:pt>
                <c:pt idx="15">
                  <c:v>5.6495716406237354E-3</c:v>
                </c:pt>
                <c:pt idx="16">
                  <c:v>5.6495716406224274E-3</c:v>
                </c:pt>
                <c:pt idx="17">
                  <c:v>5.6495716406246999E-3</c:v>
                </c:pt>
                <c:pt idx="18">
                  <c:v>5.6495716406237354E-3</c:v>
                </c:pt>
                <c:pt idx="19">
                  <c:v>5.6495716406230563E-3</c:v>
                </c:pt>
                <c:pt idx="20">
                  <c:v>5.6495716406250434E-3</c:v>
                </c:pt>
                <c:pt idx="21">
                  <c:v>5.6495716406217049E-3</c:v>
                </c:pt>
                <c:pt idx="22">
                  <c:v>5.6495716406224274E-3</c:v>
                </c:pt>
                <c:pt idx="23">
                  <c:v>5.6495716406250434E-3</c:v>
                </c:pt>
                <c:pt idx="24">
                  <c:v>7.5526114165264521E-3</c:v>
                </c:pt>
                <c:pt idx="25">
                  <c:v>7.552611416526943E-3</c:v>
                </c:pt>
                <c:pt idx="26">
                  <c:v>7.5526114165264521E-3</c:v>
                </c:pt>
                <c:pt idx="27">
                  <c:v>7.552611416526943E-3</c:v>
                </c:pt>
                <c:pt idx="28">
                  <c:v>7.5526114165243262E-3</c:v>
                </c:pt>
                <c:pt idx="29">
                  <c:v>7.5526114165279865E-3</c:v>
                </c:pt>
                <c:pt idx="30">
                  <c:v>7.5526114165256342E-3</c:v>
                </c:pt>
                <c:pt idx="31">
                  <c:v>7.5526114165278026E-3</c:v>
                </c:pt>
                <c:pt idx="32">
                  <c:v>7.552611416526943E-3</c:v>
                </c:pt>
                <c:pt idx="33">
                  <c:v>7.5526114165264113E-3</c:v>
                </c:pt>
                <c:pt idx="34">
                  <c:v>7.552611416526943E-3</c:v>
                </c:pt>
                <c:pt idx="35">
                  <c:v>7.552611416526943E-3</c:v>
                </c:pt>
                <c:pt idx="36">
                  <c:v>9.2965319056387483E-3</c:v>
                </c:pt>
                <c:pt idx="37">
                  <c:v>9.2965319056379919E-3</c:v>
                </c:pt>
                <c:pt idx="38">
                  <c:v>9.2965319056387483E-3</c:v>
                </c:pt>
                <c:pt idx="39">
                  <c:v>9.2965319056392999E-3</c:v>
                </c:pt>
                <c:pt idx="40">
                  <c:v>9.2965319056366839E-3</c:v>
                </c:pt>
                <c:pt idx="41">
                  <c:v>9.2965319056389946E-3</c:v>
                </c:pt>
                <c:pt idx="42">
                  <c:v>9.2965319056392999E-3</c:v>
                </c:pt>
                <c:pt idx="43">
                  <c:v>9.2965319056373969E-3</c:v>
                </c:pt>
                <c:pt idx="44">
                  <c:v>9.2965319056406079E-3</c:v>
                </c:pt>
                <c:pt idx="45">
                  <c:v>9.2965319056387483E-3</c:v>
                </c:pt>
                <c:pt idx="46">
                  <c:v>9.2965319056379433E-3</c:v>
                </c:pt>
                <c:pt idx="47">
                  <c:v>9.2965319056393485E-3</c:v>
                </c:pt>
                <c:pt idx="48">
                  <c:v>9.296531905638698E-3</c:v>
                </c:pt>
                <c:pt idx="49">
                  <c:v>9.2965319056380405E-3</c:v>
                </c:pt>
                <c:pt idx="50">
                  <c:v>9.2965319056400493E-3</c:v>
                </c:pt>
                <c:pt idx="51">
                  <c:v>9.2965319056392513E-3</c:v>
                </c:pt>
                <c:pt idx="52">
                  <c:v>9.2965319056380405E-3</c:v>
                </c:pt>
                <c:pt idx="53">
                  <c:v>9.2965319056369199E-3</c:v>
                </c:pt>
                <c:pt idx="54">
                  <c:v>9.2965319056406565E-3</c:v>
                </c:pt>
                <c:pt idx="55">
                  <c:v>9.2965319056373466E-3</c:v>
                </c:pt>
                <c:pt idx="56">
                  <c:v>9.2965319056379433E-3</c:v>
                </c:pt>
                <c:pt idx="57">
                  <c:v>9.2965319056374472E-3</c:v>
                </c:pt>
                <c:pt idx="58">
                  <c:v>9.2965319056405593E-3</c:v>
                </c:pt>
                <c:pt idx="59">
                  <c:v>9.2965319056380405E-3</c:v>
                </c:pt>
                <c:pt idx="60">
                  <c:v>9.5060084048905445E-3</c:v>
                </c:pt>
                <c:pt idx="61">
                  <c:v>9.5060084048901334E-3</c:v>
                </c:pt>
                <c:pt idx="62">
                  <c:v>9.5060084048891914E-3</c:v>
                </c:pt>
                <c:pt idx="63">
                  <c:v>9.5060084048900345E-3</c:v>
                </c:pt>
                <c:pt idx="64">
                  <c:v>9.5060084048901334E-3</c:v>
                </c:pt>
                <c:pt idx="65">
                  <c:v>9.5060084048906191E-3</c:v>
                </c:pt>
                <c:pt idx="66">
                  <c:v>9.5060084048914414E-3</c:v>
                </c:pt>
                <c:pt idx="67">
                  <c:v>9.5060084048891914E-3</c:v>
                </c:pt>
                <c:pt idx="68">
                  <c:v>9.5060084048900345E-3</c:v>
                </c:pt>
                <c:pt idx="69">
                  <c:v>9.5060084048906469E-3</c:v>
                </c:pt>
                <c:pt idx="70">
                  <c:v>9.5060084048887248E-3</c:v>
                </c:pt>
                <c:pt idx="71">
                  <c:v>9.5060084048914414E-3</c:v>
                </c:pt>
                <c:pt idx="72">
                  <c:v>9.5060084048891914E-3</c:v>
                </c:pt>
                <c:pt idx="73">
                  <c:v>9.5060084048901334E-3</c:v>
                </c:pt>
                <c:pt idx="74">
                  <c:v>9.5060084048891914E-3</c:v>
                </c:pt>
                <c:pt idx="75">
                  <c:v>9.5060084048913425E-3</c:v>
                </c:pt>
                <c:pt idx="76">
                  <c:v>9.5060084048901334E-3</c:v>
                </c:pt>
                <c:pt idx="77">
                  <c:v>9.5060084048891706E-3</c:v>
                </c:pt>
                <c:pt idx="78">
                  <c:v>9.5060084048914414E-3</c:v>
                </c:pt>
                <c:pt idx="79">
                  <c:v>9.5060084048905445E-3</c:v>
                </c:pt>
                <c:pt idx="80">
                  <c:v>9.5060084048900345E-3</c:v>
                </c:pt>
                <c:pt idx="81">
                  <c:v>9.5060084048892955E-3</c:v>
                </c:pt>
                <c:pt idx="82">
                  <c:v>9.5060084048900345E-3</c:v>
                </c:pt>
                <c:pt idx="83">
                  <c:v>9.5060084048914414E-3</c:v>
                </c:pt>
                <c:pt idx="84">
                  <c:v>1.0201533232564083E-2</c:v>
                </c:pt>
                <c:pt idx="85">
                  <c:v>1.0201533232563637E-2</c:v>
                </c:pt>
                <c:pt idx="86">
                  <c:v>1.020153323256138E-2</c:v>
                </c:pt>
                <c:pt idx="87">
                  <c:v>1.0201533232564839E-2</c:v>
                </c:pt>
                <c:pt idx="88">
                  <c:v>1.0201533232563637E-2</c:v>
                </c:pt>
                <c:pt idx="89">
                  <c:v>1.0201533232563759E-2</c:v>
                </c:pt>
                <c:pt idx="90">
                  <c:v>1.0201533232563637E-2</c:v>
                </c:pt>
                <c:pt idx="91">
                  <c:v>1.0201533232562732E-2</c:v>
                </c:pt>
                <c:pt idx="92">
                  <c:v>1.0201533232563637E-2</c:v>
                </c:pt>
                <c:pt idx="93">
                  <c:v>1.0201533232563974E-2</c:v>
                </c:pt>
                <c:pt idx="94">
                  <c:v>1.0201533232563745E-2</c:v>
                </c:pt>
                <c:pt idx="95">
                  <c:v>1.0201533232563531E-2</c:v>
                </c:pt>
                <c:pt idx="96">
                  <c:v>1.0201533232564194E-2</c:v>
                </c:pt>
                <c:pt idx="97">
                  <c:v>1.0201533232562222E-2</c:v>
                </c:pt>
                <c:pt idx="98">
                  <c:v>1.0201533232562843E-2</c:v>
                </c:pt>
                <c:pt idx="99">
                  <c:v>1.0201533232563531E-2</c:v>
                </c:pt>
                <c:pt idx="100">
                  <c:v>1.0201533232563531E-2</c:v>
                </c:pt>
                <c:pt idx="101">
                  <c:v>1.0201533232564747E-2</c:v>
                </c:pt>
                <c:pt idx="102">
                  <c:v>1.0201533232563531E-2</c:v>
                </c:pt>
                <c:pt idx="103">
                  <c:v>1.0201533232562843E-2</c:v>
                </c:pt>
                <c:pt idx="104">
                  <c:v>1.0201533232563531E-2</c:v>
                </c:pt>
                <c:pt idx="105">
                  <c:v>1.0201533232562621E-2</c:v>
                </c:pt>
                <c:pt idx="106">
                  <c:v>1.0201533232565053E-2</c:v>
                </c:pt>
                <c:pt idx="107">
                  <c:v>1.0201533232562222E-2</c:v>
                </c:pt>
                <c:pt idx="108">
                  <c:v>1.0201533232562843E-2</c:v>
                </c:pt>
                <c:pt idx="109">
                  <c:v>1.0201533232563531E-2</c:v>
                </c:pt>
                <c:pt idx="110">
                  <c:v>1.0201533232562843E-2</c:v>
                </c:pt>
                <c:pt idx="111">
                  <c:v>1.0201533232563531E-2</c:v>
                </c:pt>
                <c:pt idx="112">
                  <c:v>1.0201533232564839E-2</c:v>
                </c:pt>
                <c:pt idx="113">
                  <c:v>1.0201533232563299E-2</c:v>
                </c:pt>
                <c:pt idx="114">
                  <c:v>1.0201533232563531E-2</c:v>
                </c:pt>
                <c:pt idx="115">
                  <c:v>1.0201533232562843E-2</c:v>
                </c:pt>
                <c:pt idx="116">
                  <c:v>1.0201533232563531E-2</c:v>
                </c:pt>
                <c:pt idx="117">
                  <c:v>1.0201533232563974E-2</c:v>
                </c:pt>
                <c:pt idx="118">
                  <c:v>1.0201533232563745E-2</c:v>
                </c:pt>
                <c:pt idx="119">
                  <c:v>1.0201533232562222E-2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6.5395615599728174E-4</c:v>
                </c:pt>
                <c:pt idx="1">
                  <c:v>8.4334017782539128E-4</c:v>
                </c:pt>
                <c:pt idx="2">
                  <c:v>1.0265808657402564E-3</c:v>
                </c:pt>
                <c:pt idx="3">
                  <c:v>1.215894272222795E-3</c:v>
                </c:pt>
                <c:pt idx="4">
                  <c:v>1.4051718023094795E-3</c:v>
                </c:pt>
                <c:pt idx="5">
                  <c:v>1.576101321192791E-3</c:v>
                </c:pt>
                <c:pt idx="6">
                  <c:v>1.9981450245645238E-3</c:v>
                </c:pt>
                <c:pt idx="7">
                  <c:v>2.4064045516217769E-3</c:v>
                </c:pt>
                <c:pt idx="8">
                  <c:v>2.8280972775672764E-3</c:v>
                </c:pt>
                <c:pt idx="9">
                  <c:v>3.2360172903115325E-3</c:v>
                </c:pt>
                <c:pt idx="10">
                  <c:v>3.6573593307083208E-3</c:v>
                </c:pt>
                <c:pt idx="11">
                  <c:v>4.0785232656379566E-3</c:v>
                </c:pt>
                <c:pt idx="12">
                  <c:v>4.5408704107210429E-3</c:v>
                </c:pt>
                <c:pt idx="13">
                  <c:v>5.0184036369126384E-3</c:v>
                </c:pt>
                <c:pt idx="14">
                  <c:v>5.4803144514049551E-3</c:v>
                </c:pt>
                <c:pt idx="15">
                  <c:v>5.957397015454613E-3</c:v>
                </c:pt>
                <c:pt idx="16">
                  <c:v>6.4342507174954822E-3</c:v>
                </c:pt>
                <c:pt idx="17">
                  <c:v>6.8647606666243366E-3</c:v>
                </c:pt>
                <c:pt idx="18">
                  <c:v>7.3411790958561873E-3</c:v>
                </c:pt>
                <c:pt idx="19">
                  <c:v>7.8020115837662551E-3</c:v>
                </c:pt>
                <c:pt idx="20">
                  <c:v>8.2779804029229354E-3</c:v>
                </c:pt>
                <c:pt idx="21">
                  <c:v>8.7383779896685887E-3</c:v>
                </c:pt>
                <c:pt idx="22">
                  <c:v>9.2138976230600189E-3</c:v>
                </c:pt>
                <c:pt idx="23">
                  <c:v>9.6891891441988065E-3</c:v>
                </c:pt>
                <c:pt idx="24">
                  <c:v>1.0303746273536696E-2</c:v>
                </c:pt>
                <c:pt idx="25">
                  <c:v>1.0938387986936138E-2</c:v>
                </c:pt>
                <c:pt idx="26">
                  <c:v>1.1552169901011933E-2</c:v>
                </c:pt>
                <c:pt idx="27">
                  <c:v>1.2186011064033386E-2</c:v>
                </c:pt>
                <c:pt idx="28">
                  <c:v>1.2819445777055294E-2</c:v>
                </c:pt>
                <c:pt idx="29">
                  <c:v>1.3391231220913125E-2</c:v>
                </c:pt>
                <c:pt idx="30">
                  <c:v>1.4023893087738548E-2</c:v>
                </c:pt>
                <c:pt idx="31">
                  <c:v>1.4635760230071515E-2</c:v>
                </c:pt>
                <c:pt idx="32">
                  <c:v>1.526762404393911E-2</c:v>
                </c:pt>
                <c:pt idx="33">
                  <c:v>1.5878719364216032E-2</c:v>
                </c:pt>
                <c:pt idx="34">
                  <c:v>1.6509786131806536E-2</c:v>
                </c:pt>
                <c:pt idx="35">
                  <c:v>1.7140448228475824E-2</c:v>
                </c:pt>
                <c:pt idx="36">
                  <c:v>1.7891162903759472E-2</c:v>
                </c:pt>
                <c:pt idx="37">
                  <c:v>1.8666299017194521E-2</c:v>
                </c:pt>
                <c:pt idx="38">
                  <c:v>1.9415848237477662E-2</c:v>
                </c:pt>
                <c:pt idx="39">
                  <c:v>2.0189780982590277E-2</c:v>
                </c:pt>
                <c:pt idx="40">
                  <c:v>2.0963102895993013E-2</c:v>
                </c:pt>
                <c:pt idx="41">
                  <c:v>2.168598050991255E-2</c:v>
                </c:pt>
                <c:pt idx="42">
                  <c:v>2.2458121537610398E-2</c:v>
                </c:pt>
                <c:pt idx="43">
                  <c:v>2.3204774538584161E-2</c:v>
                </c:pt>
                <c:pt idx="44">
                  <c:v>2.3975716847712381E-2</c:v>
                </c:pt>
                <c:pt idx="45">
                  <c:v>2.4721210699275353E-2</c:v>
                </c:pt>
                <c:pt idx="46">
                  <c:v>2.5490956150797106E-2</c:v>
                </c:pt>
                <c:pt idx="47">
                  <c:v>2.6260094075459373E-2</c:v>
                </c:pt>
                <c:pt idx="48">
                  <c:v>2.7003843104473013E-2</c:v>
                </c:pt>
                <c:pt idx="49">
                  <c:v>2.7771786972764723E-2</c:v>
                </c:pt>
                <c:pt idx="50">
                  <c:v>2.8514381360669749E-2</c:v>
                </c:pt>
                <c:pt idx="51">
                  <c:v>2.9281133026316741E-2</c:v>
                </c:pt>
                <c:pt idx="52">
                  <c:v>3.0047279527970039E-2</c:v>
                </c:pt>
                <c:pt idx="53">
                  <c:v>3.0738763065721542E-2</c:v>
                </c:pt>
                <c:pt idx="54">
                  <c:v>3.1503759122901931E-2</c:v>
                </c:pt>
                <c:pt idx="55">
                  <c:v>3.2243503005609186E-2</c:v>
                </c:pt>
                <c:pt idx="56">
                  <c:v>3.3007311436505371E-2</c:v>
                </c:pt>
                <c:pt idx="57">
                  <c:v>3.374590689593604E-2</c:v>
                </c:pt>
                <c:pt idx="58">
                  <c:v>3.45085295442914E-2</c:v>
                </c:pt>
                <c:pt idx="59">
                  <c:v>3.5270550287508029E-2</c:v>
                </c:pt>
                <c:pt idx="60">
                  <c:v>3.6024014225081169E-2</c:v>
                </c:pt>
                <c:pt idx="61">
                  <c:v>3.6801975419184618E-2</c:v>
                </c:pt>
                <c:pt idx="62">
                  <c:v>3.7554243297478918E-2</c:v>
                </c:pt>
                <c:pt idx="63">
                  <c:v>3.8330969545013138E-2</c:v>
                </c:pt>
                <c:pt idx="64">
                  <c:v>3.9107068948219359E-2</c:v>
                </c:pt>
                <c:pt idx="65">
                  <c:v>3.9807523592295557E-2</c:v>
                </c:pt>
                <c:pt idx="66">
                  <c:v>4.0582431366491645E-2</c:v>
                </c:pt>
                <c:pt idx="67">
                  <c:v>4.133174666857431E-2</c:v>
                </c:pt>
                <c:pt idx="68">
                  <c:v>4.2105424343242936E-2</c:v>
                </c:pt>
                <c:pt idx="69">
                  <c:v>4.285355017164949E-2</c:v>
                </c:pt>
                <c:pt idx="70">
                  <c:v>4.362599969946801E-2</c:v>
                </c:pt>
                <c:pt idx="71">
                  <c:v>4.4397825834415983E-2</c:v>
                </c:pt>
                <c:pt idx="72">
                  <c:v>4.5144161272931749E-2</c:v>
                </c:pt>
                <c:pt idx="73">
                  <c:v>4.5914762200189863E-2</c:v>
                </c:pt>
                <c:pt idx="74">
                  <c:v>4.6659912895306799E-2</c:v>
                </c:pt>
                <c:pt idx="75">
                  <c:v>4.7429290559787174E-2</c:v>
                </c:pt>
                <c:pt idx="76">
                  <c:v>4.8198047310494263E-2</c:v>
                </c:pt>
                <c:pt idx="77">
                  <c:v>4.8891874974802629E-2</c:v>
                </c:pt>
                <c:pt idx="78">
                  <c:v>4.9659451370464902E-2</c:v>
                </c:pt>
                <c:pt idx="79">
                  <c:v>5.0401677423602687E-2</c:v>
                </c:pt>
                <c:pt idx="80">
                  <c:v>5.1168035357671227E-2</c:v>
                </c:pt>
                <c:pt idx="81">
                  <c:v>5.1909083190706307E-2</c:v>
                </c:pt>
                <c:pt idx="82">
                  <c:v>5.2674224597384245E-2</c:v>
                </c:pt>
                <c:pt idx="83">
                  <c:v>5.3438748509092249E-2</c:v>
                </c:pt>
                <c:pt idx="84">
                  <c:v>5.4232090605970451E-2</c:v>
                </c:pt>
                <c:pt idx="85">
                  <c:v>5.5051178905883624E-2</c:v>
                </c:pt>
                <c:pt idx="86">
                  <c:v>5.5843169575254925E-2</c:v>
                </c:pt>
                <c:pt idx="87">
                  <c:v>5.6660862590002692E-2</c:v>
                </c:pt>
                <c:pt idx="88">
                  <c:v>5.7477847436525731E-2</c:v>
                </c:pt>
                <c:pt idx="89">
                  <c:v>5.8241483016946205E-2</c:v>
                </c:pt>
                <c:pt idx="90">
                  <c:v>5.9057098957117637E-2</c:v>
                </c:pt>
                <c:pt idx="91">
                  <c:v>5.9845732141689867E-2</c:v>
                </c:pt>
                <c:pt idx="92">
                  <c:v>6.0659958711726025E-2</c:v>
                </c:pt>
                <c:pt idx="93">
                  <c:v>6.1447248490241191E-2</c:v>
                </c:pt>
                <c:pt idx="94">
                  <c:v>6.2260088056880214E-2</c:v>
                </c:pt>
                <c:pt idx="95">
                  <c:v>6.307222365865417E-2</c:v>
                </c:pt>
                <c:pt idx="96">
                  <c:v>6.3857491643726783E-2</c:v>
                </c:pt>
                <c:pt idx="97">
                  <c:v>6.4668243803986947E-2</c:v>
                </c:pt>
                <c:pt idx="98">
                  <c:v>6.5452174115489203E-2</c:v>
                </c:pt>
                <c:pt idx="99">
                  <c:v>6.6261545190874682E-2</c:v>
                </c:pt>
                <c:pt idx="100">
                  <c:v>6.7070215305303882E-2</c:v>
                </c:pt>
                <c:pt idx="101">
                  <c:v>6.7800025035637534E-2</c:v>
                </c:pt>
                <c:pt idx="102">
                  <c:v>6.860736273983381E-2</c:v>
                </c:pt>
                <c:pt idx="103">
                  <c:v>6.9387991554606177E-2</c:v>
                </c:pt>
                <c:pt idx="104">
                  <c:v>7.0193953990321245E-2</c:v>
                </c:pt>
                <c:pt idx="105">
                  <c:v>7.0973253034170125E-2</c:v>
                </c:pt>
                <c:pt idx="106">
                  <c:v>7.1777842544120563E-2</c:v>
                </c:pt>
                <c:pt idx="107">
                  <c:v>7.2581735234219735E-2</c:v>
                </c:pt>
                <c:pt idx="108">
                  <c:v>7.3359033005170549E-2</c:v>
                </c:pt>
                <c:pt idx="109">
                  <c:v>7.4161556295236575E-2</c:v>
                </c:pt>
                <c:pt idx="110">
                  <c:v>7.4937529969567929E-2</c:v>
                </c:pt>
                <c:pt idx="111">
                  <c:v>7.5738686192320492E-2</c:v>
                </c:pt>
                <c:pt idx="112">
                  <c:v>7.653914856864219E-2</c:v>
                </c:pt>
                <c:pt idx="113">
                  <c:v>7.7261550968065307E-2</c:v>
                </c:pt>
                <c:pt idx="114">
                  <c:v>7.8060694457683599E-2</c:v>
                </c:pt>
                <c:pt idx="115">
                  <c:v>7.8833400144400878E-2</c:v>
                </c:pt>
                <c:pt idx="116">
                  <c:v>7.9631182324064742E-2</c:v>
                </c:pt>
                <c:pt idx="117">
                  <c:v>8.0402571736600148E-2</c:v>
                </c:pt>
                <c:pt idx="118">
                  <c:v>8.1198994925248402E-2</c:v>
                </c:pt>
                <c:pt idx="119">
                  <c:v>8.1994728366539871E-2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209550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209550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151636</xdr:colOff>
      <xdr:row>0</xdr:row>
      <xdr:rowOff>33131</xdr:rowOff>
    </xdr:from>
    <xdr:to>
      <xdr:col>15</xdr:col>
      <xdr:colOff>545335</xdr:colOff>
      <xdr:row>6</xdr:row>
      <xdr:rowOff>54510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1136" y="33131"/>
          <a:ext cx="3107220" cy="112296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16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3</xdr:col>
      <xdr:colOff>390874</xdr:colOff>
      <xdr:row>2</xdr:row>
      <xdr:rowOff>253120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666750</xdr:colOff>
          <xdr:row>5</xdr:row>
          <xdr:rowOff>123825</xdr:rowOff>
        </xdr:from>
        <xdr:to>
          <xdr:col>12</xdr:col>
          <xdr:colOff>428625</xdr:colOff>
          <xdr:row>7</xdr:row>
          <xdr:rowOff>47625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H7" sqref="H7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45478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1"/>
  <sheetViews>
    <sheetView showGridLines="0" topLeftCell="A4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45478</v>
      </c>
      <c r="D7" s="110"/>
      <c r="E7" s="111"/>
      <c r="F7" s="547" t="s">
        <v>48</v>
      </c>
      <c r="G7" s="548"/>
      <c r="H7" s="548"/>
      <c r="I7" s="548"/>
      <c r="J7" s="548"/>
      <c r="K7" s="548"/>
      <c r="L7" s="548"/>
      <c r="M7" s="548"/>
      <c r="N7" s="548"/>
      <c r="O7" s="548"/>
      <c r="P7" s="548"/>
      <c r="Q7" s="549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621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544" t="s">
        <v>68</v>
      </c>
      <c r="G13" s="545"/>
      <c r="H13" s="545"/>
      <c r="I13" s="545"/>
      <c r="J13" s="545"/>
      <c r="K13" s="545"/>
      <c r="L13" s="545"/>
      <c r="M13" s="545"/>
      <c r="N13" s="545"/>
      <c r="O13" s="545"/>
      <c r="P13" s="545"/>
      <c r="Q13" s="546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  <row r="21" spans="6:6">
      <c r="F21" s="169"/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552" t="s">
        <v>21</v>
      </c>
      <c r="D5" s="553"/>
      <c r="F5" s="550" t="s">
        <v>23</v>
      </c>
      <c r="G5" s="551"/>
      <c r="I5" s="550" t="s">
        <v>22</v>
      </c>
      <c r="J5" s="551"/>
      <c r="R5" s="552" t="s">
        <v>39</v>
      </c>
      <c r="S5" s="553"/>
      <c r="U5" s="550" t="s">
        <v>40</v>
      </c>
      <c r="V5" s="551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ref="G7">GetBSOptionPrice(D7,D8,D9,D10,D11,D12,D13,D14,D16)</f>
        <v>20.901150830870165</v>
      </c>
      <c r="I7" s="114" t="s">
        <v>24</v>
      </c>
      <c r="J7" s="5" cm="1">
        <f t="array" ref="J7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ref="G9:G12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552" t="s">
        <v>21</v>
      </c>
      <c r="C20" s="554"/>
      <c r="D20" s="554"/>
      <c r="E20" s="554"/>
      <c r="F20" s="554"/>
      <c r="G20" s="554"/>
      <c r="H20" s="554"/>
      <c r="I20" s="554"/>
      <c r="J20" s="553"/>
      <c r="L20" s="552" t="s">
        <v>23</v>
      </c>
      <c r="M20" s="553"/>
      <c r="O20" s="552" t="s">
        <v>22</v>
      </c>
      <c r="P20" s="553"/>
      <c r="R20" s="555" t="s">
        <v>39</v>
      </c>
      <c r="S20" s="556"/>
      <c r="T20" s="556"/>
      <c r="U20" s="556"/>
      <c r="V20" s="556"/>
      <c r="W20" s="556"/>
      <c r="X20" s="557"/>
      <c r="Z20" s="550" t="s">
        <v>40</v>
      </c>
      <c r="AA20" s="551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ref="M22">GetBSOptionPortfolioPrice(B22:J26)</f>
        <v>8.9160347480998183</v>
      </c>
      <c r="O22" s="114" t="s">
        <v>25</v>
      </c>
      <c r="P22" s="47" cm="1">
        <f t="array" ref="P22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ref="M24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ref="M25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ref="M26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ref="M27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457"/>
  <sheetViews>
    <sheetView showGridLines="0" zoomScaleNormal="100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70.710937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ref="C1">IF(OR(B12="",NOT($J$7)),"",StripDefaultProbability(A12,B12,Parameter_Date,CDSRollDate,E12:M12,SpreadCurveMaturities,D12,C12))</f>
        <v/>
      </c>
    </row>
    <row r="2" spans="1:50" ht="15.75" thickBot="1">
      <c r="G2" s="547" t="s">
        <v>72</v>
      </c>
      <c r="H2" s="548"/>
      <c r="I2" s="548"/>
      <c r="J2" s="145" t="b">
        <v>1</v>
      </c>
    </row>
    <row r="3" spans="1:50" ht="15.75" thickBot="1">
      <c r="J3" s="99"/>
    </row>
    <row r="4" spans="1:50" ht="15.75" thickBot="1">
      <c r="G4" s="547" t="s">
        <v>73</v>
      </c>
      <c r="H4" s="548"/>
      <c r="I4" s="549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561" t="b">
        <v>1</v>
      </c>
      <c r="D6" s="562"/>
      <c r="E6" s="85"/>
      <c r="F6" s="85"/>
      <c r="G6" s="547" t="s">
        <v>74</v>
      </c>
      <c r="H6" s="548"/>
      <c r="I6" s="549"/>
      <c r="J6" s="140" t="s">
        <v>422</v>
      </c>
      <c r="K6" s="85"/>
      <c r="L6" s="93"/>
      <c r="M6" s="448"/>
      <c r="N6" s="277"/>
      <c r="O6" s="277"/>
      <c r="P6" s="277"/>
      <c r="Q6" s="277"/>
      <c r="R6" s="277"/>
      <c r="S6" s="277"/>
      <c r="T6" s="277"/>
      <c r="U6" s="277"/>
      <c r="V6" s="277"/>
      <c r="W6" s="277"/>
      <c r="X6" s="277"/>
    </row>
    <row r="7" spans="1:50" s="79" customFormat="1" ht="13.5" customHeight="1" thickBot="1">
      <c r="B7" s="147" t="s">
        <v>71</v>
      </c>
      <c r="C7" s="563">
        <f ca="1">GetCDSRefDate(Parameter_Date,C6)</f>
        <v>45555</v>
      </c>
      <c r="D7" s="564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547" t="s">
        <v>76</v>
      </c>
      <c r="F9" s="548"/>
      <c r="G9" s="548"/>
      <c r="H9" s="548"/>
      <c r="I9" s="548"/>
      <c r="J9" s="548"/>
      <c r="K9" s="548"/>
      <c r="L9" s="548"/>
      <c r="M9" s="549"/>
      <c r="N9" s="558" t="s">
        <v>77</v>
      </c>
      <c r="O9" s="559"/>
      <c r="P9" s="559"/>
      <c r="Q9" s="559"/>
      <c r="R9" s="559"/>
      <c r="S9" s="559"/>
      <c r="T9" s="559"/>
      <c r="U9" s="559"/>
      <c r="V9" s="560"/>
      <c r="W9" s="558" t="s">
        <v>78</v>
      </c>
      <c r="X9" s="559"/>
      <c r="Y9" s="559"/>
      <c r="Z9" s="559"/>
      <c r="AA9" s="559"/>
      <c r="AB9" s="559"/>
      <c r="AC9" s="559"/>
      <c r="AD9" s="559"/>
      <c r="AE9" s="560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si="0">IF(E10="","",E10)</f>
        <v>3M</v>
      </c>
      <c r="O10" s="170" t="str">
        <f t="shared" si="0"/>
        <v>6M</v>
      </c>
      <c r="P10" s="170" t="str">
        <f t="shared" si="0"/>
        <v>1Y</v>
      </c>
      <c r="Q10" s="170" t="str">
        <f t="shared" si="0"/>
        <v>2Y</v>
      </c>
      <c r="R10" s="170" t="str">
        <f t="shared" si="0"/>
        <v>3Y</v>
      </c>
      <c r="S10" s="170" t="str">
        <f t="shared" si="0"/>
        <v>4Y</v>
      </c>
      <c r="T10" s="170" t="str">
        <f t="shared" si="0"/>
        <v>5Y</v>
      </c>
      <c r="U10" s="170" t="str">
        <f t="shared" si="0"/>
        <v>7Y</v>
      </c>
      <c r="V10" s="170" t="str">
        <f t="shared" si="0"/>
        <v>10Y</v>
      </c>
      <c r="W10" s="192" t="str">
        <f t="shared" ref="W10:AE10" si="1">IF(E10="","",E10)</f>
        <v>3M</v>
      </c>
      <c r="X10" s="170" t="str">
        <f t="shared" si="1"/>
        <v>6M</v>
      </c>
      <c r="Y10" s="170" t="str">
        <f t="shared" si="1"/>
        <v>1Y</v>
      </c>
      <c r="Z10" s="170" t="str">
        <f t="shared" si="1"/>
        <v>2Y</v>
      </c>
      <c r="AA10" s="170" t="str">
        <f t="shared" si="1"/>
        <v>3Y</v>
      </c>
      <c r="AB10" s="170" t="str">
        <f t="shared" si="1"/>
        <v>4Y</v>
      </c>
      <c r="AC10" s="170" t="str">
        <f t="shared" si="1"/>
        <v>5Y</v>
      </c>
      <c r="AD10" s="170" t="str">
        <f t="shared" si="1"/>
        <v>7Y</v>
      </c>
      <c r="AE10" s="171" t="str">
        <f t="shared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45646</v>
      </c>
      <c r="F11" s="152" cm="1">
        <f t="array" aca="1" ref="F11" ca="1">IF(F10="","",GetConvertDate(CDSRollDate,F10))</f>
        <v>45736</v>
      </c>
      <c r="G11" s="152" cm="1">
        <f t="array" aca="1" ref="G11" ca="1">IF(G10="","",GetConvertDate(CDSRollDate,G10))</f>
        <v>45920</v>
      </c>
      <c r="H11" s="152" cm="1">
        <f t="array" aca="1" ref="H11" ca="1">IF(H10="","",GetConvertDate(CDSRollDate,H10))</f>
        <v>46285</v>
      </c>
      <c r="I11" s="152" cm="1">
        <f t="array" aca="1" ref="I11" ca="1">IF(I10="","",GetConvertDate(CDSRollDate,I10))</f>
        <v>46650</v>
      </c>
      <c r="J11" s="152" cm="1">
        <f t="array" aca="1" ref="J11" ca="1">IF(J10="","",GetConvertDate(CDSRollDate,J10))</f>
        <v>47016</v>
      </c>
      <c r="K11" s="152" cm="1">
        <f t="array" aca="1" ref="K11" ca="1">IF(K10="","",GetConvertDate(CDSRollDate,K10))</f>
        <v>47381</v>
      </c>
      <c r="L11" s="152" cm="1">
        <f t="array" aca="1" ref="L11" ca="1">IF(L10="","",GetConvertDate(CDSRollDate,L10))</f>
        <v>48111</v>
      </c>
      <c r="M11" s="475" cm="1">
        <f t="array" aca="1" ref="M11" ca="1">IF(M10="","",GetConvertDate(CDSRollDate,M10))</f>
        <v>49207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0">
        <f ca="1"/>
        <v>1.576101321192791E-3</v>
      </c>
      <c r="P12" s="133">
        <f ca="1"/>
        <v>4.0785232656379566E-3</v>
      </c>
      <c r="Q12" s="133">
        <f ca="1"/>
        <v>9.6891891441988065E-3</v>
      </c>
      <c r="R12" s="133">
        <f ca="1"/>
        <v>1.7140448228475824E-2</v>
      </c>
      <c r="S12" s="133">
        <f ca="1"/>
        <v>0</v>
      </c>
      <c r="T12" s="133">
        <f ca="1"/>
        <v>3.5270550287508029E-2</v>
      </c>
      <c r="U12" s="133">
        <f ca="1"/>
        <v>5.3438748509092249E-2</v>
      </c>
      <c r="V12" s="134">
        <f ca="1"/>
        <v>8.199472836653976E-2</v>
      </c>
      <c r="W12" s="132">
        <f ca="1"/>
        <v>0</v>
      </c>
      <c r="X12" s="133">
        <f ca="1"/>
        <v>1.6944977429821373E-3</v>
      </c>
      <c r="Y12" s="133">
        <f ca="1"/>
        <v>4.2809100042184856E-3</v>
      </c>
      <c r="Z12" s="133">
        <f ca="1"/>
        <v>1.0056709007201015E-2</v>
      </c>
      <c r="AA12" s="133">
        <f ca="1"/>
        <v>1.7670603846535626E-2</v>
      </c>
      <c r="AB12" s="133">
        <f ca="1"/>
        <v>0</v>
      </c>
      <c r="AC12" s="133">
        <f ca="1"/>
        <v>3.6114699793718286E-2</v>
      </c>
      <c r="AD12" s="133">
        <f ca="1"/>
        <v>5.4587075797541296E-2</v>
      </c>
      <c r="AE12" s="134">
        <f ca="1"/>
        <v>8.3567392962943021E-2</v>
      </c>
      <c r="AG12" s="463" t="s">
        <v>510</v>
      </c>
      <c r="AH12" s="467">
        <v>8.7500000000000008E-3</v>
      </c>
      <c r="AI12" s="466">
        <v>2026</v>
      </c>
      <c r="AJ12" s="468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9.4832761164653778E-4</v>
      </c>
      <c r="P13" s="162">
        <f ca="1"/>
        <v>2.2425100823623145E-3</v>
      </c>
      <c r="Q13" s="162">
        <f ca="1"/>
        <v>5.9817828467552125E-3</v>
      </c>
      <c r="R13" s="162">
        <f ca="1"/>
        <v>1.2583998928066387E-2</v>
      </c>
      <c r="S13" s="162">
        <f ca="1"/>
        <v>0</v>
      </c>
      <c r="T13" s="162">
        <f ca="1"/>
        <v>3.2225244508332529E-2</v>
      </c>
      <c r="U13" s="162">
        <f ca="1"/>
        <v>5.3154529583078092E-2</v>
      </c>
      <c r="V13" s="138">
        <f ca="1"/>
        <v>9.2939571366713269E-2</v>
      </c>
      <c r="W13" s="137">
        <f ca="1"/>
        <v>0</v>
      </c>
      <c r="X13" s="162">
        <f ca="1"/>
        <v>1.0668027899637389E-3</v>
      </c>
      <c r="Y13" s="162">
        <f ca="1"/>
        <v>2.4452330837866354E-3</v>
      </c>
      <c r="Z13" s="162">
        <f ca="1"/>
        <v>6.3506630757779181E-3</v>
      </c>
      <c r="AA13" s="162">
        <f ca="1"/>
        <v>1.3116726890009978E-2</v>
      </c>
      <c r="AB13" s="162">
        <f ca="1"/>
        <v>0</v>
      </c>
      <c r="AC13" s="162">
        <f ca="1"/>
        <v>3.3072903007063559E-2</v>
      </c>
      <c r="AD13" s="162">
        <f ca="1"/>
        <v>5.4305425990358813E-2</v>
      </c>
      <c r="AE13" s="138">
        <f ca="1"/>
        <v>9.4492921858740253E-2</v>
      </c>
      <c r="AG13" s="464" t="s">
        <v>511</v>
      </c>
      <c r="AH13" s="467">
        <v>1.6250000000000001E-2</v>
      </c>
      <c r="AI13" s="466">
        <v>2025</v>
      </c>
      <c r="AJ13" s="468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7.1132972843845899E-4</v>
      </c>
      <c r="P14" s="162">
        <f ca="1"/>
        <v>2.0431274013064105E-3</v>
      </c>
      <c r="Q14" s="162">
        <f ca="1"/>
        <v>6.755178436501863E-3</v>
      </c>
      <c r="R14" s="162">
        <f ca="1"/>
        <v>1.480922024593323E-2</v>
      </c>
      <c r="S14" s="162">
        <f ca="1"/>
        <v>0</v>
      </c>
      <c r="T14" s="162">
        <f ca="1"/>
        <v>3.5723213829423339E-2</v>
      </c>
      <c r="U14" s="162">
        <f ca="1"/>
        <v>6.3156018082517917E-2</v>
      </c>
      <c r="V14" s="138">
        <f ca="1"/>
        <v>0.10817849363436327</v>
      </c>
      <c r="W14" s="137">
        <f ca="1"/>
        <v>0</v>
      </c>
      <c r="X14" s="162">
        <f ca="1"/>
        <v>8.2983405341885419E-4</v>
      </c>
      <c r="Y14" s="162">
        <f ca="1"/>
        <v>2.2459031373265326E-3</v>
      </c>
      <c r="Z14" s="162">
        <f ca="1"/>
        <v>7.1238712870380638E-3</v>
      </c>
      <c r="AA14" s="162">
        <f ca="1"/>
        <v>1.5341009734024746E-2</v>
      </c>
      <c r="AB14" s="162">
        <f ca="1"/>
        <v>0</v>
      </c>
      <c r="AC14" s="162">
        <f ca="1"/>
        <v>3.6567667613532806E-2</v>
      </c>
      <c r="AD14" s="162">
        <f ca="1"/>
        <v>6.4294638486588007E-2</v>
      </c>
      <c r="AE14" s="138">
        <f ca="1"/>
        <v>0.10973366882379187</v>
      </c>
      <c r="AG14" s="465" t="s">
        <v>512</v>
      </c>
      <c r="AH14" s="467">
        <v>1.6250000000000001E-2</v>
      </c>
      <c r="AI14" s="466">
        <v>2026</v>
      </c>
      <c r="AJ14" s="468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1.4932103312108591E-3</v>
      </c>
      <c r="P15" s="162">
        <f ca="1"/>
        <v>3.6072877132656833E-3</v>
      </c>
      <c r="Q15" s="162">
        <f ca="1"/>
        <v>8.9511044953306529E-3</v>
      </c>
      <c r="R15" s="162">
        <f ca="1"/>
        <v>1.5796074280563066E-2</v>
      </c>
      <c r="S15" s="162">
        <f ca="1"/>
        <v>0</v>
      </c>
      <c r="T15" s="162">
        <f ca="1"/>
        <v>3.3593159666626904E-2</v>
      </c>
      <c r="U15" s="162">
        <f ca="1"/>
        <v>5.1946567455731119E-2</v>
      </c>
      <c r="V15" s="138">
        <f ca="1"/>
        <v>7.8724478815901278E-2</v>
      </c>
      <c r="W15" s="137">
        <f ca="1"/>
        <v>0</v>
      </c>
      <c r="X15" s="162">
        <f ca="1"/>
        <v>1.6116172839578669E-3</v>
      </c>
      <c r="Y15" s="162">
        <f ca="1"/>
        <v>3.8097539547480297E-3</v>
      </c>
      <c r="Z15" s="162">
        <f ca="1"/>
        <v>9.3189024874424931E-3</v>
      </c>
      <c r="AA15" s="162">
        <f ca="1"/>
        <v>1.632692876503794E-2</v>
      </c>
      <c r="AB15" s="162">
        <f ca="1"/>
        <v>0</v>
      </c>
      <c r="AC15" s="162">
        <f ca="1"/>
        <v>3.4438968684880722E-2</v>
      </c>
      <c r="AD15" s="162">
        <f ca="1"/>
        <v>5.3097088941677528E-2</v>
      </c>
      <c r="AE15" s="138">
        <f ca="1"/>
        <v>8.0303915619468924E-2</v>
      </c>
      <c r="AG15" s="465" t="s">
        <v>513</v>
      </c>
      <c r="AH15" s="467">
        <v>1.7500000000000002E-2</v>
      </c>
      <c r="AI15" s="466">
        <v>2025</v>
      </c>
      <c r="AJ15" s="468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5.92809788134252E-4</v>
      </c>
      <c r="P16" s="162">
        <f ca="1"/>
        <v>1.2215858978688043E-3</v>
      </c>
      <c r="Q16" s="162">
        <f ca="1"/>
        <v>4.1282621577112266E-3</v>
      </c>
      <c r="R16" s="162">
        <f ca="1"/>
        <v>8.2189410901892801E-3</v>
      </c>
      <c r="S16" s="162">
        <f ca="1"/>
        <v>0</v>
      </c>
      <c r="T16" s="162">
        <f ca="1"/>
        <v>2.2510649533457272E-2</v>
      </c>
      <c r="U16" s="162">
        <f ca="1"/>
        <v>4.0052359524139214E-2</v>
      </c>
      <c r="V16" s="138">
        <f ca="1"/>
        <v>6.9208319318870393E-2</v>
      </c>
      <c r="W16" s="137">
        <f ca="1"/>
        <v>0</v>
      </c>
      <c r="X16" s="162">
        <f ca="1"/>
        <v>7.1132857205080668E-4</v>
      </c>
      <c r="Y16" s="162">
        <f ca="1"/>
        <v>1.4244939898572229E-3</v>
      </c>
      <c r="Z16" s="162">
        <f ca="1"/>
        <v>4.4978266487855079E-3</v>
      </c>
      <c r="AA16" s="162">
        <f ca="1"/>
        <v>8.7537785993524464E-3</v>
      </c>
      <c r="AB16" s="162">
        <f ca="1"/>
        <v>0</v>
      </c>
      <c r="AC16" s="162">
        <f ca="1"/>
        <v>2.3367261147632656E-2</v>
      </c>
      <c r="AD16" s="162">
        <f ca="1"/>
        <v>4.1219145897818055E-2</v>
      </c>
      <c r="AE16" s="138">
        <f ca="1"/>
        <v>7.0808711086046472E-2</v>
      </c>
      <c r="AG16" s="465" t="s">
        <v>514</v>
      </c>
      <c r="AH16" s="467">
        <v>1.2500000000000001E-2</v>
      </c>
      <c r="AI16" s="466">
        <v>2028</v>
      </c>
      <c r="AJ16" s="468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1.4576835237034569E-3</v>
      </c>
      <c r="P17" s="162">
        <f ca="1"/>
        <v>3.2375475557173683E-3</v>
      </c>
      <c r="Q17" s="162">
        <f ca="1"/>
        <v>8.24532775761877E-3</v>
      </c>
      <c r="R17" s="162">
        <f ca="1"/>
        <v>1.3657561471259738E-2</v>
      </c>
      <c r="S17" s="162">
        <f ca="1"/>
        <v>0</v>
      </c>
      <c r="T17" s="162">
        <f ca="1"/>
        <v>2.8270554838449091E-2</v>
      </c>
      <c r="U17" s="162">
        <f ca="1"/>
        <v>4.4381571219367255E-2</v>
      </c>
      <c r="V17" s="138">
        <f ca="1"/>
        <v>7.0929439896782909E-2</v>
      </c>
      <c r="W17" s="137">
        <f ca="1"/>
        <v>0</v>
      </c>
      <c r="X17" s="162">
        <f ca="1"/>
        <v>1.576094977496445E-3</v>
      </c>
      <c r="Y17" s="162">
        <f ca="1"/>
        <v>3.4400729036522248E-3</v>
      </c>
      <c r="Z17" s="162">
        <f ca="1"/>
        <v>8.6133792614128124E-3</v>
      </c>
      <c r="AA17" s="162">
        <f ca="1"/>
        <v>1.4189401544534519E-2</v>
      </c>
      <c r="AB17" s="162">
        <f ca="1"/>
        <v>0</v>
      </c>
      <c r="AC17" s="162">
        <f ca="1"/>
        <v>2.9121140881261831E-2</v>
      </c>
      <c r="AD17" s="162">
        <f ca="1"/>
        <v>4.5540945833832169E-2</v>
      </c>
      <c r="AE17" s="138">
        <f ca="1"/>
        <v>7.2523227294449377E-2</v>
      </c>
      <c r="AG17" s="465" t="s">
        <v>515</v>
      </c>
      <c r="AH17" s="467">
        <v>3.4000000000000002E-2</v>
      </c>
      <c r="AI17" s="466">
        <v>2030</v>
      </c>
      <c r="AJ17" s="468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5.92809788134252E-4</v>
      </c>
      <c r="P18" s="162">
        <f ca="1"/>
        <v>2.8711605413971331E-3</v>
      </c>
      <c r="Q18" s="162">
        <f ca="1"/>
        <v>9.0054302679061227E-3</v>
      </c>
      <c r="R18" s="162">
        <f ca="1"/>
        <v>1.9158723404394173E-2</v>
      </c>
      <c r="S18" s="162">
        <f ca="1"/>
        <v>0</v>
      </c>
      <c r="T18" s="162">
        <f ca="1"/>
        <v>5.0842292248300058E-2</v>
      </c>
      <c r="U18" s="162">
        <f ca="1"/>
        <v>8.5861210210603667E-2</v>
      </c>
      <c r="V18" s="138">
        <f ca="1"/>
        <v>0.14597170713488594</v>
      </c>
      <c r="W18" s="137">
        <f ca="1"/>
        <v>0</v>
      </c>
      <c r="X18" s="162">
        <f ca="1"/>
        <v>7.1132857205080668E-4</v>
      </c>
      <c r="Y18" s="162">
        <f ca="1"/>
        <v>3.0738234083960148E-3</v>
      </c>
      <c r="Z18" s="162">
        <f ca="1"/>
        <v>9.3733674113962717E-3</v>
      </c>
      <c r="AA18" s="162">
        <f ca="1"/>
        <v>1.9688362857812614E-2</v>
      </c>
      <c r="AB18" s="162">
        <f ca="1"/>
        <v>0</v>
      </c>
      <c r="AC18" s="162">
        <f ca="1"/>
        <v>5.1670861617713726E-2</v>
      </c>
      <c r="AD18" s="162">
        <f ca="1"/>
        <v>8.6971514073271528E-2</v>
      </c>
      <c r="AE18" s="138">
        <f ca="1"/>
        <v>0.14747210952544476</v>
      </c>
      <c r="AG18" s="465" t="s">
        <v>516</v>
      </c>
      <c r="AH18" s="467">
        <v>1.375E-2</v>
      </c>
      <c r="AI18" s="466">
        <v>2027</v>
      </c>
      <c r="AJ18" s="468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1.5405774501664471E-3</v>
      </c>
      <c r="P19" s="162">
        <f ca="1"/>
        <v>2.8437027982278762E-3</v>
      </c>
      <c r="Q19" s="162">
        <f ca="1"/>
        <v>9.7349983008832019E-3</v>
      </c>
      <c r="R19" s="162">
        <f ca="1"/>
        <v>1.7971397711233461E-2</v>
      </c>
      <c r="S19" s="162">
        <f ca="1"/>
        <v>0</v>
      </c>
      <c r="T19" s="162">
        <f ca="1"/>
        <v>4.6281546487337955E-2</v>
      </c>
      <c r="U19" s="162">
        <f ca="1"/>
        <v>8.117536474772824E-2</v>
      </c>
      <c r="V19" s="138">
        <f ca="1"/>
        <v>0.13597843118836483</v>
      </c>
      <c r="W19" s="137">
        <f ca="1"/>
        <v>0</v>
      </c>
      <c r="X19" s="162">
        <f ca="1"/>
        <v>1.6589783901057586E-3</v>
      </c>
      <c r="Y19" s="162">
        <f ca="1"/>
        <v>3.0462788232568094E-3</v>
      </c>
      <c r="Z19" s="162">
        <f ca="1"/>
        <v>1.0102605328776604E-2</v>
      </c>
      <c r="AA19" s="162">
        <f ca="1"/>
        <v>1.8501373852667702E-2</v>
      </c>
      <c r="AB19" s="162">
        <f ca="1"/>
        <v>0</v>
      </c>
      <c r="AC19" s="162">
        <f ca="1"/>
        <v>4.7114833924269406E-2</v>
      </c>
      <c r="AD19" s="162">
        <f ca="1"/>
        <v>8.2290822778182005E-2</v>
      </c>
      <c r="AE19" s="138">
        <f ca="1"/>
        <v>0.13749264019781871</v>
      </c>
      <c r="AG19" s="465" t="s">
        <v>517</v>
      </c>
      <c r="AH19" s="467">
        <v>3.85E-2</v>
      </c>
      <c r="AI19" s="466">
        <v>2027</v>
      </c>
      <c r="AJ19" s="468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3.5572789762250423E-4</v>
      </c>
      <c r="P20" s="162">
        <f ca="1"/>
        <v>1.2282605211381137E-3</v>
      </c>
      <c r="Q20" s="162">
        <f ca="1"/>
        <v>4.1350494586581688E-3</v>
      </c>
      <c r="R20" s="162">
        <f ca="1"/>
        <v>8.78902915114399E-3</v>
      </c>
      <c r="S20" s="162">
        <f ca="1"/>
        <v>0</v>
      </c>
      <c r="T20" s="162">
        <f ca="1"/>
        <v>2.0618861566521041E-2</v>
      </c>
      <c r="U20" s="162">
        <f ca="1"/>
        <v>3.4855943590321403E-2</v>
      </c>
      <c r="V20" s="138">
        <f ca="1"/>
        <v>6.6167266754912135E-2</v>
      </c>
      <c r="W20" s="137">
        <f ca="1"/>
        <v>0</v>
      </c>
      <c r="X20" s="162">
        <f ca="1"/>
        <v>4.7427537457878088E-4</v>
      </c>
      <c r="Y20" s="162">
        <f ca="1"/>
        <v>1.4311913875183491E-3</v>
      </c>
      <c r="Z20" s="162">
        <f ca="1"/>
        <v>4.5046361842145943E-3</v>
      </c>
      <c r="AA20" s="162">
        <f ca="1"/>
        <v>9.3236732708898984E-3</v>
      </c>
      <c r="AB20" s="162">
        <f ca="1"/>
        <v>0</v>
      </c>
      <c r="AC20" s="162">
        <f ca="1"/>
        <v>2.1476990922376538E-2</v>
      </c>
      <c r="AD20" s="162">
        <f ca="1"/>
        <v>3.6027991371224255E-2</v>
      </c>
      <c r="AE20" s="138">
        <f ca="1"/>
        <v>6.7771789959054751E-2</v>
      </c>
      <c r="AG20" s="465" t="s">
        <v>518</v>
      </c>
      <c r="AH20" s="467">
        <v>1.6250000000000001E-2</v>
      </c>
      <c r="AI20" s="466">
        <v>2025</v>
      </c>
      <c r="AJ20" s="468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1.4103124892311802E-3</v>
      </c>
      <c r="P21" s="162">
        <f ca="1"/>
        <v>2.9092894158903038E-3</v>
      </c>
      <c r="Q21" s="162">
        <f ca="1"/>
        <v>7.12079701124535E-3</v>
      </c>
      <c r="R21" s="162">
        <f ca="1"/>
        <v>1.2602295388482232E-2</v>
      </c>
      <c r="S21" s="162">
        <f ca="1"/>
        <v>0</v>
      </c>
      <c r="T21" s="162">
        <f ca="1"/>
        <v>2.74982812473058E-2</v>
      </c>
      <c r="U21" s="162">
        <f ca="1"/>
        <v>4.3033273381142045E-2</v>
      </c>
      <c r="V21" s="138">
        <f ca="1"/>
        <v>6.7480194831133544E-2</v>
      </c>
      <c r="W21" s="137">
        <f ca="1"/>
        <v>0</v>
      </c>
      <c r="X21" s="162">
        <f ca="1"/>
        <v>1.528729933109263E-3</v>
      </c>
      <c r="Y21" s="162">
        <f ca="1"/>
        <v>3.1118683905739797E-3</v>
      </c>
      <c r="Z21" s="162">
        <f ca="1"/>
        <v>7.4892245062432306E-3</v>
      </c>
      <c r="AA21" s="162">
        <f ca="1"/>
        <v>1.3134738663732382E-2</v>
      </c>
      <c r="AB21" s="162">
        <f ca="1"/>
        <v>0</v>
      </c>
      <c r="AC21" s="162">
        <f ca="1"/>
        <v>2.8349782689956138E-2</v>
      </c>
      <c r="AD21" s="162">
        <f ca="1"/>
        <v>4.4194629527009588E-2</v>
      </c>
      <c r="AE21" s="138">
        <f ca="1"/>
        <v>6.9080585389218241E-2</v>
      </c>
      <c r="AG21" s="465" t="s">
        <v>519</v>
      </c>
      <c r="AH21" s="467">
        <v>3.7499999999999999E-3</v>
      </c>
      <c r="AI21" s="466">
        <v>2025</v>
      </c>
      <c r="AJ21" s="468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1.4813682018769425E-3</v>
      </c>
      <c r="P22" s="162">
        <f ca="1"/>
        <v>3.319256850206731E-3</v>
      </c>
      <c r="Q22" s="162">
        <f ca="1"/>
        <v>8.4312152208653179E-3</v>
      </c>
      <c r="R22" s="162">
        <f ca="1"/>
        <v>1.431816211137682E-2</v>
      </c>
      <c r="S22" s="162">
        <f ca="1"/>
        <v>0</v>
      </c>
      <c r="T22" s="162">
        <f ca="1"/>
        <v>3.0054720386758271E-2</v>
      </c>
      <c r="U22" s="162">
        <f ca="1"/>
        <v>4.7049227280499428E-2</v>
      </c>
      <c r="V22" s="138">
        <f ca="1"/>
        <v>7.4176523001207584E-2</v>
      </c>
      <c r="W22" s="137">
        <f ca="1"/>
        <v>0</v>
      </c>
      <c r="X22" s="162">
        <f ca="1"/>
        <v>1.5997766557925841E-3</v>
      </c>
      <c r="Y22" s="162">
        <f ca="1"/>
        <v>3.5217676620474814E-3</v>
      </c>
      <c r="Z22" s="162">
        <f ca="1"/>
        <v>8.7991999449910097E-3</v>
      </c>
      <c r="AA22" s="162">
        <f ca="1"/>
        <v>1.4849706548903607E-2</v>
      </c>
      <c r="AB22" s="162">
        <f ca="1"/>
        <v>0</v>
      </c>
      <c r="AC22" s="162">
        <f ca="1"/>
        <v>3.0903741404141982E-2</v>
      </c>
      <c r="AD22" s="162">
        <f ca="1"/>
        <v>4.8205536910899016E-2</v>
      </c>
      <c r="AE22" s="138">
        <f ca="1"/>
        <v>7.5764414309501427E-2</v>
      </c>
      <c r="AG22" s="465" t="s">
        <v>520</v>
      </c>
      <c r="AH22" s="467">
        <v>0.01</v>
      </c>
      <c r="AI22" s="466">
        <v>2025</v>
      </c>
      <c r="AJ22" s="468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1.2444962459644549E-3</v>
      </c>
      <c r="P23" s="162">
        <f ca="1"/>
        <v>4.1913093793749523E-3</v>
      </c>
      <c r="Q23" s="162">
        <f ca="1"/>
        <v>1.1626257676056961E-2</v>
      </c>
      <c r="R23" s="162">
        <f ca="1"/>
        <v>2.0018580243837958E-2</v>
      </c>
      <c r="S23" s="162">
        <f ca="1"/>
        <v>0</v>
      </c>
      <c r="T23" s="162">
        <f ca="1"/>
        <v>3.9547310398289848E-2</v>
      </c>
      <c r="U23" s="162">
        <f ca="1"/>
        <v>6.1207354798311742E-2</v>
      </c>
      <c r="V23" s="138">
        <f ca="1"/>
        <v>9.4481416144434949E-2</v>
      </c>
      <c r="W23" s="137">
        <f ca="1"/>
        <v>0</v>
      </c>
      <c r="X23" s="162">
        <f ca="1"/>
        <v>1.3629345537861104E-3</v>
      </c>
      <c r="Y23" s="162">
        <f ca="1"/>
        <v>4.3937092845814929E-3</v>
      </c>
      <c r="Z23" s="162">
        <f ca="1"/>
        <v>1.1993184228209941E-2</v>
      </c>
      <c r="AA23" s="162">
        <f ca="1"/>
        <v>2.0547366104075704E-2</v>
      </c>
      <c r="AB23" s="162">
        <f ca="1"/>
        <v>0</v>
      </c>
      <c r="AC23" s="162">
        <f ca="1"/>
        <v>4.0387373166751894E-2</v>
      </c>
      <c r="AD23" s="162">
        <f ca="1"/>
        <v>6.2346058483270683E-2</v>
      </c>
      <c r="AE23" s="138">
        <f ca="1"/>
        <v>9.6030499943357883E-2</v>
      </c>
      <c r="AG23" s="465" t="s">
        <v>521</v>
      </c>
      <c r="AH23" s="467">
        <v>3.3750000000000002E-2</v>
      </c>
      <c r="AI23" s="466">
        <v>2027</v>
      </c>
      <c r="AJ23" s="468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1.8247331878505912E-3</v>
      </c>
      <c r="P24" s="162">
        <f ca="1"/>
        <v>4.8122858860774054E-3</v>
      </c>
      <c r="Q24" s="162">
        <f ca="1"/>
        <v>1.1471508377662865E-2</v>
      </c>
      <c r="R24" s="162">
        <f ca="1"/>
        <v>1.8247966064307786E-2</v>
      </c>
      <c r="S24" s="162">
        <f ca="1"/>
        <v>0</v>
      </c>
      <c r="T24" s="162">
        <f ca="1"/>
        <v>3.5050341614432545E-2</v>
      </c>
      <c r="U24" s="162">
        <f ca="1"/>
        <v>5.3219041199720651E-2</v>
      </c>
      <c r="V24" s="138">
        <f ca="1"/>
        <v>8.5661006716515331E-2</v>
      </c>
      <c r="W24" s="137">
        <f ca="1"/>
        <v>0</v>
      </c>
      <c r="X24" s="162">
        <f ca="1"/>
        <v>1.9430977752196155E-3</v>
      </c>
      <c r="Y24" s="162">
        <f ca="1"/>
        <v>5.0145367019345244E-3</v>
      </c>
      <c r="Z24" s="162">
        <f ca="1"/>
        <v>1.1838379629541373E-2</v>
      </c>
      <c r="AA24" s="162">
        <f ca="1"/>
        <v>1.8777350156048422E-2</v>
      </c>
      <c r="AB24" s="162">
        <f ca="1"/>
        <v>0</v>
      </c>
      <c r="AC24" s="162">
        <f ca="1"/>
        <v>3.5894286203451475E-2</v>
      </c>
      <c r="AD24" s="162">
        <f ca="1"/>
        <v>5.4366813218900134E-2</v>
      </c>
      <c r="AE24" s="138">
        <f ca="1"/>
        <v>8.7225626179514792E-2</v>
      </c>
      <c r="AG24" s="465" t="s">
        <v>522</v>
      </c>
      <c r="AH24" s="467">
        <v>1.2500000000000001E-2</v>
      </c>
      <c r="AI24" s="466">
        <v>2025</v>
      </c>
      <c r="AJ24" s="468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5.92809788134252E-4</v>
      </c>
      <c r="P25" s="162">
        <f ca="1"/>
        <v>1.2215858978688043E-3</v>
      </c>
      <c r="Q25" s="162">
        <f ca="1"/>
        <v>2.9875577252425067E-3</v>
      </c>
      <c r="R25" s="162">
        <f ca="1"/>
        <v>6.5810110993891335E-3</v>
      </c>
      <c r="S25" s="162">
        <f ca="1"/>
        <v>0</v>
      </c>
      <c r="T25" s="162">
        <f ca="1"/>
        <v>1.7106598893510072E-2</v>
      </c>
      <c r="U25" s="162">
        <f ca="1"/>
        <v>3.0078540607100024E-2</v>
      </c>
      <c r="V25" s="138">
        <f ca="1"/>
        <v>5.5637101911391595E-2</v>
      </c>
      <c r="W25" s="137">
        <f ca="1"/>
        <v>0</v>
      </c>
      <c r="X25" s="162">
        <f ca="1"/>
        <v>7.1132857205080668E-4</v>
      </c>
      <c r="Y25" s="162">
        <f ca="1"/>
        <v>1.4244939898572229E-3</v>
      </c>
      <c r="Z25" s="162">
        <f ca="1"/>
        <v>3.3574462608295663E-3</v>
      </c>
      <c r="AA25" s="162">
        <f ca="1"/>
        <v>7.1166268975012548E-3</v>
      </c>
      <c r="AB25" s="162">
        <f ca="1"/>
        <v>0</v>
      </c>
      <c r="AC25" s="162">
        <f ca="1"/>
        <v>1.7967796333419606E-2</v>
      </c>
      <c r="AD25" s="162">
        <f ca="1"/>
        <v>3.1256418793184082E-2</v>
      </c>
      <c r="AE25" s="138">
        <f ca="1"/>
        <v>5.7261528920846794E-2</v>
      </c>
      <c r="AG25" s="465" t="s">
        <v>523</v>
      </c>
      <c r="AH25" s="467">
        <v>0.01</v>
      </c>
      <c r="AI25" s="466">
        <v>2027</v>
      </c>
      <c r="AJ25" s="468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3.5572789762250423E-4</v>
      </c>
      <c r="P26" s="162">
        <f ca="1"/>
        <v>1.8470540194656104E-3</v>
      </c>
      <c r="Q26" s="162">
        <f ca="1"/>
        <v>5.6336476794586199E-3</v>
      </c>
      <c r="R26" s="162">
        <f ca="1"/>
        <v>1.0947462748844283E-2</v>
      </c>
      <c r="S26" s="162">
        <f ca="1"/>
        <v>0</v>
      </c>
      <c r="T26" s="162">
        <f ca="1"/>
        <v>2.9630389473587648E-2</v>
      </c>
      <c r="U26" s="162">
        <f ca="1"/>
        <v>5.097448956788142E-2</v>
      </c>
      <c r="V26" s="138">
        <f ca="1"/>
        <v>9.1834335464797245E-2</v>
      </c>
      <c r="W26" s="137">
        <f ca="1"/>
        <v>0</v>
      </c>
      <c r="X26" s="162">
        <f ca="1"/>
        <v>4.7427537457878088E-4</v>
      </c>
      <c r="Y26" s="162">
        <f ca="1"/>
        <v>2.0498935778414662E-3</v>
      </c>
      <c r="Z26" s="162">
        <f ca="1"/>
        <v>6.0027326404713532E-3</v>
      </c>
      <c r="AA26" s="162">
        <f ca="1"/>
        <v>1.148099442825723E-2</v>
      </c>
      <c r="AB26" s="162">
        <f ca="1"/>
        <v>0</v>
      </c>
      <c r="AC26" s="162">
        <f ca="1"/>
        <v>3.0480521152358109E-2</v>
      </c>
      <c r="AD26" s="162">
        <f ca="1"/>
        <v>5.2128360008277475E-2</v>
      </c>
      <c r="AE26" s="138">
        <f ca="1"/>
        <v>9.3414860785028031E-2</v>
      </c>
      <c r="AG26" s="465" t="s">
        <v>524</v>
      </c>
      <c r="AH26" s="467">
        <v>8.7500000000000008E-3</v>
      </c>
      <c r="AI26" s="466">
        <v>2026</v>
      </c>
      <c r="AJ26" s="468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7.1132972843845899E-4</v>
      </c>
      <c r="P27" s="162">
        <f ca="1"/>
        <v>1.218249062401866E-3</v>
      </c>
      <c r="Q27" s="162">
        <f ca="1"/>
        <v>4.1248689048355436E-3</v>
      </c>
      <c r="R27" s="162">
        <f ca="1"/>
        <v>8.215506190854982E-3</v>
      </c>
      <c r="S27" s="162">
        <f ca="1"/>
        <v>0</v>
      </c>
      <c r="T27" s="162">
        <f ca="1"/>
        <v>2.2507116311489272E-2</v>
      </c>
      <c r="U27" s="162">
        <f ca="1"/>
        <v>4.1385784541243753E-2</v>
      </c>
      <c r="V27" s="138">
        <f ca="1"/>
        <v>7.6875905268301903E-2</v>
      </c>
      <c r="W27" s="137">
        <f ca="1"/>
        <v>0</v>
      </c>
      <c r="X27" s="162">
        <f ca="1"/>
        <v>8.2983405341885419E-4</v>
      </c>
      <c r="Y27" s="162">
        <f ca="1"/>
        <v>1.421145689021297E-3</v>
      </c>
      <c r="Z27" s="162">
        <f ca="1"/>
        <v>4.4944222857389304E-3</v>
      </c>
      <c r="AA27" s="162">
        <f ca="1"/>
        <v>8.7503332068935569E-3</v>
      </c>
      <c r="AB27" s="162">
        <f ca="1"/>
        <v>0</v>
      </c>
      <c r="AC27" s="162">
        <f ca="1"/>
        <v>2.3363718769660702E-2</v>
      </c>
      <c r="AD27" s="162">
        <f ca="1"/>
        <v>4.2551141440178353E-2</v>
      </c>
      <c r="AE27" s="138">
        <f ca="1"/>
        <v>7.8461722832654957E-2</v>
      </c>
      <c r="AG27" s="465" t="s">
        <v>525</v>
      </c>
      <c r="AH27" s="467">
        <v>5.0000000000000001E-3</v>
      </c>
      <c r="AI27" s="466">
        <v>2027</v>
      </c>
      <c r="AJ27" s="468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1.3392517418402416E-3</v>
      </c>
      <c r="P28" s="162">
        <f ca="1"/>
        <v>3.7353953149306118E-3</v>
      </c>
      <c r="Q28" s="162">
        <f ca="1"/>
        <v>9.822626890601982E-3</v>
      </c>
      <c r="R28" s="162">
        <f ca="1"/>
        <v>1.5697778075024038E-2</v>
      </c>
      <c r="S28" s="162">
        <f ca="1"/>
        <v>0</v>
      </c>
      <c r="T28" s="162">
        <f ca="1"/>
        <v>2.8942994897665941E-2</v>
      </c>
      <c r="U28" s="162">
        <f ca="1"/>
        <v>4.4299430001779494E-2</v>
      </c>
      <c r="V28" s="138">
        <f ca="1"/>
        <v>7.0545682320189207E-2</v>
      </c>
      <c r="W28" s="137">
        <f ca="1"/>
        <v>0</v>
      </c>
      <c r="X28" s="162">
        <f ca="1"/>
        <v>1.4576781466686395E-3</v>
      </c>
      <c r="Y28" s="162">
        <f ca="1"/>
        <v>3.9378565576938529E-3</v>
      </c>
      <c r="Z28" s="162">
        <f ca="1"/>
        <v>1.0190158012734707E-2</v>
      </c>
      <c r="AA28" s="162">
        <f ca="1"/>
        <v>1.6228567972730423E-2</v>
      </c>
      <c r="AB28" s="162">
        <f ca="1"/>
        <v>0</v>
      </c>
      <c r="AC28" s="162">
        <f ca="1"/>
        <v>2.9792633611344765E-2</v>
      </c>
      <c r="AD28" s="162">
        <f ca="1"/>
        <v>4.5457918297754252E-2</v>
      </c>
      <c r="AE28" s="138">
        <f ca="1"/>
        <v>7.2138892328455051E-2</v>
      </c>
      <c r="AG28" s="465" t="s">
        <v>526</v>
      </c>
      <c r="AH28" s="467">
        <v>3.4000000000000002E-2</v>
      </c>
      <c r="AI28" s="466">
        <v>2027</v>
      </c>
      <c r="AJ28" s="468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8.2983566879302195E-4</v>
      </c>
      <c r="P29" s="162">
        <f ca="1"/>
        <v>1.6273624074436555E-3</v>
      </c>
      <c r="Q29" s="162">
        <f ca="1"/>
        <v>5.2472278855978383E-3</v>
      </c>
      <c r="R29" s="162">
        <f ca="1"/>
        <v>1.03961338980052E-2</v>
      </c>
      <c r="S29" s="162">
        <f ca="1"/>
        <v>0</v>
      </c>
      <c r="T29" s="162">
        <f ca="1"/>
        <v>2.7832574638511964E-2</v>
      </c>
      <c r="U29" s="162">
        <f ca="1"/>
        <v>4.8564212881903046E-2</v>
      </c>
      <c r="V29" s="138">
        <f ca="1"/>
        <v>9.4412164769560825E-2</v>
      </c>
      <c r="W29" s="137">
        <f ca="1"/>
        <v>0</v>
      </c>
      <c r="X29" s="162">
        <f ca="1"/>
        <v>9.4832545884104835E-4</v>
      </c>
      <c r="Y29" s="162">
        <f ca="1"/>
        <v>1.8301875899737752E-3</v>
      </c>
      <c r="Z29" s="162">
        <f ca="1"/>
        <v>5.6163991498814347E-3</v>
      </c>
      <c r="AA29" s="162">
        <f ca="1"/>
        <v>1.0929907836957131E-2</v>
      </c>
      <c r="AB29" s="162">
        <f ca="1"/>
        <v>0</v>
      </c>
      <c r="AC29" s="162">
        <f ca="1"/>
        <v>2.8684346453243248E-2</v>
      </c>
      <c r="AD29" s="162">
        <f ca="1"/>
        <v>4.9720905892093326E-2</v>
      </c>
      <c r="AE29" s="138">
        <f ca="1"/>
        <v>9.5991816157725118E-2</v>
      </c>
      <c r="AG29" s="465" t="s">
        <v>527</v>
      </c>
      <c r="AH29" s="467">
        <v>2.5000000000000001E-2</v>
      </c>
      <c r="AI29" s="466">
        <v>2027</v>
      </c>
      <c r="AJ29" s="468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5.92809788134252E-4</v>
      </c>
      <c r="P30" s="162">
        <f ca="1"/>
        <v>1.6340840333609608E-3</v>
      </c>
      <c r="Q30" s="162">
        <f ca="1"/>
        <v>4.4941602991660501E-3</v>
      </c>
      <c r="R30" s="162">
        <f ca="1"/>
        <v>8.7500997392806479E-3</v>
      </c>
      <c r="S30" s="162">
        <f ca="1"/>
        <v>0</v>
      </c>
      <c r="T30" s="162">
        <f ca="1"/>
        <v>2.3365100753740542E-2</v>
      </c>
      <c r="U30" s="162">
        <f ca="1"/>
        <v>3.9881317159762841E-2</v>
      </c>
      <c r="V30" s="138">
        <f ca="1"/>
        <v>6.3134206072532284E-2</v>
      </c>
      <c r="W30" s="137">
        <f ca="1"/>
        <v>0</v>
      </c>
      <c r="X30" s="162">
        <f ca="1"/>
        <v>7.1132857205080668E-4</v>
      </c>
      <c r="Y30" s="162">
        <f ca="1"/>
        <v>1.8369318085654784E-3</v>
      </c>
      <c r="Z30" s="162">
        <f ca="1"/>
        <v>4.8635750615072526E-3</v>
      </c>
      <c r="AA30" s="162">
        <f ca="1"/>
        <v>9.2846307174944132E-3</v>
      </c>
      <c r="AB30" s="162">
        <f ca="1"/>
        <v>0</v>
      </c>
      <c r="AC30" s="162">
        <f ca="1"/>
        <v>2.4220867839421678E-2</v>
      </c>
      <c r="AD30" s="162">
        <f ca="1"/>
        <v>4.1047973943989735E-2</v>
      </c>
      <c r="AE30" s="138">
        <f ca="1"/>
        <v>6.4744816599963895E-2</v>
      </c>
      <c r="AG30" s="465" t="s">
        <v>528</v>
      </c>
      <c r="AH30" s="467">
        <v>1.375E-2</v>
      </c>
      <c r="AI30" s="466">
        <v>2026</v>
      </c>
      <c r="AJ30" s="468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7.5873378443391815E-4</v>
      </c>
      <c r="P31" s="162">
        <f ca="1"/>
        <v>2.4128691269309499E-3</v>
      </c>
      <c r="Q31" s="162">
        <f ca="1"/>
        <v>6.209320838685084E-3</v>
      </c>
      <c r="R31" s="162">
        <f ca="1"/>
        <v>1.1504988342765365E-2</v>
      </c>
      <c r="S31" s="162">
        <f ca="1"/>
        <v>0</v>
      </c>
      <c r="T31" s="162">
        <f ca="1"/>
        <v>2.6744788331750535E-2</v>
      </c>
      <c r="U31" s="162">
        <f ca="1"/>
        <v>4.4502109929543732E-2</v>
      </c>
      <c r="V31" s="138">
        <f ca="1"/>
        <v>6.5619834005691713E-2</v>
      </c>
      <c r="W31" s="137">
        <f ca="1"/>
        <v>0</v>
      </c>
      <c r="X31" s="162">
        <f ca="1"/>
        <v>8.7723230462111168E-4</v>
      </c>
      <c r="Y31" s="162">
        <f ca="1"/>
        <v>2.61558523442873E-3</v>
      </c>
      <c r="Z31" s="162">
        <f ca="1"/>
        <v>6.5781366790168549E-3</v>
      </c>
      <c r="AA31" s="162">
        <f ca="1"/>
        <v>1.2038111146574382E-2</v>
      </c>
      <c r="AB31" s="162">
        <f ca="1"/>
        <v>0</v>
      </c>
      <c r="AC31" s="162">
        <f ca="1"/>
        <v>2.7597241605795242E-2</v>
      </c>
      <c r="AD31" s="162">
        <f ca="1"/>
        <v>4.5662599276793725E-2</v>
      </c>
      <c r="AE31" s="138">
        <f ca="1"/>
        <v>6.722468132928594E-2</v>
      </c>
      <c r="AG31" s="465" t="s">
        <v>529</v>
      </c>
      <c r="AH31" s="467">
        <v>0.01</v>
      </c>
      <c r="AI31" s="466">
        <v>2025</v>
      </c>
      <c r="AJ31" s="468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1.3037194799899732E-3</v>
      </c>
      <c r="P32" s="162">
        <f ca="1"/>
        <v>3.2626401793691695E-3</v>
      </c>
      <c r="Q32" s="162">
        <f ca="1"/>
        <v>7.8321073938210084E-3</v>
      </c>
      <c r="R32" s="162">
        <f ca="1"/>
        <v>1.6374721160698158E-2</v>
      </c>
      <c r="S32" s="162">
        <f ca="1"/>
        <v>0</v>
      </c>
      <c r="T32" s="162">
        <f ca="1"/>
        <v>3.4551597203335338E-2</v>
      </c>
      <c r="U32" s="162">
        <f ca="1"/>
        <v>5.6388473735760392E-2</v>
      </c>
      <c r="V32" s="138">
        <f ca="1"/>
        <v>9.934115422654044E-2</v>
      </c>
      <c r="W32" s="137">
        <f ca="1"/>
        <v>0</v>
      </c>
      <c r="X32" s="162">
        <f ca="1"/>
        <v>1.4221503544191716E-3</v>
      </c>
      <c r="Y32" s="162">
        <f ca="1"/>
        <v>3.4651764677990915E-3</v>
      </c>
      <c r="Z32" s="162">
        <f ca="1"/>
        <v>8.2002985251309335E-3</v>
      </c>
      <c r="AA32" s="162">
        <f ca="1"/>
        <v>1.6905525259930942E-2</v>
      </c>
      <c r="AB32" s="162">
        <f ca="1"/>
        <v>0</v>
      </c>
      <c r="AC32" s="162">
        <f ca="1"/>
        <v>3.5396836662718978E-2</v>
      </c>
      <c r="AD32" s="162">
        <f ca="1"/>
        <v>5.7534202530140188E-2</v>
      </c>
      <c r="AE32" s="138">
        <f ca="1"/>
        <v>0.10090751062303083</v>
      </c>
      <c r="AG32" s="465" t="s">
        <v>530</v>
      </c>
      <c r="AH32" s="467">
        <v>1.375E-2</v>
      </c>
      <c r="AI32" s="466">
        <v>2026</v>
      </c>
      <c r="AJ32" s="468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9.2463034276024647E-4</v>
      </c>
      <c r="P33" s="162">
        <f ca="1"/>
        <v>2.7997191435086277E-3</v>
      </c>
      <c r="Q33" s="162">
        <f ca="1"/>
        <v>8.6186143185464914E-3</v>
      </c>
      <c r="R33" s="162">
        <f ca="1"/>
        <v>1.4683585478252104E-2</v>
      </c>
      <c r="S33" s="162">
        <f ca="1"/>
        <v>0</v>
      </c>
      <c r="T33" s="162">
        <f ca="1"/>
        <v>2.9135139860844372E-2</v>
      </c>
      <c r="U33" s="162">
        <f ca="1"/>
        <v>4.5156457102016323E-2</v>
      </c>
      <c r="V33" s="138">
        <f ca="1"/>
        <v>6.8686912562811009E-2</v>
      </c>
      <c r="W33" s="137">
        <f ca="1"/>
        <v>0</v>
      </c>
      <c r="X33" s="162">
        <f ca="1"/>
        <v>1.0431084496097531E-3</v>
      </c>
      <c r="Y33" s="162">
        <f ca="1"/>
        <v>3.0023613107641456E-3</v>
      </c>
      <c r="Z33" s="162">
        <f ca="1"/>
        <v>8.9866440644080781E-3</v>
      </c>
      <c r="AA33" s="162">
        <f ca="1"/>
        <v>1.5215091014951665E-2</v>
      </c>
      <c r="AB33" s="162">
        <f ca="1"/>
        <v>0</v>
      </c>
      <c r="AC33" s="162">
        <f ca="1"/>
        <v>2.9985037836439687E-2</v>
      </c>
      <c r="AD33" s="162">
        <f ca="1"/>
        <v>4.6314756979964788E-2</v>
      </c>
      <c r="AE33" s="138">
        <f ca="1"/>
        <v>7.0284316550865977E-2</v>
      </c>
      <c r="AG33" s="465" t="s">
        <v>531</v>
      </c>
      <c r="AH33" s="467">
        <v>1.125E-2</v>
      </c>
      <c r="AI33" s="466">
        <v>2026</v>
      </c>
      <c r="AJ33" s="468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5.92809788134252E-4</v>
      </c>
      <c r="P34" s="162">
        <f ca="1"/>
        <v>1.8403069769395985E-3</v>
      </c>
      <c r="Q34" s="162">
        <f ca="1"/>
        <v>6.0065459294539325E-3</v>
      </c>
      <c r="R34" s="162">
        <f ca="1"/>
        <v>1.3171342960705434E-2</v>
      </c>
      <c r="S34" s="162">
        <f ca="1"/>
        <v>0</v>
      </c>
      <c r="T34" s="162">
        <f ca="1"/>
        <v>3.2208979704980489E-2</v>
      </c>
      <c r="U34" s="162">
        <f ca="1"/>
        <v>5.7118615869165446E-2</v>
      </c>
      <c r="V34" s="138">
        <f ca="1"/>
        <v>0.10201133095626569</v>
      </c>
      <c r="W34" s="137">
        <f ca="1"/>
        <v>0</v>
      </c>
      <c r="X34" s="162">
        <f ca="1"/>
        <v>7.1132857205080668E-4</v>
      </c>
      <c r="Y34" s="162">
        <f ca="1"/>
        <v>2.04312435073839E-3</v>
      </c>
      <c r="Z34" s="162">
        <f ca="1"/>
        <v>6.3754958182713484E-3</v>
      </c>
      <c r="AA34" s="162">
        <f ca="1"/>
        <v>1.3703923095713E-2</v>
      </c>
      <c r="AB34" s="162">
        <f ca="1"/>
        <v>0</v>
      </c>
      <c r="AC34" s="162">
        <f ca="1"/>
        <v>3.3056782601816881E-2</v>
      </c>
      <c r="AD34" s="162">
        <f ca="1"/>
        <v>5.8264796347020864E-2</v>
      </c>
      <c r="AE34" s="138">
        <f ca="1"/>
        <v>0.10357717729290927</v>
      </c>
      <c r="AG34" s="465" t="s">
        <v>532</v>
      </c>
      <c r="AH34" s="467">
        <v>7.4999999999999997E-3</v>
      </c>
      <c r="AI34" s="466">
        <v>2026</v>
      </c>
      <c r="AJ34" s="468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1.3629392170944055E-3</v>
      </c>
      <c r="P35" s="162">
        <f ca="1"/>
        <v>3.6935035072079847E-3</v>
      </c>
      <c r="Q35" s="162">
        <f ca="1"/>
        <v>1.0467248760520964E-2</v>
      </c>
      <c r="R35" s="162">
        <f ca="1"/>
        <v>1.9028350150834927E-2</v>
      </c>
      <c r="S35" s="162">
        <f ca="1"/>
        <v>0</v>
      </c>
      <c r="T35" s="162">
        <f ca="1"/>
        <v>4.0622714248587655E-2</v>
      </c>
      <c r="U35" s="162">
        <f ca="1"/>
        <v>6.3240914663364123E-2</v>
      </c>
      <c r="V35" s="138">
        <f ca="1"/>
        <v>9.714446317254033E-2</v>
      </c>
      <c r="W35" s="137">
        <f ca="1"/>
        <v>0</v>
      </c>
      <c r="X35" s="162">
        <f ca="1"/>
        <v>1.4813626381441347E-3</v>
      </c>
      <c r="Y35" s="162">
        <f ca="1"/>
        <v>3.8959689190745106E-3</v>
      </c>
      <c r="Z35" s="162">
        <f ca="1"/>
        <v>1.0834575173736871E-2</v>
      </c>
      <c r="AA35" s="162">
        <f ca="1"/>
        <v>1.9557718270047153E-2</v>
      </c>
      <c r="AB35" s="162">
        <f ca="1"/>
        <v>0</v>
      </c>
      <c r="AC35" s="162">
        <f ca="1"/>
        <v>4.1461906631134138E-2</v>
      </c>
      <c r="AD35" s="162">
        <f ca="1"/>
        <v>6.4377932308637198E-2</v>
      </c>
      <c r="AE35" s="138">
        <f ca="1"/>
        <v>9.8689453409355199E-2</v>
      </c>
      <c r="AG35" s="465" t="s">
        <v>533</v>
      </c>
      <c r="AH35" s="467">
        <v>0.04</v>
      </c>
      <c r="AI35" s="466">
        <v>2026</v>
      </c>
      <c r="AJ35" s="468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5.92809788134252E-4</v>
      </c>
      <c r="P36" s="162">
        <f ca="1"/>
        <v>1.4278436744080691E-3</v>
      </c>
      <c r="Q36" s="162">
        <f ca="1"/>
        <v>4.1211827516709487E-3</v>
      </c>
      <c r="R36" s="162">
        <f ca="1"/>
        <v>8.7749433701209689E-3</v>
      </c>
      <c r="S36" s="162">
        <f ca="1"/>
        <v>0</v>
      </c>
      <c r="T36" s="162">
        <f ca="1"/>
        <v>2.0604511855394581E-2</v>
      </c>
      <c r="U36" s="162">
        <f ca="1"/>
        <v>3.6180700387551279E-2</v>
      </c>
      <c r="V36" s="138">
        <f ca="1"/>
        <v>6.5968390801418808E-2</v>
      </c>
      <c r="W36" s="137">
        <f ca="1"/>
        <v>0</v>
      </c>
      <c r="X36" s="162">
        <f ca="1"/>
        <v>7.1132857205080668E-4</v>
      </c>
      <c r="Y36" s="162">
        <f ca="1"/>
        <v>1.6307216884168252E-3</v>
      </c>
      <c r="Z36" s="162">
        <f ca="1"/>
        <v>4.4907270290319712E-3</v>
      </c>
      <c r="AA36" s="162">
        <f ca="1"/>
        <v>9.3095430577327942E-3</v>
      </c>
      <c r="AB36" s="162">
        <f ca="1"/>
        <v>0</v>
      </c>
      <c r="AC36" s="162">
        <f ca="1"/>
        <v>2.14626020978812E-2</v>
      </c>
      <c r="AD36" s="162">
        <f ca="1"/>
        <v>3.7351375962172306E-2</v>
      </c>
      <c r="AE36" s="138">
        <f ca="1"/>
        <v>6.7573829489665282E-2</v>
      </c>
      <c r="AG36" s="465" t="s">
        <v>534</v>
      </c>
      <c r="AH36" s="467">
        <v>7.4999999999999997E-3</v>
      </c>
      <c r="AI36" s="466">
        <v>2026</v>
      </c>
      <c r="AJ36" s="468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1.0668055594751369E-3</v>
      </c>
      <c r="P37" s="162">
        <f ca="1"/>
        <v>4.5055041807858798E-3</v>
      </c>
      <c r="Q37" s="162">
        <f ca="1"/>
        <v>1.2339177801338752E-2</v>
      </c>
      <c r="R37" s="162">
        <f ca="1"/>
        <v>2.4504265676358661E-2</v>
      </c>
      <c r="S37" s="162">
        <f ca="1"/>
        <v>0</v>
      </c>
      <c r="T37" s="162">
        <f ca="1"/>
        <v>6.0158075279047263E-2</v>
      </c>
      <c r="U37" s="162">
        <f ca="1"/>
        <v>0.10215665262383444</v>
      </c>
      <c r="V37" s="138">
        <f ca="1"/>
        <v>0.1711302625879989</v>
      </c>
      <c r="W37" s="137">
        <f ca="1"/>
        <v>0</v>
      </c>
      <c r="X37" s="162">
        <f ca="1"/>
        <v>1.1852660484611421E-3</v>
      </c>
      <c r="Y37" s="162">
        <f ca="1"/>
        <v>4.707871119715934E-3</v>
      </c>
      <c r="Z37" s="162">
        <f ca="1"/>
        <v>1.2705866759608497E-2</v>
      </c>
      <c r="AA37" s="162">
        <f ca="1"/>
        <v>2.5031017483834628E-2</v>
      </c>
      <c r="AB37" s="162">
        <f ca="1"/>
        <v>0</v>
      </c>
      <c r="AC37" s="162">
        <f ca="1"/>
        <v>6.097605604672518E-2</v>
      </c>
      <c r="AD37" s="162">
        <f ca="1"/>
        <v>0.10324350441524976</v>
      </c>
      <c r="AE37" s="138">
        <f ca="1"/>
        <v>0.17259336452469398</v>
      </c>
      <c r="AG37" s="465" t="s">
        <v>535</v>
      </c>
      <c r="AH37" s="467">
        <v>3.7499999999999999E-2</v>
      </c>
      <c r="AI37" s="466">
        <v>2026</v>
      </c>
      <c r="AJ37" s="468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5.92809788134252E-4</v>
      </c>
      <c r="P38" s="162">
        <f ca="1"/>
        <v>1.2215858978688043E-3</v>
      </c>
      <c r="Q38" s="162">
        <f ca="1"/>
        <v>4.5083702662991332E-3</v>
      </c>
      <c r="R38" s="162">
        <f ca="1"/>
        <v>8.7644789715565219E-3</v>
      </c>
      <c r="S38" s="162">
        <f ca="1"/>
        <v>0</v>
      </c>
      <c r="T38" s="162">
        <f ca="1"/>
        <v>2.0593856483350215E-2</v>
      </c>
      <c r="U38" s="162">
        <f ca="1"/>
        <v>3.3491059664730538E-2</v>
      </c>
      <c r="V38" s="138">
        <f ca="1"/>
        <v>5.8431859839286782E-2</v>
      </c>
      <c r="W38" s="137">
        <f ca="1"/>
        <v>0</v>
      </c>
      <c r="X38" s="162">
        <f ca="1"/>
        <v>7.1132857205080668E-4</v>
      </c>
      <c r="Y38" s="162">
        <f ca="1"/>
        <v>1.4244939898572229E-3</v>
      </c>
      <c r="Z38" s="162">
        <f ca="1"/>
        <v>4.8778245277686372E-3</v>
      </c>
      <c r="AA38" s="162">
        <f ca="1"/>
        <v>9.2990568694159004E-3</v>
      </c>
      <c r="AB38" s="162">
        <f ca="1"/>
        <v>0</v>
      </c>
      <c r="AC38" s="162">
        <f ca="1"/>
        <v>2.1451914720507004E-2</v>
      </c>
      <c r="AD38" s="162">
        <f ca="1"/>
        <v>3.4664351501637158E-2</v>
      </c>
      <c r="AE38" s="138">
        <f ca="1"/>
        <v>6.0050052604858406E-2</v>
      </c>
      <c r="AG38" s="465" t="s">
        <v>536</v>
      </c>
      <c r="AH38" s="467">
        <v>3.7499999999999999E-2</v>
      </c>
      <c r="AI38" s="466">
        <v>2032</v>
      </c>
      <c r="AJ38" s="468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1.1852695147550607E-3</v>
      </c>
      <c r="P39" s="162">
        <f ca="1"/>
        <v>2.6479214033667819E-3</v>
      </c>
      <c r="Q39" s="162">
        <f ca="1"/>
        <v>8.6160145640523655E-3</v>
      </c>
      <c r="R39" s="162">
        <f ca="1"/>
        <v>1.8606486799428334E-2</v>
      </c>
      <c r="S39" s="162">
        <f ca="1"/>
        <v>0</v>
      </c>
      <c r="T39" s="162">
        <f ca="1"/>
        <v>4.5398164684181008E-2</v>
      </c>
      <c r="U39" s="162">
        <f ca="1"/>
        <v>8.0004648034803894E-2</v>
      </c>
      <c r="V39" s="138">
        <f ca="1"/>
        <v>0.13062380279773922</v>
      </c>
      <c r="W39" s="137">
        <f ca="1"/>
        <v>0</v>
      </c>
      <c r="X39" s="162">
        <f ca="1"/>
        <v>1.3037152360358961E-3</v>
      </c>
      <c r="Y39" s="162">
        <f ca="1"/>
        <v>2.850561127839657E-3</v>
      </c>
      <c r="Z39" s="162">
        <f ca="1"/>
        <v>8.9840303268742261E-3</v>
      </c>
      <c r="AA39" s="162">
        <f ca="1"/>
        <v>1.9136364688000729E-2</v>
      </c>
      <c r="AB39" s="162">
        <f ca="1"/>
        <v>0</v>
      </c>
      <c r="AC39" s="162">
        <f ca="1"/>
        <v>4.623284350198098E-2</v>
      </c>
      <c r="AD39" s="162">
        <f ca="1"/>
        <v>8.1121540752327026E-2</v>
      </c>
      <c r="AE39" s="138">
        <f ca="1"/>
        <v>0.13214437971752724</v>
      </c>
      <c r="AG39" s="465" t="s">
        <v>537</v>
      </c>
      <c r="AH39" s="467">
        <v>2.375E-2</v>
      </c>
      <c r="AI39" s="466">
        <v>2025</v>
      </c>
      <c r="AJ39" s="468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2.2626489020012297E-3</v>
      </c>
      <c r="P40" s="162">
        <f ca="1"/>
        <v>4.4287179779292085E-3</v>
      </c>
      <c r="Q40" s="162">
        <f ca="1"/>
        <v>1.082853653261584E-2</v>
      </c>
      <c r="R40" s="162">
        <f ca="1"/>
        <v>1.8839736987262379E-2</v>
      </c>
      <c r="S40" s="162">
        <f ca="1"/>
        <v>0</v>
      </c>
      <c r="T40" s="162">
        <f ca="1"/>
        <v>3.7797767636882806E-2</v>
      </c>
      <c r="U40" s="162">
        <f ca="1"/>
        <v>5.7536615339986108E-2</v>
      </c>
      <c r="V40" s="138">
        <f ca="1"/>
        <v>8.6633092358633479E-2</v>
      </c>
      <c r="W40" s="137">
        <f ca="1"/>
        <v>0</v>
      </c>
      <c r="X40" s="162">
        <f ca="1"/>
        <v>2.3809565000536548E-3</v>
      </c>
      <c r="Y40" s="162">
        <f ca="1"/>
        <v>4.6309871632992383E-3</v>
      </c>
      <c r="Z40" s="162">
        <f ca="1"/>
        <v>1.1195596916553252E-2</v>
      </c>
      <c r="AA40" s="162">
        <f ca="1"/>
        <v>1.9368953388469445E-2</v>
      </c>
      <c r="AB40" s="162">
        <f ca="1"/>
        <v>0</v>
      </c>
      <c r="AC40" s="162">
        <f ca="1"/>
        <v>3.8639371650023513E-2</v>
      </c>
      <c r="AD40" s="162">
        <f ca="1"/>
        <v>5.8679698209404774E-2</v>
      </c>
      <c r="AE40" s="138">
        <f ca="1"/>
        <v>8.8196904931486797E-2</v>
      </c>
      <c r="AG40" s="465" t="s">
        <v>538</v>
      </c>
      <c r="AH40" s="467">
        <v>2.375E-2</v>
      </c>
      <c r="AI40" s="466">
        <v>2026</v>
      </c>
      <c r="AJ40" s="468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4.7427584534542877E-4</v>
      </c>
      <c r="P41" s="162">
        <f ca="1"/>
        <v>1.4311928976311616E-3</v>
      </c>
      <c r="Q41" s="162">
        <f ca="1"/>
        <v>4.5046699660206135E-3</v>
      </c>
      <c r="R41" s="162">
        <f ca="1"/>
        <v>1.0449521438417375E-2</v>
      </c>
      <c r="S41" s="162">
        <f ca="1"/>
        <v>0</v>
      </c>
      <c r="T41" s="162">
        <f ca="1"/>
        <v>2.5107619909352397E-2</v>
      </c>
      <c r="U41" s="162">
        <f ca="1"/>
        <v>4.4915074185536863E-2</v>
      </c>
      <c r="V41" s="138">
        <f ca="1"/>
        <v>7.779314903561152E-2</v>
      </c>
      <c r="W41" s="137">
        <f ca="1"/>
        <v>0</v>
      </c>
      <c r="X41" s="162">
        <f ca="1"/>
        <v>5.9280901297664723E-4</v>
      </c>
      <c r="Y41" s="162">
        <f ca="1"/>
        <v>1.6340822274196753E-3</v>
      </c>
      <c r="Z41" s="162">
        <f ca="1"/>
        <v>4.8741157549777592E-3</v>
      </c>
      <c r="AA41" s="162">
        <f ca="1"/>
        <v>1.0983433411336896E-2</v>
      </c>
      <c r="AB41" s="162">
        <f ca="1"/>
        <v>0</v>
      </c>
      <c r="AC41" s="162">
        <f ca="1"/>
        <v>2.5961936855136591E-2</v>
      </c>
      <c r="AD41" s="162">
        <f ca="1"/>
        <v>4.6075905183832533E-2</v>
      </c>
      <c r="AE41" s="138">
        <f ca="1"/>
        <v>7.9377352369355725E-2</v>
      </c>
      <c r="AG41" s="465" t="s">
        <v>539</v>
      </c>
      <c r="AH41" s="467">
        <v>6.2500000000000003E-3</v>
      </c>
      <c r="AI41" s="466">
        <v>2026</v>
      </c>
      <c r="AJ41" s="468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1.0668055594751369E-3</v>
      </c>
      <c r="P42" s="162">
        <f ca="1"/>
        <v>3.6816057339070785E-3</v>
      </c>
      <c r="Q42" s="162">
        <f ca="1"/>
        <v>1.3126390430186485E-2</v>
      </c>
      <c r="R42" s="162">
        <f ca="1"/>
        <v>2.2261954024763386E-2</v>
      </c>
      <c r="S42" s="162">
        <f ca="1"/>
        <v>0</v>
      </c>
      <c r="T42" s="162">
        <f ca="1"/>
        <v>5.2131498962436518E-2</v>
      </c>
      <c r="U42" s="162">
        <f ca="1"/>
        <v>8.7711753747412913E-2</v>
      </c>
      <c r="V42" s="138">
        <f ca="1"/>
        <v>0.14480490796389101</v>
      </c>
      <c r="W42" s="137">
        <f ca="1"/>
        <v>0</v>
      </c>
      <c r="X42" s="162">
        <f ca="1"/>
        <v>1.1852660484611421E-3</v>
      </c>
      <c r="Y42" s="162">
        <f ca="1"/>
        <v>3.8841005581671251E-3</v>
      </c>
      <c r="Z42" s="162">
        <f ca="1"/>
        <v>1.3492860552337227E-2</v>
      </c>
      <c r="AA42" s="162">
        <f ca="1"/>
        <v>2.2789738761530565E-2</v>
      </c>
      <c r="AB42" s="162">
        <f ca="1"/>
        <v>0</v>
      </c>
      <c r="AC42" s="162">
        <f ca="1"/>
        <v>5.2958573111191565E-2</v>
      </c>
      <c r="AD42" s="162">
        <f ca="1"/>
        <v>8.8817929140936225E-2</v>
      </c>
      <c r="AE42" s="138">
        <f ca="1"/>
        <v>0.14630344964882513</v>
      </c>
      <c r="AG42" s="465" t="s">
        <v>540</v>
      </c>
      <c r="AH42" s="467">
        <v>2.75E-2</v>
      </c>
      <c r="AI42" s="466">
        <v>2025</v>
      </c>
      <c r="AJ42" s="468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3.9129375261737209E-4</v>
      </c>
      <c r="P43" s="162">
        <f ca="1"/>
        <v>1.8666652694603325E-3</v>
      </c>
      <c r="Q43" s="162">
        <f ca="1"/>
        <v>6.1635930503410874E-3</v>
      </c>
      <c r="R43" s="162">
        <f ca="1"/>
        <v>1.1932742330486912E-2</v>
      </c>
      <c r="S43" s="162">
        <f ca="1"/>
        <v>0</v>
      </c>
      <c r="T43" s="162">
        <f ca="1"/>
        <v>2.6750617945119126E-2</v>
      </c>
      <c r="U43" s="162">
        <f ca="1"/>
        <v>4.2508675440928512E-2</v>
      </c>
      <c r="V43" s="138">
        <f ca="1"/>
        <v>6.5901615705150629E-2</v>
      </c>
      <c r="W43" s="137">
        <f ca="1"/>
        <v>0</v>
      </c>
      <c r="X43" s="162">
        <f ca="1"/>
        <v>5.0983694452289008E-4</v>
      </c>
      <c r="Y43" s="162">
        <f ca="1"/>
        <v>2.0694984475237987E-3</v>
      </c>
      <c r="Z43" s="162">
        <f ca="1"/>
        <v>6.532514565413039E-3</v>
      </c>
      <c r="AA43" s="162">
        <f ca="1"/>
        <v>1.2465815307590722E-2</v>
      </c>
      <c r="AB43" s="162">
        <f ca="1"/>
        <v>0</v>
      </c>
      <c r="AC43" s="162">
        <f ca="1"/>
        <v>2.7603185350447368E-2</v>
      </c>
      <c r="AD43" s="162">
        <f ca="1"/>
        <v>4.3671241838499353E-2</v>
      </c>
      <c r="AE43" s="138">
        <f ca="1"/>
        <v>6.7505552612389441E-2</v>
      </c>
      <c r="AG43" s="465" t="s">
        <v>541</v>
      </c>
      <c r="AH43" s="467"/>
      <c r="AI43" s="466"/>
      <c r="AJ43" s="468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9.8387246535025508E-4</v>
      </c>
      <c r="P44" s="162">
        <f ca="1"/>
        <v>3.6016336029452978E-3</v>
      </c>
      <c r="Q44" s="162">
        <f ca="1"/>
        <v>1.0596099097945233E-2</v>
      </c>
      <c r="R44" s="162">
        <f ca="1"/>
        <v>1.9094213711046359E-2</v>
      </c>
      <c r="S44" s="162">
        <f ca="1"/>
        <v>0</v>
      </c>
      <c r="T44" s="162">
        <f ca="1"/>
        <v>4.2464214726712357E-2</v>
      </c>
      <c r="U44" s="162">
        <f ca="1"/>
        <v>6.43611576659332E-2</v>
      </c>
      <c r="V44" s="138">
        <f ca="1"/>
        <v>9.6758643510519438E-2</v>
      </c>
      <c r="W44" s="137">
        <f ca="1"/>
        <v>0</v>
      </c>
      <c r="X44" s="162">
        <f ca="1"/>
        <v>1.1023432450528725E-3</v>
      </c>
      <c r="Y44" s="162">
        <f ca="1"/>
        <v>3.8041483834519996E-3</v>
      </c>
      <c r="Z44" s="162">
        <f ca="1"/>
        <v>1.0963430505050664E-2</v>
      </c>
      <c r="AA44" s="162">
        <f ca="1"/>
        <v>1.9623594249539522E-2</v>
      </c>
      <c r="AB44" s="162">
        <f ca="1"/>
        <v>0</v>
      </c>
      <c r="AC44" s="162">
        <f ca="1"/>
        <v>4.3301607587381996E-2</v>
      </c>
      <c r="AD44" s="162">
        <f ca="1"/>
        <v>6.5497086051430231E-2</v>
      </c>
      <c r="AE44" s="138">
        <f ca="1"/>
        <v>9.8304444061396379E-2</v>
      </c>
      <c r="AG44" s="465" t="s">
        <v>542</v>
      </c>
      <c r="AH44" s="467">
        <v>3.875E-2</v>
      </c>
      <c r="AI44" s="466">
        <v>2026</v>
      </c>
      <c r="AJ44" s="468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1.4221554576263618E-3</v>
      </c>
      <c r="P45" s="162">
        <f ca="1"/>
        <v>2.8471338741142826E-3</v>
      </c>
      <c r="Q45" s="162">
        <f ca="1"/>
        <v>6.7053228210437466E-3</v>
      </c>
      <c r="R45" s="162">
        <f ca="1"/>
        <v>1.2511690524401597E-2</v>
      </c>
      <c r="S45" s="162">
        <f ca="1"/>
        <v>0</v>
      </c>
      <c r="T45" s="162">
        <f ca="1"/>
        <v>2.3826009100681111E-2</v>
      </c>
      <c r="U45" s="162">
        <f ca="1"/>
        <v>4.064994020647017E-2</v>
      </c>
      <c r="V45" s="138">
        <f ca="1"/>
        <v>7.2207699466551256E-2</v>
      </c>
      <c r="W45" s="137">
        <f ca="1"/>
        <v>0</v>
      </c>
      <c r="X45" s="162">
        <f ca="1"/>
        <v>1.5405714051989206E-3</v>
      </c>
      <c r="Y45" s="162">
        <f ca="1"/>
        <v>3.0497209419496629E-3</v>
      </c>
      <c r="Z45" s="162">
        <f ca="1"/>
        <v>7.0738789343559594E-3</v>
      </c>
      <c r="AA45" s="162">
        <f ca="1"/>
        <v>1.3044228579486061E-2</v>
      </c>
      <c r="AB45" s="162">
        <f ca="1"/>
        <v>0</v>
      </c>
      <c r="AC45" s="162">
        <f ca="1"/>
        <v>2.468056743129976E-2</v>
      </c>
      <c r="AD45" s="162">
        <f ca="1"/>
        <v>4.1814024305211306E-2</v>
      </c>
      <c r="AE45" s="138">
        <f ca="1"/>
        <v>7.3799930916290224E-2</v>
      </c>
      <c r="AG45" s="465" t="s">
        <v>543</v>
      </c>
      <c r="AH45" s="467">
        <v>3.875E-2</v>
      </c>
      <c r="AI45" s="466">
        <v>2026</v>
      </c>
      <c r="AJ45" s="468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4.7427584534542877E-4</v>
      </c>
      <c r="P46" s="162">
        <f ca="1"/>
        <v>1.843680337743514E-3</v>
      </c>
      <c r="Q46" s="162">
        <f ca="1"/>
        <v>5.2503551541845939E-3</v>
      </c>
      <c r="R46" s="162">
        <f ca="1"/>
        <v>9.8366526588096193E-3</v>
      </c>
      <c r="S46" s="162">
        <f ca="1"/>
        <v>0</v>
      </c>
      <c r="T46" s="162">
        <f ca="1"/>
        <v>2.4170278858453131E-2</v>
      </c>
      <c r="U46" s="162">
        <f ca="1"/>
        <v>4.2332703953003814E-2</v>
      </c>
      <c r="V46" s="138">
        <f ca="1"/>
        <v>7.2372575937555084E-2</v>
      </c>
      <c r="W46" s="137">
        <f ca="1"/>
        <v>0</v>
      </c>
      <c r="X46" s="162">
        <f ca="1"/>
        <v>5.9280901297664723E-4</v>
      </c>
      <c r="Y46" s="162">
        <f ca="1"/>
        <v>2.0465088302080714E-3</v>
      </c>
      <c r="Z46" s="162">
        <f ca="1"/>
        <v>5.6195407345783766E-3</v>
      </c>
      <c r="AA46" s="162">
        <f ca="1"/>
        <v>1.0370651120759078E-2</v>
      </c>
      <c r="AB46" s="162">
        <f ca="1"/>
        <v>0</v>
      </c>
      <c r="AC46" s="162">
        <f ca="1"/>
        <v>2.5025199396911391E-2</v>
      </c>
      <c r="AD46" s="162">
        <f ca="1"/>
        <v>4.3496300300052582E-2</v>
      </c>
      <c r="AE46" s="138">
        <f ca="1"/>
        <v>7.3966503095062253E-2</v>
      </c>
      <c r="AG46" s="465" t="s">
        <v>544</v>
      </c>
      <c r="AH46" s="467">
        <v>0.03</v>
      </c>
      <c r="AI46" s="466">
        <v>2026</v>
      </c>
      <c r="AJ46" s="468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2.191648536059132E-3</v>
      </c>
      <c r="P47" s="162">
        <f ca="1"/>
        <v>4.2044094475753857E-3</v>
      </c>
      <c r="Q47" s="162">
        <f ca="1"/>
        <v>1.0460488872299001E-2</v>
      </c>
      <c r="R47" s="162">
        <f ca="1"/>
        <v>1.763737862155923E-2</v>
      </c>
      <c r="S47" s="162">
        <f ca="1"/>
        <v>0</v>
      </c>
      <c r="T47" s="162">
        <f ca="1"/>
        <v>3.6083599761741469E-2</v>
      </c>
      <c r="U47" s="162">
        <f ca="1"/>
        <v>5.5878370594035109E-2</v>
      </c>
      <c r="V47" s="138">
        <f ca="1"/>
        <v>8.5297383171299312E-2</v>
      </c>
      <c r="W47" s="137">
        <f ca="1"/>
        <v>0</v>
      </c>
      <c r="X47" s="162">
        <f ca="1"/>
        <v>2.3099654549080251E-3</v>
      </c>
      <c r="Y47" s="162">
        <f ca="1"/>
        <v>4.4067192913296305E-3</v>
      </c>
      <c r="Z47" s="162">
        <f ca="1"/>
        <v>1.0827691311912635E-2</v>
      </c>
      <c r="AA47" s="162">
        <f ca="1"/>
        <v>1.8167164569952599E-2</v>
      </c>
      <c r="AB47" s="162">
        <f ca="1"/>
        <v>0</v>
      </c>
      <c r="AC47" s="162">
        <f ca="1"/>
        <v>3.6926810951268041E-2</v>
      </c>
      <c r="AD47" s="162">
        <f ca="1"/>
        <v>5.7023677232526659E-2</v>
      </c>
      <c r="AE47" s="138">
        <f ca="1"/>
        <v>8.6864129568764437E-2</v>
      </c>
      <c r="AG47" s="465" t="s">
        <v>545</v>
      </c>
      <c r="AH47" s="467">
        <v>1.7500000000000002E-2</v>
      </c>
      <c r="AI47" s="466">
        <v>2025</v>
      </c>
      <c r="AJ47" s="468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5.92809788134252E-4</v>
      </c>
      <c r="P48" s="162">
        <f ca="1"/>
        <v>1.4278436744080691E-3</v>
      </c>
      <c r="Q48" s="162">
        <f ca="1"/>
        <v>4.1211827516709487E-3</v>
      </c>
      <c r="R48" s="162">
        <f ca="1"/>
        <v>8.2117753028909668E-3</v>
      </c>
      <c r="S48" s="162">
        <f ca="1"/>
        <v>0</v>
      </c>
      <c r="T48" s="162">
        <f ca="1"/>
        <v>2.1574409209892176E-2</v>
      </c>
      <c r="U48" s="162">
        <f ca="1"/>
        <v>3.8803337336792088E-2</v>
      </c>
      <c r="V48" s="138">
        <f ca="1"/>
        <v>7.1449236458101528E-2</v>
      </c>
      <c r="W48" s="137">
        <f ca="1"/>
        <v>0</v>
      </c>
      <c r="X48" s="162">
        <f ca="1"/>
        <v>7.1132857205080668E-4</v>
      </c>
      <c r="Y48" s="162">
        <f ca="1"/>
        <v>1.6307216884168252E-3</v>
      </c>
      <c r="Z48" s="162">
        <f ca="1"/>
        <v>4.4907270290319712E-3</v>
      </c>
      <c r="AA48" s="162">
        <f ca="1"/>
        <v>8.7465893529943273E-3</v>
      </c>
      <c r="AB48" s="162">
        <f ca="1"/>
        <v>0</v>
      </c>
      <c r="AC48" s="162">
        <f ca="1"/>
        <v>2.2431759701074361E-2</v>
      </c>
      <c r="AD48" s="162">
        <f ca="1"/>
        <v>3.9971431803454749E-2</v>
      </c>
      <c r="AE48" s="138">
        <f ca="1"/>
        <v>7.3045033793063929E-2</v>
      </c>
      <c r="AG48" s="465" t="s">
        <v>546</v>
      </c>
      <c r="AH48" s="467">
        <v>2.5000000000000001E-2</v>
      </c>
      <c r="AI48" s="466">
        <v>2030</v>
      </c>
      <c r="AJ48" s="468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1.3037194799899732E-3</v>
      </c>
      <c r="P49" s="162">
        <f ca="1"/>
        <v>3.2626401793691695E-3</v>
      </c>
      <c r="Q49" s="162">
        <f ca="1"/>
        <v>7.4528972592016185E-3</v>
      </c>
      <c r="R49" s="162">
        <f ca="1"/>
        <v>1.5271164008381022E-2</v>
      </c>
      <c r="S49" s="162">
        <f ca="1"/>
        <v>0</v>
      </c>
      <c r="T49" s="162">
        <f ca="1"/>
        <v>3.4656053147240518E-2</v>
      </c>
      <c r="U49" s="162">
        <f ca="1"/>
        <v>5.6493508146069127E-2</v>
      </c>
      <c r="V49" s="138">
        <f ca="1"/>
        <v>9.7514137086637143E-2</v>
      </c>
      <c r="W49" s="137">
        <f ca="1"/>
        <v>0</v>
      </c>
      <c r="X49" s="162">
        <f ca="1"/>
        <v>1.4221503544191716E-3</v>
      </c>
      <c r="Y49" s="162">
        <f ca="1"/>
        <v>3.4651764677990915E-3</v>
      </c>
      <c r="Z49" s="162">
        <f ca="1"/>
        <v>7.8212025056658696E-3</v>
      </c>
      <c r="AA49" s="162">
        <f ca="1"/>
        <v>1.5802464452943643E-2</v>
      </c>
      <c r="AB49" s="162">
        <f ca="1"/>
        <v>0</v>
      </c>
      <c r="AC49" s="162">
        <f ca="1"/>
        <v>3.5501196363179055E-2</v>
      </c>
      <c r="AD49" s="162">
        <f ca="1"/>
        <v>5.7639522603666782E-2</v>
      </c>
      <c r="AE49" s="138">
        <f ca="1"/>
        <v>9.9082731977023553E-2</v>
      </c>
      <c r="AG49" s="465" t="s">
        <v>547</v>
      </c>
      <c r="AH49" s="467">
        <v>1.15E-2</v>
      </c>
      <c r="AI49" s="466">
        <v>2027</v>
      </c>
      <c r="AJ49" s="468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8.2983566879302195E-4</v>
      </c>
      <c r="P50" s="162">
        <f ca="1"/>
        <v>1.8335612178990157E-3</v>
      </c>
      <c r="Q50" s="162">
        <f ca="1"/>
        <v>4.8601926658906613E-3</v>
      </c>
      <c r="R50" s="162">
        <f ca="1"/>
        <v>9.8440240106640875E-3</v>
      </c>
      <c r="S50" s="162">
        <f ca="1"/>
        <v>0</v>
      </c>
      <c r="T50" s="162">
        <f ca="1"/>
        <v>2.6032190210172779E-2</v>
      </c>
      <c r="U50" s="162">
        <f ca="1"/>
        <v>4.4815130743587006E-2</v>
      </c>
      <c r="V50" s="138">
        <f ca="1"/>
        <v>7.7692911880260951E-2</v>
      </c>
      <c r="W50" s="137">
        <f ca="1"/>
        <v>0</v>
      </c>
      <c r="X50" s="162">
        <f ca="1"/>
        <v>9.4832545884104835E-4</v>
      </c>
      <c r="Y50" s="162">
        <f ca="1"/>
        <v>2.0363561961922461E-3</v>
      </c>
      <c r="Z50" s="162">
        <f ca="1"/>
        <v>5.2294555185565805E-3</v>
      </c>
      <c r="AA50" s="162">
        <f ca="1"/>
        <v>1.0378035072031166E-2</v>
      </c>
      <c r="AB50" s="162">
        <f ca="1"/>
        <v>0</v>
      </c>
      <c r="AC50" s="162">
        <f ca="1"/>
        <v>2.6885568146458705E-2</v>
      </c>
      <c r="AD50" s="162">
        <f ca="1"/>
        <v>4.5976095974274434E-2</v>
      </c>
      <c r="AE50" s="138">
        <f ca="1"/>
        <v>7.9276917088092813E-2</v>
      </c>
      <c r="AG50" s="465" t="s">
        <v>548</v>
      </c>
      <c r="AH50" s="467">
        <v>2.75E-2</v>
      </c>
      <c r="AI50" s="466">
        <v>2025</v>
      </c>
      <c r="AJ50" s="468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1.4221554576263618E-3</v>
      </c>
      <c r="P51" s="162">
        <f ca="1"/>
        <v>4.906692406451918E-3</v>
      </c>
      <c r="Q51" s="162">
        <f ca="1"/>
        <v>1.4203215531132796E-2</v>
      </c>
      <c r="R51" s="162">
        <f ca="1"/>
        <v>2.9400108606837505E-2</v>
      </c>
      <c r="S51" s="162">
        <f ca="1"/>
        <v>0</v>
      </c>
      <c r="T51" s="162">
        <f ca="1"/>
        <v>7.0485845991522633E-2</v>
      </c>
      <c r="U51" s="162">
        <f ca="1"/>
        <v>0.11571616019023123</v>
      </c>
      <c r="V51" s="138">
        <f ca="1"/>
        <v>0.1870504071346879</v>
      </c>
      <c r="W51" s="137">
        <f ca="1"/>
        <v>0</v>
      </c>
      <c r="X51" s="162">
        <f ca="1"/>
        <v>1.5405714051989206E-3</v>
      </c>
      <c r="Y51" s="162">
        <f ca="1"/>
        <v>5.1089646479063333E-3</v>
      </c>
      <c r="Z51" s="162">
        <f ca="1"/>
        <v>1.4569212020622446E-2</v>
      </c>
      <c r="AA51" s="162">
        <f ca="1"/>
        <v>2.9924377758060672E-2</v>
      </c>
      <c r="AB51" s="162">
        <f ca="1"/>
        <v>0</v>
      </c>
      <c r="AC51" s="162">
        <f ca="1"/>
        <v>7.1291499054050966E-2</v>
      </c>
      <c r="AD51" s="162">
        <f ca="1"/>
        <v>0.11680696919729994</v>
      </c>
      <c r="AE51" s="138">
        <f ca="1"/>
        <v>0.18848345621979234</v>
      </c>
      <c r="AG51" s="465" t="s">
        <v>549</v>
      </c>
      <c r="AH51" s="467">
        <v>1.2500000000000001E-2</v>
      </c>
      <c r="AI51" s="466">
        <v>2025</v>
      </c>
      <c r="AJ51" s="468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7.1132972843845899E-4</v>
      </c>
      <c r="P52" s="162">
        <f ca="1"/>
        <v>1.424494769770468E-3</v>
      </c>
      <c r="Q52" s="162">
        <f ca="1"/>
        <v>4.4978604330765393E-3</v>
      </c>
      <c r="R52" s="162">
        <f ca="1"/>
        <v>9.8797475120157019E-3</v>
      </c>
      <c r="S52" s="162">
        <f ca="1"/>
        <v>0</v>
      </c>
      <c r="T52" s="162">
        <f ca="1"/>
        <v>2.5141899370640153E-2</v>
      </c>
      <c r="U52" s="162">
        <f ca="1"/>
        <v>4.361553303207133E-2</v>
      </c>
      <c r="V52" s="138">
        <f ca="1"/>
        <v>7.8015557618591913E-2</v>
      </c>
      <c r="W52" s="137">
        <f ca="1"/>
        <v>0</v>
      </c>
      <c r="X52" s="162">
        <f ca="1"/>
        <v>8.2983405341885419E-4</v>
      </c>
      <c r="Y52" s="162">
        <f ca="1"/>
        <v>1.6273614157106264E-3</v>
      </c>
      <c r="Z52" s="162">
        <f ca="1"/>
        <v>4.8672840036253495E-3</v>
      </c>
      <c r="AA52" s="162">
        <f ca="1"/>
        <v>1.041385873674594E-2</v>
      </c>
      <c r="AB52" s="162">
        <f ca="1"/>
        <v>0</v>
      </c>
      <c r="AC52" s="162">
        <f ca="1"/>
        <v>2.5996171692597381E-2</v>
      </c>
      <c r="AD52" s="162">
        <f ca="1"/>
        <v>4.4777913366505939E-2</v>
      </c>
      <c r="AE52" s="138">
        <f ca="1"/>
        <v>7.9598707501547628E-2</v>
      </c>
      <c r="AG52" s="465" t="s">
        <v>550</v>
      </c>
      <c r="AH52" s="467">
        <v>0.02</v>
      </c>
      <c r="AI52" s="466">
        <v>2025</v>
      </c>
      <c r="AJ52" s="468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8.2983566879302195E-4</v>
      </c>
      <c r="P53" s="162">
        <f ca="1"/>
        <v>1.6273624074436555E-3</v>
      </c>
      <c r="Q53" s="162">
        <f ca="1"/>
        <v>4.1073195848529975E-3</v>
      </c>
      <c r="R53" s="162">
        <f ca="1"/>
        <v>9.3238857354024374E-3</v>
      </c>
      <c r="S53" s="162">
        <f ca="1"/>
        <v>0</v>
      </c>
      <c r="T53" s="162">
        <f ca="1"/>
        <v>2.5190577409881509E-2</v>
      </c>
      <c r="U53" s="162">
        <f ca="1"/>
        <v>4.4999171592630338E-2</v>
      </c>
      <c r="V53" s="138">
        <f ca="1"/>
        <v>7.9835801147285834E-2</v>
      </c>
      <c r="W53" s="137">
        <f ca="1"/>
        <v>0</v>
      </c>
      <c r="X53" s="162">
        <f ca="1"/>
        <v>9.4832545884104835E-4</v>
      </c>
      <c r="Y53" s="162">
        <f ca="1"/>
        <v>1.8301875899737752E-3</v>
      </c>
      <c r="Z53" s="162">
        <f ca="1"/>
        <v>4.4768210960947075E-3</v>
      </c>
      <c r="AA53" s="162">
        <f ca="1"/>
        <v>9.8582241692610761E-3</v>
      </c>
      <c r="AB53" s="162">
        <f ca="1"/>
        <v>0</v>
      </c>
      <c r="AC53" s="162">
        <f ca="1"/>
        <v>2.6044840496936006E-2</v>
      </c>
      <c r="AD53" s="162">
        <f ca="1"/>
        <v>4.6160244410951123E-2</v>
      </c>
      <c r="AE53" s="138">
        <f ca="1"/>
        <v>8.1416185111791051E-2</v>
      </c>
      <c r="AG53" s="465" t="s">
        <v>551</v>
      </c>
      <c r="AH53" s="467">
        <v>1.375E-2</v>
      </c>
      <c r="AI53" s="466">
        <v>2025</v>
      </c>
      <c r="AJ53" s="468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4.7427584534542877E-4</v>
      </c>
      <c r="P54" s="162">
        <f ca="1"/>
        <v>1.2249230507697106E-3</v>
      </c>
      <c r="Q54" s="162">
        <f ca="1"/>
        <v>3.7514723292708663E-3</v>
      </c>
      <c r="R54" s="162">
        <f ca="1"/>
        <v>7.676607738264174E-3</v>
      </c>
      <c r="S54" s="162">
        <f ca="1"/>
        <v>0</v>
      </c>
      <c r="T54" s="162">
        <f ca="1"/>
        <v>1.8855099275371767E-2</v>
      </c>
      <c r="U54" s="162">
        <f ca="1"/>
        <v>2.9777339098227995E-2</v>
      </c>
      <c r="V54" s="138">
        <f ca="1"/>
        <v>5.1371060411665059E-2</v>
      </c>
      <c r="W54" s="137">
        <f ca="1"/>
        <v>0</v>
      </c>
      <c r="X54" s="162">
        <f ca="1"/>
        <v>5.9280901297664723E-4</v>
      </c>
      <c r="Y54" s="162">
        <f ca="1"/>
        <v>1.4278425560112495E-3</v>
      </c>
      <c r="Z54" s="162">
        <f ca="1"/>
        <v>4.1211570541360709E-3</v>
      </c>
      <c r="AA54" s="162">
        <f ca="1"/>
        <v>8.2117152750860178E-3</v>
      </c>
      <c r="AB54" s="162">
        <f ca="1"/>
        <v>0</v>
      </c>
      <c r="AC54" s="162">
        <f ca="1"/>
        <v>1.971473920858291E-2</v>
      </c>
      <c r="AD54" s="162">
        <f ca="1"/>
        <v>3.0954828794438782E-2</v>
      </c>
      <c r="AE54" s="138">
        <f ca="1"/>
        <v>5.3001533448453153E-2</v>
      </c>
      <c r="AG54" s="465" t="s">
        <v>552</v>
      </c>
      <c r="AH54" s="467">
        <v>1.2500000000000001E-2</v>
      </c>
      <c r="AI54" s="466">
        <v>2026</v>
      </c>
      <c r="AJ54" s="468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7.1132972843845899E-4</v>
      </c>
      <c r="P55" s="162">
        <f ca="1"/>
        <v>2.2493034556393399E-3</v>
      </c>
      <c r="Q55" s="162">
        <f ca="1"/>
        <v>6.7479208584916295E-3</v>
      </c>
      <c r="R55" s="162">
        <f ca="1"/>
        <v>1.3678509313902909E-2</v>
      </c>
      <c r="S55" s="162">
        <f ca="1"/>
        <v>0</v>
      </c>
      <c r="T55" s="162">
        <f ca="1"/>
        <v>3.0262749134691846E-2</v>
      </c>
      <c r="U55" s="162">
        <f ca="1"/>
        <v>5.1908977563179137E-2</v>
      </c>
      <c r="V55" s="138">
        <f ca="1"/>
        <v>8.7378879729437031E-2</v>
      </c>
      <c r="W55" s="137">
        <f ca="1"/>
        <v>0</v>
      </c>
      <c r="X55" s="162">
        <f ca="1"/>
        <v>8.2983405341885419E-4</v>
      </c>
      <c r="Y55" s="162">
        <f ca="1"/>
        <v>2.4520485599682784E-3</v>
      </c>
      <c r="Z55" s="162">
        <f ca="1"/>
        <v>7.1165966406228076E-3</v>
      </c>
      <c r="AA55" s="162">
        <f ca="1"/>
        <v>1.4210733093913741E-2</v>
      </c>
      <c r="AB55" s="162">
        <f ca="1"/>
        <v>0</v>
      </c>
      <c r="AC55" s="162">
        <f ca="1"/>
        <v>3.1112116790893096E-2</v>
      </c>
      <c r="AD55" s="162">
        <f ca="1"/>
        <v>5.30607177046023E-2</v>
      </c>
      <c r="AE55" s="138">
        <f ca="1"/>
        <v>8.8943845819674183E-2</v>
      </c>
      <c r="AG55" s="465" t="s">
        <v>553</v>
      </c>
      <c r="AH55" s="467">
        <v>1.2500000000000001E-2</v>
      </c>
      <c r="AI55" s="466">
        <v>2026</v>
      </c>
      <c r="AJ55" s="468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7.1132972843845899E-4</v>
      </c>
      <c r="P56" s="162">
        <f ca="1"/>
        <v>2.8677271810433336E-3</v>
      </c>
      <c r="Q56" s="162">
        <f ca="1"/>
        <v>7.864302959790459E-3</v>
      </c>
      <c r="R56" s="162">
        <f ca="1"/>
        <v>1.472440805604347E-2</v>
      </c>
      <c r="S56" s="162">
        <f ca="1"/>
        <v>0</v>
      </c>
      <c r="T56" s="162">
        <f ca="1"/>
        <v>3.1946414392838296E-2</v>
      </c>
      <c r="U56" s="162">
        <f ca="1"/>
        <v>5.4199847967633108E-2</v>
      </c>
      <c r="V56" s="138">
        <f ca="1"/>
        <v>9.0522946083656075E-2</v>
      </c>
      <c r="W56" s="137">
        <f ca="1"/>
        <v>0</v>
      </c>
      <c r="X56" s="162">
        <f ca="1"/>
        <v>8.2983405341885419E-4</v>
      </c>
      <c r="Y56" s="162">
        <f ca="1"/>
        <v>3.0703793806288182E-3</v>
      </c>
      <c r="Z56" s="162">
        <f ca="1"/>
        <v>8.232582661060972E-3</v>
      </c>
      <c r="AA56" s="162">
        <f ca="1"/>
        <v>1.5256000383088497E-2</v>
      </c>
      <c r="AB56" s="162">
        <f ca="1"/>
        <v>0</v>
      </c>
      <c r="AC56" s="162">
        <f ca="1"/>
        <v>3.2794039294183341E-2</v>
      </c>
      <c r="AD56" s="162">
        <f ca="1"/>
        <v>5.5348485970261652E-2</v>
      </c>
      <c r="AE56" s="138">
        <f ca="1"/>
        <v>9.2081428377610242E-2</v>
      </c>
      <c r="AG56" s="465" t="s">
        <v>554</v>
      </c>
      <c r="AH56" s="467">
        <v>6.8750000000000006E-2</v>
      </c>
      <c r="AI56" s="466">
        <v>2029</v>
      </c>
      <c r="AJ56" s="468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5.92809788134252E-4</v>
      </c>
      <c r="P57" s="162">
        <f ca="1"/>
        <v>1.6340840333609608E-3</v>
      </c>
      <c r="Q57" s="162">
        <f ca="1"/>
        <v>5.2540834106190593E-3</v>
      </c>
      <c r="R57" s="162">
        <f ca="1"/>
        <v>1.2090541490753837E-2</v>
      </c>
      <c r="S57" s="162">
        <f ca="1"/>
        <v>0</v>
      </c>
      <c r="T57" s="162">
        <f ca="1"/>
        <v>3.1414696970478495E-2</v>
      </c>
      <c r="U57" s="162">
        <f ca="1"/>
        <v>5.336854065302099E-2</v>
      </c>
      <c r="V57" s="138">
        <f ca="1"/>
        <v>9.3155099791940477E-2</v>
      </c>
      <c r="W57" s="137">
        <f ca="1"/>
        <v>0</v>
      </c>
      <c r="X57" s="162">
        <f ca="1"/>
        <v>7.1132857205080668E-4</v>
      </c>
      <c r="Y57" s="162">
        <f ca="1"/>
        <v>1.8369318085654784E-3</v>
      </c>
      <c r="Z57" s="162">
        <f ca="1"/>
        <v>5.6232768654579379E-3</v>
      </c>
      <c r="AA57" s="162">
        <f ca="1"/>
        <v>1.2623671162942718E-2</v>
      </c>
      <c r="AB57" s="162">
        <f ca="1"/>
        <v>0</v>
      </c>
      <c r="AC57" s="162">
        <f ca="1"/>
        <v>3.2263328130812341E-2</v>
      </c>
      <c r="AD57" s="162">
        <f ca="1"/>
        <v>5.4519544489014304E-2</v>
      </c>
      <c r="AE57" s="138">
        <f ca="1"/>
        <v>9.4708874004900134E-2</v>
      </c>
      <c r="AG57" s="465" t="s">
        <v>555</v>
      </c>
      <c r="AH57" s="467">
        <v>5.0000000000000001E-3</v>
      </c>
      <c r="AI57" s="466">
        <v>2026</v>
      </c>
      <c r="AJ57" s="468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1.4221554576263618E-3</v>
      </c>
      <c r="P58" s="162">
        <f ca="1"/>
        <v>3.4651839813418794E-3</v>
      </c>
      <c r="Q58" s="162">
        <f ca="1"/>
        <v>1.0473714624058994E-2</v>
      </c>
      <c r="R58" s="162">
        <f ca="1"/>
        <v>1.9034928801856754E-2</v>
      </c>
      <c r="S58" s="162">
        <f ca="1"/>
        <v>0</v>
      </c>
      <c r="T58" s="162">
        <f ca="1"/>
        <v>3.9711109467132855E-2</v>
      </c>
      <c r="U58" s="162">
        <f ca="1"/>
        <v>6.3349043378318814E-2</v>
      </c>
      <c r="V58" s="138">
        <f ca="1"/>
        <v>0.10685471888894027</v>
      </c>
      <c r="W58" s="137">
        <f ca="1"/>
        <v>0</v>
      </c>
      <c r="X58" s="162">
        <f ca="1"/>
        <v>1.5405714051989206E-3</v>
      </c>
      <c r="Y58" s="162">
        <f ca="1"/>
        <v>3.6676784452275291E-3</v>
      </c>
      <c r="Z58" s="162">
        <f ca="1"/>
        <v>1.0841049605207376E-2</v>
      </c>
      <c r="AA58" s="162">
        <f ca="1"/>
        <v>1.9564317504587092E-2</v>
      </c>
      <c r="AB58" s="162">
        <f ca="1"/>
        <v>0</v>
      </c>
      <c r="AC58" s="162">
        <f ca="1"/>
        <v>4.0551212081818999E-2</v>
      </c>
      <c r="AD58" s="162">
        <f ca="1"/>
        <v>6.4485842364492285E-2</v>
      </c>
      <c r="AE58" s="138">
        <f ca="1"/>
        <v>0.10840732212361037</v>
      </c>
      <c r="AG58" s="465" t="s">
        <v>556</v>
      </c>
      <c r="AH58" s="467">
        <v>2.375E-2</v>
      </c>
      <c r="AI58" s="466">
        <v>2025</v>
      </c>
      <c r="AJ58" s="468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9.4832761164653778E-4</v>
      </c>
      <c r="P59" s="162">
        <f ca="1"/>
        <v>2.6547617225544107E-3</v>
      </c>
      <c r="Q59" s="162">
        <f ca="1"/>
        <v>8.6230768756259124E-3</v>
      </c>
      <c r="R59" s="162">
        <f ca="1"/>
        <v>1.5810180447672018E-2</v>
      </c>
      <c r="S59" s="162">
        <f ca="1"/>
        <v>0</v>
      </c>
      <c r="T59" s="162">
        <f ca="1"/>
        <v>3.366898069800961E-2</v>
      </c>
      <c r="U59" s="162">
        <f ca="1"/>
        <v>5.5203096599286239E-2</v>
      </c>
      <c r="V59" s="138">
        <f ca="1"/>
        <v>9.5803749775270064E-2</v>
      </c>
      <c r="W59" s="137">
        <f ca="1"/>
        <v>0</v>
      </c>
      <c r="X59" s="162">
        <f ca="1"/>
        <v>1.0668027899637389E-3</v>
      </c>
      <c r="Y59" s="162">
        <f ca="1"/>
        <v>2.8574233608674726E-3</v>
      </c>
      <c r="Z59" s="162">
        <f ca="1"/>
        <v>8.9911147216452658E-3</v>
      </c>
      <c r="AA59" s="162">
        <f ca="1"/>
        <v>1.6341250779855598E-2</v>
      </c>
      <c r="AB59" s="162">
        <f ca="1"/>
        <v>0</v>
      </c>
      <c r="AC59" s="162">
        <f ca="1"/>
        <v>3.4514972381716413E-2</v>
      </c>
      <c r="AD59" s="162">
        <f ca="1"/>
        <v>5.635026136027621E-2</v>
      </c>
      <c r="AE59" s="138">
        <f ca="1"/>
        <v>9.7374728682339207E-2</v>
      </c>
      <c r="AG59" s="465" t="s">
        <v>557</v>
      </c>
      <c r="AH59" s="467"/>
      <c r="AI59" s="466"/>
      <c r="AJ59" s="468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7.1132972843845899E-4</v>
      </c>
      <c r="P60" s="162">
        <f ca="1"/>
        <v>1.8369339370009063E-3</v>
      </c>
      <c r="Q60" s="162">
        <f ca="1"/>
        <v>4.8636078920331061E-3</v>
      </c>
      <c r="R60" s="162">
        <f ca="1"/>
        <v>9.2847013962056302E-3</v>
      </c>
      <c r="S60" s="162">
        <f ca="1"/>
        <v>0</v>
      </c>
      <c r="T60" s="162">
        <f ca="1"/>
        <v>1.9580666655980905E-2</v>
      </c>
      <c r="U60" s="162">
        <f ca="1"/>
        <v>3.2161005135190268E-2</v>
      </c>
      <c r="V60" s="138">
        <f ca="1"/>
        <v>5.6647264623707061E-2</v>
      </c>
      <c r="W60" s="137">
        <f ca="1"/>
        <v>0</v>
      </c>
      <c r="X60" s="162">
        <f ca="1"/>
        <v>8.2983405341885419E-4</v>
      </c>
      <c r="Y60" s="162">
        <f ca="1"/>
        <v>2.0397401393977832E-3</v>
      </c>
      <c r="Z60" s="162">
        <f ca="1"/>
        <v>5.2328818449870473E-3</v>
      </c>
      <c r="AA60" s="162">
        <f ca="1"/>
        <v>9.8189387300112729E-3</v>
      </c>
      <c r="AB60" s="162">
        <f ca="1"/>
        <v>0</v>
      </c>
      <c r="AC60" s="162">
        <f ca="1"/>
        <v>2.0439300683681605E-2</v>
      </c>
      <c r="AD60" s="162">
        <f ca="1"/>
        <v>3.3335376215137824E-2</v>
      </c>
      <c r="AE60" s="138">
        <f ca="1"/>
        <v>5.8268259036360903E-2</v>
      </c>
      <c r="AG60" s="465" t="s">
        <v>558</v>
      </c>
      <c r="AH60" s="467">
        <v>8.7500000000000008E-3</v>
      </c>
      <c r="AI60" s="466">
        <v>2025</v>
      </c>
      <c r="AJ60" s="468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9.4832761164653778E-4</v>
      </c>
      <c r="P61" s="162">
        <f ca="1"/>
        <v>2.2425100823623145E-3</v>
      </c>
      <c r="Q61" s="162">
        <f ca="1"/>
        <v>5.9817828467552125E-3</v>
      </c>
      <c r="R61" s="162">
        <f ca="1"/>
        <v>9.7727817135122574E-3</v>
      </c>
      <c r="S61" s="162">
        <f ca="1"/>
        <v>0</v>
      </c>
      <c r="T61" s="162">
        <f ca="1"/>
        <v>2.1321747333015728E-2</v>
      </c>
      <c r="U61" s="162">
        <f ca="1"/>
        <v>3.4533723372232483E-2</v>
      </c>
      <c r="V61" s="138">
        <f ca="1"/>
        <v>6.1898249895899538E-2</v>
      </c>
      <c r="W61" s="137">
        <f ca="1"/>
        <v>0</v>
      </c>
      <c r="X61" s="162">
        <f ca="1"/>
        <v>1.0668027899637389E-3</v>
      </c>
      <c r="Y61" s="162">
        <f ca="1"/>
        <v>2.4452330837866354E-3</v>
      </c>
      <c r="Z61" s="162">
        <f ca="1"/>
        <v>6.3506630757779181E-3</v>
      </c>
      <c r="AA61" s="162">
        <f ca="1"/>
        <v>1.0306599878340594E-2</v>
      </c>
      <c r="AB61" s="162">
        <f ca="1"/>
        <v>0</v>
      </c>
      <c r="AC61" s="162">
        <f ca="1"/>
        <v>2.2178721632319265E-2</v>
      </c>
      <c r="AD61" s="162">
        <f ca="1"/>
        <v>3.5705181368721806E-2</v>
      </c>
      <c r="AE61" s="138">
        <f ca="1"/>
        <v>6.3509520393657204E-2</v>
      </c>
      <c r="AG61" s="465" t="s">
        <v>559</v>
      </c>
      <c r="AH61" s="467">
        <v>3.6249999999999998E-2</v>
      </c>
      <c r="AI61" s="466">
        <v>2028</v>
      </c>
      <c r="AJ61" s="468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5.92809788134252E-4</v>
      </c>
      <c r="P62" s="162">
        <f ca="1"/>
        <v>1.2215858978688043E-3</v>
      </c>
      <c r="Q62" s="162">
        <f ca="1"/>
        <v>4.5083702662991332E-3</v>
      </c>
      <c r="R62" s="162">
        <f ca="1"/>
        <v>9.3275153110302655E-3</v>
      </c>
      <c r="S62" s="162">
        <f ca="1"/>
        <v>0</v>
      </c>
      <c r="T62" s="162">
        <f ca="1"/>
        <v>2.4266698568059186E-2</v>
      </c>
      <c r="U62" s="162">
        <f ca="1"/>
        <v>4.109475984489841E-2</v>
      </c>
      <c r="V62" s="138">
        <f ca="1"/>
        <v>7.0693125220319453E-2</v>
      </c>
      <c r="W62" s="137">
        <f ca="1"/>
        <v>0</v>
      </c>
      <c r="X62" s="162">
        <f ca="1"/>
        <v>7.1132857205080668E-4</v>
      </c>
      <c r="Y62" s="162">
        <f ca="1"/>
        <v>1.4244939898572229E-3</v>
      </c>
      <c r="Z62" s="162">
        <f ca="1"/>
        <v>4.8778245277686372E-3</v>
      </c>
      <c r="AA62" s="162">
        <f ca="1"/>
        <v>9.8618780976647002E-3</v>
      </c>
      <c r="AB62" s="162">
        <f ca="1"/>
        <v>0</v>
      </c>
      <c r="AC62" s="162">
        <f ca="1"/>
        <v>2.5121754573342647E-2</v>
      </c>
      <c r="AD62" s="162">
        <f ca="1"/>
        <v>4.2260015514314797E-2</v>
      </c>
      <c r="AE62" s="138">
        <f ca="1"/>
        <v>7.2290059971212406E-2</v>
      </c>
      <c r="AG62" s="465" t="s">
        <v>560</v>
      </c>
      <c r="AH62" s="467">
        <v>1.125E-2</v>
      </c>
      <c r="AI62" s="466">
        <v>2025</v>
      </c>
      <c r="AJ62" s="468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1.1852695147550607E-3</v>
      </c>
      <c r="P63" s="162">
        <f ca="1"/>
        <v>2.4418284031003656E-3</v>
      </c>
      <c r="Q63" s="162">
        <f ca="1"/>
        <v>5.5880401050808493E-3</v>
      </c>
      <c r="R63" s="162">
        <f ca="1"/>
        <v>1.2025603012541408E-2</v>
      </c>
      <c r="S63" s="162">
        <f ca="1"/>
        <v>0</v>
      </c>
      <c r="T63" s="162">
        <f ca="1"/>
        <v>2.6722325051919293E-2</v>
      </c>
      <c r="U63" s="162">
        <f ca="1"/>
        <v>4.4479583597265782E-2</v>
      </c>
      <c r="V63" s="138">
        <f ca="1"/>
        <v>8.1266813621155842E-2</v>
      </c>
      <c r="W63" s="137">
        <f ca="1"/>
        <v>0</v>
      </c>
      <c r="X63" s="162">
        <f ca="1"/>
        <v>1.3037152360358961E-3</v>
      </c>
      <c r="Y63" s="162">
        <f ca="1"/>
        <v>2.6444986913510826E-3</v>
      </c>
      <c r="Z63" s="162">
        <f ca="1"/>
        <v>5.9569903822811465E-3</v>
      </c>
      <c r="AA63" s="162">
        <f ca="1"/>
        <v>1.255854909109333E-2</v>
      </c>
      <c r="AB63" s="162">
        <f ca="1"/>
        <v>0</v>
      </c>
      <c r="AC63" s="162">
        <f ca="1"/>
        <v>2.757485072494692E-2</v>
      </c>
      <c r="AD63" s="162">
        <f ca="1"/>
        <v>4.564000799376311E-2</v>
      </c>
      <c r="AE63" s="138">
        <f ca="1"/>
        <v>8.284197169742713E-2</v>
      </c>
      <c r="AG63" s="465" t="s">
        <v>561</v>
      </c>
      <c r="AH63" s="467">
        <v>5.1249999999999997E-2</v>
      </c>
      <c r="AI63" s="466">
        <v>2027</v>
      </c>
      <c r="AJ63" s="468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3.5572789762250423E-4</v>
      </c>
      <c r="P64" s="162">
        <f ca="1"/>
        <v>1.0219611809689777E-3</v>
      </c>
      <c r="Q64" s="162">
        <f ca="1"/>
        <v>3.7619092724474612E-3</v>
      </c>
      <c r="R64" s="162">
        <f ca="1"/>
        <v>8.2505755641008038E-3</v>
      </c>
      <c r="S64" s="162">
        <f ca="1"/>
        <v>0</v>
      </c>
      <c r="T64" s="162">
        <f ca="1"/>
        <v>2.0684925326025505E-2</v>
      </c>
      <c r="U64" s="162">
        <f ca="1"/>
        <v>3.6262024045093488E-2</v>
      </c>
      <c r="V64" s="138">
        <f ca="1"/>
        <v>6.0134024671485098E-2</v>
      </c>
      <c r="W64" s="137">
        <f ca="1"/>
        <v>0</v>
      </c>
      <c r="X64" s="162">
        <f ca="1"/>
        <v>4.7427537457878088E-4</v>
      </c>
      <c r="Y64" s="162">
        <f ca="1"/>
        <v>1.2249221600106885E-3</v>
      </c>
      <c r="Z64" s="162">
        <f ca="1"/>
        <v>4.1316256285031105E-3</v>
      </c>
      <c r="AA64" s="162">
        <f ca="1"/>
        <v>8.7855034063959447E-3</v>
      </c>
      <c r="AB64" s="162">
        <f ca="1"/>
        <v>0</v>
      </c>
      <c r="AC64" s="162">
        <f ca="1"/>
        <v>2.1543132853244051E-2</v>
      </c>
      <c r="AD64" s="162">
        <f ca="1"/>
        <v>3.7432913937551215E-2</v>
      </c>
      <c r="AE64" s="138">
        <f ca="1"/>
        <v>6.1750315745877415E-2</v>
      </c>
      <c r="AG64" s="465" t="s">
        <v>562</v>
      </c>
      <c r="AH64" s="467">
        <v>0.15</v>
      </c>
      <c r="AI64" s="466">
        <v>2037</v>
      </c>
      <c r="AJ64" s="468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3.5572789762250423E-4</v>
      </c>
      <c r="P65" s="162">
        <f ca="1"/>
        <v>1.0219611809689777E-3</v>
      </c>
      <c r="Q65" s="162">
        <f ca="1"/>
        <v>3.7619092724474612E-3</v>
      </c>
      <c r="R65" s="162">
        <f ca="1"/>
        <v>7.1236803555970729E-3</v>
      </c>
      <c r="S65" s="162">
        <f ca="1"/>
        <v>0</v>
      </c>
      <c r="T65" s="162">
        <f ca="1"/>
        <v>1.7975851086180161E-2</v>
      </c>
      <c r="U65" s="162">
        <f ca="1"/>
        <v>2.9922513784913618E-2</v>
      </c>
      <c r="V65" s="138">
        <f ca="1"/>
        <v>5.1516703165295219E-2</v>
      </c>
      <c r="W65" s="137">
        <f ca="1"/>
        <v>0</v>
      </c>
      <c r="X65" s="162">
        <f ca="1"/>
        <v>4.7427537457878088E-4</v>
      </c>
      <c r="Y65" s="162">
        <f ca="1"/>
        <v>1.2249221600106885E-3</v>
      </c>
      <c r="Z65" s="162">
        <f ca="1"/>
        <v>4.1316256285031105E-3</v>
      </c>
      <c r="AA65" s="162">
        <f ca="1"/>
        <v>7.6590330674579654E-3</v>
      </c>
      <c r="AB65" s="162">
        <f ca="1"/>
        <v>0</v>
      </c>
      <c r="AC65" s="162">
        <f ca="1"/>
        <v>1.8836252302196321E-2</v>
      </c>
      <c r="AD65" s="162">
        <f ca="1"/>
        <v>3.1100190037468112E-2</v>
      </c>
      <c r="AE65" s="138">
        <f ca="1"/>
        <v>5.3147500904046407E-2</v>
      </c>
      <c r="AG65" s="465" t="s">
        <v>563</v>
      </c>
      <c r="AH65" s="467">
        <v>1.4999999999999999E-2</v>
      </c>
      <c r="AI65" s="466">
        <v>2026</v>
      </c>
      <c r="AJ65" s="468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2.3716594248646139E-4</v>
      </c>
      <c r="P66" s="162">
        <f ca="1"/>
        <v>1.0252868952381755E-3</v>
      </c>
      <c r="Q66" s="162">
        <f ca="1"/>
        <v>4.1455248820733148E-3</v>
      </c>
      <c r="R66" s="162">
        <f ca="1"/>
        <v>7.6730659753432295E-3</v>
      </c>
      <c r="S66" s="162">
        <f ca="1"/>
        <v>0</v>
      </c>
      <c r="T66" s="162">
        <f ca="1"/>
        <v>1.8851486964876485E-2</v>
      </c>
      <c r="U66" s="162">
        <f ca="1"/>
        <v>3.111569141191628E-2</v>
      </c>
      <c r="V66" s="138">
        <f ca="1"/>
        <v>5.316818063681239E-2</v>
      </c>
      <c r="W66" s="137">
        <f ca="1"/>
        <v>0</v>
      </c>
      <c r="X66" s="162">
        <f ca="1"/>
        <v>3.5572765515312632E-4</v>
      </c>
      <c r="Y66" s="162">
        <f ca="1"/>
        <v>1.2282592804744308E-3</v>
      </c>
      <c r="Z66" s="162">
        <f ca="1"/>
        <v>4.5151426095203506E-3</v>
      </c>
      <c r="AA66" s="162">
        <f ca="1"/>
        <v>8.2081703890127811E-3</v>
      </c>
      <c r="AB66" s="162">
        <f ca="1"/>
        <v>0</v>
      </c>
      <c r="AC66" s="162">
        <f ca="1"/>
        <v>1.9711113375757594E-2</v>
      </c>
      <c r="AD66" s="162">
        <f ca="1"/>
        <v>3.229191031515033E-2</v>
      </c>
      <c r="AE66" s="138">
        <f ca="1"/>
        <v>5.4795909953634481E-2</v>
      </c>
      <c r="AG66" s="465" t="s">
        <v>564</v>
      </c>
      <c r="AH66" s="467"/>
      <c r="AI66" s="466"/>
      <c r="AJ66" s="468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1.0194160595772273E-3</v>
      </c>
      <c r="P67" s="162">
        <f ca="1"/>
        <v>2.6527094901456216E-3</v>
      </c>
      <c r="Q67" s="162">
        <f ca="1"/>
        <v>7.407329367878468E-3</v>
      </c>
      <c r="R67" s="162">
        <f ca="1"/>
        <v>1.3116308471778138E-2</v>
      </c>
      <c r="S67" s="162">
        <f ca="1"/>
        <v>0</v>
      </c>
      <c r="T67" s="162">
        <f ca="1"/>
        <v>2.7469406988619771E-2</v>
      </c>
      <c r="U67" s="162">
        <f ca="1"/>
        <v>4.3404024046541423E-2</v>
      </c>
      <c r="V67" s="138">
        <f ca="1"/>
        <v>6.9356695568638438E-2</v>
      </c>
      <c r="W67" s="137">
        <f ca="1"/>
        <v>0</v>
      </c>
      <c r="X67" s="162">
        <f ca="1"/>
        <v>1.1378824336747417E-3</v>
      </c>
      <c r="Y67" s="162">
        <f ca="1"/>
        <v>2.8553645767950275E-3</v>
      </c>
      <c r="Z67" s="162">
        <f ca="1"/>
        <v>7.7757356103500541E-3</v>
      </c>
      <c r="AA67" s="162">
        <f ca="1"/>
        <v>1.36485901494523E-2</v>
      </c>
      <c r="AB67" s="162">
        <f ca="1"/>
        <v>0</v>
      </c>
      <c r="AC67" s="162">
        <f ca="1"/>
        <v>2.8320951253942295E-2</v>
      </c>
      <c r="AD67" s="162">
        <f ca="1"/>
        <v>4.4564882839458586E-2</v>
      </c>
      <c r="AE67" s="138">
        <f ca="1"/>
        <v>7.0953764021561727E-2</v>
      </c>
      <c r="AG67" s="465" t="s">
        <v>565</v>
      </c>
      <c r="AH67" s="467">
        <v>5.7099999999999998E-3</v>
      </c>
      <c r="AI67" s="466">
        <v>2027</v>
      </c>
      <c r="AJ67" s="468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1.1852695147550607E-3</v>
      </c>
      <c r="P68" s="162">
        <f ca="1"/>
        <v>3.6781254598470259E-3</v>
      </c>
      <c r="Q68" s="162">
        <f ca="1"/>
        <v>9.3370042845318801E-3</v>
      </c>
      <c r="R68" s="162">
        <f ca="1"/>
        <v>2.0211064316868366E-2</v>
      </c>
      <c r="S68" s="162">
        <f ca="1"/>
        <v>0</v>
      </c>
      <c r="T68" s="162">
        <f ca="1"/>
        <v>4.8850077388554847E-2</v>
      </c>
      <c r="U68" s="162">
        <f ca="1"/>
        <v>8.4602312771116961E-2</v>
      </c>
      <c r="V68" s="138">
        <f ca="1"/>
        <v>0.14244537044525762</v>
      </c>
      <c r="W68" s="137">
        <f ca="1"/>
        <v>0</v>
      </c>
      <c r="X68" s="162">
        <f ca="1"/>
        <v>1.3037152360358961E-3</v>
      </c>
      <c r="Y68" s="162">
        <f ca="1"/>
        <v>3.8806098142117884E-3</v>
      </c>
      <c r="Z68" s="162">
        <f ca="1"/>
        <v>9.7047086939908711E-3</v>
      </c>
      <c r="AA68" s="162">
        <f ca="1"/>
        <v>2.0740047429639752E-2</v>
      </c>
      <c r="AB68" s="162">
        <f ca="1"/>
        <v>0</v>
      </c>
      <c r="AC68" s="162">
        <f ca="1"/>
        <v>4.9681032716946683E-2</v>
      </c>
      <c r="AD68" s="162">
        <f ca="1"/>
        <v>8.5713060380832373E-2</v>
      </c>
      <c r="AE68" s="138">
        <f ca="1"/>
        <v>0.14395002289661885</v>
      </c>
      <c r="AG68" s="465" t="s">
        <v>566</v>
      </c>
      <c r="AH68" s="467">
        <v>0.01</v>
      </c>
      <c r="AI68" s="466">
        <v>2026</v>
      </c>
      <c r="AJ68" s="468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2.0141256188292989E-3</v>
      </c>
      <c r="P69" s="162">
        <f ca="1"/>
        <v>4.2714335767509715E-3</v>
      </c>
      <c r="Q69" s="162">
        <f ca="1"/>
        <v>1.0804266976129351E-2</v>
      </c>
      <c r="R69" s="162">
        <f ca="1"/>
        <v>2.4000893962145109E-2</v>
      </c>
      <c r="S69" s="162">
        <f ca="1"/>
        <v>0</v>
      </c>
      <c r="T69" s="162">
        <f ca="1"/>
        <v>5.297245001623474E-2</v>
      </c>
      <c r="U69" s="162">
        <f ca="1"/>
        <v>9.1442256515659737E-2</v>
      </c>
      <c r="V69" s="138">
        <f ca="1"/>
        <v>0.15716784473288115</v>
      </c>
      <c r="W69" s="137">
        <f ca="1"/>
        <v>0</v>
      </c>
      <c r="X69" s="162">
        <f ca="1"/>
        <v>2.1324657047254725E-3</v>
      </c>
      <c r="Y69" s="162">
        <f ca="1"/>
        <v>4.473749994145515E-3</v>
      </c>
      <c r="Z69" s="162">
        <f ca="1"/>
        <v>1.1171373259229567E-2</v>
      </c>
      <c r="AA69" s="162">
        <f ca="1"/>
        <v>2.4527900577415052E-2</v>
      </c>
      <c r="AB69" s="162">
        <f ca="1"/>
        <v>0</v>
      </c>
      <c r="AC69" s="162">
        <f ca="1"/>
        <v>5.3799275870961449E-2</v>
      </c>
      <c r="AD69" s="162">
        <f ca="1"/>
        <v>9.2542814734613232E-2</v>
      </c>
      <c r="AE69" s="138">
        <f ca="1"/>
        <v>0.15865177729440172</v>
      </c>
      <c r="AG69" s="465" t="s">
        <v>567</v>
      </c>
      <c r="AH69" s="467">
        <v>3.3750000000000002E-2</v>
      </c>
      <c r="AI69" s="466">
        <v>2026</v>
      </c>
      <c r="AJ69" s="468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4.7427584534542877E-4</v>
      </c>
      <c r="P70" s="162">
        <f ca="1"/>
        <v>1.843680337743514E-3</v>
      </c>
      <c r="Q70" s="162">
        <f ca="1"/>
        <v>5.6302078816977685E-3</v>
      </c>
      <c r="R70" s="162">
        <f ca="1"/>
        <v>1.2068689372193742E-2</v>
      </c>
      <c r="S70" s="162">
        <f ca="1"/>
        <v>0</v>
      </c>
      <c r="T70" s="162">
        <f ca="1"/>
        <v>3.1392046906836057E-2</v>
      </c>
      <c r="U70" s="162">
        <f ca="1"/>
        <v>5.6000839835882998E-2</v>
      </c>
      <c r="V70" s="138">
        <f ca="1"/>
        <v>9.8543636714240823E-2</v>
      </c>
      <c r="W70" s="137">
        <f ca="1"/>
        <v>0</v>
      </c>
      <c r="X70" s="162">
        <f ca="1"/>
        <v>5.9280901297664723E-4</v>
      </c>
      <c r="Y70" s="162">
        <f ca="1"/>
        <v>2.0465088302080714E-3</v>
      </c>
      <c r="Z70" s="162">
        <f ca="1"/>
        <v>5.9992817375034146E-3</v>
      </c>
      <c r="AA70" s="162">
        <f ca="1"/>
        <v>1.2601768201923491E-2</v>
      </c>
      <c r="AB70" s="162">
        <f ca="1"/>
        <v>0</v>
      </c>
      <c r="AC70" s="162">
        <f ca="1"/>
        <v>3.2240614428191705E-2</v>
      </c>
      <c r="AD70" s="162">
        <f ca="1"/>
        <v>5.7148669278024644E-2</v>
      </c>
      <c r="AE70" s="138">
        <f ca="1"/>
        <v>0.10011425380818584</v>
      </c>
      <c r="AG70" s="465" t="s">
        <v>568</v>
      </c>
      <c r="AH70" s="467">
        <v>2.5000000000000001E-2</v>
      </c>
      <c r="AI70" s="466">
        <v>2026</v>
      </c>
      <c r="AJ70" s="468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1.3629392170944055E-3</v>
      </c>
      <c r="P71" s="162">
        <f ca="1"/>
        <v>2.9312676701293006E-3</v>
      </c>
      <c r="Q71" s="162">
        <f ca="1"/>
        <v>7.5007644827222997E-3</v>
      </c>
      <c r="R71" s="162">
        <f ca="1"/>
        <v>1.2809522114108796E-2</v>
      </c>
      <c r="S71" s="162">
        <f ca="1"/>
        <v>0</v>
      </c>
      <c r="T71" s="162">
        <f ca="1"/>
        <v>2.6538851550956144E-2</v>
      </c>
      <c r="U71" s="162">
        <f ca="1"/>
        <v>4.2029586362826277E-2</v>
      </c>
      <c r="V71" s="138">
        <f ca="1"/>
        <v>6.7689348985986442E-2</v>
      </c>
      <c r="W71" s="137">
        <f ca="1"/>
        <v>0</v>
      </c>
      <c r="X71" s="162">
        <f ca="1"/>
        <v>1.4813626381441347E-3</v>
      </c>
      <c r="Y71" s="162">
        <f ca="1"/>
        <v>3.1338479604068326E-3</v>
      </c>
      <c r="Z71" s="162">
        <f ca="1"/>
        <v>7.8690805302298328E-3</v>
      </c>
      <c r="AA71" s="162">
        <f ca="1"/>
        <v>1.3341838251981319E-2</v>
      </c>
      <c r="AB71" s="162">
        <f ca="1"/>
        <v>0</v>
      </c>
      <c r="AC71" s="162">
        <f ca="1"/>
        <v>2.7391079985811473E-2</v>
      </c>
      <c r="AD71" s="162">
        <f ca="1"/>
        <v>4.3191886376902522E-2</v>
      </c>
      <c r="AE71" s="138">
        <f ca="1"/>
        <v>6.9289300291607181E-2</v>
      </c>
      <c r="AG71" s="465" t="s">
        <v>569</v>
      </c>
      <c r="AH71" s="467">
        <v>1.7500000000000002E-2</v>
      </c>
      <c r="AI71" s="466">
        <v>2026</v>
      </c>
      <c r="AJ71" s="468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8.2983566879302195E-4</v>
      </c>
      <c r="P72" s="162">
        <f ca="1"/>
        <v>2.452053191280279E-3</v>
      </c>
      <c r="Q72" s="162">
        <f ca="1"/>
        <v>9.0131644278712564E-3</v>
      </c>
      <c r="R72" s="162">
        <f ca="1"/>
        <v>1.7485185776301204E-2</v>
      </c>
      <c r="S72" s="162">
        <f ca="1"/>
        <v>0</v>
      </c>
      <c r="T72" s="162">
        <f ca="1"/>
        <v>4.1814322165954154E-2</v>
      </c>
      <c r="U72" s="162">
        <f ca="1"/>
        <v>6.868290591524151E-2</v>
      </c>
      <c r="V72" s="138">
        <f ca="1"/>
        <v>0.12338517997961229</v>
      </c>
      <c r="W72" s="137">
        <f ca="1"/>
        <v>0</v>
      </c>
      <c r="X72" s="162">
        <f ca="1"/>
        <v>9.4832545884104835E-4</v>
      </c>
      <c r="Y72" s="162">
        <f ca="1"/>
        <v>2.6547565723062938E-3</v>
      </c>
      <c r="Z72" s="162">
        <f ca="1"/>
        <v>9.3811073203460271E-3</v>
      </c>
      <c r="AA72" s="162">
        <f ca="1"/>
        <v>1.8015565373281861E-2</v>
      </c>
      <c r="AB72" s="162">
        <f ca="1"/>
        <v>0</v>
      </c>
      <c r="AC72" s="162">
        <f ca="1"/>
        <v>4.2652583556921253E-2</v>
      </c>
      <c r="AD72" s="162">
        <f ca="1"/>
        <v>6.9814452014697492E-2</v>
      </c>
      <c r="AE72" s="138">
        <f ca="1"/>
        <v>0.12491885095970967</v>
      </c>
      <c r="AG72" s="465" t="s">
        <v>570</v>
      </c>
      <c r="AH72" s="467">
        <v>2.972E-2</v>
      </c>
      <c r="AI72" s="466">
        <v>2026</v>
      </c>
      <c r="AJ72" s="468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4.7427584534542877E-4</v>
      </c>
      <c r="P73" s="162">
        <f ca="1"/>
        <v>1.2249230507697106E-3</v>
      </c>
      <c r="Q73" s="162">
        <f ca="1"/>
        <v>4.1316556763268952E-3</v>
      </c>
      <c r="R73" s="162">
        <f ca="1"/>
        <v>7.6590768215092364E-3</v>
      </c>
      <c r="S73" s="162">
        <f ca="1"/>
        <v>0</v>
      </c>
      <c r="T73" s="162">
        <f ca="1"/>
        <v>2.1626165709569878E-2</v>
      </c>
      <c r="U73" s="162">
        <f ca="1"/>
        <v>4.019368627930664E-2</v>
      </c>
      <c r="V73" s="138">
        <f ca="1"/>
        <v>7.3282216881875639E-2</v>
      </c>
      <c r="W73" s="137">
        <f ca="1"/>
        <v>0</v>
      </c>
      <c r="X73" s="162">
        <f ca="1"/>
        <v>5.9280901297664723E-4</v>
      </c>
      <c r="Y73" s="162">
        <f ca="1"/>
        <v>1.4278425560112495E-3</v>
      </c>
      <c r="Z73" s="162">
        <f ca="1"/>
        <v>4.5012312816126165E-3</v>
      </c>
      <c r="AA73" s="162">
        <f ca="1"/>
        <v>8.1941367183677727E-3</v>
      </c>
      <c r="AB73" s="162">
        <f ca="1"/>
        <v>0</v>
      </c>
      <c r="AC73" s="162">
        <f ca="1"/>
        <v>2.2483535623289974E-2</v>
      </c>
      <c r="AD73" s="162">
        <f ca="1"/>
        <v>4.1360511138388567E-2</v>
      </c>
      <c r="AE73" s="138">
        <f ca="1"/>
        <v>7.487526347594553E-2</v>
      </c>
      <c r="AG73" s="465" t="s">
        <v>571</v>
      </c>
      <c r="AH73" s="467">
        <v>4.3749999999999997E-2</v>
      </c>
      <c r="AI73" s="466">
        <v>2029</v>
      </c>
      <c r="AJ73" s="468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7.1132972843845899E-4</v>
      </c>
      <c r="P74" s="162">
        <f ca="1"/>
        <v>2.2493034556393399E-3</v>
      </c>
      <c r="Q74" s="162">
        <f ca="1"/>
        <v>7.5069066511613824E-3</v>
      </c>
      <c r="R74" s="162">
        <f ca="1"/>
        <v>1.4203646106449308E-2</v>
      </c>
      <c r="S74" s="162">
        <f ca="1"/>
        <v>0</v>
      </c>
      <c r="T74" s="162">
        <f ca="1"/>
        <v>3.0183427630892767E-2</v>
      </c>
      <c r="U74" s="162">
        <f ca="1"/>
        <v>5.0500525700114984E-2</v>
      </c>
      <c r="V74" s="138">
        <f ca="1"/>
        <v>8.5541116152769603E-2</v>
      </c>
      <c r="W74" s="137">
        <f ca="1"/>
        <v>0</v>
      </c>
      <c r="X74" s="162">
        <f ca="1"/>
        <v>8.2983405341885419E-4</v>
      </c>
      <c r="Y74" s="162">
        <f ca="1"/>
        <v>2.4520485599682784E-3</v>
      </c>
      <c r="Z74" s="162">
        <f ca="1"/>
        <v>7.8753511143628829E-3</v>
      </c>
      <c r="AA74" s="162">
        <f ca="1"/>
        <v>1.473557080605814E-2</v>
      </c>
      <c r="AB74" s="162">
        <f ca="1"/>
        <v>0</v>
      </c>
      <c r="AC74" s="162">
        <f ca="1"/>
        <v>3.1032735266270262E-2</v>
      </c>
      <c r="AD74" s="162">
        <f ca="1"/>
        <v>5.1653554001875546E-2</v>
      </c>
      <c r="AE74" s="138">
        <f ca="1"/>
        <v>8.7108782217886094E-2</v>
      </c>
      <c r="AG74" s="465" t="s">
        <v>572</v>
      </c>
      <c r="AH74" s="467">
        <v>5.6250000000000001E-2</v>
      </c>
      <c r="AI74" s="466">
        <v>2033</v>
      </c>
      <c r="AJ74" s="468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2.3716594248646139E-4</v>
      </c>
      <c r="P75" s="162">
        <f ca="1"/>
        <v>6.1261179026850243E-4</v>
      </c>
      <c r="Q75" s="162">
        <f ca="1"/>
        <v>2.2576321829886892E-3</v>
      </c>
      <c r="R75" s="162">
        <f ca="1"/>
        <v>4.9550517395595683E-3</v>
      </c>
      <c r="S75" s="162">
        <f ca="1"/>
        <v>0</v>
      </c>
      <c r="T75" s="162">
        <f ca="1"/>
        <v>1.1698503724633325E-2</v>
      </c>
      <c r="U75" s="162">
        <f ca="1"/>
        <v>2.2750623426128658E-2</v>
      </c>
      <c r="V75" s="138">
        <f ca="1"/>
        <v>4.5552371718888485E-2</v>
      </c>
      <c r="W75" s="137">
        <f ca="1"/>
        <v>0</v>
      </c>
      <c r="X75" s="162">
        <f ca="1"/>
        <v>3.5572765515312632E-4</v>
      </c>
      <c r="Y75" s="162">
        <f ca="1"/>
        <v>8.1564411850376661E-4</v>
      </c>
      <c r="Z75" s="162">
        <f ca="1"/>
        <v>2.6278326914672689E-3</v>
      </c>
      <c r="AA75" s="162">
        <f ca="1"/>
        <v>5.4914963634664637E-3</v>
      </c>
      <c r="AB75" s="162">
        <f ca="1"/>
        <v>0</v>
      </c>
      <c r="AC75" s="162">
        <f ca="1"/>
        <v>1.2564087199849139E-2</v>
      </c>
      <c r="AD75" s="162">
        <f ca="1"/>
        <v>2.3936880080059897E-2</v>
      </c>
      <c r="AE75" s="138">
        <f ca="1"/>
        <v>4.719517012068053E-2</v>
      </c>
      <c r="AG75" s="465" t="s">
        <v>573</v>
      </c>
      <c r="AH75" s="467">
        <v>1.4999999999999999E-2</v>
      </c>
      <c r="AI75" s="466">
        <v>2028</v>
      </c>
      <c r="AJ75" s="468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1.0904994698354153E-3</v>
      </c>
      <c r="P76" s="162">
        <f ca="1"/>
        <v>2.8361348800347574E-3</v>
      </c>
      <c r="Q76" s="162">
        <f ca="1"/>
        <v>7.7779607345670465E-3</v>
      </c>
      <c r="R76" s="162">
        <f ca="1"/>
        <v>1.3538590047253218E-2</v>
      </c>
      <c r="S76" s="162">
        <f ca="1"/>
        <v>0</v>
      </c>
      <c r="T76" s="162">
        <f ca="1"/>
        <v>2.6483900634211799E-2</v>
      </c>
      <c r="U76" s="162">
        <f ca="1"/>
        <v>4.0908435899703277E-2</v>
      </c>
      <c r="V76" s="138">
        <f ca="1"/>
        <v>6.3855769965468157E-2</v>
      </c>
      <c r="W76" s="137">
        <f ca="1"/>
        <v>0</v>
      </c>
      <c r="X76" s="162">
        <f ca="1"/>
        <v>1.208957011611167E-3</v>
      </c>
      <c r="Y76" s="162">
        <f ca="1"/>
        <v>3.0387556719946307E-3</v>
      </c>
      <c r="Z76" s="162">
        <f ca="1"/>
        <v>8.1462298595385008E-3</v>
      </c>
      <c r="AA76" s="162">
        <f ca="1"/>
        <v>1.4070627824873783E-2</v>
      </c>
      <c r="AB76" s="162">
        <f ca="1"/>
        <v>0</v>
      </c>
      <c r="AC76" s="162">
        <f ca="1"/>
        <v>2.7336139180989427E-2</v>
      </c>
      <c r="AD76" s="162">
        <f ca="1"/>
        <v>4.2071650725533982E-2</v>
      </c>
      <c r="AE76" s="138">
        <f ca="1"/>
        <v>6.5461873596708187E-2</v>
      </c>
      <c r="AG76" s="465" t="s">
        <v>574</v>
      </c>
      <c r="AH76" s="467">
        <v>1.2500000000000001E-2</v>
      </c>
      <c r="AI76" s="466">
        <v>2026</v>
      </c>
      <c r="AJ76" s="468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2.8422970592185681E-3</v>
      </c>
      <c r="P77" s="162">
        <f ca="1"/>
        <v>6.5093366472983583E-3</v>
      </c>
      <c r="Q77" s="162">
        <f ca="1"/>
        <v>1.8245980049369726E-2</v>
      </c>
      <c r="R77" s="162">
        <f ca="1"/>
        <v>3.6294072634359464E-2</v>
      </c>
      <c r="S77" s="162">
        <f ca="1"/>
        <v>0</v>
      </c>
      <c r="T77" s="162">
        <f ca="1"/>
        <v>9.0148696775528503E-2</v>
      </c>
      <c r="U77" s="162">
        <f ca="1"/>
        <v>0.14644044502607378</v>
      </c>
      <c r="V77" s="138">
        <f ca="1"/>
        <v>0.2319447112675086</v>
      </c>
      <c r="W77" s="137">
        <f ca="1"/>
        <v>0</v>
      </c>
      <c r="X77" s="162">
        <f ca="1"/>
        <v>2.9605273579553781E-3</v>
      </c>
      <c r="Y77" s="162">
        <f ca="1"/>
        <v>6.7112306676747613E-3</v>
      </c>
      <c r="Z77" s="162">
        <f ca="1"/>
        <v>1.8610313515876165E-2</v>
      </c>
      <c r="AA77" s="162">
        <f ca="1"/>
        <v>3.6814437512006526E-2</v>
      </c>
      <c r="AB77" s="162">
        <f ca="1"/>
        <v>0</v>
      </c>
      <c r="AC77" s="162">
        <f ca="1"/>
        <v>9.0956523737625861E-2</v>
      </c>
      <c r="AD77" s="162">
        <f ca="1"/>
        <v>0.14749698958054513</v>
      </c>
      <c r="AE77" s="138">
        <f ca="1"/>
        <v>0.23330652669522922</v>
      </c>
      <c r="AG77" s="465" t="s">
        <v>575</v>
      </c>
      <c r="AH77" s="467">
        <v>1.6250000000000001E-2</v>
      </c>
      <c r="AI77" s="466">
        <v>2026</v>
      </c>
      <c r="AJ77" s="468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7.1132972843845899E-4</v>
      </c>
      <c r="P78" s="162">
        <f ca="1"/>
        <v>2.2493034556393399E-3</v>
      </c>
      <c r="Q78" s="162">
        <f ca="1"/>
        <v>7.8863047772979034E-3</v>
      </c>
      <c r="R78" s="162">
        <f ca="1"/>
        <v>1.5308064751869188E-2</v>
      </c>
      <c r="S78" s="162">
        <f ca="1"/>
        <v>0</v>
      </c>
      <c r="T78" s="162">
        <f ca="1"/>
        <v>3.5615716619276205E-2</v>
      </c>
      <c r="U78" s="162">
        <f ca="1"/>
        <v>5.9078981086364668E-2</v>
      </c>
      <c r="V78" s="138">
        <f ca="1"/>
        <v>0.10672127409596954</v>
      </c>
      <c r="W78" s="137">
        <f ca="1"/>
        <v>0</v>
      </c>
      <c r="X78" s="162">
        <f ca="1"/>
        <v>8.2983405341885419E-4</v>
      </c>
      <c r="Y78" s="162">
        <f ca="1"/>
        <v>2.4520485599682784E-3</v>
      </c>
      <c r="Z78" s="162">
        <f ca="1"/>
        <v>8.2546317884926168E-3</v>
      </c>
      <c r="AA78" s="162">
        <f ca="1"/>
        <v>1.5839500101863635E-2</v>
      </c>
      <c r="AB78" s="162">
        <f ca="1"/>
        <v>0</v>
      </c>
      <c r="AC78" s="162">
        <f ca="1"/>
        <v>3.6460087886153736E-2</v>
      </c>
      <c r="AD78" s="162">
        <f ca="1"/>
        <v>6.022219630528014E-2</v>
      </c>
      <c r="AE78" s="138">
        <f ca="1"/>
        <v>0.10827907411065008</v>
      </c>
      <c r="AG78" s="465" t="s">
        <v>576</v>
      </c>
      <c r="AH78" s="467">
        <v>1.125E-2</v>
      </c>
      <c r="AI78" s="466">
        <v>2026</v>
      </c>
      <c r="AJ78" s="468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1.1852695147550607E-3</v>
      </c>
      <c r="P79" s="162">
        <f ca="1"/>
        <v>2.8539970043691687E-3</v>
      </c>
      <c r="Q79" s="162">
        <f ca="1"/>
        <v>8.2294845464900845E-3</v>
      </c>
      <c r="R79" s="162">
        <f ca="1"/>
        <v>1.8057072248769179E-2</v>
      </c>
      <c r="S79" s="162">
        <f ca="1"/>
        <v>0</v>
      </c>
      <c r="T79" s="162">
        <f ca="1"/>
        <v>4.5454181062941745E-2</v>
      </c>
      <c r="U79" s="162">
        <f ca="1"/>
        <v>7.7437750349273582E-2</v>
      </c>
      <c r="V79" s="138">
        <f ca="1"/>
        <v>0.13107900817188511</v>
      </c>
      <c r="W79" s="137">
        <f ca="1"/>
        <v>0</v>
      </c>
      <c r="X79" s="162">
        <f ca="1"/>
        <v>1.3037152360358961E-3</v>
      </c>
      <c r="Y79" s="162">
        <f ca="1"/>
        <v>3.0566059973095028E-3</v>
      </c>
      <c r="Z79" s="162">
        <f ca="1"/>
        <v>8.5976033671757435E-3</v>
      </c>
      <c r="AA79" s="162">
        <f ca="1"/>
        <v>1.8587193371065291E-2</v>
      </c>
      <c r="AB79" s="162">
        <f ca="1"/>
        <v>0</v>
      </c>
      <c r="AC79" s="162">
        <f ca="1"/>
        <v>4.6288717503319754E-2</v>
      </c>
      <c r="AD79" s="162">
        <f ca="1"/>
        <v>7.8558520615587213E-2</v>
      </c>
      <c r="AE79" s="138">
        <f ca="1"/>
        <v>0.13260014726876657</v>
      </c>
      <c r="AG79" s="465" t="s">
        <v>577</v>
      </c>
      <c r="AH79" s="467">
        <v>5.5300000000000002E-3</v>
      </c>
      <c r="AI79" s="466">
        <v>2029</v>
      </c>
      <c r="AJ79" s="468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5.92809788134252E-4</v>
      </c>
      <c r="P80" s="162">
        <f ca="1"/>
        <v>1.0153107015465901E-3</v>
      </c>
      <c r="Q80" s="162">
        <f ca="1"/>
        <v>3.7551447461027232E-3</v>
      </c>
      <c r="R80" s="162">
        <f ca="1"/>
        <v>9.9332708568158345E-3</v>
      </c>
      <c r="S80" s="162">
        <f ca="1"/>
        <v>0</v>
      </c>
      <c r="T80" s="162">
        <f ca="1"/>
        <v>2.4269290693154866E-2</v>
      </c>
      <c r="U80" s="162">
        <f ca="1"/>
        <v>4.3768379572064697E-2</v>
      </c>
      <c r="V80" s="138">
        <f ca="1"/>
        <v>8.0128432120230797E-2</v>
      </c>
      <c r="W80" s="137">
        <f ca="1"/>
        <v>0</v>
      </c>
      <c r="X80" s="162">
        <f ca="1"/>
        <v>7.1132857205080668E-4</v>
      </c>
      <c r="Y80" s="162">
        <f ca="1"/>
        <v>1.218248712366865E-3</v>
      </c>
      <c r="Z80" s="162">
        <f ca="1"/>
        <v>4.1248388616055287E-3</v>
      </c>
      <c r="AA80" s="162">
        <f ca="1"/>
        <v>1.0467521562403936E-2</v>
      </c>
      <c r="AB80" s="162">
        <f ca="1"/>
        <v>0</v>
      </c>
      <c r="AC80" s="162">
        <f ca="1"/>
        <v>2.5124495206588326E-2</v>
      </c>
      <c r="AD80" s="162">
        <f ca="1"/>
        <v>4.4930783405400243E-2</v>
      </c>
      <c r="AE80" s="138">
        <f ca="1"/>
        <v>8.170779268227113E-2</v>
      </c>
      <c r="AG80" s="465" t="s">
        <v>578</v>
      </c>
      <c r="AH80" s="467">
        <v>8.7500000000000008E-3</v>
      </c>
      <c r="AI80" s="466">
        <v>2025</v>
      </c>
      <c r="AJ80" s="468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1.1852695147550607E-3</v>
      </c>
      <c r="P81" s="162">
        <f ca="1"/>
        <v>2.029590195977482E-3</v>
      </c>
      <c r="Q81" s="162">
        <f ca="1"/>
        <v>6.741283648115215E-3</v>
      </c>
      <c r="R81" s="162">
        <f ca="1"/>
        <v>1.5917774601848289E-2</v>
      </c>
      <c r="S81" s="162">
        <f ca="1"/>
        <v>0</v>
      </c>
      <c r="T81" s="162">
        <f ca="1"/>
        <v>3.8386066937920127E-2</v>
      </c>
      <c r="U81" s="162">
        <f ca="1"/>
        <v>6.6710359899162186E-2</v>
      </c>
      <c r="V81" s="138">
        <f ca="1"/>
        <v>0.12062465311849202</v>
      </c>
      <c r="W81" s="137">
        <f ca="1"/>
        <v>0</v>
      </c>
      <c r="X81" s="162">
        <f ca="1"/>
        <v>1.3037152360358961E-3</v>
      </c>
      <c r="Y81" s="162">
        <f ca="1"/>
        <v>2.2323211154249289E-3</v>
      </c>
      <c r="Z81" s="162">
        <f ca="1"/>
        <v>7.1099322267883514E-3</v>
      </c>
      <c r="AA81" s="162">
        <f ca="1"/>
        <v>1.6449054002150354E-2</v>
      </c>
      <c r="AB81" s="162">
        <f ca="1"/>
        <v>0</v>
      </c>
      <c r="AC81" s="162">
        <f ca="1"/>
        <v>3.922799874595384E-2</v>
      </c>
      <c r="AD81" s="162">
        <f ca="1"/>
        <v>6.7844607912216026E-2</v>
      </c>
      <c r="AE81" s="138">
        <f ca="1"/>
        <v>0.12216417141787972</v>
      </c>
      <c r="AG81" s="465" t="s">
        <v>579</v>
      </c>
      <c r="AH81" s="467">
        <v>2.2499999999999999E-2</v>
      </c>
      <c r="AI81" s="466">
        <v>2026</v>
      </c>
      <c r="AJ81" s="468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4.7427584534542877E-4</v>
      </c>
      <c r="P82" s="162">
        <f ca="1"/>
        <v>1.843680337743514E-3</v>
      </c>
      <c r="Q82" s="162">
        <f ca="1"/>
        <v>4.8704391444998052E-3</v>
      </c>
      <c r="R82" s="162">
        <f ca="1"/>
        <v>9.8544272018843415E-3</v>
      </c>
      <c r="S82" s="162">
        <f ca="1"/>
        <v>0</v>
      </c>
      <c r="T82" s="162">
        <f ca="1"/>
        <v>2.5115854084119094E-2</v>
      </c>
      <c r="U82" s="162">
        <f ca="1"/>
        <v>4.358910707756114E-2</v>
      </c>
      <c r="V82" s="138">
        <f ca="1"/>
        <v>7.6029677085039604E-2</v>
      </c>
      <c r="W82" s="137">
        <f ca="1"/>
        <v>0</v>
      </c>
      <c r="X82" s="162">
        <f ca="1"/>
        <v>5.9280901297664723E-4</v>
      </c>
      <c r="Y82" s="162">
        <f ca="1"/>
        <v>2.0465088302080714E-3</v>
      </c>
      <c r="Z82" s="162">
        <f ca="1"/>
        <v>5.2397353122475288E-3</v>
      </c>
      <c r="AA82" s="162">
        <f ca="1"/>
        <v>1.0388469686065549E-2</v>
      </c>
      <c r="AB82" s="162">
        <f ca="1"/>
        <v>0</v>
      </c>
      <c r="AC82" s="162">
        <f ca="1"/>
        <v>2.5970050946882428E-2</v>
      </c>
      <c r="AD82" s="162">
        <f ca="1"/>
        <v>4.4751421973536876E-2</v>
      </c>
      <c r="AE82" s="138">
        <f ca="1"/>
        <v>7.7616756582726043E-2</v>
      </c>
      <c r="AG82" s="465" t="s">
        <v>580</v>
      </c>
      <c r="AH82" s="467">
        <v>1.7500000000000002E-2</v>
      </c>
      <c r="AI82" s="466">
        <v>2025</v>
      </c>
      <c r="AJ82" s="468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7.1132972843845899E-4</v>
      </c>
      <c r="P83" s="162">
        <f ca="1"/>
        <v>2.6616033433045638E-3</v>
      </c>
      <c r="Q83" s="162">
        <f ca="1"/>
        <v>7.1128800122021163E-3</v>
      </c>
      <c r="R83" s="162">
        <f ca="1"/>
        <v>1.3645491068227544E-2</v>
      </c>
      <c r="S83" s="162">
        <f ca="1"/>
        <v>0</v>
      </c>
      <c r="T83" s="162">
        <f ca="1"/>
        <v>3.5767072400588962E-2</v>
      </c>
      <c r="U83" s="162">
        <f ca="1"/>
        <v>6.3200334909757072E-2</v>
      </c>
      <c r="V83" s="138">
        <f ca="1"/>
        <v>0.10822314777580566</v>
      </c>
      <c r="W83" s="137">
        <f ca="1"/>
        <v>0</v>
      </c>
      <c r="X83" s="162">
        <f ca="1"/>
        <v>8.2983405341885419E-4</v>
      </c>
      <c r="Y83" s="162">
        <f ca="1"/>
        <v>2.8642866811360301E-3</v>
      </c>
      <c r="Z83" s="162">
        <f ca="1"/>
        <v>7.4814068853552573E-3</v>
      </c>
      <c r="AA83" s="162">
        <f ca="1"/>
        <v>1.4177630964592569E-2</v>
      </c>
      <c r="AB83" s="162">
        <f ca="1"/>
        <v>0</v>
      </c>
      <c r="AC83" s="162">
        <f ca="1"/>
        <v>3.6611208086379854E-2</v>
      </c>
      <c r="AD83" s="162">
        <f ca="1"/>
        <v>6.4339105759098847E-2</v>
      </c>
      <c r="AE83" s="138">
        <f ca="1"/>
        <v>0.10977844758868149</v>
      </c>
      <c r="AG83" s="465" t="s">
        <v>581</v>
      </c>
      <c r="AH83" s="467">
        <v>1.25E-3</v>
      </c>
      <c r="AI83" s="466">
        <v>2026</v>
      </c>
      <c r="AJ83" s="468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3.5572789762250423E-4</v>
      </c>
      <c r="P84" s="162">
        <f ca="1"/>
        <v>1.8470540194656104E-3</v>
      </c>
      <c r="Q84" s="162">
        <f ca="1"/>
        <v>5.6336476794586199E-3</v>
      </c>
      <c r="R84" s="162">
        <f ca="1"/>
        <v>1.2072203813805915E-2</v>
      </c>
      <c r="S84" s="162">
        <f ca="1"/>
        <v>0</v>
      </c>
      <c r="T84" s="162">
        <f ca="1"/>
        <v>2.7695611870080739E-2</v>
      </c>
      <c r="U84" s="162">
        <f ca="1"/>
        <v>4.9756400962701952E-2</v>
      </c>
      <c r="V84" s="138">
        <f ca="1"/>
        <v>9.0215767575914207E-2</v>
      </c>
      <c r="W84" s="137">
        <f ca="1"/>
        <v>0</v>
      </c>
      <c r="X84" s="162">
        <f ca="1"/>
        <v>4.7427537457878088E-4</v>
      </c>
      <c r="Y84" s="162">
        <f ca="1"/>
        <v>2.0498935778414662E-3</v>
      </c>
      <c r="Z84" s="162">
        <f ca="1"/>
        <v>6.0027326404713532E-3</v>
      </c>
      <c r="AA84" s="162">
        <f ca="1"/>
        <v>1.2605293094363423E-2</v>
      </c>
      <c r="AB84" s="162">
        <f ca="1"/>
        <v>0</v>
      </c>
      <c r="AC84" s="162">
        <f ca="1"/>
        <v>2.8547479426089595E-2</v>
      </c>
      <c r="AD84" s="162">
        <f ca="1"/>
        <v>5.091119741201422E-2</v>
      </c>
      <c r="AE84" s="138">
        <f ca="1"/>
        <v>9.1774746479425628E-2</v>
      </c>
      <c r="AG84" s="465" t="s">
        <v>582</v>
      </c>
      <c r="AH84" s="467">
        <v>5.6250000000000001E-2</v>
      </c>
      <c r="AI84" s="466">
        <v>2027</v>
      </c>
      <c r="AJ84" s="468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1.1852695147550607E-3</v>
      </c>
      <c r="P85" s="162">
        <f ca="1"/>
        <v>2.2357180013715672E-3</v>
      </c>
      <c r="Q85" s="162">
        <f ca="1"/>
        <v>7.113505184398794E-3</v>
      </c>
      <c r="R85" s="162">
        <f ca="1"/>
        <v>1.3646122951594286E-2</v>
      </c>
      <c r="S85" s="162">
        <f ca="1"/>
        <v>0</v>
      </c>
      <c r="T85" s="162">
        <f ca="1"/>
        <v>3.5767760424672557E-2</v>
      </c>
      <c r="U85" s="162">
        <f ca="1"/>
        <v>6.1878539664336096E-2</v>
      </c>
      <c r="V85" s="138">
        <f ca="1"/>
        <v>9.6861531867685646E-2</v>
      </c>
      <c r="W85" s="137">
        <f ca="1"/>
        <v>0</v>
      </c>
      <c r="X85" s="162">
        <f ca="1"/>
        <v>1.3037152360358961E-3</v>
      </c>
      <c r="Y85" s="162">
        <f ca="1"/>
        <v>2.4384186873763758E-3</v>
      </c>
      <c r="Z85" s="162">
        <f ca="1"/>
        <v>7.4820216418599594E-3</v>
      </c>
      <c r="AA85" s="162">
        <f ca="1"/>
        <v>1.417826803052602E-2</v>
      </c>
      <c r="AB85" s="162">
        <f ca="1"/>
        <v>0</v>
      </c>
      <c r="AC85" s="162">
        <f ca="1"/>
        <v>3.661190103284151E-2</v>
      </c>
      <c r="AD85" s="162">
        <f ca="1"/>
        <v>6.3018974564524877E-2</v>
      </c>
      <c r="AE85" s="138">
        <f ca="1"/>
        <v>9.8410698375025585E-2</v>
      </c>
      <c r="AG85" s="465" t="s">
        <v>583</v>
      </c>
      <c r="AH85" s="467">
        <v>7.4999999999999997E-3</v>
      </c>
      <c r="AI85" s="466">
        <v>2026</v>
      </c>
      <c r="AJ85" s="468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2.0851385578803949E-3</v>
      </c>
      <c r="P86" s="162">
        <f ca="1"/>
        <v>4.2487398330250947E-3</v>
      </c>
      <c r="Q86" s="162">
        <f ca="1"/>
        <v>1.0159372364419994E-2</v>
      </c>
      <c r="R86" s="162">
        <f ca="1"/>
        <v>1.6757868692930722E-2</v>
      </c>
      <c r="S86" s="162">
        <f ca="1"/>
        <v>0</v>
      </c>
      <c r="T86" s="162">
        <f ca="1"/>
        <v>3.2486346694761581E-2</v>
      </c>
      <c r="U86" s="162">
        <f ca="1"/>
        <v>4.9075658078482465E-2</v>
      </c>
      <c r="V86" s="138">
        <f ca="1"/>
        <v>7.5132948200807403E-2</v>
      </c>
      <c r="W86" s="137">
        <f ca="1"/>
        <v>0</v>
      </c>
      <c r="X86" s="162">
        <f ca="1"/>
        <v>2.2034693999768429E-3</v>
      </c>
      <c r="Y86" s="162">
        <f ca="1"/>
        <v>4.4510530246882896E-3</v>
      </c>
      <c r="Z86" s="162">
        <f ca="1"/>
        <v>1.0526677528388095E-2</v>
      </c>
      <c r="AA86" s="162">
        <f ca="1"/>
        <v>1.7288049156795937E-2</v>
      </c>
      <c r="AB86" s="162">
        <f ca="1"/>
        <v>0</v>
      </c>
      <c r="AC86" s="162">
        <f ca="1"/>
        <v>3.3332785696085887E-2</v>
      </c>
      <c r="AD86" s="162">
        <f ca="1"/>
        <v>5.0228563194262943E-2</v>
      </c>
      <c r="AE86" s="138">
        <f ca="1"/>
        <v>7.6717605389267862E-2</v>
      </c>
      <c r="AG86" s="465" t="s">
        <v>584</v>
      </c>
      <c r="AH86" s="467">
        <v>1.8749999999999999E-2</v>
      </c>
      <c r="AI86" s="466">
        <v>2025</v>
      </c>
      <c r="AJ86" s="468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1.374782744915426E-3</v>
      </c>
      <c r="P87" s="162">
        <f ca="1"/>
        <v>3.0751482467352709E-3</v>
      </c>
      <c r="Q87" s="162">
        <f ca="1"/>
        <v>7.5711492115571044E-3</v>
      </c>
      <c r="R87" s="162">
        <f ca="1"/>
        <v>1.2912698081059437E-2</v>
      </c>
      <c r="S87" s="162">
        <f ca="1"/>
        <v>0</v>
      </c>
      <c r="T87" s="162">
        <f ca="1"/>
        <v>2.5596018740618676E-2</v>
      </c>
      <c r="U87" s="162">
        <f ca="1"/>
        <v>4.0241987508332189E-2</v>
      </c>
      <c r="V87" s="138">
        <f ca="1"/>
        <v>6.4098397170199828E-2</v>
      </c>
      <c r="W87" s="137">
        <f ca="1"/>
        <v>0</v>
      </c>
      <c r="X87" s="162">
        <f ca="1"/>
        <v>1.49320467287406E-3</v>
      </c>
      <c r="Y87" s="162">
        <f ca="1"/>
        <v>3.2777058953781246E-3</v>
      </c>
      <c r="Z87" s="162">
        <f ca="1"/>
        <v>7.9394292782950515E-3</v>
      </c>
      <c r="AA87" s="162">
        <f ca="1"/>
        <v>1.3444944772457501E-2</v>
      </c>
      <c r="AB87" s="162">
        <f ca="1"/>
        <v>0</v>
      </c>
      <c r="AC87" s="162">
        <f ca="1"/>
        <v>2.6448973989732005E-2</v>
      </c>
      <c r="AD87" s="162">
        <f ca="1"/>
        <v>4.1406084474119087E-2</v>
      </c>
      <c r="AE87" s="138">
        <f ca="1"/>
        <v>6.5704418808837595E-2</v>
      </c>
      <c r="AG87" s="465" t="s">
        <v>585</v>
      </c>
      <c r="AH87" s="467">
        <v>3.8830000000000003E-2</v>
      </c>
      <c r="AI87" s="466">
        <v>2028</v>
      </c>
      <c r="AJ87" s="468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8.2983566879302195E-4</v>
      </c>
      <c r="P88" s="162">
        <f ca="1"/>
        <v>2.0397426172065192E-3</v>
      </c>
      <c r="Q88" s="162">
        <f ca="1"/>
        <v>5.992437942058837E-3</v>
      </c>
      <c r="R88" s="162">
        <f ca="1"/>
        <v>1.1470602000447028E-2</v>
      </c>
      <c r="S88" s="162">
        <f ca="1"/>
        <v>0</v>
      </c>
      <c r="T88" s="162">
        <f ca="1"/>
        <v>2.9547742748631034E-2</v>
      </c>
      <c r="U88" s="162">
        <f ca="1"/>
        <v>4.9560991842367619E-2</v>
      </c>
      <c r="V88" s="138">
        <f ca="1"/>
        <v>8.4172682687548184E-2</v>
      </c>
      <c r="W88" s="137">
        <f ca="1"/>
        <v>0</v>
      </c>
      <c r="X88" s="162">
        <f ca="1"/>
        <v>9.4832545884104835E-4</v>
      </c>
      <c r="Y88" s="162">
        <f ca="1"/>
        <v>2.242507228336077E-3</v>
      </c>
      <c r="Z88" s="162">
        <f ca="1"/>
        <v>6.3613476231223487E-3</v>
      </c>
      <c r="AA88" s="162">
        <f ca="1"/>
        <v>1.2003807639816011E-2</v>
      </c>
      <c r="AB88" s="162">
        <f ca="1"/>
        <v>0</v>
      </c>
      <c r="AC88" s="162">
        <f ca="1"/>
        <v>3.0397829692059064E-2</v>
      </c>
      <c r="AD88" s="162">
        <f ca="1"/>
        <v>5.0716136955744284E-2</v>
      </c>
      <c r="AE88" s="138">
        <f ca="1"/>
        <v>8.5744033524466134E-2</v>
      </c>
      <c r="AG88" s="465" t="s">
        <v>586</v>
      </c>
      <c r="AH88" s="467">
        <v>1.6250000000000001E-2</v>
      </c>
      <c r="AI88" s="466">
        <v>2027</v>
      </c>
      <c r="AJ88" s="468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2.0141256188292989E-3</v>
      </c>
      <c r="P89" s="162">
        <f ca="1"/>
        <v>3.6537728018138926E-3</v>
      </c>
      <c r="Q89" s="162">
        <f ca="1"/>
        <v>1.0069629193046992E-2</v>
      </c>
      <c r="R89" s="162">
        <f ca="1"/>
        <v>2.1266714818389709E-2</v>
      </c>
      <c r="S89" s="162">
        <f ca="1"/>
        <v>0</v>
      </c>
      <c r="T89" s="162">
        <f ca="1"/>
        <v>5.3264730965369655E-2</v>
      </c>
      <c r="U89" s="162">
        <f ca="1"/>
        <v>8.7827856543248095E-2</v>
      </c>
      <c r="V89" s="138">
        <f ca="1"/>
        <v>0.14868787556475727</v>
      </c>
      <c r="W89" s="137">
        <f ca="1"/>
        <v>0</v>
      </c>
      <c r="X89" s="162">
        <f ca="1"/>
        <v>2.1324657047254725E-3</v>
      </c>
      <c r="Y89" s="162">
        <f ca="1"/>
        <v>3.8561823454716926E-3</v>
      </c>
      <c r="Z89" s="162">
        <f ca="1"/>
        <v>1.0437017675741123E-2</v>
      </c>
      <c r="AA89" s="162">
        <f ca="1"/>
        <v>2.1795089888130836E-2</v>
      </c>
      <c r="AB89" s="162">
        <f ca="1"/>
        <v>0</v>
      </c>
      <c r="AC89" s="162">
        <f ca="1"/>
        <v>5.4090603397495496E-2</v>
      </c>
      <c r="AD89" s="162">
        <f ca="1"/>
        <v>8.8935124602912308E-2</v>
      </c>
      <c r="AE89" s="138">
        <f ca="1"/>
        <v>0.15018271025236263</v>
      </c>
      <c r="AG89" s="465" t="s">
        <v>587</v>
      </c>
      <c r="AH89" s="467"/>
      <c r="AI89" s="466"/>
      <c r="AJ89" s="468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4.7427584534542877E-4</v>
      </c>
      <c r="P90" s="162">
        <f ca="1"/>
        <v>1.4311928976311616E-3</v>
      </c>
      <c r="Q90" s="162">
        <f ca="1"/>
        <v>5.6445727204701424E-3</v>
      </c>
      <c r="R90" s="162">
        <f ca="1"/>
        <v>1.2083366472728785E-2</v>
      </c>
      <c r="S90" s="162">
        <f ca="1"/>
        <v>0</v>
      </c>
      <c r="T90" s="162">
        <f ca="1"/>
        <v>3.048266662891419E-2</v>
      </c>
      <c r="U90" s="162">
        <f ca="1"/>
        <v>5.2131590664148963E-2</v>
      </c>
      <c r="V90" s="138">
        <f ca="1"/>
        <v>9.7294168276375825E-2</v>
      </c>
      <c r="W90" s="137">
        <f ca="1"/>
        <v>0</v>
      </c>
      <c r="X90" s="162">
        <f ca="1"/>
        <v>5.9280901297664723E-4</v>
      </c>
      <c r="Y90" s="162">
        <f ca="1"/>
        <v>1.6340822274196753E-3</v>
      </c>
      <c r="Z90" s="162">
        <f ca="1"/>
        <v>6.0136829117191093E-3</v>
      </c>
      <c r="AA90" s="162">
        <f ca="1"/>
        <v>1.2616492154036041E-2</v>
      </c>
      <c r="AB90" s="162">
        <f ca="1"/>
        <v>0</v>
      </c>
      <c r="AC90" s="162">
        <f ca="1"/>
        <v>3.1332121762011944E-2</v>
      </c>
      <c r="AD90" s="162">
        <f ca="1"/>
        <v>5.3283910455526051E-2</v>
      </c>
      <c r="AE90" s="138">
        <f ca="1"/>
        <v>9.8867927359021723E-2</v>
      </c>
      <c r="AG90" s="465" t="s">
        <v>588</v>
      </c>
      <c r="AH90" s="467">
        <v>1.125E-2</v>
      </c>
      <c r="AI90" s="466">
        <v>2026</v>
      </c>
      <c r="AJ90" s="468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1.3037194799899732E-3</v>
      </c>
      <c r="P91" s="162">
        <f ca="1"/>
        <v>2.2323224450209178E-3</v>
      </c>
      <c r="Q91" s="162">
        <f ca="1"/>
        <v>5.97143577634629E-3</v>
      </c>
      <c r="R91" s="162">
        <f ca="1"/>
        <v>1.2573430003739228E-2</v>
      </c>
      <c r="S91" s="162">
        <f ca="1"/>
        <v>0</v>
      </c>
      <c r="T91" s="162">
        <f ca="1"/>
        <v>3.3137922784891138E-2</v>
      </c>
      <c r="U91" s="162">
        <f ca="1"/>
        <v>5.3044322492660334E-2</v>
      </c>
      <c r="V91" s="138">
        <f ca="1"/>
        <v>9.4744611512971866E-2</v>
      </c>
      <c r="W91" s="137">
        <f ca="1"/>
        <v>0</v>
      </c>
      <c r="X91" s="162">
        <f ca="1"/>
        <v>1.4221503544191716E-3</v>
      </c>
      <c r="Y91" s="162">
        <f ca="1"/>
        <v>2.4350118940249521E-3</v>
      </c>
      <c r="Z91" s="162">
        <f ca="1"/>
        <v>6.3402827855200128E-3</v>
      </c>
      <c r="AA91" s="162">
        <f ca="1"/>
        <v>1.3106126716063815E-2</v>
      </c>
      <c r="AB91" s="162">
        <f ca="1"/>
        <v>0</v>
      </c>
      <c r="AC91" s="162">
        <f ca="1"/>
        <v>3.3984685623845823E-2</v>
      </c>
      <c r="AD91" s="162">
        <f ca="1"/>
        <v>5.4195358267573157E-2</v>
      </c>
      <c r="AE91" s="138">
        <f ca="1"/>
        <v>9.631924590294394E-2</v>
      </c>
      <c r="AG91" s="465" t="s">
        <v>589</v>
      </c>
      <c r="AH91" s="467">
        <v>5.7500000000000002E-2</v>
      </c>
      <c r="AI91" s="466">
        <v>2028</v>
      </c>
      <c r="AJ91" s="468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7.1132972843845899E-4</v>
      </c>
      <c r="P92" s="162">
        <f ca="1"/>
        <v>1.424494769770468E-3</v>
      </c>
      <c r="Q92" s="162">
        <f ca="1"/>
        <v>4.4978604330765393E-3</v>
      </c>
      <c r="R92" s="162">
        <f ca="1"/>
        <v>9.3168424574170405E-3</v>
      </c>
      <c r="S92" s="162">
        <f ca="1"/>
        <v>0</v>
      </c>
      <c r="T92" s="162">
        <f ca="1"/>
        <v>2.425571956984196E-2</v>
      </c>
      <c r="U92" s="162">
        <f ca="1"/>
        <v>4.3754403660222319E-2</v>
      </c>
      <c r="V92" s="138">
        <f ca="1"/>
        <v>8.2071992043405761E-2</v>
      </c>
      <c r="W92" s="137">
        <f ca="1"/>
        <v>0</v>
      </c>
      <c r="X92" s="162">
        <f ca="1"/>
        <v>8.2983405341885419E-4</v>
      </c>
      <c r="Y92" s="162">
        <f ca="1"/>
        <v>1.6273614157106264E-3</v>
      </c>
      <c r="Z92" s="162">
        <f ca="1"/>
        <v>4.8672840036253495E-3</v>
      </c>
      <c r="AA92" s="162">
        <f ca="1"/>
        <v>9.8511713070525975E-3</v>
      </c>
      <c r="AB92" s="162">
        <f ca="1"/>
        <v>0</v>
      </c>
      <c r="AC92" s="162">
        <f ca="1"/>
        <v>2.5110745826064984E-2</v>
      </c>
      <c r="AD92" s="162">
        <f ca="1"/>
        <v>4.4916791209619333E-2</v>
      </c>
      <c r="AE92" s="138">
        <f ca="1"/>
        <v>8.3647116461110782E-2</v>
      </c>
      <c r="AG92" s="465" t="s">
        <v>590</v>
      </c>
      <c r="AH92" s="467">
        <v>5.0000000000000001E-3</v>
      </c>
      <c r="AI92" s="466">
        <v>2027</v>
      </c>
      <c r="AJ92" s="468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1.0668055594751369E-3</v>
      </c>
      <c r="P93" s="162">
        <f ca="1"/>
        <v>4.9173491126603963E-3</v>
      </c>
      <c r="Q93" s="162">
        <f ca="1"/>
        <v>1.3080260915498299E-2</v>
      </c>
      <c r="R93" s="162">
        <f ca="1"/>
        <v>2.4449664498798596E-2</v>
      </c>
      <c r="S93" s="162">
        <f ca="1"/>
        <v>0</v>
      </c>
      <c r="T93" s="162">
        <f ca="1"/>
        <v>6.010046949531378E-2</v>
      </c>
      <c r="U93" s="162">
        <f ca="1"/>
        <v>9.9505251489759416E-2</v>
      </c>
      <c r="V93" s="138">
        <f ca="1"/>
        <v>0.16776694058109209</v>
      </c>
      <c r="W93" s="137">
        <f ca="1"/>
        <v>0</v>
      </c>
      <c r="X93" s="162">
        <f ca="1"/>
        <v>1.1852660484611421E-3</v>
      </c>
      <c r="Y93" s="162">
        <f ca="1"/>
        <v>5.1196510113763471E-3</v>
      </c>
      <c r="Z93" s="162">
        <f ca="1"/>
        <v>1.3446676549749847E-2</v>
      </c>
      <c r="AA93" s="162">
        <f ca="1"/>
        <v>2.4976335334241262E-2</v>
      </c>
      <c r="AB93" s="162">
        <f ca="1"/>
        <v>0</v>
      </c>
      <c r="AC93" s="162">
        <f ca="1"/>
        <v>6.0918310882205118E-2</v>
      </c>
      <c r="AD93" s="162">
        <f ca="1"/>
        <v>0.10059623187639932</v>
      </c>
      <c r="AE93" s="138">
        <f ca="1"/>
        <v>0.16923410394967831</v>
      </c>
      <c r="AG93" s="465" t="s">
        <v>591</v>
      </c>
      <c r="AH93" s="467">
        <v>1.375E-2</v>
      </c>
      <c r="AI93" s="466">
        <v>2026</v>
      </c>
      <c r="AJ93" s="468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8.2983566879302195E-4</v>
      </c>
      <c r="P94" s="162">
        <f ca="1"/>
        <v>2.0397426172065192E-3</v>
      </c>
      <c r="Q94" s="162">
        <f ca="1"/>
        <v>7.5107178901322458E-3</v>
      </c>
      <c r="R94" s="162">
        <f ca="1"/>
        <v>1.7013913811708803E-2</v>
      </c>
      <c r="S94" s="162">
        <f ca="1"/>
        <v>0</v>
      </c>
      <c r="T94" s="162">
        <f ca="1"/>
        <v>4.2870301169397829E-2</v>
      </c>
      <c r="U94" s="162">
        <f ca="1"/>
        <v>7.2667305486229683E-2</v>
      </c>
      <c r="V94" s="138">
        <f ca="1"/>
        <v>0.1266478621802859</v>
      </c>
      <c r="W94" s="137">
        <f ca="1"/>
        <v>0</v>
      </c>
      <c r="X94" s="162">
        <f ca="1"/>
        <v>9.4832545884104835E-4</v>
      </c>
      <c r="Y94" s="162">
        <f ca="1"/>
        <v>2.242507228336077E-3</v>
      </c>
      <c r="Z94" s="162">
        <f ca="1"/>
        <v>7.8791670384001922E-3</v>
      </c>
      <c r="AA94" s="162">
        <f ca="1"/>
        <v>1.7544692165991083E-2</v>
      </c>
      <c r="AB94" s="162">
        <f ca="1"/>
        <v>0</v>
      </c>
      <c r="AC94" s="162">
        <f ca="1"/>
        <v>4.3707695932808988E-2</v>
      </c>
      <c r="AD94" s="162">
        <f ca="1"/>
        <v>7.379440769426282E-2</v>
      </c>
      <c r="AE94" s="138">
        <f ca="1"/>
        <v>0.12817685360678122</v>
      </c>
      <c r="AG94" s="465" t="s">
        <v>592</v>
      </c>
      <c r="AH94" s="467">
        <v>0.01</v>
      </c>
      <c r="AI94" s="466">
        <v>2025</v>
      </c>
      <c r="AJ94" s="468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5.92809788134252E-4</v>
      </c>
      <c r="P95" s="162">
        <f ca="1"/>
        <v>1.2215858978688043E-3</v>
      </c>
      <c r="Q95" s="162">
        <f ca="1"/>
        <v>5.2683965251093534E-3</v>
      </c>
      <c r="R95" s="162">
        <f ca="1"/>
        <v>1.0417618632637016E-2</v>
      </c>
      <c r="S95" s="162">
        <f ca="1"/>
        <v>0</v>
      </c>
      <c r="T95" s="162">
        <f ca="1"/>
        <v>2.6928491420459277E-2</v>
      </c>
      <c r="U95" s="162">
        <f ca="1"/>
        <v>4.7352842827856123E-2</v>
      </c>
      <c r="V95" s="138">
        <f ca="1"/>
        <v>8.8885606412389739E-2</v>
      </c>
      <c r="W95" s="137">
        <f ca="1"/>
        <v>0</v>
      </c>
      <c r="X95" s="162">
        <f ca="1"/>
        <v>7.1132857205080668E-4</v>
      </c>
      <c r="Y95" s="162">
        <f ca="1"/>
        <v>1.4244939898572229E-3</v>
      </c>
      <c r="Z95" s="162">
        <f ca="1"/>
        <v>5.6376269341020802E-3</v>
      </c>
      <c r="AA95" s="162">
        <f ca="1"/>
        <v>1.0951460428590076E-2</v>
      </c>
      <c r="AB95" s="162">
        <f ca="1"/>
        <v>0</v>
      </c>
      <c r="AC95" s="162">
        <f ca="1"/>
        <v>2.7781135522959133E-2</v>
      </c>
      <c r="AD95" s="162">
        <f ca="1"/>
        <v>4.8510921517219141E-2</v>
      </c>
      <c r="AE95" s="138">
        <f ca="1"/>
        <v>9.0471916297283794E-2</v>
      </c>
      <c r="AG95" s="465" t="s">
        <v>593</v>
      </c>
      <c r="AH95" s="467">
        <v>1.375E-2</v>
      </c>
      <c r="AI95" s="466">
        <v>2025</v>
      </c>
      <c r="AJ95" s="468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1.0668055594751369E-3</v>
      </c>
      <c r="P96" s="162">
        <f ca="1"/>
        <v>1.82681674171703E-3</v>
      </c>
      <c r="Q96" s="162">
        <f ca="1"/>
        <v>6.7520133840045515E-3</v>
      </c>
      <c r="R96" s="162">
        <f ca="1"/>
        <v>1.2559028469296352E-2</v>
      </c>
      <c r="S96" s="162">
        <f ca="1"/>
        <v>0</v>
      </c>
      <c r="T96" s="162">
        <f ca="1"/>
        <v>3.3122961417895835E-2</v>
      </c>
      <c r="U96" s="162">
        <f ca="1"/>
        <v>5.3029240745912865E-2</v>
      </c>
      <c r="V96" s="138">
        <f ca="1"/>
        <v>9.281358717770527E-2</v>
      </c>
      <c r="W96" s="137">
        <f ca="1"/>
        <v>0</v>
      </c>
      <c r="X96" s="162">
        <f ca="1"/>
        <v>1.1852660484611421E-3</v>
      </c>
      <c r="Y96" s="162">
        <f ca="1"/>
        <v>2.0295891140291733E-3</v>
      </c>
      <c r="Z96" s="162">
        <f ca="1"/>
        <v>7.1206897583838691E-3</v>
      </c>
      <c r="AA96" s="162">
        <f ca="1"/>
        <v>1.3091714875940075E-2</v>
      </c>
      <c r="AB96" s="162">
        <f ca="1"/>
        <v>0</v>
      </c>
      <c r="AC96" s="162">
        <f ca="1"/>
        <v>3.3969679143209919E-2</v>
      </c>
      <c r="AD96" s="162">
        <f ca="1"/>
        <v>5.418023703811492E-2</v>
      </c>
      <c r="AE96" s="138">
        <f ca="1"/>
        <v>9.4366687777478475E-2</v>
      </c>
      <c r="AG96" s="465" t="s">
        <v>594</v>
      </c>
      <c r="AH96" s="467">
        <v>8.7500000000000008E-3</v>
      </c>
      <c r="AI96" s="466">
        <v>2027</v>
      </c>
      <c r="AJ96" s="468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8.2983566879302195E-4</v>
      </c>
      <c r="P97" s="162">
        <f ca="1"/>
        <v>3.4825250859364942E-3</v>
      </c>
      <c r="Q97" s="162">
        <f ca="1"/>
        <v>1.0112864877017569E-2</v>
      </c>
      <c r="R97" s="162">
        <f ca="1"/>
        <v>1.9072009042474192E-2</v>
      </c>
      <c r="S97" s="162">
        <f ca="1"/>
        <v>0</v>
      </c>
      <c r="T97" s="162">
        <f ca="1"/>
        <v>4.2503385488462553E-2</v>
      </c>
      <c r="U97" s="162">
        <f ca="1"/>
        <v>6.9665077177388457E-2</v>
      </c>
      <c r="V97" s="138">
        <f ca="1"/>
        <v>0.11711831631672098</v>
      </c>
      <c r="W97" s="137">
        <f ca="1"/>
        <v>0</v>
      </c>
      <c r="X97" s="162">
        <f ca="1"/>
        <v>9.4832545884104835E-4</v>
      </c>
      <c r="Y97" s="162">
        <f ca="1"/>
        <v>3.6850724189596562E-3</v>
      </c>
      <c r="Z97" s="162">
        <f ca="1"/>
        <v>1.0480376972781702E-2</v>
      </c>
      <c r="AA97" s="162">
        <f ca="1"/>
        <v>1.9601478320611654E-2</v>
      </c>
      <c r="AB97" s="162">
        <f ca="1"/>
        <v>0</v>
      </c>
      <c r="AC97" s="162">
        <f ca="1"/>
        <v>4.3340855532739364E-2</v>
      </c>
      <c r="AD97" s="162">
        <f ca="1"/>
        <v>7.0794682994841263E-2</v>
      </c>
      <c r="AE97" s="138">
        <f ca="1"/>
        <v>0.11865703114387327</v>
      </c>
      <c r="AG97" s="465" t="s">
        <v>595</v>
      </c>
      <c r="AH97" s="467"/>
      <c r="AI97" s="466"/>
      <c r="AJ97" s="468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3.5572789762250423E-4</v>
      </c>
      <c r="P98" s="162">
        <f ca="1"/>
        <v>1.0219611809689777E-3</v>
      </c>
      <c r="Q98" s="162">
        <f ca="1"/>
        <v>3.3816248583075081E-3</v>
      </c>
      <c r="R98" s="162">
        <f ca="1"/>
        <v>7.1411517392131474E-3</v>
      </c>
      <c r="S98" s="162">
        <f ca="1"/>
        <v>0</v>
      </c>
      <c r="T98" s="162">
        <f ca="1"/>
        <v>1.89242348014248E-2</v>
      </c>
      <c r="U98" s="162">
        <f ca="1"/>
        <v>3.3871972473283773E-2</v>
      </c>
      <c r="V98" s="138">
        <f ca="1"/>
        <v>6.0790809747725549E-2</v>
      </c>
      <c r="W98" s="137">
        <f ca="1"/>
        <v>0</v>
      </c>
      <c r="X98" s="162">
        <f ca="1"/>
        <v>4.7427537457878088E-4</v>
      </c>
      <c r="Y98" s="162">
        <f ca="1"/>
        <v>1.2249221600106885E-3</v>
      </c>
      <c r="Z98" s="162">
        <f ca="1"/>
        <v>3.7514498578111732E-3</v>
      </c>
      <c r="AA98" s="162">
        <f ca="1"/>
        <v>7.6765526935037576E-3</v>
      </c>
      <c r="AB98" s="162">
        <f ca="1"/>
        <v>0</v>
      </c>
      <c r="AC98" s="162">
        <f ca="1"/>
        <v>1.978396984629649E-2</v>
      </c>
      <c r="AD98" s="162">
        <f ca="1"/>
        <v>3.5045778666520033E-2</v>
      </c>
      <c r="AE98" s="138">
        <f ca="1"/>
        <v>6.2406336420824049E-2</v>
      </c>
      <c r="AG98" s="465" t="s">
        <v>596</v>
      </c>
      <c r="AH98" s="467">
        <v>1.4999999999999999E-2</v>
      </c>
      <c r="AI98" s="466">
        <v>2026</v>
      </c>
      <c r="AJ98" s="468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1.9549443271165146E-3</v>
      </c>
      <c r="P99" s="162">
        <f ca="1"/>
        <v>5.1582575638342565E-3</v>
      </c>
      <c r="Q99" s="162">
        <f ca="1"/>
        <v>1.2021968527421878E-2</v>
      </c>
      <c r="R99" s="162">
        <f ca="1"/>
        <v>1.9098077516489731E-2</v>
      </c>
      <c r="S99" s="162">
        <f ca="1"/>
        <v>0</v>
      </c>
      <c r="T99" s="162">
        <f ca="1"/>
        <v>3.6774760621987812E-2</v>
      </c>
      <c r="U99" s="162">
        <f ca="1"/>
        <v>5.5551001175305204E-2</v>
      </c>
      <c r="V99" s="138">
        <f ca="1"/>
        <v>8.4973800176150638E-2</v>
      </c>
      <c r="W99" s="137">
        <f ca="1"/>
        <v>0</v>
      </c>
      <c r="X99" s="162">
        <f ca="1"/>
        <v>2.0732920928702159E-3</v>
      </c>
      <c r="Y99" s="162">
        <f ca="1"/>
        <v>5.3604427608898719E-3</v>
      </c>
      <c r="Z99" s="162">
        <f ca="1"/>
        <v>1.2388623083622985E-2</v>
      </c>
      <c r="AA99" s="162">
        <f ca="1"/>
        <v>1.9626996347336778E-2</v>
      </c>
      <c r="AB99" s="162">
        <f ca="1"/>
        <v>0</v>
      </c>
      <c r="AC99" s="162">
        <f ca="1"/>
        <v>3.7617036160661255E-2</v>
      </c>
      <c r="AD99" s="162">
        <f ca="1"/>
        <v>5.6695864453331413E-2</v>
      </c>
      <c r="AE99" s="138">
        <f ca="1"/>
        <v>8.6539881734290058E-2</v>
      </c>
      <c r="AG99" s="465" t="s">
        <v>597</v>
      </c>
      <c r="AH99" s="467">
        <v>0.03</v>
      </c>
      <c r="AI99" s="466">
        <v>2027</v>
      </c>
      <c r="AJ99" s="468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4.7427584534542877E-4</v>
      </c>
      <c r="P100" s="162">
        <f ca="1"/>
        <v>1.4311928976311616E-3</v>
      </c>
      <c r="Q100" s="162">
        <f ca="1"/>
        <v>4.5046699660206135E-3</v>
      </c>
      <c r="R100" s="162">
        <f ca="1"/>
        <v>7.6344089237194712E-3</v>
      </c>
      <c r="S100" s="162">
        <f ca="1"/>
        <v>0</v>
      </c>
      <c r="T100" s="162">
        <f ca="1"/>
        <v>1.8812066034366803E-2</v>
      </c>
      <c r="U100" s="162">
        <f ca="1"/>
        <v>3.1075998332032784E-2</v>
      </c>
      <c r="V100" s="138">
        <f ca="1"/>
        <v>5.3128311954827256E-2</v>
      </c>
      <c r="W100" s="137">
        <f ca="1"/>
        <v>0</v>
      </c>
      <c r="X100" s="162">
        <f ca="1"/>
        <v>5.9280901297664723E-4</v>
      </c>
      <c r="Y100" s="162">
        <f ca="1"/>
        <v>1.6340822274196753E-3</v>
      </c>
      <c r="Z100" s="162">
        <f ca="1"/>
        <v>4.8741157549777592E-3</v>
      </c>
      <c r="AA100" s="162">
        <f ca="1"/>
        <v>8.16939655539628E-3</v>
      </c>
      <c r="AB100" s="162">
        <f ca="1"/>
        <v>0</v>
      </c>
      <c r="AC100" s="162">
        <f ca="1"/>
        <v>1.9671579755250801E-2</v>
      </c>
      <c r="AD100" s="162">
        <f ca="1"/>
        <v>3.2252119037919358E-2</v>
      </c>
      <c r="AE100" s="138">
        <f ca="1"/>
        <v>5.4755965471950385E-2</v>
      </c>
      <c r="AG100" s="465" t="s">
        <v>598</v>
      </c>
      <c r="AH100" s="467">
        <v>1.8749999999999999E-2</v>
      </c>
      <c r="AI100" s="466">
        <v>2026</v>
      </c>
      <c r="AJ100" s="468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7.1132972843845899E-4</v>
      </c>
      <c r="P101" s="162">
        <f ca="1"/>
        <v>3.0738336176628911E-3</v>
      </c>
      <c r="Q101" s="162">
        <f ca="1"/>
        <v>8.6153708102660875E-3</v>
      </c>
      <c r="R101" s="162">
        <f ca="1"/>
        <v>1.8605820727647493E-2</v>
      </c>
      <c r="S101" s="162">
        <f ca="1"/>
        <v>0</v>
      </c>
      <c r="T101" s="162">
        <f ca="1"/>
        <v>4.7231317299224029E-2</v>
      </c>
      <c r="U101" s="162">
        <f ca="1"/>
        <v>8.1103916401422449E-2</v>
      </c>
      <c r="V101" s="138">
        <f ca="1"/>
        <v>0.14159017698058463</v>
      </c>
      <c r="W101" s="137">
        <f ca="1"/>
        <v>0</v>
      </c>
      <c r="X101" s="162">
        <f ca="1"/>
        <v>8.2983405341885419E-4</v>
      </c>
      <c r="Y101" s="162">
        <f ca="1"/>
        <v>3.2764545066862327E-3</v>
      </c>
      <c r="Z101" s="162">
        <f ca="1"/>
        <v>8.9834008639905205E-3</v>
      </c>
      <c r="AA101" s="162">
        <f ca="1"/>
        <v>1.9135693281562616E-2</v>
      </c>
      <c r="AB101" s="162">
        <f ca="1"/>
        <v>0</v>
      </c>
      <c r="AC101" s="162">
        <f ca="1"/>
        <v>4.8063958061840828E-2</v>
      </c>
      <c r="AD101" s="162">
        <f ca="1"/>
        <v>8.2219912385388394E-2</v>
      </c>
      <c r="AE101" s="138">
        <f ca="1"/>
        <v>0.14309827374612694</v>
      </c>
      <c r="AG101" s="465" t="s">
        <v>599</v>
      </c>
      <c r="AH101" s="467">
        <v>1.8749999999999999E-2</v>
      </c>
      <c r="AI101" s="466">
        <v>2025</v>
      </c>
      <c r="AJ101" s="468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4.7427584534542877E-4</v>
      </c>
      <c r="P102" s="162">
        <f ca="1"/>
        <v>1.0186357831003523E-3</v>
      </c>
      <c r="Q102" s="162">
        <f ca="1"/>
        <v>3.3782543653901875E-3</v>
      </c>
      <c r="R102" s="162">
        <f ca="1"/>
        <v>6.5740981173608715E-3</v>
      </c>
      <c r="S102" s="162">
        <f ca="1"/>
        <v>0</v>
      </c>
      <c r="T102" s="162">
        <f ca="1"/>
        <v>1.8030539363149578E-2</v>
      </c>
      <c r="U102" s="162">
        <f ca="1"/>
        <v>3.1320162875805413E-2</v>
      </c>
      <c r="V102" s="138">
        <f ca="1"/>
        <v>5.9312107698646477E-2</v>
      </c>
      <c r="W102" s="137">
        <f ca="1"/>
        <v>0</v>
      </c>
      <c r="X102" s="162">
        <f ca="1"/>
        <v>5.9280901297664723E-4</v>
      </c>
      <c r="Y102" s="162">
        <f ca="1"/>
        <v>1.2215853039712066E-3</v>
      </c>
      <c r="Z102" s="162">
        <f ca="1"/>
        <v>3.7480682373655094E-3</v>
      </c>
      <c r="AA102" s="162">
        <f ca="1"/>
        <v>7.1096990289594153E-3</v>
      </c>
      <c r="AB102" s="162">
        <f ca="1"/>
        <v>0</v>
      </c>
      <c r="AC102" s="162">
        <f ca="1"/>
        <v>1.8891000249581458E-2</v>
      </c>
      <c r="AD102" s="162">
        <f ca="1"/>
        <v>3.2496711101702491E-2</v>
      </c>
      <c r="AE102" s="138">
        <f ca="1"/>
        <v>6.0929953253097358E-2</v>
      </c>
      <c r="AG102" s="465" t="s">
        <v>600</v>
      </c>
      <c r="AH102" s="467">
        <v>2.2499999999999999E-2</v>
      </c>
      <c r="AI102" s="466">
        <v>2026</v>
      </c>
      <c r="AJ102" s="468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5.92809788134252E-4</v>
      </c>
      <c r="P103" s="162">
        <f ca="1"/>
        <v>1.0153107015465901E-3</v>
      </c>
      <c r="Q103" s="162">
        <f ca="1"/>
        <v>3.3748841363133719E-3</v>
      </c>
      <c r="R103" s="162">
        <f ca="1"/>
        <v>7.1343253010464069E-3</v>
      </c>
      <c r="S103" s="162">
        <f ca="1"/>
        <v>0</v>
      </c>
      <c r="T103" s="162">
        <f ca="1"/>
        <v>1.7986714767819212E-2</v>
      </c>
      <c r="U103" s="162">
        <f ca="1"/>
        <v>3.1275984294488413E-2</v>
      </c>
      <c r="V103" s="138">
        <f ca="1"/>
        <v>4.9365166005820527E-2</v>
      </c>
      <c r="W103" s="137">
        <f ca="1"/>
        <v>0</v>
      </c>
      <c r="X103" s="162">
        <f ca="1"/>
        <v>7.1132857205080668E-4</v>
      </c>
      <c r="Y103" s="162">
        <f ca="1"/>
        <v>1.218248712366865E-3</v>
      </c>
      <c r="Z103" s="162">
        <f ca="1"/>
        <v>3.744686884849191E-3</v>
      </c>
      <c r="AA103" s="162">
        <f ca="1"/>
        <v>7.6697052216219141E-3</v>
      </c>
      <c r="AB103" s="162">
        <f ca="1"/>
        <v>0</v>
      </c>
      <c r="AC103" s="162">
        <f ca="1"/>
        <v>1.8847150349240893E-2</v>
      </c>
      <c r="AD103" s="162">
        <f ca="1"/>
        <v>3.245240787385606E-2</v>
      </c>
      <c r="AE103" s="138">
        <f ca="1"/>
        <v>5.0999579369894299E-2</v>
      </c>
      <c r="AG103" s="465" t="s">
        <v>601</v>
      </c>
      <c r="AH103" s="467">
        <v>6.2500000000000003E-3</v>
      </c>
      <c r="AI103" s="466">
        <v>2025</v>
      </c>
      <c r="AJ103" s="468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3.5572789762250423E-4</v>
      </c>
      <c r="P104" s="162">
        <f ca="1"/>
        <v>2.2594959386370572E-3</v>
      </c>
      <c r="Q104" s="162">
        <f ca="1"/>
        <v>5.6192835520353368E-3</v>
      </c>
      <c r="R104" s="162">
        <f ca="1"/>
        <v>1.0932887554944704E-2</v>
      </c>
      <c r="S104" s="162">
        <f ca="1"/>
        <v>0</v>
      </c>
      <c r="T104" s="162">
        <f ca="1"/>
        <v>2.591184078624742E-2</v>
      </c>
      <c r="U104" s="162">
        <f ca="1"/>
        <v>4.469343944347548E-2</v>
      </c>
      <c r="V104" s="138">
        <f ca="1"/>
        <v>7.9527180231379946E-2</v>
      </c>
      <c r="W104" s="137">
        <f ca="1"/>
        <v>0</v>
      </c>
      <c r="X104" s="162">
        <f ca="1"/>
        <v>4.7427537457878088E-4</v>
      </c>
      <c r="Y104" s="162">
        <f ca="1"/>
        <v>2.4622737992273658E-3</v>
      </c>
      <c r="Z104" s="162">
        <f ca="1"/>
        <v>5.9883308392605361E-3</v>
      </c>
      <c r="AA104" s="162">
        <f ca="1"/>
        <v>1.1466372417213155E-2</v>
      </c>
      <c r="AB104" s="162">
        <f ca="1"/>
        <v>0</v>
      </c>
      <c r="AC104" s="162">
        <f ca="1"/>
        <v>2.6765175319648171E-2</v>
      </c>
      <c r="AD104" s="162">
        <f ca="1"/>
        <v>4.5854071430433962E-2</v>
      </c>
      <c r="AE104" s="138">
        <f ca="1"/>
        <v>8.1106916723285072E-2</v>
      </c>
      <c r="AG104" s="465" t="s">
        <v>602</v>
      </c>
      <c r="AH104" s="467">
        <v>1.6250000000000001E-2</v>
      </c>
      <c r="AI104" s="466">
        <v>2024</v>
      </c>
      <c r="AJ104" s="468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3.5572789762250423E-4</v>
      </c>
      <c r="P105" s="162">
        <f ca="1"/>
        <v>1.0219611809689777E-3</v>
      </c>
      <c r="Q105" s="162">
        <f ca="1"/>
        <v>3.3816248583075081E-3</v>
      </c>
      <c r="R105" s="162">
        <f ca="1"/>
        <v>7.1411517392131474E-3</v>
      </c>
      <c r="S105" s="162">
        <f ca="1"/>
        <v>0</v>
      </c>
      <c r="T105" s="162">
        <f ca="1"/>
        <v>1.89242348014248E-2</v>
      </c>
      <c r="U105" s="162">
        <f ca="1"/>
        <v>3.3871972473283773E-2</v>
      </c>
      <c r="V105" s="138">
        <f ca="1"/>
        <v>6.0790809747725549E-2</v>
      </c>
      <c r="W105" s="137">
        <f ca="1"/>
        <v>0</v>
      </c>
      <c r="X105" s="162">
        <f ca="1"/>
        <v>4.7427537457878088E-4</v>
      </c>
      <c r="Y105" s="162">
        <f ca="1"/>
        <v>1.2249221600106885E-3</v>
      </c>
      <c r="Z105" s="162">
        <f ca="1"/>
        <v>3.7514498578111732E-3</v>
      </c>
      <c r="AA105" s="162">
        <f ca="1"/>
        <v>7.6765526935037576E-3</v>
      </c>
      <c r="AB105" s="162">
        <f ca="1"/>
        <v>0</v>
      </c>
      <c r="AC105" s="162">
        <f ca="1"/>
        <v>1.978396984629649E-2</v>
      </c>
      <c r="AD105" s="162">
        <f ca="1"/>
        <v>3.5045778666520033E-2</v>
      </c>
      <c r="AE105" s="138">
        <f ca="1"/>
        <v>6.2406336420824049E-2</v>
      </c>
      <c r="AG105" s="465" t="s">
        <v>603</v>
      </c>
      <c r="AH105" s="467">
        <v>1.495E-2</v>
      </c>
      <c r="AI105" s="466">
        <v>2025</v>
      </c>
      <c r="AJ105" s="468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1.0668055594751369E-3</v>
      </c>
      <c r="P106" s="162">
        <f ca="1"/>
        <v>1.82681674171703E-3</v>
      </c>
      <c r="Q106" s="162">
        <f ca="1"/>
        <v>6.7520133840045515E-3</v>
      </c>
      <c r="R106" s="162">
        <f ca="1"/>
        <v>1.4244373412429123E-2</v>
      </c>
      <c r="S106" s="162">
        <f ca="1"/>
        <v>0</v>
      </c>
      <c r="T106" s="162">
        <f ca="1"/>
        <v>3.8527741938218729E-2</v>
      </c>
      <c r="U106" s="162">
        <f ca="1"/>
        <v>6.685410395422009E-2</v>
      </c>
      <c r="V106" s="138">
        <f ca="1"/>
        <v>0.11117873460925354</v>
      </c>
      <c r="W106" s="137">
        <f ca="1"/>
        <v>0</v>
      </c>
      <c r="X106" s="162">
        <f ca="1"/>
        <v>1.1852660484611421E-3</v>
      </c>
      <c r="Y106" s="162">
        <f ca="1"/>
        <v>2.0295891140291733E-3</v>
      </c>
      <c r="Z106" s="162">
        <f ca="1"/>
        <v>7.1206897583838691E-3</v>
      </c>
      <c r="AA106" s="162">
        <f ca="1"/>
        <v>1.4776385324939523E-2</v>
      </c>
      <c r="AB106" s="162">
        <f ca="1"/>
        <v>0</v>
      </c>
      <c r="AC106" s="162">
        <f ca="1"/>
        <v>3.9369327112883545E-2</v>
      </c>
      <c r="AD106" s="162">
        <f ca="1"/>
        <v>6.7988750237933271E-2</v>
      </c>
      <c r="AE106" s="138">
        <f ca="1"/>
        <v>0.11272855247679014</v>
      </c>
      <c r="AG106" s="465" t="s">
        <v>604</v>
      </c>
      <c r="AH106" s="467">
        <v>7.4999999999999997E-3</v>
      </c>
      <c r="AI106" s="466">
        <v>2026</v>
      </c>
      <c r="AJ106" s="468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3.5572789762250423E-4</v>
      </c>
      <c r="P107" s="162">
        <f ca="1"/>
        <v>1.0219611809689777E-3</v>
      </c>
      <c r="Q107" s="162">
        <f ca="1"/>
        <v>4.5222880226672979E-3</v>
      </c>
      <c r="R107" s="162">
        <f ca="1"/>
        <v>8.7785629326436743E-3</v>
      </c>
      <c r="S107" s="162">
        <f ca="1"/>
        <v>0</v>
      </c>
      <c r="T107" s="162">
        <f ca="1"/>
        <v>2.3394397344766449E-2</v>
      </c>
      <c r="U107" s="162">
        <f ca="1"/>
        <v>4.2583629992739347E-2</v>
      </c>
      <c r="V107" s="138">
        <f ca="1"/>
        <v>7.8509467981126457E-2</v>
      </c>
      <c r="W107" s="137">
        <f ca="1"/>
        <v>0</v>
      </c>
      <c r="X107" s="162">
        <f ca="1"/>
        <v>4.7427537457878088E-4</v>
      </c>
      <c r="Y107" s="162">
        <f ca="1"/>
        <v>1.2249221600106885E-3</v>
      </c>
      <c r="Z107" s="162">
        <f ca="1"/>
        <v>4.8917837554326438E-3</v>
      </c>
      <c r="AA107" s="162">
        <f ca="1"/>
        <v>9.3131853026637845E-3</v>
      </c>
      <c r="AB107" s="162">
        <f ca="1"/>
        <v>0</v>
      </c>
      <c r="AC107" s="162">
        <f ca="1"/>
        <v>2.4250244687142986E-2</v>
      </c>
      <c r="AD107" s="162">
        <f ca="1"/>
        <v>4.3747529691084863E-2</v>
      </c>
      <c r="AE107" s="138">
        <f ca="1"/>
        <v>8.0092074058688678E-2</v>
      </c>
      <c r="AH107" s="135"/>
      <c r="AI107" s="466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8.2983566879302195E-4</v>
      </c>
      <c r="P108" s="162">
        <f ca="1"/>
        <v>2.2459066075927181E-3</v>
      </c>
      <c r="Q108" s="162">
        <f ca="1"/>
        <v>7.5034093323393947E-3</v>
      </c>
      <c r="R108" s="162">
        <f ca="1"/>
        <v>1.5884129451970486E-2</v>
      </c>
      <c r="S108" s="162">
        <f ca="1"/>
        <v>0</v>
      </c>
      <c r="T108" s="162">
        <f ca="1"/>
        <v>4.3869452795477382E-2</v>
      </c>
      <c r="U108" s="162">
        <f ca="1"/>
        <v>7.3959974389593452E-2</v>
      </c>
      <c r="V108" s="138">
        <f ca="1"/>
        <v>0.12452065718078842</v>
      </c>
      <c r="W108" s="137">
        <f ca="1"/>
        <v>0</v>
      </c>
      <c r="X108" s="162">
        <f ca="1"/>
        <v>9.4832545884104835E-4</v>
      </c>
      <c r="Y108" s="162">
        <f ca="1"/>
        <v>2.4486406868775568E-3</v>
      </c>
      <c r="Z108" s="162">
        <f ca="1"/>
        <v>7.8718427294501847E-3</v>
      </c>
      <c r="AA108" s="162">
        <f ca="1"/>
        <v>1.6415356380800161E-2</v>
      </c>
      <c r="AB108" s="162">
        <f ca="1"/>
        <v>0</v>
      </c>
      <c r="AC108" s="162">
        <f ca="1"/>
        <v>4.4705491597476277E-2</v>
      </c>
      <c r="AD108" s="162">
        <f ca="1"/>
        <v>7.5085952405781864E-2</v>
      </c>
      <c r="AE108" s="138">
        <f ca="1"/>
        <v>0.12605136918797877</v>
      </c>
      <c r="AH108" s="135"/>
      <c r="AI108" s="466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4.7427584534542877E-4</v>
      </c>
      <c r="P109" s="162">
        <f ca="1"/>
        <v>1.843680337743514E-3</v>
      </c>
      <c r="Q109" s="162">
        <f ca="1"/>
        <v>5.2503551541845939E-3</v>
      </c>
      <c r="R109" s="162">
        <f ca="1"/>
        <v>9.2739025279040543E-3</v>
      </c>
      <c r="S109" s="162">
        <f ca="1"/>
        <v>0</v>
      </c>
      <c r="T109" s="162">
        <f ca="1"/>
        <v>2.2355737914402707E-2</v>
      </c>
      <c r="U109" s="162">
        <f ca="1"/>
        <v>3.5883190342468674E-2</v>
      </c>
      <c r="V109" s="138">
        <f ca="1"/>
        <v>5.97549953393266E-2</v>
      </c>
      <c r="W109" s="137">
        <f ca="1"/>
        <v>0</v>
      </c>
      <c r="X109" s="162">
        <f ca="1"/>
        <v>5.9280901297664723E-4</v>
      </c>
      <c r="Y109" s="162">
        <f ca="1"/>
        <v>2.0465088302080714E-3</v>
      </c>
      <c r="Z109" s="162">
        <f ca="1"/>
        <v>5.6195407345783766E-3</v>
      </c>
      <c r="AA109" s="162">
        <f ca="1"/>
        <v>9.8081150182210974E-3</v>
      </c>
      <c r="AB109" s="162">
        <f ca="1"/>
        <v>0</v>
      </c>
      <c r="AC109" s="162">
        <f ca="1"/>
        <v>2.3212162033931061E-2</v>
      </c>
      <c r="AD109" s="162">
        <f ca="1"/>
        <v>3.7053621362015621E-2</v>
      </c>
      <c r="AE109" s="138">
        <f ca="1"/>
        <v>6.1370469252284954E-2</v>
      </c>
      <c r="AH109" s="135"/>
      <c r="AI109" s="466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9.4832761164653778E-4</v>
      </c>
      <c r="P110" s="162">
        <f ca="1"/>
        <v>1.6240020737794403E-3</v>
      </c>
      <c r="Q110" s="162">
        <f ca="1"/>
        <v>6.3831036572502553E-3</v>
      </c>
      <c r="R110" s="162">
        <f ca="1"/>
        <v>1.2587992658674496E-2</v>
      </c>
      <c r="S110" s="162">
        <f ca="1"/>
        <v>0</v>
      </c>
      <c r="T110" s="162">
        <f ca="1"/>
        <v>3.7766796609748465E-2</v>
      </c>
      <c r="U110" s="162">
        <f ca="1"/>
        <v>6.5798744254337405E-2</v>
      </c>
      <c r="V110" s="138">
        <f ca="1"/>
        <v>0.11356066423537181</v>
      </c>
      <c r="W110" s="137">
        <f ca="1"/>
        <v>0</v>
      </c>
      <c r="X110" s="162">
        <f ca="1"/>
        <v>1.0668027899637389E-3</v>
      </c>
      <c r="Y110" s="162">
        <f ca="1"/>
        <v>1.8268158814503943E-3</v>
      </c>
      <c r="Z110" s="162">
        <f ca="1"/>
        <v>6.7519233275376012E-3</v>
      </c>
      <c r="AA110" s="162">
        <f ca="1"/>
        <v>1.3120752496198262E-2</v>
      </c>
      <c r="AB110" s="162">
        <f ca="1"/>
        <v>0</v>
      </c>
      <c r="AC110" s="162">
        <f ca="1"/>
        <v>3.8609001859938985E-2</v>
      </c>
      <c r="AD110" s="162">
        <f ca="1"/>
        <v>6.6935201009898915E-2</v>
      </c>
      <c r="AE110" s="138">
        <f ca="1"/>
        <v>0.11510931104746192</v>
      </c>
      <c r="AH110" s="135"/>
      <c r="AI110" s="466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1.8957595419148987E-3</v>
      </c>
      <c r="P111" s="162">
        <f ca="1"/>
        <v>3.8631671088448227E-3</v>
      </c>
      <c r="Q111" s="162">
        <f ca="1"/>
        <v>8.929447710004923E-3</v>
      </c>
      <c r="R111" s="162">
        <f ca="1"/>
        <v>1.4596603514924755E-2</v>
      </c>
      <c r="S111" s="162">
        <f ca="1"/>
        <v>0</v>
      </c>
      <c r="T111" s="162">
        <f ca="1"/>
        <v>2.904722498982315E-2</v>
      </c>
      <c r="U111" s="162">
        <f ca="1"/>
        <v>4.4403444956311655E-2</v>
      </c>
      <c r="V111" s="138">
        <f ca="1"/>
        <v>7.064934966862535E-2</v>
      </c>
      <c r="W111" s="137">
        <f ca="1"/>
        <v>0</v>
      </c>
      <c r="X111" s="162">
        <f ca="1"/>
        <v>2.0141149664358871E-3</v>
      </c>
      <c r="Y111" s="162">
        <f ca="1"/>
        <v>4.0655565307844421E-3</v>
      </c>
      <c r="Z111" s="162">
        <f ca="1"/>
        <v>9.2971876854652802E-3</v>
      </c>
      <c r="AA111" s="162">
        <f ca="1"/>
        <v>1.5127860510906976E-2</v>
      </c>
      <c r="AB111" s="162">
        <f ca="1"/>
        <v>0</v>
      </c>
      <c r="AC111" s="162">
        <f ca="1"/>
        <v>2.9896888128708055E-2</v>
      </c>
      <c r="AD111" s="162">
        <f ca="1"/>
        <v>4.556222210945704E-2</v>
      </c>
      <c r="AE111" s="138">
        <f ca="1"/>
        <v>7.2242789126114038E-2</v>
      </c>
      <c r="AH111" s="135"/>
      <c r="AI111" s="466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8.2983566879302195E-4</v>
      </c>
      <c r="P112" s="162">
        <f ca="1"/>
        <v>2.8642941472619698E-3</v>
      </c>
      <c r="Q112" s="162">
        <f ca="1"/>
        <v>9.3774002127985367E-3</v>
      </c>
      <c r="R112" s="162">
        <f ca="1"/>
        <v>1.9692790800470261E-2</v>
      </c>
      <c r="S112" s="162">
        <f ca="1"/>
        <v>0</v>
      </c>
      <c r="T112" s="162">
        <f ca="1"/>
        <v>4.9854230071452621E-2</v>
      </c>
      <c r="U112" s="162">
        <f ca="1"/>
        <v>8.5893940737007735E-2</v>
      </c>
      <c r="V112" s="138">
        <f ca="1"/>
        <v>0.14788976665231668</v>
      </c>
      <c r="W112" s="137">
        <f ca="1"/>
        <v>0</v>
      </c>
      <c r="X112" s="162">
        <f ca="1"/>
        <v>9.4832545884104835E-4</v>
      </c>
      <c r="Y112" s="162">
        <f ca="1"/>
        <v>3.0669356256665115E-3</v>
      </c>
      <c r="Z112" s="162">
        <f ca="1"/>
        <v>9.7451949310437547E-3</v>
      </c>
      <c r="AA112" s="162">
        <f ca="1"/>
        <v>2.022214267033251E-2</v>
      </c>
      <c r="AB112" s="162">
        <f ca="1"/>
        <v>0</v>
      </c>
      <c r="AC112" s="162">
        <f ca="1"/>
        <v>5.0684034635900432E-2</v>
      </c>
      <c r="AD112" s="162">
        <f ca="1"/>
        <v>8.7003507689336623E-2</v>
      </c>
      <c r="AE112" s="138">
        <f ca="1"/>
        <v>0.14938828623029077</v>
      </c>
      <c r="AH112" s="135"/>
      <c r="AI112" s="466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1.4221554576263618E-3</v>
      </c>
      <c r="P113" s="162">
        <f ca="1"/>
        <v>3.4651839813418794E-3</v>
      </c>
      <c r="Q113" s="162">
        <f ca="1"/>
        <v>1.160952972350815E-2</v>
      </c>
      <c r="R113" s="162">
        <f ca="1"/>
        <v>2.2335277591955971E-2</v>
      </c>
      <c r="S113" s="162">
        <f ca="1"/>
        <v>0</v>
      </c>
      <c r="T113" s="162">
        <f ca="1"/>
        <v>4.489204877476749E-2</v>
      </c>
      <c r="U113" s="162">
        <f ca="1"/>
        <v>7.4244515930655508E-2</v>
      </c>
      <c r="V113" s="138">
        <f ca="1"/>
        <v>0.13280181840770666</v>
      </c>
      <c r="W113" s="137">
        <f ca="1"/>
        <v>0</v>
      </c>
      <c r="X113" s="162">
        <f ca="1"/>
        <v>1.5405714051989206E-3</v>
      </c>
      <c r="Y113" s="162">
        <f ca="1"/>
        <v>3.6676784452275291E-3</v>
      </c>
      <c r="Z113" s="162">
        <f ca="1"/>
        <v>1.1976491123001254E-2</v>
      </c>
      <c r="AA113" s="162">
        <f ca="1"/>
        <v>2.2863150417530731E-2</v>
      </c>
      <c r="AB113" s="162">
        <f ca="1"/>
        <v>0</v>
      </c>
      <c r="AC113" s="162">
        <f ca="1"/>
        <v>4.5727256551387319E-2</v>
      </c>
      <c r="AD113" s="162">
        <f ca="1"/>
        <v>7.5367391693352714E-2</v>
      </c>
      <c r="AE113" s="138">
        <f ca="1"/>
        <v>0.13432032968903851</v>
      </c>
      <c r="AH113" s="135"/>
      <c r="AI113" s="466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2.1324777229810854E-3</v>
      </c>
      <c r="P114" s="162">
        <f ca="1"/>
        <v>4.267919821599242E-3</v>
      </c>
      <c r="Q114" s="162">
        <f ca="1"/>
        <v>8.5287604860236899E-3</v>
      </c>
      <c r="R114" s="162">
        <f ca="1"/>
        <v>1.4592899891197053E-2</v>
      </c>
      <c r="S114" s="162">
        <f ca="1"/>
        <v>0</v>
      </c>
      <c r="T114" s="162">
        <f ca="1"/>
        <v>3.365652493488458E-2</v>
      </c>
      <c r="U114" s="162">
        <f ca="1"/>
        <v>5.6514599952663613E-2</v>
      </c>
      <c r="V114" s="138">
        <f ca="1"/>
        <v>9.9468105325464906E-2</v>
      </c>
      <c r="W114" s="137">
        <f ca="1"/>
        <v>0</v>
      </c>
      <c r="X114" s="162">
        <f ca="1"/>
        <v>2.2508023855067893E-3</v>
      </c>
      <c r="Y114" s="162">
        <f ca="1"/>
        <v>4.4702256460634748E-3</v>
      </c>
      <c r="Z114" s="162">
        <f ca="1"/>
        <v>8.8965600080516127E-3</v>
      </c>
      <c r="AA114" s="162">
        <f ca="1"/>
        <v>1.5124128993578512E-2</v>
      </c>
      <c r="AB114" s="162">
        <f ca="1"/>
        <v>0</v>
      </c>
      <c r="AC114" s="162">
        <f ca="1"/>
        <v>3.4502125260922889E-2</v>
      </c>
      <c r="AD114" s="162">
        <f ca="1"/>
        <v>5.7660260834190957E-2</v>
      </c>
      <c r="AE114" s="138">
        <f ca="1"/>
        <v>0.10103479252693159</v>
      </c>
      <c r="AH114" s="135"/>
      <c r="AI114" s="466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7.1132972843845899E-4</v>
      </c>
      <c r="P115" s="162">
        <f ca="1"/>
        <v>1.6307230605586698E-3</v>
      </c>
      <c r="Q115" s="162">
        <f ca="1"/>
        <v>5.2506555144492539E-3</v>
      </c>
      <c r="R115" s="162">
        <f ca="1"/>
        <v>1.0399613149868481E-2</v>
      </c>
      <c r="S115" s="162">
        <f ca="1"/>
        <v>0</v>
      </c>
      <c r="T115" s="162">
        <f ca="1"/>
        <v>2.69099220278739E-2</v>
      </c>
      <c r="U115" s="162">
        <f ca="1"/>
        <v>4.6001478234742987E-2</v>
      </c>
      <c r="V115" s="138">
        <f ca="1"/>
        <v>8.7105849279449199E-2</v>
      </c>
      <c r="W115" s="137">
        <f ca="1"/>
        <v>0</v>
      </c>
      <c r="X115" s="162">
        <f ca="1"/>
        <v>8.2983405341885419E-4</v>
      </c>
      <c r="Y115" s="162">
        <f ca="1"/>
        <v>1.8335595656702175E-3</v>
      </c>
      <c r="Z115" s="162">
        <f ca="1"/>
        <v>5.6198378714237274E-3</v>
      </c>
      <c r="AA115" s="162">
        <f ca="1"/>
        <v>1.093339754771816E-2</v>
      </c>
      <c r="AB115" s="162">
        <f ca="1"/>
        <v>0</v>
      </c>
      <c r="AC115" s="162">
        <f ca="1"/>
        <v>2.7762515899062534E-2</v>
      </c>
      <c r="AD115" s="162">
        <f ca="1"/>
        <v>4.7160977327941334E-2</v>
      </c>
      <c r="AE115" s="138">
        <f ca="1"/>
        <v>8.8694476540336575E-2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1.0668055594751369E-3</v>
      </c>
      <c r="P116" s="162">
        <f ca="1"/>
        <v>2.0329740144949815E-3</v>
      </c>
      <c r="Q116" s="162">
        <f ca="1"/>
        <v>6.7447569386286377E-3</v>
      </c>
      <c r="R116" s="162">
        <f ca="1"/>
        <v>1.1427693013967843E-2</v>
      </c>
      <c r="S116" s="162">
        <f ca="1"/>
        <v>0</v>
      </c>
      <c r="T116" s="162">
        <f ca="1"/>
        <v>2.9503405746619582E-2</v>
      </c>
      <c r="U116" s="162">
        <f ca="1"/>
        <v>5.0845776892042394E-2</v>
      </c>
      <c r="V116" s="138">
        <f ca="1"/>
        <v>9.1703852248702367E-2</v>
      </c>
      <c r="W116" s="137">
        <f ca="1"/>
        <v>0</v>
      </c>
      <c r="X116" s="162">
        <f ca="1"/>
        <v>1.1852660484611421E-3</v>
      </c>
      <c r="Y116" s="162">
        <f ca="1"/>
        <v>2.235716217409478E-3</v>
      </c>
      <c r="Z116" s="162">
        <f ca="1"/>
        <v>7.1134165778203862E-3</v>
      </c>
      <c r="AA116" s="162">
        <f ca="1"/>
        <v>1.1960792462257119E-2</v>
      </c>
      <c r="AB116" s="162">
        <f ca="1"/>
        <v>0</v>
      </c>
      <c r="AC116" s="162">
        <f ca="1"/>
        <v>3.0353370811026736E-2</v>
      </c>
      <c r="AD116" s="162">
        <f ca="1"/>
        <v>5.1999328499558684E-2</v>
      </c>
      <c r="AE116" s="138">
        <f ca="1"/>
        <v>9.3284134380851258E-2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5.92809788134252E-4</v>
      </c>
      <c r="P117" s="162">
        <f ca="1"/>
        <v>1.4278436744080691E-3</v>
      </c>
      <c r="Q117" s="162">
        <f ca="1"/>
        <v>4.501265066182758E-3</v>
      </c>
      <c r="R117" s="162">
        <f ca="1"/>
        <v>9.8832168455255109E-3</v>
      </c>
      <c r="S117" s="162">
        <f ca="1"/>
        <v>0</v>
      </c>
      <c r="T117" s="162">
        <f ca="1"/>
        <v>2.6072619740150627E-2</v>
      </c>
      <c r="U117" s="162">
        <f ca="1"/>
        <v>4.3522142237371497E-2</v>
      </c>
      <c r="V117" s="138">
        <f ca="1"/>
        <v>8.3792633858175369E-2</v>
      </c>
      <c r="W117" s="137">
        <f ca="1"/>
        <v>0</v>
      </c>
      <c r="X117" s="162">
        <f ca="1"/>
        <v>7.1132857205080668E-4</v>
      </c>
      <c r="Y117" s="162">
        <f ca="1"/>
        <v>1.6307216884168252E-3</v>
      </c>
      <c r="Z117" s="162">
        <f ca="1"/>
        <v>4.8706997439680322E-3</v>
      </c>
      <c r="AA117" s="162">
        <f ca="1"/>
        <v>1.0417338543382115E-2</v>
      </c>
      <c r="AB117" s="162">
        <f ca="1"/>
        <v>0</v>
      </c>
      <c r="AC117" s="162">
        <f ca="1"/>
        <v>2.692610940262552E-2</v>
      </c>
      <c r="AD117" s="162">
        <f ca="1"/>
        <v>4.4684624747573176E-2</v>
      </c>
      <c r="AE117" s="138">
        <f ca="1"/>
        <v>8.5362899411047022E-2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2.3716594248646139E-4</v>
      </c>
      <c r="P118" s="162">
        <f ca="1"/>
        <v>1.0252868952381755E-3</v>
      </c>
      <c r="Q118" s="162">
        <f ca="1"/>
        <v>3.7652919310199318E-3</v>
      </c>
      <c r="R118" s="162">
        <f ca="1"/>
        <v>8.2540123369105878E-3</v>
      </c>
      <c r="S118" s="162">
        <f ca="1"/>
        <v>0</v>
      </c>
      <c r="T118" s="162">
        <f ca="1"/>
        <v>2.0688437594849507E-2</v>
      </c>
      <c r="U118" s="162">
        <f ca="1"/>
        <v>3.4926057907714192E-2</v>
      </c>
      <c r="V118" s="138">
        <f ca="1"/>
        <v>6.2293901515312999E-2</v>
      </c>
      <c r="W118" s="137">
        <f ca="1"/>
        <v>0</v>
      </c>
      <c r="X118" s="162">
        <f ca="1"/>
        <v>3.5572765515312632E-4</v>
      </c>
      <c r="Y118" s="162">
        <f ca="1"/>
        <v>1.2282592804744308E-3</v>
      </c>
      <c r="Z118" s="162">
        <f ca="1"/>
        <v>4.1350194152827147E-3</v>
      </c>
      <c r="AA118" s="162">
        <f ca="1"/>
        <v>8.7889506872708134E-3</v>
      </c>
      <c r="AB118" s="162">
        <f ca="1"/>
        <v>0</v>
      </c>
      <c r="AC118" s="162">
        <f ca="1"/>
        <v>2.1546654321206837E-2</v>
      </c>
      <c r="AD118" s="162">
        <f ca="1"/>
        <v>3.60982945444559E-2</v>
      </c>
      <c r="AE118" s="138">
        <f ca="1"/>
        <v>6.390599026697652E-2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7.1132972843845899E-4</v>
      </c>
      <c r="P119" s="162">
        <f ca="1"/>
        <v>1.8369339370009063E-3</v>
      </c>
      <c r="Q119" s="162">
        <f ca="1"/>
        <v>6.3827972374037589E-3</v>
      </c>
      <c r="R119" s="162">
        <f ca="1"/>
        <v>1.3149656784288699E-2</v>
      </c>
      <c r="S119" s="162">
        <f ca="1"/>
        <v>0</v>
      </c>
      <c r="T119" s="162">
        <f ca="1"/>
        <v>3.403334578233197E-2</v>
      </c>
      <c r="U119" s="162">
        <f ca="1"/>
        <v>6.0870028444480639E-2</v>
      </c>
      <c r="V119" s="138">
        <f ca="1"/>
        <v>0.11278075705768986</v>
      </c>
      <c r="W119" s="137">
        <f ca="1"/>
        <v>0</v>
      </c>
      <c r="X119" s="162">
        <f ca="1"/>
        <v>8.2983405341885419E-4</v>
      </c>
      <c r="Y119" s="162">
        <f ca="1"/>
        <v>2.0397401393977832E-3</v>
      </c>
      <c r="Z119" s="162">
        <f ca="1"/>
        <v>6.7516220129467674E-3</v>
      </c>
      <c r="AA119" s="162">
        <f ca="1"/>
        <v>1.3682189959969282E-2</v>
      </c>
      <c r="AB119" s="162">
        <f ca="1"/>
        <v>0</v>
      </c>
      <c r="AC119" s="162">
        <f ca="1"/>
        <v>3.4879353909113564E-2</v>
      </c>
      <c r="AD119" s="162">
        <f ca="1"/>
        <v>6.2011806536736658E-2</v>
      </c>
      <c r="AE119" s="138">
        <f ca="1"/>
        <v>0.11433322939435786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1.3510955494127064E-3</v>
      </c>
      <c r="P120" s="162">
        <f ca="1"/>
        <v>3.3436626401006642E-3</v>
      </c>
      <c r="Q120" s="162">
        <f ca="1"/>
        <v>8.8133854055703065E-3</v>
      </c>
      <c r="R120" s="162">
        <f ca="1"/>
        <v>1.5873579765606549E-2</v>
      </c>
      <c r="S120" s="162">
        <f ca="1"/>
        <v>0</v>
      </c>
      <c r="T120" s="162">
        <f ca="1"/>
        <v>3.5453529794571614E-2</v>
      </c>
      <c r="U120" s="162">
        <f ca="1"/>
        <v>5.362115743416529E-2</v>
      </c>
      <c r="V120" s="138">
        <f ca="1"/>
        <v>8.0230834969305276E-2</v>
      </c>
      <c r="W120" s="137">
        <f ca="1"/>
        <v>0</v>
      </c>
      <c r="X120" s="162">
        <f ca="1"/>
        <v>1.469520462742957E-3</v>
      </c>
      <c r="Y120" s="162">
        <f ca="1"/>
        <v>3.5461822011320088E-3</v>
      </c>
      <c r="Z120" s="162">
        <f ca="1"/>
        <v>9.1812637082778759E-3</v>
      </c>
      <c r="AA120" s="162">
        <f ca="1"/>
        <v>1.6404468729513177E-2</v>
      </c>
      <c r="AB120" s="162">
        <f ca="1"/>
        <v>0</v>
      </c>
      <c r="AC120" s="162">
        <f ca="1"/>
        <v>3.6297712391815118E-2</v>
      </c>
      <c r="AD120" s="162">
        <f ca="1"/>
        <v>5.476995985735611E-2</v>
      </c>
      <c r="AE120" s="138">
        <f ca="1"/>
        <v>8.1807498961091296E-2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1.3629392170944055E-3</v>
      </c>
      <c r="P121" s="162">
        <f ca="1"/>
        <v>3.6935035072079847E-3</v>
      </c>
      <c r="Q121" s="162">
        <f ca="1"/>
        <v>1.0467248760520964E-2</v>
      </c>
      <c r="R121" s="162">
        <f ca="1"/>
        <v>1.9028350150834927E-2</v>
      </c>
      <c r="S121" s="162">
        <f ca="1"/>
        <v>0</v>
      </c>
      <c r="T121" s="162">
        <f ca="1"/>
        <v>4.0622714248587655E-2</v>
      </c>
      <c r="U121" s="162">
        <f ca="1"/>
        <v>6.3240914663364123E-2</v>
      </c>
      <c r="V121" s="138">
        <f ca="1"/>
        <v>9.714446317254033E-2</v>
      </c>
      <c r="W121" s="137">
        <f ca="1"/>
        <v>0</v>
      </c>
      <c r="X121" s="162">
        <f ca="1"/>
        <v>1.4813626381441347E-3</v>
      </c>
      <c r="Y121" s="162">
        <f ca="1"/>
        <v>3.8959689190745106E-3</v>
      </c>
      <c r="Z121" s="162">
        <f ca="1"/>
        <v>1.0834575173736871E-2</v>
      </c>
      <c r="AA121" s="162">
        <f ca="1"/>
        <v>1.9557718270047153E-2</v>
      </c>
      <c r="AB121" s="162">
        <f ca="1"/>
        <v>0</v>
      </c>
      <c r="AC121" s="162">
        <f ca="1"/>
        <v>4.1461906631134138E-2</v>
      </c>
      <c r="AD121" s="162">
        <f ca="1"/>
        <v>6.4377932308637198E-2</v>
      </c>
      <c r="AE121" s="138">
        <f ca="1"/>
        <v>9.8689453409355199E-2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3.5572789762250423E-4</v>
      </c>
      <c r="P122" s="162">
        <f ca="1"/>
        <v>6.093102263552419E-4</v>
      </c>
      <c r="Q122" s="162">
        <f ca="1"/>
        <v>2.6348223928865933E-3</v>
      </c>
      <c r="R122" s="162">
        <f ca="1"/>
        <v>5.4985705382740724E-3</v>
      </c>
      <c r="S122" s="162">
        <f ca="1"/>
        <v>0</v>
      </c>
      <c r="T122" s="162">
        <f ca="1"/>
        <v>1.5369659348887788E-2</v>
      </c>
      <c r="U122" s="162">
        <f ca="1"/>
        <v>2.7705169534139484E-2</v>
      </c>
      <c r="V122" s="138">
        <f ca="1"/>
        <v>5.0365831382911841E-2</v>
      </c>
      <c r="W122" s="137">
        <f ca="1"/>
        <v>0</v>
      </c>
      <c r="X122" s="162">
        <f ca="1"/>
        <v>4.7427537457878088E-4</v>
      </c>
      <c r="Y122" s="162">
        <f ca="1"/>
        <v>8.1233095605526273E-4</v>
      </c>
      <c r="Z122" s="162">
        <f ca="1"/>
        <v>3.0049051454453801E-3</v>
      </c>
      <c r="AA122" s="162">
        <f ca="1"/>
        <v>6.0347461492313847E-3</v>
      </c>
      <c r="AB122" s="162">
        <f ca="1"/>
        <v>0</v>
      </c>
      <c r="AC122" s="162">
        <f ca="1"/>
        <v>1.6232445849370336E-2</v>
      </c>
      <c r="AD122" s="162">
        <f ca="1"/>
        <v>2.8886016414296001E-2</v>
      </c>
      <c r="AE122" s="138">
        <f ca="1"/>
        <v>5.1999893982797363E-2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8.2983566879302195E-4</v>
      </c>
      <c r="P123" s="162">
        <f ca="1"/>
        <v>2.452053191280279E-3</v>
      </c>
      <c r="Q123" s="162">
        <f ca="1"/>
        <v>7.1166775365891777E-3</v>
      </c>
      <c r="R123" s="162">
        <f ca="1"/>
        <v>1.4210923829425459E-2</v>
      </c>
      <c r="S123" s="162">
        <f ca="1"/>
        <v>0</v>
      </c>
      <c r="T123" s="162">
        <f ca="1"/>
        <v>3.3883575064096672E-2</v>
      </c>
      <c r="U123" s="162">
        <f ca="1"/>
        <v>5.6744387463104951E-2</v>
      </c>
      <c r="V123" s="138">
        <f ca="1"/>
        <v>9.5854324253155876E-2</v>
      </c>
      <c r="W123" s="137">
        <f ca="1"/>
        <v>0</v>
      </c>
      <c r="X123" s="162">
        <f ca="1"/>
        <v>9.4832545884104835E-4</v>
      </c>
      <c r="Y123" s="162">
        <f ca="1"/>
        <v>2.6547565723062938E-3</v>
      </c>
      <c r="Z123" s="162">
        <f ca="1"/>
        <v>7.4852104275057174E-3</v>
      </c>
      <c r="AA123" s="162">
        <f ca="1"/>
        <v>1.4742851104915911E-2</v>
      </c>
      <c r="AB123" s="162">
        <f ca="1"/>
        <v>0</v>
      </c>
      <c r="AC123" s="162">
        <f ca="1"/>
        <v>3.4729585336186419E-2</v>
      </c>
      <c r="AD123" s="162">
        <f ca="1"/>
        <v>5.7890586085451945E-2</v>
      </c>
      <c r="AE123" s="138">
        <f ca="1"/>
        <v>9.7402504232960818E-2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7.1132972843845899E-4</v>
      </c>
      <c r="P124" s="162">
        <f ca="1"/>
        <v>1.6307230605586698E-3</v>
      </c>
      <c r="Q124" s="162">
        <f ca="1"/>
        <v>5.2506555144492539E-3</v>
      </c>
      <c r="R124" s="162">
        <f ca="1"/>
        <v>1.0962177918293792E-2</v>
      </c>
      <c r="S124" s="162">
        <f ca="1"/>
        <v>0</v>
      </c>
      <c r="T124" s="162">
        <f ca="1"/>
        <v>2.7794368199941411E-2</v>
      </c>
      <c r="U124" s="162">
        <f ca="1"/>
        <v>4.8525571020864966E-2</v>
      </c>
      <c r="V124" s="138">
        <f ca="1"/>
        <v>8.2706221817059888E-2</v>
      </c>
      <c r="W124" s="137">
        <f ca="1"/>
        <v>0</v>
      </c>
      <c r="X124" s="162">
        <f ca="1"/>
        <v>8.2983405341885419E-4</v>
      </c>
      <c r="Y124" s="162">
        <f ca="1"/>
        <v>1.8335595656702175E-3</v>
      </c>
      <c r="Z124" s="162">
        <f ca="1"/>
        <v>5.6198378714237274E-3</v>
      </c>
      <c r="AA124" s="162">
        <f ca="1"/>
        <v>1.14957431916346E-2</v>
      </c>
      <c r="AB124" s="162">
        <f ca="1"/>
        <v>0</v>
      </c>
      <c r="AC124" s="162">
        <f ca="1"/>
        <v>2.8646199015583851E-2</v>
      </c>
      <c r="AD124" s="162">
        <f ca="1"/>
        <v>4.968215149362587E-2</v>
      </c>
      <c r="AE124" s="138">
        <f ca="1"/>
        <v>8.4281046997821685E-2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2.4874502238493301E-3</v>
      </c>
      <c r="P125" s="162">
        <f ca="1"/>
        <v>4.2573805582329927E-3</v>
      </c>
      <c r="Q125" s="162">
        <f ca="1"/>
        <v>1.4193184986253105E-2</v>
      </c>
      <c r="R125" s="162">
        <f ca="1"/>
        <v>3.8850828221937084E-2</v>
      </c>
      <c r="S125" s="162">
        <f ca="1"/>
        <v>0</v>
      </c>
      <c r="T125" s="162">
        <f ca="1"/>
        <v>8.4036146549356427E-2</v>
      </c>
      <c r="U125" s="162">
        <f ca="1"/>
        <v>0.13729264005598396</v>
      </c>
      <c r="V125" s="138">
        <f ca="1"/>
        <v>0.21671784442073294</v>
      </c>
      <c r="W125" s="137">
        <f ca="1"/>
        <v>0</v>
      </c>
      <c r="X125" s="162">
        <f ca="1"/>
        <v>2.6057281000086974E-3</v>
      </c>
      <c r="Y125" s="162">
        <f ca="1"/>
        <v>4.459654275886682E-3</v>
      </c>
      <c r="Z125" s="162">
        <f ca="1"/>
        <v>1.4559105458813226E-2</v>
      </c>
      <c r="AA125" s="162">
        <f ca="1"/>
        <v>3.9369994961303778E-2</v>
      </c>
      <c r="AB125" s="162">
        <f ca="1"/>
        <v>0</v>
      </c>
      <c r="AC125" s="162">
        <f ca="1"/>
        <v>8.4848074477938407E-2</v>
      </c>
      <c r="AD125" s="162">
        <f ca="1"/>
        <v>0.1383585172504026</v>
      </c>
      <c r="AE125" s="138">
        <f ca="1"/>
        <v>0.21810188076187376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1.6589854600841392E-3</v>
      </c>
      <c r="P126" s="162">
        <f ca="1"/>
        <v>3.4582498475298484E-3</v>
      </c>
      <c r="Q126" s="162">
        <f ca="1"/>
        <v>1.1980739923423966E-2</v>
      </c>
      <c r="R126" s="162">
        <f ca="1"/>
        <v>2.3985521169763824E-2</v>
      </c>
      <c r="S126" s="162">
        <f ca="1"/>
        <v>0</v>
      </c>
      <c r="T126" s="162">
        <f ca="1"/>
        <v>5.6604193772330391E-2</v>
      </c>
      <c r="U126" s="162">
        <f ca="1"/>
        <v>9.7495766945403739E-2</v>
      </c>
      <c r="V126" s="138">
        <f ca="1"/>
        <v>0.15756616625554121</v>
      </c>
      <c r="W126" s="137">
        <f ca="1"/>
        <v>0</v>
      </c>
      <c r="X126" s="162">
        <f ca="1"/>
        <v>1.7773713108417688E-3</v>
      </c>
      <c r="Y126" s="162">
        <f ca="1"/>
        <v>3.6607227841097822E-3</v>
      </c>
      <c r="Z126" s="162">
        <f ca="1"/>
        <v>1.2347552251943505E-2</v>
      </c>
      <c r="AA126" s="162">
        <f ca="1"/>
        <v>2.4512607623841665E-2</v>
      </c>
      <c r="AB126" s="162">
        <f ca="1"/>
        <v>0</v>
      </c>
      <c r="AC126" s="162">
        <f ca="1"/>
        <v>5.7426628816162673E-2</v>
      </c>
      <c r="AD126" s="162">
        <f ca="1"/>
        <v>9.8588531774297605E-2</v>
      </c>
      <c r="AE126" s="138">
        <f ca="1"/>
        <v>0.15904637770711649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3.5572789762250423E-4</v>
      </c>
      <c r="P127" s="162">
        <f ca="1"/>
        <v>1.2282605211381137E-3</v>
      </c>
      <c r="Q127" s="162">
        <f ca="1"/>
        <v>4.1350494586581688E-3</v>
      </c>
      <c r="R127" s="162">
        <f ca="1"/>
        <v>7.6625004117780726E-3</v>
      </c>
      <c r="S127" s="162">
        <f ca="1"/>
        <v>0</v>
      </c>
      <c r="T127" s="162">
        <f ca="1"/>
        <v>1.9770678172775447E-2</v>
      </c>
      <c r="U127" s="162">
        <f ca="1"/>
        <v>3.2351913252981257E-2</v>
      </c>
      <c r="V127" s="138">
        <f ca="1"/>
        <v>5.4861492337753059E-2</v>
      </c>
      <c r="W127" s="137">
        <f ca="1"/>
        <v>0</v>
      </c>
      <c r="X127" s="162">
        <f ca="1"/>
        <v>4.7427537457878088E-4</v>
      </c>
      <c r="Y127" s="162">
        <f ca="1"/>
        <v>1.4311913875183491E-3</v>
      </c>
      <c r="Z127" s="162">
        <f ca="1"/>
        <v>4.5046361842145943E-3</v>
      </c>
      <c r="AA127" s="162">
        <f ca="1"/>
        <v>8.1975708194097496E-3</v>
      </c>
      <c r="AB127" s="162">
        <f ca="1"/>
        <v>0</v>
      </c>
      <c r="AC127" s="162">
        <f ca="1"/>
        <v>2.0629550379011485E-2</v>
      </c>
      <c r="AD127" s="162">
        <f ca="1"/>
        <v>3.3526803788027304E-2</v>
      </c>
      <c r="AE127" s="138">
        <f ca="1"/>
        <v>5.648625528924256E-2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5.92809788134252E-4</v>
      </c>
      <c r="P128" s="162">
        <f ca="1"/>
        <v>2.2527006267990535E-3</v>
      </c>
      <c r="Q128" s="162">
        <f ca="1"/>
        <v>7.1309310699988471E-3</v>
      </c>
      <c r="R128" s="162">
        <f ca="1"/>
        <v>1.3663850061309879E-2</v>
      </c>
      <c r="S128" s="162">
        <f ca="1"/>
        <v>0</v>
      </c>
      <c r="T128" s="162">
        <f ca="1"/>
        <v>3.3941273100687175E-2</v>
      </c>
      <c r="U128" s="162">
        <f ca="1"/>
        <v>5.6802611063304642E-2</v>
      </c>
      <c r="V128" s="138">
        <f ca="1"/>
        <v>9.7825049497476502E-2</v>
      </c>
      <c r="W128" s="137">
        <f ca="1"/>
        <v>0</v>
      </c>
      <c r="X128" s="162">
        <f ca="1"/>
        <v>7.1132857205080668E-4</v>
      </c>
      <c r="Y128" s="162">
        <f ca="1"/>
        <v>2.4554567030234953E-3</v>
      </c>
      <c r="Z128" s="162">
        <f ca="1"/>
        <v>7.4995028649548212E-3</v>
      </c>
      <c r="AA128" s="162">
        <f ca="1"/>
        <v>1.41960471825886E-2</v>
      </c>
      <c r="AB128" s="162">
        <f ca="1"/>
        <v>0</v>
      </c>
      <c r="AC128" s="162">
        <f ca="1"/>
        <v>3.4787236718311187E-2</v>
      </c>
      <c r="AD128" s="162">
        <f ca="1"/>
        <v>5.7948964247867885E-2</v>
      </c>
      <c r="AE128" s="138">
        <f ca="1"/>
        <v>9.9394275384472208E-2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1.1852695147550607E-3</v>
      </c>
      <c r="P129" s="162">
        <f ca="1"/>
        <v>3.2660960174130116E-3</v>
      </c>
      <c r="Q129" s="162">
        <f ca="1"/>
        <v>8.9729000813560944E-3</v>
      </c>
      <c r="R129" s="162">
        <f ca="1"/>
        <v>1.6883461971419322E-2</v>
      </c>
      <c r="S129" s="162">
        <f ca="1"/>
        <v>0</v>
      </c>
      <c r="T129" s="162">
        <f ca="1"/>
        <v>4.6405338297784371E-2</v>
      </c>
      <c r="U129" s="162">
        <f ca="1"/>
        <v>7.7366777861660352E-2</v>
      </c>
      <c r="V129" s="138">
        <f ca="1"/>
        <v>0.12339684830639919</v>
      </c>
      <c r="W129" s="137">
        <f ca="1"/>
        <v>0</v>
      </c>
      <c r="X129" s="162">
        <f ca="1"/>
        <v>1.3037152360358961E-3</v>
      </c>
      <c r="Y129" s="162">
        <f ca="1"/>
        <v>3.4686430370044485E-3</v>
      </c>
      <c r="Z129" s="162">
        <f ca="1"/>
        <v>9.3407527311551997E-3</v>
      </c>
      <c r="AA129" s="162">
        <f ca="1"/>
        <v>1.7413949247645832E-2</v>
      </c>
      <c r="AB129" s="162">
        <f ca="1"/>
        <v>0</v>
      </c>
      <c r="AC129" s="162">
        <f ca="1"/>
        <v>4.7238326039413137E-2</v>
      </c>
      <c r="AD129" s="162">
        <f ca="1"/>
        <v>7.8488127365071714E-2</v>
      </c>
      <c r="AE129" s="138">
        <f ca="1"/>
        <v>0.12492579785252733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8.2983566879302195E-4</v>
      </c>
      <c r="P130" s="162">
        <f ca="1"/>
        <v>2.0397426172065192E-3</v>
      </c>
      <c r="Q130" s="162">
        <f ca="1"/>
        <v>6.3721027501438821E-3</v>
      </c>
      <c r="R130" s="162">
        <f ca="1"/>
        <v>1.3138736335244983E-2</v>
      </c>
      <c r="S130" s="162">
        <f ca="1"/>
        <v>0</v>
      </c>
      <c r="T130" s="162">
        <f ca="1"/>
        <v>3.4022003737693707E-2</v>
      </c>
      <c r="U130" s="162">
        <f ca="1"/>
        <v>5.9534120651850375E-2</v>
      </c>
      <c r="V130" s="138">
        <f ca="1"/>
        <v>0.10525300900425227</v>
      </c>
      <c r="W130" s="137">
        <f ca="1"/>
        <v>0</v>
      </c>
      <c r="X130" s="162">
        <f ca="1"/>
        <v>9.4832545884104835E-4</v>
      </c>
      <c r="Y130" s="162">
        <f ca="1"/>
        <v>2.242507228336077E-3</v>
      </c>
      <c r="Z130" s="162">
        <f ca="1"/>
        <v>6.7408990617401354E-3</v>
      </c>
      <c r="AA130" s="162">
        <f ca="1"/>
        <v>1.3671235668393344E-2</v>
      </c>
      <c r="AB130" s="162">
        <f ca="1"/>
        <v>0</v>
      </c>
      <c r="AC130" s="162">
        <f ca="1"/>
        <v>3.4867982579147361E-2</v>
      </c>
      <c r="AD130" s="162">
        <f ca="1"/>
        <v>6.0677515066146936E-2</v>
      </c>
      <c r="AE130" s="138">
        <f ca="1"/>
        <v>0.10681377441562545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1.3037194799899732E-3</v>
      </c>
      <c r="P131" s="162">
        <f ca="1"/>
        <v>3.0566114245655918E-3</v>
      </c>
      <c r="Q131" s="162">
        <f ca="1"/>
        <v>7.0809024618746497E-3</v>
      </c>
      <c r="R131" s="162">
        <f ca="1"/>
        <v>1.4174410864874365E-2</v>
      </c>
      <c r="S131" s="162">
        <f ca="1"/>
        <v>0</v>
      </c>
      <c r="T131" s="162">
        <f ca="1"/>
        <v>3.3845933544582096E-2</v>
      </c>
      <c r="U131" s="162">
        <f ca="1"/>
        <v>5.8030893640535819E-2</v>
      </c>
      <c r="V131" s="138">
        <f ca="1"/>
        <v>9.9470598151953582E-2</v>
      </c>
      <c r="W131" s="137">
        <f ca="1"/>
        <v>0</v>
      </c>
      <c r="X131" s="162">
        <f ca="1"/>
        <v>1.4221503544191716E-3</v>
      </c>
      <c r="Y131" s="162">
        <f ca="1"/>
        <v>3.2591786827247393E-3</v>
      </c>
      <c r="Z131" s="162">
        <f ca="1"/>
        <v>7.4493387727756488E-3</v>
      </c>
      <c r="AA131" s="162">
        <f ca="1"/>
        <v>1.470622647070674E-2</v>
      </c>
      <c r="AB131" s="162">
        <f ca="1"/>
        <v>0</v>
      </c>
      <c r="AC131" s="162">
        <f ca="1"/>
        <v>3.4691847060404291E-2</v>
      </c>
      <c r="AD131" s="162">
        <f ca="1"/>
        <v>5.9175442668554012E-2</v>
      </c>
      <c r="AE131" s="138">
        <f ca="1"/>
        <v>0.10103733947696947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9.4832761164653778E-4</v>
      </c>
      <c r="P132" s="162">
        <f ca="1"/>
        <v>2.0363581548150655E-3</v>
      </c>
      <c r="Q132" s="162">
        <f ca="1"/>
        <v>7.1277570026859749E-3</v>
      </c>
      <c r="R132" s="162">
        <f ca="1"/>
        <v>1.3098914180217802E-2</v>
      </c>
      <c r="S132" s="162">
        <f ca="1"/>
        <v>0</v>
      </c>
      <c r="T132" s="162">
        <f ca="1"/>
        <v>3.398065397556449E-2</v>
      </c>
      <c r="U132" s="162">
        <f ca="1"/>
        <v>5.5516804598165992E-2</v>
      </c>
      <c r="V132" s="138">
        <f ca="1"/>
        <v>9.4205660424646842E-2</v>
      </c>
      <c r="W132" s="137">
        <f ca="1"/>
        <v>0</v>
      </c>
      <c r="X132" s="162">
        <f ca="1"/>
        <v>1.0668027899637389E-3</v>
      </c>
      <c r="Y132" s="162">
        <f ca="1"/>
        <v>2.2391115883493296E-3</v>
      </c>
      <c r="Z132" s="162">
        <f ca="1"/>
        <v>7.496311996131988E-3</v>
      </c>
      <c r="AA132" s="162">
        <f ca="1"/>
        <v>1.3631326459947912E-2</v>
      </c>
      <c r="AB132" s="162">
        <f ca="1"/>
        <v>0</v>
      </c>
      <c r="AC132" s="162">
        <f ca="1"/>
        <v>3.4826520309762077E-2</v>
      </c>
      <c r="AD132" s="162">
        <f ca="1"/>
        <v>5.6664808110524989E-2</v>
      </c>
      <c r="AE132" s="138">
        <f ca="1"/>
        <v>9.5756959009671183E-2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8.2983566879302195E-4</v>
      </c>
      <c r="P133" s="162">
        <f ca="1"/>
        <v>1.6273624074436555E-3</v>
      </c>
      <c r="Q133" s="162">
        <f ca="1"/>
        <v>4.8673217536403524E-3</v>
      </c>
      <c r="R133" s="162">
        <f ca="1"/>
        <v>9.2884580672629724E-3</v>
      </c>
      <c r="S133" s="162">
        <f ca="1"/>
        <v>0</v>
      </c>
      <c r="T133" s="162">
        <f ca="1"/>
        <v>2.4226522034259124E-2</v>
      </c>
      <c r="U133" s="162">
        <f ca="1"/>
        <v>3.8381827389493028E-2</v>
      </c>
      <c r="V133" s="138">
        <f ca="1"/>
        <v>6.9057498758252733E-2</v>
      </c>
      <c r="W133" s="137">
        <f ca="1"/>
        <v>0</v>
      </c>
      <c r="X133" s="162">
        <f ca="1"/>
        <v>9.4832545884104835E-4</v>
      </c>
      <c r="Y133" s="162">
        <f ca="1"/>
        <v>1.8301875899737752E-3</v>
      </c>
      <c r="Z133" s="162">
        <f ca="1"/>
        <v>5.2366042259883727E-3</v>
      </c>
      <c r="AA133" s="162">
        <f ca="1"/>
        <v>9.8227083646335034E-3</v>
      </c>
      <c r="AB133" s="162">
        <f ca="1"/>
        <v>0</v>
      </c>
      <c r="AC133" s="162">
        <f ca="1"/>
        <v>2.5081466094941329E-2</v>
      </c>
      <c r="AD133" s="162">
        <f ca="1"/>
        <v>3.9549694450950357E-2</v>
      </c>
      <c r="AE133" s="138">
        <f ca="1"/>
        <v>7.0656243731588741E-2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3.5572789762250423E-4</v>
      </c>
      <c r="P134" s="162">
        <f ca="1"/>
        <v>1.2282605211381137E-3</v>
      </c>
      <c r="Q134" s="162">
        <f ca="1"/>
        <v>4.8952499324488308E-3</v>
      </c>
      <c r="R134" s="162">
        <f ca="1"/>
        <v>9.8796159586989063E-3</v>
      </c>
      <c r="S134" s="162">
        <f ca="1"/>
        <v>0</v>
      </c>
      <c r="T134" s="162">
        <f ca="1"/>
        <v>2.6068902985457054E-2</v>
      </c>
      <c r="U134" s="162">
        <f ca="1"/>
        <v>4.3518376701176531E-2</v>
      </c>
      <c r="V134" s="138">
        <f ca="1"/>
        <v>7.9875683327510827E-2</v>
      </c>
      <c r="W134" s="137">
        <f ca="1"/>
        <v>0</v>
      </c>
      <c r="X134" s="162">
        <f ca="1"/>
        <v>4.7427537457878088E-4</v>
      </c>
      <c r="Y134" s="162">
        <f ca="1"/>
        <v>1.4311913875183491E-3</v>
      </c>
      <c r="Z134" s="162">
        <f ca="1"/>
        <v>5.2646150505135658E-3</v>
      </c>
      <c r="AA134" s="162">
        <f ca="1"/>
        <v>1.0413739253456233E-2</v>
      </c>
      <c r="AB134" s="162">
        <f ca="1"/>
        <v>0</v>
      </c>
      <c r="AC134" s="162">
        <f ca="1"/>
        <v>2.6922379002836005E-2</v>
      </c>
      <c r="AD134" s="162">
        <f ca="1"/>
        <v>4.4680846979480826E-2</v>
      </c>
      <c r="AE134" s="138">
        <f ca="1"/>
        <v>8.1454517060154719E-2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7.1132972843845899E-4</v>
      </c>
      <c r="P135" s="162">
        <f ca="1"/>
        <v>1.8369339370009063E-3</v>
      </c>
      <c r="Q135" s="162">
        <f ca="1"/>
        <v>6.7624364571988727E-3</v>
      </c>
      <c r="R135" s="162">
        <f ca="1"/>
        <v>1.3693326451983512E-2</v>
      </c>
      <c r="S135" s="162">
        <f ca="1"/>
        <v>0</v>
      </c>
      <c r="T135" s="162">
        <f ca="1"/>
        <v>3.4894495499694922E-2</v>
      </c>
      <c r="U135" s="162">
        <f ca="1"/>
        <v>5.9382528515999677E-2</v>
      </c>
      <c r="V135" s="138">
        <f ca="1"/>
        <v>0.11088320457160095</v>
      </c>
      <c r="W135" s="137">
        <f ca="1"/>
        <v>0</v>
      </c>
      <c r="X135" s="162">
        <f ca="1"/>
        <v>8.2983405341885419E-4</v>
      </c>
      <c r="Y135" s="162">
        <f ca="1"/>
        <v>2.0397401393977832E-3</v>
      </c>
      <c r="Z135" s="162">
        <f ca="1"/>
        <v>7.1311460364857915E-3</v>
      </c>
      <c r="AA135" s="162">
        <f ca="1"/>
        <v>1.4225597074496665E-2</v>
      </c>
      <c r="AB135" s="162">
        <f ca="1"/>
        <v>0</v>
      </c>
      <c r="AC135" s="162">
        <f ca="1"/>
        <v>3.5739661691428504E-2</v>
      </c>
      <c r="AD135" s="162">
        <f ca="1"/>
        <v>6.0526039734171033E-2</v>
      </c>
      <c r="AE135" s="138">
        <f ca="1"/>
        <v>0.1124376122522267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1.3984693809822035E-3</v>
      </c>
      <c r="P136" s="162">
        <f ca="1"/>
        <v>3.115664193503842E-3</v>
      </c>
      <c r="Q136" s="162">
        <f ca="1"/>
        <v>7.7206748880485065E-3</v>
      </c>
      <c r="R136" s="162">
        <f ca="1"/>
        <v>1.3520846093076355E-2</v>
      </c>
      <c r="S136" s="162">
        <f ca="1"/>
        <v>0</v>
      </c>
      <c r="T136" s="162">
        <f ca="1"/>
        <v>2.8315244451705857E-2</v>
      </c>
      <c r="U136" s="162">
        <f ca="1"/>
        <v>4.4293283286888196E-2</v>
      </c>
      <c r="V136" s="138">
        <f ca="1"/>
        <v>6.9034076365797392E-2</v>
      </c>
      <c r="W136" s="137">
        <f ca="1"/>
        <v>0</v>
      </c>
      <c r="X136" s="162">
        <f ca="1"/>
        <v>1.516888320383436E-3</v>
      </c>
      <c r="Y136" s="162">
        <f ca="1"/>
        <v>3.3182134971579957E-3</v>
      </c>
      <c r="Z136" s="162">
        <f ca="1"/>
        <v>8.0889034832545281E-3</v>
      </c>
      <c r="AA136" s="162">
        <f ca="1"/>
        <v>1.4052828071891788E-2</v>
      </c>
      <c r="AB136" s="162">
        <f ca="1"/>
        <v>0</v>
      </c>
      <c r="AC136" s="162">
        <f ca="1"/>
        <v>2.9165912170123542E-2</v>
      </c>
      <c r="AD136" s="162">
        <f ca="1"/>
        <v>4.5452907692718925E-2</v>
      </c>
      <c r="AE136" s="138">
        <f ca="1"/>
        <v>7.0631371981042523E-2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1.4516019135446534E-3</v>
      </c>
      <c r="Q137" s="162">
        <f ca="1"/>
        <v>0</v>
      </c>
      <c r="R137" s="162">
        <f ca="1"/>
        <v>9.9043406899973485E-3</v>
      </c>
      <c r="S137" s="162">
        <f ca="1"/>
        <v>0</v>
      </c>
      <c r="T137" s="162">
        <f ca="1"/>
        <v>2.4653710844326882E-2</v>
      </c>
      <c r="U137" s="162">
        <f ca="1"/>
        <v>3.8086246871733453E-2</v>
      </c>
      <c r="V137" s="138">
        <f ca="1"/>
        <v>6.4007543807876877E-2</v>
      </c>
      <c r="W137" s="137">
        <f ca="1"/>
        <v>0</v>
      </c>
      <c r="X137" s="162">
        <f ca="1"/>
        <v>0</v>
      </c>
      <c r="Y137" s="162">
        <f ca="1"/>
        <v>1.6544446983391969E-3</v>
      </c>
      <c r="Z137" s="162">
        <f ca="1"/>
        <v>0</v>
      </c>
      <c r="AA137" s="162">
        <f ca="1"/>
        <v>1.0437661939945997E-2</v>
      </c>
      <c r="AB137" s="162">
        <f ca="1"/>
        <v>0</v>
      </c>
      <c r="AC137" s="162">
        <f ca="1"/>
        <v>2.5507617337678035E-2</v>
      </c>
      <c r="AD137" s="162">
        <f ca="1"/>
        <v>3.925334568329486E-2</v>
      </c>
      <c r="AE137" s="138">
        <f ca="1"/>
        <v>6.5613279583808248E-2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2.884908353973703E-3</v>
      </c>
      <c r="Q138" s="162">
        <f ca="1"/>
        <v>0</v>
      </c>
      <c r="R138" s="162">
        <f ca="1"/>
        <v>1.4325377010182438E-2</v>
      </c>
      <c r="S138" s="162">
        <f ca="1"/>
        <v>0</v>
      </c>
      <c r="T138" s="162">
        <f ca="1"/>
        <v>3.4355193570645537E-2</v>
      </c>
      <c r="U138" s="162">
        <f ca="1"/>
        <v>5.9070161417728917E-2</v>
      </c>
      <c r="V138" s="138">
        <f ca="1"/>
        <v>9.9568296832912018E-2</v>
      </c>
      <c r="W138" s="137">
        <f ca="1"/>
        <v>0</v>
      </c>
      <c r="X138" s="162">
        <f ca="1"/>
        <v>0</v>
      </c>
      <c r="Y138" s="162">
        <f ca="1"/>
        <v>3.0874307960375713E-3</v>
      </c>
      <c r="Z138" s="162">
        <f ca="1"/>
        <v>0</v>
      </c>
      <c r="AA138" s="162">
        <f ca="1"/>
        <v>1.4855883927410107E-2</v>
      </c>
      <c r="AB138" s="162">
        <f ca="1"/>
        <v>0</v>
      </c>
      <c r="AC138" s="162">
        <f ca="1"/>
        <v>3.5199667161644244E-2</v>
      </c>
      <c r="AD138" s="162">
        <f ca="1"/>
        <v>6.0212089514666833E-2</v>
      </c>
      <c r="AE138" s="138">
        <f ca="1"/>
        <v>0.10113381057203141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1.587966619634118E-3</v>
      </c>
      <c r="P139" s="162">
        <f ca="1"/>
        <v>4.2428989479931234E-3</v>
      </c>
      <c r="Q139" s="162">
        <f ca="1"/>
        <v>1.1385954710436796E-2</v>
      </c>
      <c r="R139" s="162">
        <f ca="1"/>
        <v>1.917802411052616E-2</v>
      </c>
      <c r="S139" s="162">
        <f ca="1"/>
        <v>0</v>
      </c>
      <c r="T139" s="162">
        <f ca="1"/>
        <v>3.75269988293363E-2</v>
      </c>
      <c r="U139" s="162">
        <f ca="1"/>
        <v>5.617829487266579E-2</v>
      </c>
      <c r="V139" s="138">
        <f ca="1"/>
        <v>8.5352230734826895E-2</v>
      </c>
      <c r="W139" s="137">
        <f ca="1"/>
        <v>0</v>
      </c>
      <c r="X139" s="162">
        <f ca="1"/>
        <v>1.7063633572699244E-3</v>
      </c>
      <c r="Y139" s="162">
        <f ca="1"/>
        <v>4.4452614343238883E-3</v>
      </c>
      <c r="Z139" s="162">
        <f ca="1"/>
        <v>1.1752901515362346E-2</v>
      </c>
      <c r="AA139" s="162">
        <f ca="1"/>
        <v>1.9707019243168644E-2</v>
      </c>
      <c r="AB139" s="162">
        <f ca="1"/>
        <v>0</v>
      </c>
      <c r="AC139" s="162">
        <f ca="1"/>
        <v>3.8368157948957315E-2</v>
      </c>
      <c r="AD139" s="162">
        <f ca="1"/>
        <v>5.7321840557236214E-2</v>
      </c>
      <c r="AE139" s="138">
        <f ca="1"/>
        <v>8.6915794550480707E-2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1.5773766109679066E-3</v>
      </c>
      <c r="Q140" s="162">
        <f ca="1"/>
        <v>0</v>
      </c>
      <c r="R140" s="162">
        <f ca="1"/>
        <v>8.1395480754494764E-3</v>
      </c>
      <c r="S140" s="162">
        <f ca="1"/>
        <v>0</v>
      </c>
      <c r="T140" s="162">
        <f ca="1"/>
        <v>1.9427850700894922E-2</v>
      </c>
      <c r="U140" s="162">
        <f ca="1"/>
        <v>3.1144831748014523E-2</v>
      </c>
      <c r="V140" s="138">
        <f ca="1"/>
        <v>6.2888701412089243E-2</v>
      </c>
      <c r="W140" s="137">
        <f ca="1"/>
        <v>0</v>
      </c>
      <c r="X140" s="162">
        <f ca="1"/>
        <v>0</v>
      </c>
      <c r="Y140" s="162">
        <f ca="1"/>
        <v>1.7801921027635892E-3</v>
      </c>
      <c r="Z140" s="162">
        <f ca="1"/>
        <v>0</v>
      </c>
      <c r="AA140" s="162">
        <f ca="1"/>
        <v>8.6738274827954376E-3</v>
      </c>
      <c r="AB140" s="162">
        <f ca="1"/>
        <v>0</v>
      </c>
      <c r="AC140" s="162">
        <f ca="1"/>
        <v>2.0286237844835964E-2</v>
      </c>
      <c r="AD140" s="162">
        <f ca="1"/>
        <v>3.231980739012319E-2</v>
      </c>
      <c r="AE140" s="138">
        <f ca="1"/>
        <v>6.449590818805484E-2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1.9140509261753591E-3</v>
      </c>
      <c r="Q141" s="162">
        <f ca="1"/>
        <v>0</v>
      </c>
      <c r="R141" s="162">
        <f ca="1"/>
        <v>1.4737642094337811E-2</v>
      </c>
      <c r="S141" s="162">
        <f ca="1"/>
        <v>0</v>
      </c>
      <c r="T141" s="162">
        <f ca="1"/>
        <v>3.4842619819914766E-2</v>
      </c>
      <c r="U141" s="162">
        <f ca="1"/>
        <v>5.7150996308644952E-2</v>
      </c>
      <c r="V141" s="138">
        <f ca="1"/>
        <v>9.998819069138587E-2</v>
      </c>
      <c r="W141" s="137">
        <f ca="1"/>
        <v>0</v>
      </c>
      <c r="X141" s="162">
        <f ca="1"/>
        <v>0</v>
      </c>
      <c r="Y141" s="162">
        <f ca="1"/>
        <v>2.1167925985114966E-3</v>
      </c>
      <c r="Z141" s="162">
        <f ca="1"/>
        <v>0</v>
      </c>
      <c r="AA141" s="162">
        <f ca="1"/>
        <v>1.5267961603989577E-2</v>
      </c>
      <c r="AB141" s="162">
        <f ca="1"/>
        <v>0</v>
      </c>
      <c r="AC141" s="162">
        <f ca="1"/>
        <v>3.5686936287988358E-2</v>
      </c>
      <c r="AD141" s="162">
        <f ca="1"/>
        <v>5.8295540698589554E-2</v>
      </c>
      <c r="AE141" s="138">
        <f ca="1"/>
        <v>0.10155391083961818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2.4472263144620365E-3</v>
      </c>
      <c r="Q142" s="162">
        <f ca="1"/>
        <v>0</v>
      </c>
      <c r="R142" s="162">
        <f ca="1"/>
        <v>1.0398204802394728E-2</v>
      </c>
      <c r="S142" s="162">
        <f ca="1"/>
        <v>0</v>
      </c>
      <c r="T142" s="162">
        <f ca="1"/>
        <v>2.1369418614162083E-2</v>
      </c>
      <c r="U142" s="162">
        <f ca="1"/>
        <v>3.2900806451384379E-2</v>
      </c>
      <c r="V142" s="138">
        <f ca="1"/>
        <v>5.6738224128798698E-2</v>
      </c>
      <c r="W142" s="137">
        <f ca="1"/>
        <v>0</v>
      </c>
      <c r="X142" s="162">
        <f ca="1"/>
        <v>0</v>
      </c>
      <c r="Y142" s="162">
        <f ca="1"/>
        <v>2.6498487759131217E-3</v>
      </c>
      <c r="Z142" s="162">
        <f ca="1"/>
        <v>0</v>
      </c>
      <c r="AA142" s="162">
        <f ca="1"/>
        <v>1.0931099453596493E-2</v>
      </c>
      <c r="AB142" s="162">
        <f ca="1"/>
        <v>0</v>
      </c>
      <c r="AC142" s="162">
        <f ca="1"/>
        <v>2.222569296015986E-2</v>
      </c>
      <c r="AD142" s="162">
        <f ca="1"/>
        <v>3.40727696095946E-2</v>
      </c>
      <c r="AE142" s="138">
        <f ca="1"/>
        <v>5.8356070642492597E-2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2.3904758205502974E-3</v>
      </c>
      <c r="Q143" s="162">
        <f ca="1"/>
        <v>0</v>
      </c>
      <c r="R143" s="162">
        <f ca="1"/>
        <v>1.2500258648839191E-2</v>
      </c>
      <c r="S143" s="162">
        <f ca="1"/>
        <v>0</v>
      </c>
      <c r="T143" s="162">
        <f ca="1"/>
        <v>3.0130212356874853E-2</v>
      </c>
      <c r="U143" s="162">
        <f ca="1"/>
        <v>5.4252530018483736E-2</v>
      </c>
      <c r="V143" s="138">
        <f ca="1"/>
        <v>9.4288719105840024E-2</v>
      </c>
      <c r="W143" s="137">
        <f ca="1"/>
        <v>0</v>
      </c>
      <c r="X143" s="162">
        <f ca="1"/>
        <v>0</v>
      </c>
      <c r="Y143" s="162">
        <f ca="1"/>
        <v>2.5931111069196211E-3</v>
      </c>
      <c r="Z143" s="162">
        <f ca="1"/>
        <v>0</v>
      </c>
      <c r="AA143" s="162">
        <f ca="1"/>
        <v>1.3031937118542891E-2</v>
      </c>
      <c r="AB143" s="162">
        <f ca="1"/>
        <v>0</v>
      </c>
      <c r="AC143" s="162">
        <f ca="1"/>
        <v>3.0978830817093073E-2</v>
      </c>
      <c r="AD143" s="162">
        <f ca="1"/>
        <v>5.5400536826747393E-2</v>
      </c>
      <c r="AE143" s="138">
        <f ca="1"/>
        <v>9.5863986252082478E-2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2.4147978524386993E-3</v>
      </c>
      <c r="Q144" s="162">
        <f ca="1"/>
        <v>0</v>
      </c>
      <c r="R144" s="162">
        <f ca="1"/>
        <v>1.3189625837284891E-2</v>
      </c>
      <c r="S144" s="162">
        <f ca="1"/>
        <v>0</v>
      </c>
      <c r="T144" s="162">
        <f ca="1"/>
        <v>3.1389042662079758E-2</v>
      </c>
      <c r="U144" s="162">
        <f ca="1"/>
        <v>4.4695539825370001E-2</v>
      </c>
      <c r="V144" s="138">
        <f ca="1"/>
        <v>6.5996508953564681E-2</v>
      </c>
      <c r="W144" s="137">
        <f ca="1"/>
        <v>0</v>
      </c>
      <c r="X144" s="162">
        <f ca="1"/>
        <v>0</v>
      </c>
      <c r="Y144" s="162">
        <f ca="1"/>
        <v>2.6174276463302171E-3</v>
      </c>
      <c r="Z144" s="162">
        <f ca="1"/>
        <v>0</v>
      </c>
      <c r="AA144" s="162">
        <f ca="1"/>
        <v>1.3720882643648458E-2</v>
      </c>
      <c r="AB144" s="162">
        <f ca="1"/>
        <v>0</v>
      </c>
      <c r="AC144" s="162">
        <f ca="1"/>
        <v>3.2236479294504128E-2</v>
      </c>
      <c r="AD144" s="162">
        <f ca="1"/>
        <v>4.5854105994319383E-2</v>
      </c>
      <c r="AE144" s="138">
        <f ca="1"/>
        <v>6.7596726729343359E-2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2.2384498095668892E-3</v>
      </c>
      <c r="Q145" s="162">
        <f ca="1"/>
        <v>0</v>
      </c>
      <c r="R145" s="162">
        <f ca="1"/>
        <v>9.7880005658435021E-3</v>
      </c>
      <c r="S145" s="162">
        <f ca="1"/>
        <v>0</v>
      </c>
      <c r="T145" s="162">
        <f ca="1"/>
        <v>2.2797070631183636E-2</v>
      </c>
      <c r="U145" s="162">
        <f ca="1"/>
        <v>4.3391810211454107E-2</v>
      </c>
      <c r="V145" s="138">
        <f ca="1"/>
        <v>7.6066608174570227E-2</v>
      </c>
      <c r="W145" s="137">
        <f ca="1"/>
        <v>0</v>
      </c>
      <c r="X145" s="162">
        <f ca="1"/>
        <v>0</v>
      </c>
      <c r="Y145" s="162">
        <f ca="1"/>
        <v>2.4411192912204838E-3</v>
      </c>
      <c r="Z145" s="162">
        <f ca="1"/>
        <v>0</v>
      </c>
      <c r="AA145" s="162">
        <f ca="1"/>
        <v>1.0321268626123592E-2</v>
      </c>
      <c r="AB145" s="162">
        <f ca="1"/>
        <v>0</v>
      </c>
      <c r="AC145" s="162">
        <f ca="1"/>
        <v>2.3652323742285319E-2</v>
      </c>
      <c r="AD145" s="162">
        <f ca="1"/>
        <v>4.4552955127182603E-2</v>
      </c>
      <c r="AE145" s="138">
        <f ca="1"/>
        <v>7.7651709949469572E-2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2.3783145842553033E-3</v>
      </c>
      <c r="Q146" s="162">
        <f ca="1"/>
        <v>0</v>
      </c>
      <c r="R146" s="162">
        <f ca="1"/>
        <v>1.6869193412185846E-2</v>
      </c>
      <c r="S146" s="162">
        <f ca="1"/>
        <v>0</v>
      </c>
      <c r="T146" s="162">
        <f ca="1"/>
        <v>3.4559325676998265E-2</v>
      </c>
      <c r="U146" s="162">
        <f ca="1"/>
        <v>5.9309057222613815E-2</v>
      </c>
      <c r="V146" s="138">
        <f ca="1"/>
        <v>0.10827042794064179</v>
      </c>
      <c r="W146" s="137">
        <f ca="1"/>
        <v>0</v>
      </c>
      <c r="X146" s="162">
        <f ca="1"/>
        <v>0</v>
      </c>
      <c r="Y146" s="162">
        <f ca="1"/>
        <v>2.5809526147156925E-3</v>
      </c>
      <c r="Z146" s="162">
        <f ca="1"/>
        <v>0</v>
      </c>
      <c r="AA146" s="162">
        <f ca="1"/>
        <v>1.7398063664366803E-2</v>
      </c>
      <c r="AB146" s="162">
        <f ca="1"/>
        <v>0</v>
      </c>
      <c r="AC146" s="162">
        <f ca="1"/>
        <v>3.5403844360321401E-2</v>
      </c>
      <c r="AD146" s="162">
        <f ca="1"/>
        <v>6.0449919445880962E-2</v>
      </c>
      <c r="AE146" s="138">
        <f ca="1"/>
        <v>0.10982593590659351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2.1066753656840964E-3</v>
      </c>
      <c r="Q147" s="162">
        <f ca="1"/>
        <v>0</v>
      </c>
      <c r="R147" s="162">
        <f ca="1"/>
        <v>1.5516748459567298E-2</v>
      </c>
      <c r="S147" s="162">
        <f ca="1"/>
        <v>0</v>
      </c>
      <c r="T147" s="162">
        <f ca="1"/>
        <v>3.8765809502858684E-2</v>
      </c>
      <c r="U147" s="162">
        <f ca="1"/>
        <v>6.7535404487067519E-2</v>
      </c>
      <c r="V147" s="138">
        <f ca="1"/>
        <v>0.12697930656916478</v>
      </c>
      <c r="W147" s="137">
        <f ca="1"/>
        <v>0</v>
      </c>
      <c r="X147" s="162">
        <f ca="1"/>
        <v>0</v>
      </c>
      <c r="Y147" s="162">
        <f ca="1"/>
        <v>2.3093742988669064E-3</v>
      </c>
      <c r="Z147" s="162">
        <f ca="1"/>
        <v>0</v>
      </c>
      <c r="AA147" s="162">
        <f ca="1"/>
        <v>1.6046543483122844E-2</v>
      </c>
      <c r="AB147" s="162">
        <f ca="1"/>
        <v>0</v>
      </c>
      <c r="AC147" s="162">
        <f ca="1"/>
        <v>3.9606132788276627E-2</v>
      </c>
      <c r="AD147" s="162">
        <f ca="1"/>
        <v>6.8667129518858117E-2</v>
      </c>
      <c r="AE147" s="138">
        <f ca="1"/>
        <v>0.12851163234324148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1.9383844673829254E-3</v>
      </c>
      <c r="Q148" s="162">
        <f ca="1"/>
        <v>0</v>
      </c>
      <c r="R148" s="162">
        <f ca="1"/>
        <v>9.8278905405088102E-3</v>
      </c>
      <c r="S148" s="162">
        <f ca="1"/>
        <v>0</v>
      </c>
      <c r="T148" s="162">
        <f ca="1"/>
        <v>3.1360906798155841E-2</v>
      </c>
      <c r="U148" s="162">
        <f ca="1"/>
        <v>5.926713530313954E-2</v>
      </c>
      <c r="V148" s="138">
        <f ca="1"/>
        <v>0.11438294139380412</v>
      </c>
      <c r="W148" s="137">
        <f ca="1"/>
        <v>0</v>
      </c>
      <c r="X148" s="162">
        <f ca="1"/>
        <v>0</v>
      </c>
      <c r="Y148" s="162">
        <f ca="1"/>
        <v>2.1411207609970395E-3</v>
      </c>
      <c r="Z148" s="162">
        <f ca="1"/>
        <v>0</v>
      </c>
      <c r="AA148" s="162">
        <f ca="1"/>
        <v>1.0361182888315557E-2</v>
      </c>
      <c r="AB148" s="162">
        <f ca="1"/>
        <v>0</v>
      </c>
      <c r="AC148" s="162">
        <f ca="1"/>
        <v>3.2208387141962058E-2</v>
      </c>
      <c r="AD148" s="162">
        <f ca="1"/>
        <v>6.0410140686269931E-2</v>
      </c>
      <c r="AE148" s="138">
        <f ca="1"/>
        <v>0.11593641907984431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1.2811724310827222E-3</v>
      </c>
      <c r="Q149" s="162">
        <f ca="1"/>
        <v>0</v>
      </c>
      <c r="R149" s="162">
        <f ca="1"/>
        <v>1.0236567658318707E-2</v>
      </c>
      <c r="S149" s="162">
        <f ca="1"/>
        <v>0</v>
      </c>
      <c r="T149" s="162">
        <f ca="1"/>
        <v>3.0928324208202129E-2</v>
      </c>
      <c r="U149" s="162">
        <f ca="1"/>
        <v>5.4325813467432704E-2</v>
      </c>
      <c r="V149" s="138">
        <f ca="1"/>
        <v>0.1038830827552949</v>
      </c>
      <c r="W149" s="137">
        <f ca="1"/>
        <v>0</v>
      </c>
      <c r="X149" s="162">
        <f ca="1"/>
        <v>0</v>
      </c>
      <c r="Y149" s="162">
        <f ca="1"/>
        <v>1.4840519546845954E-3</v>
      </c>
      <c r="Z149" s="162">
        <f ca="1"/>
        <v>0</v>
      </c>
      <c r="AA149" s="162">
        <f ca="1"/>
        <v>1.0769721645712438E-2</v>
      </c>
      <c r="AB149" s="162">
        <f ca="1"/>
        <v>0</v>
      </c>
      <c r="AC149" s="162">
        <f ca="1"/>
        <v>3.1776460093667747E-2</v>
      </c>
      <c r="AD149" s="162">
        <f ca="1"/>
        <v>5.5475100498418417E-2</v>
      </c>
      <c r="AE149" s="138">
        <f ca="1"/>
        <v>0.10544935322302429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6.6616928423923749E-4</v>
      </c>
      <c r="Q150" s="162">
        <f ca="1"/>
        <v>0</v>
      </c>
      <c r="R150" s="162">
        <f ca="1"/>
        <v>5.387965611281853E-3</v>
      </c>
      <c r="S150" s="162">
        <f ca="1"/>
        <v>0</v>
      </c>
      <c r="T150" s="162">
        <f ca="1"/>
        <v>1.4836543023977633E-2</v>
      </c>
      <c r="U150" s="162">
        <f ca="1"/>
        <v>2.7922190885052989E-2</v>
      </c>
      <c r="V150" s="138">
        <f ca="1"/>
        <v>5.3928630505830077E-2</v>
      </c>
      <c r="W150" s="137">
        <f ca="1"/>
        <v>0</v>
      </c>
      <c r="X150" s="162">
        <f ca="1"/>
        <v>0</v>
      </c>
      <c r="Y150" s="162">
        <f ca="1"/>
        <v>8.6917908142702949E-4</v>
      </c>
      <c r="Z150" s="162">
        <f ca="1"/>
        <v>0</v>
      </c>
      <c r="AA150" s="162">
        <f ca="1"/>
        <v>5.9238556810055076E-3</v>
      </c>
      <c r="AB150" s="162">
        <f ca="1"/>
        <v>0</v>
      </c>
      <c r="AC150" s="162">
        <f ca="1"/>
        <v>1.5699200751464359E-2</v>
      </c>
      <c r="AD150" s="162">
        <f ca="1"/>
        <v>2.9102065665915111E-2</v>
      </c>
      <c r="AE150" s="138">
        <f ca="1"/>
        <v>5.5554948760953016E-2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6.1170440914827262E-3</v>
      </c>
      <c r="Q151" s="162">
        <f ca="1"/>
        <v>0</v>
      </c>
      <c r="R151" s="162">
        <f ca="1"/>
        <v>5.0413742302767184E-2</v>
      </c>
      <c r="S151" s="162">
        <f ca="1"/>
        <v>0</v>
      </c>
      <c r="T151" s="162">
        <f ca="1"/>
        <v>0.130804705024405</v>
      </c>
      <c r="U151" s="162">
        <f ca="1"/>
        <v>0.20203520530123009</v>
      </c>
      <c r="V151" s="138">
        <f ca="1"/>
        <v>0.30702858396629729</v>
      </c>
      <c r="W151" s="137">
        <f ca="1"/>
        <v>0</v>
      </c>
      <c r="X151" s="162">
        <f ca="1"/>
        <v>0</v>
      </c>
      <c r="Y151" s="162">
        <f ca="1"/>
        <v>6.3187634828203443E-3</v>
      </c>
      <c r="Z151" s="162">
        <f ca="1"/>
        <v>0</v>
      </c>
      <c r="AA151" s="162">
        <f ca="1"/>
        <v>5.092879817675644E-2</v>
      </c>
      <c r="AB151" s="162">
        <f ca="1"/>
        <v>0</v>
      </c>
      <c r="AC151" s="162">
        <f ca="1"/>
        <v>0.13158275231177763</v>
      </c>
      <c r="AD151" s="162">
        <f ca="1"/>
        <v>0.20303115658608661</v>
      </c>
      <c r="AE151" s="138">
        <f ca="1"/>
        <v>0.30827044493846745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1.0782425920867755E-3</v>
      </c>
      <c r="Q152" s="162">
        <f ca="1"/>
        <v>0</v>
      </c>
      <c r="R152" s="162">
        <f ca="1"/>
        <v>3.6572416943104757E-3</v>
      </c>
      <c r="S152" s="162">
        <f ca="1"/>
        <v>0</v>
      </c>
      <c r="T152" s="162">
        <f ca="1"/>
        <v>1.0449221562860656E-2</v>
      </c>
      <c r="U152" s="162">
        <f ca="1"/>
        <v>1.8918955560306205E-2</v>
      </c>
      <c r="V152" s="138">
        <f ca="1"/>
        <v>3.6172290453082789E-2</v>
      </c>
      <c r="W152" s="137">
        <f ca="1"/>
        <v>0</v>
      </c>
      <c r="X152" s="162">
        <f ca="1"/>
        <v>0</v>
      </c>
      <c r="Y152" s="162">
        <f ca="1"/>
        <v>1.2811654970750208E-3</v>
      </c>
      <c r="Z152" s="162">
        <f ca="1"/>
        <v>0</v>
      </c>
      <c r="AA152" s="162">
        <f ca="1"/>
        <v>4.193886381309464E-3</v>
      </c>
      <c r="AB152" s="162">
        <f ca="1"/>
        <v>0</v>
      </c>
      <c r="AC152" s="162">
        <f ca="1"/>
        <v>1.1315324385646197E-2</v>
      </c>
      <c r="AD152" s="162">
        <f ca="1"/>
        <v>2.0108423918441032E-2</v>
      </c>
      <c r="AE152" s="138">
        <f ca="1"/>
        <v>3.7828933945860843E-2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9.7270292114226553E-4</v>
      </c>
      <c r="Q153" s="162">
        <f ca="1"/>
        <v>0</v>
      </c>
      <c r="R153" s="162">
        <f ca="1"/>
        <v>6.8036144430232426E-3</v>
      </c>
      <c r="S153" s="162">
        <f ca="1"/>
        <v>0</v>
      </c>
      <c r="T153" s="162">
        <f ca="1"/>
        <v>1.8725163721630689E-2</v>
      </c>
      <c r="U153" s="162">
        <f ca="1"/>
        <v>3.2425227950596547E-2</v>
      </c>
      <c r="V153" s="138">
        <f ca="1"/>
        <v>5.520163219877805E-2</v>
      </c>
      <c r="W153" s="137">
        <f ca="1"/>
        <v>0</v>
      </c>
      <c r="X153" s="162">
        <f ca="1"/>
        <v>0</v>
      </c>
      <c r="Y153" s="162">
        <f ca="1"/>
        <v>1.1756482331291007E-3</v>
      </c>
      <c r="Z153" s="162">
        <f ca="1"/>
        <v>0</v>
      </c>
      <c r="AA153" s="162">
        <f ca="1"/>
        <v>7.3387138330583968E-3</v>
      </c>
      <c r="AB153" s="162">
        <f ca="1"/>
        <v>0</v>
      </c>
      <c r="AC153" s="162">
        <f ca="1"/>
        <v>1.9584472299944644E-2</v>
      </c>
      <c r="AD153" s="162">
        <f ca="1"/>
        <v>3.3599693765408944E-2</v>
      </c>
      <c r="AE153" s="138">
        <f ca="1"/>
        <v>5.6824993319683381E-2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1.8613262367154215E-3</v>
      </c>
      <c r="Q154" s="162">
        <f ca="1"/>
        <v>0</v>
      </c>
      <c r="R154" s="162">
        <f ca="1"/>
        <v>9.1795092936964862E-3</v>
      </c>
      <c r="S154" s="162">
        <f ca="1"/>
        <v>0</v>
      </c>
      <c r="T154" s="162">
        <f ca="1"/>
        <v>2.2000159719183898E-2</v>
      </c>
      <c r="U154" s="162">
        <f ca="1"/>
        <v>4.3396466065317107E-2</v>
      </c>
      <c r="V154" s="138">
        <f ca="1"/>
        <v>8.4569299929721065E-2</v>
      </c>
      <c r="W154" s="137">
        <f ca="1"/>
        <v>0</v>
      </c>
      <c r="X154" s="162">
        <f ca="1"/>
        <v>0</v>
      </c>
      <c r="Y154" s="162">
        <f ca="1"/>
        <v>2.0640795432311787E-3</v>
      </c>
      <c r="Z154" s="162">
        <f ca="1"/>
        <v>0</v>
      </c>
      <c r="AA154" s="162">
        <f ca="1"/>
        <v>9.7131744362920491E-3</v>
      </c>
      <c r="AB154" s="162">
        <f ca="1"/>
        <v>0</v>
      </c>
      <c r="AC154" s="162">
        <f ca="1"/>
        <v>2.28562495994864E-2</v>
      </c>
      <c r="AD154" s="162">
        <f ca="1"/>
        <v>4.4557880364902935E-2</v>
      </c>
      <c r="AE154" s="138">
        <f ca="1"/>
        <v>8.6163347890434894E-2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8.3061282878293952E-4</v>
      </c>
      <c r="Q155" s="162">
        <f ca="1"/>
        <v>0</v>
      </c>
      <c r="R155" s="162">
        <f ca="1"/>
        <v>6.9577593482655908E-3</v>
      </c>
      <c r="S155" s="162">
        <f ca="1"/>
        <v>0</v>
      </c>
      <c r="T155" s="162">
        <f ca="1"/>
        <v>1.6914600806773095E-2</v>
      </c>
      <c r="U155" s="162">
        <f ca="1"/>
        <v>3.418359048155184E-2</v>
      </c>
      <c r="V155" s="138">
        <f ca="1"/>
        <v>5.960521490264592E-2</v>
      </c>
      <c r="W155" s="137">
        <f ca="1"/>
        <v>0</v>
      </c>
      <c r="X155" s="162">
        <f ca="1"/>
        <v>0</v>
      </c>
      <c r="Y155" s="162">
        <f ca="1"/>
        <v>1.0335881415729498E-3</v>
      </c>
      <c r="Z155" s="162">
        <f ca="1"/>
        <v>0</v>
      </c>
      <c r="AA155" s="162">
        <f ca="1"/>
        <v>7.4928038191993673E-3</v>
      </c>
      <c r="AB155" s="162">
        <f ca="1"/>
        <v>0</v>
      </c>
      <c r="AC155" s="162">
        <f ca="1"/>
        <v>1.7775355220203126E-2</v>
      </c>
      <c r="AD155" s="162">
        <f ca="1"/>
        <v>3.5356268499012744E-2</v>
      </c>
      <c r="AE155" s="138">
        <f ca="1"/>
        <v>6.1221975932402639E-2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9.1334824019165817E-3</v>
      </c>
      <c r="Q156" s="162">
        <f ca="1"/>
        <v>0</v>
      </c>
      <c r="R156" s="162">
        <f ca="1"/>
        <v>2.9685630711153599E-2</v>
      </c>
      <c r="S156" s="162">
        <f ca="1"/>
        <v>0</v>
      </c>
      <c r="T156" s="162">
        <f ca="1"/>
        <v>6.0323928855265385E-2</v>
      </c>
      <c r="U156" s="162">
        <f ca="1"/>
        <v>8.1970725021782709E-2</v>
      </c>
      <c r="V156" s="138">
        <f ca="1"/>
        <v>0.11357209094013165</v>
      </c>
      <c r="W156" s="137">
        <f ca="1"/>
        <v>0</v>
      </c>
      <c r="X156" s="162">
        <f ca="1"/>
        <v>0</v>
      </c>
      <c r="Y156" s="162">
        <f ca="1"/>
        <v>9.3343393791034401E-3</v>
      </c>
      <c r="Z156" s="162">
        <f ca="1"/>
        <v>0</v>
      </c>
      <c r="AA156" s="162">
        <f ca="1"/>
        <v>3.0205038004257889E-2</v>
      </c>
      <c r="AB156" s="162">
        <f ca="1"/>
        <v>0</v>
      </c>
      <c r="AC156" s="162">
        <f ca="1"/>
        <v>6.1140300158582628E-2</v>
      </c>
      <c r="AD156" s="162">
        <f ca="1"/>
        <v>8.3081682279458446E-2</v>
      </c>
      <c r="AE156" s="138">
        <f ca="1"/>
        <v>0.11507915133575242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1.390737551014487E-3</v>
      </c>
      <c r="Q157" s="162">
        <f ca="1"/>
        <v>0</v>
      </c>
      <c r="R157" s="162">
        <f ca="1"/>
        <v>1.0315972570229315E-2</v>
      </c>
      <c r="S157" s="162">
        <f ca="1"/>
        <v>0</v>
      </c>
      <c r="T157" s="162">
        <f ca="1"/>
        <v>2.3719068055240489E-2</v>
      </c>
      <c r="U157" s="162">
        <f ca="1"/>
        <v>4.5169894688860679E-2</v>
      </c>
      <c r="V157" s="138">
        <f ca="1"/>
        <v>8.221748980800192E-2</v>
      </c>
      <c r="W157" s="137">
        <f ca="1"/>
        <v>0</v>
      </c>
      <c r="X157" s="162">
        <f ca="1"/>
        <v>0</v>
      </c>
      <c r="Y157" s="162">
        <f ca="1"/>
        <v>1.5935934882139735E-3</v>
      </c>
      <c r="Z157" s="162">
        <f ca="1"/>
        <v>0</v>
      </c>
      <c r="AA157" s="162">
        <f ca="1"/>
        <v>1.0849065648012246E-2</v>
      </c>
      <c r="AB157" s="162">
        <f ca="1"/>
        <v>0</v>
      </c>
      <c r="AC157" s="162">
        <f ca="1"/>
        <v>2.4573757319510614E-2</v>
      </c>
      <c r="AD157" s="162">
        <f ca="1"/>
        <v>4.6329120785488231E-2</v>
      </c>
      <c r="AE157" s="138">
        <f ca="1"/>
        <v>8.3790095412950238E-2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1.8309068910675741E-3</v>
      </c>
      <c r="Q158" s="162">
        <f ca="1"/>
        <v>0</v>
      </c>
      <c r="R158" s="162">
        <f ca="1"/>
        <v>1.1907759770834692E-2</v>
      </c>
      <c r="S158" s="162">
        <f ca="1"/>
        <v>0</v>
      </c>
      <c r="T158" s="162">
        <f ca="1"/>
        <v>3.0692732629090669E-2</v>
      </c>
      <c r="U158" s="162">
        <f ca="1"/>
        <v>5.3817639225814395E-2</v>
      </c>
      <c r="V158" s="138">
        <f ca="1"/>
        <v>9.1037251576597145E-2</v>
      </c>
      <c r="W158" s="137">
        <f ca="1"/>
        <v>0</v>
      </c>
      <c r="X158" s="162">
        <f ca="1"/>
        <v>0</v>
      </c>
      <c r="Y158" s="162">
        <f ca="1"/>
        <v>2.0336668974084704E-3</v>
      </c>
      <c r="Z158" s="162">
        <f ca="1"/>
        <v>0</v>
      </c>
      <c r="AA158" s="162">
        <f ca="1"/>
        <v>1.2439858601669296E-2</v>
      </c>
      <c r="AB158" s="162">
        <f ca="1"/>
        <v>0</v>
      </c>
      <c r="AC158" s="162">
        <f ca="1"/>
        <v>3.1540988435360906E-2</v>
      </c>
      <c r="AD158" s="162">
        <f ca="1"/>
        <v>5.4966685172827323E-2</v>
      </c>
      <c r="AE158" s="138">
        <f ca="1"/>
        <v>9.2593259373810466E-2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1.2771142348563247E-3</v>
      </c>
      <c r="Q159" s="162">
        <f ca="1"/>
        <v>0</v>
      </c>
      <c r="R159" s="162">
        <f ca="1"/>
        <v>9.8354557568397505E-3</v>
      </c>
      <c r="S159" s="162">
        <f ca="1"/>
        <v>0</v>
      </c>
      <c r="T159" s="162">
        <f ca="1"/>
        <v>2.3333524207321932E-2</v>
      </c>
      <c r="U159" s="162">
        <f ca="1"/>
        <v>4.0830339697338403E-2</v>
      </c>
      <c r="V159" s="138">
        <f ca="1"/>
        <v>6.8923686530996897E-2</v>
      </c>
      <c r="W159" s="137">
        <f ca="1"/>
        <v>0</v>
      </c>
      <c r="X159" s="162">
        <f ca="1"/>
        <v>0</v>
      </c>
      <c r="Y159" s="162">
        <f ca="1"/>
        <v>1.4799946298756916E-3</v>
      </c>
      <c r="Z159" s="162">
        <f ca="1"/>
        <v>0</v>
      </c>
      <c r="AA159" s="162">
        <f ca="1"/>
        <v>1.036884138664973E-2</v>
      </c>
      <c r="AB159" s="162">
        <f ca="1"/>
        <v>0</v>
      </c>
      <c r="AC159" s="162">
        <f ca="1"/>
        <v>2.418861518359694E-2</v>
      </c>
      <c r="AD159" s="162">
        <f ca="1"/>
        <v>4.1994670980932125E-2</v>
      </c>
      <c r="AE159" s="138">
        <f ca="1"/>
        <v>7.0521888005234068E-2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2.5120801053702957E-3</v>
      </c>
      <c r="Q160" s="162">
        <f ca="1"/>
        <v>0</v>
      </c>
      <c r="R160" s="162">
        <f ca="1"/>
        <v>2.2076805239723107E-2</v>
      </c>
      <c r="S160" s="162">
        <f ca="1"/>
        <v>0</v>
      </c>
      <c r="T160" s="162">
        <f ca="1"/>
        <v>5.0422413485344819E-2</v>
      </c>
      <c r="U160" s="162">
        <f ca="1"/>
        <v>9.1437020667296642E-2</v>
      </c>
      <c r="V160" s="138">
        <f ca="1"/>
        <v>0.16208026276430798</v>
      </c>
      <c r="W160" s="137">
        <f ca="1"/>
        <v>0</v>
      </c>
      <c r="X160" s="162">
        <f ca="1"/>
        <v>0</v>
      </c>
      <c r="Y160" s="162">
        <f ca="1"/>
        <v>2.714687870471022E-3</v>
      </c>
      <c r="Z160" s="162">
        <f ca="1"/>
        <v>0</v>
      </c>
      <c r="AA160" s="162">
        <f ca="1"/>
        <v>2.2601839042343252E-2</v>
      </c>
      <c r="AB160" s="162">
        <f ca="1"/>
        <v>0</v>
      </c>
      <c r="AC160" s="162">
        <f ca="1"/>
        <v>5.1250792361861586E-2</v>
      </c>
      <c r="AD160" s="162">
        <f ca="1"/>
        <v>9.2534906199616018E-2</v>
      </c>
      <c r="AE160" s="138">
        <f ca="1"/>
        <v>0.16356173864997359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6.7561959848905451E-2</v>
      </c>
      <c r="Q161" s="162">
        <f ca="1"/>
        <v>0</v>
      </c>
      <c r="R161" s="162">
        <f ca="1"/>
        <v>0.16694449381115906</v>
      </c>
      <c r="S161" s="162">
        <f ca="1"/>
        <v>0</v>
      </c>
      <c r="T161" s="162">
        <f ca="1"/>
        <v>0.22642906618305469</v>
      </c>
      <c r="U161" s="162">
        <f ca="1"/>
        <v>0.27914056134571652</v>
      </c>
      <c r="V161" s="138">
        <f ca="1"/>
        <v>0.35931326386121554</v>
      </c>
      <c r="W161" s="137">
        <f ca="1"/>
        <v>0</v>
      </c>
      <c r="X161" s="162">
        <f ca="1"/>
        <v>0</v>
      </c>
      <c r="Y161" s="162">
        <f ca="1"/>
        <v>6.7751370687934354E-2</v>
      </c>
      <c r="Z161" s="162">
        <f ca="1"/>
        <v>0</v>
      </c>
      <c r="AA161" s="162">
        <f ca="1"/>
        <v>0.1673928910572916</v>
      </c>
      <c r="AB161" s="162">
        <f ca="1"/>
        <v>0</v>
      </c>
      <c r="AC161" s="162">
        <f ca="1"/>
        <v>0.2270959827941722</v>
      </c>
      <c r="AD161" s="162">
        <f ca="1"/>
        <v>0.27998107363000624</v>
      </c>
      <c r="AE161" s="138">
        <f ca="1"/>
        <v>0.36038018573958719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2.1979056633720795E-3</v>
      </c>
      <c r="Q162" s="162">
        <f ca="1"/>
        <v>0</v>
      </c>
      <c r="R162" s="162">
        <f ca="1"/>
        <v>1.6599214489827152E-2</v>
      </c>
      <c r="S162" s="162">
        <f ca="1"/>
        <v>0</v>
      </c>
      <c r="T162" s="162">
        <f ca="1"/>
        <v>4.3532393195802599E-2</v>
      </c>
      <c r="U162" s="162">
        <f ca="1"/>
        <v>8.0735717936179618E-2</v>
      </c>
      <c r="V162" s="138">
        <f ca="1"/>
        <v>0.15186560684021799</v>
      </c>
      <c r="W162" s="137">
        <f ca="1"/>
        <v>0</v>
      </c>
      <c r="X162" s="162">
        <f ca="1"/>
        <v>0</v>
      </c>
      <c r="Y162" s="162">
        <f ca="1"/>
        <v>2.4005842251512144E-3</v>
      </c>
      <c r="Z162" s="162">
        <f ca="1"/>
        <v>0</v>
      </c>
      <c r="AA162" s="162">
        <f ca="1"/>
        <v>1.7128276229683825E-2</v>
      </c>
      <c r="AB162" s="162">
        <f ca="1"/>
        <v>0</v>
      </c>
      <c r="AC162" s="162">
        <f ca="1"/>
        <v>4.4367625986045156E-2</v>
      </c>
      <c r="AD162" s="162">
        <f ca="1"/>
        <v>8.184947562984568E-2</v>
      </c>
      <c r="AE162" s="138">
        <f ca="1"/>
        <v>0.15336578375289778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2.2262867370879125E-3</v>
      </c>
      <c r="Q163" s="162">
        <f ca="1"/>
        <v>0</v>
      </c>
      <c r="R163" s="162">
        <f ca="1"/>
        <v>8.9091832550575178E-3</v>
      </c>
      <c r="S163" s="162">
        <f ca="1"/>
        <v>0</v>
      </c>
      <c r="T163" s="162">
        <f ca="1"/>
        <v>2.1549326207747965E-2</v>
      </c>
      <c r="U163" s="162">
        <f ca="1"/>
        <v>3.2917423986795868E-2</v>
      </c>
      <c r="V163" s="138">
        <f ca="1"/>
        <v>5.83197056325927E-2</v>
      </c>
      <c r="W163" s="137">
        <f ca="1"/>
        <v>0</v>
      </c>
      <c r="X163" s="162">
        <f ca="1"/>
        <v>0</v>
      </c>
      <c r="Y163" s="162">
        <f ca="1"/>
        <v>2.4289589444898008E-3</v>
      </c>
      <c r="Z163" s="162">
        <f ca="1"/>
        <v>0</v>
      </c>
      <c r="AA163" s="162">
        <f ca="1"/>
        <v>9.4429349177518329E-3</v>
      </c>
      <c r="AB163" s="162">
        <f ca="1"/>
        <v>0</v>
      </c>
      <c r="AC163" s="162">
        <f ca="1"/>
        <v>2.2405707440521727E-2</v>
      </c>
      <c r="AD163" s="162">
        <f ca="1"/>
        <v>3.4089980742243009E-2</v>
      </c>
      <c r="AE163" s="138">
        <f ca="1"/>
        <v>5.9935293081642249E-2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3.0530411349625197E-3</v>
      </c>
      <c r="Q164" s="162">
        <f ca="1"/>
        <v>0</v>
      </c>
      <c r="R164" s="162">
        <f ca="1"/>
        <v>1.4136531861422497E-2</v>
      </c>
      <c r="S164" s="162">
        <f ca="1"/>
        <v>0</v>
      </c>
      <c r="T164" s="162">
        <f ca="1"/>
        <v>3.3470879291030986E-2</v>
      </c>
      <c r="U164" s="162">
        <f ca="1"/>
        <v>5.9763914666725149E-2</v>
      </c>
      <c r="V164" s="138">
        <f ca="1"/>
        <v>0.10222077745259972</v>
      </c>
      <c r="W164" s="137">
        <f ca="1"/>
        <v>0</v>
      </c>
      <c r="X164" s="162">
        <f ca="1"/>
        <v>0</v>
      </c>
      <c r="Y164" s="162">
        <f ca="1"/>
        <v>3.2555246279344363E-3</v>
      </c>
      <c r="Z164" s="162">
        <f ca="1"/>
        <v>0</v>
      </c>
      <c r="AA164" s="162">
        <f ca="1"/>
        <v>1.4667141020565544E-2</v>
      </c>
      <c r="AB164" s="162">
        <f ca="1"/>
        <v>0</v>
      </c>
      <c r="AC164" s="162">
        <f ca="1"/>
        <v>3.4316155247051006E-2</v>
      </c>
      <c r="AD164" s="162">
        <f ca="1"/>
        <v>6.090477304766917E-2</v>
      </c>
      <c r="AE164" s="138">
        <f ca="1"/>
        <v>0.10378368879989652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1.0782425920867755E-3</v>
      </c>
      <c r="Q165" s="162">
        <f ca="1"/>
        <v>0</v>
      </c>
      <c r="R165" s="162">
        <f ca="1"/>
        <v>7.913757820644185E-3</v>
      </c>
      <c r="S165" s="162">
        <f ca="1"/>
        <v>0</v>
      </c>
      <c r="T165" s="162">
        <f ca="1"/>
        <v>1.9046476190233808E-2</v>
      </c>
      <c r="U165" s="162">
        <f ca="1"/>
        <v>3.5209461152056698E-2</v>
      </c>
      <c r="V165" s="138">
        <f ca="1"/>
        <v>7.2148744600980197E-2</v>
      </c>
      <c r="W165" s="137">
        <f ca="1"/>
        <v>0</v>
      </c>
      <c r="X165" s="162">
        <f ca="1"/>
        <v>0</v>
      </c>
      <c r="Y165" s="162">
        <f ca="1"/>
        <v>1.2811654970750208E-3</v>
      </c>
      <c r="Z165" s="162">
        <f ca="1"/>
        <v>0</v>
      </c>
      <c r="AA165" s="162">
        <f ca="1"/>
        <v>8.4482457443388892E-3</v>
      </c>
      <c r="AB165" s="162">
        <f ca="1"/>
        <v>0</v>
      </c>
      <c r="AC165" s="162">
        <f ca="1"/>
        <v>1.9905347256327977E-2</v>
      </c>
      <c r="AD165" s="162">
        <f ca="1"/>
        <v>3.6380593417623674E-2</v>
      </c>
      <c r="AE165" s="138">
        <f ca="1"/>
        <v>7.3739184963288351E-2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5.9445721435359311E-2</v>
      </c>
      <c r="Q166" s="162">
        <f ca="1"/>
        <v>0</v>
      </c>
      <c r="R166" s="162">
        <f ca="1"/>
        <v>0.10932453593312275</v>
      </c>
      <c r="S166" s="162">
        <f ca="1"/>
        <v>0</v>
      </c>
      <c r="T166" s="162">
        <f ca="1"/>
        <v>0.14273358925242685</v>
      </c>
      <c r="U166" s="162">
        <f ca="1"/>
        <v>0.17461661284407604</v>
      </c>
      <c r="V166" s="138">
        <f ca="1"/>
        <v>0.22493472290796945</v>
      </c>
      <c r="W166" s="137">
        <f ca="1"/>
        <v>0</v>
      </c>
      <c r="X166" s="162">
        <f ca="1"/>
        <v>0</v>
      </c>
      <c r="Y166" s="162">
        <f ca="1"/>
        <v>5.9636782260322985E-2</v>
      </c>
      <c r="Z166" s="162">
        <f ca="1"/>
        <v>0</v>
      </c>
      <c r="AA166" s="162">
        <f ca="1"/>
        <v>0.10979973606018589</v>
      </c>
      <c r="AB166" s="162">
        <f ca="1"/>
        <v>0</v>
      </c>
      <c r="AC166" s="162">
        <f ca="1"/>
        <v>0.14344768034875688</v>
      </c>
      <c r="AD166" s="162">
        <f ca="1"/>
        <v>0.17557899862822102</v>
      </c>
      <c r="AE166" s="138">
        <f ca="1"/>
        <v>0.22622542248806266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1.6727114825744183E-3</v>
      </c>
      <c r="Q167" s="162">
        <f ca="1"/>
        <v>0</v>
      </c>
      <c r="R167" s="162">
        <f ca="1"/>
        <v>1.3813803443643469E-2</v>
      </c>
      <c r="S167" s="162">
        <f ca="1"/>
        <v>0</v>
      </c>
      <c r="T167" s="162">
        <f ca="1"/>
        <v>3.1386564702987507E-2</v>
      </c>
      <c r="U167" s="162">
        <f ca="1"/>
        <v>5.7074837156459335E-2</v>
      </c>
      <c r="V167" s="138">
        <f ca="1"/>
        <v>0.10543629154068224</v>
      </c>
      <c r="W167" s="137">
        <f ca="1"/>
        <v>0</v>
      </c>
      <c r="X167" s="162">
        <f ca="1"/>
        <v>0</v>
      </c>
      <c r="Y167" s="162">
        <f ca="1"/>
        <v>1.8755061841140286E-3</v>
      </c>
      <c r="Z167" s="162">
        <f ca="1"/>
        <v>0</v>
      </c>
      <c r="AA167" s="162">
        <f ca="1"/>
        <v>1.4344736977669137E-2</v>
      </c>
      <c r="AB167" s="162">
        <f ca="1"/>
        <v>0</v>
      </c>
      <c r="AC167" s="162">
        <f ca="1"/>
        <v>3.2234236411819661E-2</v>
      </c>
      <c r="AD167" s="162">
        <f ca="1"/>
        <v>5.8219255380377866E-2</v>
      </c>
      <c r="AE167" s="138">
        <f ca="1"/>
        <v>0.10699823936308439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1.390737551014487E-3</v>
      </c>
      <c r="Q168" s="162">
        <f ca="1"/>
        <v>0</v>
      </c>
      <c r="R168" s="162">
        <f ca="1"/>
        <v>1.2392838089953062E-2</v>
      </c>
      <c r="S168" s="162">
        <f ca="1"/>
        <v>0</v>
      </c>
      <c r="T168" s="162">
        <f ca="1"/>
        <v>3.0678489720906477E-2</v>
      </c>
      <c r="U168" s="162">
        <f ca="1"/>
        <v>6.1448835889721498E-2</v>
      </c>
      <c r="V168" s="138">
        <f ca="1"/>
        <v>0.1142133978386044</v>
      </c>
      <c r="W168" s="137">
        <f ca="1"/>
        <v>0</v>
      </c>
      <c r="X168" s="162">
        <f ca="1"/>
        <v>0</v>
      </c>
      <c r="Y168" s="162">
        <f ca="1"/>
        <v>1.5935934882139735E-3</v>
      </c>
      <c r="Z168" s="162">
        <f ca="1"/>
        <v>0</v>
      </c>
      <c r="AA168" s="162">
        <f ca="1"/>
        <v>1.2924689218084762E-2</v>
      </c>
      <c r="AB168" s="162">
        <f ca="1"/>
        <v>0</v>
      </c>
      <c r="AC168" s="162">
        <f ca="1"/>
        <v>3.1526901449128841E-2</v>
      </c>
      <c r="AD168" s="162">
        <f ca="1"/>
        <v>6.2587819918254128E-2</v>
      </c>
      <c r="AE168" s="138">
        <f ca="1"/>
        <v>0.11576575931566391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9.2195875962619578E-4</v>
      </c>
      <c r="Q169" s="162">
        <f ca="1"/>
        <v>0</v>
      </c>
      <c r="R169" s="162">
        <f ca="1"/>
        <v>8.5204458968412E-3</v>
      </c>
      <c r="S169" s="162">
        <f ca="1"/>
        <v>0</v>
      </c>
      <c r="T169" s="162">
        <f ca="1"/>
        <v>2.0350534790225527E-2</v>
      </c>
      <c r="U169" s="162">
        <f ca="1"/>
        <v>3.7444192233051288E-2</v>
      </c>
      <c r="V169" s="138">
        <f ca="1"/>
        <v>6.5274099613899628E-2</v>
      </c>
      <c r="W169" s="137">
        <f ca="1"/>
        <v>0</v>
      </c>
      <c r="X169" s="162">
        <f ca="1"/>
        <v>0</v>
      </c>
      <c r="Y169" s="162">
        <f ca="1"/>
        <v>1.1249148075147541E-3</v>
      </c>
      <c r="Z169" s="162">
        <f ca="1"/>
        <v>0</v>
      </c>
      <c r="AA169" s="162">
        <f ca="1"/>
        <v>9.0546266949076415E-3</v>
      </c>
      <c r="AB169" s="162">
        <f ca="1"/>
        <v>0</v>
      </c>
      <c r="AC169" s="162">
        <f ca="1"/>
        <v>2.1208330486947258E-2</v>
      </c>
      <c r="AD169" s="162">
        <f ca="1"/>
        <v>3.8612755284582412E-2</v>
      </c>
      <c r="AE169" s="138">
        <f ca="1"/>
        <v>6.6879558491936164E-2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1.4982621013088782E-3</v>
      </c>
      <c r="Q170" s="162">
        <f ca="1"/>
        <v>0</v>
      </c>
      <c r="R170" s="162">
        <f ca="1"/>
        <v>1.1016591148769184E-2</v>
      </c>
      <c r="S170" s="162">
        <f ca="1"/>
        <v>0</v>
      </c>
      <c r="T170" s="162">
        <f ca="1"/>
        <v>2.1833474391695806E-2</v>
      </c>
      <c r="U170" s="162">
        <f ca="1"/>
        <v>3.454840615434096E-2</v>
      </c>
      <c r="V170" s="138">
        <f ca="1"/>
        <v>6.4038254750950596E-2</v>
      </c>
      <c r="W170" s="137">
        <f ca="1"/>
        <v>0</v>
      </c>
      <c r="X170" s="162">
        <f ca="1"/>
        <v>0</v>
      </c>
      <c r="Y170" s="162">
        <f ca="1"/>
        <v>1.7010947787804431E-3</v>
      </c>
      <c r="Z170" s="162">
        <f ca="1"/>
        <v>0</v>
      </c>
      <c r="AA170" s="162">
        <f ca="1"/>
        <v>1.1549260581401599E-2</v>
      </c>
      <c r="AB170" s="162">
        <f ca="1"/>
        <v>0</v>
      </c>
      <c r="AC170" s="162">
        <f ca="1"/>
        <v>2.2689584747940139E-2</v>
      </c>
      <c r="AD170" s="162">
        <f ca="1"/>
        <v>3.5718789465377321E-2</v>
      </c>
      <c r="AE170" s="138">
        <f ca="1"/>
        <v>6.564293732287263E-2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1.9789390628687231E-3</v>
      </c>
      <c r="Q171" s="162">
        <f ca="1"/>
        <v>0</v>
      </c>
      <c r="R171" s="162">
        <f ca="1"/>
        <v>1.6868851312365818E-2</v>
      </c>
      <c r="S171" s="162">
        <f ca="1"/>
        <v>0</v>
      </c>
      <c r="T171" s="162">
        <f ca="1"/>
        <v>4.3521735726053556E-2</v>
      </c>
      <c r="U171" s="162">
        <f ca="1"/>
        <v>7.4434684300014431E-2</v>
      </c>
      <c r="V171" s="138">
        <f ca="1"/>
        <v>0.12266168300675651</v>
      </c>
      <c r="W171" s="137">
        <f ca="1"/>
        <v>0</v>
      </c>
      <c r="X171" s="162">
        <f ca="1"/>
        <v>0</v>
      </c>
      <c r="Y171" s="162">
        <f ca="1"/>
        <v>2.1816663792338931E-3</v>
      </c>
      <c r="Z171" s="162">
        <f ca="1"/>
        <v>0</v>
      </c>
      <c r="AA171" s="162">
        <f ca="1"/>
        <v>1.7397735111295276E-2</v>
      </c>
      <c r="AB171" s="162">
        <f ca="1"/>
        <v>0</v>
      </c>
      <c r="AC171" s="162">
        <f ca="1"/>
        <v>4.4357104465983621E-2</v>
      </c>
      <c r="AD171" s="162">
        <f ca="1"/>
        <v>7.5557929041412564E-2</v>
      </c>
      <c r="AE171" s="138">
        <f ca="1"/>
        <v>0.12419382017277047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0.15910384945351419</v>
      </c>
      <c r="Q172" s="162">
        <f ca="1"/>
        <v>0</v>
      </c>
      <c r="R172" s="162">
        <f ca="1"/>
        <v>0.2345997643319655</v>
      </c>
      <c r="S172" s="162">
        <f ca="1"/>
        <v>0</v>
      </c>
      <c r="T172" s="162">
        <f ca="1"/>
        <v>0.2671067103405681</v>
      </c>
      <c r="U172" s="162">
        <f ca="1"/>
        <v>0.29091672788250744</v>
      </c>
      <c r="V172" s="138">
        <f ca="1"/>
        <v>0.34514535835865146</v>
      </c>
      <c r="W172" s="137">
        <f ca="1"/>
        <v>0</v>
      </c>
      <c r="X172" s="162">
        <f ca="1"/>
        <v>0</v>
      </c>
      <c r="Y172" s="162">
        <f ca="1"/>
        <v>0.1592746475249962</v>
      </c>
      <c r="Z172" s="162">
        <f ca="1"/>
        <v>0</v>
      </c>
      <c r="AA172" s="162">
        <f ca="1"/>
        <v>0.23498236879070489</v>
      </c>
      <c r="AB172" s="162">
        <f ca="1"/>
        <v>0</v>
      </c>
      <c r="AC172" s="162">
        <f ca="1"/>
        <v>0.2677172003424747</v>
      </c>
      <c r="AD172" s="162">
        <f ca="1"/>
        <v>0.29168859412279258</v>
      </c>
      <c r="AE172" s="138">
        <f ca="1"/>
        <v>0.34616738991466112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1.9931327855162717E-3</v>
      </c>
      <c r="Q173" s="162">
        <f ca="1"/>
        <v>0</v>
      </c>
      <c r="R173" s="162">
        <f ca="1"/>
        <v>1.7376742855715444E-2</v>
      </c>
      <c r="S173" s="162">
        <f ca="1"/>
        <v>0</v>
      </c>
      <c r="T173" s="162">
        <f ca="1"/>
        <v>4.0791737605114897E-2</v>
      </c>
      <c r="U173" s="162">
        <f ca="1"/>
        <v>7.2860707728833907E-2</v>
      </c>
      <c r="V173" s="138">
        <f ca="1"/>
        <v>0.12833612827616159</v>
      </c>
      <c r="W173" s="137">
        <f ca="1"/>
        <v>0</v>
      </c>
      <c r="X173" s="162">
        <f ca="1"/>
        <v>0</v>
      </c>
      <c r="Y173" s="162">
        <f ca="1"/>
        <v>2.1958569560368568E-3</v>
      </c>
      <c r="Z173" s="162">
        <f ca="1"/>
        <v>0</v>
      </c>
      <c r="AA173" s="162">
        <f ca="1"/>
        <v>1.7905272060792066E-2</v>
      </c>
      <c r="AB173" s="162">
        <f ca="1"/>
        <v>0</v>
      </c>
      <c r="AC173" s="162">
        <f ca="1"/>
        <v>4.1630190036687886E-2</v>
      </c>
      <c r="AD173" s="162">
        <f ca="1"/>
        <v>7.3984948716529164E-2</v>
      </c>
      <c r="AE173" s="138">
        <f ca="1"/>
        <v>0.12986381939879088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2.4472263144620365E-3</v>
      </c>
      <c r="Q174" s="162">
        <f ca="1"/>
        <v>0</v>
      </c>
      <c r="R174" s="162">
        <f ca="1"/>
        <v>1.5489256648511862E-2</v>
      </c>
      <c r="S174" s="162">
        <f ca="1"/>
        <v>0</v>
      </c>
      <c r="T174" s="162">
        <f ca="1"/>
        <v>4.1854260002126442E-2</v>
      </c>
      <c r="U174" s="162">
        <f ca="1"/>
        <v>7.8275677530691645E-2</v>
      </c>
      <c r="V174" s="138">
        <f ca="1"/>
        <v>0.13106234265268402</v>
      </c>
      <c r="W174" s="137">
        <f ca="1"/>
        <v>0</v>
      </c>
      <c r="X174" s="162">
        <f ca="1"/>
        <v>0</v>
      </c>
      <c r="Y174" s="162">
        <f ca="1"/>
        <v>2.6498487759131217E-3</v>
      </c>
      <c r="Z174" s="162">
        <f ca="1"/>
        <v>0</v>
      </c>
      <c r="AA174" s="162">
        <f ca="1"/>
        <v>1.6019049592360557E-2</v>
      </c>
      <c r="AB174" s="162">
        <f ca="1"/>
        <v>0</v>
      </c>
      <c r="AC174" s="162">
        <f ca="1"/>
        <v>4.2691101537942089E-2</v>
      </c>
      <c r="AD174" s="162">
        <f ca="1"/>
        <v>7.9392811104820882E-2</v>
      </c>
      <c r="AE174" s="138">
        <f ca="1"/>
        <v>0.13258577004197336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1.0214149121563487E-3</v>
      </c>
      <c r="Q175" s="162">
        <f ca="1"/>
        <v>0</v>
      </c>
      <c r="R175" s="162">
        <f ca="1"/>
        <v>1.1751935120098422E-2</v>
      </c>
      <c r="S175" s="162">
        <f ca="1"/>
        <v>0</v>
      </c>
      <c r="T175" s="162">
        <f ca="1"/>
        <v>2.6288350877562539E-2</v>
      </c>
      <c r="U175" s="162">
        <f ca="1"/>
        <v>4.8006034371661954E-2</v>
      </c>
      <c r="V175" s="138">
        <f ca="1"/>
        <v>8.9228588503588946E-2</v>
      </c>
      <c r="W175" s="137">
        <f ca="1"/>
        <v>0</v>
      </c>
      <c r="X175" s="162">
        <f ca="1"/>
        <v>0</v>
      </c>
      <c r="Y175" s="162">
        <f ca="1"/>
        <v>1.2243498952709819E-3</v>
      </c>
      <c r="Z175" s="162">
        <f ca="1"/>
        <v>0</v>
      </c>
      <c r="AA175" s="162">
        <f ca="1"/>
        <v>1.2284218102774469E-2</v>
      </c>
      <c r="AB175" s="162">
        <f ca="1"/>
        <v>0</v>
      </c>
      <c r="AC175" s="162">
        <f ca="1"/>
        <v>2.7140855388363305E-2</v>
      </c>
      <c r="AD175" s="162">
        <f ca="1"/>
        <v>4.916177418386003E-2</v>
      </c>
      <c r="AE175" s="138">
        <f ca="1"/>
        <v>9.08136415641978E-2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3.0996271777754547E-3</v>
      </c>
      <c r="Q176" s="162">
        <f ca="1"/>
        <v>0</v>
      </c>
      <c r="R176" s="162">
        <f ca="1"/>
        <v>1.6055253841522621E-2</v>
      </c>
      <c r="S176" s="162">
        <f ca="1"/>
        <v>0</v>
      </c>
      <c r="T176" s="162">
        <f ca="1"/>
        <v>4.0840448056721379E-2</v>
      </c>
      <c r="U176" s="162">
        <f ca="1"/>
        <v>6.953016243949639E-2</v>
      </c>
      <c r="V176" s="138">
        <f ca="1"/>
        <v>0.13026819867207629</v>
      </c>
      <c r="W176" s="137">
        <f ca="1"/>
        <v>0</v>
      </c>
      <c r="X176" s="162">
        <f ca="1"/>
        <v>0</v>
      </c>
      <c r="Y176" s="162">
        <f ca="1"/>
        <v>3.3020998264415846E-3</v>
      </c>
      <c r="Z176" s="162">
        <f ca="1"/>
        <v>0</v>
      </c>
      <c r="AA176" s="162">
        <f ca="1"/>
        <v>1.6584634487073036E-2</v>
      </c>
      <c r="AB176" s="162">
        <f ca="1"/>
        <v>0</v>
      </c>
      <c r="AC176" s="162">
        <f ca="1"/>
        <v>4.1678308808333897E-2</v>
      </c>
      <c r="AD176" s="162">
        <f ca="1"/>
        <v>7.0659288592262448E-2</v>
      </c>
      <c r="AE176" s="138">
        <f ca="1"/>
        <v>0.13179509142096701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1.0944784833617494E-3</v>
      </c>
      <c r="Q177" s="162">
        <f ca="1"/>
        <v>0</v>
      </c>
      <c r="R177" s="162">
        <f ca="1"/>
        <v>9.8496920113763098E-3</v>
      </c>
      <c r="S177" s="162">
        <f ca="1"/>
        <v>0</v>
      </c>
      <c r="T177" s="162">
        <f ca="1"/>
        <v>2.3348040027549311E-2</v>
      </c>
      <c r="U177" s="162">
        <f ca="1"/>
        <v>4.0845057637216575E-2</v>
      </c>
      <c r="V177" s="138">
        <f ca="1"/>
        <v>6.8938470048370393E-2</v>
      </c>
      <c r="W177" s="137">
        <f ca="1"/>
        <v>0</v>
      </c>
      <c r="X177" s="162">
        <f ca="1"/>
        <v>0</v>
      </c>
      <c r="Y177" s="162">
        <f ca="1"/>
        <v>1.2973979320214379E-3</v>
      </c>
      <c r="Z177" s="162">
        <f ca="1"/>
        <v>0</v>
      </c>
      <c r="AA177" s="162">
        <f ca="1"/>
        <v>1.0383095222558536E-2</v>
      </c>
      <c r="AB177" s="162">
        <f ca="1"/>
        <v>0</v>
      </c>
      <c r="AC177" s="162">
        <f ca="1"/>
        <v>2.4203172990807653E-2</v>
      </c>
      <c r="AD177" s="162">
        <f ca="1"/>
        <v>4.200942537858543E-2</v>
      </c>
      <c r="AE177" s="138">
        <f ca="1"/>
        <v>7.053669948651653E-2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1.2588521494583116E-3</v>
      </c>
      <c r="Q178" s="162">
        <f ca="1"/>
        <v>0</v>
      </c>
      <c r="R178" s="162">
        <f ca="1"/>
        <v>8.5439401959485073E-3</v>
      </c>
      <c r="S178" s="162">
        <f ca="1"/>
        <v>0</v>
      </c>
      <c r="T178" s="162">
        <f ca="1"/>
        <v>1.9412184979988756E-2</v>
      </c>
      <c r="U178" s="162">
        <f ca="1"/>
        <v>3.5466957557538592E-2</v>
      </c>
      <c r="V178" s="138">
        <f ca="1"/>
        <v>6.5468525890967633E-2</v>
      </c>
      <c r="W178" s="137">
        <f ca="1"/>
        <v>0</v>
      </c>
      <c r="X178" s="162">
        <f ca="1"/>
        <v>0</v>
      </c>
      <c r="Y178" s="162">
        <f ca="1"/>
        <v>1.4617364638445096E-3</v>
      </c>
      <c r="Z178" s="162">
        <f ca="1"/>
        <v>0</v>
      </c>
      <c r="AA178" s="162">
        <f ca="1"/>
        <v>9.0780535966163978E-3</v>
      </c>
      <c r="AB178" s="162">
        <f ca="1"/>
        <v>0</v>
      </c>
      <c r="AC178" s="162">
        <f ca="1"/>
        <v>2.0270623473843674E-2</v>
      </c>
      <c r="AD178" s="162">
        <f ca="1"/>
        <v>3.6637519317175626E-2</v>
      </c>
      <c r="AE178" s="138">
        <f ca="1"/>
        <v>6.7072852420170137E-2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2.1330316339264188E-3</v>
      </c>
      <c r="Q179" s="162">
        <f ca="1"/>
        <v>0</v>
      </c>
      <c r="R179" s="162">
        <f ca="1"/>
        <v>1.1955273606066852E-2</v>
      </c>
      <c r="S179" s="162">
        <f ca="1"/>
        <v>0</v>
      </c>
      <c r="T179" s="162">
        <f ca="1"/>
        <v>2.8865709288964592E-2</v>
      </c>
      <c r="U179" s="162">
        <f ca="1"/>
        <v>5.3303297083237888E-2</v>
      </c>
      <c r="V179" s="138">
        <f ca="1"/>
        <v>9.1516561611550973E-2</v>
      </c>
      <c r="W179" s="137">
        <f ca="1"/>
        <v>0</v>
      </c>
      <c r="X179" s="162">
        <f ca="1"/>
        <v>0</v>
      </c>
      <c r="Y179" s="162">
        <f ca="1"/>
        <v>2.3357246904487372E-3</v>
      </c>
      <c r="Z179" s="162">
        <f ca="1"/>
        <v>0</v>
      </c>
      <c r="AA179" s="162">
        <f ca="1"/>
        <v>1.2487308516200168E-2</v>
      </c>
      <c r="AB179" s="162">
        <f ca="1"/>
        <v>0</v>
      </c>
      <c r="AC179" s="162">
        <f ca="1"/>
        <v>2.9715576383105402E-2</v>
      </c>
      <c r="AD179" s="162">
        <f ca="1"/>
        <v>5.4452546170613014E-2</v>
      </c>
      <c r="AE179" s="138">
        <f ca="1"/>
        <v>9.3071624582473866E-2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7.4128880042978462E-4</v>
      </c>
      <c r="Q180" s="162">
        <f ca="1"/>
        <v>0</v>
      </c>
      <c r="R180" s="162">
        <f ca="1"/>
        <v>1.3070307903997214E-2</v>
      </c>
      <c r="S180" s="162">
        <f ca="1"/>
        <v>0</v>
      </c>
      <c r="T180" s="162">
        <f ca="1"/>
        <v>2.7071530628354767E-2</v>
      </c>
      <c r="U180" s="162">
        <f ca="1"/>
        <v>4.8585860628154065E-2</v>
      </c>
      <c r="V180" s="138">
        <f ca="1"/>
        <v>8.739407226095619E-2</v>
      </c>
      <c r="W180" s="137">
        <f ca="1"/>
        <v>0</v>
      </c>
      <c r="X180" s="162">
        <f ca="1"/>
        <v>0</v>
      </c>
      <c r="Y180" s="162">
        <f ca="1"/>
        <v>9.4428287612935424E-4</v>
      </c>
      <c r="Z180" s="162">
        <f ca="1"/>
        <v>0</v>
      </c>
      <c r="AA180" s="162">
        <f ca="1"/>
        <v>1.36017912110451E-2</v>
      </c>
      <c r="AB180" s="162">
        <f ca="1"/>
        <v>0</v>
      </c>
      <c r="AC180" s="162">
        <f ca="1"/>
        <v>2.7923361698115823E-2</v>
      </c>
      <c r="AD180" s="162">
        <f ca="1"/>
        <v>4.9740601904831316E-2</v>
      </c>
      <c r="AE180" s="138">
        <f ca="1"/>
        <v>8.8955361559481361E-2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2.7815839195883818E-3</v>
      </c>
      <c r="Q181" s="162">
        <f ca="1"/>
        <v>0</v>
      </c>
      <c r="R181" s="162">
        <f ca="1"/>
        <v>1.0476405957794976E-2</v>
      </c>
      <c r="S181" s="162">
        <f ca="1"/>
        <v>0</v>
      </c>
      <c r="T181" s="162">
        <f ca="1"/>
        <v>2.9864082905629585E-2</v>
      </c>
      <c r="U181" s="162">
        <f ca="1"/>
        <v>5.5389824739184745E-2</v>
      </c>
      <c r="V181" s="138">
        <f ca="1"/>
        <v>9.4060523057503675E-2</v>
      </c>
      <c r="W181" s="137">
        <f ca="1"/>
        <v>0</v>
      </c>
      <c r="X181" s="162">
        <f ca="1"/>
        <v>0</v>
      </c>
      <c r="Y181" s="162">
        <f ca="1"/>
        <v>2.9841301514804686E-3</v>
      </c>
      <c r="Z181" s="162">
        <f ca="1"/>
        <v>0</v>
      </c>
      <c r="AA181" s="162">
        <f ca="1"/>
        <v>1.1009205774531017E-2</v>
      </c>
      <c r="AB181" s="162">
        <f ca="1"/>
        <v>0</v>
      </c>
      <c r="AC181" s="162">
        <f ca="1"/>
        <v>3.0712813160546193E-2</v>
      </c>
      <c r="AD181" s="162">
        <f ca="1"/>
        <v>5.6537006608883944E-2</v>
      </c>
      <c r="AE181" s="138">
        <f ca="1"/>
        <v>9.5611468816485967E-2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8.9557078570345894E-4</v>
      </c>
      <c r="Q182" s="162">
        <f ca="1"/>
        <v>0</v>
      </c>
      <c r="R182" s="162">
        <f ca="1"/>
        <v>7.9278261961944763E-3</v>
      </c>
      <c r="S182" s="162">
        <f ca="1"/>
        <v>0</v>
      </c>
      <c r="T182" s="162">
        <f ca="1"/>
        <v>1.8162880876170351E-2</v>
      </c>
      <c r="U182" s="162">
        <f ca="1"/>
        <v>3.4662810918439702E-2</v>
      </c>
      <c r="V182" s="138">
        <f ca="1"/>
        <v>6.5550082698519918E-2</v>
      </c>
      <c r="W182" s="137">
        <f ca="1"/>
        <v>0</v>
      </c>
      <c r="X182" s="162">
        <f ca="1"/>
        <v>0</v>
      </c>
      <c r="Y182" s="162">
        <f ca="1"/>
        <v>1.098532406852204E-3</v>
      </c>
      <c r="Z182" s="162">
        <f ca="1"/>
        <v>0</v>
      </c>
      <c r="AA182" s="162">
        <f ca="1"/>
        <v>8.4623375336516649E-3</v>
      </c>
      <c r="AB182" s="162">
        <f ca="1"/>
        <v>0</v>
      </c>
      <c r="AC182" s="162">
        <f ca="1"/>
        <v>1.902249699049996E-2</v>
      </c>
      <c r="AD182" s="162">
        <f ca="1"/>
        <v>3.5834586495487764E-2</v>
      </c>
      <c r="AE182" s="138">
        <f ca="1"/>
        <v>6.7154665099883437E-2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1.5550628911922271E-3</v>
      </c>
      <c r="Q183" s="162">
        <f ca="1"/>
        <v>0</v>
      </c>
      <c r="R183" s="162">
        <f ca="1"/>
        <v>1.3680566142349471E-2</v>
      </c>
      <c r="S183" s="162">
        <f ca="1"/>
        <v>0</v>
      </c>
      <c r="T183" s="162">
        <f ca="1"/>
        <v>2.8726656636183678E-2</v>
      </c>
      <c r="U183" s="162">
        <f ca="1"/>
        <v>5.2717386557355805E-2</v>
      </c>
      <c r="V183" s="138">
        <f ca="1"/>
        <v>9.090947146045214E-2</v>
      </c>
      <c r="W183" s="137">
        <f ca="1"/>
        <v>0</v>
      </c>
      <c r="X183" s="162">
        <f ca="1"/>
        <v>0</v>
      </c>
      <c r="Y183" s="162">
        <f ca="1"/>
        <v>1.7578832362525887E-3</v>
      </c>
      <c r="Z183" s="162">
        <f ca="1"/>
        <v>0</v>
      </c>
      <c r="AA183" s="162">
        <f ca="1"/>
        <v>1.4211594199142086E-2</v>
      </c>
      <c r="AB183" s="162">
        <f ca="1"/>
        <v>0</v>
      </c>
      <c r="AC183" s="162">
        <f ca="1"/>
        <v>2.9576768170442191E-2</v>
      </c>
      <c r="AD183" s="162">
        <f ca="1"/>
        <v>5.3866872142366073E-2</v>
      </c>
      <c r="AE183" s="138">
        <f ca="1"/>
        <v>9.246499359864746E-2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3.4357929528147091E-3</v>
      </c>
      <c r="Q184" s="162">
        <f ca="1"/>
        <v>0</v>
      </c>
      <c r="R184" s="162">
        <f ca="1"/>
        <v>2.3541891122300651E-2</v>
      </c>
      <c r="S184" s="162">
        <f ca="1"/>
        <v>0</v>
      </c>
      <c r="T184" s="162">
        <f ca="1"/>
        <v>6.5618472403819905E-2</v>
      </c>
      <c r="U184" s="162">
        <f ca="1"/>
        <v>0.11757704929346346</v>
      </c>
      <c r="V184" s="138">
        <f ca="1"/>
        <v>0.21965310210031008</v>
      </c>
      <c r="W184" s="137">
        <f ca="1"/>
        <v>0</v>
      </c>
      <c r="X184" s="162">
        <f ca="1"/>
        <v>0</v>
      </c>
      <c r="Y184" s="162">
        <f ca="1"/>
        <v>3.6381866696482135E-3</v>
      </c>
      <c r="Z184" s="162">
        <f ca="1"/>
        <v>0</v>
      </c>
      <c r="AA184" s="162">
        <f ca="1"/>
        <v>2.4065817465845241E-2</v>
      </c>
      <c r="AB184" s="162">
        <f ca="1"/>
        <v>0</v>
      </c>
      <c r="AC184" s="162">
        <f ca="1"/>
        <v>6.6426428753387889E-2</v>
      </c>
      <c r="AD184" s="162">
        <f ca="1"/>
        <v>0.118670402450478</v>
      </c>
      <c r="AE184" s="138">
        <f ca="1"/>
        <v>0.22105597454630566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6.6393359600602775E-4</v>
      </c>
      <c r="P185" s="162">
        <f ca="1"/>
        <v>1.4258395008969194E-3</v>
      </c>
      <c r="Q185" s="162">
        <f ca="1"/>
        <v>4.1950051468626626E-3</v>
      </c>
      <c r="R185" s="162">
        <f ca="1"/>
        <v>8.4333432461654034E-3</v>
      </c>
      <c r="S185" s="162">
        <f ca="1"/>
        <v>0</v>
      </c>
      <c r="T185" s="162">
        <f ca="1"/>
        <v>2.1314471900430565E-2</v>
      </c>
      <c r="U185" s="162">
        <f ca="1"/>
        <v>3.2872868844326164E-2</v>
      </c>
      <c r="V185" s="138">
        <f ca="1"/>
        <v>5.4221458583555204E-2</v>
      </c>
      <c r="W185" s="137">
        <f ca="1"/>
        <v>0</v>
      </c>
      <c r="X185" s="162">
        <f ca="1"/>
        <v>7.8244552961437286E-4</v>
      </c>
      <c r="Y185" s="162">
        <f ca="1"/>
        <v>1.628712749212835E-3</v>
      </c>
      <c r="Z185" s="162">
        <f ca="1"/>
        <v>4.5645032220111847E-3</v>
      </c>
      <c r="AA185" s="162">
        <f ca="1"/>
        <v>8.9679447788753031E-3</v>
      </c>
      <c r="AB185" s="162">
        <f ca="1"/>
        <v>0</v>
      </c>
      <c r="AC185" s="162">
        <f ca="1"/>
        <v>2.2171453859152535E-2</v>
      </c>
      <c r="AD185" s="162">
        <f ca="1"/>
        <v>3.404604340046069E-2</v>
      </c>
      <c r="AE185" s="138">
        <f ca="1"/>
        <v>5.5844961393181514E-2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7.162531671277228E-3</v>
      </c>
      <c r="Q186" s="162">
        <f ca="1"/>
        <v>0</v>
      </c>
      <c r="R186" s="162">
        <f ca="1"/>
        <v>3.4527009067307435E-2</v>
      </c>
      <c r="S186" s="162">
        <f ca="1"/>
        <v>0</v>
      </c>
      <c r="T186" s="162">
        <f ca="1"/>
        <v>9.3053615171096449E-2</v>
      </c>
      <c r="U186" s="162">
        <f ca="1"/>
        <v>0.14674536479515965</v>
      </c>
      <c r="V186" s="138">
        <f ca="1"/>
        <v>0.23625387554175503</v>
      </c>
      <c r="W186" s="137">
        <f ca="1"/>
        <v>0</v>
      </c>
      <c r="X186" s="162">
        <f ca="1"/>
        <v>0</v>
      </c>
      <c r="Y186" s="162">
        <f ca="1"/>
        <v>7.3639652414039247E-3</v>
      </c>
      <c r="Z186" s="162">
        <f ca="1"/>
        <v>0</v>
      </c>
      <c r="AA186" s="162">
        <f ca="1"/>
        <v>3.5041708390378012E-2</v>
      </c>
      <c r="AB186" s="162">
        <f ca="1"/>
        <v>0</v>
      </c>
      <c r="AC186" s="162">
        <f ca="1"/>
        <v>9.3859948763500123E-2</v>
      </c>
      <c r="AD186" s="162">
        <f ca="1"/>
        <v>0.1478008114073327</v>
      </c>
      <c r="AE186" s="138">
        <f ca="1"/>
        <v>0.23761043862057829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2.1472231849823942E-3</v>
      </c>
      <c r="Q187" s="162">
        <f ca="1"/>
        <v>0</v>
      </c>
      <c r="R187" s="162">
        <f ca="1"/>
        <v>1.0614009607676334E-2</v>
      </c>
      <c r="S187" s="162">
        <f ca="1"/>
        <v>0</v>
      </c>
      <c r="T187" s="162">
        <f ca="1"/>
        <v>2.3172513814707418E-2</v>
      </c>
      <c r="U187" s="162">
        <f ca="1"/>
        <v>3.3874285732975018E-2</v>
      </c>
      <c r="V187" s="138">
        <f ca="1"/>
        <v>5.5498487968442478E-2</v>
      </c>
      <c r="W187" s="137">
        <f ca="1"/>
        <v>0</v>
      </c>
      <c r="X187" s="162">
        <f ca="1"/>
        <v>0</v>
      </c>
      <c r="Y187" s="162">
        <f ca="1"/>
        <v>2.3499130743489527E-3</v>
      </c>
      <c r="Z187" s="162">
        <f ca="1"/>
        <v>0</v>
      </c>
      <c r="AA187" s="162">
        <f ca="1"/>
        <v>1.1146825803582949E-2</v>
      </c>
      <c r="AB187" s="162">
        <f ca="1"/>
        <v>0</v>
      </c>
      <c r="AC187" s="162">
        <f ca="1"/>
        <v>2.4027398084200291E-2</v>
      </c>
      <c r="AD187" s="162">
        <f ca="1"/>
        <v>3.5045132555014069E-2</v>
      </c>
      <c r="AE187" s="138">
        <f ca="1"/>
        <v>5.7118108491712949E-2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2.4472263144620365E-3</v>
      </c>
      <c r="Q188" s="162">
        <f ca="1"/>
        <v>0</v>
      </c>
      <c r="R188" s="162">
        <f ca="1"/>
        <v>1.6513266141334859E-2</v>
      </c>
      <c r="S188" s="162">
        <f ca="1"/>
        <v>0</v>
      </c>
      <c r="T188" s="162">
        <f ca="1"/>
        <v>4.3075541070222045E-2</v>
      </c>
      <c r="U188" s="162">
        <f ca="1"/>
        <v>7.1739645790631745E-2</v>
      </c>
      <c r="V188" s="138">
        <f ca="1"/>
        <v>0.1181092310928572</v>
      </c>
      <c r="W188" s="137">
        <f ca="1"/>
        <v>0</v>
      </c>
      <c r="X188" s="162">
        <f ca="1"/>
        <v>0</v>
      </c>
      <c r="Y188" s="162">
        <f ca="1"/>
        <v>2.6498487759131217E-3</v>
      </c>
      <c r="Z188" s="162">
        <f ca="1"/>
        <v>0</v>
      </c>
      <c r="AA188" s="162">
        <f ca="1"/>
        <v>1.7042376065930176E-2</v>
      </c>
      <c r="AB188" s="162">
        <f ca="1"/>
        <v>0</v>
      </c>
      <c r="AC188" s="162">
        <f ca="1"/>
        <v>4.3911198410122698E-2</v>
      </c>
      <c r="AD188" s="162">
        <f ca="1"/>
        <v>7.2866501946631801E-2</v>
      </c>
      <c r="AE188" s="138">
        <f ca="1"/>
        <v>0.1196470934900663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5.3675799409580449E-3</v>
      </c>
      <c r="Q189" s="162">
        <f ca="1"/>
        <v>0</v>
      </c>
      <c r="R189" s="162">
        <f ca="1"/>
        <v>2.6211842629450199E-2</v>
      </c>
      <c r="S189" s="162">
        <f ca="1"/>
        <v>0</v>
      </c>
      <c r="T189" s="162">
        <f ca="1"/>
        <v>6.4214259178323685E-2</v>
      </c>
      <c r="U189" s="162">
        <f ca="1"/>
        <v>0.10167021535029841</v>
      </c>
      <c r="V189" s="138">
        <f ca="1"/>
        <v>0.15975379149404578</v>
      </c>
      <c r="W189" s="137">
        <f ca="1"/>
        <v>0</v>
      </c>
      <c r="X189" s="162">
        <f ca="1"/>
        <v>0</v>
      </c>
      <c r="Y189" s="162">
        <f ca="1"/>
        <v>5.5694961058481152E-3</v>
      </c>
      <c r="Z189" s="162">
        <f ca="1"/>
        <v>0</v>
      </c>
      <c r="AA189" s="162">
        <f ca="1"/>
        <v>2.6733754031619039E-2</v>
      </c>
      <c r="AB189" s="162">
        <f ca="1"/>
        <v>0</v>
      </c>
      <c r="AC189" s="162">
        <f ca="1"/>
        <v>6.5025126084792606E-2</v>
      </c>
      <c r="AD189" s="162">
        <f ca="1"/>
        <v>0.10275718160979708</v>
      </c>
      <c r="AE189" s="138">
        <f ca="1"/>
        <v>0.16122650240504155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2.94365673440522E-3</v>
      </c>
      <c r="Q190" s="162">
        <f ca="1"/>
        <v>0</v>
      </c>
      <c r="R190" s="162">
        <f ca="1"/>
        <v>2.3883256360716087E-2</v>
      </c>
      <c r="S190" s="162">
        <f ca="1"/>
        <v>0</v>
      </c>
      <c r="T190" s="162">
        <f ca="1"/>
        <v>6.0332504788136565E-2</v>
      </c>
      <c r="U190" s="162">
        <f ca="1"/>
        <v>9.9348416022000618E-2</v>
      </c>
      <c r="V190" s="138">
        <f ca="1"/>
        <v>0.16983217709479126</v>
      </c>
      <c r="W190" s="137">
        <f ca="1"/>
        <v>0</v>
      </c>
      <c r="X190" s="162">
        <f ca="1"/>
        <v>0</v>
      </c>
      <c r="Y190" s="162">
        <f ca="1"/>
        <v>3.1461656005312699E-3</v>
      </c>
      <c r="Z190" s="162">
        <f ca="1"/>
        <v>0</v>
      </c>
      <c r="AA190" s="162">
        <f ca="1"/>
        <v>2.440686638973788E-2</v>
      </c>
      <c r="AB190" s="162">
        <f ca="1"/>
        <v>0</v>
      </c>
      <c r="AC190" s="162">
        <f ca="1"/>
        <v>6.1148582731053835E-2</v>
      </c>
      <c r="AD190" s="162">
        <f ca="1"/>
        <v>0.10043850453344194</v>
      </c>
      <c r="AE190" s="138">
        <f ca="1"/>
        <v>0.17129855368946767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3.425669117533725E-3</v>
      </c>
      <c r="Q191" s="162">
        <f ca="1"/>
        <v>0</v>
      </c>
      <c r="R191" s="162">
        <f ca="1"/>
        <v>1.4353234677239368E-2</v>
      </c>
      <c r="S191" s="162">
        <f ca="1"/>
        <v>0</v>
      </c>
      <c r="T191" s="162">
        <f ca="1"/>
        <v>2.8930224374191016E-2</v>
      </c>
      <c r="U191" s="162">
        <f ca="1"/>
        <v>4.0208717650505821E-2</v>
      </c>
      <c r="V191" s="138">
        <f ca="1"/>
        <v>5.9098392953654155E-2</v>
      </c>
      <c r="W191" s="137">
        <f ca="1"/>
        <v>0</v>
      </c>
      <c r="X191" s="162">
        <f ca="1"/>
        <v>0</v>
      </c>
      <c r="Y191" s="162">
        <f ca="1"/>
        <v>3.6280652290182624E-3</v>
      </c>
      <c r="Z191" s="162">
        <f ca="1"/>
        <v>0</v>
      </c>
      <c r="AA191" s="162">
        <f ca="1"/>
        <v>1.4883673676422737E-2</v>
      </c>
      <c r="AB191" s="162">
        <f ca="1"/>
        <v>0</v>
      </c>
      <c r="AC191" s="162">
        <f ca="1"/>
        <v>2.9779546680451796E-2</v>
      </c>
      <c r="AD191" s="162">
        <f ca="1"/>
        <v>4.1371105422728816E-2</v>
      </c>
      <c r="AE191" s="138">
        <f ca="1"/>
        <v>6.0709269531514121E-2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1.0477995906837956E-3</v>
      </c>
      <c r="Q192" s="162">
        <f ca="1"/>
        <v>0</v>
      </c>
      <c r="R192" s="162">
        <f ca="1"/>
        <v>1.0403269523258096E-2</v>
      </c>
      <c r="S192" s="162">
        <f ca="1"/>
        <v>0</v>
      </c>
      <c r="T192" s="162">
        <f ca="1"/>
        <v>2.4635002104626991E-2</v>
      </c>
      <c r="U192" s="162">
        <f ca="1"/>
        <v>4.443411744424719E-2</v>
      </c>
      <c r="V192" s="138">
        <f ca="1"/>
        <v>8.2476222163946122E-2</v>
      </c>
      <c r="W192" s="137">
        <f ca="1"/>
        <v>0</v>
      </c>
      <c r="X192" s="162">
        <f ca="1"/>
        <v>0</v>
      </c>
      <c r="Y192" s="162">
        <f ca="1"/>
        <v>1.2507289698470148E-3</v>
      </c>
      <c r="Z192" s="162">
        <f ca="1"/>
        <v>0</v>
      </c>
      <c r="AA192" s="162">
        <f ca="1"/>
        <v>1.0936357262863572E-2</v>
      </c>
      <c r="AB192" s="162">
        <f ca="1"/>
        <v>0</v>
      </c>
      <c r="AC192" s="162">
        <f ca="1"/>
        <v>2.5489012502980968E-2</v>
      </c>
      <c r="AD192" s="162">
        <f ca="1"/>
        <v>4.5594352195972965E-2</v>
      </c>
      <c r="AE192" s="138">
        <f ca="1"/>
        <v>8.4047328334500238E-2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9.7270292114226553E-4</v>
      </c>
      <c r="Q193" s="162">
        <f ca="1"/>
        <v>0</v>
      </c>
      <c r="R193" s="162">
        <f ca="1"/>
        <v>7.3876328803643698E-3</v>
      </c>
      <c r="S193" s="162">
        <f ca="1"/>
        <v>0</v>
      </c>
      <c r="T193" s="162">
        <f ca="1"/>
        <v>1.8662847766886426E-2</v>
      </c>
      <c r="U193" s="162">
        <f ca="1"/>
        <v>3.6633660260190104E-2</v>
      </c>
      <c r="V193" s="138">
        <f ca="1"/>
        <v>7.2063196204571023E-2</v>
      </c>
      <c r="W193" s="137">
        <f ca="1"/>
        <v>0</v>
      </c>
      <c r="X193" s="162">
        <f ca="1"/>
        <v>0</v>
      </c>
      <c r="Y193" s="162">
        <f ca="1"/>
        <v>1.1756482331291007E-3</v>
      </c>
      <c r="Z193" s="162">
        <f ca="1"/>
        <v>0</v>
      </c>
      <c r="AA193" s="162">
        <f ca="1"/>
        <v>7.9224226903794603E-3</v>
      </c>
      <c r="AB193" s="162">
        <f ca="1"/>
        <v>0</v>
      </c>
      <c r="AC193" s="162">
        <f ca="1"/>
        <v>1.9522128210560652E-2</v>
      </c>
      <c r="AD193" s="162">
        <f ca="1"/>
        <v>3.7803490939778972E-2</v>
      </c>
      <c r="AE193" s="138">
        <f ca="1"/>
        <v>7.3655286751229787E-2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9.7270292114226553E-4</v>
      </c>
      <c r="Q194" s="162">
        <f ca="1"/>
        <v>0</v>
      </c>
      <c r="R194" s="162">
        <f ca="1"/>
        <v>7.839280663247794E-3</v>
      </c>
      <c r="S194" s="162">
        <f ca="1"/>
        <v>0</v>
      </c>
      <c r="T194" s="162">
        <f ca="1"/>
        <v>1.8614651873814503E-2</v>
      </c>
      <c r="U194" s="162">
        <f ca="1"/>
        <v>3.4830654395972882E-2</v>
      </c>
      <c r="V194" s="138">
        <f ca="1"/>
        <v>6.4212664744463077E-2</v>
      </c>
      <c r="W194" s="137">
        <f ca="1"/>
        <v>0</v>
      </c>
      <c r="X194" s="162">
        <f ca="1"/>
        <v>0</v>
      </c>
      <c r="Y194" s="162">
        <f ca="1"/>
        <v>1.1756482331291007E-3</v>
      </c>
      <c r="Z194" s="162">
        <f ca="1"/>
        <v>0</v>
      </c>
      <c r="AA194" s="162">
        <f ca="1"/>
        <v>8.3738270805161497E-3</v>
      </c>
      <c r="AB194" s="162">
        <f ca="1"/>
        <v>0</v>
      </c>
      <c r="AC194" s="162">
        <f ca="1"/>
        <v>1.9473905878468312E-2</v>
      </c>
      <c r="AD194" s="162">
        <f ca="1"/>
        <v>3.6002254729735395E-2</v>
      </c>
      <c r="AE194" s="138">
        <f ca="1"/>
        <v>6.5819846305116836E-2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1.7355869918160849E-3</v>
      </c>
      <c r="Q195" s="162">
        <f ca="1"/>
        <v>0</v>
      </c>
      <c r="R195" s="162">
        <f ca="1"/>
        <v>1.0030636792937919E-2</v>
      </c>
      <c r="S195" s="162">
        <f ca="1"/>
        <v>0</v>
      </c>
      <c r="T195" s="162">
        <f ca="1"/>
        <v>2.5966361234617485E-2</v>
      </c>
      <c r="U195" s="162">
        <f ca="1"/>
        <v>3.8944380095808473E-2</v>
      </c>
      <c r="V195" s="138">
        <f ca="1"/>
        <v>6.6866568294061235E-2</v>
      </c>
      <c r="W195" s="137">
        <f ca="1"/>
        <v>0</v>
      </c>
      <c r="X195" s="162">
        <f ca="1"/>
        <v>0</v>
      </c>
      <c r="Y195" s="162">
        <f ca="1"/>
        <v>1.9383679330085002E-3</v>
      </c>
      <c r="Z195" s="162">
        <f ca="1"/>
        <v>0</v>
      </c>
      <c r="AA195" s="162">
        <f ca="1"/>
        <v>1.056384491792528E-2</v>
      </c>
      <c r="AB195" s="162">
        <f ca="1"/>
        <v>0</v>
      </c>
      <c r="AC195" s="162">
        <f ca="1"/>
        <v>2.6819022377658541E-2</v>
      </c>
      <c r="AD195" s="162">
        <f ca="1"/>
        <v>4.0110406877472471E-2</v>
      </c>
      <c r="AE195" s="138">
        <f ca="1"/>
        <v>6.8466602422007417E-2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8.4279276466026065E-4</v>
      </c>
      <c r="Q196" s="162">
        <f ca="1"/>
        <v>0</v>
      </c>
      <c r="R196" s="162">
        <f ca="1"/>
        <v>8.7247431993220381E-3</v>
      </c>
      <c r="S196" s="162">
        <f ca="1"/>
        <v>0</v>
      </c>
      <c r="T196" s="162">
        <f ca="1"/>
        <v>1.853137796686144E-2</v>
      </c>
      <c r="U196" s="162">
        <f ca="1"/>
        <v>3.4528776881192935E-2</v>
      </c>
      <c r="V196" s="138">
        <f ca="1"/>
        <v>6.3454009168952941E-2</v>
      </c>
      <c r="W196" s="137">
        <f ca="1"/>
        <v>0</v>
      </c>
      <c r="X196" s="162">
        <f ca="1"/>
        <v>0</v>
      </c>
      <c r="Y196" s="162">
        <f ca="1"/>
        <v>1.0457655132248833E-3</v>
      </c>
      <c r="Z196" s="162">
        <f ca="1"/>
        <v>0</v>
      </c>
      <c r="AA196" s="162">
        <f ca="1"/>
        <v>9.2588224589903456E-3</v>
      </c>
      <c r="AB196" s="162">
        <f ca="1"/>
        <v>0</v>
      </c>
      <c r="AC196" s="162">
        <f ca="1"/>
        <v>1.9390599001543829E-2</v>
      </c>
      <c r="AD196" s="162">
        <f ca="1"/>
        <v>3.5700407955910674E-2</v>
      </c>
      <c r="AE196" s="138">
        <f ca="1"/>
        <v>6.506225651118791E-2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4.4658667747488057E-3</v>
      </c>
      <c r="Q197" s="162">
        <f ca="1"/>
        <v>0</v>
      </c>
      <c r="R197" s="162">
        <f ca="1"/>
        <v>2.0669626509138395E-2</v>
      </c>
      <c r="S197" s="162">
        <f ca="1"/>
        <v>0</v>
      </c>
      <c r="T197" s="162">
        <f ca="1"/>
        <v>4.640021114744497E-2</v>
      </c>
      <c r="U197" s="162">
        <f ca="1"/>
        <v>7.3905089807004054E-2</v>
      </c>
      <c r="V197" s="138">
        <f ca="1"/>
        <v>0.1242702594497973</v>
      </c>
      <c r="W197" s="137">
        <f ca="1"/>
        <v>0</v>
      </c>
      <c r="X197" s="162">
        <f ca="1"/>
        <v>0</v>
      </c>
      <c r="Y197" s="162">
        <f ca="1"/>
        <v>4.6680110371710715E-3</v>
      </c>
      <c r="Z197" s="162">
        <f ca="1"/>
        <v>0</v>
      </c>
      <c r="AA197" s="162">
        <f ca="1"/>
        <v>2.1195783026923154E-2</v>
      </c>
      <c r="AB197" s="162">
        <f ca="1"/>
        <v>0</v>
      </c>
      <c r="AC197" s="162">
        <f ca="1"/>
        <v>4.7232291738535159E-2</v>
      </c>
      <c r="AD197" s="162">
        <f ca="1"/>
        <v>7.5027775699972987E-2</v>
      </c>
      <c r="AE197" s="138">
        <f ca="1"/>
        <v>0.12579735970259753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9.950295426871536E-4</v>
      </c>
      <c r="Q198" s="162">
        <f ca="1"/>
        <v>0</v>
      </c>
      <c r="R198" s="162">
        <f ca="1"/>
        <v>8.4487378420841086E-3</v>
      </c>
      <c r="S198" s="162">
        <f ca="1"/>
        <v>0</v>
      </c>
      <c r="T198" s="162">
        <f ca="1"/>
        <v>1.8996500319875098E-2</v>
      </c>
      <c r="U198" s="162">
        <f ca="1"/>
        <v>3.5158900450872443E-2</v>
      </c>
      <c r="V198" s="138">
        <f ca="1"/>
        <v>6.6243485076821651E-2</v>
      </c>
      <c r="W198" s="137">
        <f ca="1"/>
        <v>0</v>
      </c>
      <c r="X198" s="162">
        <f ca="1"/>
        <v>0</v>
      </c>
      <c r="Y198" s="162">
        <f ca="1"/>
        <v>1.1979701232897044E-3</v>
      </c>
      <c r="Z198" s="162">
        <f ca="1"/>
        <v>0</v>
      </c>
      <c r="AA198" s="162">
        <f ca="1"/>
        <v>8.9829466620696685E-3</v>
      </c>
      <c r="AB198" s="162">
        <f ca="1"/>
        <v>0</v>
      </c>
      <c r="AC198" s="162">
        <f ca="1"/>
        <v>1.9855358321495542E-2</v>
      </c>
      <c r="AD198" s="162">
        <f ca="1"/>
        <v>3.632991280031761E-2</v>
      </c>
      <c r="AE198" s="138">
        <f ca="1"/>
        <v>6.7846366962235005E-2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1.654456567304452E-3</v>
      </c>
      <c r="Q199" s="162">
        <f ca="1"/>
        <v>0</v>
      </c>
      <c r="R199" s="162">
        <f ca="1"/>
        <v>8.5518686090855223E-3</v>
      </c>
      <c r="S199" s="162">
        <f ca="1"/>
        <v>0</v>
      </c>
      <c r="T199" s="162">
        <f ca="1"/>
        <v>1.7572696746910976E-2</v>
      </c>
      <c r="U199" s="162">
        <f ca="1"/>
        <v>3.2365069910950339E-2</v>
      </c>
      <c r="V199" s="138">
        <f ca="1"/>
        <v>5.9300719514704836E-2</v>
      </c>
      <c r="W199" s="137">
        <f ca="1"/>
        <v>0</v>
      </c>
      <c r="X199" s="162">
        <f ca="1"/>
        <v>0</v>
      </c>
      <c r="Y199" s="162">
        <f ca="1"/>
        <v>1.8572552566659128E-3</v>
      </c>
      <c r="Z199" s="162">
        <f ca="1"/>
        <v>0</v>
      </c>
      <c r="AA199" s="162">
        <f ca="1"/>
        <v>9.0859117172751303E-3</v>
      </c>
      <c r="AB199" s="162">
        <f ca="1"/>
        <v>0</v>
      </c>
      <c r="AC199" s="162">
        <f ca="1"/>
        <v>1.8432430481761242E-2</v>
      </c>
      <c r="AD199" s="162">
        <f ca="1"/>
        <v>3.3538794251716353E-2</v>
      </c>
      <c r="AE199" s="138">
        <f ca="1"/>
        <v>6.0916136710544744E-2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9.9908887528354917E-4</v>
      </c>
      <c r="Q200" s="162">
        <f ca="1"/>
        <v>0</v>
      </c>
      <c r="R200" s="162">
        <f ca="1"/>
        <v>9.3069941938532796E-3</v>
      </c>
      <c r="S200" s="162">
        <f ca="1"/>
        <v>0</v>
      </c>
      <c r="T200" s="162">
        <f ca="1"/>
        <v>2.2061865483026022E-2</v>
      </c>
      <c r="U200" s="162">
        <f ca="1"/>
        <v>3.7994479796408243E-2</v>
      </c>
      <c r="V200" s="138">
        <f ca="1"/>
        <v>6.709344908595094E-2</v>
      </c>
      <c r="W200" s="137">
        <f ca="1"/>
        <v>0</v>
      </c>
      <c r="X200" s="162">
        <f ca="1"/>
        <v>0</v>
      </c>
      <c r="Y200" s="162">
        <f ca="1"/>
        <v>1.2020285951426235E-3</v>
      </c>
      <c r="Z200" s="162">
        <f ca="1"/>
        <v>0</v>
      </c>
      <c r="AA200" s="162">
        <f ca="1"/>
        <v>9.8407214398611442E-3</v>
      </c>
      <c r="AB200" s="162">
        <f ca="1"/>
        <v>0</v>
      </c>
      <c r="AC200" s="162">
        <f ca="1"/>
        <v>2.2918151429997535E-2</v>
      </c>
      <c r="AD200" s="162">
        <f ca="1"/>
        <v>3.916213070397756E-2</v>
      </c>
      <c r="AE200" s="138">
        <f ca="1"/>
        <v>6.8694611679442796E-2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5.3776842511682466E-3</v>
      </c>
      <c r="Q201" s="162">
        <f ca="1"/>
        <v>0</v>
      </c>
      <c r="R201" s="162">
        <f ca="1"/>
        <v>3.7183679589216867E-2</v>
      </c>
      <c r="S201" s="162">
        <f ca="1"/>
        <v>0</v>
      </c>
      <c r="T201" s="162">
        <f ca="1"/>
        <v>9.2894851539651158E-2</v>
      </c>
      <c r="U201" s="162">
        <f ca="1"/>
        <v>0.14580510205023212</v>
      </c>
      <c r="V201" s="138">
        <f ca="1"/>
        <v>0.24777258058899176</v>
      </c>
      <c r="W201" s="137">
        <f ca="1"/>
        <v>0</v>
      </c>
      <c r="X201" s="162">
        <f ca="1"/>
        <v>0</v>
      </c>
      <c r="Y201" s="162">
        <f ca="1"/>
        <v>5.5795978071089269E-3</v>
      </c>
      <c r="Z201" s="162">
        <f ca="1"/>
        <v>0</v>
      </c>
      <c r="AA201" s="162">
        <f ca="1"/>
        <v>3.7695133221069654E-2</v>
      </c>
      <c r="AB201" s="162">
        <f ca="1"/>
        <v>0</v>
      </c>
      <c r="AC201" s="162">
        <f ca="1"/>
        <v>9.3701206500670153E-2</v>
      </c>
      <c r="AD201" s="162">
        <f ca="1"/>
        <v>0.14686121019551124</v>
      </c>
      <c r="AE201" s="138">
        <f ca="1"/>
        <v>0.24911768869536532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3.425669117533725E-3</v>
      </c>
      <c r="Q202" s="162">
        <f ca="1"/>
        <v>0</v>
      </c>
      <c r="R202" s="162">
        <f ca="1"/>
        <v>1.6991811426821268E-2</v>
      </c>
      <c r="S202" s="162">
        <f ca="1"/>
        <v>0</v>
      </c>
      <c r="T202" s="162">
        <f ca="1"/>
        <v>3.623604489281218E-2</v>
      </c>
      <c r="U202" s="162">
        <f ca="1"/>
        <v>5.4588804165673577E-2</v>
      </c>
      <c r="V202" s="138">
        <f ca="1"/>
        <v>8.1507807614732197E-2</v>
      </c>
      <c r="W202" s="137">
        <f ca="1"/>
        <v>0</v>
      </c>
      <c r="X202" s="162">
        <f ca="1"/>
        <v>0</v>
      </c>
      <c r="Y202" s="162">
        <f ca="1"/>
        <v>3.6280652290182624E-3</v>
      </c>
      <c r="Z202" s="162">
        <f ca="1"/>
        <v>0</v>
      </c>
      <c r="AA202" s="162">
        <f ca="1"/>
        <v>1.7520553214884993E-2</v>
      </c>
      <c r="AB202" s="162">
        <f ca="1"/>
        <v>0</v>
      </c>
      <c r="AC202" s="162">
        <f ca="1"/>
        <v>3.7078642526706451E-2</v>
      </c>
      <c r="AD202" s="162">
        <f ca="1"/>
        <v>5.5735149937227502E-2</v>
      </c>
      <c r="AE202" s="138">
        <f ca="1"/>
        <v>8.3079778162860718E-2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2.9456824794660275E-3</v>
      </c>
      <c r="Q203" s="162">
        <f ca="1"/>
        <v>0</v>
      </c>
      <c r="R203" s="162">
        <f ca="1"/>
        <v>1.0287773878407847E-2</v>
      </c>
      <c r="S203" s="162">
        <f ca="1"/>
        <v>0</v>
      </c>
      <c r="T203" s="162">
        <f ca="1"/>
        <v>3.4358999740398688E-2</v>
      </c>
      <c r="U203" s="162">
        <f ca="1"/>
        <v>6.6161168956432537E-2</v>
      </c>
      <c r="V203" s="138">
        <f ca="1"/>
        <v>0.11481045997290751</v>
      </c>
      <c r="W203" s="137">
        <f ca="1"/>
        <v>0</v>
      </c>
      <c r="X203" s="162">
        <f ca="1"/>
        <v>0</v>
      </c>
      <c r="Y203" s="162">
        <f ca="1"/>
        <v>3.14819087681939E-3</v>
      </c>
      <c r="Z203" s="162">
        <f ca="1"/>
        <v>0</v>
      </c>
      <c r="AA203" s="162">
        <f ca="1"/>
        <v>1.0820652692804078E-2</v>
      </c>
      <c r="AB203" s="162">
        <f ca="1"/>
        <v>0</v>
      </c>
      <c r="AC203" s="162">
        <f ca="1"/>
        <v>3.5203111544279797E-2</v>
      </c>
      <c r="AD203" s="162">
        <f ca="1"/>
        <v>6.7295107636788365E-2</v>
      </c>
      <c r="AE203" s="138">
        <f ca="1"/>
        <v>0.11635950284805052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9.1763835265812554E-2</v>
      </c>
      <c r="Q204" s="162">
        <f ca="1"/>
        <v>0</v>
      </c>
      <c r="R204" s="162">
        <f ca="1"/>
        <v>0.19529789171674394</v>
      </c>
      <c r="S204" s="162">
        <f ca="1"/>
        <v>0</v>
      </c>
      <c r="T204" s="162">
        <f ca="1"/>
        <v>0.24907639340951582</v>
      </c>
      <c r="U204" s="162">
        <f ca="1"/>
        <v>0.2954318375421594</v>
      </c>
      <c r="V204" s="138">
        <f ca="1"/>
        <v>0.34757083794667509</v>
      </c>
      <c r="W204" s="137">
        <f ca="1"/>
        <v>0</v>
      </c>
      <c r="X204" s="162">
        <f ca="1"/>
        <v>0</v>
      </c>
      <c r="Y204" s="162">
        <f ca="1"/>
        <v>9.1948326125500857E-2</v>
      </c>
      <c r="Z204" s="162">
        <f ca="1"/>
        <v>0</v>
      </c>
      <c r="AA204" s="162">
        <f ca="1"/>
        <v>0.19572789489375009</v>
      </c>
      <c r="AB204" s="162">
        <f ca="1"/>
        <v>0</v>
      </c>
      <c r="AC204" s="162">
        <f ca="1"/>
        <v>0.24970190241673351</v>
      </c>
      <c r="AD204" s="162">
        <f ca="1"/>
        <v>0.29625335442035028</v>
      </c>
      <c r="AE204" s="138">
        <f ca="1"/>
        <v>0.34862386923866628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5.7090493469198478E-3</v>
      </c>
      <c r="Q205" s="162">
        <f ca="1"/>
        <v>0</v>
      </c>
      <c r="R205" s="162">
        <f ca="1"/>
        <v>2.9081180110483329E-2</v>
      </c>
      <c r="S205" s="162">
        <f ca="1"/>
        <v>0</v>
      </c>
      <c r="T205" s="162">
        <f ca="1"/>
        <v>7.8010423682984498E-2</v>
      </c>
      <c r="U205" s="162">
        <f ca="1"/>
        <v>0.1274578799158852</v>
      </c>
      <c r="V205" s="138">
        <f ca="1"/>
        <v>0.21464451664154327</v>
      </c>
      <c r="W205" s="137">
        <f ca="1"/>
        <v>0</v>
      </c>
      <c r="X205" s="162">
        <f ca="1"/>
        <v>0</v>
      </c>
      <c r="Y205" s="162">
        <f ca="1"/>
        <v>5.9108766820695768E-3</v>
      </c>
      <c r="Z205" s="162">
        <f ca="1"/>
        <v>0</v>
      </c>
      <c r="AA205" s="162">
        <f ca="1"/>
        <v>2.960068227812529E-2</v>
      </c>
      <c r="AB205" s="162">
        <f ca="1"/>
        <v>0</v>
      </c>
      <c r="AC205" s="162">
        <f ca="1"/>
        <v>7.8827582594426127E-2</v>
      </c>
      <c r="AD205" s="162">
        <f ca="1"/>
        <v>0.12853466727811436</v>
      </c>
      <c r="AE205" s="138">
        <f ca="1"/>
        <v>0.21603882200615199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1.3448774335399594E-2</v>
      </c>
      <c r="Q206" s="162">
        <f ca="1"/>
        <v>0</v>
      </c>
      <c r="R206" s="162">
        <f ca="1"/>
        <v>6.3624846399043977E-2</v>
      </c>
      <c r="S206" s="162">
        <f ca="1"/>
        <v>0</v>
      </c>
      <c r="T206" s="162">
        <f ca="1"/>
        <v>0.15019080165734777</v>
      </c>
      <c r="U206" s="162">
        <f ca="1"/>
        <v>0.22482182494119163</v>
      </c>
      <c r="V206" s="138">
        <f ca="1"/>
        <v>0.34181784145460115</v>
      </c>
      <c r="W206" s="137">
        <f ca="1"/>
        <v>0</v>
      </c>
      <c r="X206" s="162">
        <f ca="1"/>
        <v>0</v>
      </c>
      <c r="Y206" s="162">
        <f ca="1"/>
        <v>1.3648179805916705E-2</v>
      </c>
      <c r="Z206" s="162">
        <f ca="1"/>
        <v>0</v>
      </c>
      <c r="AA206" s="162">
        <f ca="1"/>
        <v>6.4132266103919755E-2</v>
      </c>
      <c r="AB206" s="162">
        <f ca="1"/>
        <v>0</v>
      </c>
      <c r="AC206" s="162">
        <f ca="1"/>
        <v>0.15095106816415826</v>
      </c>
      <c r="AD206" s="162">
        <f ca="1"/>
        <v>0.22578815829859156</v>
      </c>
      <c r="AE206" s="138">
        <f ca="1"/>
        <v>0.34300192671520735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9.564650674969144E-4</v>
      </c>
      <c r="Q207" s="162">
        <f ca="1"/>
        <v>0</v>
      </c>
      <c r="R207" s="162">
        <f ca="1"/>
        <v>1.0311432956838118E-2</v>
      </c>
      <c r="S207" s="162">
        <f ca="1"/>
        <v>0</v>
      </c>
      <c r="T207" s="162">
        <f ca="1"/>
        <v>2.2852919795097071E-2</v>
      </c>
      <c r="U207" s="162">
        <f ca="1"/>
        <v>4.2988554205645957E-2</v>
      </c>
      <c r="V207" s="138">
        <f ca="1"/>
        <v>7.8788592624796649E-2</v>
      </c>
      <c r="W207" s="137">
        <f ca="1"/>
        <v>0</v>
      </c>
      <c r="X207" s="162">
        <f ca="1"/>
        <v>0</v>
      </c>
      <c r="Y207" s="162">
        <f ca="1"/>
        <v>1.1594138175247126E-3</v>
      </c>
      <c r="Z207" s="162">
        <f ca="1"/>
        <v>0</v>
      </c>
      <c r="AA207" s="162">
        <f ca="1"/>
        <v>1.0844586393028877E-2</v>
      </c>
      <c r="AB207" s="162">
        <f ca="1"/>
        <v>0</v>
      </c>
      <c r="AC207" s="162">
        <f ca="1"/>
        <v>2.3708460945984444E-2</v>
      </c>
      <c r="AD207" s="162">
        <f ca="1"/>
        <v>4.4150373817332778E-2</v>
      </c>
      <c r="AE207" s="138">
        <f ca="1"/>
        <v>8.036769370836816E-2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2.276965236465589E-3</v>
      </c>
      <c r="Q208" s="162">
        <f ca="1"/>
        <v>0</v>
      </c>
      <c r="R208" s="162">
        <f ca="1"/>
        <v>1.050494261641699E-2</v>
      </c>
      <c r="S208" s="162">
        <f ca="1"/>
        <v>0</v>
      </c>
      <c r="T208" s="162">
        <f ca="1"/>
        <v>2.6769814451885754E-2</v>
      </c>
      <c r="U208" s="162">
        <f ca="1"/>
        <v>4.9569808431069062E-2</v>
      </c>
      <c r="V208" s="138">
        <f ca="1"/>
        <v>9.1214244047190585E-2</v>
      </c>
      <c r="W208" s="137">
        <f ca="1"/>
        <v>0</v>
      </c>
      <c r="X208" s="162">
        <f ca="1"/>
        <v>0</v>
      </c>
      <c r="Y208" s="162">
        <f ca="1"/>
        <v>2.4796260769168743E-3</v>
      </c>
      <c r="Z208" s="162">
        <f ca="1"/>
        <v>0</v>
      </c>
      <c r="AA208" s="162">
        <f ca="1"/>
        <v>1.1037802212840897E-2</v>
      </c>
      <c r="AB208" s="162">
        <f ca="1"/>
        <v>0</v>
      </c>
      <c r="AC208" s="162">
        <f ca="1"/>
        <v>2.7621574743559085E-2</v>
      </c>
      <c r="AD208" s="162">
        <f ca="1"/>
        <v>5.0723815385885107E-2</v>
      </c>
      <c r="AE208" s="138">
        <f ca="1"/>
        <v>9.2796561296654145E-2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7.655410832740206E-2</v>
      </c>
      <c r="Q209" s="162">
        <f ca="1"/>
        <v>0</v>
      </c>
      <c r="R209" s="162">
        <f ca="1"/>
        <v>0.19117324591743134</v>
      </c>
      <c r="S209" s="162">
        <f ca="1"/>
        <v>0</v>
      </c>
      <c r="T209" s="162">
        <f ca="1"/>
        <v>0.25404827334456448</v>
      </c>
      <c r="U209" s="162">
        <f ca="1"/>
        <v>0.30903630955760009</v>
      </c>
      <c r="V209" s="138">
        <f ca="1"/>
        <v>0.38236625683866898</v>
      </c>
      <c r="W209" s="137">
        <f ca="1"/>
        <v>0</v>
      </c>
      <c r="X209" s="162">
        <f ca="1"/>
        <v>0</v>
      </c>
      <c r="Y209" s="162">
        <f ca="1"/>
        <v>7.6741691144055713E-2</v>
      </c>
      <c r="Z209" s="162">
        <f ca="1"/>
        <v>0</v>
      </c>
      <c r="AA209" s="162">
        <f ca="1"/>
        <v>0.19160894186819255</v>
      </c>
      <c r="AB209" s="162">
        <f ca="1"/>
        <v>0</v>
      </c>
      <c r="AC209" s="162">
        <f ca="1"/>
        <v>0.25468910539741119</v>
      </c>
      <c r="AD209" s="162">
        <f ca="1"/>
        <v>0.3098419638067712</v>
      </c>
      <c r="AE209" s="138">
        <f ca="1"/>
        <v>0.38339478906234892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8.6481573678313106E-3</v>
      </c>
      <c r="Q210" s="162">
        <f ca="1"/>
        <v>0</v>
      </c>
      <c r="R210" s="162">
        <f ca="1"/>
        <v>4.0631700865375042E-2</v>
      </c>
      <c r="S210" s="162">
        <f ca="1"/>
        <v>0</v>
      </c>
      <c r="T210" s="162">
        <f ca="1"/>
        <v>0.10371447405435308</v>
      </c>
      <c r="U210" s="162">
        <f ca="1"/>
        <v>0.1661233928543322</v>
      </c>
      <c r="V210" s="138">
        <f ca="1"/>
        <v>0.27542017970434463</v>
      </c>
      <c r="W210" s="137">
        <f ca="1"/>
        <v>0</v>
      </c>
      <c r="X210" s="162">
        <f ca="1"/>
        <v>0</v>
      </c>
      <c r="Y210" s="162">
        <f ca="1"/>
        <v>8.849161058121946E-3</v>
      </c>
      <c r="Z210" s="162">
        <f ca="1"/>
        <v>0</v>
      </c>
      <c r="AA210" s="162">
        <f ca="1"/>
        <v>4.1140455537957976E-2</v>
      </c>
      <c r="AB210" s="162">
        <f ca="1"/>
        <v>0</v>
      </c>
      <c r="AC210" s="162">
        <f ca="1"/>
        <v>0.1045124738658556</v>
      </c>
      <c r="AD210" s="162">
        <f ca="1"/>
        <v>0.16715889411175489</v>
      </c>
      <c r="AE210" s="138">
        <f ca="1"/>
        <v>0.27672261702255641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7.3380184869163978E-3</v>
      </c>
      <c r="Q211" s="162">
        <f ca="1"/>
        <v>0</v>
      </c>
      <c r="R211" s="162">
        <f ca="1"/>
        <v>4.2044640929171706E-2</v>
      </c>
      <c r="S211" s="162">
        <f ca="1"/>
        <v>0</v>
      </c>
      <c r="T211" s="162">
        <f ca="1"/>
        <v>0.10496086887090339</v>
      </c>
      <c r="U211" s="162">
        <f ca="1"/>
        <v>0.16047905130153517</v>
      </c>
      <c r="V211" s="138">
        <f ca="1"/>
        <v>0.25605664833684316</v>
      </c>
      <c r="W211" s="137">
        <f ca="1"/>
        <v>0</v>
      </c>
      <c r="X211" s="162">
        <f ca="1"/>
        <v>0</v>
      </c>
      <c r="Y211" s="162">
        <f ca="1"/>
        <v>7.5394027528543628E-3</v>
      </c>
      <c r="Z211" s="162">
        <f ca="1"/>
        <v>0</v>
      </c>
      <c r="AA211" s="162">
        <f ca="1"/>
        <v>4.2551301595006419E-2</v>
      </c>
      <c r="AB211" s="162">
        <f ca="1"/>
        <v>0</v>
      </c>
      <c r="AC211" s="162">
        <f ca="1"/>
        <v>0.10575826717877101</v>
      </c>
      <c r="AD211" s="162">
        <f ca="1"/>
        <v>0.16151836804698505</v>
      </c>
      <c r="AE211" s="138">
        <f ca="1"/>
        <v>0.25738091626562554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1.3724775251410248E-3</v>
      </c>
      <c r="Q212" s="162">
        <f ca="1"/>
        <v>0</v>
      </c>
      <c r="R212" s="162">
        <f ca="1"/>
        <v>6.2936441657680531E-3</v>
      </c>
      <c r="S212" s="162">
        <f ca="1"/>
        <v>0</v>
      </c>
      <c r="T212" s="162">
        <f ca="1"/>
        <v>1.7387884510759344E-2</v>
      </c>
      <c r="U212" s="162">
        <f ca="1"/>
        <v>3.0968897121669281E-2</v>
      </c>
      <c r="V212" s="138">
        <f ca="1"/>
        <v>6.5439361515533423E-2</v>
      </c>
      <c r="W212" s="137">
        <f ca="1"/>
        <v>0</v>
      </c>
      <c r="X212" s="162">
        <f ca="1"/>
        <v>0</v>
      </c>
      <c r="Y212" s="162">
        <f ca="1"/>
        <v>1.575337401278798E-3</v>
      </c>
      <c r="Z212" s="162">
        <f ca="1"/>
        <v>0</v>
      </c>
      <c r="AA212" s="162">
        <f ca="1"/>
        <v>6.8289294670532685E-3</v>
      </c>
      <c r="AB212" s="162">
        <f ca="1"/>
        <v>0</v>
      </c>
      <c r="AC212" s="162">
        <f ca="1"/>
        <v>1.8248211153037763E-2</v>
      </c>
      <c r="AD212" s="162">
        <f ca="1"/>
        <v>3.2144981986935051E-2</v>
      </c>
      <c r="AE212" s="138">
        <f ca="1"/>
        <v>6.704270859481265E-2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1.0498291527556436E-3</v>
      </c>
      <c r="Q213" s="162">
        <f ca="1"/>
        <v>0</v>
      </c>
      <c r="R213" s="162">
        <f ca="1"/>
        <v>5.8992847494037104E-3</v>
      </c>
      <c r="S213" s="162">
        <f ca="1"/>
        <v>0</v>
      </c>
      <c r="T213" s="162">
        <f ca="1"/>
        <v>1.7008019361480442E-2</v>
      </c>
      <c r="U213" s="162">
        <f ca="1"/>
        <v>2.7369944370392307E-2</v>
      </c>
      <c r="V213" s="138">
        <f ca="1"/>
        <v>4.9624800070924291E-2</v>
      </c>
      <c r="W213" s="137">
        <f ca="1"/>
        <v>0</v>
      </c>
      <c r="X213" s="162">
        <f ca="1"/>
        <v>0</v>
      </c>
      <c r="Y213" s="162">
        <f ca="1"/>
        <v>1.2527581005654653E-3</v>
      </c>
      <c r="Z213" s="162">
        <f ca="1"/>
        <v>0</v>
      </c>
      <c r="AA213" s="162">
        <f ca="1"/>
        <v>6.4348365090630688E-3</v>
      </c>
      <c r="AB213" s="162">
        <f ca="1"/>
        <v>0</v>
      </c>
      <c r="AC213" s="162">
        <f ca="1"/>
        <v>1.7868799650558209E-2</v>
      </c>
      <c r="AD213" s="162">
        <f ca="1"/>
        <v>2.8549802710823635E-2</v>
      </c>
      <c r="AE213" s="138">
        <f ca="1"/>
        <v>5.1257455925383444E-2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1.1614487696777198E-3</v>
      </c>
      <c r="Q214" s="162">
        <f ca="1"/>
        <v>0</v>
      </c>
      <c r="R214" s="162">
        <f ca="1"/>
        <v>1.2669076722760297E-2</v>
      </c>
      <c r="S214" s="162">
        <f ca="1"/>
        <v>0</v>
      </c>
      <c r="T214" s="162">
        <f ca="1"/>
        <v>3.6935741177859249E-2</v>
      </c>
      <c r="U214" s="162">
        <f ca="1"/>
        <v>7.2404091686985583E-2</v>
      </c>
      <c r="V214" s="138">
        <f ca="1"/>
        <v>0.12244140209231813</v>
      </c>
      <c r="W214" s="137">
        <f ca="1"/>
        <v>0</v>
      </c>
      <c r="X214" s="162">
        <f ca="1"/>
        <v>0</v>
      </c>
      <c r="Y214" s="162">
        <f ca="1"/>
        <v>1.3643539348110467E-3</v>
      </c>
      <c r="Z214" s="162">
        <f ca="1"/>
        <v>0</v>
      </c>
      <c r="AA214" s="162">
        <f ca="1"/>
        <v>1.3200778261860724E-2</v>
      </c>
      <c r="AB214" s="162">
        <f ca="1"/>
        <v>0</v>
      </c>
      <c r="AC214" s="162">
        <f ca="1"/>
        <v>3.7777940708660918E-2</v>
      </c>
      <c r="AD214" s="162">
        <f ca="1"/>
        <v>7.3529463704473774E-2</v>
      </c>
      <c r="AE214" s="138">
        <f ca="1"/>
        <v>0.12397914552457867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2.7552446224681226E-3</v>
      </c>
      <c r="Q215" s="162">
        <f ca="1"/>
        <v>0</v>
      </c>
      <c r="R215" s="162">
        <f ca="1"/>
        <v>1.3820521125571639E-2</v>
      </c>
      <c r="S215" s="162">
        <f ca="1"/>
        <v>0</v>
      </c>
      <c r="T215" s="162">
        <f ca="1"/>
        <v>4.1130042822849933E-2</v>
      </c>
      <c r="U215" s="162">
        <f ca="1"/>
        <v>7.1440324931475785E-2</v>
      </c>
      <c r="V215" s="138">
        <f ca="1"/>
        <v>0.14289319633223219</v>
      </c>
      <c r="W215" s="137">
        <f ca="1"/>
        <v>0</v>
      </c>
      <c r="X215" s="162">
        <f ca="1"/>
        <v>0</v>
      </c>
      <c r="Y215" s="162">
        <f ca="1"/>
        <v>2.9577969011146399E-3</v>
      </c>
      <c r="Z215" s="162">
        <f ca="1"/>
        <v>0</v>
      </c>
      <c r="AA215" s="162">
        <f ca="1"/>
        <v>1.435135486184369E-2</v>
      </c>
      <c r="AB215" s="162">
        <f ca="1"/>
        <v>0</v>
      </c>
      <c r="AC215" s="162">
        <f ca="1"/>
        <v>4.196728900803437E-2</v>
      </c>
      <c r="AD215" s="162">
        <f ca="1"/>
        <v>7.256789828414012E-2</v>
      </c>
      <c r="AE215" s="138">
        <f ca="1"/>
        <v>0.14440735416451966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5.9088333299320617E-2</v>
      </c>
      <c r="Q216" s="162">
        <f ca="1"/>
        <v>0</v>
      </c>
      <c r="R216" s="162">
        <f ca="1"/>
        <v>0.13874080432265434</v>
      </c>
      <c r="S216" s="162">
        <f ca="1"/>
        <v>0</v>
      </c>
      <c r="T216" s="162">
        <f ca="1"/>
        <v>0.19341252044999047</v>
      </c>
      <c r="U216" s="162">
        <f ca="1"/>
        <v>0.21674786161070903</v>
      </c>
      <c r="V216" s="138">
        <f ca="1"/>
        <v>0.24591328108874499</v>
      </c>
      <c r="W216" s="137">
        <f ca="1"/>
        <v>0</v>
      </c>
      <c r="X216" s="162">
        <f ca="1"/>
        <v>0</v>
      </c>
      <c r="Y216" s="162">
        <f ca="1"/>
        <v>5.9279466779900258E-2</v>
      </c>
      <c r="Z216" s="162">
        <f ca="1"/>
        <v>0</v>
      </c>
      <c r="AA216" s="162">
        <f ca="1"/>
        <v>0.13920350997723618</v>
      </c>
      <c r="AB216" s="162">
        <f ca="1"/>
        <v>0</v>
      </c>
      <c r="AC216" s="162">
        <f ca="1"/>
        <v>0.19410999363062531</v>
      </c>
      <c r="AD216" s="162">
        <f ca="1"/>
        <v>0.2176611229327805</v>
      </c>
      <c r="AE216" s="138">
        <f ca="1"/>
        <v>0.24712167381212102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2.3884489580410229E-3</v>
      </c>
      <c r="Q217" s="162">
        <f ca="1"/>
        <v>0</v>
      </c>
      <c r="R217" s="162">
        <f ca="1"/>
        <v>1.073244859909428E-2</v>
      </c>
      <c r="S217" s="162">
        <f ca="1"/>
        <v>0</v>
      </c>
      <c r="T217" s="162">
        <f ca="1"/>
        <v>2.1786262764131759E-2</v>
      </c>
      <c r="U217" s="162">
        <f ca="1"/>
        <v>3.9994040387070773E-2</v>
      </c>
      <c r="V217" s="138">
        <f ca="1"/>
        <v>7.1568417781921911E-2</v>
      </c>
      <c r="W217" s="137">
        <f ca="1"/>
        <v>0</v>
      </c>
      <c r="X217" s="162">
        <f ca="1"/>
        <v>0</v>
      </c>
      <c r="Y217" s="162">
        <f ca="1"/>
        <v>2.5910847018704164E-3</v>
      </c>
      <c r="Z217" s="162">
        <f ca="1"/>
        <v>0</v>
      </c>
      <c r="AA217" s="162">
        <f ca="1"/>
        <v>1.1265162634489179E-2</v>
      </c>
      <c r="AB217" s="162">
        <f ca="1"/>
        <v>0</v>
      </c>
      <c r="AC217" s="162">
        <f ca="1"/>
        <v>2.2642179018819264E-2</v>
      </c>
      <c r="AD217" s="162">
        <f ca="1"/>
        <v>4.1158562879236582E-2</v>
      </c>
      <c r="AE217" s="138">
        <f ca="1"/>
        <v>7.3160743636059067E-2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1.2345021873045869E-3</v>
      </c>
      <c r="Q218" s="162">
        <f ca="1"/>
        <v>0</v>
      </c>
      <c r="R218" s="162">
        <f ca="1"/>
        <v>9.2226858022192992E-3</v>
      </c>
      <c r="S218" s="162">
        <f ca="1"/>
        <v>0</v>
      </c>
      <c r="T218" s="162">
        <f ca="1"/>
        <v>2.2498460769996287E-2</v>
      </c>
      <c r="U218" s="162">
        <f ca="1"/>
        <v>4.2256022720272957E-2</v>
      </c>
      <c r="V218" s="138">
        <f ca="1"/>
        <v>7.5503085781169821E-2</v>
      </c>
      <c r="W218" s="137">
        <f ca="1"/>
        <v>0</v>
      </c>
      <c r="X218" s="162">
        <f ca="1"/>
        <v>0</v>
      </c>
      <c r="Y218" s="162">
        <f ca="1"/>
        <v>1.4373917227294974E-3</v>
      </c>
      <c r="Z218" s="162">
        <f ca="1"/>
        <v>0</v>
      </c>
      <c r="AA218" s="162">
        <f ca="1"/>
        <v>9.7564254503262893E-3</v>
      </c>
      <c r="AB218" s="162">
        <f ca="1"/>
        <v>0</v>
      </c>
      <c r="AC218" s="162">
        <f ca="1"/>
        <v>2.3354321456239946E-2</v>
      </c>
      <c r="AD218" s="162">
        <f ca="1"/>
        <v>4.3418974890569895E-2</v>
      </c>
      <c r="AE218" s="138">
        <f ca="1"/>
        <v>7.70893035759741E-2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5.777733321687073E-3</v>
      </c>
      <c r="Q219" s="162">
        <f ca="1"/>
        <v>0</v>
      </c>
      <c r="R219" s="162">
        <f ca="1"/>
        <v>2.1775502147142412E-2</v>
      </c>
      <c r="S219" s="162">
        <f ca="1"/>
        <v>0</v>
      </c>
      <c r="T219" s="162">
        <f ca="1"/>
        <v>6.1195339705232721E-2</v>
      </c>
      <c r="U219" s="162">
        <f ca="1"/>
        <v>0.10146303098125364</v>
      </c>
      <c r="V219" s="138">
        <f ca="1"/>
        <v>0.17095499674161474</v>
      </c>
      <c r="W219" s="137">
        <f ca="1"/>
        <v>0</v>
      </c>
      <c r="X219" s="162">
        <f ca="1"/>
        <v>0</v>
      </c>
      <c r="Y219" s="162">
        <f ca="1"/>
        <v>5.9795426236188831E-3</v>
      </c>
      <c r="Z219" s="162">
        <f ca="1"/>
        <v>0</v>
      </c>
      <c r="AA219" s="162">
        <f ca="1"/>
        <v>2.2300860855996585E-2</v>
      </c>
      <c r="AB219" s="162">
        <f ca="1"/>
        <v>0</v>
      </c>
      <c r="AC219" s="162">
        <f ca="1"/>
        <v>6.200825305765667E-2</v>
      </c>
      <c r="AD219" s="162">
        <f ca="1"/>
        <v>0.10255005951987617</v>
      </c>
      <c r="AE219" s="138">
        <f ca="1"/>
        <v>0.17241929296761282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2.3762876972894809E-3</v>
      </c>
      <c r="Q220" s="162">
        <f ca="1"/>
        <v>0</v>
      </c>
      <c r="R220" s="162">
        <f ca="1"/>
        <v>1.171645575296465E-2</v>
      </c>
      <c r="S220" s="162">
        <f ca="1"/>
        <v>0</v>
      </c>
      <c r="T220" s="162">
        <f ca="1"/>
        <v>2.9763026086800926E-2</v>
      </c>
      <c r="U220" s="162">
        <f ca="1"/>
        <v>4.302424375699665E-2</v>
      </c>
      <c r="V220" s="138">
        <f ca="1"/>
        <v>7.025157299131557E-2</v>
      </c>
      <c r="W220" s="137">
        <f ca="1"/>
        <v>0</v>
      </c>
      <c r="X220" s="162">
        <f ca="1"/>
        <v>0</v>
      </c>
      <c r="Y220" s="162">
        <f ca="1"/>
        <v>2.5789261849225031E-3</v>
      </c>
      <c r="Z220" s="162">
        <f ca="1"/>
        <v>0</v>
      </c>
      <c r="AA220" s="162">
        <f ca="1"/>
        <v>1.2248602026185273E-2</v>
      </c>
      <c r="AB220" s="162">
        <f ca="1"/>
        <v>0</v>
      </c>
      <c r="AC220" s="162">
        <f ca="1"/>
        <v>3.0611991398799221E-2</v>
      </c>
      <c r="AD220" s="162">
        <f ca="1"/>
        <v>4.4185140019455504E-2</v>
      </c>
      <c r="AE220" s="138">
        <f ca="1"/>
        <v>7.1844655151521719E-2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1.7193614296450166E-3</v>
      </c>
      <c r="Q221" s="162">
        <f ca="1"/>
        <v>0</v>
      </c>
      <c r="R221" s="162">
        <f ca="1"/>
        <v>1.3036468308284976E-2</v>
      </c>
      <c r="S221" s="162">
        <f ca="1"/>
        <v>0</v>
      </c>
      <c r="T221" s="162">
        <f ca="1"/>
        <v>3.4161762400867435E-2</v>
      </c>
      <c r="U221" s="162">
        <f ca="1"/>
        <v>6.3517288453305398E-2</v>
      </c>
      <c r="V221" s="138">
        <f ca="1"/>
        <v>0.12732488089044347</v>
      </c>
      <c r="W221" s="137">
        <f ca="1"/>
        <v>0</v>
      </c>
      <c r="X221" s="162">
        <f ca="1"/>
        <v>0</v>
      </c>
      <c r="Y221" s="162">
        <f ca="1"/>
        <v>1.9221459255304163E-3</v>
      </c>
      <c r="Z221" s="162">
        <f ca="1"/>
        <v>0</v>
      </c>
      <c r="AA221" s="162">
        <f ca="1"/>
        <v>1.3567888259535144E-2</v>
      </c>
      <c r="AB221" s="162">
        <f ca="1"/>
        <v>0</v>
      </c>
      <c r="AC221" s="162">
        <f ca="1"/>
        <v>3.5006709015151349E-2</v>
      </c>
      <c r="AD221" s="162">
        <f ca="1"/>
        <v>6.4654167235677296E-2</v>
      </c>
      <c r="AE221" s="138">
        <f ca="1"/>
        <v>0.12886117016100407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1.9627174206429121E-3</v>
      </c>
      <c r="Q222" s="162">
        <f ca="1"/>
        <v>0</v>
      </c>
      <c r="R222" s="162">
        <f ca="1"/>
        <v>1.1787528356709265E-2</v>
      </c>
      <c r="S222" s="162">
        <f ca="1"/>
        <v>0</v>
      </c>
      <c r="T222" s="162">
        <f ca="1"/>
        <v>2.4859737620926192E-2</v>
      </c>
      <c r="U222" s="162">
        <f ca="1"/>
        <v>4.5402129464398033E-2</v>
      </c>
      <c r="V222" s="138">
        <f ca="1"/>
        <v>8.1860060346387375E-2</v>
      </c>
      <c r="W222" s="137">
        <f ca="1"/>
        <v>0</v>
      </c>
      <c r="X222" s="162">
        <f ca="1"/>
        <v>0</v>
      </c>
      <c r="Y222" s="162">
        <f ca="1"/>
        <v>2.1654483297997018E-3</v>
      </c>
      <c r="Z222" s="162">
        <f ca="1"/>
        <v>0</v>
      </c>
      <c r="AA222" s="162">
        <f ca="1"/>
        <v>1.2319683609381071E-2</v>
      </c>
      <c r="AB222" s="162">
        <f ca="1"/>
        <v>0</v>
      </c>
      <c r="AC222" s="162">
        <f ca="1"/>
        <v>2.5713163189203692E-2</v>
      </c>
      <c r="AD222" s="162">
        <f ca="1"/>
        <v>4.6560461021041499E-2</v>
      </c>
      <c r="AE222" s="138">
        <f ca="1"/>
        <v>8.3432420496051263E-2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1.0335925419656666E-3</v>
      </c>
      <c r="Q223" s="162">
        <f ca="1"/>
        <v>0</v>
      </c>
      <c r="R223" s="162">
        <f ca="1"/>
        <v>9.9534409988069061E-3</v>
      </c>
      <c r="S223" s="162">
        <f ca="1"/>
        <v>0</v>
      </c>
      <c r="T223" s="162">
        <f ca="1"/>
        <v>2.4685292592456221E-2</v>
      </c>
      <c r="U223" s="162">
        <f ca="1"/>
        <v>4.3131160269501478E-2</v>
      </c>
      <c r="V223" s="138">
        <f ca="1"/>
        <v>7.9737314035001838E-2</v>
      </c>
      <c r="W223" s="137">
        <f ca="1"/>
        <v>0</v>
      </c>
      <c r="X223" s="162">
        <f ca="1"/>
        <v>0</v>
      </c>
      <c r="Y223" s="162">
        <f ca="1"/>
        <v>1.2365249394025168E-3</v>
      </c>
      <c r="Z223" s="162">
        <f ca="1"/>
        <v>0</v>
      </c>
      <c r="AA223" s="162">
        <f ca="1"/>
        <v>1.0486792729915484E-2</v>
      </c>
      <c r="AB223" s="162">
        <f ca="1"/>
        <v>0</v>
      </c>
      <c r="AC223" s="162">
        <f ca="1"/>
        <v>2.5539295471440293E-2</v>
      </c>
      <c r="AD223" s="162">
        <f ca="1"/>
        <v>4.4293039243971766E-2</v>
      </c>
      <c r="AE223" s="138">
        <f ca="1"/>
        <v>8.1313779100436023E-2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7.5956026853374325E-4</v>
      </c>
      <c r="Q224" s="162">
        <f ca="1"/>
        <v>0</v>
      </c>
      <c r="R224" s="162">
        <f ca="1"/>
        <v>9.2650683130710565E-3</v>
      </c>
      <c r="S224" s="162">
        <f ca="1"/>
        <v>0</v>
      </c>
      <c r="T224" s="162">
        <f ca="1"/>
        <v>2.3888872790333582E-2</v>
      </c>
      <c r="U224" s="162">
        <f ca="1"/>
        <v>4.8239637307067373E-2</v>
      </c>
      <c r="V224" s="138">
        <f ca="1"/>
        <v>9.1461683801112859E-2</v>
      </c>
      <c r="W224" s="137">
        <f ca="1"/>
        <v>0</v>
      </c>
      <c r="X224" s="162">
        <f ca="1"/>
        <v>0</v>
      </c>
      <c r="Y224" s="162">
        <f ca="1"/>
        <v>9.6255051228688604E-4</v>
      </c>
      <c r="Z224" s="162">
        <f ca="1"/>
        <v>0</v>
      </c>
      <c r="AA224" s="162">
        <f ca="1"/>
        <v>9.7988543513254367E-3</v>
      </c>
      <c r="AB224" s="162">
        <f ca="1"/>
        <v>0</v>
      </c>
      <c r="AC224" s="162">
        <f ca="1"/>
        <v>2.4743693640761899E-2</v>
      </c>
      <c r="AD224" s="162">
        <f ca="1"/>
        <v>4.9395774280670546E-2</v>
      </c>
      <c r="AE224" s="138">
        <f ca="1"/>
        <v>9.3046389745362057E-2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1.2629104192817264E-3</v>
      </c>
      <c r="Q225" s="162">
        <f ca="1"/>
        <v>0</v>
      </c>
      <c r="R225" s="162">
        <f ca="1"/>
        <v>1.2820244529212488E-2</v>
      </c>
      <c r="S225" s="162">
        <f ca="1"/>
        <v>0</v>
      </c>
      <c r="T225" s="162">
        <f ca="1"/>
        <v>2.8848072931188518E-2</v>
      </c>
      <c r="U225" s="162">
        <f ca="1"/>
        <v>5.2611744582561126E-2</v>
      </c>
      <c r="V225" s="138">
        <f ca="1"/>
        <v>9.1250547228606371E-2</v>
      </c>
      <c r="W225" s="137">
        <f ca="1"/>
        <v>0</v>
      </c>
      <c r="X225" s="162">
        <f ca="1"/>
        <v>0</v>
      </c>
      <c r="Y225" s="162">
        <f ca="1"/>
        <v>1.465793862968634E-3</v>
      </c>
      <c r="Z225" s="162">
        <f ca="1"/>
        <v>0</v>
      </c>
      <c r="AA225" s="162">
        <f ca="1"/>
        <v>1.3351842033317185E-2</v>
      </c>
      <c r="AB225" s="162">
        <f ca="1"/>
        <v>0</v>
      </c>
      <c r="AC225" s="162">
        <f ca="1"/>
        <v>2.9698201485331199E-2</v>
      </c>
      <c r="AD225" s="162">
        <f ca="1"/>
        <v>5.3761797984307247E-2</v>
      </c>
      <c r="AE225" s="138">
        <f ca="1"/>
        <v>9.2805562449551959E-2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1.4698605053001801E-3</v>
      </c>
      <c r="Q226" s="162">
        <f ca="1"/>
        <v>0</v>
      </c>
      <c r="R226" s="162">
        <f ca="1"/>
        <v>8.6762095675132489E-3</v>
      </c>
      <c r="S226" s="162">
        <f ca="1"/>
        <v>0</v>
      </c>
      <c r="T226" s="162">
        <f ca="1"/>
        <v>2.2985017837149457E-2</v>
      </c>
      <c r="U226" s="162">
        <f ca="1"/>
        <v>3.6938590349188449E-2</v>
      </c>
      <c r="V226" s="138">
        <f ca="1"/>
        <v>7.2065700322330395E-2</v>
      </c>
      <c r="W226" s="137">
        <f ca="1"/>
        <v>0</v>
      </c>
      <c r="X226" s="162">
        <f ca="1"/>
        <v>0</v>
      </c>
      <c r="Y226" s="162">
        <f ca="1"/>
        <v>1.6726993374733823E-3</v>
      </c>
      <c r="Z226" s="162">
        <f ca="1"/>
        <v>0</v>
      </c>
      <c r="AA226" s="162">
        <f ca="1"/>
        <v>9.2102155986930612E-3</v>
      </c>
      <c r="AB226" s="162">
        <f ca="1"/>
        <v>0</v>
      </c>
      <c r="AC226" s="162">
        <f ca="1"/>
        <v>2.3840443938783928E-2</v>
      </c>
      <c r="AD226" s="162">
        <f ca="1"/>
        <v>3.8107395709638281E-2</v>
      </c>
      <c r="AE226" s="138">
        <f ca="1"/>
        <v>7.3655616577214422E-2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9.1383945664258448E-4</v>
      </c>
      <c r="Q227" s="162">
        <f ca="1"/>
        <v>0</v>
      </c>
      <c r="R227" s="162">
        <f ca="1"/>
        <v>6.3286139779832329E-3</v>
      </c>
      <c r="S227" s="162">
        <f ca="1"/>
        <v>0</v>
      </c>
      <c r="T227" s="162">
        <f ca="1"/>
        <v>1.8331689958464681E-2</v>
      </c>
      <c r="U227" s="162">
        <f ca="1"/>
        <v>3.3527493941540532E-2</v>
      </c>
      <c r="V227" s="138">
        <f ca="1"/>
        <v>6.495770459075334E-2</v>
      </c>
      <c r="W227" s="137">
        <f ca="1"/>
        <v>0</v>
      </c>
      <c r="X227" s="162">
        <f ca="1"/>
        <v>0</v>
      </c>
      <c r="Y227" s="162">
        <f ca="1"/>
        <v>1.1167972200315512E-3</v>
      </c>
      <c r="Z227" s="162">
        <f ca="1"/>
        <v>0</v>
      </c>
      <c r="AA227" s="162">
        <f ca="1"/>
        <v>6.8639724223927834E-3</v>
      </c>
      <c r="AB227" s="162">
        <f ca="1"/>
        <v>0</v>
      </c>
      <c r="AC227" s="162">
        <f ca="1"/>
        <v>1.9191394598272904E-2</v>
      </c>
      <c r="AD227" s="162">
        <f ca="1"/>
        <v>3.4701052871673577E-2</v>
      </c>
      <c r="AE227" s="138">
        <f ca="1"/>
        <v>6.6563412719978676E-2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1.0782425920867755E-3</v>
      </c>
      <c r="Q228" s="162">
        <f ca="1"/>
        <v>0</v>
      </c>
      <c r="R228" s="162">
        <f ca="1"/>
        <v>8.9761940368091597E-3</v>
      </c>
      <c r="S228" s="162">
        <f ca="1"/>
        <v>0</v>
      </c>
      <c r="T228" s="162">
        <f ca="1"/>
        <v>2.3892194799856492E-2</v>
      </c>
      <c r="U228" s="162">
        <f ca="1"/>
        <v>4.7593332565426638E-2</v>
      </c>
      <c r="V228" s="138">
        <f ca="1"/>
        <v>8.6780659339938615E-2</v>
      </c>
      <c r="W228" s="137">
        <f ca="1"/>
        <v>0</v>
      </c>
      <c r="X228" s="162">
        <f ca="1"/>
        <v>0</v>
      </c>
      <c r="Y228" s="162">
        <f ca="1"/>
        <v>1.2811654970750208E-3</v>
      </c>
      <c r="Z228" s="162">
        <f ca="1"/>
        <v>0</v>
      </c>
      <c r="AA228" s="162">
        <f ca="1"/>
        <v>9.5100960340316343E-3</v>
      </c>
      <c r="AB228" s="162">
        <f ca="1"/>
        <v>0</v>
      </c>
      <c r="AC228" s="162">
        <f ca="1"/>
        <v>2.4746935674689885E-2</v>
      </c>
      <c r="AD228" s="162">
        <f ca="1"/>
        <v>4.8750277008079657E-2</v>
      </c>
      <c r="AE228" s="138">
        <f ca="1"/>
        <v>8.8345335035293182E-2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3.1320335880973271E-3</v>
      </c>
      <c r="Q229" s="162">
        <f ca="1"/>
        <v>0</v>
      </c>
      <c r="R229" s="162">
        <f ca="1"/>
        <v>1.1997057879149287E-2</v>
      </c>
      <c r="S229" s="162">
        <f ca="1"/>
        <v>0</v>
      </c>
      <c r="T229" s="162">
        <f ca="1"/>
        <v>2.6529806004763179E-2</v>
      </c>
      <c r="U229" s="162">
        <f ca="1"/>
        <v>4.9298448035811071E-2</v>
      </c>
      <c r="V229" s="138">
        <f ca="1"/>
        <v>9.3121806937954799E-2</v>
      </c>
      <c r="W229" s="137">
        <f ca="1"/>
        <v>0</v>
      </c>
      <c r="X229" s="162">
        <f ca="1"/>
        <v>0</v>
      </c>
      <c r="Y229" s="162">
        <f ca="1"/>
        <v>3.3344986796852716E-3</v>
      </c>
      <c r="Z229" s="162">
        <f ca="1"/>
        <v>0</v>
      </c>
      <c r="AA229" s="162">
        <f ca="1"/>
        <v>1.2528941754569534E-2</v>
      </c>
      <c r="AB229" s="162">
        <f ca="1"/>
        <v>0</v>
      </c>
      <c r="AC229" s="162">
        <f ca="1"/>
        <v>2.7381442152157098E-2</v>
      </c>
      <c r="AD229" s="162">
        <f ca="1"/>
        <v>5.0451912169895641E-2</v>
      </c>
      <c r="AE229" s="138">
        <f ca="1"/>
        <v>9.4701465692863307E-2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2.0052986742685741E-3</v>
      </c>
      <c r="Q230" s="162">
        <f ca="1"/>
        <v>0</v>
      </c>
      <c r="R230" s="162">
        <f ca="1"/>
        <v>1.1114112396014231E-2</v>
      </c>
      <c r="S230" s="162">
        <f ca="1"/>
        <v>0</v>
      </c>
      <c r="T230" s="162">
        <f ca="1"/>
        <v>2.7174021512154201E-2</v>
      </c>
      <c r="U230" s="162">
        <f ca="1"/>
        <v>4.9175314710237616E-2</v>
      </c>
      <c r="V230" s="138">
        <f ca="1"/>
        <v>8.7798791826269817E-2</v>
      </c>
      <c r="W230" s="137">
        <f ca="1"/>
        <v>0</v>
      </c>
      <c r="X230" s="162">
        <f ca="1"/>
        <v>0</v>
      </c>
      <c r="Y230" s="162">
        <f ca="1"/>
        <v>2.2080201468014371E-3</v>
      </c>
      <c r="Z230" s="162">
        <f ca="1"/>
        <v>0</v>
      </c>
      <c r="AA230" s="162">
        <f ca="1"/>
        <v>1.1646659307133045E-2</v>
      </c>
      <c r="AB230" s="162">
        <f ca="1"/>
        <v>0</v>
      </c>
      <c r="AC230" s="162">
        <f ca="1"/>
        <v>2.8025479447708723E-2</v>
      </c>
      <c r="AD230" s="162">
        <f ca="1"/>
        <v>5.0329702662393339E-2</v>
      </c>
      <c r="AE230" s="138">
        <f ca="1"/>
        <v>8.9359968979816351E-2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7.3895717420616625E-2</v>
      </c>
      <c r="Q231" s="162">
        <f ca="1"/>
        <v>0</v>
      </c>
      <c r="R231" s="162">
        <f ca="1"/>
        <v>0.18112178789648437</v>
      </c>
      <c r="S231" s="162">
        <f ca="1"/>
        <v>0</v>
      </c>
      <c r="T231" s="162">
        <f ca="1"/>
        <v>0.24061214518000529</v>
      </c>
      <c r="U231" s="162">
        <f ca="1"/>
        <v>0.28761154054890781</v>
      </c>
      <c r="V231" s="138">
        <f ca="1"/>
        <v>0.36419069988223041</v>
      </c>
      <c r="W231" s="137">
        <f ca="1"/>
        <v>0</v>
      </c>
      <c r="X231" s="162">
        <f ca="1"/>
        <v>0</v>
      </c>
      <c r="Y231" s="162">
        <f ca="1"/>
        <v>7.4083840661207212E-2</v>
      </c>
      <c r="Z231" s="162">
        <f ca="1"/>
        <v>0</v>
      </c>
      <c r="AA231" s="162">
        <f ca="1"/>
        <v>0.18156246973934254</v>
      </c>
      <c r="AB231" s="162">
        <f ca="1"/>
        <v>0</v>
      </c>
      <c r="AC231" s="162">
        <f ca="1"/>
        <v>0.24126462226999923</v>
      </c>
      <c r="AD231" s="162">
        <f ca="1"/>
        <v>0.28844217578684672</v>
      </c>
      <c r="AE231" s="138">
        <f ca="1"/>
        <v>0.36524949947103258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2.2283139260179663E-3</v>
      </c>
      <c r="Q232" s="162">
        <f ca="1"/>
        <v>0</v>
      </c>
      <c r="R232" s="162">
        <f ca="1"/>
        <v>1.1931275167013977E-2</v>
      </c>
      <c r="S232" s="162">
        <f ca="1"/>
        <v>0</v>
      </c>
      <c r="T232" s="162">
        <f ca="1"/>
        <v>3.9609281853843159E-2</v>
      </c>
      <c r="U232" s="162">
        <f ca="1"/>
        <v>7.01856572916566E-2</v>
      </c>
      <c r="V232" s="138">
        <f ca="1"/>
        <v>0.12141775867755</v>
      </c>
      <c r="W232" s="137">
        <f ca="1"/>
        <v>0</v>
      </c>
      <c r="X232" s="162">
        <f ca="1"/>
        <v>0</v>
      </c>
      <c r="Y232" s="162">
        <f ca="1"/>
        <v>2.430985679256481E-3</v>
      </c>
      <c r="Z232" s="162">
        <f ca="1"/>
        <v>0</v>
      </c>
      <c r="AA232" s="162">
        <f ca="1"/>
        <v>1.2463312891522693E-2</v>
      </c>
      <c r="AB232" s="162">
        <f ca="1"/>
        <v>0</v>
      </c>
      <c r="AC232" s="162">
        <f ca="1"/>
        <v>4.0448058310774027E-2</v>
      </c>
      <c r="AD232" s="162">
        <f ca="1"/>
        <v>7.1315378164468979E-2</v>
      </c>
      <c r="AE232" s="138">
        <f ca="1"/>
        <v>0.12295608710790151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0.23001591104202701</v>
      </c>
      <c r="Q233" s="162">
        <f ca="1"/>
        <v>0</v>
      </c>
      <c r="R233" s="162">
        <f ca="1"/>
        <v>0.36817465745642153</v>
      </c>
      <c r="S233" s="162">
        <f ca="1"/>
        <v>0</v>
      </c>
      <c r="T233" s="162">
        <f ca="1"/>
        <v>0.39220774502318234</v>
      </c>
      <c r="U233" s="162">
        <f ca="1"/>
        <v>0.46318162942734087</v>
      </c>
      <c r="V233" s="138">
        <f ca="1"/>
        <v>0.54141030251696609</v>
      </c>
      <c r="W233" s="137">
        <f ca="1"/>
        <v>0</v>
      </c>
      <c r="X233" s="162">
        <f ca="1"/>
        <v>0</v>
      </c>
      <c r="Y233" s="162">
        <f ca="1"/>
        <v>0.23017223503192508</v>
      </c>
      <c r="Z233" s="162">
        <f ca="1"/>
        <v>0</v>
      </c>
      <c r="AA233" s="162">
        <f ca="1"/>
        <v>0.36849049116268684</v>
      </c>
      <c r="AB233" s="162">
        <f ca="1"/>
        <v>0</v>
      </c>
      <c r="AC233" s="162">
        <f ca="1"/>
        <v>0.39268029857537734</v>
      </c>
      <c r="AD233" s="162">
        <f ca="1"/>
        <v>0.46375562503777024</v>
      </c>
      <c r="AE233" s="138">
        <f ca="1"/>
        <v>0.54208876896036839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1.151302042737723E-3</v>
      </c>
      <c r="Q234" s="162">
        <f ca="1"/>
        <v>0</v>
      </c>
      <c r="R234" s="162">
        <f ca="1"/>
        <v>6.845055780257403E-3</v>
      </c>
      <c r="S234" s="162">
        <f ca="1"/>
        <v>0</v>
      </c>
      <c r="T234" s="162">
        <f ca="1"/>
        <v>1.8256176894995035E-2</v>
      </c>
      <c r="U234" s="162">
        <f ca="1"/>
        <v>3.4757337999510862E-2</v>
      </c>
      <c r="V234" s="138">
        <f ca="1"/>
        <v>6.6615966735640408E-2</v>
      </c>
      <c r="W234" s="137">
        <f ca="1"/>
        <v>0</v>
      </c>
      <c r="X234" s="162">
        <f ca="1"/>
        <v>0</v>
      </c>
      <c r="Y234" s="162">
        <f ca="1"/>
        <v>1.3542093747368478E-3</v>
      </c>
      <c r="Z234" s="162">
        <f ca="1"/>
        <v>0</v>
      </c>
      <c r="AA234" s="162">
        <f ca="1"/>
        <v>7.380099669645368E-3</v>
      </c>
      <c r="AB234" s="162">
        <f ca="1"/>
        <v>0</v>
      </c>
      <c r="AC234" s="162">
        <f ca="1"/>
        <v>1.9115802439318319E-2</v>
      </c>
      <c r="AD234" s="162">
        <f ca="1"/>
        <v>3.5929339057429455E-2</v>
      </c>
      <c r="AE234" s="138">
        <f ca="1"/>
        <v>6.8218733743870441E-2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1.5428915629848161E-3</v>
      </c>
      <c r="Q235" s="162">
        <f ca="1"/>
        <v>0</v>
      </c>
      <c r="R235" s="162">
        <f ca="1"/>
        <v>1.1326274096111977E-2</v>
      </c>
      <c r="S235" s="162">
        <f ca="1"/>
        <v>0</v>
      </c>
      <c r="T235" s="162">
        <f ca="1"/>
        <v>2.4043284146725519E-2</v>
      </c>
      <c r="U235" s="162">
        <f ca="1"/>
        <v>4.5274893320172982E-2</v>
      </c>
      <c r="V235" s="138">
        <f ca="1"/>
        <v>8.3833839340026195E-2</v>
      </c>
      <c r="W235" s="137">
        <f ca="1"/>
        <v>0</v>
      </c>
      <c r="X235" s="162">
        <f ca="1"/>
        <v>0</v>
      </c>
      <c r="Y235" s="162">
        <f ca="1"/>
        <v>1.7457145532980833E-3</v>
      </c>
      <c r="Z235" s="162">
        <f ca="1"/>
        <v>0</v>
      </c>
      <c r="AA235" s="162">
        <f ca="1"/>
        <v>1.1858754562537377E-2</v>
      </c>
      <c r="AB235" s="162">
        <f ca="1"/>
        <v>0</v>
      </c>
      <c r="AC235" s="162">
        <f ca="1"/>
        <v>2.4897560308134836E-2</v>
      </c>
      <c r="AD235" s="162">
        <f ca="1"/>
        <v>4.6433602451965261E-2</v>
      </c>
      <c r="AE235" s="138">
        <f ca="1"/>
        <v>8.5402218881762249E-2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2.3499377951357037E-3</v>
      </c>
      <c r="Q236" s="162">
        <f ca="1"/>
        <v>0</v>
      </c>
      <c r="R236" s="162">
        <f ca="1"/>
        <v>1.8025991194260071E-2</v>
      </c>
      <c r="S236" s="162">
        <f ca="1"/>
        <v>0</v>
      </c>
      <c r="T236" s="162">
        <f ca="1"/>
        <v>4.1126975224408113E-2</v>
      </c>
      <c r="U236" s="162">
        <f ca="1"/>
        <v>7.5495396380028112E-2</v>
      </c>
      <c r="V236" s="138">
        <f ca="1"/>
        <v>0.13122339342457301</v>
      </c>
      <c r="W236" s="137">
        <f ca="1"/>
        <v>0</v>
      </c>
      <c r="X236" s="162">
        <f ca="1"/>
        <v>0</v>
      </c>
      <c r="Y236" s="162">
        <f ca="1"/>
        <v>2.5525822225805905E-3</v>
      </c>
      <c r="Z236" s="162">
        <f ca="1"/>
        <v>0</v>
      </c>
      <c r="AA236" s="162">
        <f ca="1"/>
        <v>1.8554055834660743E-2</v>
      </c>
      <c r="AB236" s="162">
        <f ca="1"/>
        <v>0</v>
      </c>
      <c r="AC236" s="162">
        <f ca="1"/>
        <v>4.1965045580953819E-2</v>
      </c>
      <c r="AD236" s="162">
        <f ca="1"/>
        <v>7.6615499514105734E-2</v>
      </c>
      <c r="AE236" s="138">
        <f ca="1"/>
        <v>0.13274678391358652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2.1553325529661826E-3</v>
      </c>
      <c r="Q237" s="162">
        <f ca="1"/>
        <v>0</v>
      </c>
      <c r="R237" s="162">
        <f ca="1"/>
        <v>1.0745238682942304E-2</v>
      </c>
      <c r="S237" s="162">
        <f ca="1"/>
        <v>0</v>
      </c>
      <c r="T237" s="162">
        <f ca="1"/>
        <v>2.7648072281163505E-2</v>
      </c>
      <c r="U237" s="162">
        <f ca="1"/>
        <v>4.6811963014582014E-2</v>
      </c>
      <c r="V237" s="138">
        <f ca="1"/>
        <v>9.7510105654866064E-2</v>
      </c>
      <c r="W237" s="137">
        <f ca="1"/>
        <v>0</v>
      </c>
      <c r="X237" s="162">
        <f ca="1"/>
        <v>0</v>
      </c>
      <c r="Y237" s="162">
        <f ca="1"/>
        <v>2.3580206316002883E-3</v>
      </c>
      <c r="Z237" s="162">
        <f ca="1"/>
        <v>0</v>
      </c>
      <c r="AA237" s="162">
        <f ca="1"/>
        <v>1.1277978563660751E-2</v>
      </c>
      <c r="AB237" s="162">
        <f ca="1"/>
        <v>0</v>
      </c>
      <c r="AC237" s="162">
        <f ca="1"/>
        <v>2.8499068070989786E-2</v>
      </c>
      <c r="AD237" s="162">
        <f ca="1"/>
        <v>4.7969236353960332E-2</v>
      </c>
      <c r="AE237" s="138">
        <f ca="1"/>
        <v>9.9086495114181106E-2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2.0945107015288844E-3</v>
      </c>
      <c r="Q238" s="162">
        <f ca="1"/>
        <v>0</v>
      </c>
      <c r="R238" s="162">
        <f ca="1"/>
        <v>9.8596944966176103E-3</v>
      </c>
      <c r="S238" s="162">
        <f ca="1"/>
        <v>0</v>
      </c>
      <c r="T238" s="162">
        <f ca="1"/>
        <v>2.370665860713328E-2</v>
      </c>
      <c r="U238" s="162">
        <f ca="1"/>
        <v>4.3722027698656074E-2</v>
      </c>
      <c r="V238" s="138">
        <f ca="1"/>
        <v>7.912593291817005E-2</v>
      </c>
      <c r="W238" s="137">
        <f ca="1"/>
        <v>0</v>
      </c>
      <c r="X238" s="162">
        <f ca="1"/>
        <v>0</v>
      </c>
      <c r="Y238" s="162">
        <f ca="1"/>
        <v>2.2972123447417836E-3</v>
      </c>
      <c r="Z238" s="162">
        <f ca="1"/>
        <v>0</v>
      </c>
      <c r="AA238" s="162">
        <f ca="1"/>
        <v>1.0392945062606795E-2</v>
      </c>
      <c r="AB238" s="162">
        <f ca="1"/>
        <v>0</v>
      </c>
      <c r="AC238" s="162">
        <f ca="1"/>
        <v>2.4561185283767939E-2</v>
      </c>
      <c r="AD238" s="162">
        <f ca="1"/>
        <v>4.4882883324006917E-2</v>
      </c>
      <c r="AE238" s="138">
        <f ca="1"/>
        <v>8.0704297545836523E-2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1.2223269855525798E-3</v>
      </c>
      <c r="Q239" s="162">
        <f ca="1"/>
        <v>0</v>
      </c>
      <c r="R239" s="162">
        <f ca="1"/>
        <v>1.1087721894093128E-2</v>
      </c>
      <c r="S239" s="162">
        <f ca="1"/>
        <v>0</v>
      </c>
      <c r="T239" s="162">
        <f ca="1"/>
        <v>2.2297728632653335E-2</v>
      </c>
      <c r="U239" s="162">
        <f ca="1"/>
        <v>4.3582799289291763E-2</v>
      </c>
      <c r="V239" s="138">
        <f ca="1"/>
        <v>7.9590799529941414E-2</v>
      </c>
      <c r="W239" s="137">
        <f ca="1"/>
        <v>0</v>
      </c>
      <c r="X239" s="162">
        <f ca="1"/>
        <v>0</v>
      </c>
      <c r="Y239" s="162">
        <f ca="1"/>
        <v>1.4252191293907535E-3</v>
      </c>
      <c r="Z239" s="162">
        <f ca="1"/>
        <v>0</v>
      </c>
      <c r="AA239" s="162">
        <f ca="1"/>
        <v>1.1620383134443135E-2</v>
      </c>
      <c r="AB239" s="162">
        <f ca="1"/>
        <v>0</v>
      </c>
      <c r="AC239" s="162">
        <f ca="1"/>
        <v>2.3153545981328127E-2</v>
      </c>
      <c r="AD239" s="162">
        <f ca="1"/>
        <v>4.4743511560395244E-2</v>
      </c>
      <c r="AE239" s="138">
        <f ca="1"/>
        <v>8.1168401963601422E-2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1.909995278825849E-3</v>
      </c>
      <c r="Q240" s="162">
        <f ca="1"/>
        <v>0</v>
      </c>
      <c r="R240" s="162">
        <f ca="1"/>
        <v>1.1110615974700755E-2</v>
      </c>
      <c r="S240" s="162">
        <f ca="1"/>
        <v>0</v>
      </c>
      <c r="T240" s="162">
        <f ca="1"/>
        <v>2.8076525749755166E-2</v>
      </c>
      <c r="U240" s="162">
        <f ca="1"/>
        <v>5.0358550306445315E-2</v>
      </c>
      <c r="V240" s="138">
        <f ca="1"/>
        <v>8.9387718022938989E-2</v>
      </c>
      <c r="W240" s="137">
        <f ca="1"/>
        <v>0</v>
      </c>
      <c r="X240" s="162">
        <f ca="1"/>
        <v>0</v>
      </c>
      <c r="Y240" s="162">
        <f ca="1"/>
        <v>2.1127378470661151E-3</v>
      </c>
      <c r="Z240" s="162">
        <f ca="1"/>
        <v>0</v>
      </c>
      <c r="AA240" s="162">
        <f ca="1"/>
        <v>1.1643177425285645E-2</v>
      </c>
      <c r="AB240" s="162">
        <f ca="1"/>
        <v>0</v>
      </c>
      <c r="AC240" s="162">
        <f ca="1"/>
        <v>2.8927197459818754E-2</v>
      </c>
      <c r="AD240" s="162">
        <f ca="1"/>
        <v>5.1511673782190126E-2</v>
      </c>
      <c r="AE240" s="138">
        <f ca="1"/>
        <v>9.0945877862715796E-2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2.0438230191605067E-3</v>
      </c>
      <c r="Q241" s="162">
        <f ca="1"/>
        <v>0</v>
      </c>
      <c r="R241" s="162">
        <f ca="1"/>
        <v>1.3339856665453009E-2</v>
      </c>
      <c r="S241" s="162">
        <f ca="1"/>
        <v>0</v>
      </c>
      <c r="T241" s="162">
        <f ca="1"/>
        <v>2.4683049873032936E-2</v>
      </c>
      <c r="U241" s="162">
        <f ca="1"/>
        <v>4.1774642911341808E-2</v>
      </c>
      <c r="V241" s="138">
        <f ca="1"/>
        <v>6.5890991582606806E-2</v>
      </c>
      <c r="W241" s="137">
        <f ca="1"/>
        <v>0</v>
      </c>
      <c r="X241" s="162">
        <f ca="1"/>
        <v>0</v>
      </c>
      <c r="Y241" s="162">
        <f ca="1"/>
        <v>2.2465359385470673E-3</v>
      </c>
      <c r="Z241" s="162">
        <f ca="1"/>
        <v>0</v>
      </c>
      <c r="AA241" s="162">
        <f ca="1"/>
        <v>1.3871056955343075E-2</v>
      </c>
      <c r="AB241" s="162">
        <f ca="1"/>
        <v>0</v>
      </c>
      <c r="AC241" s="162">
        <f ca="1"/>
        <v>2.5536427850543109E-2</v>
      </c>
      <c r="AD241" s="162">
        <f ca="1"/>
        <v>4.2936424743472479E-2</v>
      </c>
      <c r="AE241" s="138">
        <f ca="1"/>
        <v>6.7493116573622558E-2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4.2150225603493352E-3</v>
      </c>
      <c r="Q242" s="162">
        <f ca="1"/>
        <v>0</v>
      </c>
      <c r="R242" s="162">
        <f ca="1"/>
        <v>1.8993020681719375E-2</v>
      </c>
      <c r="S242" s="162">
        <f ca="1"/>
        <v>0</v>
      </c>
      <c r="T242" s="162">
        <f ca="1"/>
        <v>4.5736836820057469E-2</v>
      </c>
      <c r="U242" s="162">
        <f ca="1"/>
        <v>7.4692341250145122E-2</v>
      </c>
      <c r="V242" s="138">
        <f ca="1"/>
        <v>0.12013474244325795</v>
      </c>
      <c r="W242" s="137">
        <f ca="1"/>
        <v>0</v>
      </c>
      <c r="X242" s="162">
        <f ca="1"/>
        <v>0</v>
      </c>
      <c r="Y242" s="162">
        <f ca="1"/>
        <v>4.417228642871307E-3</v>
      </c>
      <c r="Z242" s="162">
        <f ca="1"/>
        <v>0</v>
      </c>
      <c r="AA242" s="162">
        <f ca="1"/>
        <v>1.9520368681275713E-2</v>
      </c>
      <c r="AB242" s="162">
        <f ca="1"/>
        <v>0</v>
      </c>
      <c r="AC242" s="162">
        <f ca="1"/>
        <v>4.6569410579344717E-2</v>
      </c>
      <c r="AD242" s="162">
        <f ca="1"/>
        <v>7.5814470521486044E-2</v>
      </c>
      <c r="AE242" s="138">
        <f ca="1"/>
        <v>0.12166688278001436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1.4029107176996014E-3</v>
      </c>
      <c r="Q243" s="162">
        <f ca="1"/>
        <v>0</v>
      </c>
      <c r="R243" s="162">
        <f ca="1"/>
        <v>1.5836597392660856E-2</v>
      </c>
      <c r="S243" s="162">
        <f ca="1"/>
        <v>0</v>
      </c>
      <c r="T243" s="162">
        <f ca="1"/>
        <v>3.7452130714755172E-2</v>
      </c>
      <c r="U243" s="162">
        <f ca="1"/>
        <v>6.5806205651529726E-2</v>
      </c>
      <c r="V243" s="138">
        <f ca="1"/>
        <v>0.11520054782159328</v>
      </c>
      <c r="W243" s="137">
        <f ca="1"/>
        <v>0</v>
      </c>
      <c r="X243" s="162">
        <f ca="1"/>
        <v>0</v>
      </c>
      <c r="Y243" s="162">
        <f ca="1"/>
        <v>1.6057640272509888E-3</v>
      </c>
      <c r="Z243" s="162">
        <f ca="1"/>
        <v>0</v>
      </c>
      <c r="AA243" s="162">
        <f ca="1"/>
        <v>1.6366211089846261E-2</v>
      </c>
      <c r="AB243" s="162">
        <f ca="1"/>
        <v>0</v>
      </c>
      <c r="AC243" s="162">
        <f ca="1"/>
        <v>3.8294072638731191E-2</v>
      </c>
      <c r="AD243" s="162">
        <f ca="1"/>
        <v>6.693998598072326E-2</v>
      </c>
      <c r="AE243" s="138">
        <f ca="1"/>
        <v>0.1167462555080232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5.074510765655682E-3</v>
      </c>
      <c r="Q244" s="162">
        <f ca="1"/>
        <v>0</v>
      </c>
      <c r="R244" s="162">
        <f ca="1"/>
        <v>3.3644314932851138E-2</v>
      </c>
      <c r="S244" s="162">
        <f ca="1"/>
        <v>0</v>
      </c>
      <c r="T244" s="162">
        <f ca="1"/>
        <v>7.2956217504756893E-2</v>
      </c>
      <c r="U244" s="162">
        <f ca="1"/>
        <v>0.11976842789459541</v>
      </c>
      <c r="V244" s="138">
        <f ca="1"/>
        <v>0.20565139998723636</v>
      </c>
      <c r="W244" s="137">
        <f ca="1"/>
        <v>0</v>
      </c>
      <c r="X244" s="162">
        <f ca="1"/>
        <v>0</v>
      </c>
      <c r="Y244" s="162">
        <f ca="1"/>
        <v>5.2765020860040535E-3</v>
      </c>
      <c r="Z244" s="162">
        <f ca="1"/>
        <v>0</v>
      </c>
      <c r="AA244" s="162">
        <f ca="1"/>
        <v>3.4159386273478032E-2</v>
      </c>
      <c r="AB244" s="162">
        <f ca="1"/>
        <v>0</v>
      </c>
      <c r="AC244" s="162">
        <f ca="1"/>
        <v>7.3758278460204552E-2</v>
      </c>
      <c r="AD244" s="162">
        <f ca="1"/>
        <v>0.12085389502332589</v>
      </c>
      <c r="AE244" s="138">
        <f ca="1"/>
        <v>0.20706125929214581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6.3431876489891126E-3</v>
      </c>
      <c r="Q245" s="162">
        <f ca="1"/>
        <v>0</v>
      </c>
      <c r="R245" s="162">
        <f ca="1"/>
        <v>3.8222754959982841E-2</v>
      </c>
      <c r="S245" s="162">
        <f ca="1"/>
        <v>0</v>
      </c>
      <c r="T245" s="162">
        <f ca="1"/>
        <v>0.10102155869436591</v>
      </c>
      <c r="U245" s="162">
        <f ca="1"/>
        <v>0.15848505938343393</v>
      </c>
      <c r="V245" s="138">
        <f ca="1"/>
        <v>0.25210118625357258</v>
      </c>
      <c r="W245" s="137">
        <f ca="1"/>
        <v>0</v>
      </c>
      <c r="X245" s="162">
        <f ca="1"/>
        <v>0</v>
      </c>
      <c r="Y245" s="162">
        <f ca="1"/>
        <v>6.5448463494107711E-3</v>
      </c>
      <c r="Z245" s="162">
        <f ca="1"/>
        <v>0</v>
      </c>
      <c r="AA245" s="162">
        <f ca="1"/>
        <v>3.8733387916586204E-2</v>
      </c>
      <c r="AB245" s="162">
        <f ca="1"/>
        <v>0</v>
      </c>
      <c r="AC245" s="162">
        <f ca="1"/>
        <v>0.10182254994870343</v>
      </c>
      <c r="AD245" s="162">
        <f ca="1"/>
        <v>0.15952850006333574</v>
      </c>
      <c r="AE245" s="138">
        <f ca="1"/>
        <v>0.25343307435808282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1.2974050526386449E-3</v>
      </c>
      <c r="Q246" s="162">
        <f ca="1"/>
        <v>0</v>
      </c>
      <c r="R246" s="162">
        <f ca="1"/>
        <v>7.8968786944515479E-3</v>
      </c>
      <c r="S246" s="162">
        <f ca="1"/>
        <v>0</v>
      </c>
      <c r="T246" s="162">
        <f ca="1"/>
        <v>2.3084585522593626E-2</v>
      </c>
      <c r="U246" s="162">
        <f ca="1"/>
        <v>4.1908751911477471E-2</v>
      </c>
      <c r="V246" s="138">
        <f ca="1"/>
        <v>7.8272694858994463E-2</v>
      </c>
      <c r="W246" s="137">
        <f ca="1"/>
        <v>0</v>
      </c>
      <c r="X246" s="162">
        <f ca="1"/>
        <v>0</v>
      </c>
      <c r="Y246" s="162">
        <f ca="1"/>
        <v>1.5002810890881735E-3</v>
      </c>
      <c r="Z246" s="162">
        <f ca="1"/>
        <v>0</v>
      </c>
      <c r="AA246" s="162">
        <f ca="1"/>
        <v>8.4313377503706377E-3</v>
      </c>
      <c r="AB246" s="162">
        <f ca="1"/>
        <v>0</v>
      </c>
      <c r="AC246" s="162">
        <f ca="1"/>
        <v>2.3940033047920917E-2</v>
      </c>
      <c r="AD246" s="162">
        <f ca="1"/>
        <v>4.3072615913769208E-2</v>
      </c>
      <c r="AE246" s="138">
        <f ca="1"/>
        <v>7.9852881716476309E-2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1.2385605552102108E-3</v>
      </c>
      <c r="Q247" s="162">
        <f ca="1"/>
        <v>0</v>
      </c>
      <c r="R247" s="162">
        <f ca="1"/>
        <v>1.2673942030708152E-2</v>
      </c>
      <c r="S247" s="162">
        <f ca="1"/>
        <v>0</v>
      </c>
      <c r="T247" s="162">
        <f ca="1"/>
        <v>2.392339274754085E-2</v>
      </c>
      <c r="U247" s="162">
        <f ca="1"/>
        <v>4.4503814842679734E-2</v>
      </c>
      <c r="V247" s="138">
        <f ca="1"/>
        <v>8.6688871127616252E-2</v>
      </c>
      <c r="W247" s="137">
        <f ca="1"/>
        <v>0</v>
      </c>
      <c r="X247" s="162">
        <f ca="1"/>
        <v>0</v>
      </c>
      <c r="Y247" s="162">
        <f ca="1"/>
        <v>1.4414492208448815E-3</v>
      </c>
      <c r="Z247" s="162">
        <f ca="1"/>
        <v>0</v>
      </c>
      <c r="AA247" s="162">
        <f ca="1"/>
        <v>1.3205633366721758E-2</v>
      </c>
      <c r="AB247" s="162">
        <f ca="1"/>
        <v>0</v>
      </c>
      <c r="AC247" s="162">
        <f ca="1"/>
        <v>2.477770791549383E-2</v>
      </c>
      <c r="AD247" s="162">
        <f ca="1"/>
        <v>4.5663008897902868E-2</v>
      </c>
      <c r="AE247" s="138">
        <f ca="1"/>
        <v>8.8278367942545843E-2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4.8142769793243945E-2</v>
      </c>
      <c r="Q248" s="162">
        <f ca="1"/>
        <v>0</v>
      </c>
      <c r="R248" s="162">
        <f ca="1"/>
        <v>0.12187825213680648</v>
      </c>
      <c r="S248" s="162">
        <f ca="1"/>
        <v>0</v>
      </c>
      <c r="T248" s="162">
        <f ca="1"/>
        <v>0.17150375547312935</v>
      </c>
      <c r="U248" s="162">
        <f ca="1"/>
        <v>0.21938794760626779</v>
      </c>
      <c r="V248" s="138">
        <f ca="1"/>
        <v>0.28231481436615125</v>
      </c>
      <c r="W248" s="137">
        <f ca="1"/>
        <v>0</v>
      </c>
      <c r="X248" s="162">
        <f ca="1"/>
        <v>0</v>
      </c>
      <c r="Y248" s="162">
        <f ca="1"/>
        <v>4.833612849946145E-2</v>
      </c>
      <c r="Z248" s="162">
        <f ca="1"/>
        <v>0</v>
      </c>
      <c r="AA248" s="162">
        <f ca="1"/>
        <v>0.12235110103637747</v>
      </c>
      <c r="AB248" s="162">
        <f ca="1"/>
        <v>0</v>
      </c>
      <c r="AC248" s="162">
        <f ca="1"/>
        <v>0.17222243833907558</v>
      </c>
      <c r="AD248" s="162">
        <f ca="1"/>
        <v>0.2203215669644818</v>
      </c>
      <c r="AE248" s="138">
        <f ca="1"/>
        <v>0.28350996011076779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3.1765906987987202E-3</v>
      </c>
      <c r="Q249" s="162">
        <f ca="1"/>
        <v>0</v>
      </c>
      <c r="R249" s="162">
        <f ca="1"/>
        <v>1.2712184264612625E-2</v>
      </c>
      <c r="S249" s="162">
        <f ca="1"/>
        <v>0</v>
      </c>
      <c r="T249" s="162">
        <f ca="1"/>
        <v>2.4195212301513669E-2</v>
      </c>
      <c r="U249" s="162">
        <f ca="1"/>
        <v>4.3974259274395133E-2</v>
      </c>
      <c r="V249" s="138">
        <f ca="1"/>
        <v>7.5170032884772198E-2</v>
      </c>
      <c r="W249" s="137">
        <f ca="1"/>
        <v>0</v>
      </c>
      <c r="X249" s="162">
        <f ca="1"/>
        <v>0</v>
      </c>
      <c r="Y249" s="162">
        <f ca="1"/>
        <v>3.3790453818498545E-3</v>
      </c>
      <c r="Z249" s="162">
        <f ca="1"/>
        <v>0</v>
      </c>
      <c r="AA249" s="162">
        <f ca="1"/>
        <v>1.3243643451830489E-2</v>
      </c>
      <c r="AB249" s="162">
        <f ca="1"/>
        <v>0</v>
      </c>
      <c r="AC249" s="162">
        <f ca="1"/>
        <v>2.5048711849906868E-2</v>
      </c>
      <c r="AD249" s="162">
        <f ca="1"/>
        <v>4.5133451974678995E-2</v>
      </c>
      <c r="AE249" s="138">
        <f ca="1"/>
        <v>7.6755335732261343E-2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1.4171125596131873E-3</v>
      </c>
      <c r="Q250" s="162">
        <f ca="1"/>
        <v>0</v>
      </c>
      <c r="R250" s="162">
        <f ca="1"/>
        <v>8.8838942360893736E-3</v>
      </c>
      <c r="S250" s="162">
        <f ca="1"/>
        <v>0</v>
      </c>
      <c r="T250" s="162">
        <f ca="1"/>
        <v>2.387237119108776E-2</v>
      </c>
      <c r="U250" s="162">
        <f ca="1"/>
        <v>4.5853898508207758E-2</v>
      </c>
      <c r="V250" s="138">
        <f ca="1"/>
        <v>8.7810132069304547E-2</v>
      </c>
      <c r="W250" s="137">
        <f ca="1"/>
        <v>0</v>
      </c>
      <c r="X250" s="162">
        <f ca="1"/>
        <v>0</v>
      </c>
      <c r="Y250" s="162">
        <f ca="1"/>
        <v>1.619962801739816E-3</v>
      </c>
      <c r="Z250" s="162">
        <f ca="1"/>
        <v>0</v>
      </c>
      <c r="AA250" s="162">
        <f ca="1"/>
        <v>9.4177943657516305E-3</v>
      </c>
      <c r="AB250" s="162">
        <f ca="1"/>
        <v>0</v>
      </c>
      <c r="AC250" s="162">
        <f ca="1"/>
        <v>2.472703295780676E-2</v>
      </c>
      <c r="AD250" s="162">
        <f ca="1"/>
        <v>4.7012868449331946E-2</v>
      </c>
      <c r="AE250" s="138">
        <f ca="1"/>
        <v>8.9399424721597232E-2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3.909474559493531E-3</v>
      </c>
      <c r="Q251" s="162">
        <f ca="1"/>
        <v>0</v>
      </c>
      <c r="R251" s="162">
        <f ca="1"/>
        <v>2.5428939071581724E-2</v>
      </c>
      <c r="S251" s="162">
        <f ca="1"/>
        <v>0</v>
      </c>
      <c r="T251" s="162">
        <f ca="1"/>
        <v>5.9168614560900279E-2</v>
      </c>
      <c r="U251" s="162">
        <f ca="1"/>
        <v>0.10236138169738684</v>
      </c>
      <c r="V251" s="138">
        <f ca="1"/>
        <v>0.1689355608287898</v>
      </c>
      <c r="W251" s="137">
        <f ca="1"/>
        <v>0</v>
      </c>
      <c r="X251" s="162">
        <f ca="1"/>
        <v>0</v>
      </c>
      <c r="Y251" s="162">
        <f ca="1"/>
        <v>4.111755003921802E-3</v>
      </c>
      <c r="Z251" s="162">
        <f ca="1"/>
        <v>0</v>
      </c>
      <c r="AA251" s="162">
        <f ca="1"/>
        <v>2.5951358996714524E-2</v>
      </c>
      <c r="AB251" s="162">
        <f ca="1"/>
        <v>0</v>
      </c>
      <c r="AC251" s="162">
        <f ca="1"/>
        <v>5.9986621403483986E-2</v>
      </c>
      <c r="AD251" s="162">
        <f ca="1"/>
        <v>0.10344442741849247</v>
      </c>
      <c r="AE251" s="138">
        <f ca="1"/>
        <v>0.17040164127978585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1.2223269855525798E-3</v>
      </c>
      <c r="Q252" s="162">
        <f ca="1"/>
        <v>0</v>
      </c>
      <c r="R252" s="162">
        <f ca="1"/>
        <v>1.5719670372076888E-2</v>
      </c>
      <c r="S252" s="162">
        <f ca="1"/>
        <v>0</v>
      </c>
      <c r="T252" s="162">
        <f ca="1"/>
        <v>3.3904997594077724E-2</v>
      </c>
      <c r="U252" s="162">
        <f ca="1"/>
        <v>5.6944739404096834E-2</v>
      </c>
      <c r="V252" s="138">
        <f ca="1"/>
        <v>9.9163757373920691E-2</v>
      </c>
      <c r="W252" s="137">
        <f ca="1"/>
        <v>0</v>
      </c>
      <c r="X252" s="162">
        <f ca="1"/>
        <v>0</v>
      </c>
      <c r="Y252" s="162">
        <f ca="1"/>
        <v>1.4252191293907535E-3</v>
      </c>
      <c r="Z252" s="162">
        <f ca="1"/>
        <v>0</v>
      </c>
      <c r="AA252" s="162">
        <f ca="1"/>
        <v>1.6249371092550535E-2</v>
      </c>
      <c r="AB252" s="162">
        <f ca="1"/>
        <v>0</v>
      </c>
      <c r="AC252" s="162">
        <f ca="1"/>
        <v>3.4750473430061435E-2</v>
      </c>
      <c r="AD252" s="162">
        <f ca="1"/>
        <v>5.8089232626280851E-2</v>
      </c>
      <c r="AE252" s="138">
        <f ca="1"/>
        <v>0.10073061822337548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7.5956026853374325E-4</v>
      </c>
      <c r="Q253" s="162">
        <f ca="1"/>
        <v>0</v>
      </c>
      <c r="R253" s="162">
        <f ca="1"/>
        <v>6.8750249985041201E-3</v>
      </c>
      <c r="S253" s="162">
        <f ca="1"/>
        <v>0</v>
      </c>
      <c r="T253" s="162">
        <f ca="1"/>
        <v>1.7378867245225416E-2</v>
      </c>
      <c r="U253" s="162">
        <f ca="1"/>
        <v>3.818681961960213E-2</v>
      </c>
      <c r="V253" s="138">
        <f ca="1"/>
        <v>6.2337102540565348E-2</v>
      </c>
      <c r="W253" s="137">
        <f ca="1"/>
        <v>0</v>
      </c>
      <c r="X253" s="162">
        <f ca="1"/>
        <v>0</v>
      </c>
      <c r="Y253" s="162">
        <f ca="1"/>
        <v>9.6255051228688604E-4</v>
      </c>
      <c r="Z253" s="162">
        <f ca="1"/>
        <v>0</v>
      </c>
      <c r="AA253" s="162">
        <f ca="1"/>
        <v>7.4101263645588444E-3</v>
      </c>
      <c r="AB253" s="162">
        <f ca="1"/>
        <v>0</v>
      </c>
      <c r="AC253" s="162">
        <f ca="1"/>
        <v>1.8239296840049768E-2</v>
      </c>
      <c r="AD253" s="162">
        <f ca="1"/>
        <v>3.9355103331962682E-2</v>
      </c>
      <c r="AE253" s="138">
        <f ca="1"/>
        <v>6.3950273199981589E-2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2.2039873893519024E-3</v>
      </c>
      <c r="Q254" s="162">
        <f ca="1"/>
        <v>0</v>
      </c>
      <c r="R254" s="162">
        <f ca="1"/>
        <v>7.0288360870323086E-3</v>
      </c>
      <c r="S254" s="162">
        <f ca="1"/>
        <v>0</v>
      </c>
      <c r="T254" s="162">
        <f ca="1"/>
        <v>1.9492363265677493E-2</v>
      </c>
      <c r="U254" s="162">
        <f ca="1"/>
        <v>3.6458359909822935E-2</v>
      </c>
      <c r="V254" s="138">
        <f ca="1"/>
        <v>6.0193067107986109E-2</v>
      </c>
      <c r="W254" s="137">
        <f ca="1"/>
        <v>0</v>
      </c>
      <c r="X254" s="162">
        <f ca="1"/>
        <v>0</v>
      </c>
      <c r="Y254" s="162">
        <f ca="1"/>
        <v>2.4066645901684725E-3</v>
      </c>
      <c r="Z254" s="162">
        <f ca="1"/>
        <v>0</v>
      </c>
      <c r="AA254" s="162">
        <f ca="1"/>
        <v>7.5635783658688505E-3</v>
      </c>
      <c r="AB254" s="162">
        <f ca="1"/>
        <v>0</v>
      </c>
      <c r="AC254" s="162">
        <f ca="1"/>
        <v>2.0350654206627072E-2</v>
      </c>
      <c r="AD254" s="162">
        <f ca="1"/>
        <v>3.7628145049263928E-2</v>
      </c>
      <c r="AE254" s="138">
        <f ca="1"/>
        <v>6.1808083502012945E-2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1.4110260804088837E-3</v>
      </c>
      <c r="Q255" s="162">
        <f ca="1"/>
        <v>0</v>
      </c>
      <c r="R255" s="162">
        <f ca="1"/>
        <v>8.4165933486308742E-3</v>
      </c>
      <c r="S255" s="162">
        <f ca="1"/>
        <v>0</v>
      </c>
      <c r="T255" s="162">
        <f ca="1"/>
        <v>2.0767626917670201E-2</v>
      </c>
      <c r="U255" s="162">
        <f ca="1"/>
        <v>4.0155830192659892E-2</v>
      </c>
      <c r="V255" s="138">
        <f ca="1"/>
        <v>8.1653070948654816E-2</v>
      </c>
      <c r="W255" s="137">
        <f ca="1"/>
        <v>0</v>
      </c>
      <c r="X255" s="162">
        <f ca="1"/>
        <v>0</v>
      </c>
      <c r="Y255" s="162">
        <f ca="1"/>
        <v>1.6138776374133856E-3</v>
      </c>
      <c r="Z255" s="162">
        <f ca="1"/>
        <v>0</v>
      </c>
      <c r="AA255" s="162">
        <f ca="1"/>
        <v>8.9507512473051554E-3</v>
      </c>
      <c r="AB255" s="162">
        <f ca="1"/>
        <v>0</v>
      </c>
      <c r="AC255" s="162">
        <f ca="1"/>
        <v>2.1624949384880798E-2</v>
      </c>
      <c r="AD255" s="162">
        <f ca="1"/>
        <v>4.1321303702035017E-2</v>
      </c>
      <c r="AE255" s="138">
        <f ca="1"/>
        <v>8.3252295082091643E-2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4.1556970983082642E-2</v>
      </c>
      <c r="Q256" s="162">
        <f ca="1"/>
        <v>0</v>
      </c>
      <c r="R256" s="162">
        <f ca="1"/>
        <v>9.7059206436636014E-2</v>
      </c>
      <c r="S256" s="162">
        <f ca="1"/>
        <v>0</v>
      </c>
      <c r="T256" s="162">
        <f ca="1"/>
        <v>0.12695496416016483</v>
      </c>
      <c r="U256" s="162">
        <f ca="1"/>
        <v>0.16498767647561152</v>
      </c>
      <c r="V256" s="138">
        <f ca="1"/>
        <v>0.21081188614445046</v>
      </c>
      <c r="W256" s="137">
        <f ca="1"/>
        <v>0</v>
      </c>
      <c r="X256" s="162">
        <f ca="1"/>
        <v>0</v>
      </c>
      <c r="Y256" s="162">
        <f ca="1"/>
        <v>4.1737878747291735E-2</v>
      </c>
      <c r="Z256" s="162">
        <f ca="1"/>
        <v>0</v>
      </c>
      <c r="AA256" s="162">
        <f ca="1"/>
        <v>9.7546162901281819E-2</v>
      </c>
      <c r="AB256" s="162">
        <f ca="1"/>
        <v>0</v>
      </c>
      <c r="AC256" s="162">
        <f ca="1"/>
        <v>0.12768219863358021</v>
      </c>
      <c r="AD256" s="162">
        <f ca="1"/>
        <v>0.16596128946836131</v>
      </c>
      <c r="AE256" s="138">
        <f ca="1"/>
        <v>0.21215250349889514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2.7228260799461168E-3</v>
      </c>
      <c r="Q257" s="162">
        <f ca="1"/>
        <v>0</v>
      </c>
      <c r="R257" s="162">
        <f ca="1"/>
        <v>1.3751840539438343E-2</v>
      </c>
      <c r="S257" s="162">
        <f ca="1"/>
        <v>0</v>
      </c>
      <c r="T257" s="162">
        <f ca="1"/>
        <v>2.9505989270647293E-2</v>
      </c>
      <c r="U257" s="162">
        <f ca="1"/>
        <v>4.1634914764977715E-2</v>
      </c>
      <c r="V257" s="138">
        <f ca="1"/>
        <v>6.004863357856749E-2</v>
      </c>
      <c r="W257" s="137">
        <f ca="1"/>
        <v>0</v>
      </c>
      <c r="X257" s="162">
        <f ca="1"/>
        <v>0</v>
      </c>
      <c r="Y257" s="162">
        <f ca="1"/>
        <v>2.9253857911937242E-3</v>
      </c>
      <c r="Z257" s="162">
        <f ca="1"/>
        <v>0</v>
      </c>
      <c r="AA257" s="162">
        <f ca="1"/>
        <v>1.4282719964792134E-2</v>
      </c>
      <c r="AB257" s="162">
        <f ca="1"/>
        <v>0</v>
      </c>
      <c r="AC257" s="162">
        <f ca="1"/>
        <v>3.0355049399234946E-2</v>
      </c>
      <c r="AD257" s="162">
        <f ca="1"/>
        <v>4.2796318692318702E-2</v>
      </c>
      <c r="AE257" s="138">
        <f ca="1"/>
        <v>6.1658474527585216E-2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5.7656129612837503E-3</v>
      </c>
      <c r="Q258" s="162">
        <f ca="1"/>
        <v>0</v>
      </c>
      <c r="R258" s="162">
        <f ca="1"/>
        <v>2.3616707506036283E-2</v>
      </c>
      <c r="S258" s="162">
        <f ca="1"/>
        <v>0</v>
      </c>
      <c r="T258" s="162">
        <f ca="1"/>
        <v>6.2733864609243351E-2</v>
      </c>
      <c r="U258" s="162">
        <f ca="1"/>
        <v>0.10379378179881249</v>
      </c>
      <c r="V258" s="138">
        <f ca="1"/>
        <v>0.1745141934401484</v>
      </c>
      <c r="W258" s="137">
        <f ca="1"/>
        <v>0</v>
      </c>
      <c r="X258" s="162">
        <f ca="1"/>
        <v>0</v>
      </c>
      <c r="Y258" s="162">
        <f ca="1"/>
        <v>5.9674254494637147E-3</v>
      </c>
      <c r="Z258" s="162">
        <f ca="1"/>
        <v>0</v>
      </c>
      <c r="AA258" s="162">
        <f ca="1"/>
        <v>2.4140701441463963E-2</v>
      </c>
      <c r="AB258" s="162">
        <f ca="1"/>
        <v>0</v>
      </c>
      <c r="AC258" s="162">
        <f ca="1"/>
        <v>6.3545453008286512E-2</v>
      </c>
      <c r="AD258" s="162">
        <f ca="1"/>
        <v>0.10487707783489808</v>
      </c>
      <c r="AE258" s="138">
        <f ca="1"/>
        <v>0.17597283688580478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2.3925026789509696E-3</v>
      </c>
      <c r="Q259" s="162">
        <f ca="1"/>
        <v>0</v>
      </c>
      <c r="R259" s="162">
        <f ca="1"/>
        <v>1.3882417255449586E-2</v>
      </c>
      <c r="S259" s="162">
        <f ca="1"/>
        <v>0</v>
      </c>
      <c r="T259" s="162">
        <f ca="1"/>
        <v>4.1156876278242382E-2</v>
      </c>
      <c r="U259" s="162">
        <f ca="1"/>
        <v>6.9997202962308935E-2</v>
      </c>
      <c r="V259" s="138">
        <f ca="1"/>
        <v>0.11507312905814104</v>
      </c>
      <c r="W259" s="137">
        <f ca="1"/>
        <v>0</v>
      </c>
      <c r="X259" s="162">
        <f ca="1"/>
        <v>0</v>
      </c>
      <c r="Y259" s="162">
        <f ca="1"/>
        <v>2.5951375078610006E-3</v>
      </c>
      <c r="Z259" s="162">
        <f ca="1"/>
        <v>0</v>
      </c>
      <c r="AA259" s="162">
        <f ca="1"/>
        <v>1.4413246194873053E-2</v>
      </c>
      <c r="AB259" s="162">
        <f ca="1"/>
        <v>0</v>
      </c>
      <c r="AC259" s="162">
        <f ca="1"/>
        <v>4.1994215912750321E-2</v>
      </c>
      <c r="AD259" s="162">
        <f ca="1"/>
        <v>7.1126887257005555E-2</v>
      </c>
      <c r="AE259" s="138">
        <f ca="1"/>
        <v>0.11661657020684491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1.1715953944625435E-3</v>
      </c>
      <c r="Q260" s="162">
        <f ca="1"/>
        <v>0</v>
      </c>
      <c r="R260" s="162">
        <f ca="1"/>
        <v>6.264867512344896E-3</v>
      </c>
      <c r="S260" s="162">
        <f ca="1"/>
        <v>0</v>
      </c>
      <c r="T260" s="162">
        <f ca="1"/>
        <v>1.7857584156065975E-2</v>
      </c>
      <c r="U260" s="162">
        <f ca="1"/>
        <v>3.2503424146923421E-2</v>
      </c>
      <c r="V260" s="138">
        <f ca="1"/>
        <v>6.0850514218364848E-2</v>
      </c>
      <c r="W260" s="137">
        <f ca="1"/>
        <v>0</v>
      </c>
      <c r="X260" s="162">
        <f ca="1"/>
        <v>0</v>
      </c>
      <c r="Y260" s="162">
        <f ca="1"/>
        <v>1.3744983917727271E-3</v>
      </c>
      <c r="Z260" s="162">
        <f ca="1"/>
        <v>0</v>
      </c>
      <c r="AA260" s="162">
        <f ca="1"/>
        <v>6.8002079323825626E-3</v>
      </c>
      <c r="AB260" s="162">
        <f ca="1"/>
        <v>0</v>
      </c>
      <c r="AC260" s="162">
        <f ca="1"/>
        <v>1.8717601349811708E-2</v>
      </c>
      <c r="AD260" s="162">
        <f ca="1"/>
        <v>3.3678001018247361E-2</v>
      </c>
      <c r="AE260" s="138">
        <f ca="1"/>
        <v>6.2463989174519119E-2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5.1674936861749732E-3</v>
      </c>
      <c r="Q261" s="162">
        <f ca="1"/>
        <v>0</v>
      </c>
      <c r="R261" s="162">
        <f ca="1"/>
        <v>2.0791095619975719E-2</v>
      </c>
      <c r="S261" s="162">
        <f ca="1"/>
        <v>0</v>
      </c>
      <c r="T261" s="162">
        <f ca="1"/>
        <v>4.3658562181091654E-2</v>
      </c>
      <c r="U261" s="162">
        <f ca="1"/>
        <v>6.7317647546453308E-2</v>
      </c>
      <c r="V261" s="138">
        <f ca="1"/>
        <v>0.1085156895361794</v>
      </c>
      <c r="W261" s="137">
        <f ca="1"/>
        <v>0</v>
      </c>
      <c r="X261" s="162">
        <f ca="1"/>
        <v>0</v>
      </c>
      <c r="Y261" s="162">
        <f ca="1"/>
        <v>5.3694612692680721E-3</v>
      </c>
      <c r="Z261" s="162">
        <f ca="1"/>
        <v>0</v>
      </c>
      <c r="AA261" s="162">
        <f ca="1"/>
        <v>2.1317162519063459E-2</v>
      </c>
      <c r="AB261" s="162">
        <f ca="1"/>
        <v>0</v>
      </c>
      <c r="AC261" s="162">
        <f ca="1"/>
        <v>4.4493430487840602E-2</v>
      </c>
      <c r="AD261" s="162">
        <f ca="1"/>
        <v>6.8447923323245008E-2</v>
      </c>
      <c r="AE261" s="138">
        <f ca="1"/>
        <v>0.11006204234180084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4.9844908636683227E-2</v>
      </c>
      <c r="Q262" s="162">
        <f ca="1"/>
        <v>0</v>
      </c>
      <c r="R262" s="162">
        <f ca="1"/>
        <v>0.12600548994503569</v>
      </c>
      <c r="S262" s="162">
        <f ca="1"/>
        <v>0</v>
      </c>
      <c r="T262" s="162">
        <f ca="1"/>
        <v>0.17709476779508881</v>
      </c>
      <c r="U262" s="162">
        <f ca="1"/>
        <v>0.22627958095993328</v>
      </c>
      <c r="V262" s="138">
        <f ca="1"/>
        <v>0.29075791443369481</v>
      </c>
      <c r="W262" s="137">
        <f ca="1"/>
        <v>0</v>
      </c>
      <c r="X262" s="162">
        <f ca="1"/>
        <v>0</v>
      </c>
      <c r="Y262" s="162">
        <f ca="1"/>
        <v>5.0037921295019272E-2</v>
      </c>
      <c r="Z262" s="162">
        <f ca="1"/>
        <v>0</v>
      </c>
      <c r="AA262" s="162">
        <f ca="1"/>
        <v>0.12647611281392057</v>
      </c>
      <c r="AB262" s="162">
        <f ca="1"/>
        <v>0</v>
      </c>
      <c r="AC262" s="162">
        <f ca="1"/>
        <v>0.17780837889048906</v>
      </c>
      <c r="AD262" s="162">
        <f ca="1"/>
        <v>0.22720453461848245</v>
      </c>
      <c r="AE262" s="138">
        <f ca="1"/>
        <v>0.29193900006490758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8.9603228045365135E-3</v>
      </c>
      <c r="Q263" s="162">
        <f ca="1"/>
        <v>0</v>
      </c>
      <c r="R263" s="162">
        <f ca="1"/>
        <v>4.2080465177413262E-2</v>
      </c>
      <c r="S263" s="162">
        <f ca="1"/>
        <v>0</v>
      </c>
      <c r="T263" s="162">
        <f ca="1"/>
        <v>0.10732489379487131</v>
      </c>
      <c r="U263" s="162">
        <f ca="1"/>
        <v>0.17174257168947404</v>
      </c>
      <c r="V263" s="138">
        <f ca="1"/>
        <v>0.28425629284919529</v>
      </c>
      <c r="W263" s="137">
        <f ca="1"/>
        <v>0</v>
      </c>
      <c r="X263" s="162">
        <f ca="1"/>
        <v>0</v>
      </c>
      <c r="Y263" s="162">
        <f ca="1"/>
        <v>9.1612324907252018E-3</v>
      </c>
      <c r="Z263" s="162">
        <f ca="1"/>
        <v>0</v>
      </c>
      <c r="AA263" s="162">
        <f ca="1"/>
        <v>4.2587705545904964E-2</v>
      </c>
      <c r="AB263" s="162">
        <f ca="1"/>
        <v>0</v>
      </c>
      <c r="AC263" s="162">
        <f ca="1"/>
        <v>0.10812031675788925</v>
      </c>
      <c r="AD263" s="162">
        <f ca="1"/>
        <v>0.17277226548504199</v>
      </c>
      <c r="AE263" s="138">
        <f ca="1"/>
        <v>0.28554562354193713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2.6057464618509663E-3</v>
      </c>
      <c r="P264" s="162">
        <f ca="1"/>
        <v>5.8997178468107592E-3</v>
      </c>
      <c r="Q264" s="162">
        <f ca="1"/>
        <v>1.7900745538031226E-2</v>
      </c>
      <c r="R264" s="162">
        <f ca="1"/>
        <v>3.7458416709762354E-2</v>
      </c>
      <c r="S264" s="162">
        <f ca="1"/>
        <v>6.9233371050265613E-2</v>
      </c>
      <c r="T264" s="162">
        <f ca="1"/>
        <v>0.10544584131908064</v>
      </c>
      <c r="U264" s="162">
        <f ca="1"/>
        <v>0.1796333527447358</v>
      </c>
      <c r="V264" s="138">
        <f ca="1"/>
        <v>0.28012063124619158</v>
      </c>
      <c r="W264" s="137">
        <f ca="1"/>
        <v>0</v>
      </c>
      <c r="X264" s="162">
        <f ca="1"/>
        <v>2.7240085678207349E-3</v>
      </c>
      <c r="Y264" s="162">
        <f ca="1"/>
        <v>6.1017288055316143E-3</v>
      </c>
      <c r="Z264" s="162">
        <f ca="1"/>
        <v>1.8265249051030774E-2</v>
      </c>
      <c r="AA264" s="162">
        <f ca="1"/>
        <v>3.7978271525094698E-2</v>
      </c>
      <c r="AB264" s="162">
        <f ca="1"/>
        <v>6.9895124322393642E-2</v>
      </c>
      <c r="AC264" s="162">
        <f ca="1"/>
        <v>0.10623783636606776</v>
      </c>
      <c r="AD264" s="162">
        <f ca="1"/>
        <v>0.18066171018124422</v>
      </c>
      <c r="AE264" s="138">
        <f ca="1"/>
        <v>0.28141507236991514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6.3838684652566258E-3</v>
      </c>
      <c r="P265" s="162">
        <f ca="1"/>
        <v>1.0910951426281401E-2</v>
      </c>
      <c r="Q265" s="162">
        <f ca="1"/>
        <v>2.9953441824725369E-2</v>
      </c>
      <c r="R265" s="162">
        <f ca="1"/>
        <v>5.2404442013583963E-2</v>
      </c>
      <c r="S265" s="162">
        <f ca="1"/>
        <v>0</v>
      </c>
      <c r="T265" s="162">
        <f ca="1"/>
        <v>0.10701009094049374</v>
      </c>
      <c r="U265" s="162">
        <f ca="1"/>
        <v>0.17235810883856784</v>
      </c>
      <c r="V265" s="138">
        <f ca="1"/>
        <v>0.25295630085795995</v>
      </c>
      <c r="W265" s="137">
        <f ca="1"/>
        <v>0</v>
      </c>
      <c r="X265" s="162">
        <f ca="1"/>
        <v>6.5015748076869828E-3</v>
      </c>
      <c r="Y265" s="162">
        <f ca="1"/>
        <v>1.1111837687171833E-2</v>
      </c>
      <c r="Z265" s="162">
        <f ca="1"/>
        <v>3.0312600949151447E-2</v>
      </c>
      <c r="AA265" s="162">
        <f ca="1"/>
        <v>5.2915301477846177E-2</v>
      </c>
      <c r="AB265" s="162">
        <f ca="1"/>
        <v>0</v>
      </c>
      <c r="AC265" s="162">
        <f ca="1"/>
        <v>0.10780110623843875</v>
      </c>
      <c r="AD265" s="162">
        <f ca="1"/>
        <v>0.17338287956500698</v>
      </c>
      <c r="AE265" s="138">
        <f ca="1"/>
        <v>0.25427267209014226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7.6042158101123913E-3</v>
      </c>
      <c r="Q266" s="162">
        <f ca="1"/>
        <v>0</v>
      </c>
      <c r="R266" s="162">
        <f ca="1"/>
        <v>4.3545676664132671E-2</v>
      </c>
      <c r="S266" s="162">
        <f ca="1"/>
        <v>0</v>
      </c>
      <c r="T266" s="162">
        <f ca="1"/>
        <v>0.10861065087449884</v>
      </c>
      <c r="U266" s="162">
        <f ca="1"/>
        <v>0.16590195269073682</v>
      </c>
      <c r="V266" s="138">
        <f ca="1"/>
        <v>0.26430587385157289</v>
      </c>
      <c r="W266" s="137">
        <f ca="1"/>
        <v>0</v>
      </c>
      <c r="X266" s="162">
        <f ca="1"/>
        <v>0</v>
      </c>
      <c r="Y266" s="162">
        <f ca="1"/>
        <v>7.8055245423436226E-3</v>
      </c>
      <c r="Z266" s="162">
        <f ca="1"/>
        <v>0</v>
      </c>
      <c r="AA266" s="162">
        <f ca="1"/>
        <v>4.405065921456397E-2</v>
      </c>
      <c r="AB266" s="162">
        <f ca="1"/>
        <v>0</v>
      </c>
      <c r="AC266" s="162">
        <f ca="1"/>
        <v>0.10940546763674996</v>
      </c>
      <c r="AD266" s="162">
        <f ca="1"/>
        <v>0.16693560693597076</v>
      </c>
      <c r="AE266" s="138">
        <f ca="1"/>
        <v>0.26561770168436971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5.5615649567387626E-3</v>
      </c>
      <c r="Q267" s="162">
        <f ca="1"/>
        <v>0</v>
      </c>
      <c r="R267" s="162">
        <f ca="1"/>
        <v>2.7151162758185299E-2</v>
      </c>
      <c r="S267" s="162">
        <f ca="1"/>
        <v>0</v>
      </c>
      <c r="T267" s="162">
        <f ca="1"/>
        <v>6.6484077901994065E-2</v>
      </c>
      <c r="U267" s="162">
        <f ca="1"/>
        <v>0.10520220959292803</v>
      </c>
      <c r="V267" s="138">
        <f ca="1"/>
        <v>0.16515576802118492</v>
      </c>
      <c r="W267" s="137">
        <f ca="1"/>
        <v>0</v>
      </c>
      <c r="X267" s="162">
        <f ca="1"/>
        <v>0</v>
      </c>
      <c r="Y267" s="162">
        <f ca="1"/>
        <v>5.7634308262557443E-3</v>
      </c>
      <c r="Z267" s="162">
        <f ca="1"/>
        <v>0</v>
      </c>
      <c r="AA267" s="162">
        <f ca="1"/>
        <v>2.7672310845165637E-2</v>
      </c>
      <c r="AB267" s="162">
        <f ca="1"/>
        <v>0</v>
      </c>
      <c r="AC267" s="162">
        <f ca="1"/>
        <v>6.7292038112152786E-2</v>
      </c>
      <c r="AD267" s="162">
        <f ca="1"/>
        <v>0.10628431146709838</v>
      </c>
      <c r="AE267" s="138">
        <f ca="1"/>
        <v>0.1666206577337247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2.603273681748286E-3</v>
      </c>
      <c r="Q268" s="162">
        <f ca="1"/>
        <v>0</v>
      </c>
      <c r="R268" s="162">
        <f ca="1"/>
        <v>2.2870931539424766E-2</v>
      </c>
      <c r="S268" s="162">
        <f ca="1"/>
        <v>0</v>
      </c>
      <c r="T268" s="162">
        <f ca="1"/>
        <v>5.2211289395607596E-2</v>
      </c>
      <c r="U268" s="162">
        <f ca="1"/>
        <v>9.4635336702613593E-2</v>
      </c>
      <c r="V268" s="138">
        <f ca="1"/>
        <v>0.16758771269995387</v>
      </c>
      <c r="W268" s="137">
        <f ca="1"/>
        <v>0</v>
      </c>
      <c r="X268" s="162">
        <f ca="1"/>
        <v>0</v>
      </c>
      <c r="Y268" s="162">
        <f ca="1"/>
        <v>2.8058607090296617E-3</v>
      </c>
      <c r="Z268" s="162">
        <f ca="1"/>
        <v>0</v>
      </c>
      <c r="AA268" s="162">
        <f ca="1"/>
        <v>2.3395337781193182E-2</v>
      </c>
      <c r="AB268" s="162">
        <f ca="1"/>
        <v>0</v>
      </c>
      <c r="AC268" s="162">
        <f ca="1"/>
        <v>5.3037706829292985E-2</v>
      </c>
      <c r="AD268" s="162">
        <f ca="1"/>
        <v>9.5728535089791067E-2</v>
      </c>
      <c r="AE268" s="138">
        <f ca="1"/>
        <v>0.16906158575075902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8.2983566879302195E-4</v>
      </c>
      <c r="P269" s="162">
        <f ca="1"/>
        <v>2.8642941472619698E-3</v>
      </c>
      <c r="Q269" s="162">
        <f ca="1"/>
        <v>9.3774002127985367E-3</v>
      </c>
      <c r="R269" s="162">
        <f ca="1"/>
        <v>1.9692790800470261E-2</v>
      </c>
      <c r="S269" s="162">
        <f ca="1"/>
        <v>0</v>
      </c>
      <c r="T269" s="162">
        <f ca="1"/>
        <v>4.9854230071452621E-2</v>
      </c>
      <c r="U269" s="162">
        <f ca="1"/>
        <v>8.5893940737007735E-2</v>
      </c>
      <c r="V269" s="138">
        <f ca="1"/>
        <v>0.14788976665231668</v>
      </c>
      <c r="W269" s="137">
        <f ca="1"/>
        <v>0</v>
      </c>
      <c r="X269" s="162">
        <f ca="1"/>
        <v>9.4832545884104835E-4</v>
      </c>
      <c r="Y269" s="162">
        <f ca="1"/>
        <v>3.0669356256665115E-3</v>
      </c>
      <c r="Z269" s="162">
        <f ca="1"/>
        <v>9.7451949310437547E-3</v>
      </c>
      <c r="AA269" s="162">
        <f ca="1"/>
        <v>2.022214267033251E-2</v>
      </c>
      <c r="AB269" s="162">
        <f ca="1"/>
        <v>0</v>
      </c>
      <c r="AC269" s="162">
        <f ca="1"/>
        <v>5.0684034635900432E-2</v>
      </c>
      <c r="AD269" s="162">
        <f ca="1"/>
        <v>8.7003507689336623E-2</v>
      </c>
      <c r="AE269" s="138">
        <f ca="1"/>
        <v>0.14938828623029077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5.824193349577178E-3</v>
      </c>
      <c r="Q270" s="162">
        <f ca="1"/>
        <v>0</v>
      </c>
      <c r="R270" s="162">
        <f ca="1"/>
        <v>6.0782772809121477E-2</v>
      </c>
      <c r="S270" s="162">
        <f ca="1"/>
        <v>0</v>
      </c>
      <c r="T270" s="162">
        <f ca="1"/>
        <v>9.7553206514066848E-2</v>
      </c>
      <c r="U270" s="162">
        <f ca="1"/>
        <v>0.12491651478270316</v>
      </c>
      <c r="V270" s="138">
        <f ca="1"/>
        <v>0.16600497669336256</v>
      </c>
      <c r="W270" s="137">
        <f ca="1"/>
        <v>0</v>
      </c>
      <c r="X270" s="162">
        <f ca="1"/>
        <v>0</v>
      </c>
      <c r="Y270" s="162">
        <f ca="1"/>
        <v>6.0259904215260729E-3</v>
      </c>
      <c r="Z270" s="162">
        <f ca="1"/>
        <v>0</v>
      </c>
      <c r="AA270" s="162">
        <f ca="1"/>
        <v>6.129340955220175E-2</v>
      </c>
      <c r="AB270" s="162">
        <f ca="1"/>
        <v>0</v>
      </c>
      <c r="AC270" s="162">
        <f ca="1"/>
        <v>9.8330840630781902E-2</v>
      </c>
      <c r="AD270" s="162">
        <f ca="1"/>
        <v>0.12596929829213865</v>
      </c>
      <c r="AE270" s="138">
        <f ca="1"/>
        <v>0.16743489896165265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3.98030520578041E-3</v>
      </c>
      <c r="Q271" s="162">
        <f ca="1"/>
        <v>0</v>
      </c>
      <c r="R271" s="162">
        <f ca="1"/>
        <v>2.3392296817628111E-2</v>
      </c>
      <c r="S271" s="162">
        <f ca="1"/>
        <v>0</v>
      </c>
      <c r="T271" s="162">
        <f ca="1"/>
        <v>6.346235484137841E-2</v>
      </c>
      <c r="U271" s="162">
        <f ca="1"/>
        <v>9.7242811668238227E-2</v>
      </c>
      <c r="V271" s="138">
        <f ca="1"/>
        <v>0.15627877651027922</v>
      </c>
      <c r="W271" s="137">
        <f ca="1"/>
        <v>0</v>
      </c>
      <c r="X271" s="162">
        <f ca="1"/>
        <v>0</v>
      </c>
      <c r="Y271" s="162">
        <f ca="1"/>
        <v>4.1825685032713666E-3</v>
      </c>
      <c r="Z271" s="162">
        <f ca="1"/>
        <v>0</v>
      </c>
      <c r="AA271" s="162">
        <f ca="1"/>
        <v>2.3916378424685969E-2</v>
      </c>
      <c r="AB271" s="162">
        <f ca="1"/>
        <v>0</v>
      </c>
      <c r="AC271" s="162">
        <f ca="1"/>
        <v>6.4273326765556416E-2</v>
      </c>
      <c r="AD271" s="162">
        <f ca="1"/>
        <v>9.8338077507126309E-2</v>
      </c>
      <c r="AE271" s="138">
        <f ca="1"/>
        <v>0.15775824202148492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4.0551778959819762E-3</v>
      </c>
      <c r="Q272" s="162">
        <f ca="1"/>
        <v>0</v>
      </c>
      <c r="R272" s="162">
        <f ca="1"/>
        <v>1.8929746937384917E-2</v>
      </c>
      <c r="S272" s="162">
        <f ca="1"/>
        <v>0</v>
      </c>
      <c r="T272" s="162">
        <f ca="1"/>
        <v>4.4257296056215867E-2</v>
      </c>
      <c r="U272" s="162">
        <f ca="1"/>
        <v>8.4139897843023115E-2</v>
      </c>
      <c r="V272" s="138">
        <f ca="1"/>
        <v>0.15189395535896333</v>
      </c>
      <c r="W272" s="137">
        <f ca="1"/>
        <v>0</v>
      </c>
      <c r="X272" s="162">
        <f ca="1"/>
        <v>0</v>
      </c>
      <c r="Y272" s="162">
        <f ca="1"/>
        <v>4.2574230082350617E-3</v>
      </c>
      <c r="Z272" s="162">
        <f ca="1"/>
        <v>0</v>
      </c>
      <c r="AA272" s="162">
        <f ca="1"/>
        <v>1.9457142976913588E-2</v>
      </c>
      <c r="AB272" s="162">
        <f ca="1"/>
        <v>0</v>
      </c>
      <c r="AC272" s="162">
        <f ca="1"/>
        <v>4.5091575532500983E-2</v>
      </c>
      <c r="AD272" s="162">
        <f ca="1"/>
        <v>8.5246989717956523E-2</v>
      </c>
      <c r="AE272" s="138">
        <f ca="1"/>
        <v>0.15339129649894034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4.4213667202557261E-3</v>
      </c>
      <c r="Q273" s="162">
        <f ca="1"/>
        <v>0</v>
      </c>
      <c r="R273" s="162">
        <f ca="1"/>
        <v>2.1534984116185041E-2</v>
      </c>
      <c r="S273" s="162">
        <f ca="1"/>
        <v>0</v>
      </c>
      <c r="T273" s="162">
        <f ca="1"/>
        <v>4.8519299018933593E-2</v>
      </c>
      <c r="U273" s="162">
        <f ca="1"/>
        <v>7.3483161805634079E-2</v>
      </c>
      <c r="V273" s="138">
        <f ca="1"/>
        <v>0.11993728218377608</v>
      </c>
      <c r="W273" s="137">
        <f ca="1"/>
        <v>0</v>
      </c>
      <c r="X273" s="162">
        <f ca="1"/>
        <v>0</v>
      </c>
      <c r="Y273" s="162">
        <f ca="1"/>
        <v>4.6235220007824207E-3</v>
      </c>
      <c r="Z273" s="162">
        <f ca="1"/>
        <v>0</v>
      </c>
      <c r="AA273" s="162">
        <f ca="1"/>
        <v>2.2060505966928989E-2</v>
      </c>
      <c r="AB273" s="162">
        <f ca="1"/>
        <v>0</v>
      </c>
      <c r="AC273" s="162">
        <f ca="1"/>
        <v>4.9349161123939278E-2</v>
      </c>
      <c r="AD273" s="162">
        <f ca="1"/>
        <v>7.4606695344171525E-2</v>
      </c>
      <c r="AE273" s="138">
        <f ca="1"/>
        <v>0.12146782226971098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1.1852695147550607E-3</v>
      </c>
      <c r="P274" s="162">
        <f ca="1"/>
        <v>3.2660960174130116E-3</v>
      </c>
      <c r="Q274" s="162">
        <f ca="1"/>
        <v>8.9729000813560944E-3</v>
      </c>
      <c r="R274" s="162">
        <f ca="1"/>
        <v>1.6883461971419322E-2</v>
      </c>
      <c r="S274" s="162">
        <f ca="1"/>
        <v>0</v>
      </c>
      <c r="T274" s="162">
        <f ca="1"/>
        <v>4.6405338297784371E-2</v>
      </c>
      <c r="U274" s="162">
        <f ca="1"/>
        <v>7.7366777861660352E-2</v>
      </c>
      <c r="V274" s="138">
        <f ca="1"/>
        <v>0.12339684830639919</v>
      </c>
      <c r="W274" s="137">
        <f ca="1"/>
        <v>0</v>
      </c>
      <c r="X274" s="162">
        <f ca="1"/>
        <v>1.3037152360358961E-3</v>
      </c>
      <c r="Y274" s="162">
        <f ca="1"/>
        <v>3.4686430370044485E-3</v>
      </c>
      <c r="Z274" s="162">
        <f ca="1"/>
        <v>9.3407527311551997E-3</v>
      </c>
      <c r="AA274" s="162">
        <f ca="1"/>
        <v>1.7413949247645832E-2</v>
      </c>
      <c r="AB274" s="162">
        <f ca="1"/>
        <v>0</v>
      </c>
      <c r="AC274" s="162">
        <f ca="1"/>
        <v>4.7238326039413137E-2</v>
      </c>
      <c r="AD274" s="162">
        <f ca="1"/>
        <v>7.8488127365071714E-2</v>
      </c>
      <c r="AE274" s="138">
        <f ca="1"/>
        <v>0.12492579785252733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7.5901010567830385E-3</v>
      </c>
      <c r="Q275" s="162">
        <f ca="1"/>
        <v>0</v>
      </c>
      <c r="R275" s="162">
        <f ca="1"/>
        <v>4.0305224828668496E-2</v>
      </c>
      <c r="S275" s="162">
        <f ca="1"/>
        <v>0</v>
      </c>
      <c r="T275" s="162">
        <f ca="1"/>
        <v>0.13121619605457635</v>
      </c>
      <c r="U275" s="162">
        <f ca="1"/>
        <v>0.20199673901285042</v>
      </c>
      <c r="V275" s="138">
        <f ca="1"/>
        <v>0.29915531705061604</v>
      </c>
      <c r="W275" s="137">
        <f ca="1"/>
        <v>0</v>
      </c>
      <c r="X275" s="162">
        <f ca="1"/>
        <v>0</v>
      </c>
      <c r="Y275" s="162">
        <f ca="1"/>
        <v>7.7410167304712285E-3</v>
      </c>
      <c r="Z275" s="162">
        <f ca="1"/>
        <v>0</v>
      </c>
      <c r="AA275" s="162">
        <f ca="1"/>
        <v>4.068424670284887E-2</v>
      </c>
      <c r="AB275" s="162">
        <f ca="1"/>
        <v>0</v>
      </c>
      <c r="AC275" s="162">
        <f ca="1"/>
        <v>0.13180340183013406</v>
      </c>
      <c r="AD275" s="162">
        <f ca="1"/>
        <v>0.20274754391710881</v>
      </c>
      <c r="AE275" s="138">
        <f ca="1"/>
        <v>0.30009659881378381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2.1993278771876845E-2</v>
      </c>
      <c r="P276" s="162">
        <f ca="1"/>
        <v>3.7377072813727819E-2</v>
      </c>
      <c r="Q276" s="162">
        <f ca="1"/>
        <v>6.175381017225734E-2</v>
      </c>
      <c r="R276" s="162">
        <f ca="1"/>
        <v>8.4534241072995786E-2</v>
      </c>
      <c r="S276" s="162">
        <f ca="1"/>
        <v>0</v>
      </c>
      <c r="T276" s="162">
        <f ca="1"/>
        <v>0.12114096468305391</v>
      </c>
      <c r="U276" s="162">
        <f ca="1"/>
        <v>0.16429386767607812</v>
      </c>
      <c r="V276" s="138">
        <f ca="1"/>
        <v>0.22518004978064332</v>
      </c>
      <c r="W276" s="137">
        <f ca="1"/>
        <v>0</v>
      </c>
      <c r="X276" s="162">
        <f ca="1"/>
        <v>2.2107124122094368E-2</v>
      </c>
      <c r="Y276" s="162">
        <f ca="1"/>
        <v>3.7571972730508163E-2</v>
      </c>
      <c r="Z276" s="162">
        <f ca="1"/>
        <v>6.2097730584516397E-2</v>
      </c>
      <c r="AA276" s="162">
        <f ca="1"/>
        <v>8.5023227309111382E-2</v>
      </c>
      <c r="AB276" s="162">
        <f ca="1"/>
        <v>0</v>
      </c>
      <c r="AC276" s="162">
        <f ca="1"/>
        <v>0.12187304213787309</v>
      </c>
      <c r="AD276" s="162">
        <f ca="1"/>
        <v>0.16530562555690054</v>
      </c>
      <c r="AE276" s="138">
        <f ca="1"/>
        <v>0.22650835396052926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1.0147775685422578E-2</v>
      </c>
      <c r="P277" s="162">
        <f ca="1"/>
        <v>1.7320435601452577E-2</v>
      </c>
      <c r="Q277" s="162">
        <f ca="1"/>
        <v>3.1401865098285575E-2</v>
      </c>
      <c r="R277" s="162">
        <f ca="1"/>
        <v>4.6819695518414028E-2</v>
      </c>
      <c r="S277" s="162">
        <f ca="1"/>
        <v>0</v>
      </c>
      <c r="T277" s="162">
        <f ca="1"/>
        <v>8.0389435829773648E-2</v>
      </c>
      <c r="U277" s="162">
        <f ca="1"/>
        <v>0.109258768289625</v>
      </c>
      <c r="V277" s="138">
        <f ca="1"/>
        <v>0.15091565775442206</v>
      </c>
      <c r="W277" s="137">
        <f ca="1"/>
        <v>0</v>
      </c>
      <c r="X277" s="162">
        <f ca="1"/>
        <v>1.0264809805258568E-2</v>
      </c>
      <c r="Y277" s="162">
        <f ca="1"/>
        <v>1.7519948151900055E-2</v>
      </c>
      <c r="Z277" s="162">
        <f ca="1"/>
        <v>3.176019964861565E-2</v>
      </c>
      <c r="AA277" s="162">
        <f ca="1"/>
        <v>4.733236194686552E-2</v>
      </c>
      <c r="AB277" s="162">
        <f ca="1"/>
        <v>0</v>
      </c>
      <c r="AC277" s="162">
        <f ca="1"/>
        <v>8.1184163477425519E-2</v>
      </c>
      <c r="AD277" s="162">
        <f ca="1"/>
        <v>0.11033094156954215</v>
      </c>
      <c r="AE277" s="138">
        <f ca="1"/>
        <v>0.15237547505503091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5.3554546346284981E-3</v>
      </c>
      <c r="Q278" s="162">
        <f ca="1"/>
        <v>0</v>
      </c>
      <c r="R278" s="162">
        <f ca="1"/>
        <v>2.1538498034137876E-2</v>
      </c>
      <c r="S278" s="162">
        <f ca="1"/>
        <v>0</v>
      </c>
      <c r="T278" s="162">
        <f ca="1"/>
        <v>4.5210413185557186E-2</v>
      </c>
      <c r="U278" s="162">
        <f ca="1"/>
        <v>6.9693897254980097E-2</v>
      </c>
      <c r="V278" s="138">
        <f ca="1"/>
        <v>0.1122643615140374</v>
      </c>
      <c r="W278" s="137">
        <f ca="1"/>
        <v>0</v>
      </c>
      <c r="X278" s="162">
        <f ca="1"/>
        <v>0</v>
      </c>
      <c r="Y278" s="162">
        <f ca="1"/>
        <v>5.5573739286992607E-3</v>
      </c>
      <c r="Z278" s="162">
        <f ca="1"/>
        <v>0</v>
      </c>
      <c r="AA278" s="162">
        <f ca="1"/>
        <v>2.2064027239557804E-2</v>
      </c>
      <c r="AB278" s="162">
        <f ca="1"/>
        <v>0</v>
      </c>
      <c r="AC278" s="162">
        <f ca="1"/>
        <v>4.6043672585669659E-2</v>
      </c>
      <c r="AD278" s="162">
        <f ca="1"/>
        <v>7.0821165641866801E-2</v>
      </c>
      <c r="AE278" s="138">
        <f ca="1"/>
        <v>0.11380506021842518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1.4221554576263618E-3</v>
      </c>
      <c r="P279" s="162">
        <f ca="1"/>
        <v>3.4651839813418794E-3</v>
      </c>
      <c r="Q279" s="162">
        <f ca="1"/>
        <v>1.0473714624058994E-2</v>
      </c>
      <c r="R279" s="162">
        <f ca="1"/>
        <v>1.9034928801856754E-2</v>
      </c>
      <c r="S279" s="162">
        <f ca="1"/>
        <v>0</v>
      </c>
      <c r="T279" s="162">
        <f ca="1"/>
        <v>3.9711109467132855E-2</v>
      </c>
      <c r="U279" s="162">
        <f ca="1"/>
        <v>6.3349043378318814E-2</v>
      </c>
      <c r="V279" s="138">
        <f ca="1"/>
        <v>0.10685471888894027</v>
      </c>
      <c r="W279" s="137">
        <f ca="1"/>
        <v>0</v>
      </c>
      <c r="X279" s="162">
        <f ca="1"/>
        <v>1.5405714051989206E-3</v>
      </c>
      <c r="Y279" s="162">
        <f ca="1"/>
        <v>3.6676784452275291E-3</v>
      </c>
      <c r="Z279" s="162">
        <f ca="1"/>
        <v>1.0841049605207376E-2</v>
      </c>
      <c r="AA279" s="162">
        <f ca="1"/>
        <v>1.9564317504587092E-2</v>
      </c>
      <c r="AB279" s="162">
        <f ca="1"/>
        <v>0</v>
      </c>
      <c r="AC279" s="162">
        <f ca="1"/>
        <v>4.0551212081818999E-2</v>
      </c>
      <c r="AD279" s="162">
        <f ca="1"/>
        <v>6.4485842364492285E-2</v>
      </c>
      <c r="AE279" s="138">
        <f ca="1"/>
        <v>0.10840732212361037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1.3037194799899732E-3</v>
      </c>
      <c r="P280" s="162">
        <f ca="1"/>
        <v>3.0566114245655918E-3</v>
      </c>
      <c r="Q280" s="162">
        <f ca="1"/>
        <v>7.0809024618746497E-3</v>
      </c>
      <c r="R280" s="162">
        <f ca="1"/>
        <v>1.4174410864874365E-2</v>
      </c>
      <c r="S280" s="162">
        <f ca="1"/>
        <v>0</v>
      </c>
      <c r="T280" s="162">
        <f ca="1"/>
        <v>3.3845933544582096E-2</v>
      </c>
      <c r="U280" s="162">
        <f ca="1"/>
        <v>5.8030893640535819E-2</v>
      </c>
      <c r="V280" s="138">
        <f ca="1"/>
        <v>9.9470598151953582E-2</v>
      </c>
      <c r="W280" s="137">
        <f ca="1"/>
        <v>0</v>
      </c>
      <c r="X280" s="162">
        <f ca="1"/>
        <v>1.4221503544191716E-3</v>
      </c>
      <c r="Y280" s="162">
        <f ca="1"/>
        <v>3.2591786827247393E-3</v>
      </c>
      <c r="Z280" s="162">
        <f ca="1"/>
        <v>7.4493387727756488E-3</v>
      </c>
      <c r="AA280" s="162">
        <f ca="1"/>
        <v>1.470622647070674E-2</v>
      </c>
      <c r="AB280" s="162">
        <f ca="1"/>
        <v>0</v>
      </c>
      <c r="AC280" s="162">
        <f ca="1"/>
        <v>3.4691847060404291E-2</v>
      </c>
      <c r="AD280" s="162">
        <f ca="1"/>
        <v>5.9175442668554012E-2</v>
      </c>
      <c r="AE280" s="138">
        <f ca="1"/>
        <v>0.10103733947696947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1.3037194799899732E-3</v>
      </c>
      <c r="P281" s="162">
        <f ca="1"/>
        <v>3.2626401793691695E-3</v>
      </c>
      <c r="Q281" s="162">
        <f ca="1"/>
        <v>7.4528972592016185E-3</v>
      </c>
      <c r="R281" s="162">
        <f ca="1"/>
        <v>1.5271164008381022E-2</v>
      </c>
      <c r="S281" s="162">
        <f ca="1"/>
        <v>0</v>
      </c>
      <c r="T281" s="162">
        <f ca="1"/>
        <v>3.4656053147240518E-2</v>
      </c>
      <c r="U281" s="162">
        <f ca="1"/>
        <v>5.6493508146069127E-2</v>
      </c>
      <c r="V281" s="138">
        <f ca="1"/>
        <v>9.7514137086637143E-2</v>
      </c>
      <c r="W281" s="137">
        <f ca="1"/>
        <v>0</v>
      </c>
      <c r="X281" s="162">
        <f ca="1"/>
        <v>1.4221503544191716E-3</v>
      </c>
      <c r="Y281" s="162">
        <f ca="1"/>
        <v>3.4651764677990915E-3</v>
      </c>
      <c r="Z281" s="162">
        <f ca="1"/>
        <v>7.8212025056658696E-3</v>
      </c>
      <c r="AA281" s="162">
        <f ca="1"/>
        <v>1.5802464452943643E-2</v>
      </c>
      <c r="AB281" s="162">
        <f ca="1"/>
        <v>0</v>
      </c>
      <c r="AC281" s="162">
        <f ca="1"/>
        <v>3.5501196363179055E-2</v>
      </c>
      <c r="AD281" s="162">
        <f ca="1"/>
        <v>5.7639522603666782E-2</v>
      </c>
      <c r="AE281" s="138">
        <f ca="1"/>
        <v>9.9082731977023553E-2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1.8958003844987692E-3</v>
      </c>
      <c r="Q282" s="162">
        <f ca="1"/>
        <v>0</v>
      </c>
      <c r="R282" s="162">
        <f ca="1"/>
        <v>1.2336373785777899E-2</v>
      </c>
      <c r="S282" s="162">
        <f ca="1"/>
        <v>0</v>
      </c>
      <c r="T282" s="162">
        <f ca="1"/>
        <v>3.1791418197398613E-2</v>
      </c>
      <c r="U282" s="162">
        <f ca="1"/>
        <v>5.5736209093212974E-2</v>
      </c>
      <c r="V282" s="138">
        <f ca="1"/>
        <v>9.4237563850891326E-2</v>
      </c>
      <c r="W282" s="137">
        <f ca="1"/>
        <v>0</v>
      </c>
      <c r="X282" s="162">
        <f ca="1"/>
        <v>0</v>
      </c>
      <c r="Y282" s="162">
        <f ca="1"/>
        <v>2.0985460870632799E-3</v>
      </c>
      <c r="Z282" s="162">
        <f ca="1"/>
        <v>0</v>
      </c>
      <c r="AA282" s="162">
        <f ca="1"/>
        <v>1.2868206506866486E-2</v>
      </c>
      <c r="AB282" s="162">
        <f ca="1"/>
        <v>0</v>
      </c>
      <c r="AC282" s="162">
        <f ca="1"/>
        <v>3.2638610940755153E-2</v>
      </c>
      <c r="AD282" s="162">
        <f ca="1"/>
        <v>5.6882895475123485E-2</v>
      </c>
      <c r="AE282" s="138">
        <f ca="1"/>
        <v>9.5787151536440907E-2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9.4832761164653778E-4</v>
      </c>
      <c r="P283" s="162">
        <f ca="1"/>
        <v>2.0363581548150655E-3</v>
      </c>
      <c r="Q283" s="162">
        <f ca="1"/>
        <v>7.1277570026859749E-3</v>
      </c>
      <c r="R283" s="162">
        <f ca="1"/>
        <v>1.3098914180217802E-2</v>
      </c>
      <c r="S283" s="162">
        <f ca="1"/>
        <v>0</v>
      </c>
      <c r="T283" s="162">
        <f ca="1"/>
        <v>3.398065397556449E-2</v>
      </c>
      <c r="U283" s="162">
        <f ca="1"/>
        <v>5.5516804598165992E-2</v>
      </c>
      <c r="V283" s="138">
        <f ca="1"/>
        <v>9.4205660424646842E-2</v>
      </c>
      <c r="W283" s="137">
        <f ca="1"/>
        <v>0</v>
      </c>
      <c r="X283" s="162">
        <f ca="1"/>
        <v>1.0668027899637389E-3</v>
      </c>
      <c r="Y283" s="162">
        <f ca="1"/>
        <v>2.2391115883493296E-3</v>
      </c>
      <c r="Z283" s="162">
        <f ca="1"/>
        <v>7.496311996131988E-3</v>
      </c>
      <c r="AA283" s="162">
        <f ca="1"/>
        <v>1.3631326459947912E-2</v>
      </c>
      <c r="AB283" s="162">
        <f ca="1"/>
        <v>0</v>
      </c>
      <c r="AC283" s="162">
        <f ca="1"/>
        <v>3.4826520309762077E-2</v>
      </c>
      <c r="AD283" s="162">
        <f ca="1"/>
        <v>5.6664808110524989E-2</v>
      </c>
      <c r="AE283" s="138">
        <f ca="1"/>
        <v>9.5756959009671183E-2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5.7910242987380123E-4</v>
      </c>
      <c r="O284" s="162">
        <f ca="1"/>
        <v>8.8909408947601687E-4</v>
      </c>
      <c r="P284" s="162">
        <f ca="1"/>
        <v>1.9865123687140551E-3</v>
      </c>
      <c r="Q284" s="162">
        <f ca="1"/>
        <v>4.473017267018542E-3</v>
      </c>
      <c r="R284" s="162">
        <f ca="1"/>
        <v>9.4350537713906446E-3</v>
      </c>
      <c r="S284" s="162">
        <f ca="1"/>
        <v>1.5143372271119615E-2</v>
      </c>
      <c r="T284" s="162">
        <f ca="1"/>
        <v>2.220522581834472E-2</v>
      </c>
      <c r="U284" s="162">
        <f ca="1"/>
        <v>4.1492852952173864E-2</v>
      </c>
      <c r="V284" s="138">
        <f ca="1"/>
        <v>7.2420529296157943E-2</v>
      </c>
      <c r="W284" s="137">
        <f ca="1"/>
        <v>6.369936649724961E-4</v>
      </c>
      <c r="X284" s="162">
        <f ca="1"/>
        <v>9.7795988288629232E-4</v>
      </c>
      <c r="Y284" s="162">
        <f ca="1"/>
        <v>2.1385920821933579E-3</v>
      </c>
      <c r="Z284" s="162">
        <f ca="1"/>
        <v>4.750024735407643E-3</v>
      </c>
      <c r="AA284" s="162">
        <f ca="1"/>
        <v>9.8356172685587495E-3</v>
      </c>
      <c r="AB284" s="162">
        <f ca="1"/>
        <v>1.5666358830090266E-2</v>
      </c>
      <c r="AC284" s="162">
        <f ca="1"/>
        <v>2.2848319006070539E-2</v>
      </c>
      <c r="AD284" s="162">
        <f ca="1"/>
        <v>4.2364844194969775E-2</v>
      </c>
      <c r="AE284" s="138">
        <f ca="1"/>
        <v>7.3611278895884591E-2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1.7639810966235681E-3</v>
      </c>
      <c r="Q285" s="162">
        <f ca="1"/>
        <v>0</v>
      </c>
      <c r="R285" s="162">
        <f ca="1"/>
        <v>1.2379751319805177E-2</v>
      </c>
      <c r="S285" s="162">
        <f ca="1"/>
        <v>0</v>
      </c>
      <c r="T285" s="162">
        <f ca="1"/>
        <v>2.9009963069565492E-2</v>
      </c>
      <c r="U285" s="162">
        <f ca="1"/>
        <v>5.2771309949930179E-2</v>
      </c>
      <c r="V285" s="138">
        <f ca="1"/>
        <v>9.3330416545733597E-2</v>
      </c>
      <c r="W285" s="137">
        <f ca="1"/>
        <v>0</v>
      </c>
      <c r="X285" s="162">
        <f ca="1"/>
        <v>0</v>
      </c>
      <c r="Y285" s="162">
        <f ca="1"/>
        <v>1.9667558109944805E-3</v>
      </c>
      <c r="Z285" s="162">
        <f ca="1"/>
        <v>0</v>
      </c>
      <c r="AA285" s="162">
        <f ca="1"/>
        <v>1.2911571843033043E-2</v>
      </c>
      <c r="AB285" s="162">
        <f ca="1"/>
        <v>0</v>
      </c>
      <c r="AC285" s="162">
        <f ca="1"/>
        <v>2.9859803207405666E-2</v>
      </c>
      <c r="AD285" s="162">
        <f ca="1"/>
        <v>5.3921200773408118E-2</v>
      </c>
      <c r="AE285" s="138">
        <f ca="1"/>
        <v>9.4907910057401734E-2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7.1132972843845899E-4</v>
      </c>
      <c r="P286" s="162">
        <f ca="1"/>
        <v>1.6307230605586698E-3</v>
      </c>
      <c r="Q286" s="162">
        <f ca="1"/>
        <v>4.8707374961430849E-3</v>
      </c>
      <c r="R286" s="162">
        <f ca="1"/>
        <v>1.041745201957478E-2</v>
      </c>
      <c r="S286" s="162">
        <f ca="1"/>
        <v>0</v>
      </c>
      <c r="T286" s="162">
        <f ca="1"/>
        <v>2.7854622752487179E-2</v>
      </c>
      <c r="U286" s="162">
        <f ca="1"/>
        <v>4.9917986694937189E-2</v>
      </c>
      <c r="V286" s="138">
        <f ca="1"/>
        <v>8.8430970003193443E-2</v>
      </c>
      <c r="W286" s="137">
        <f ca="1"/>
        <v>0</v>
      </c>
      <c r="X286" s="162">
        <f ca="1"/>
        <v>8.2983405341885419E-4</v>
      </c>
      <c r="Y286" s="162">
        <f ca="1"/>
        <v>1.8335595656702175E-3</v>
      </c>
      <c r="Z286" s="162">
        <f ca="1"/>
        <v>5.240031066541917E-3</v>
      </c>
      <c r="AA286" s="162">
        <f ca="1"/>
        <v>1.0951278611157522E-2</v>
      </c>
      <c r="AB286" s="162">
        <f ca="1"/>
        <v>0</v>
      </c>
      <c r="AC286" s="162">
        <f ca="1"/>
        <v>2.8706455903422134E-2</v>
      </c>
      <c r="AD286" s="162">
        <f ca="1"/>
        <v>5.1073225535769873E-2</v>
      </c>
      <c r="AE286" s="138">
        <f ca="1"/>
        <v>8.9994676912239502E-2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5.92809788134252E-4</v>
      </c>
      <c r="P287" s="162">
        <f ca="1"/>
        <v>1.4278436744080691E-3</v>
      </c>
      <c r="Q287" s="162">
        <f ca="1"/>
        <v>4.8812840602459051E-3</v>
      </c>
      <c r="R287" s="162">
        <f ca="1"/>
        <v>9.302584076257725E-3</v>
      </c>
      <c r="S287" s="162">
        <f ca="1"/>
        <v>0</v>
      </c>
      <c r="T287" s="162">
        <f ca="1"/>
        <v>2.6095822749383824E-2</v>
      </c>
      <c r="U287" s="162">
        <f ca="1"/>
        <v>4.8878961539223442E-2</v>
      </c>
      <c r="V287" s="138">
        <f ca="1"/>
        <v>8.6965804672334945E-2</v>
      </c>
      <c r="W287" s="137">
        <f ca="1"/>
        <v>0</v>
      </c>
      <c r="X287" s="162">
        <f ca="1"/>
        <v>7.1132857205080668E-4</v>
      </c>
      <c r="Y287" s="162">
        <f ca="1"/>
        <v>1.6307216884168252E-3</v>
      </c>
      <c r="Z287" s="162">
        <f ca="1"/>
        <v>5.250608015920033E-3</v>
      </c>
      <c r="AA287" s="162">
        <f ca="1"/>
        <v>9.8368787881814024E-3</v>
      </c>
      <c r="AB287" s="162">
        <f ca="1"/>
        <v>0</v>
      </c>
      <c r="AC287" s="162">
        <f ca="1"/>
        <v>2.6949218208454973E-2</v>
      </c>
      <c r="AD287" s="162">
        <f ca="1"/>
        <v>5.0035628200055582E-2</v>
      </c>
      <c r="AE287" s="138">
        <f ca="1"/>
        <v>8.8533065686677515E-2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8.2983566879302195E-4</v>
      </c>
      <c r="P288" s="162">
        <f ca="1"/>
        <v>1.6273624074436555E-3</v>
      </c>
      <c r="Q288" s="162">
        <f ca="1"/>
        <v>4.8673217536403524E-3</v>
      </c>
      <c r="R288" s="162">
        <f ca="1"/>
        <v>1.0976588735009951E-2</v>
      </c>
      <c r="S288" s="162">
        <f ca="1"/>
        <v>0</v>
      </c>
      <c r="T288" s="162">
        <f ca="1"/>
        <v>2.9660623050000834E-2</v>
      </c>
      <c r="U288" s="162">
        <f ca="1"/>
        <v>4.9675042981566553E-2</v>
      </c>
      <c r="V288" s="138">
        <f ca="1"/>
        <v>8.6237297933127288E-2</v>
      </c>
      <c r="W288" s="137">
        <f ca="1"/>
        <v>0</v>
      </c>
      <c r="X288" s="162">
        <f ca="1"/>
        <v>9.4832545884104835E-4</v>
      </c>
      <c r="Y288" s="162">
        <f ca="1"/>
        <v>1.8301875899737752E-3</v>
      </c>
      <c r="Z288" s="162">
        <f ca="1"/>
        <v>5.2366042259883727E-3</v>
      </c>
      <c r="AA288" s="162">
        <f ca="1"/>
        <v>1.1510183933181706E-2</v>
      </c>
      <c r="AB288" s="162">
        <f ca="1"/>
        <v>0</v>
      </c>
      <c r="AC288" s="162">
        <f ca="1"/>
        <v>3.0510843423529166E-2</v>
      </c>
      <c r="AD288" s="162">
        <f ca="1"/>
        <v>5.0830479895276559E-2</v>
      </c>
      <c r="AE288" s="138">
        <f ca="1"/>
        <v>8.7804740368961354E-2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1.1168024067352844E-3</v>
      </c>
      <c r="Q289" s="162">
        <f ca="1"/>
        <v>0</v>
      </c>
      <c r="R289" s="162">
        <f ca="1"/>
        <v>9.2978498797968712E-3</v>
      </c>
      <c r="S289" s="162">
        <f ca="1"/>
        <v>0</v>
      </c>
      <c r="T289" s="162">
        <f ca="1"/>
        <v>2.4749398742403339E-2</v>
      </c>
      <c r="U289" s="162">
        <f ca="1"/>
        <v>4.9285728349104607E-2</v>
      </c>
      <c r="V289" s="138">
        <f ca="1"/>
        <v>8.9806719666030932E-2</v>
      </c>
      <c r="W289" s="137">
        <f ca="1"/>
        <v>0</v>
      </c>
      <c r="X289" s="162">
        <f ca="1"/>
        <v>0</v>
      </c>
      <c r="Y289" s="162">
        <f ca="1"/>
        <v>1.3197170988300533E-3</v>
      </c>
      <c r="Z289" s="162">
        <f ca="1"/>
        <v>0</v>
      </c>
      <c r="AA289" s="162">
        <f ca="1"/>
        <v>9.8315648625757479E-3</v>
      </c>
      <c r="AB289" s="162">
        <f ca="1"/>
        <v>0</v>
      </c>
      <c r="AC289" s="162">
        <f ca="1"/>
        <v>2.5603359761505518E-2</v>
      </c>
      <c r="AD289" s="162">
        <f ca="1"/>
        <v>5.0440587379862123E-2</v>
      </c>
      <c r="AE289" s="138">
        <f ca="1"/>
        <v>9.1392285951539365E-2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8.2983566879302195E-4</v>
      </c>
      <c r="P290" s="162">
        <f ca="1"/>
        <v>1.8335612178990157E-3</v>
      </c>
      <c r="Q290" s="162">
        <f ca="1"/>
        <v>4.8601926658906613E-3</v>
      </c>
      <c r="R290" s="162">
        <f ca="1"/>
        <v>9.8440240106640875E-3</v>
      </c>
      <c r="S290" s="162">
        <f ca="1"/>
        <v>0</v>
      </c>
      <c r="T290" s="162">
        <f ca="1"/>
        <v>2.6032190210172779E-2</v>
      </c>
      <c r="U290" s="162">
        <f ca="1"/>
        <v>4.4815130743587006E-2</v>
      </c>
      <c r="V290" s="138">
        <f ca="1"/>
        <v>7.7692911880260951E-2</v>
      </c>
      <c r="W290" s="137">
        <f ca="1"/>
        <v>0</v>
      </c>
      <c r="X290" s="162">
        <f ca="1"/>
        <v>9.4832545884104835E-4</v>
      </c>
      <c r="Y290" s="162">
        <f ca="1"/>
        <v>2.0363561961922461E-3</v>
      </c>
      <c r="Z290" s="162">
        <f ca="1"/>
        <v>5.2294555185565805E-3</v>
      </c>
      <c r="AA290" s="162">
        <f ca="1"/>
        <v>1.0378035072031166E-2</v>
      </c>
      <c r="AB290" s="162">
        <f ca="1"/>
        <v>0</v>
      </c>
      <c r="AC290" s="162">
        <f ca="1"/>
        <v>2.6885568146458705E-2</v>
      </c>
      <c r="AD290" s="162">
        <f ca="1"/>
        <v>4.5976095974274434E-2</v>
      </c>
      <c r="AE290" s="138">
        <f ca="1"/>
        <v>7.9276917088092813E-2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7.1132972843845899E-4</v>
      </c>
      <c r="P291" s="162">
        <f ca="1"/>
        <v>1.424494769770468E-3</v>
      </c>
      <c r="Q291" s="162">
        <f ca="1"/>
        <v>4.4978604330765393E-3</v>
      </c>
      <c r="R291" s="162">
        <f ca="1"/>
        <v>9.8797475120157019E-3</v>
      </c>
      <c r="S291" s="162">
        <f ca="1"/>
        <v>0</v>
      </c>
      <c r="T291" s="162">
        <f ca="1"/>
        <v>2.5141899370640153E-2</v>
      </c>
      <c r="U291" s="162">
        <f ca="1"/>
        <v>4.361553303207133E-2</v>
      </c>
      <c r="V291" s="138">
        <f ca="1"/>
        <v>7.8015557618591913E-2</v>
      </c>
      <c r="W291" s="137">
        <f ca="1"/>
        <v>0</v>
      </c>
      <c r="X291" s="162">
        <f ca="1"/>
        <v>8.2983405341885419E-4</v>
      </c>
      <c r="Y291" s="162">
        <f ca="1"/>
        <v>1.6273614157106264E-3</v>
      </c>
      <c r="Z291" s="162">
        <f ca="1"/>
        <v>4.8672840036253495E-3</v>
      </c>
      <c r="AA291" s="162">
        <f ca="1"/>
        <v>1.041385873674594E-2</v>
      </c>
      <c r="AB291" s="162">
        <f ca="1"/>
        <v>0</v>
      </c>
      <c r="AC291" s="162">
        <f ca="1"/>
        <v>2.5996171692597381E-2</v>
      </c>
      <c r="AD291" s="162">
        <f ca="1"/>
        <v>4.4777913366505939E-2</v>
      </c>
      <c r="AE291" s="138">
        <f ca="1"/>
        <v>7.9598707501547628E-2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6.1533817073365249E-2</v>
      </c>
      <c r="Q292" s="162">
        <f ca="1"/>
        <v>0</v>
      </c>
      <c r="R292" s="162">
        <f ca="1"/>
        <v>0.11302072807644026</v>
      </c>
      <c r="S292" s="162">
        <f ca="1"/>
        <v>0</v>
      </c>
      <c r="T292" s="162">
        <f ca="1"/>
        <v>0.14742310633323708</v>
      </c>
      <c r="U292" s="162">
        <f ca="1"/>
        <v>0.18021500035016835</v>
      </c>
      <c r="V292" s="138">
        <f ca="1"/>
        <v>0.23187809603715015</v>
      </c>
      <c r="W292" s="137">
        <f ca="1"/>
        <v>0</v>
      </c>
      <c r="X292" s="162">
        <f ca="1"/>
        <v>0</v>
      </c>
      <c r="Y292" s="162">
        <f ca="1"/>
        <v>6.1724453397193457E-2</v>
      </c>
      <c r="Z292" s="162">
        <f ca="1"/>
        <v>0</v>
      </c>
      <c r="AA292" s="162">
        <f ca="1"/>
        <v>0.11349378613391081</v>
      </c>
      <c r="AB292" s="162">
        <f ca="1"/>
        <v>0</v>
      </c>
      <c r="AC292" s="162">
        <f ca="1"/>
        <v>0.14813329112655038</v>
      </c>
      <c r="AD292" s="162">
        <f ca="1"/>
        <v>0.1811708584907642</v>
      </c>
      <c r="AE292" s="138">
        <f ca="1"/>
        <v>0.23315723296684965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5.3816945441286235E-3</v>
      </c>
      <c r="P293" s="162">
        <f ca="1"/>
        <v>1.15178732195933E-2</v>
      </c>
      <c r="Q293" s="162">
        <f ca="1"/>
        <v>2.9403196370689777E-2</v>
      </c>
      <c r="R293" s="162">
        <f ca="1"/>
        <v>5.2559371478914763E-2</v>
      </c>
      <c r="S293" s="162">
        <f ca="1"/>
        <v>0</v>
      </c>
      <c r="T293" s="162">
        <f ca="1"/>
        <v>0.10704600672672482</v>
      </c>
      <c r="U293" s="162">
        <f ca="1"/>
        <v>0.14999958688224024</v>
      </c>
      <c r="V293" s="138">
        <f ca="1"/>
        <v>0.21286009719309473</v>
      </c>
      <c r="W293" s="137">
        <f ca="1"/>
        <v>0</v>
      </c>
      <c r="X293" s="162">
        <f ca="1"/>
        <v>5.499558820391548E-3</v>
      </c>
      <c r="Y293" s="162">
        <f ca="1"/>
        <v>1.1718736137394714E-2</v>
      </c>
      <c r="Z293" s="162">
        <f ca="1"/>
        <v>2.9762737588384436E-2</v>
      </c>
      <c r="AA293" s="162">
        <f ca="1"/>
        <v>5.307012236592934E-2</v>
      </c>
      <c r="AB293" s="162">
        <f ca="1"/>
        <v>0</v>
      </c>
      <c r="AC293" s="162">
        <f ca="1"/>
        <v>0.10783708790712021</v>
      </c>
      <c r="AD293" s="162">
        <f ca="1"/>
        <v>0.1510408213391381</v>
      </c>
      <c r="AE293" s="138">
        <f ca="1"/>
        <v>0.21422705563868527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1.2000765254251977E-3</v>
      </c>
      <c r="P294" s="162">
        <f ca="1"/>
        <v>3.5540898239964092E-3</v>
      </c>
      <c r="Q294" s="162">
        <f ca="1"/>
        <v>1.0808786023340899E-2</v>
      </c>
      <c r="R294" s="162">
        <f ca="1"/>
        <v>2.184850020545781E-2</v>
      </c>
      <c r="S294" s="162">
        <f ca="1"/>
        <v>0</v>
      </c>
      <c r="T294" s="162">
        <f ca="1"/>
        <v>4.7726017568622048E-2</v>
      </c>
      <c r="U294" s="162">
        <f ca="1"/>
        <v>7.2710214365171222E-2</v>
      </c>
      <c r="V294" s="138">
        <f ca="1"/>
        <v>0.10680453439248938</v>
      </c>
      <c r="W294" s="137">
        <f ca="1"/>
        <v>0</v>
      </c>
      <c r="X294" s="162">
        <f ca="1"/>
        <v>1.2889098580469716E-3</v>
      </c>
      <c r="Y294" s="162">
        <f ca="1"/>
        <v>3.705967577888547E-3</v>
      </c>
      <c r="Z294" s="162">
        <f ca="1"/>
        <v>1.1084179881212353E-2</v>
      </c>
      <c r="AA294" s="162">
        <f ca="1"/>
        <v>2.2244525548201222E-2</v>
      </c>
      <c r="AB294" s="162">
        <f ca="1"/>
        <v>0</v>
      </c>
      <c r="AC294" s="162">
        <f ca="1"/>
        <v>4.8348849581563602E-2</v>
      </c>
      <c r="AD294" s="162">
        <f ca="1"/>
        <v>7.3553366745357285E-2</v>
      </c>
      <c r="AE294" s="138">
        <f ca="1"/>
        <v>0.10796413730060805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6.7577521646711158E-4</v>
      </c>
      <c r="P295" s="162">
        <f ca="1"/>
        <v>2.5389448711954365E-3</v>
      </c>
      <c r="Q295" s="162">
        <f ca="1"/>
        <v>7.3080171956233508E-3</v>
      </c>
      <c r="R295" s="162">
        <f ca="1"/>
        <v>1.4596468389244333E-2</v>
      </c>
      <c r="S295" s="162">
        <f ca="1"/>
        <v>0</v>
      </c>
      <c r="T295" s="162">
        <f ca="1"/>
        <v>3.5690281804451218E-2</v>
      </c>
      <c r="U295" s="162">
        <f ca="1"/>
        <v>6.0609595348061873E-2</v>
      </c>
      <c r="V295" s="138">
        <f ca="1"/>
        <v>0.11024493761012955</v>
      </c>
      <c r="W295" s="137">
        <f ca="1"/>
        <v>0</v>
      </c>
      <c r="X295" s="162">
        <f ca="1"/>
        <v>7.9428388706370701E-4</v>
      </c>
      <c r="Y295" s="162">
        <f ca="1"/>
        <v>2.7416500648504982E-3</v>
      </c>
      <c r="Z295" s="162">
        <f ca="1"/>
        <v>7.6765001722489679E-3</v>
      </c>
      <c r="AA295" s="162">
        <f ca="1"/>
        <v>1.5128222919506773E-2</v>
      </c>
      <c r="AB295" s="162">
        <f ca="1"/>
        <v>0</v>
      </c>
      <c r="AC295" s="162">
        <f ca="1"/>
        <v>3.6534582306212648E-2</v>
      </c>
      <c r="AD295" s="162">
        <f ca="1"/>
        <v>6.1751268000029835E-2</v>
      </c>
      <c r="AE295" s="138">
        <f ca="1"/>
        <v>0.11179877373497915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1.3075503082676798E-3</v>
      </c>
      <c r="Q296" s="162">
        <f ca="1"/>
        <v>0</v>
      </c>
      <c r="R296" s="162">
        <f ca="1"/>
        <v>1.3283266634672941E-2</v>
      </c>
      <c r="S296" s="162">
        <f ca="1"/>
        <v>0</v>
      </c>
      <c r="T296" s="162">
        <f ca="1"/>
        <v>2.988055530623257E-2</v>
      </c>
      <c r="U296" s="162">
        <f ca="1"/>
        <v>5.4484293466979583E-2</v>
      </c>
      <c r="V296" s="138">
        <f ca="1"/>
        <v>9.4420772847040646E-2</v>
      </c>
      <c r="W296" s="137">
        <f ca="1"/>
        <v>0</v>
      </c>
      <c r="X296" s="162">
        <f ca="1"/>
        <v>0</v>
      </c>
      <c r="Y296" s="162">
        <f ca="1"/>
        <v>1.5104241639727345E-3</v>
      </c>
      <c r="Z296" s="162">
        <f ca="1"/>
        <v>0</v>
      </c>
      <c r="AA296" s="162">
        <f ca="1"/>
        <v>1.3814567994012483E-2</v>
      </c>
      <c r="AB296" s="162">
        <f ca="1"/>
        <v>0</v>
      </c>
      <c r="AC296" s="162">
        <f ca="1"/>
        <v>3.072972764227988E-2</v>
      </c>
      <c r="AD296" s="162">
        <f ca="1"/>
        <v>5.5632010823647438E-2</v>
      </c>
      <c r="AE296" s="138">
        <f ca="1"/>
        <v>9.5995971565651872E-2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1.266968672701152E-3</v>
      </c>
      <c r="Q297" s="162">
        <f ca="1"/>
        <v>0</v>
      </c>
      <c r="R297" s="162">
        <f ca="1"/>
        <v>1.1485346088583759E-2</v>
      </c>
      <c r="S297" s="162">
        <f ca="1"/>
        <v>0</v>
      </c>
      <c r="T297" s="162">
        <f ca="1"/>
        <v>2.3099404198673179E-2</v>
      </c>
      <c r="U297" s="162">
        <f ca="1"/>
        <v>4.5139095418595065E-2</v>
      </c>
      <c r="V297" s="138">
        <f ca="1"/>
        <v>8.2394669242799368E-2</v>
      </c>
      <c r="W297" s="137">
        <f ca="1"/>
        <v>0</v>
      </c>
      <c r="X297" s="162">
        <f ca="1"/>
        <v>0</v>
      </c>
      <c r="Y297" s="162">
        <f ca="1"/>
        <v>1.4698512455946222E-3</v>
      </c>
      <c r="Z297" s="162">
        <f ca="1"/>
        <v>0</v>
      </c>
      <c r="AA297" s="162">
        <f ca="1"/>
        <v>1.2017763830551642E-2</v>
      </c>
      <c r="AB297" s="162">
        <f ca="1"/>
        <v>0</v>
      </c>
      <c r="AC297" s="162">
        <f ca="1"/>
        <v>2.3954516558509442E-2</v>
      </c>
      <c r="AD297" s="162">
        <f ca="1"/>
        <v>4.6297893827857095E-2</v>
      </c>
      <c r="AE297" s="138">
        <f ca="1"/>
        <v>8.3966678913808379E-2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2.4350657635655582E-3</v>
      </c>
      <c r="Q298" s="162">
        <f ca="1"/>
        <v>0</v>
      </c>
      <c r="R298" s="162">
        <f ca="1"/>
        <v>1.0844149221055255E-2</v>
      </c>
      <c r="S298" s="162">
        <f ca="1"/>
        <v>0</v>
      </c>
      <c r="T298" s="162">
        <f ca="1"/>
        <v>2.6792971923125797E-2</v>
      </c>
      <c r="U298" s="162">
        <f ca="1"/>
        <v>5.0062159052043698E-2</v>
      </c>
      <c r="V298" s="138">
        <f ca="1"/>
        <v>9.8965321495499414E-2</v>
      </c>
      <c r="W298" s="137">
        <f ca="1"/>
        <v>0</v>
      </c>
      <c r="X298" s="162">
        <f ca="1"/>
        <v>0</v>
      </c>
      <c r="Y298" s="162">
        <f ca="1"/>
        <v>2.6376909759359135E-3</v>
      </c>
      <c r="Z298" s="162">
        <f ca="1"/>
        <v>0</v>
      </c>
      <c r="AA298" s="162">
        <f ca="1"/>
        <v>1.1376792862768714E-2</v>
      </c>
      <c r="AB298" s="162">
        <f ca="1"/>
        <v>0</v>
      </c>
      <c r="AC298" s="162">
        <f ca="1"/>
        <v>2.7644650444995644E-2</v>
      </c>
      <c r="AD298" s="162">
        <f ca="1"/>
        <v>5.121539158753885E-2</v>
      </c>
      <c r="AE298" s="138">
        <f ca="1"/>
        <v>0.1005392313195087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2.4350657635655582E-3</v>
      </c>
      <c r="Q299" s="162">
        <f ca="1"/>
        <v>0</v>
      </c>
      <c r="R299" s="162">
        <f ca="1"/>
        <v>1.0844149221055255E-2</v>
      </c>
      <c r="S299" s="162">
        <f ca="1"/>
        <v>0</v>
      </c>
      <c r="T299" s="162">
        <f ca="1"/>
        <v>2.6792971923125797E-2</v>
      </c>
      <c r="U299" s="162">
        <f ca="1"/>
        <v>5.0062159052043698E-2</v>
      </c>
      <c r="V299" s="138">
        <f ca="1"/>
        <v>9.8965321495499414E-2</v>
      </c>
      <c r="W299" s="137">
        <f ca="1"/>
        <v>0</v>
      </c>
      <c r="X299" s="162">
        <f ca="1"/>
        <v>0</v>
      </c>
      <c r="Y299" s="162">
        <f ca="1"/>
        <v>2.6376909759359135E-3</v>
      </c>
      <c r="Z299" s="162">
        <f ca="1"/>
        <v>0</v>
      </c>
      <c r="AA299" s="162">
        <f ca="1"/>
        <v>1.1376792862768714E-2</v>
      </c>
      <c r="AB299" s="162">
        <f ca="1"/>
        <v>0</v>
      </c>
      <c r="AC299" s="162">
        <f ca="1"/>
        <v>2.7644650444995644E-2</v>
      </c>
      <c r="AD299" s="162">
        <f ca="1"/>
        <v>5.121539158753885E-2</v>
      </c>
      <c r="AE299" s="138">
        <f ca="1"/>
        <v>0.1005392313195087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9.9097019373151074E-4</v>
      </c>
      <c r="Q300" s="162">
        <f ca="1"/>
        <v>0</v>
      </c>
      <c r="R300" s="162">
        <f ca="1"/>
        <v>1.0682623318428286E-2</v>
      </c>
      <c r="S300" s="162">
        <f ca="1"/>
        <v>0</v>
      </c>
      <c r="T300" s="162">
        <f ca="1"/>
        <v>2.3677118121073315E-2</v>
      </c>
      <c r="U300" s="162">
        <f ca="1"/>
        <v>4.4520061216844375E-2</v>
      </c>
      <c r="V300" s="138">
        <f ca="1"/>
        <v>8.1560237590661666E-2</v>
      </c>
      <c r="W300" s="137">
        <f ca="1"/>
        <v>0</v>
      </c>
      <c r="X300" s="162">
        <f ca="1"/>
        <v>0</v>
      </c>
      <c r="Y300" s="162">
        <f ca="1"/>
        <v>1.1939116349340972E-3</v>
      </c>
      <c r="Z300" s="162">
        <f ca="1"/>
        <v>0</v>
      </c>
      <c r="AA300" s="162">
        <f ca="1"/>
        <v>1.1215553556407132E-2</v>
      </c>
      <c r="AB300" s="162">
        <f ca="1"/>
        <v>0</v>
      </c>
      <c r="AC300" s="162">
        <f ca="1"/>
        <v>2.4531929911472683E-2</v>
      </c>
      <c r="AD300" s="162">
        <f ca="1"/>
        <v>4.5680031628290152E-2</v>
      </c>
      <c r="AE300" s="138">
        <f ca="1"/>
        <v>8.3133813710516424E-2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1.4658030690567481E-3</v>
      </c>
      <c r="Q301" s="162">
        <f ca="1"/>
        <v>0</v>
      </c>
      <c r="R301" s="162">
        <f ca="1"/>
        <v>9.7382574296536184E-3</v>
      </c>
      <c r="S301" s="162">
        <f ca="1"/>
        <v>0</v>
      </c>
      <c r="T301" s="162">
        <f ca="1"/>
        <v>2.2804996553616341E-2</v>
      </c>
      <c r="U301" s="162">
        <f ca="1"/>
        <v>4.3636968022953804E-2</v>
      </c>
      <c r="V301" s="138">
        <f ca="1"/>
        <v>7.7690342952627778E-2</v>
      </c>
      <c r="W301" s="137">
        <f ca="1"/>
        <v>0</v>
      </c>
      <c r="X301" s="162">
        <f ca="1"/>
        <v>0</v>
      </c>
      <c r="Y301" s="162">
        <f ca="1"/>
        <v>1.6686427798721093E-3</v>
      </c>
      <c r="Z301" s="162">
        <f ca="1"/>
        <v>0</v>
      </c>
      <c r="AA301" s="162">
        <f ca="1"/>
        <v>1.0271671156952489E-2</v>
      </c>
      <c r="AB301" s="162">
        <f ca="1"/>
        <v>0</v>
      </c>
      <c r="AC301" s="162">
        <f ca="1"/>
        <v>2.3660481380007869E-2</v>
      </c>
      <c r="AD301" s="162">
        <f ca="1"/>
        <v>4.4798090460469453E-2</v>
      </c>
      <c r="AE301" s="138">
        <f ca="1"/>
        <v>7.9272412148428173E-2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7.1132972843845899E-4</v>
      </c>
      <c r="P302" s="162">
        <f ca="1"/>
        <v>1.218249062401866E-3</v>
      </c>
      <c r="Q302" s="162">
        <f ca="1"/>
        <v>4.5049651185464779E-3</v>
      </c>
      <c r="R302" s="162">
        <f ca="1"/>
        <v>9.886988031648114E-3</v>
      </c>
      <c r="S302" s="162">
        <f ca="1"/>
        <v>0</v>
      </c>
      <c r="T302" s="162">
        <f ca="1"/>
        <v>2.6076517613087935E-2</v>
      </c>
      <c r="U302" s="162">
        <f ca="1"/>
        <v>4.35260840199444E-2</v>
      </c>
      <c r="V302" s="138">
        <f ca="1"/>
        <v>7.9883526911694425E-2</v>
      </c>
      <c r="W302" s="137">
        <f ca="1"/>
        <v>0</v>
      </c>
      <c r="X302" s="162">
        <f ca="1"/>
        <v>8.2983405341885419E-4</v>
      </c>
      <c r="Y302" s="162">
        <f ca="1"/>
        <v>1.421145689021297E-3</v>
      </c>
      <c r="Z302" s="162">
        <f ca="1"/>
        <v>4.8744082750875606E-3</v>
      </c>
      <c r="AA302" s="162">
        <f ca="1"/>
        <v>1.0421122701779972E-2</v>
      </c>
      <c r="AB302" s="162">
        <f ca="1"/>
        <v>0</v>
      </c>
      <c r="AC302" s="162">
        <f ca="1"/>
        <v>2.6930018754537266E-2</v>
      </c>
      <c r="AD302" s="162">
        <f ca="1"/>
        <v>4.4688576527667556E-2</v>
      </c>
      <c r="AE302" s="138">
        <f ca="1"/>
        <v>8.1462378040241257E-2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1.3237825047575091E-3</v>
      </c>
      <c r="Q303" s="162">
        <f ca="1"/>
        <v>0</v>
      </c>
      <c r="R303" s="162">
        <f ca="1"/>
        <v>1.0189251445500203E-2</v>
      </c>
      <c r="S303" s="162">
        <f ca="1"/>
        <v>0</v>
      </c>
      <c r="T303" s="162">
        <f ca="1"/>
        <v>2.4167728605434591E-2</v>
      </c>
      <c r="U303" s="162">
        <f ca="1"/>
        <v>4.2281726423016974E-2</v>
      </c>
      <c r="V303" s="138">
        <f ca="1"/>
        <v>7.1340288277268349E-2</v>
      </c>
      <c r="W303" s="137">
        <f ca="1"/>
        <v>0</v>
      </c>
      <c r="X303" s="162">
        <f ca="1"/>
        <v>0</v>
      </c>
      <c r="Y303" s="162">
        <f ca="1"/>
        <v>1.5266528692908787E-3</v>
      </c>
      <c r="Z303" s="162">
        <f ca="1"/>
        <v>0</v>
      </c>
      <c r="AA303" s="162">
        <f ca="1"/>
        <v>1.0722427003253765E-2</v>
      </c>
      <c r="AB303" s="162">
        <f ca="1"/>
        <v>0</v>
      </c>
      <c r="AC303" s="162">
        <f ca="1"/>
        <v>2.5022070061557211E-2</v>
      </c>
      <c r="AD303" s="162">
        <f ca="1"/>
        <v>4.3444343464087209E-2</v>
      </c>
      <c r="AE303" s="138">
        <f ca="1"/>
        <v>7.2933999656345061E-2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5.92809788134252E-4</v>
      </c>
      <c r="P304" s="162">
        <f ca="1"/>
        <v>1.0153107015465901E-3</v>
      </c>
      <c r="Q304" s="162">
        <f ca="1"/>
        <v>3.7551447461027232E-3</v>
      </c>
      <c r="R304" s="162">
        <f ca="1"/>
        <v>8.2437028239036314E-3</v>
      </c>
      <c r="S304" s="162">
        <f ca="1"/>
        <v>0</v>
      </c>
      <c r="T304" s="162">
        <f ca="1"/>
        <v>2.3464812619025444E-2</v>
      </c>
      <c r="U304" s="162">
        <f ca="1"/>
        <v>4.1318839883262126E-2</v>
      </c>
      <c r="V304" s="138">
        <f ca="1"/>
        <v>7.0918225231064502E-2</v>
      </c>
      <c r="W304" s="137">
        <f ca="1"/>
        <v>0</v>
      </c>
      <c r="X304" s="162">
        <f ca="1"/>
        <v>7.1132857205080668E-4</v>
      </c>
      <c r="Y304" s="162">
        <f ca="1"/>
        <v>1.218248712366865E-3</v>
      </c>
      <c r="Z304" s="162">
        <f ca="1"/>
        <v>4.1248388616055287E-3</v>
      </c>
      <c r="AA304" s="162">
        <f ca="1"/>
        <v>8.7786096641413458E-3</v>
      </c>
      <c r="AB304" s="162">
        <f ca="1"/>
        <v>0</v>
      </c>
      <c r="AC304" s="162">
        <f ca="1"/>
        <v>2.4320722561518293E-2</v>
      </c>
      <c r="AD304" s="162">
        <f ca="1"/>
        <v>4.2484364087254978E-2</v>
      </c>
      <c r="AE304" s="138">
        <f ca="1"/>
        <v>7.2515645095470482E-2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4.7427584534542877E-4</v>
      </c>
      <c r="P305" s="162">
        <f ca="1"/>
        <v>1.2249230507697106E-3</v>
      </c>
      <c r="Q305" s="162">
        <f ca="1"/>
        <v>4.1316556763268952E-3</v>
      </c>
      <c r="R305" s="162">
        <f ca="1"/>
        <v>7.6590768215092364E-3</v>
      </c>
      <c r="S305" s="162">
        <f ca="1"/>
        <v>0</v>
      </c>
      <c r="T305" s="162">
        <f ca="1"/>
        <v>2.1626165709569878E-2</v>
      </c>
      <c r="U305" s="162">
        <f ca="1"/>
        <v>4.019368627930664E-2</v>
      </c>
      <c r="V305" s="138">
        <f ca="1"/>
        <v>7.3282216881875639E-2</v>
      </c>
      <c r="W305" s="137">
        <f ca="1"/>
        <v>0</v>
      </c>
      <c r="X305" s="162">
        <f ca="1"/>
        <v>5.9280901297664723E-4</v>
      </c>
      <c r="Y305" s="162">
        <f ca="1"/>
        <v>1.4278425560112495E-3</v>
      </c>
      <c r="Z305" s="162">
        <f ca="1"/>
        <v>4.5012312816126165E-3</v>
      </c>
      <c r="AA305" s="162">
        <f ca="1"/>
        <v>8.1941367183677727E-3</v>
      </c>
      <c r="AB305" s="162">
        <f ca="1"/>
        <v>0</v>
      </c>
      <c r="AC305" s="162">
        <f ca="1"/>
        <v>2.2483535623289974E-2</v>
      </c>
      <c r="AD305" s="162">
        <f ca="1"/>
        <v>4.1360511138388567E-2</v>
      </c>
      <c r="AE305" s="138">
        <f ca="1"/>
        <v>7.487526347594553E-2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7.8595180432661227E-4</v>
      </c>
      <c r="Q306" s="162">
        <f ca="1"/>
        <v>0</v>
      </c>
      <c r="R306" s="162">
        <f ca="1"/>
        <v>7.1209774340232901E-3</v>
      </c>
      <c r="S306" s="162">
        <f ca="1"/>
        <v>0</v>
      </c>
      <c r="T306" s="162">
        <f ca="1"/>
        <v>1.8005642636324315E-2</v>
      </c>
      <c r="U306" s="162">
        <f ca="1"/>
        <v>3.9548478145092769E-2</v>
      </c>
      <c r="V306" s="138">
        <f ca="1"/>
        <v>6.4547268553195702E-2</v>
      </c>
      <c r="W306" s="137">
        <f ca="1"/>
        <v>0</v>
      </c>
      <c r="X306" s="162">
        <f ca="1"/>
        <v>0</v>
      </c>
      <c r="Y306" s="162">
        <f ca="1"/>
        <v>9.8893650767106767E-4</v>
      </c>
      <c r="Z306" s="162">
        <f ca="1"/>
        <v>0</v>
      </c>
      <c r="AA306" s="162">
        <f ca="1"/>
        <v>7.6559432266545269E-3</v>
      </c>
      <c r="AB306" s="162">
        <f ca="1"/>
        <v>0</v>
      </c>
      <c r="AC306" s="162">
        <f ca="1"/>
        <v>1.8865536675840122E-2</v>
      </c>
      <c r="AD306" s="162">
        <f ca="1"/>
        <v>4.0715131099638646E-2</v>
      </c>
      <c r="AE306" s="138">
        <f ca="1"/>
        <v>6.6156576176144233E-2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4.7427584534542877E-4</v>
      </c>
      <c r="P307" s="162">
        <f ca="1"/>
        <v>1.843680337743514E-3</v>
      </c>
      <c r="Q307" s="162">
        <f ca="1"/>
        <v>5.2503551541845939E-3</v>
      </c>
      <c r="R307" s="162">
        <f ca="1"/>
        <v>9.2739025279040543E-3</v>
      </c>
      <c r="S307" s="162">
        <f ca="1"/>
        <v>0</v>
      </c>
      <c r="T307" s="162">
        <f ca="1"/>
        <v>2.2355737914402707E-2</v>
      </c>
      <c r="U307" s="162">
        <f ca="1"/>
        <v>3.5883190342468674E-2</v>
      </c>
      <c r="V307" s="138">
        <f ca="1"/>
        <v>5.97549953393266E-2</v>
      </c>
      <c r="W307" s="137">
        <f ca="1"/>
        <v>0</v>
      </c>
      <c r="X307" s="162">
        <f ca="1"/>
        <v>5.9280901297664723E-4</v>
      </c>
      <c r="Y307" s="162">
        <f ca="1"/>
        <v>2.0465088302080714E-3</v>
      </c>
      <c r="Z307" s="162">
        <f ca="1"/>
        <v>5.6195407345783766E-3</v>
      </c>
      <c r="AA307" s="162">
        <f ca="1"/>
        <v>9.8081150182210974E-3</v>
      </c>
      <c r="AB307" s="162">
        <f ca="1"/>
        <v>0</v>
      </c>
      <c r="AC307" s="162">
        <f ca="1"/>
        <v>2.3212162033931061E-2</v>
      </c>
      <c r="AD307" s="162">
        <f ca="1"/>
        <v>3.7053621362015621E-2</v>
      </c>
      <c r="AE307" s="138">
        <f ca="1"/>
        <v>6.1370469252284954E-2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5.92809788134252E-4</v>
      </c>
      <c r="P308" s="162">
        <f ca="1"/>
        <v>1.4278436744080691E-3</v>
      </c>
      <c r="Q308" s="162">
        <f ca="1"/>
        <v>4.1211827516709487E-3</v>
      </c>
      <c r="R308" s="162">
        <f ca="1"/>
        <v>8.7749433701209689E-3</v>
      </c>
      <c r="S308" s="162">
        <f ca="1"/>
        <v>0</v>
      </c>
      <c r="T308" s="162">
        <f ca="1"/>
        <v>2.0604511855394581E-2</v>
      </c>
      <c r="U308" s="162">
        <f ca="1"/>
        <v>3.6180700387551279E-2</v>
      </c>
      <c r="V308" s="138">
        <f ca="1"/>
        <v>6.5968390801418808E-2</v>
      </c>
      <c r="W308" s="137">
        <f ca="1"/>
        <v>0</v>
      </c>
      <c r="X308" s="162">
        <f ca="1"/>
        <v>7.1132857205080668E-4</v>
      </c>
      <c r="Y308" s="162">
        <f ca="1"/>
        <v>1.6307216884168252E-3</v>
      </c>
      <c r="Z308" s="162">
        <f ca="1"/>
        <v>4.4907270290319712E-3</v>
      </c>
      <c r="AA308" s="162">
        <f ca="1"/>
        <v>9.3095430577327942E-3</v>
      </c>
      <c r="AB308" s="162">
        <f ca="1"/>
        <v>0</v>
      </c>
      <c r="AC308" s="162">
        <f ca="1"/>
        <v>2.14626020978812E-2</v>
      </c>
      <c r="AD308" s="162">
        <f ca="1"/>
        <v>3.7351375962172306E-2</v>
      </c>
      <c r="AE308" s="138">
        <f ca="1"/>
        <v>6.7573829489665282E-2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4.7427584534542877E-4</v>
      </c>
      <c r="P309" s="162">
        <f ca="1"/>
        <v>1.0186357831003523E-3</v>
      </c>
      <c r="Q309" s="162">
        <f ca="1"/>
        <v>3.3782543653901875E-3</v>
      </c>
      <c r="R309" s="162">
        <f ca="1"/>
        <v>7.7012847647218718E-3</v>
      </c>
      <c r="S309" s="162">
        <f ca="1"/>
        <v>0</v>
      </c>
      <c r="T309" s="162">
        <f ca="1"/>
        <v>1.8880263545405285E-2</v>
      </c>
      <c r="U309" s="162">
        <f ca="1"/>
        <v>3.5168276476748805E-2</v>
      </c>
      <c r="V309" s="138">
        <f ca="1"/>
        <v>6.0563150979091707E-2</v>
      </c>
      <c r="W309" s="137">
        <f ca="1"/>
        <v>0</v>
      </c>
      <c r="X309" s="162">
        <f ca="1"/>
        <v>5.9280901297664723E-4</v>
      </c>
      <c r="Y309" s="162">
        <f ca="1"/>
        <v>1.2215853039712066E-3</v>
      </c>
      <c r="Z309" s="162">
        <f ca="1"/>
        <v>3.7480682373655094E-3</v>
      </c>
      <c r="AA309" s="162">
        <f ca="1"/>
        <v>8.236462255734267E-3</v>
      </c>
      <c r="AB309" s="162">
        <f ca="1"/>
        <v>0</v>
      </c>
      <c r="AC309" s="162">
        <f ca="1"/>
        <v>1.9739977150469379E-2</v>
      </c>
      <c r="AD309" s="162">
        <f ca="1"/>
        <v>3.6340602551200085E-2</v>
      </c>
      <c r="AE309" s="138">
        <f ca="1"/>
        <v>6.2179320773017577E-2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5.92809788134252E-4</v>
      </c>
      <c r="P310" s="162">
        <f ca="1"/>
        <v>1.2215858978688043E-3</v>
      </c>
      <c r="Q310" s="162">
        <f ca="1"/>
        <v>4.5083702662991332E-3</v>
      </c>
      <c r="R310" s="162">
        <f ca="1"/>
        <v>8.7644789715565219E-3</v>
      </c>
      <c r="S310" s="162">
        <f ca="1"/>
        <v>0</v>
      </c>
      <c r="T310" s="162">
        <f ca="1"/>
        <v>2.0593856483350215E-2</v>
      </c>
      <c r="U310" s="162">
        <f ca="1"/>
        <v>3.3491059664730538E-2</v>
      </c>
      <c r="V310" s="138">
        <f ca="1"/>
        <v>5.8431859839286782E-2</v>
      </c>
      <c r="W310" s="137">
        <f ca="1"/>
        <v>0</v>
      </c>
      <c r="X310" s="162">
        <f ca="1"/>
        <v>7.1132857205080668E-4</v>
      </c>
      <c r="Y310" s="162">
        <f ca="1"/>
        <v>1.4244939898572229E-3</v>
      </c>
      <c r="Z310" s="162">
        <f ca="1"/>
        <v>4.8778245277686372E-3</v>
      </c>
      <c r="AA310" s="162">
        <f ca="1"/>
        <v>9.2990568694159004E-3</v>
      </c>
      <c r="AB310" s="162">
        <f ca="1"/>
        <v>0</v>
      </c>
      <c r="AC310" s="162">
        <f ca="1"/>
        <v>2.1451914720507004E-2</v>
      </c>
      <c r="AD310" s="162">
        <f ca="1"/>
        <v>3.4664351501637158E-2</v>
      </c>
      <c r="AE310" s="138">
        <f ca="1"/>
        <v>6.0050052604858406E-2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3.5572789762250423E-4</v>
      </c>
      <c r="P311" s="162">
        <f ca="1"/>
        <v>1.0219611809689777E-3</v>
      </c>
      <c r="Q311" s="162">
        <f ca="1"/>
        <v>3.3816248583075081E-3</v>
      </c>
      <c r="R311" s="162">
        <f ca="1"/>
        <v>7.1411517392131474E-3</v>
      </c>
      <c r="S311" s="162">
        <f ca="1"/>
        <v>0</v>
      </c>
      <c r="T311" s="162">
        <f ca="1"/>
        <v>1.89242348014248E-2</v>
      </c>
      <c r="U311" s="162">
        <f ca="1"/>
        <v>3.3871972473283773E-2</v>
      </c>
      <c r="V311" s="138">
        <f ca="1"/>
        <v>6.0790809747725549E-2</v>
      </c>
      <c r="W311" s="137">
        <f ca="1"/>
        <v>0</v>
      </c>
      <c r="X311" s="162">
        <f ca="1"/>
        <v>4.7427537457878088E-4</v>
      </c>
      <c r="Y311" s="162">
        <f ca="1"/>
        <v>1.2249221600106885E-3</v>
      </c>
      <c r="Z311" s="162">
        <f ca="1"/>
        <v>3.7514498578111732E-3</v>
      </c>
      <c r="AA311" s="162">
        <f ca="1"/>
        <v>7.6765526935037576E-3</v>
      </c>
      <c r="AB311" s="162">
        <f ca="1"/>
        <v>0</v>
      </c>
      <c r="AC311" s="162">
        <f ca="1"/>
        <v>1.978396984629649E-2</v>
      </c>
      <c r="AD311" s="162">
        <f ca="1"/>
        <v>3.5045778666520033E-2</v>
      </c>
      <c r="AE311" s="138">
        <f ca="1"/>
        <v>6.2406336420824049E-2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1.1274358832003673E-2</v>
      </c>
      <c r="P312" s="162">
        <f ca="1"/>
        <v>1.9235362641972342E-2</v>
      </c>
      <c r="Q312" s="162">
        <f ca="1"/>
        <v>3.3766290679749678E-2</v>
      </c>
      <c r="R312" s="162">
        <f ca="1"/>
        <v>4.7633889884795E-2</v>
      </c>
      <c r="S312" s="162">
        <f ca="1"/>
        <v>0</v>
      </c>
      <c r="T312" s="162">
        <f ca="1"/>
        <v>7.1948169220859781E-2</v>
      </c>
      <c r="U312" s="162">
        <f ca="1"/>
        <v>9.8344652098259044E-2</v>
      </c>
      <c r="V312" s="138">
        <f ca="1"/>
        <v>0.13657921153319497</v>
      </c>
      <c r="W312" s="137">
        <f ca="1"/>
        <v>0</v>
      </c>
      <c r="X312" s="162">
        <f ca="1"/>
        <v>1.1391167252355117E-2</v>
      </c>
      <c r="Y312" s="162">
        <f ca="1"/>
        <v>1.9434458708634694E-2</v>
      </c>
      <c r="Z312" s="162">
        <f ca="1"/>
        <v>3.4123534815100109E-2</v>
      </c>
      <c r="AA312" s="162">
        <f ca="1"/>
        <v>4.8145582728365999E-2</v>
      </c>
      <c r="AB312" s="162">
        <f ca="1"/>
        <v>0</v>
      </c>
      <c r="AC312" s="162">
        <f ca="1"/>
        <v>7.2751579901525698E-2</v>
      </c>
      <c r="AD312" s="162">
        <f ca="1"/>
        <v>9.942645681088913E-2</v>
      </c>
      <c r="AE312" s="138">
        <f ca="1"/>
        <v>0.13805906769779186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1.9993306234008523E-3</v>
      </c>
      <c r="P313" s="162">
        <f ca="1"/>
        <v>4.5806468219583563E-3</v>
      </c>
      <c r="Q313" s="162">
        <f ca="1"/>
        <v>1.2590290796251069E-2</v>
      </c>
      <c r="R313" s="162">
        <f ca="1"/>
        <v>2.2738480948629514E-2</v>
      </c>
      <c r="S313" s="162">
        <f ca="1"/>
        <v>0</v>
      </c>
      <c r="T313" s="162">
        <f ca="1"/>
        <v>4.9536160386337236E-2</v>
      </c>
      <c r="U313" s="162">
        <f ca="1"/>
        <v>7.4196281079661808E-2</v>
      </c>
      <c r="V313" s="138">
        <f ca="1"/>
        <v>0.11249254534037034</v>
      </c>
      <c r="W313" s="137">
        <f ca="1"/>
        <v>0</v>
      </c>
      <c r="X313" s="162">
        <f ca="1"/>
        <v>2.0880858263350177E-3</v>
      </c>
      <c r="Y313" s="162">
        <f ca="1"/>
        <v>4.7323505244049047E-3</v>
      </c>
      <c r="Z313" s="162">
        <f ca="1"/>
        <v>1.2865116996097492E-2</v>
      </c>
      <c r="AA313" s="162">
        <f ca="1"/>
        <v>2.3133960072593274E-2</v>
      </c>
      <c r="AB313" s="162">
        <f ca="1"/>
        <v>0</v>
      </c>
      <c r="AC313" s="162">
        <f ca="1"/>
        <v>5.0157125494669885E-2</v>
      </c>
      <c r="AD313" s="162">
        <f ca="1"/>
        <v>7.5037720473583813E-2</v>
      </c>
      <c r="AE313" s="138">
        <f ca="1"/>
        <v>0.11364616428916141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4.0551778959819762E-3</v>
      </c>
      <c r="Q314" s="162">
        <f ca="1"/>
        <v>0</v>
      </c>
      <c r="R314" s="162">
        <f ca="1"/>
        <v>1.8929746937384917E-2</v>
      </c>
      <c r="S314" s="162">
        <f ca="1"/>
        <v>0</v>
      </c>
      <c r="T314" s="162">
        <f ca="1"/>
        <v>3.964438762221445E-2</v>
      </c>
      <c r="U314" s="162">
        <f ca="1"/>
        <v>6.7413380186574501E-2</v>
      </c>
      <c r="V314" s="138">
        <f ca="1"/>
        <v>0.11259041475223053</v>
      </c>
      <c r="W314" s="137">
        <f ca="1"/>
        <v>0</v>
      </c>
      <c r="X314" s="162">
        <f ca="1"/>
        <v>0</v>
      </c>
      <c r="Y314" s="162">
        <f ca="1"/>
        <v>4.2574230082350617E-3</v>
      </c>
      <c r="Z314" s="162">
        <f ca="1"/>
        <v>0</v>
      </c>
      <c r="AA314" s="162">
        <f ca="1"/>
        <v>1.9457142976913588E-2</v>
      </c>
      <c r="AB314" s="162">
        <f ca="1"/>
        <v>0</v>
      </c>
      <c r="AC314" s="162">
        <f ca="1"/>
        <v>4.0483545346799765E-2</v>
      </c>
      <c r="AD314" s="162">
        <f ca="1"/>
        <v>6.8543591249264235E-2</v>
      </c>
      <c r="AE314" s="138">
        <f ca="1"/>
        <v>0.11413526027709997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6.9488270714945788E-4</v>
      </c>
      <c r="O315" s="162">
        <f ca="1"/>
        <v>1.0668178853665555E-3</v>
      </c>
      <c r="P315" s="162">
        <f ca="1"/>
        <v>2.4452400736947322E-3</v>
      </c>
      <c r="Q315" s="162">
        <f ca="1"/>
        <v>5.5912239803103114E-3</v>
      </c>
      <c r="R315" s="162">
        <f ca="1"/>
        <v>1.1469687513745663E-2</v>
      </c>
      <c r="S315" s="162">
        <f ca="1"/>
        <v>1.8356162045277014E-2</v>
      </c>
      <c r="T315" s="162">
        <f ca="1"/>
        <v>2.6855698607950118E-2</v>
      </c>
      <c r="U315" s="162">
        <f ca="1"/>
        <v>5.0803713660901861E-2</v>
      </c>
      <c r="V315" s="138">
        <f ca="1"/>
        <v>8.7970824478587173E-2</v>
      </c>
      <c r="W315" s="137">
        <f ca="1"/>
        <v>7.527669870300846E-4</v>
      </c>
      <c r="X315" s="162">
        <f ca="1"/>
        <v>1.1556678171285029E-3</v>
      </c>
      <c r="Y315" s="162">
        <f ca="1"/>
        <v>2.5972555107200979E-3</v>
      </c>
      <c r="Z315" s="162">
        <f ca="1"/>
        <v>5.8679354023307706E-3</v>
      </c>
      <c r="AA315" s="162">
        <f ca="1"/>
        <v>1.1869477107237181E-2</v>
      </c>
      <c r="AB315" s="162">
        <f ca="1"/>
        <v>1.8877588280939328E-2</v>
      </c>
      <c r="AC315" s="162">
        <f ca="1"/>
        <v>2.7496045269132185E-2</v>
      </c>
      <c r="AD315" s="162">
        <f ca="1"/>
        <v>5.1666601148153801E-2</v>
      </c>
      <c r="AE315" s="138">
        <f ca="1"/>
        <v>8.9160032162831304E-2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1.2267285938355466E-3</v>
      </c>
      <c r="P316" s="162">
        <f ca="1"/>
        <v>3.244283560399186E-3</v>
      </c>
      <c r="Q316" s="162">
        <f ca="1"/>
        <v>8.7449903580039123E-3</v>
      </c>
      <c r="R316" s="162">
        <f ca="1"/>
        <v>1.599694860094214E-2</v>
      </c>
      <c r="S316" s="162">
        <f ca="1"/>
        <v>0</v>
      </c>
      <c r="T316" s="162">
        <f ca="1"/>
        <v>3.3844044475762614E-2</v>
      </c>
      <c r="U316" s="162">
        <f ca="1"/>
        <v>5.333397804567408E-2</v>
      </c>
      <c r="V316" s="138">
        <f ca="1"/>
        <v>8.3873917874935477E-2</v>
      </c>
      <c r="W316" s="137">
        <f ca="1"/>
        <v>0</v>
      </c>
      <c r="X316" s="162">
        <f ca="1"/>
        <v>1.3155593819849098E-3</v>
      </c>
      <c r="Y316" s="162">
        <f ca="1"/>
        <v>3.3961953769704456E-3</v>
      </c>
      <c r="Z316" s="162">
        <f ca="1"/>
        <v>9.0209153112020823E-3</v>
      </c>
      <c r="AA316" s="162">
        <f ca="1"/>
        <v>1.6395080165918841E-2</v>
      </c>
      <c r="AB316" s="162">
        <f ca="1"/>
        <v>0</v>
      </c>
      <c r="AC316" s="162">
        <f ca="1"/>
        <v>3.4477731818473356E-2</v>
      </c>
      <c r="AD316" s="162">
        <f ca="1"/>
        <v>5.4195140315079215E-2</v>
      </c>
      <c r="AE316" s="138">
        <f ca="1"/>
        <v>8.5048643895749843E-2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1.3422127068437595E-3</v>
      </c>
      <c r="P317" s="162">
        <f ca="1"/>
        <v>3.2563666940148561E-3</v>
      </c>
      <c r="Q317" s="162">
        <f ca="1"/>
        <v>8.2576837590077057E-3</v>
      </c>
      <c r="R317" s="162">
        <f ca="1"/>
        <v>1.504880915541873E-2</v>
      </c>
      <c r="S317" s="162">
        <f ca="1"/>
        <v>0</v>
      </c>
      <c r="T317" s="162">
        <f ca="1"/>
        <v>3.3245980508930573E-2</v>
      </c>
      <c r="U317" s="162">
        <f ca="1"/>
        <v>5.2308733724457657E-2</v>
      </c>
      <c r="V317" s="138">
        <f ca="1"/>
        <v>8.1291706466054214E-2</v>
      </c>
      <c r="W317" s="137">
        <f ca="1"/>
        <v>0</v>
      </c>
      <c r="X317" s="162">
        <f ca="1"/>
        <v>1.4310324221570303E-3</v>
      </c>
      <c r="Y317" s="162">
        <f ca="1"/>
        <v>3.4082690934001958E-3</v>
      </c>
      <c r="Z317" s="162">
        <f ca="1"/>
        <v>8.5337166494316996E-3</v>
      </c>
      <c r="AA317" s="162">
        <f ca="1"/>
        <v>1.5447265505629804E-2</v>
      </c>
      <c r="AB317" s="162">
        <f ca="1"/>
        <v>0</v>
      </c>
      <c r="AC317" s="162">
        <f ca="1"/>
        <v>3.3880069506391552E-2</v>
      </c>
      <c r="AD317" s="162">
        <f ca="1"/>
        <v>5.3171033244283072E-2</v>
      </c>
      <c r="AE317" s="138">
        <f ca="1"/>
        <v>8.2470619945479773E-2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2.5019469759053337E-3</v>
      </c>
      <c r="Q318" s="162">
        <f ca="1"/>
        <v>0</v>
      </c>
      <c r="R318" s="162">
        <f ca="1"/>
        <v>1.3670789783008619E-2</v>
      </c>
      <c r="S318" s="162">
        <f ca="1"/>
        <v>0</v>
      </c>
      <c r="T318" s="162">
        <f ca="1"/>
        <v>3.2515681175660061E-2</v>
      </c>
      <c r="U318" s="162">
        <f ca="1"/>
        <v>4.6285089981403793E-2</v>
      </c>
      <c r="V318" s="138">
        <f ca="1"/>
        <v>6.831998059602562E-2</v>
      </c>
      <c r="W318" s="137">
        <f ca="1"/>
        <v>0</v>
      </c>
      <c r="X318" s="162">
        <f ca="1"/>
        <v>0</v>
      </c>
      <c r="Y318" s="162">
        <f ca="1"/>
        <v>2.7045570400513474E-3</v>
      </c>
      <c r="Z318" s="162">
        <f ca="1"/>
        <v>0</v>
      </c>
      <c r="AA318" s="162">
        <f ca="1"/>
        <v>1.4201740741919378E-2</v>
      </c>
      <c r="AB318" s="162">
        <f ca="1"/>
        <v>0</v>
      </c>
      <c r="AC318" s="162">
        <f ca="1"/>
        <v>3.336203075630817E-2</v>
      </c>
      <c r="AD318" s="162">
        <f ca="1"/>
        <v>4.7441795145315213E-2</v>
      </c>
      <c r="AE318" s="138">
        <f ca="1"/>
        <v>6.9915980508928999E-2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1.4221772130014187E-3</v>
      </c>
      <c r="P319" s="162">
        <f ca="1"/>
        <v>2.8986585177027679E-3</v>
      </c>
      <c r="Q319" s="162">
        <f ca="1"/>
        <v>6.9877466675097866E-3</v>
      </c>
      <c r="R319" s="162">
        <f ca="1"/>
        <v>1.2216184658570883E-2</v>
      </c>
      <c r="S319" s="162">
        <f ca="1"/>
        <v>0</v>
      </c>
      <c r="T319" s="162">
        <f ca="1"/>
        <v>2.4547634651118755E-2</v>
      </c>
      <c r="U319" s="162">
        <f ca="1"/>
        <v>3.5619975152813677E-2</v>
      </c>
      <c r="V319" s="138">
        <f ca="1"/>
        <v>5.1249760843725456E-2</v>
      </c>
      <c r="W319" s="137">
        <f ca="1"/>
        <v>0</v>
      </c>
      <c r="X319" s="162">
        <f ca="1"/>
        <v>1.510990586437555E-3</v>
      </c>
      <c r="Y319" s="162">
        <f ca="1"/>
        <v>3.050597540269373E-3</v>
      </c>
      <c r="Z319" s="162">
        <f ca="1"/>
        <v>7.2640808208107588E-3</v>
      </c>
      <c r="AA319" s="162">
        <f ca="1"/>
        <v>1.261555820042437E-2</v>
      </c>
      <c r="AB319" s="162">
        <f ca="1"/>
        <v>0</v>
      </c>
      <c r="AC319" s="162">
        <f ca="1"/>
        <v>2.5187428620434327E-2</v>
      </c>
      <c r="AD319" s="162">
        <f ca="1"/>
        <v>3.6496057770131984E-2</v>
      </c>
      <c r="AE319" s="138">
        <f ca="1"/>
        <v>5.2468259378926518E-2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1.7347149338240775E-2</v>
      </c>
      <c r="U320" s="162">
        <f ca="1"/>
        <v>4.5818565416397949E-2</v>
      </c>
      <c r="V320" s="138">
        <f ca="1"/>
        <v>8.8910088877902305E-2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1.8199821487533963E-2</v>
      </c>
      <c r="AD320" s="162">
        <f ca="1"/>
        <v>4.6976279590975722E-2</v>
      </c>
      <c r="AE320" s="138">
        <f ca="1"/>
        <v>9.050079337250394E-2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1.4103124892311802E-3</v>
      </c>
      <c r="P321" s="162">
        <f ca="1"/>
        <v>2.9092894158903038E-3</v>
      </c>
      <c r="Q321" s="162">
        <f ca="1"/>
        <v>7.12079701124535E-3</v>
      </c>
      <c r="R321" s="162">
        <f ca="1"/>
        <v>1.2602295388482232E-2</v>
      </c>
      <c r="S321" s="162">
        <f ca="1"/>
        <v>0</v>
      </c>
      <c r="T321" s="162">
        <f ca="1"/>
        <v>2.74982812473058E-2</v>
      </c>
      <c r="U321" s="162">
        <f ca="1"/>
        <v>4.3033273381142045E-2</v>
      </c>
      <c r="V321" s="138">
        <f ca="1"/>
        <v>6.7480194831133544E-2</v>
      </c>
      <c r="W321" s="137">
        <f ca="1"/>
        <v>0</v>
      </c>
      <c r="X321" s="162">
        <f ca="1"/>
        <v>1.528729933109263E-3</v>
      </c>
      <c r="Y321" s="162">
        <f ca="1"/>
        <v>3.1118683905739797E-3</v>
      </c>
      <c r="Z321" s="162">
        <f ca="1"/>
        <v>7.4892245062432306E-3</v>
      </c>
      <c r="AA321" s="162">
        <f ca="1"/>
        <v>1.3134738663732382E-2</v>
      </c>
      <c r="AB321" s="162">
        <f ca="1"/>
        <v>0</v>
      </c>
      <c r="AC321" s="162">
        <f ca="1"/>
        <v>2.8349782689956138E-2</v>
      </c>
      <c r="AD321" s="162">
        <f ca="1"/>
        <v>4.4194629527009588E-2</v>
      </c>
      <c r="AE321" s="138">
        <f ca="1"/>
        <v>6.9080585389218241E-2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5.92809788134252E-4</v>
      </c>
      <c r="P322" s="162">
        <f ca="1"/>
        <v>1.6340840333609608E-3</v>
      </c>
      <c r="Q322" s="162">
        <f ca="1"/>
        <v>4.4941602991660501E-3</v>
      </c>
      <c r="R322" s="162">
        <f ca="1"/>
        <v>8.7500997392806479E-3</v>
      </c>
      <c r="S322" s="162">
        <f ca="1"/>
        <v>0</v>
      </c>
      <c r="T322" s="162">
        <f ca="1"/>
        <v>2.3365100753740542E-2</v>
      </c>
      <c r="U322" s="162">
        <f ca="1"/>
        <v>3.9881317159762841E-2</v>
      </c>
      <c r="V322" s="138">
        <f ca="1"/>
        <v>6.3134206072532284E-2</v>
      </c>
      <c r="W322" s="137">
        <f ca="1"/>
        <v>0</v>
      </c>
      <c r="X322" s="162">
        <f ca="1"/>
        <v>7.1132857205080668E-4</v>
      </c>
      <c r="Y322" s="162">
        <f ca="1"/>
        <v>1.8369318085654784E-3</v>
      </c>
      <c r="Z322" s="162">
        <f ca="1"/>
        <v>4.8635750615072526E-3</v>
      </c>
      <c r="AA322" s="162">
        <f ca="1"/>
        <v>9.2846307174944132E-3</v>
      </c>
      <c r="AB322" s="162">
        <f ca="1"/>
        <v>0</v>
      </c>
      <c r="AC322" s="162">
        <f ca="1"/>
        <v>2.4220867839421678E-2</v>
      </c>
      <c r="AD322" s="162">
        <f ca="1"/>
        <v>4.1047973943989735E-2</v>
      </c>
      <c r="AE322" s="138">
        <f ca="1"/>
        <v>6.4744816599963895E-2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1.2182685522738046E-3</v>
      </c>
      <c r="Q323" s="162">
        <f ca="1"/>
        <v>0</v>
      </c>
      <c r="R323" s="162">
        <f ca="1"/>
        <v>6.5368694224100521E-3</v>
      </c>
      <c r="S323" s="162">
        <f ca="1"/>
        <v>0</v>
      </c>
      <c r="T323" s="162">
        <f ca="1"/>
        <v>1.896630638820096E-2</v>
      </c>
      <c r="U323" s="162">
        <f ca="1"/>
        <v>3.8104201379315028E-2</v>
      </c>
      <c r="V323" s="138">
        <f ca="1"/>
        <v>7.4763972849097082E-2</v>
      </c>
      <c r="W323" s="137">
        <f ca="1"/>
        <v>0</v>
      </c>
      <c r="X323" s="162">
        <f ca="1"/>
        <v>0</v>
      </c>
      <c r="Y323" s="162">
        <f ca="1"/>
        <v>1.4211615652799381E-3</v>
      </c>
      <c r="Z323" s="162">
        <f ca="1"/>
        <v>0</v>
      </c>
      <c r="AA323" s="162">
        <f ca="1"/>
        <v>7.0720605767453648E-3</v>
      </c>
      <c r="AB323" s="162">
        <f ca="1"/>
        <v>0</v>
      </c>
      <c r="AC323" s="162">
        <f ca="1"/>
        <v>1.9825379109620123E-2</v>
      </c>
      <c r="AD323" s="162">
        <f ca="1"/>
        <v>3.9272660447894014E-2</v>
      </c>
      <c r="AE323" s="138">
        <f ca="1"/>
        <v>7.6351312239965718E-2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3.5572789762250423E-4</v>
      </c>
      <c r="P324" s="162">
        <f ca="1"/>
        <v>1.0219611809689777E-3</v>
      </c>
      <c r="Q324" s="162">
        <f ca="1"/>
        <v>3.7619092724474612E-3</v>
      </c>
      <c r="R324" s="162">
        <f ca="1"/>
        <v>8.2505755641008038E-3</v>
      </c>
      <c r="S324" s="162">
        <f ca="1"/>
        <v>0</v>
      </c>
      <c r="T324" s="162">
        <f ca="1"/>
        <v>2.0684925326025505E-2</v>
      </c>
      <c r="U324" s="162">
        <f ca="1"/>
        <v>3.6262024045093488E-2</v>
      </c>
      <c r="V324" s="138">
        <f ca="1"/>
        <v>6.0134024671485098E-2</v>
      </c>
      <c r="W324" s="137">
        <f ca="1"/>
        <v>0</v>
      </c>
      <c r="X324" s="162">
        <f ca="1"/>
        <v>4.7427537457878088E-4</v>
      </c>
      <c r="Y324" s="162">
        <f ca="1"/>
        <v>1.2249221600106885E-3</v>
      </c>
      <c r="Z324" s="162">
        <f ca="1"/>
        <v>4.1316256285031105E-3</v>
      </c>
      <c r="AA324" s="162">
        <f ca="1"/>
        <v>8.7855034063959447E-3</v>
      </c>
      <c r="AB324" s="162">
        <f ca="1"/>
        <v>0</v>
      </c>
      <c r="AC324" s="162">
        <f ca="1"/>
        <v>2.1543132853244051E-2</v>
      </c>
      <c r="AD324" s="162">
        <f ca="1"/>
        <v>3.7432913937551215E-2</v>
      </c>
      <c r="AE324" s="138">
        <f ca="1"/>
        <v>6.1750315745877415E-2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1.0072074913496376E-3</v>
      </c>
      <c r="Q325" s="162">
        <f ca="1"/>
        <v>0</v>
      </c>
      <c r="R325" s="162">
        <f ca="1"/>
        <v>7.0489288444023357E-3</v>
      </c>
      <c r="S325" s="162">
        <f ca="1"/>
        <v>0</v>
      </c>
      <c r="T325" s="162">
        <f ca="1"/>
        <v>1.9397603648567352E-2</v>
      </c>
      <c r="U325" s="162">
        <f ca="1"/>
        <v>3.3579482534716543E-2</v>
      </c>
      <c r="V325" s="138">
        <f ca="1"/>
        <v>5.7164049399899164E-2</v>
      </c>
      <c r="W325" s="137">
        <f ca="1"/>
        <v>0</v>
      </c>
      <c r="X325" s="162">
        <f ca="1"/>
        <v>0</v>
      </c>
      <c r="Y325" s="162">
        <f ca="1"/>
        <v>1.2101454892916585E-3</v>
      </c>
      <c r="Z325" s="162">
        <f ca="1"/>
        <v>0</v>
      </c>
      <c r="AA325" s="162">
        <f ca="1"/>
        <v>7.5838925372135879E-3</v>
      </c>
      <c r="AB325" s="162">
        <f ca="1"/>
        <v>0</v>
      </c>
      <c r="AC325" s="162">
        <f ca="1"/>
        <v>2.0256326292841798E-2</v>
      </c>
      <c r="AD325" s="162">
        <f ca="1"/>
        <v>3.4752639631425719E-2</v>
      </c>
      <c r="AE325" s="138">
        <f ca="1"/>
        <v>5.8783933446531655E-2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6.0303664733204476E-3</v>
      </c>
      <c r="P326" s="162">
        <f ca="1"/>
        <v>1.0308026793227176E-2</v>
      </c>
      <c r="Q326" s="162">
        <f ca="1"/>
        <v>1.8741721288047741E-2</v>
      </c>
      <c r="R326" s="162">
        <f ca="1"/>
        <v>2.971514500592265E-2</v>
      </c>
      <c r="S326" s="162">
        <f ca="1"/>
        <v>0</v>
      </c>
      <c r="T326" s="162">
        <f ca="1"/>
        <v>5.1635101517365056E-2</v>
      </c>
      <c r="U326" s="162">
        <f ca="1"/>
        <v>7.3313678288012829E-2</v>
      </c>
      <c r="V326" s="138">
        <f ca="1"/>
        <v>0.10363511350881216</v>
      </c>
      <c r="W326" s="137">
        <f ca="1"/>
        <v>0</v>
      </c>
      <c r="X326" s="162">
        <f ca="1"/>
        <v>6.1481314623175187E-3</v>
      </c>
      <c r="Y326" s="162">
        <f ca="1"/>
        <v>1.0509042338397667E-2</v>
      </c>
      <c r="Z326" s="162">
        <f ca="1"/>
        <v>1.9105368029357028E-2</v>
      </c>
      <c r="AA326" s="162">
        <f ca="1"/>
        <v>3.0237683666401449E-2</v>
      </c>
      <c r="AB326" s="162">
        <f ca="1"/>
        <v>0</v>
      </c>
      <c r="AC326" s="162">
        <f ca="1"/>
        <v>5.2461004276067258E-2</v>
      </c>
      <c r="AD326" s="162">
        <f ca="1"/>
        <v>7.4432922772694643E-2</v>
      </c>
      <c r="AE326" s="138">
        <f ca="1"/>
        <v>0.10515995113883536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2.4857337565813431E-3</v>
      </c>
      <c r="Q327" s="162">
        <f ca="1"/>
        <v>0</v>
      </c>
      <c r="R327" s="162">
        <f ca="1"/>
        <v>1.3310131509530199E-2</v>
      </c>
      <c r="S327" s="162">
        <f ca="1"/>
        <v>0</v>
      </c>
      <c r="T327" s="162">
        <f ca="1"/>
        <v>4.4136791701462008E-2</v>
      </c>
      <c r="U327" s="162">
        <f ca="1"/>
        <v>6.9549816297618028E-2</v>
      </c>
      <c r="V327" s="138">
        <f ca="1"/>
        <v>0.11007127347130574</v>
      </c>
      <c r="W327" s="137">
        <f ca="1"/>
        <v>0</v>
      </c>
      <c r="X327" s="162">
        <f ca="1"/>
        <v>0</v>
      </c>
      <c r="Y327" s="162">
        <f ca="1"/>
        <v>2.6883474971681753E-3</v>
      </c>
      <c r="Z327" s="162">
        <f ca="1"/>
        <v>0</v>
      </c>
      <c r="AA327" s="162">
        <f ca="1"/>
        <v>1.3841307044265339E-2</v>
      </c>
      <c r="AB327" s="162">
        <f ca="1"/>
        <v>0</v>
      </c>
      <c r="AC327" s="162">
        <f ca="1"/>
        <v>4.4970433208460059E-2</v>
      </c>
      <c r="AD327" s="162">
        <f ca="1"/>
        <v>7.0681210573913411E-2</v>
      </c>
      <c r="AE327" s="138">
        <f ca="1"/>
        <v>0.11161908289660716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8.3576059836709682E-4</v>
      </c>
      <c r="P328" s="162">
        <f ca="1"/>
        <v>1.5395548721748309E-3</v>
      </c>
      <c r="Q328" s="162">
        <f ca="1"/>
        <v>5.6584371039899439E-3</v>
      </c>
      <c r="R328" s="162">
        <f ca="1"/>
        <v>1.2390359607298951E-2</v>
      </c>
      <c r="S328" s="162">
        <f ca="1"/>
        <v>0</v>
      </c>
      <c r="T328" s="162">
        <f ca="1"/>
        <v>3.2290212912128857E-2</v>
      </c>
      <c r="U328" s="162">
        <f ca="1"/>
        <v>5.0895982239534843E-2</v>
      </c>
      <c r="V328" s="138">
        <f ca="1"/>
        <v>8.0686775877188199E-2</v>
      </c>
      <c r="W328" s="137">
        <f ca="1"/>
        <v>0</v>
      </c>
      <c r="X328" s="162">
        <f ca="1"/>
        <v>9.2462830474548952E-4</v>
      </c>
      <c r="Y328" s="162">
        <f ca="1"/>
        <v>1.6916866044287548E-3</v>
      </c>
      <c r="Z328" s="162">
        <f ca="1"/>
        <v>5.9352276207617072E-3</v>
      </c>
      <c r="AA328" s="162">
        <f ca="1"/>
        <v>1.2790055421115332E-2</v>
      </c>
      <c r="AB328" s="162">
        <f ca="1"/>
        <v>0</v>
      </c>
      <c r="AC328" s="162">
        <f ca="1"/>
        <v>3.2925275690992462E-2</v>
      </c>
      <c r="AD328" s="162">
        <f ca="1"/>
        <v>5.1760653335330309E-2</v>
      </c>
      <c r="AE328" s="138">
        <f ca="1"/>
        <v>8.1867434285107121E-2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1.1290008805268092E-3</v>
      </c>
      <c r="P329" s="162">
        <f ca="1"/>
        <v>2.7371325518932288E-3</v>
      </c>
      <c r="Q329" s="162">
        <f ca="1"/>
        <v>7.2587390751942538E-3</v>
      </c>
      <c r="R329" s="162">
        <f ca="1"/>
        <v>1.339749925222955E-2</v>
      </c>
      <c r="S329" s="162">
        <f ca="1"/>
        <v>0</v>
      </c>
      <c r="T329" s="162">
        <f ca="1"/>
        <v>3.0683923567875304E-2</v>
      </c>
      <c r="U329" s="162">
        <f ca="1"/>
        <v>4.9028653805899824E-2</v>
      </c>
      <c r="V329" s="138">
        <f ca="1"/>
        <v>7.6475633187695347E-2</v>
      </c>
      <c r="W329" s="137">
        <f ca="1"/>
        <v>0</v>
      </c>
      <c r="X329" s="162">
        <f ca="1"/>
        <v>1.2178409786779421E-3</v>
      </c>
      <c r="Y329" s="162">
        <f ca="1"/>
        <v>2.8891091996758878E-3</v>
      </c>
      <c r="Z329" s="162">
        <f ca="1"/>
        <v>7.5350568222453118E-3</v>
      </c>
      <c r="AA329" s="162">
        <f ca="1"/>
        <v>1.3796615665525591E-2</v>
      </c>
      <c r="AB329" s="162">
        <f ca="1"/>
        <v>0</v>
      </c>
      <c r="AC329" s="162">
        <f ca="1"/>
        <v>3.1319967432982154E-2</v>
      </c>
      <c r="AD329" s="162">
        <f ca="1"/>
        <v>4.989422178286429E-2</v>
      </c>
      <c r="AE329" s="138">
        <f ca="1"/>
        <v>7.7661973967843911E-2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8.3576059836709682E-4</v>
      </c>
      <c r="P330" s="162">
        <f ca="1"/>
        <v>2.544642766868721E-3</v>
      </c>
      <c r="Q330" s="162">
        <f ca="1"/>
        <v>7.2175708534477634E-3</v>
      </c>
      <c r="R330" s="162">
        <f ca="1"/>
        <v>1.4047964451919692E-2</v>
      </c>
      <c r="S330" s="162">
        <f ca="1"/>
        <v>0</v>
      </c>
      <c r="T330" s="162">
        <f ca="1"/>
        <v>3.2040720649385124E-2</v>
      </c>
      <c r="U330" s="162">
        <f ca="1"/>
        <v>5.1342802500368934E-2</v>
      </c>
      <c r="V330" s="138">
        <f ca="1"/>
        <v>8.0338993976905915E-2</v>
      </c>
      <c r="W330" s="137">
        <f ca="1"/>
        <v>0</v>
      </c>
      <c r="X330" s="162">
        <f ca="1"/>
        <v>9.2462830474548952E-4</v>
      </c>
      <c r="Y330" s="162">
        <f ca="1"/>
        <v>2.6966620652084661E-3</v>
      </c>
      <c r="Z330" s="162">
        <f ca="1"/>
        <v>7.4939331949034349E-3</v>
      </c>
      <c r="AA330" s="162">
        <f ca="1"/>
        <v>1.4446923690302982E-2</v>
      </c>
      <c r="AB330" s="162">
        <f ca="1"/>
        <v>0</v>
      </c>
      <c r="AC330" s="162">
        <f ca="1"/>
        <v>3.2675867139769887E-2</v>
      </c>
      <c r="AD330" s="162">
        <f ca="1"/>
        <v>5.2206335032248141E-2</v>
      </c>
      <c r="AE330" s="138">
        <f ca="1"/>
        <v>8.1519809483968531E-2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9.8683447963099358E-4</v>
      </c>
      <c r="P331" s="162">
        <f ca="1"/>
        <v>2.6484974642914105E-3</v>
      </c>
      <c r="Q331" s="162">
        <f ca="1"/>
        <v>7.2662066720018403E-3</v>
      </c>
      <c r="R331" s="162">
        <f ca="1"/>
        <v>1.3699893957367371E-2</v>
      </c>
      <c r="S331" s="162">
        <f ca="1"/>
        <v>0</v>
      </c>
      <c r="T331" s="162">
        <f ca="1"/>
        <v>3.2054727374754788E-2</v>
      </c>
      <c r="U331" s="162">
        <f ca="1"/>
        <v>5.1456346815638931E-2</v>
      </c>
      <c r="V331" s="138">
        <f ca="1"/>
        <v>8.0338817709700527E-2</v>
      </c>
      <c r="W331" s="137">
        <f ca="1"/>
        <v>0</v>
      </c>
      <c r="X331" s="162">
        <f ca="1"/>
        <v>1.075688023475907E-3</v>
      </c>
      <c r="Y331" s="162">
        <f ca="1"/>
        <v>2.8004942593131688E-3</v>
      </c>
      <c r="Z331" s="162">
        <f ca="1"/>
        <v>7.5425393034563859E-3</v>
      </c>
      <c r="AA331" s="162">
        <f ca="1"/>
        <v>1.4098936156583863E-2</v>
      </c>
      <c r="AB331" s="162">
        <f ca="1"/>
        <v>0</v>
      </c>
      <c r="AC331" s="162">
        <f ca="1"/>
        <v>3.2689794393712002E-2</v>
      </c>
      <c r="AD331" s="162">
        <f ca="1"/>
        <v>5.231982625829168E-2</v>
      </c>
      <c r="AE331" s="138">
        <f ca="1"/>
        <v>8.1519743019021318E-2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9.4240334690909311E-4</v>
      </c>
      <c r="P332" s="162">
        <f ca="1"/>
        <v>2.3405962555131943E-3</v>
      </c>
      <c r="Q332" s="162">
        <f ca="1"/>
        <v>6.9369405865841172E-3</v>
      </c>
      <c r="R332" s="162">
        <f ca="1"/>
        <v>1.3475977531967831E-2</v>
      </c>
      <c r="S332" s="162">
        <f ca="1"/>
        <v>0</v>
      </c>
      <c r="T332" s="162">
        <f ca="1"/>
        <v>3.1410811880867584E-2</v>
      </c>
      <c r="U332" s="162">
        <f ca="1"/>
        <v>4.9985702886686023E-2</v>
      </c>
      <c r="V332" s="138">
        <f ca="1"/>
        <v>7.7760493467207925E-2</v>
      </c>
      <c r="W332" s="137">
        <f ca="1"/>
        <v>0</v>
      </c>
      <c r="X332" s="162">
        <f ca="1"/>
        <v>1.0312610693350432E-3</v>
      </c>
      <c r="Y332" s="162">
        <f ca="1"/>
        <v>2.4926310593684775E-3</v>
      </c>
      <c r="Z332" s="162">
        <f ca="1"/>
        <v>7.2133732194588074E-3</v>
      </c>
      <c r="AA332" s="162">
        <f ca="1"/>
        <v>1.3875148875971743E-2</v>
      </c>
      <c r="AB332" s="162">
        <f ca="1"/>
        <v>0</v>
      </c>
      <c r="AC332" s="162">
        <f ca="1"/>
        <v>3.2046421373683631E-2</v>
      </c>
      <c r="AD332" s="162">
        <f ca="1"/>
        <v>5.0850574055483322E-2</v>
      </c>
      <c r="AE332" s="138">
        <f ca="1"/>
        <v>7.8945147579976838E-2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1.3629392170944055E-3</v>
      </c>
      <c r="P333" s="162">
        <f ca="1"/>
        <v>3.6935035072079847E-3</v>
      </c>
      <c r="Q333" s="162">
        <f ca="1"/>
        <v>1.0467248760520964E-2</v>
      </c>
      <c r="R333" s="162">
        <f ca="1"/>
        <v>1.9028350150834927E-2</v>
      </c>
      <c r="S333" s="162">
        <f ca="1"/>
        <v>0</v>
      </c>
      <c r="T333" s="162">
        <f ca="1"/>
        <v>4.0622714248587655E-2</v>
      </c>
      <c r="U333" s="162">
        <f ca="1"/>
        <v>6.3240914663364123E-2</v>
      </c>
      <c r="V333" s="138">
        <f ca="1"/>
        <v>9.714446317254033E-2</v>
      </c>
      <c r="W333" s="137">
        <f ca="1"/>
        <v>0</v>
      </c>
      <c r="X333" s="162">
        <f ca="1"/>
        <v>1.4813626381441347E-3</v>
      </c>
      <c r="Y333" s="162">
        <f ca="1"/>
        <v>3.8959689190745106E-3</v>
      </c>
      <c r="Z333" s="162">
        <f ca="1"/>
        <v>1.0834575173736871E-2</v>
      </c>
      <c r="AA333" s="162">
        <f ca="1"/>
        <v>1.9557718270047153E-2</v>
      </c>
      <c r="AB333" s="162">
        <f ca="1"/>
        <v>0</v>
      </c>
      <c r="AC333" s="162">
        <f ca="1"/>
        <v>4.1461906631134138E-2</v>
      </c>
      <c r="AD333" s="162">
        <f ca="1"/>
        <v>6.4377932308637198E-2</v>
      </c>
      <c r="AE333" s="138">
        <f ca="1"/>
        <v>9.8689453409355199E-2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1.4488237876403298E-3</v>
      </c>
      <c r="P334" s="162">
        <f ca="1"/>
        <v>2.8051714634845792E-3</v>
      </c>
      <c r="Q334" s="162">
        <f ca="1"/>
        <v>6.2503812746163012E-3</v>
      </c>
      <c r="R334" s="162">
        <f ca="1"/>
        <v>1.1411461080024554E-2</v>
      </c>
      <c r="S334" s="162">
        <f ca="1"/>
        <v>0</v>
      </c>
      <c r="T334" s="162">
        <f ca="1"/>
        <v>3.0937874155155254E-2</v>
      </c>
      <c r="U334" s="162">
        <f ca="1"/>
        <v>4.5531776464209694E-2</v>
      </c>
      <c r="V334" s="138">
        <f ca="1"/>
        <v>7.1621331950577516E-2</v>
      </c>
      <c r="W334" s="137">
        <f ca="1"/>
        <v>0</v>
      </c>
      <c r="X334" s="162">
        <f ca="1"/>
        <v>1.537634582960079E-3</v>
      </c>
      <c r="Y334" s="162">
        <f ca="1"/>
        <v>2.9571191147885756E-3</v>
      </c>
      <c r="Z334" s="162">
        <f ca="1"/>
        <v>6.5268886276813598E-3</v>
      </c>
      <c r="AA334" s="162">
        <f ca="1"/>
        <v>1.1811148306898667E-2</v>
      </c>
      <c r="AB334" s="162">
        <f ca="1"/>
        <v>0</v>
      </c>
      <c r="AC334" s="162">
        <f ca="1"/>
        <v>3.1572930066313787E-2</v>
      </c>
      <c r="AD334" s="162">
        <f ca="1"/>
        <v>4.6400299489488095E-2</v>
      </c>
      <c r="AE334" s="138">
        <f ca="1"/>
        <v>7.281252991587428E-2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3.5491729503193126E-3</v>
      </c>
      <c r="Q335" s="162">
        <f ca="1"/>
        <v>0</v>
      </c>
      <c r="R335" s="162">
        <f ca="1"/>
        <v>1.7605158616959105E-2</v>
      </c>
      <c r="S335" s="162">
        <f ca="1"/>
        <v>0</v>
      </c>
      <c r="T335" s="162">
        <f ca="1"/>
        <v>3.7533097279389249E-2</v>
      </c>
      <c r="U335" s="162">
        <f ca="1"/>
        <v>5.6524969742851372E-2</v>
      </c>
      <c r="V335" s="138">
        <f ca="1"/>
        <v>8.4348094484895109E-2</v>
      </c>
      <c r="W335" s="137">
        <f ca="1"/>
        <v>0</v>
      </c>
      <c r="X335" s="162">
        <f ca="1"/>
        <v>0</v>
      </c>
      <c r="Y335" s="162">
        <f ca="1"/>
        <v>3.7515397744865009E-3</v>
      </c>
      <c r="Z335" s="162">
        <f ca="1"/>
        <v>0</v>
      </c>
      <c r="AA335" s="162">
        <f ca="1"/>
        <v>1.8133481568743948E-2</v>
      </c>
      <c r="AB335" s="162">
        <f ca="1"/>
        <v>0</v>
      </c>
      <c r="AC335" s="162">
        <f ca="1"/>
        <v>3.8374420679829879E-2</v>
      </c>
      <c r="AD335" s="162">
        <f ca="1"/>
        <v>5.7668962099649002E-2</v>
      </c>
      <c r="AE335" s="138">
        <f ca="1"/>
        <v>8.5914727870414764E-2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1.5423844210948889E-3</v>
      </c>
      <c r="Q336" s="162">
        <f ca="1"/>
        <v>0</v>
      </c>
      <c r="R336" s="162">
        <f ca="1"/>
        <v>8.2757264504850214E-3</v>
      </c>
      <c r="S336" s="162">
        <f ca="1"/>
        <v>0</v>
      </c>
      <c r="T336" s="162">
        <f ca="1"/>
        <v>2.4832504767175467E-2</v>
      </c>
      <c r="U336" s="162">
        <f ca="1"/>
        <v>3.9050927637133914E-2</v>
      </c>
      <c r="V336" s="138">
        <f ca="1"/>
        <v>6.2281064420204868E-2</v>
      </c>
      <c r="W336" s="137">
        <f ca="1"/>
        <v>0</v>
      </c>
      <c r="X336" s="162">
        <f ca="1"/>
        <v>0</v>
      </c>
      <c r="Y336" s="162">
        <f ca="1"/>
        <v>1.6945030537176553E-3</v>
      </c>
      <c r="Z336" s="162">
        <f ca="1"/>
        <v>0</v>
      </c>
      <c r="AA336" s="162">
        <f ca="1"/>
        <v>8.6763247423833345E-3</v>
      </c>
      <c r="AB336" s="162">
        <f ca="1"/>
        <v>0</v>
      </c>
      <c r="AC336" s="162">
        <f ca="1"/>
        <v>2.5472316159531383E-2</v>
      </c>
      <c r="AD336" s="162">
        <f ca="1"/>
        <v>3.99256849911509E-2</v>
      </c>
      <c r="AE336" s="138">
        <f ca="1"/>
        <v>6.3486733168461207E-2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4.446401714739423E-4</v>
      </c>
      <c r="P337" s="162">
        <f ca="1"/>
        <v>1.5351601532357373E-3</v>
      </c>
      <c r="Q337" s="162">
        <f ca="1"/>
        <v>4.5019684728005993E-3</v>
      </c>
      <c r="R337" s="162">
        <f ca="1"/>
        <v>9.0395196688718427E-3</v>
      </c>
      <c r="S337" s="162">
        <f ca="1"/>
        <v>0</v>
      </c>
      <c r="T337" s="162">
        <f ca="1"/>
        <v>2.2192257741611598E-2</v>
      </c>
      <c r="U337" s="162">
        <f ca="1"/>
        <v>3.6310517639111417E-2</v>
      </c>
      <c r="V337" s="138">
        <f ca="1"/>
        <v>5.9309103091712334E-2</v>
      </c>
      <c r="W337" s="137">
        <f ca="1"/>
        <v>0</v>
      </c>
      <c r="X337" s="162">
        <f ca="1"/>
        <v>5.3354395477478445E-4</v>
      </c>
      <c r="Y337" s="162">
        <f ca="1"/>
        <v>1.6873212649423097E-3</v>
      </c>
      <c r="Z337" s="162">
        <f ca="1"/>
        <v>4.7790524687831848E-3</v>
      </c>
      <c r="AA337" s="162">
        <f ca="1"/>
        <v>9.4403644986126301E-3</v>
      </c>
      <c r="AB337" s="162">
        <f ca="1"/>
        <v>0</v>
      </c>
      <c r="AC337" s="162">
        <f ca="1"/>
        <v>2.2834546459027605E-2</v>
      </c>
      <c r="AD337" s="162">
        <f ca="1"/>
        <v>3.7187977167651098E-2</v>
      </c>
      <c r="AE337" s="138">
        <f ca="1"/>
        <v>6.0520147899941756E-2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2.7694274065467317E-3</v>
      </c>
      <c r="Q338" s="162">
        <f ca="1"/>
        <v>0</v>
      </c>
      <c r="R338" s="162">
        <f ca="1"/>
        <v>2.0106580383494999E-2</v>
      </c>
      <c r="S338" s="162">
        <f ca="1"/>
        <v>0</v>
      </c>
      <c r="T338" s="162">
        <f ca="1"/>
        <v>3.7781812258830483E-2</v>
      </c>
      <c r="U338" s="162">
        <f ca="1"/>
        <v>5.2233685799574769E-2</v>
      </c>
      <c r="V338" s="138">
        <f ca="1"/>
        <v>7.3785897698673608E-2</v>
      </c>
      <c r="W338" s="137">
        <f ca="1"/>
        <v>0</v>
      </c>
      <c r="X338" s="162">
        <f ca="1"/>
        <v>0</v>
      </c>
      <c r="Y338" s="162">
        <f ca="1"/>
        <v>2.9719764301261442E-3</v>
      </c>
      <c r="Z338" s="162">
        <f ca="1"/>
        <v>0</v>
      </c>
      <c r="AA338" s="162">
        <f ca="1"/>
        <v>2.0633134571198308E-2</v>
      </c>
      <c r="AB338" s="162">
        <f ca="1"/>
        <v>0</v>
      </c>
      <c r="AC338" s="162">
        <f ca="1"/>
        <v>3.8623251279923165E-2</v>
      </c>
      <c r="AD338" s="162">
        <f ca="1"/>
        <v>5.3381667730749816E-2</v>
      </c>
      <c r="AE338" s="138">
        <f ca="1"/>
        <v>7.5369518538218605E-2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1.5667269427421804E-3</v>
      </c>
      <c r="Q339" s="162">
        <f ca="1"/>
        <v>0</v>
      </c>
      <c r="R339" s="162">
        <f ca="1"/>
        <v>1.0311832662130982E-2</v>
      </c>
      <c r="S339" s="162">
        <f ca="1"/>
        <v>0</v>
      </c>
      <c r="T339" s="162">
        <f ca="1"/>
        <v>2.3783282680918449E-2</v>
      </c>
      <c r="U339" s="162">
        <f ca="1"/>
        <v>3.2464014062430713E-2</v>
      </c>
      <c r="V339" s="138">
        <f ca="1"/>
        <v>5.1441020879250843E-2</v>
      </c>
      <c r="W339" s="137">
        <f ca="1"/>
        <v>0</v>
      </c>
      <c r="X339" s="162">
        <f ca="1"/>
        <v>0</v>
      </c>
      <c r="Y339" s="162">
        <f ca="1"/>
        <v>1.7188415208535535E-3</v>
      </c>
      <c r="Z339" s="162">
        <f ca="1"/>
        <v>0</v>
      </c>
      <c r="AA339" s="162">
        <f ca="1"/>
        <v>1.0711512342648111E-2</v>
      </c>
      <c r="AB339" s="162">
        <f ca="1"/>
        <v>0</v>
      </c>
      <c r="AC339" s="162">
        <f ca="1"/>
        <v>2.4423895605787171E-2</v>
      </c>
      <c r="AD339" s="162">
        <f ca="1"/>
        <v>3.3343306914339732E-2</v>
      </c>
      <c r="AE339" s="138">
        <f ca="1"/>
        <v>5.2659650248331302E-2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1.0097445454774201E-3</v>
      </c>
      <c r="Q340" s="162">
        <f ca="1"/>
        <v>0</v>
      </c>
      <c r="R340" s="162">
        <f ca="1"/>
        <v>6.2799607477853625E-3</v>
      </c>
      <c r="S340" s="162">
        <f ca="1"/>
        <v>0</v>
      </c>
      <c r="T340" s="162">
        <f ca="1"/>
        <v>1.7958857770950631E-2</v>
      </c>
      <c r="U340" s="162">
        <f ca="1"/>
        <v>3.2560049272828406E-2</v>
      </c>
      <c r="V340" s="138">
        <f ca="1"/>
        <v>5.7800234508196158E-2</v>
      </c>
      <c r="W340" s="137">
        <f ca="1"/>
        <v>0</v>
      </c>
      <c r="X340" s="162">
        <f ca="1"/>
        <v>0</v>
      </c>
      <c r="Y340" s="162">
        <f ca="1"/>
        <v>1.1619504641212641E-3</v>
      </c>
      <c r="Z340" s="162">
        <f ca="1"/>
        <v>0</v>
      </c>
      <c r="AA340" s="162">
        <f ca="1"/>
        <v>6.6814585959565909E-3</v>
      </c>
      <c r="AB340" s="162">
        <f ca="1"/>
        <v>0</v>
      </c>
      <c r="AC340" s="162">
        <f ca="1"/>
        <v>1.8603620341116289E-2</v>
      </c>
      <c r="AD340" s="162">
        <f ca="1"/>
        <v>3.3440635687161269E-2</v>
      </c>
      <c r="AE340" s="138">
        <f ca="1"/>
        <v>5.9012613667751901E-2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5.92809788134252E-4</v>
      </c>
      <c r="P341" s="162">
        <f ca="1"/>
        <v>1.4278436744080691E-3</v>
      </c>
      <c r="Q341" s="162">
        <f ca="1"/>
        <v>4.1211827516709487E-3</v>
      </c>
      <c r="R341" s="162">
        <f ca="1"/>
        <v>8.7749433701209689E-3</v>
      </c>
      <c r="S341" s="162">
        <f ca="1"/>
        <v>0</v>
      </c>
      <c r="T341" s="162">
        <f ca="1"/>
        <v>2.3390671858469103E-2</v>
      </c>
      <c r="U341" s="162">
        <f ca="1"/>
        <v>4.1243739794954104E-2</v>
      </c>
      <c r="V341" s="138">
        <f ca="1"/>
        <v>7.2806739049033897E-2</v>
      </c>
      <c r="W341" s="137">
        <f ca="1"/>
        <v>0</v>
      </c>
      <c r="X341" s="162">
        <f ca="1"/>
        <v>7.1132857205080668E-4</v>
      </c>
      <c r="Y341" s="162">
        <f ca="1"/>
        <v>1.6307216884168252E-3</v>
      </c>
      <c r="Z341" s="162">
        <f ca="1"/>
        <v>4.4907270290319712E-3</v>
      </c>
      <c r="AA341" s="162">
        <f ca="1"/>
        <v>9.3095430577327942E-3</v>
      </c>
      <c r="AB341" s="162">
        <f ca="1"/>
        <v>0</v>
      </c>
      <c r="AC341" s="162">
        <f ca="1"/>
        <v>2.4246512122205188E-2</v>
      </c>
      <c r="AD341" s="162">
        <f ca="1"/>
        <v>4.2409063829264904E-2</v>
      </c>
      <c r="AE341" s="138">
        <f ca="1"/>
        <v>7.4400204399716729E-2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9.4832761164653778E-4</v>
      </c>
      <c r="P342" s="162">
        <f ca="1"/>
        <v>2.5929284142911513E-3</v>
      </c>
      <c r="Q342" s="162">
        <f ca="1"/>
        <v>6.9942654069580223E-3</v>
      </c>
      <c r="R342" s="162">
        <f ca="1"/>
        <v>1.2522681795566593E-2</v>
      </c>
      <c r="S342" s="162">
        <f ca="1"/>
        <v>0</v>
      </c>
      <c r="T342" s="162">
        <f ca="1"/>
        <v>2.476325355382647E-2</v>
      </c>
      <c r="U342" s="162">
        <f ca="1"/>
        <v>3.923056739983799E-2</v>
      </c>
      <c r="V342" s="138">
        <f ca="1"/>
        <v>6.4452174620303726E-2</v>
      </c>
      <c r="W342" s="137">
        <f ca="1"/>
        <v>0</v>
      </c>
      <c r="X342" s="162">
        <f ca="1"/>
        <v>1.0668027899637389E-3</v>
      </c>
      <c r="Y342" s="162">
        <f ca="1"/>
        <v>2.7955992998581758E-3</v>
      </c>
      <c r="Z342" s="162">
        <f ca="1"/>
        <v>7.3628096018083511E-3</v>
      </c>
      <c r="AA342" s="162">
        <f ca="1"/>
        <v>1.3055263459755606E-2</v>
      </c>
      <c r="AB342" s="162">
        <f ca="1"/>
        <v>0</v>
      </c>
      <c r="AC342" s="162">
        <f ca="1"/>
        <v>2.5617111226641454E-2</v>
      </c>
      <c r="AD342" s="162">
        <f ca="1"/>
        <v>4.0396072812563188E-2</v>
      </c>
      <c r="AE342" s="138">
        <f ca="1"/>
        <v>6.6057974423232246E-2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2.5612243366551768E-3</v>
      </c>
      <c r="Q343" s="162">
        <f ca="1"/>
        <v>0</v>
      </c>
      <c r="R343" s="162">
        <f ca="1"/>
        <v>1.3021638901614896E-2</v>
      </c>
      <c r="S343" s="162">
        <f ca="1"/>
        <v>0</v>
      </c>
      <c r="T343" s="162">
        <f ca="1"/>
        <v>3.385916220452756E-2</v>
      </c>
      <c r="U343" s="162">
        <f ca="1"/>
        <v>6.4736589788023879E-2</v>
      </c>
      <c r="V343" s="138">
        <f ca="1"/>
        <v>8.8582109660898301E-2</v>
      </c>
      <c r="W343" s="137">
        <f ca="1"/>
        <v>0</v>
      </c>
      <c r="X343" s="162">
        <f ca="1"/>
        <v>0</v>
      </c>
      <c r="Y343" s="162">
        <f ca="1"/>
        <v>2.7131682543257707E-3</v>
      </c>
      <c r="Z343" s="162">
        <f ca="1"/>
        <v>0</v>
      </c>
      <c r="AA343" s="162">
        <f ca="1"/>
        <v>1.3419953954922015E-2</v>
      </c>
      <c r="AB343" s="162">
        <f ca="1"/>
        <v>0</v>
      </c>
      <c r="AC343" s="162">
        <f ca="1"/>
        <v>3.4491974973003159E-2</v>
      </c>
      <c r="AD343" s="162">
        <f ca="1"/>
        <v>6.5585482856702737E-2</v>
      </c>
      <c r="AE343" s="138">
        <f ca="1"/>
        <v>8.9755301535783816E-2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4.3667503263318252E-3</v>
      </c>
      <c r="Q344" s="162">
        <f ca="1"/>
        <v>0</v>
      </c>
      <c r="R344" s="162">
        <f ca="1"/>
        <v>1.8696525794989483E-2</v>
      </c>
      <c r="S344" s="162">
        <f ca="1"/>
        <v>0</v>
      </c>
      <c r="T344" s="162">
        <f ca="1"/>
        <v>3.9295843403901465E-2</v>
      </c>
      <c r="U344" s="162">
        <f ca="1"/>
        <v>5.7690389711120504E-2</v>
      </c>
      <c r="V344" s="138">
        <f ca="1"/>
        <v>9.2275539934033701E-2</v>
      </c>
      <c r="W344" s="137">
        <f ca="1"/>
        <v>0</v>
      </c>
      <c r="X344" s="162">
        <f ca="1"/>
        <v>0</v>
      </c>
      <c r="Y344" s="162">
        <f ca="1"/>
        <v>4.5183581863610378E-3</v>
      </c>
      <c r="Z344" s="162">
        <f ca="1"/>
        <v>0</v>
      </c>
      <c r="AA344" s="162">
        <f ca="1"/>
        <v>1.909178423858815E-2</v>
      </c>
      <c r="AB344" s="162">
        <f ca="1"/>
        <v>0</v>
      </c>
      <c r="AC344" s="162">
        <f ca="1"/>
        <v>3.9924481161084602E-2</v>
      </c>
      <c r="AD344" s="162">
        <f ca="1"/>
        <v>5.8546431771982821E-2</v>
      </c>
      <c r="AE344" s="138">
        <f ca="1"/>
        <v>9.3453132172756082E-2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1.0223779689106927E-3</v>
      </c>
      <c r="P345" s="162">
        <f ca="1"/>
        <v>2.5392658669534107E-3</v>
      </c>
      <c r="Q345" s="162">
        <f ca="1"/>
        <v>7.92335505748476E-3</v>
      </c>
      <c r="R345" s="162">
        <f ca="1"/>
        <v>1.5944378159235661E-2</v>
      </c>
      <c r="S345" s="162">
        <f ca="1"/>
        <v>0</v>
      </c>
      <c r="T345" s="162">
        <f ca="1"/>
        <v>3.6693055095085025E-2</v>
      </c>
      <c r="U345" s="162">
        <f ca="1"/>
        <v>5.6993639677602737E-2</v>
      </c>
      <c r="V345" s="138">
        <f ca="1"/>
        <v>8.4860179630760535E-2</v>
      </c>
      <c r="W345" s="137">
        <f ca="1"/>
        <v>0</v>
      </c>
      <c r="X345" s="162">
        <f ca="1"/>
        <v>1.1112281619509723E-3</v>
      </c>
      <c r="Y345" s="162">
        <f ca="1"/>
        <v>2.6912725209089494E-3</v>
      </c>
      <c r="Z345" s="162">
        <f ca="1"/>
        <v>8.1995340578744358E-3</v>
      </c>
      <c r="AA345" s="162">
        <f ca="1"/>
        <v>1.6342667406107125E-2</v>
      </c>
      <c r="AB345" s="162">
        <f ca="1"/>
        <v>0</v>
      </c>
      <c r="AC345" s="162">
        <f ca="1"/>
        <v>3.7324707251759071E-2</v>
      </c>
      <c r="AD345" s="162">
        <f ca="1"/>
        <v>5.7852019008610811E-2</v>
      </c>
      <c r="AE345" s="138">
        <f ca="1"/>
        <v>8.6034774805823E-2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1.3244467857319586E-3</v>
      </c>
      <c r="P346" s="162">
        <f ca="1"/>
        <v>3.3341406588058842E-3</v>
      </c>
      <c r="Q346" s="162">
        <f ca="1"/>
        <v>8.68189572101985E-3</v>
      </c>
      <c r="R346" s="162">
        <f ca="1"/>
        <v>1.6245717171666008E-2</v>
      </c>
      <c r="S346" s="162">
        <f ca="1"/>
        <v>0</v>
      </c>
      <c r="T346" s="162">
        <f ca="1"/>
        <v>3.5203197921656271E-2</v>
      </c>
      <c r="U346" s="162">
        <f ca="1"/>
        <v>5.395711383390156E-2</v>
      </c>
      <c r="V346" s="138">
        <f ca="1"/>
        <v>8.0674866847993187E-2</v>
      </c>
      <c r="W346" s="137">
        <f ca="1"/>
        <v>0</v>
      </c>
      <c r="X346" s="162">
        <f ca="1"/>
        <v>1.4132682094992743E-3</v>
      </c>
      <c r="Y346" s="162">
        <f ca="1"/>
        <v>3.4860353538088695E-3</v>
      </c>
      <c r="Z346" s="162">
        <f ca="1"/>
        <v>8.9578234420061298E-3</v>
      </c>
      <c r="AA346" s="162">
        <f ca="1"/>
        <v>1.6643756435366752E-2</v>
      </c>
      <c r="AB346" s="162">
        <f ca="1"/>
        <v>0</v>
      </c>
      <c r="AC346" s="162">
        <f ca="1"/>
        <v>3.5835866075555889E-2</v>
      </c>
      <c r="AD346" s="162">
        <f ca="1"/>
        <v>5.4817803073837768E-2</v>
      </c>
      <c r="AE346" s="138">
        <f ca="1"/>
        <v>8.1854718627945355E-2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1.2356124592282081E-3</v>
      </c>
      <c r="P347" s="162">
        <f ca="1"/>
        <v>3.1976675558834655E-3</v>
      </c>
      <c r="Q347" s="162">
        <f ca="1"/>
        <v>8.5473825870422404E-3</v>
      </c>
      <c r="R347" s="162">
        <f ca="1"/>
        <v>1.5923937084080242E-2</v>
      </c>
      <c r="S347" s="162">
        <f ca="1"/>
        <v>0</v>
      </c>
      <c r="T347" s="162">
        <f ca="1"/>
        <v>3.5243961654925826E-2</v>
      </c>
      <c r="U347" s="162">
        <f ca="1"/>
        <v>5.4990967507429267E-2</v>
      </c>
      <c r="V347" s="138">
        <f ca="1"/>
        <v>8.494689643814457E-2</v>
      </c>
      <c r="W347" s="137">
        <f ca="1"/>
        <v>0</v>
      </c>
      <c r="X347" s="162">
        <f ca="1"/>
        <v>1.3244423983495013E-3</v>
      </c>
      <c r="Y347" s="162">
        <f ca="1"/>
        <v>3.3495841185975372E-3</v>
      </c>
      <c r="Z347" s="162">
        <f ca="1"/>
        <v>8.8233573917463337E-3</v>
      </c>
      <c r="AA347" s="162">
        <f ca="1"/>
        <v>1.6322109426799014E-2</v>
      </c>
      <c r="AB347" s="162">
        <f ca="1"/>
        <v>0</v>
      </c>
      <c r="AC347" s="162">
        <f ca="1"/>
        <v>3.5876594956818275E-2</v>
      </c>
      <c r="AD347" s="162">
        <f ca="1"/>
        <v>5.5850833338779382E-2</v>
      </c>
      <c r="AE347" s="138">
        <f ca="1"/>
        <v>8.6120448192195109E-2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5.0664248879347396E-3</v>
      </c>
      <c r="Q348" s="162">
        <f ca="1"/>
        <v>0</v>
      </c>
      <c r="R348" s="162">
        <f ca="1"/>
        <v>1.9937791741632571E-2</v>
      </c>
      <c r="S348" s="162">
        <f ca="1"/>
        <v>0</v>
      </c>
      <c r="T348" s="162">
        <f ca="1"/>
        <v>4.4043920937210879E-2</v>
      </c>
      <c r="U348" s="162">
        <f ca="1"/>
        <v>7.0616940614830703E-2</v>
      </c>
      <c r="V348" s="138">
        <f ca="1"/>
        <v>0.1209184122526118</v>
      </c>
      <c r="W348" s="137">
        <f ca="1"/>
        <v>0</v>
      </c>
      <c r="X348" s="162">
        <f ca="1"/>
        <v>0</v>
      </c>
      <c r="Y348" s="162">
        <f ca="1"/>
        <v>5.2684182678314206E-3</v>
      </c>
      <c r="Z348" s="162">
        <f ca="1"/>
        <v>0</v>
      </c>
      <c r="AA348" s="162">
        <f ca="1"/>
        <v>2.0464461865575934E-2</v>
      </c>
      <c r="AB348" s="162">
        <f ca="1"/>
        <v>0</v>
      </c>
      <c r="AC348" s="162">
        <f ca="1"/>
        <v>4.4878285567648946E-2</v>
      </c>
      <c r="AD348" s="162">
        <f ca="1"/>
        <v>7.1743417975360324E-2</v>
      </c>
      <c r="AE348" s="138">
        <f ca="1"/>
        <v>0.12245108221142698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1.0845760447221187E-3</v>
      </c>
      <c r="P349" s="162">
        <f ca="1"/>
        <v>2.7847861615249991E-3</v>
      </c>
      <c r="Q349" s="162">
        <f ca="1"/>
        <v>7.4860115970590835E-3</v>
      </c>
      <c r="R349" s="162">
        <f ca="1"/>
        <v>1.4060020461655331E-2</v>
      </c>
      <c r="S349" s="162">
        <f ca="1"/>
        <v>0</v>
      </c>
      <c r="T349" s="162">
        <f ca="1"/>
        <v>3.2006733294831502E-2</v>
      </c>
      <c r="U349" s="162">
        <f ca="1"/>
        <v>5.0611701115392149E-2</v>
      </c>
      <c r="V349" s="138">
        <f ca="1"/>
        <v>7.8941593920848985E-2</v>
      </c>
      <c r="W349" s="137">
        <f ca="1"/>
        <v>0</v>
      </c>
      <c r="X349" s="162">
        <f ca="1"/>
        <v>1.1734203568184443E-3</v>
      </c>
      <c r="Y349" s="162">
        <f ca="1"/>
        <v>2.9367605388995743E-3</v>
      </c>
      <c r="Z349" s="162">
        <f ca="1"/>
        <v>7.7622763075766432E-3</v>
      </c>
      <c r="AA349" s="162">
        <f ca="1"/>
        <v>1.4458912106194544E-2</v>
      </c>
      <c r="AB349" s="162">
        <f ca="1"/>
        <v>0</v>
      </c>
      <c r="AC349" s="162">
        <f ca="1"/>
        <v>3.2641824742711822E-2</v>
      </c>
      <c r="AD349" s="162">
        <f ca="1"/>
        <v>5.1475802634869283E-2</v>
      </c>
      <c r="AE349" s="138">
        <f ca="1"/>
        <v>8.0124213282140366E-2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1.2622635833557938E-3</v>
      </c>
      <c r="P350" s="162">
        <f ca="1"/>
        <v>2.7023689491373348E-3</v>
      </c>
      <c r="Q350" s="162">
        <f ca="1"/>
        <v>7.4550596416497195E-3</v>
      </c>
      <c r="R350" s="162">
        <f ca="1"/>
        <v>1.3974631894752565E-2</v>
      </c>
      <c r="S350" s="162">
        <f ca="1"/>
        <v>0</v>
      </c>
      <c r="T350" s="162">
        <f ca="1"/>
        <v>3.0626894819626105E-2</v>
      </c>
      <c r="U350" s="162">
        <f ca="1"/>
        <v>4.8174221529529659E-2</v>
      </c>
      <c r="V350" s="138">
        <f ca="1"/>
        <v>7.5066102519882771E-2</v>
      </c>
      <c r="W350" s="137">
        <f ca="1"/>
        <v>0</v>
      </c>
      <c r="X350" s="162">
        <f ca="1"/>
        <v>1.3510909726087705E-3</v>
      </c>
      <c r="Y350" s="162">
        <f ca="1"/>
        <v>2.8543400286595855E-3</v>
      </c>
      <c r="Z350" s="162">
        <f ca="1"/>
        <v>7.7313226540770552E-3</v>
      </c>
      <c r="AA350" s="162">
        <f ca="1"/>
        <v>1.4373546505277557E-2</v>
      </c>
      <c r="AB350" s="162">
        <f ca="1"/>
        <v>0</v>
      </c>
      <c r="AC350" s="162">
        <f ca="1"/>
        <v>3.1262998395350738E-2</v>
      </c>
      <c r="AD350" s="162">
        <f ca="1"/>
        <v>4.9040371697305574E-2</v>
      </c>
      <c r="AE350" s="138">
        <f ca="1"/>
        <v>7.6254095382452092E-2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2.191648536059132E-3</v>
      </c>
      <c r="P351" s="162">
        <f ca="1"/>
        <v>4.2044094475753857E-3</v>
      </c>
      <c r="Q351" s="162">
        <f ca="1"/>
        <v>1.0460488872299001E-2</v>
      </c>
      <c r="R351" s="162">
        <f ca="1"/>
        <v>1.763737862155923E-2</v>
      </c>
      <c r="S351" s="162">
        <f ca="1"/>
        <v>0</v>
      </c>
      <c r="T351" s="162">
        <f ca="1"/>
        <v>3.6083599761741469E-2</v>
      </c>
      <c r="U351" s="162">
        <f ca="1"/>
        <v>5.5878370594035109E-2</v>
      </c>
      <c r="V351" s="138">
        <f ca="1"/>
        <v>8.5297383171299312E-2</v>
      </c>
      <c r="W351" s="137">
        <f ca="1"/>
        <v>0</v>
      </c>
      <c r="X351" s="162">
        <f ca="1"/>
        <v>2.3099654549080251E-3</v>
      </c>
      <c r="Y351" s="162">
        <f ca="1"/>
        <v>4.4067192913296305E-3</v>
      </c>
      <c r="Z351" s="162">
        <f ca="1"/>
        <v>1.0827691311912635E-2</v>
      </c>
      <c r="AA351" s="162">
        <f ca="1"/>
        <v>1.8167164569952599E-2</v>
      </c>
      <c r="AB351" s="162">
        <f ca="1"/>
        <v>0</v>
      </c>
      <c r="AC351" s="162">
        <f ca="1"/>
        <v>3.6926810951268041E-2</v>
      </c>
      <c r="AD351" s="162">
        <f ca="1"/>
        <v>5.7023677232526659E-2</v>
      </c>
      <c r="AE351" s="138">
        <f ca="1"/>
        <v>8.6864129568764437E-2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1.6708510455817338E-3</v>
      </c>
      <c r="P352" s="162">
        <f ca="1"/>
        <v>4.4669184392384098E-3</v>
      </c>
      <c r="Q352" s="162">
        <f ca="1"/>
        <v>1.1980418798851034E-2</v>
      </c>
      <c r="R352" s="162">
        <f ca="1"/>
        <v>2.0199857247801711E-2</v>
      </c>
      <c r="S352" s="162">
        <f ca="1"/>
        <v>0</v>
      </c>
      <c r="T352" s="162">
        <f ca="1"/>
        <v>3.9516761094089414E-2</v>
      </c>
      <c r="U352" s="162">
        <f ca="1"/>
        <v>5.9129815666302599E-2</v>
      </c>
      <c r="V352" s="138">
        <f ca="1"/>
        <v>8.9573736339546017E-2</v>
      </c>
      <c r="W352" s="137">
        <f ca="1"/>
        <v>0</v>
      </c>
      <c r="X352" s="162">
        <f ca="1"/>
        <v>1.7892372075868357E-3</v>
      </c>
      <c r="Y352" s="162">
        <f ca="1"/>
        <v>4.6692388008445773E-3</v>
      </c>
      <c r="Z352" s="162">
        <f ca="1"/>
        <v>1.2347146722935798E-2</v>
      </c>
      <c r="AA352" s="162">
        <f ca="1"/>
        <v>2.0728328022903475E-2</v>
      </c>
      <c r="AB352" s="162">
        <f ca="1"/>
        <v>0</v>
      </c>
      <c r="AC352" s="162">
        <f ca="1"/>
        <v>4.0355964089433871E-2</v>
      </c>
      <c r="AD352" s="162">
        <f ca="1"/>
        <v>6.0269708281169621E-2</v>
      </c>
      <c r="AE352" s="138">
        <f ca="1"/>
        <v>9.1129183648750223E-2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1.208960626934652E-3</v>
      </c>
      <c r="P353" s="162">
        <f ca="1"/>
        <v>3.1417838717772151E-3</v>
      </c>
      <c r="Q353" s="162">
        <f ca="1"/>
        <v>7.6497002546447312E-3</v>
      </c>
      <c r="R353" s="162">
        <f ca="1"/>
        <v>1.5044867185741162E-2</v>
      </c>
      <c r="S353" s="162">
        <f ca="1"/>
        <v>0</v>
      </c>
      <c r="T353" s="162">
        <f ca="1"/>
        <v>3.8356241104500755E-2</v>
      </c>
      <c r="U353" s="162">
        <f ca="1"/>
        <v>6.1397928627981657E-2</v>
      </c>
      <c r="V353" s="138">
        <f ca="1"/>
        <v>9.2517961721003239E-2</v>
      </c>
      <c r="W353" s="137">
        <f ca="1"/>
        <v>0</v>
      </c>
      <c r="X353" s="162">
        <f ca="1"/>
        <v>1.3274033852079814E-3</v>
      </c>
      <c r="Y353" s="162">
        <f ca="1"/>
        <v>3.3443474012293528E-3</v>
      </c>
      <c r="Z353" s="162">
        <f ca="1"/>
        <v>8.0179677597168597E-3</v>
      </c>
      <c r="AA353" s="162">
        <f ca="1"/>
        <v>1.5576264662734429E-2</v>
      </c>
      <c r="AB353" s="162">
        <f ca="1"/>
        <v>0</v>
      </c>
      <c r="AC353" s="162">
        <f ca="1"/>
        <v>3.9197764153212078E-2</v>
      </c>
      <c r="AD353" s="162">
        <f ca="1"/>
        <v>6.2538674214638212E-2</v>
      </c>
      <c r="AE353" s="138">
        <f ca="1"/>
        <v>9.4074119874051454E-2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1.9549443271165146E-3</v>
      </c>
      <c r="P354" s="162">
        <f ca="1"/>
        <v>5.1582575638342565E-3</v>
      </c>
      <c r="Q354" s="162">
        <f ca="1"/>
        <v>1.2021968527421878E-2</v>
      </c>
      <c r="R354" s="162">
        <f ca="1"/>
        <v>1.9098077516489731E-2</v>
      </c>
      <c r="S354" s="162">
        <f ca="1"/>
        <v>0</v>
      </c>
      <c r="T354" s="162">
        <f ca="1"/>
        <v>3.6774760621987812E-2</v>
      </c>
      <c r="U354" s="162">
        <f ca="1"/>
        <v>5.5551001175305204E-2</v>
      </c>
      <c r="V354" s="138">
        <f ca="1"/>
        <v>8.4973800176150638E-2</v>
      </c>
      <c r="W354" s="137">
        <f ca="1"/>
        <v>0</v>
      </c>
      <c r="X354" s="162">
        <f ca="1"/>
        <v>2.0732920928702159E-3</v>
      </c>
      <c r="Y354" s="162">
        <f ca="1"/>
        <v>5.3604427608898719E-3</v>
      </c>
      <c r="Z354" s="162">
        <f ca="1"/>
        <v>1.2388623083622985E-2</v>
      </c>
      <c r="AA354" s="162">
        <f ca="1"/>
        <v>1.9626996347336778E-2</v>
      </c>
      <c r="AB354" s="162">
        <f ca="1"/>
        <v>0</v>
      </c>
      <c r="AC354" s="162">
        <f ca="1"/>
        <v>3.7617036160661255E-2</v>
      </c>
      <c r="AD354" s="162">
        <f ca="1"/>
        <v>5.6695864453331413E-2</v>
      </c>
      <c r="AE354" s="138">
        <f ca="1"/>
        <v>8.6539881734290058E-2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1.2563411725228235E-3</v>
      </c>
      <c r="P355" s="162">
        <f ca="1"/>
        <v>3.4494378236537004E-3</v>
      </c>
      <c r="Q355" s="162">
        <f ca="1"/>
        <v>7.485643069845116E-3</v>
      </c>
      <c r="R355" s="162">
        <f ca="1"/>
        <v>1.3804849549649112E-2</v>
      </c>
      <c r="S355" s="162">
        <f ca="1"/>
        <v>0</v>
      </c>
      <c r="T355" s="162">
        <f ca="1"/>
        <v>3.1992275805848625E-2</v>
      </c>
      <c r="U355" s="162">
        <f ca="1"/>
        <v>5.0928953120612297E-2</v>
      </c>
      <c r="V355" s="138">
        <f ca="1"/>
        <v>7.9367578675347827E-2</v>
      </c>
      <c r="W355" s="137">
        <f ca="1"/>
        <v>0</v>
      </c>
      <c r="X355" s="162">
        <f ca="1"/>
        <v>1.3747779952766326E-3</v>
      </c>
      <c r="Y355" s="162">
        <f ca="1"/>
        <v>3.6519503538919862E-3</v>
      </c>
      <c r="Z355" s="162">
        <f ca="1"/>
        <v>7.8539254242029344E-3</v>
      </c>
      <c r="AA355" s="162">
        <f ca="1"/>
        <v>1.4336719151773036E-2</v>
      </c>
      <c r="AB355" s="162">
        <f ca="1"/>
        <v>0</v>
      </c>
      <c r="AC355" s="162">
        <f ca="1"/>
        <v>3.2839750783862476E-2</v>
      </c>
      <c r="AD355" s="162">
        <f ca="1"/>
        <v>5.2081456741649323E-2</v>
      </c>
      <c r="AE355" s="138">
        <f ca="1"/>
        <v>8.0946971819271241E-2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9.6906226269510842E-4</v>
      </c>
      <c r="P356" s="162">
        <f ca="1"/>
        <v>2.3862102389983209E-3</v>
      </c>
      <c r="Q356" s="162">
        <f ca="1"/>
        <v>6.1374767453997725E-3</v>
      </c>
      <c r="R356" s="162">
        <f ca="1"/>
        <v>1.1151292989965311E-2</v>
      </c>
      <c r="S356" s="162">
        <f ca="1"/>
        <v>0</v>
      </c>
      <c r="T356" s="162">
        <f ca="1"/>
        <v>2.3294032004904763E-2</v>
      </c>
      <c r="U356" s="162">
        <f ca="1"/>
        <v>3.6879482749675896E-2</v>
      </c>
      <c r="V356" s="138">
        <f ca="1"/>
        <v>6.0217353137827057E-2</v>
      </c>
      <c r="W356" s="137">
        <f ca="1"/>
        <v>0</v>
      </c>
      <c r="X356" s="162">
        <f ca="1"/>
        <v>1.0579174792708645E-3</v>
      </c>
      <c r="Y356" s="162">
        <f ca="1"/>
        <v>2.5382379892879836E-3</v>
      </c>
      <c r="Z356" s="162">
        <f ca="1"/>
        <v>6.4140899649413052E-3</v>
      </c>
      <c r="AA356" s="162">
        <f ca="1"/>
        <v>1.1551234593688786E-2</v>
      </c>
      <c r="AB356" s="162">
        <f ca="1"/>
        <v>0</v>
      </c>
      <c r="AC356" s="162">
        <f ca="1"/>
        <v>2.3935272672433006E-2</v>
      </c>
      <c r="AD356" s="162">
        <f ca="1"/>
        <v>3.7755654967862706E-2</v>
      </c>
      <c r="AE356" s="138">
        <f ca="1"/>
        <v>6.1426095388117274E-2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2.0614681370747512E-3</v>
      </c>
      <c r="P357" s="162">
        <f ca="1"/>
        <v>4.2494423433347972E-3</v>
      </c>
      <c r="Q357" s="162">
        <f ca="1"/>
        <v>1.034936936610531E-2</v>
      </c>
      <c r="R357" s="162">
        <f ca="1"/>
        <v>1.8037418403043626E-2</v>
      </c>
      <c r="S357" s="162">
        <f ca="1"/>
        <v>0</v>
      </c>
      <c r="T357" s="162">
        <f ca="1"/>
        <v>3.5141744541859921E-2</v>
      </c>
      <c r="U357" s="162">
        <f ca="1"/>
        <v>5.3971957429586492E-2</v>
      </c>
      <c r="V357" s="138">
        <f ca="1"/>
        <v>8.5657496721443627E-2</v>
      </c>
      <c r="W357" s="137">
        <f ca="1"/>
        <v>0</v>
      </c>
      <c r="X357" s="162">
        <f ca="1"/>
        <v>2.1798020638453819E-3</v>
      </c>
      <c r="Y357" s="162">
        <f ca="1"/>
        <v>4.4517576555793692E-3</v>
      </c>
      <c r="Z357" s="162">
        <f ca="1"/>
        <v>1.0716617060878897E-2</v>
      </c>
      <c r="AA357" s="162">
        <f ca="1"/>
        <v>1.8567061043924027E-2</v>
      </c>
      <c r="AB357" s="162">
        <f ca="1"/>
        <v>0</v>
      </c>
      <c r="AC357" s="162">
        <f ca="1"/>
        <v>3.5985853175364069E-2</v>
      </c>
      <c r="AD357" s="162">
        <f ca="1"/>
        <v>5.5119238106668411E-2</v>
      </c>
      <c r="AE357" s="138">
        <f ca="1"/>
        <v>8.7222838989659324E-2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1.2622635833557938E-3</v>
      </c>
      <c r="P358" s="162">
        <f ca="1"/>
        <v>2.8105541828312708E-3</v>
      </c>
      <c r="Q358" s="162">
        <f ca="1"/>
        <v>7.1382764142413624E-3</v>
      </c>
      <c r="R358" s="162">
        <f ca="1"/>
        <v>1.369100266197254E-2</v>
      </c>
      <c r="S358" s="162">
        <f ca="1"/>
        <v>0</v>
      </c>
      <c r="T358" s="162">
        <f ca="1"/>
        <v>3.2045592651888222E-2</v>
      </c>
      <c r="U358" s="162">
        <f ca="1"/>
        <v>5.0650633048703875E-2</v>
      </c>
      <c r="V358" s="138">
        <f ca="1"/>
        <v>7.7517681923320314E-2</v>
      </c>
      <c r="W358" s="137">
        <f ca="1"/>
        <v>0</v>
      </c>
      <c r="X358" s="162">
        <f ca="1"/>
        <v>1.3510909726087705E-3</v>
      </c>
      <c r="Y358" s="162">
        <f ca="1"/>
        <v>2.9625130342153527E-3</v>
      </c>
      <c r="Z358" s="162">
        <f ca="1"/>
        <v>7.4146073120815448E-3</v>
      </c>
      <c r="AA358" s="162">
        <f ca="1"/>
        <v>1.4090019148581545E-2</v>
      </c>
      <c r="AB358" s="162">
        <f ca="1"/>
        <v>0</v>
      </c>
      <c r="AC358" s="162">
        <f ca="1"/>
        <v>3.2680643120362451E-2</v>
      </c>
      <c r="AD358" s="162">
        <f ca="1"/>
        <v>5.1514818642613203E-2</v>
      </c>
      <c r="AE358" s="138">
        <f ca="1"/>
        <v>7.8702707791697302E-2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2.1918239006518681E-3</v>
      </c>
      <c r="Q359" s="162">
        <f ca="1"/>
        <v>0</v>
      </c>
      <c r="R359" s="162">
        <f ca="1"/>
        <v>9.3146878239676045E-3</v>
      </c>
      <c r="S359" s="162">
        <f ca="1"/>
        <v>0</v>
      </c>
      <c r="T359" s="162">
        <f ca="1"/>
        <v>2.4186312912965358E-2</v>
      </c>
      <c r="U359" s="162">
        <f ca="1"/>
        <v>4.2970532962035457E-2</v>
      </c>
      <c r="V359" s="138">
        <f ca="1"/>
        <v>7.3654248754002394E-2</v>
      </c>
      <c r="W359" s="137">
        <f ca="1"/>
        <v>0</v>
      </c>
      <c r="X359" s="162">
        <f ca="1"/>
        <v>0</v>
      </c>
      <c r="Y359" s="162">
        <f ca="1"/>
        <v>2.3438323649462856E-3</v>
      </c>
      <c r="Z359" s="162">
        <f ca="1"/>
        <v>0</v>
      </c>
      <c r="AA359" s="162">
        <f ca="1"/>
        <v>9.7147685397979133E-3</v>
      </c>
      <c r="AB359" s="162">
        <f ca="1"/>
        <v>0</v>
      </c>
      <c r="AC359" s="162">
        <f ca="1"/>
        <v>2.4826488737022645E-2</v>
      </c>
      <c r="AD359" s="162">
        <f ca="1"/>
        <v>4.3841303254823605E-2</v>
      </c>
      <c r="AE359" s="138">
        <f ca="1"/>
        <v>7.4843088661536106E-2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7.30411561115345E-2</v>
      </c>
      <c r="Q360" s="162">
        <f ca="1"/>
        <v>0</v>
      </c>
      <c r="R360" s="162">
        <f ca="1"/>
        <v>0.15588300026302604</v>
      </c>
      <c r="S360" s="162">
        <f ca="1"/>
        <v>0</v>
      </c>
      <c r="T360" s="162">
        <f ca="1"/>
        <v>0.21142455939093208</v>
      </c>
      <c r="U360" s="162">
        <f ca="1"/>
        <v>0.23911916654561283</v>
      </c>
      <c r="V360" s="138">
        <f ca="1"/>
        <v>0.27274389895681572</v>
      </c>
      <c r="W360" s="137">
        <f ca="1"/>
        <v>0</v>
      </c>
      <c r="X360" s="162">
        <f ca="1"/>
        <v>0</v>
      </c>
      <c r="Y360" s="162">
        <f ca="1"/>
        <v>7.3229453076271489E-2</v>
      </c>
      <c r="Z360" s="162">
        <f ca="1"/>
        <v>0</v>
      </c>
      <c r="AA360" s="162">
        <f ca="1"/>
        <v>0.15633468770063075</v>
      </c>
      <c r="AB360" s="162">
        <f ca="1"/>
        <v>0</v>
      </c>
      <c r="AC360" s="162">
        <f ca="1"/>
        <v>0.21210228429028632</v>
      </c>
      <c r="AD360" s="162">
        <f ca="1"/>
        <v>0.24000634323092773</v>
      </c>
      <c r="AE360" s="138">
        <f ca="1"/>
        <v>0.27392172918813784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3.5491729503193126E-3</v>
      </c>
      <c r="Q361" s="162">
        <f ca="1"/>
        <v>0</v>
      </c>
      <c r="R361" s="162">
        <f ca="1"/>
        <v>1.4869154000782703E-2</v>
      </c>
      <c r="S361" s="162">
        <f ca="1"/>
        <v>0</v>
      </c>
      <c r="T361" s="162">
        <f ca="1"/>
        <v>2.9966696444775898E-2</v>
      </c>
      <c r="U361" s="162">
        <f ca="1"/>
        <v>4.1643215121322519E-2</v>
      </c>
      <c r="V361" s="138">
        <f ca="1"/>
        <v>6.1180774901726798E-2</v>
      </c>
      <c r="W361" s="137">
        <f ca="1"/>
        <v>0</v>
      </c>
      <c r="X361" s="162">
        <f ca="1"/>
        <v>0</v>
      </c>
      <c r="Y361" s="162">
        <f ca="1"/>
        <v>3.7515397744865009E-3</v>
      </c>
      <c r="Z361" s="162">
        <f ca="1"/>
        <v>0</v>
      </c>
      <c r="AA361" s="162">
        <f ca="1"/>
        <v>1.5399260584782581E-2</v>
      </c>
      <c r="AB361" s="162">
        <f ca="1"/>
        <v>0</v>
      </c>
      <c r="AC361" s="162">
        <f ca="1"/>
        <v>3.0815049255221716E-2</v>
      </c>
      <c r="AD361" s="162">
        <f ca="1"/>
        <v>4.2803891397060978E-2</v>
      </c>
      <c r="AE361" s="138">
        <f ca="1"/>
        <v>6.2787868329003182E-2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0">
      <c r="A362" s="470">
        <v>351</v>
      </c>
      <c r="B362" s="463" t="s">
        <v>510</v>
      </c>
      <c r="C362" s="469">
        <v>0.4</v>
      </c>
      <c r="D362" s="471" t="s">
        <v>66</v>
      </c>
      <c r="K362" s="467">
        <v>8.7500000000000008E-3</v>
      </c>
    </row>
    <row r="363" spans="1:50">
      <c r="A363" s="470">
        <v>352</v>
      </c>
      <c r="B363" s="464" t="s">
        <v>511</v>
      </c>
      <c r="C363" s="469">
        <v>0.4</v>
      </c>
      <c r="D363" s="472" t="s">
        <v>66</v>
      </c>
      <c r="K363" s="467">
        <v>1.6250000000000001E-2</v>
      </c>
    </row>
    <row r="364" spans="1:50">
      <c r="A364" s="470">
        <v>353</v>
      </c>
      <c r="B364" s="465" t="s">
        <v>512</v>
      </c>
      <c r="C364" s="469">
        <v>0.4</v>
      </c>
      <c r="D364" s="472" t="s">
        <v>66</v>
      </c>
      <c r="K364" s="467">
        <v>1.6250000000000001E-2</v>
      </c>
    </row>
    <row r="365" spans="1:50">
      <c r="A365" s="470">
        <v>354</v>
      </c>
      <c r="B365" s="465" t="s">
        <v>513</v>
      </c>
      <c r="C365" s="469">
        <v>0.4</v>
      </c>
      <c r="D365" s="472" t="s">
        <v>66</v>
      </c>
      <c r="K365" s="467">
        <v>1.7500000000000002E-2</v>
      </c>
    </row>
    <row r="366" spans="1:50">
      <c r="A366" s="470">
        <v>355</v>
      </c>
      <c r="B366" s="465" t="s">
        <v>514</v>
      </c>
      <c r="C366" s="469">
        <v>0.4</v>
      </c>
      <c r="D366" s="472" t="s">
        <v>66</v>
      </c>
      <c r="K366" s="467">
        <v>1.2500000000000001E-2</v>
      </c>
    </row>
    <row r="367" spans="1:50">
      <c r="A367" s="470">
        <v>356</v>
      </c>
      <c r="B367" s="465" t="s">
        <v>515</v>
      </c>
      <c r="C367" s="469">
        <v>0.4</v>
      </c>
      <c r="D367" s="472" t="s">
        <v>67</v>
      </c>
      <c r="K367" s="467">
        <v>3.4000000000000002E-2</v>
      </c>
    </row>
    <row r="368" spans="1:50">
      <c r="A368" s="470">
        <v>357</v>
      </c>
      <c r="B368" s="465" t="s">
        <v>516</v>
      </c>
      <c r="C368" s="469">
        <v>0.4</v>
      </c>
      <c r="D368" s="472" t="s">
        <v>66</v>
      </c>
      <c r="K368" s="467">
        <v>1.375E-2</v>
      </c>
    </row>
    <row r="369" spans="1:11">
      <c r="A369" s="470">
        <v>358</v>
      </c>
      <c r="B369" s="465" t="s">
        <v>517</v>
      </c>
      <c r="C369" s="469">
        <v>0.4</v>
      </c>
      <c r="D369" s="472" t="s">
        <v>67</v>
      </c>
      <c r="K369" s="467">
        <v>3.85E-2</v>
      </c>
    </row>
    <row r="370" spans="1:11">
      <c r="A370" s="470">
        <v>359</v>
      </c>
      <c r="B370" s="465" t="s">
        <v>518</v>
      </c>
      <c r="C370" s="469">
        <v>0.4</v>
      </c>
      <c r="D370" s="472" t="s">
        <v>66</v>
      </c>
      <c r="K370" s="467">
        <v>1.6250000000000001E-2</v>
      </c>
    </row>
    <row r="371" spans="1:11">
      <c r="A371" s="470">
        <v>360</v>
      </c>
      <c r="B371" s="465" t="s">
        <v>519</v>
      </c>
      <c r="C371" s="469">
        <v>0.4</v>
      </c>
      <c r="D371" s="472" t="s">
        <v>66</v>
      </c>
      <c r="K371" s="467">
        <v>3.7499999999999999E-3</v>
      </c>
    </row>
    <row r="372" spans="1:11">
      <c r="A372" s="470">
        <v>361</v>
      </c>
      <c r="B372" s="465" t="s">
        <v>520</v>
      </c>
      <c r="C372" s="469">
        <v>0.4</v>
      </c>
      <c r="D372" s="472" t="s">
        <v>66</v>
      </c>
      <c r="K372" s="467">
        <v>0.01</v>
      </c>
    </row>
    <row r="373" spans="1:11">
      <c r="A373" s="470">
        <v>362</v>
      </c>
      <c r="B373" s="465" t="s">
        <v>521</v>
      </c>
      <c r="C373" s="469">
        <v>0.4</v>
      </c>
      <c r="D373" s="472" t="s">
        <v>66</v>
      </c>
      <c r="K373" s="467">
        <v>3.3750000000000002E-2</v>
      </c>
    </row>
    <row r="374" spans="1:11">
      <c r="A374" s="470">
        <v>363</v>
      </c>
      <c r="B374" s="465" t="s">
        <v>522</v>
      </c>
      <c r="C374" s="469">
        <v>0.4</v>
      </c>
      <c r="D374" s="472" t="s">
        <v>66</v>
      </c>
      <c r="K374" s="467">
        <v>1.2500000000000001E-2</v>
      </c>
    </row>
    <row r="375" spans="1:11">
      <c r="A375" s="470">
        <v>364</v>
      </c>
      <c r="B375" s="465" t="s">
        <v>523</v>
      </c>
      <c r="C375" s="469">
        <v>0.4</v>
      </c>
      <c r="D375" s="472" t="s">
        <v>66</v>
      </c>
      <c r="K375" s="467">
        <v>0.01</v>
      </c>
    </row>
    <row r="376" spans="1:11">
      <c r="A376" s="470">
        <v>365</v>
      </c>
      <c r="B376" s="465" t="s">
        <v>524</v>
      </c>
      <c r="C376" s="469">
        <v>0.4</v>
      </c>
      <c r="D376" s="472" t="s">
        <v>66</v>
      </c>
      <c r="K376" s="467">
        <v>8.7500000000000008E-3</v>
      </c>
    </row>
    <row r="377" spans="1:11">
      <c r="A377" s="470">
        <v>366</v>
      </c>
      <c r="B377" s="465" t="s">
        <v>525</v>
      </c>
      <c r="C377" s="469">
        <v>0.4</v>
      </c>
      <c r="D377" s="472" t="s">
        <v>66</v>
      </c>
      <c r="K377" s="467">
        <v>5.0000000000000001E-3</v>
      </c>
    </row>
    <row r="378" spans="1:11">
      <c r="A378" s="470">
        <v>367</v>
      </c>
      <c r="B378" s="465" t="s">
        <v>526</v>
      </c>
      <c r="C378" s="469">
        <v>0.4</v>
      </c>
      <c r="D378" s="472" t="s">
        <v>66</v>
      </c>
      <c r="K378" s="467">
        <v>3.4000000000000002E-2</v>
      </c>
    </row>
    <row r="379" spans="1:11">
      <c r="A379" s="470">
        <v>368</v>
      </c>
      <c r="B379" s="465" t="s">
        <v>527</v>
      </c>
      <c r="C379" s="469">
        <v>0.4</v>
      </c>
      <c r="D379" s="472" t="s">
        <v>66</v>
      </c>
      <c r="K379" s="467">
        <v>2.5000000000000001E-2</v>
      </c>
    </row>
    <row r="380" spans="1:11">
      <c r="A380" s="470">
        <v>369</v>
      </c>
      <c r="B380" s="465" t="s">
        <v>528</v>
      </c>
      <c r="C380" s="469">
        <v>0.4</v>
      </c>
      <c r="D380" s="472" t="s">
        <v>66</v>
      </c>
      <c r="K380" s="467">
        <v>1.375E-2</v>
      </c>
    </row>
    <row r="381" spans="1:11">
      <c r="A381" s="470">
        <v>370</v>
      </c>
      <c r="B381" s="465" t="s">
        <v>529</v>
      </c>
      <c r="C381" s="469">
        <v>0.4</v>
      </c>
      <c r="D381" s="472" t="s">
        <v>66</v>
      </c>
      <c r="K381" s="467">
        <v>0.01</v>
      </c>
    </row>
    <row r="382" spans="1:11">
      <c r="A382" s="470">
        <v>371</v>
      </c>
      <c r="B382" s="465" t="s">
        <v>530</v>
      </c>
      <c r="C382" s="469">
        <v>0.4</v>
      </c>
      <c r="D382" s="472" t="s">
        <v>66</v>
      </c>
      <c r="K382" s="467">
        <v>1.375E-2</v>
      </c>
    </row>
    <row r="383" spans="1:11">
      <c r="A383" s="470">
        <v>372</v>
      </c>
      <c r="B383" s="465" t="s">
        <v>531</v>
      </c>
      <c r="C383" s="469">
        <v>0.4</v>
      </c>
      <c r="D383" s="472" t="s">
        <v>66</v>
      </c>
      <c r="K383" s="467">
        <v>1.125E-2</v>
      </c>
    </row>
    <row r="384" spans="1:11">
      <c r="A384" s="470">
        <v>373</v>
      </c>
      <c r="B384" s="465" t="s">
        <v>532</v>
      </c>
      <c r="C384" s="469">
        <v>0.4</v>
      </c>
      <c r="D384" s="472" t="s">
        <v>66</v>
      </c>
      <c r="K384" s="467">
        <v>7.4999999999999997E-3</v>
      </c>
    </row>
    <row r="385" spans="1:11">
      <c r="A385" s="470">
        <v>374</v>
      </c>
      <c r="B385" s="465" t="s">
        <v>533</v>
      </c>
      <c r="C385" s="469">
        <v>0.4</v>
      </c>
      <c r="D385" s="472" t="s">
        <v>66</v>
      </c>
      <c r="K385" s="467">
        <v>0.04</v>
      </c>
    </row>
    <row r="386" spans="1:11">
      <c r="A386" s="470">
        <v>375</v>
      </c>
      <c r="B386" s="465" t="s">
        <v>534</v>
      </c>
      <c r="C386" s="469">
        <v>0.4</v>
      </c>
      <c r="D386" s="472" t="s">
        <v>66</v>
      </c>
      <c r="K386" s="467">
        <v>7.4999999999999997E-3</v>
      </c>
    </row>
    <row r="387" spans="1:11">
      <c r="A387" s="470">
        <v>376</v>
      </c>
      <c r="B387" s="465" t="s">
        <v>535</v>
      </c>
      <c r="C387" s="469">
        <v>0.4</v>
      </c>
      <c r="D387" s="472" t="s">
        <v>66</v>
      </c>
      <c r="K387" s="467">
        <v>3.7499999999999999E-2</v>
      </c>
    </row>
    <row r="388" spans="1:11">
      <c r="A388" s="470">
        <v>377</v>
      </c>
      <c r="B388" s="465" t="s">
        <v>536</v>
      </c>
      <c r="C388" s="469">
        <v>0.4</v>
      </c>
      <c r="D388" s="472" t="s">
        <v>66</v>
      </c>
      <c r="K388" s="467">
        <v>3.7499999999999999E-2</v>
      </c>
    </row>
    <row r="389" spans="1:11">
      <c r="A389" s="470">
        <v>378</v>
      </c>
      <c r="B389" s="465" t="s">
        <v>537</v>
      </c>
      <c r="C389" s="469">
        <v>0.4</v>
      </c>
      <c r="D389" s="472" t="s">
        <v>66</v>
      </c>
      <c r="K389" s="467">
        <v>2.375E-2</v>
      </c>
    </row>
    <row r="390" spans="1:11">
      <c r="A390" s="470">
        <v>379</v>
      </c>
      <c r="B390" s="465" t="s">
        <v>538</v>
      </c>
      <c r="C390" s="469">
        <v>0.4</v>
      </c>
      <c r="D390" s="472" t="s">
        <v>66</v>
      </c>
      <c r="K390" s="467">
        <v>2.375E-2</v>
      </c>
    </row>
    <row r="391" spans="1:11">
      <c r="A391" s="470">
        <v>380</v>
      </c>
      <c r="B391" s="465" t="s">
        <v>539</v>
      </c>
      <c r="C391" s="469">
        <v>0.4</v>
      </c>
      <c r="D391" s="472" t="s">
        <v>66</v>
      </c>
      <c r="K391" s="467">
        <v>6.2500000000000003E-3</v>
      </c>
    </row>
    <row r="392" spans="1:11">
      <c r="A392" s="470">
        <v>381</v>
      </c>
      <c r="B392" s="465" t="s">
        <v>540</v>
      </c>
      <c r="C392" s="469">
        <v>0.4</v>
      </c>
      <c r="D392" s="472" t="s">
        <v>66</v>
      </c>
      <c r="K392" s="467">
        <v>2.75E-2</v>
      </c>
    </row>
    <row r="393" spans="1:11">
      <c r="A393" s="470">
        <v>382</v>
      </c>
      <c r="B393" s="465" t="s">
        <v>541</v>
      </c>
      <c r="C393" s="469">
        <v>0.4</v>
      </c>
      <c r="D393" s="473"/>
      <c r="K393" s="467"/>
    </row>
    <row r="394" spans="1:11">
      <c r="A394" s="470">
        <v>383</v>
      </c>
      <c r="B394" s="465" t="s">
        <v>542</v>
      </c>
      <c r="C394" s="469">
        <v>0.4</v>
      </c>
      <c r="D394" s="472" t="s">
        <v>66</v>
      </c>
      <c r="K394" s="467">
        <v>3.875E-2</v>
      </c>
    </row>
    <row r="395" spans="1:11">
      <c r="A395" s="470">
        <v>384</v>
      </c>
      <c r="B395" s="465" t="s">
        <v>543</v>
      </c>
      <c r="C395" s="469">
        <v>0.4</v>
      </c>
      <c r="D395" s="472" t="s">
        <v>66</v>
      </c>
      <c r="K395" s="467">
        <v>3.875E-2</v>
      </c>
    </row>
    <row r="396" spans="1:11">
      <c r="A396" s="470">
        <v>385</v>
      </c>
      <c r="B396" s="465" t="s">
        <v>544</v>
      </c>
      <c r="C396" s="469">
        <v>0.4</v>
      </c>
      <c r="D396" s="472" t="s">
        <v>66</v>
      </c>
      <c r="K396" s="467">
        <v>0.03</v>
      </c>
    </row>
    <row r="397" spans="1:11">
      <c r="A397" s="470">
        <v>386</v>
      </c>
      <c r="B397" s="465" t="s">
        <v>545</v>
      </c>
      <c r="C397" s="469">
        <v>0.4</v>
      </c>
      <c r="D397" s="472" t="s">
        <v>66</v>
      </c>
      <c r="K397" s="467">
        <v>1.7500000000000002E-2</v>
      </c>
    </row>
    <row r="398" spans="1:11">
      <c r="A398" s="470">
        <v>387</v>
      </c>
      <c r="B398" s="465" t="s">
        <v>546</v>
      </c>
      <c r="C398" s="469">
        <v>0.4</v>
      </c>
      <c r="D398" s="472" t="s">
        <v>66</v>
      </c>
      <c r="K398" s="467">
        <v>2.5000000000000001E-2</v>
      </c>
    </row>
    <row r="399" spans="1:11">
      <c r="A399" s="470">
        <v>388</v>
      </c>
      <c r="B399" s="465" t="s">
        <v>547</v>
      </c>
      <c r="C399" s="469">
        <v>0.4</v>
      </c>
      <c r="D399" s="472" t="s">
        <v>66</v>
      </c>
      <c r="K399" s="467">
        <v>1.15E-2</v>
      </c>
    </row>
    <row r="400" spans="1:11">
      <c r="A400" s="470">
        <v>389</v>
      </c>
      <c r="B400" s="465" t="s">
        <v>548</v>
      </c>
      <c r="C400" s="469">
        <v>0.4</v>
      </c>
      <c r="D400" s="472" t="s">
        <v>66</v>
      </c>
      <c r="K400" s="467">
        <v>2.75E-2</v>
      </c>
    </row>
    <row r="401" spans="1:12">
      <c r="A401" s="470">
        <v>390</v>
      </c>
      <c r="B401" s="465" t="s">
        <v>549</v>
      </c>
      <c r="C401" s="469">
        <v>0.4</v>
      </c>
      <c r="D401" s="472" t="s">
        <v>66</v>
      </c>
      <c r="K401" s="467">
        <v>1.2500000000000001E-2</v>
      </c>
    </row>
    <row r="402" spans="1:12">
      <c r="A402" s="470">
        <v>391</v>
      </c>
      <c r="B402" s="465" t="s">
        <v>550</v>
      </c>
      <c r="C402" s="469">
        <v>0.4</v>
      </c>
      <c r="D402" s="472" t="s">
        <v>66</v>
      </c>
      <c r="K402" s="467">
        <v>0.02</v>
      </c>
    </row>
    <row r="403" spans="1:12">
      <c r="A403" s="470">
        <v>392</v>
      </c>
      <c r="B403" s="465" t="s">
        <v>551</v>
      </c>
      <c r="C403" s="469">
        <v>0.4</v>
      </c>
      <c r="D403" s="472" t="s">
        <v>67</v>
      </c>
      <c r="K403" s="467">
        <v>1.375E-2</v>
      </c>
    </row>
    <row r="404" spans="1:12">
      <c r="A404" s="470">
        <v>393</v>
      </c>
      <c r="B404" s="465" t="s">
        <v>552</v>
      </c>
      <c r="C404" s="469">
        <v>0.4</v>
      </c>
      <c r="D404" s="472" t="s">
        <v>607</v>
      </c>
      <c r="K404" s="467">
        <v>1.2500000000000001E-2</v>
      </c>
      <c r="L404" t="s">
        <v>608</v>
      </c>
    </row>
    <row r="405" spans="1:12">
      <c r="A405" s="470">
        <v>394</v>
      </c>
      <c r="B405" s="465" t="s">
        <v>553</v>
      </c>
      <c r="C405" s="469">
        <v>0.4</v>
      </c>
      <c r="D405" s="472" t="s">
        <v>66</v>
      </c>
      <c r="K405" s="467">
        <v>1.2500000000000001E-2</v>
      </c>
    </row>
    <row r="406" spans="1:12">
      <c r="A406" s="470">
        <v>395</v>
      </c>
      <c r="B406" s="465" t="s">
        <v>554</v>
      </c>
      <c r="C406" s="469">
        <v>0.4</v>
      </c>
      <c r="D406" s="472" t="s">
        <v>67</v>
      </c>
      <c r="K406" s="467">
        <v>6.8750000000000006E-2</v>
      </c>
    </row>
    <row r="407" spans="1:12">
      <c r="A407" s="470">
        <v>396</v>
      </c>
      <c r="B407" s="465" t="s">
        <v>555</v>
      </c>
      <c r="C407" s="469">
        <v>0.4</v>
      </c>
      <c r="D407" s="472" t="s">
        <v>66</v>
      </c>
      <c r="K407" s="467">
        <v>5.0000000000000001E-3</v>
      </c>
    </row>
    <row r="408" spans="1:12">
      <c r="A408" s="470">
        <v>397</v>
      </c>
      <c r="B408" s="465" t="s">
        <v>556</v>
      </c>
      <c r="C408" s="469">
        <v>0.4</v>
      </c>
      <c r="D408" s="472" t="s">
        <v>66</v>
      </c>
      <c r="K408" s="467">
        <v>2.375E-2</v>
      </c>
    </row>
    <row r="409" spans="1:12">
      <c r="A409" s="470">
        <v>398</v>
      </c>
      <c r="B409" s="465" t="s">
        <v>557</v>
      </c>
      <c r="C409" s="469">
        <v>0.4</v>
      </c>
      <c r="D409" s="473"/>
      <c r="K409" s="467"/>
    </row>
    <row r="410" spans="1:12">
      <c r="A410" s="470">
        <v>399</v>
      </c>
      <c r="B410" s="465" t="s">
        <v>558</v>
      </c>
      <c r="C410" s="469">
        <v>0.4</v>
      </c>
      <c r="D410" s="472" t="s">
        <v>66</v>
      </c>
      <c r="K410" s="467">
        <v>8.7500000000000008E-3</v>
      </c>
    </row>
    <row r="411" spans="1:12">
      <c r="A411" s="470">
        <v>400</v>
      </c>
      <c r="B411" s="465" t="s">
        <v>559</v>
      </c>
      <c r="C411" s="469">
        <v>0.4</v>
      </c>
      <c r="D411" s="472" t="s">
        <v>607</v>
      </c>
      <c r="K411" s="467">
        <v>3.6249999999999998E-2</v>
      </c>
      <c r="L411" t="s">
        <v>608</v>
      </c>
    </row>
    <row r="412" spans="1:12">
      <c r="A412" s="470">
        <v>401</v>
      </c>
      <c r="B412" s="465" t="s">
        <v>560</v>
      </c>
      <c r="C412" s="469">
        <v>0.4</v>
      </c>
      <c r="D412" s="472" t="s">
        <v>66</v>
      </c>
      <c r="K412" s="467">
        <v>1.125E-2</v>
      </c>
    </row>
    <row r="413" spans="1:12">
      <c r="A413" s="470">
        <v>402</v>
      </c>
      <c r="B413" s="465" t="s">
        <v>561</v>
      </c>
      <c r="C413" s="469">
        <v>0.4</v>
      </c>
      <c r="D413" s="472" t="s">
        <v>66</v>
      </c>
      <c r="K413" s="467">
        <v>5.1249999999999997E-2</v>
      </c>
    </row>
    <row r="414" spans="1:12">
      <c r="A414" s="470">
        <v>403</v>
      </c>
      <c r="B414" s="465" t="s">
        <v>562</v>
      </c>
      <c r="C414" s="469">
        <v>0.4</v>
      </c>
      <c r="D414" s="472" t="s">
        <v>67</v>
      </c>
      <c r="K414" s="467">
        <v>0.15</v>
      </c>
    </row>
    <row r="415" spans="1:12">
      <c r="A415" s="470">
        <v>404</v>
      </c>
      <c r="B415" s="465" t="s">
        <v>563</v>
      </c>
      <c r="C415" s="469">
        <v>0.4</v>
      </c>
      <c r="D415" s="472" t="s">
        <v>66</v>
      </c>
      <c r="K415" s="467">
        <v>1.4999999999999999E-2</v>
      </c>
    </row>
    <row r="416" spans="1:12">
      <c r="A416" s="470">
        <v>405</v>
      </c>
      <c r="B416" s="465" t="s">
        <v>564</v>
      </c>
      <c r="C416" s="469">
        <v>0.4</v>
      </c>
      <c r="D416" s="472" t="s">
        <v>66</v>
      </c>
      <c r="K416" s="467">
        <v>3.2500000000000001E-2</v>
      </c>
    </row>
    <row r="417" spans="1:11">
      <c r="A417" s="470">
        <v>406</v>
      </c>
      <c r="B417" s="465" t="s">
        <v>565</v>
      </c>
      <c r="C417" s="469">
        <v>0.4</v>
      </c>
      <c r="D417" s="472" t="s">
        <v>66</v>
      </c>
      <c r="K417" s="467">
        <v>5.7099999999999998E-3</v>
      </c>
    </row>
    <row r="418" spans="1:11">
      <c r="A418" s="470">
        <v>407</v>
      </c>
      <c r="B418" s="465" t="s">
        <v>566</v>
      </c>
      <c r="C418" s="469">
        <v>0.4</v>
      </c>
      <c r="D418" s="472" t="s">
        <v>66</v>
      </c>
      <c r="K418" s="467">
        <v>0.01</v>
      </c>
    </row>
    <row r="419" spans="1:11">
      <c r="A419" s="470">
        <v>408</v>
      </c>
      <c r="B419" s="465" t="s">
        <v>567</v>
      </c>
      <c r="C419" s="469">
        <v>0.4</v>
      </c>
      <c r="D419" s="472" t="s">
        <v>66</v>
      </c>
      <c r="K419" s="467">
        <v>3.3750000000000002E-2</v>
      </c>
    </row>
    <row r="420" spans="1:11">
      <c r="A420" s="470">
        <v>409</v>
      </c>
      <c r="B420" s="465" t="s">
        <v>568</v>
      </c>
      <c r="C420" s="469">
        <v>0.4</v>
      </c>
      <c r="D420" s="472" t="s">
        <v>66</v>
      </c>
      <c r="K420" s="467">
        <v>2.5000000000000001E-2</v>
      </c>
    </row>
    <row r="421" spans="1:11">
      <c r="A421" s="470">
        <v>410</v>
      </c>
      <c r="B421" s="465" t="s">
        <v>569</v>
      </c>
      <c r="C421" s="469">
        <v>0.4</v>
      </c>
      <c r="D421" s="472" t="s">
        <v>66</v>
      </c>
      <c r="K421" s="467">
        <v>1.7500000000000002E-2</v>
      </c>
    </row>
    <row r="422" spans="1:11">
      <c r="A422" s="470">
        <v>411</v>
      </c>
      <c r="B422" s="465" t="s">
        <v>570</v>
      </c>
      <c r="C422" s="469">
        <v>0.4</v>
      </c>
      <c r="D422" s="472" t="s">
        <v>66</v>
      </c>
      <c r="K422" s="467">
        <v>2.972E-2</v>
      </c>
    </row>
    <row r="423" spans="1:11">
      <c r="A423" s="470">
        <v>412</v>
      </c>
      <c r="B423" s="465" t="s">
        <v>571</v>
      </c>
      <c r="C423" s="469">
        <v>0.4</v>
      </c>
      <c r="D423" s="472" t="s">
        <v>66</v>
      </c>
      <c r="K423" s="467">
        <v>4.3749999999999997E-2</v>
      </c>
    </row>
    <row r="424" spans="1:11">
      <c r="A424" s="470">
        <v>413</v>
      </c>
      <c r="B424" s="465" t="s">
        <v>572</v>
      </c>
      <c r="C424" s="469">
        <v>0.4</v>
      </c>
      <c r="D424" s="472" t="s">
        <v>66</v>
      </c>
      <c r="K424" s="467">
        <v>5.6250000000000001E-2</v>
      </c>
    </row>
    <row r="425" spans="1:11">
      <c r="A425" s="470">
        <v>414</v>
      </c>
      <c r="B425" s="465" t="s">
        <v>573</v>
      </c>
      <c r="C425" s="469">
        <v>0.4</v>
      </c>
      <c r="D425" s="472" t="s">
        <v>66</v>
      </c>
      <c r="K425" s="467">
        <v>1.4999999999999999E-2</v>
      </c>
    </row>
    <row r="426" spans="1:11">
      <c r="A426" s="470">
        <v>415</v>
      </c>
      <c r="B426" s="465" t="s">
        <v>574</v>
      </c>
      <c r="C426" s="469">
        <v>0.4</v>
      </c>
      <c r="D426" s="472" t="s">
        <v>66</v>
      </c>
      <c r="K426" s="467">
        <v>1.2500000000000001E-2</v>
      </c>
    </row>
    <row r="427" spans="1:11">
      <c r="A427" s="470">
        <v>416</v>
      </c>
      <c r="B427" s="465" t="s">
        <v>575</v>
      </c>
      <c r="C427" s="469">
        <v>0.4</v>
      </c>
      <c r="D427" s="472" t="s">
        <v>66</v>
      </c>
      <c r="K427" s="467">
        <v>1.6250000000000001E-2</v>
      </c>
    </row>
    <row r="428" spans="1:11">
      <c r="A428" s="470">
        <v>417</v>
      </c>
      <c r="B428" s="465" t="s">
        <v>576</v>
      </c>
      <c r="C428" s="469">
        <v>0.4</v>
      </c>
      <c r="D428" s="472" t="s">
        <v>66</v>
      </c>
      <c r="K428" s="467">
        <v>1.125E-2</v>
      </c>
    </row>
    <row r="429" spans="1:11">
      <c r="A429" s="470">
        <v>418</v>
      </c>
      <c r="B429" s="465" t="s">
        <v>577</v>
      </c>
      <c r="C429" s="469">
        <v>0.4</v>
      </c>
      <c r="D429" s="472" t="s">
        <v>66</v>
      </c>
      <c r="K429" s="467">
        <v>5.5300000000000002E-3</v>
      </c>
    </row>
    <row r="430" spans="1:11">
      <c r="A430" s="470">
        <v>419</v>
      </c>
      <c r="B430" s="465" t="s">
        <v>578</v>
      </c>
      <c r="C430" s="469">
        <v>0.4</v>
      </c>
      <c r="D430" s="472" t="s">
        <v>66</v>
      </c>
      <c r="K430" s="467">
        <v>8.7500000000000008E-3</v>
      </c>
    </row>
    <row r="431" spans="1:11">
      <c r="A431" s="470">
        <v>420</v>
      </c>
      <c r="B431" s="465" t="s">
        <v>579</v>
      </c>
      <c r="C431" s="469">
        <v>0.4</v>
      </c>
      <c r="D431" s="472" t="s">
        <v>66</v>
      </c>
      <c r="K431" s="467">
        <v>2.2499999999999999E-2</v>
      </c>
    </row>
    <row r="432" spans="1:11">
      <c r="A432" s="470">
        <v>421</v>
      </c>
      <c r="B432" s="465" t="s">
        <v>580</v>
      </c>
      <c r="C432" s="469">
        <v>0.4</v>
      </c>
      <c r="D432" s="472" t="s">
        <v>66</v>
      </c>
      <c r="K432" s="467">
        <v>1.7500000000000002E-2</v>
      </c>
    </row>
    <row r="433" spans="1:11">
      <c r="A433" s="470">
        <v>422</v>
      </c>
      <c r="B433" s="465" t="s">
        <v>581</v>
      </c>
      <c r="C433" s="469">
        <v>0.4</v>
      </c>
      <c r="D433" s="472" t="s">
        <v>66</v>
      </c>
      <c r="K433" s="467">
        <v>1.25E-3</v>
      </c>
    </row>
    <row r="434" spans="1:11">
      <c r="A434" s="470">
        <v>423</v>
      </c>
      <c r="B434" s="465" t="s">
        <v>582</v>
      </c>
      <c r="C434" s="469">
        <v>0.4</v>
      </c>
      <c r="D434" s="472" t="s">
        <v>66</v>
      </c>
      <c r="K434" s="467">
        <v>5.6250000000000001E-2</v>
      </c>
    </row>
    <row r="435" spans="1:11">
      <c r="A435" s="470">
        <v>424</v>
      </c>
      <c r="B435" s="465" t="s">
        <v>583</v>
      </c>
      <c r="C435" s="469">
        <v>0.4</v>
      </c>
      <c r="D435" s="472" t="s">
        <v>66</v>
      </c>
      <c r="K435" s="467">
        <v>7.4999999999999997E-3</v>
      </c>
    </row>
    <row r="436" spans="1:11">
      <c r="A436" s="470">
        <v>425</v>
      </c>
      <c r="B436" s="465" t="s">
        <v>584</v>
      </c>
      <c r="C436" s="469">
        <v>0.4</v>
      </c>
      <c r="D436" s="472" t="s">
        <v>66</v>
      </c>
      <c r="K436" s="467">
        <v>1.8749999999999999E-2</v>
      </c>
    </row>
    <row r="437" spans="1:11">
      <c r="A437" s="470">
        <v>426</v>
      </c>
      <c r="B437" s="465" t="s">
        <v>585</v>
      </c>
      <c r="C437" s="469">
        <v>0.4</v>
      </c>
      <c r="D437" s="472" t="s">
        <v>67</v>
      </c>
      <c r="K437" s="467">
        <v>3.8830000000000003E-2</v>
      </c>
    </row>
    <row r="438" spans="1:11">
      <c r="A438" s="470">
        <v>427</v>
      </c>
      <c r="B438" s="465" t="s">
        <v>586</v>
      </c>
      <c r="C438" s="469">
        <v>0.4</v>
      </c>
      <c r="D438" s="472" t="s">
        <v>66</v>
      </c>
      <c r="K438" s="467">
        <v>1.6250000000000001E-2</v>
      </c>
    </row>
    <row r="439" spans="1:11">
      <c r="A439" s="470">
        <v>428</v>
      </c>
      <c r="B439" s="465" t="s">
        <v>587</v>
      </c>
      <c r="C439" s="469">
        <v>0.4</v>
      </c>
      <c r="D439" s="473"/>
      <c r="K439" s="467"/>
    </row>
    <row r="440" spans="1:11">
      <c r="A440" s="470">
        <v>429</v>
      </c>
      <c r="B440" s="465" t="s">
        <v>588</v>
      </c>
      <c r="C440" s="469">
        <v>0.4</v>
      </c>
      <c r="D440" s="472" t="s">
        <v>66</v>
      </c>
      <c r="K440" s="467">
        <v>1.125E-2</v>
      </c>
    </row>
    <row r="441" spans="1:11">
      <c r="A441" s="470">
        <v>430</v>
      </c>
      <c r="B441" s="465" t="s">
        <v>589</v>
      </c>
      <c r="C441" s="469">
        <v>0.4</v>
      </c>
      <c r="D441" s="472" t="s">
        <v>66</v>
      </c>
      <c r="K441" s="467">
        <v>5.7500000000000002E-2</v>
      </c>
    </row>
    <row r="442" spans="1:11">
      <c r="A442" s="470">
        <v>431</v>
      </c>
      <c r="B442" s="465" t="s">
        <v>590</v>
      </c>
      <c r="C442" s="469">
        <v>0.4</v>
      </c>
      <c r="D442" s="472" t="s">
        <v>66</v>
      </c>
      <c r="K442" s="467">
        <v>5.0000000000000001E-3</v>
      </c>
    </row>
    <row r="443" spans="1:11">
      <c r="A443" s="470">
        <v>432</v>
      </c>
      <c r="B443" s="465" t="s">
        <v>591</v>
      </c>
      <c r="C443" s="469">
        <v>0.4</v>
      </c>
      <c r="D443" s="472" t="s">
        <v>66</v>
      </c>
      <c r="K443" s="467">
        <v>1.375E-2</v>
      </c>
    </row>
    <row r="444" spans="1:11">
      <c r="A444" s="470">
        <v>433</v>
      </c>
      <c r="B444" s="465" t="s">
        <v>592</v>
      </c>
      <c r="C444" s="469">
        <v>0.4</v>
      </c>
      <c r="D444" s="472" t="s">
        <v>66</v>
      </c>
      <c r="K444" s="467">
        <v>0.01</v>
      </c>
    </row>
    <row r="445" spans="1:11">
      <c r="A445" s="470">
        <v>434</v>
      </c>
      <c r="B445" s="465" t="s">
        <v>593</v>
      </c>
      <c r="C445" s="469">
        <v>0.4</v>
      </c>
      <c r="D445" s="472" t="s">
        <v>66</v>
      </c>
      <c r="K445" s="467">
        <v>1.375E-2</v>
      </c>
    </row>
    <row r="446" spans="1:11">
      <c r="A446" s="470">
        <v>435</v>
      </c>
      <c r="B446" s="465" t="s">
        <v>594</v>
      </c>
      <c r="C446" s="469">
        <v>0.4</v>
      </c>
      <c r="D446" s="472" t="s">
        <v>66</v>
      </c>
      <c r="K446" s="467">
        <v>8.7500000000000008E-3</v>
      </c>
    </row>
    <row r="447" spans="1:11">
      <c r="A447" s="470">
        <v>436</v>
      </c>
      <c r="B447" s="465" t="s">
        <v>595</v>
      </c>
      <c r="C447" s="469">
        <v>0.4</v>
      </c>
      <c r="D447" s="473"/>
      <c r="K447" s="467"/>
    </row>
    <row r="448" spans="1:11">
      <c r="A448" s="470">
        <v>437</v>
      </c>
      <c r="B448" s="465" t="s">
        <v>596</v>
      </c>
      <c r="C448" s="469">
        <v>0.4</v>
      </c>
      <c r="D448" s="472" t="s">
        <v>66</v>
      </c>
      <c r="K448" s="467">
        <v>1.4999999999999999E-2</v>
      </c>
    </row>
    <row r="449" spans="1:11">
      <c r="A449" s="470">
        <v>438</v>
      </c>
      <c r="B449" s="465" t="s">
        <v>597</v>
      </c>
      <c r="C449" s="469">
        <v>0.4</v>
      </c>
      <c r="D449" s="472" t="s">
        <v>66</v>
      </c>
      <c r="K449" s="467">
        <v>0.03</v>
      </c>
    </row>
    <row r="450" spans="1:11">
      <c r="A450" s="470">
        <v>439</v>
      </c>
      <c r="B450" s="465" t="s">
        <v>598</v>
      </c>
      <c r="C450" s="469">
        <v>0.4</v>
      </c>
      <c r="D450" s="472" t="s">
        <v>66</v>
      </c>
      <c r="K450" s="467">
        <v>1.8749999999999999E-2</v>
      </c>
    </row>
    <row r="451" spans="1:11">
      <c r="A451" s="470">
        <v>440</v>
      </c>
      <c r="B451" s="465" t="s">
        <v>599</v>
      </c>
      <c r="C451" s="469">
        <v>0.4</v>
      </c>
      <c r="D451" s="472" t="s">
        <v>66</v>
      </c>
      <c r="K451" s="467">
        <v>1.8749999999999999E-2</v>
      </c>
    </row>
    <row r="452" spans="1:11">
      <c r="A452" s="470">
        <v>441</v>
      </c>
      <c r="B452" s="465" t="s">
        <v>600</v>
      </c>
      <c r="C452" s="469">
        <v>0.4</v>
      </c>
      <c r="D452" s="472" t="s">
        <v>66</v>
      </c>
      <c r="K452" s="467">
        <v>2.2499999999999999E-2</v>
      </c>
    </row>
    <row r="453" spans="1:11">
      <c r="A453" s="470">
        <v>442</v>
      </c>
      <c r="B453" s="465" t="s">
        <v>601</v>
      </c>
      <c r="C453" s="469">
        <v>0.4</v>
      </c>
      <c r="D453" s="472" t="s">
        <v>66</v>
      </c>
      <c r="K453" s="467">
        <v>6.2500000000000003E-3</v>
      </c>
    </row>
    <row r="454" spans="1:11">
      <c r="A454" s="470">
        <v>443</v>
      </c>
      <c r="B454" s="465" t="s">
        <v>602</v>
      </c>
      <c r="C454" s="469">
        <v>0.4</v>
      </c>
      <c r="D454" s="472" t="s">
        <v>66</v>
      </c>
      <c r="K454" s="467">
        <v>1.6250000000000001E-2</v>
      </c>
    </row>
    <row r="455" spans="1:11">
      <c r="A455" s="470">
        <v>444</v>
      </c>
      <c r="B455" s="465" t="s">
        <v>603</v>
      </c>
      <c r="C455" s="469">
        <v>0.4</v>
      </c>
      <c r="D455" s="472" t="s">
        <v>66</v>
      </c>
      <c r="K455" s="467">
        <v>1.495E-2</v>
      </c>
    </row>
    <row r="456" spans="1:11">
      <c r="A456" s="470">
        <v>445</v>
      </c>
      <c r="B456" s="465" t="s">
        <v>604</v>
      </c>
      <c r="C456" s="469">
        <v>0.4</v>
      </c>
      <c r="D456" s="472" t="s">
        <v>66</v>
      </c>
      <c r="K456" s="467">
        <v>7.4999999999999997E-3</v>
      </c>
    </row>
    <row r="457" spans="1:11">
      <c r="B457" s="465"/>
      <c r="C457" s="469"/>
      <c r="K457" s="467"/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topLeftCell="A8" zoomScale="106" zoomScaleNormal="99" workbookViewId="0">
      <selection activeCell="D10" sqref="D10"/>
    </sheetView>
  </sheetViews>
  <sheetFormatPr defaultColWidth="11.42578125" defaultRowHeight="15"/>
  <sheetData>
    <row r="2" spans="2:11">
      <c r="J2" s="266"/>
      <c r="K2" s="175"/>
    </row>
    <row r="3" spans="2:11">
      <c r="J3" s="266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65">
        <v>1</v>
      </c>
      <c r="J6" s="566"/>
      <c r="K6" s="567"/>
    </row>
    <row r="7" spans="2:11" ht="15.75" thickBot="1">
      <c r="D7" s="169"/>
      <c r="H7" s="181" t="s">
        <v>425</v>
      </c>
      <c r="I7" s="568" t="str" cm="1">
        <f t="array" ref="I7">GetGetCDSName(I6)</f>
        <v>ABNAMRO_MMR.EUR.SU</v>
      </c>
      <c r="J7" s="569"/>
      <c r="K7" s="570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>ROW()-ROW($B$9)&amp;"M"</f>
        <v>1M</v>
      </c>
      <c r="C10" s="213">
        <f ca="1">MAX(0,(DATE(YEAR(CDSRollDate),MONTH(CDSRollDate)+ROW()-ROW($B$9),DAY(CDSRollDate))-Parameter_Date)/365)</f>
        <v>0.29315068493150687</v>
      </c>
      <c r="D10" s="176">
        <f ca="1">IF(NOT($C$6),"",IF(GetConvertDate(CDSRollDate,B10)&lt;Parameter_Date,0,GetGetDefaultprob($I$6,B10)))</f>
        <v>6.5395615599728174E-4</v>
      </c>
      <c r="E10" s="214">
        <f ca="1">IF(NOT($C$6),"",IF(C11=0,0,-LN(1-D11)/$C11))</f>
        <v>2.2315147540802873E-3</v>
      </c>
    </row>
    <row r="11" spans="2:11">
      <c r="B11" s="183" t="str">
        <f t="shared" ref="B11:B74" si="0">ROW()-ROW($B$9)&amp;"M"</f>
        <v>2M</v>
      </c>
      <c r="C11" s="215">
        <f ca="1">MAX(0,(DATE(YEAR(CDSRollDate),MONTH(CDSRollDate)+ROW()-ROW($B$9),DAY(CDSRollDate))-Parameter_Date)/365)</f>
        <v>0.37808219178082192</v>
      </c>
      <c r="D11" s="168">
        <f ca="1">IF(NOT($C$6),"",IF(GetConvertDate(CDSRollDate,B11)&lt;Parameter_Date,0,GetGetDefaultprob($I$6,B11)))</f>
        <v>8.4334017782539128E-4</v>
      </c>
      <c r="E11" s="177">
        <f ca="1">IF(NOT($C$6),"",IF(C11=0,0,-LN((1-D11)/(1-D10))/($C11-$C10)))</f>
        <v>2.2315147540814123E-3</v>
      </c>
      <c r="F11" s="163"/>
      <c r="G11" s="164"/>
    </row>
    <row r="12" spans="2:11">
      <c r="B12" s="183" t="str">
        <f t="shared" si="0"/>
        <v>3M</v>
      </c>
      <c r="C12" s="215">
        <f ca="1">MAX(0,(DATE(YEAR(CDSRollDate),MONTH(CDSRollDate)+ROW()-ROW($B$9),DAY(CDSRollDate))-Parameter_Date)/365)</f>
        <v>0.46027397260273972</v>
      </c>
      <c r="D12" s="168">
        <f ca="1">IF(NOT($C$6),"",IF(GetConvertDate(CDSRollDate,B12)&lt;Parameter_Date,0,GetGetDefaultprob($I$6,B12)))</f>
        <v>1.0265808657402564E-3</v>
      </c>
      <c r="E12" s="177">
        <f ca="1">IF(NOT($C$6),"",IF(C12=0,0,-LN((1-D12)/(1-D11))/($C12-$C11)))</f>
        <v>2.2315147540799413E-3</v>
      </c>
      <c r="F12" s="163"/>
      <c r="G12" s="164"/>
    </row>
    <row r="13" spans="2:11">
      <c r="B13" s="183" t="str">
        <f t="shared" si="0"/>
        <v>4M</v>
      </c>
      <c r="C13" s="215">
        <f t="shared" ref="C13:C41" ca="1" si="1">MAX(0,(DATE(YEAR(CDSRollDate),MONTH(CDSRollDate)+ROW()-ROW($B$9),DAY(CDSRollDate))-Parameter_Date)/365)</f>
        <v>0.54520547945205478</v>
      </c>
      <c r="D13" s="168">
        <f ca="1">IF(NOT($C$6),"",IF(GetConvertDate(CDSRollDate,B13)&lt;Parameter_Date,0,GetGetDefaultprob($I$6,B13)))</f>
        <v>1.215894272222795E-3</v>
      </c>
      <c r="E13" s="177">
        <f t="shared" ref="E13:E75" ca="1" si="2">IF(NOT($C$6),"",IF(C13=0,0,-LN((1-D13)/(1-D12))/($C13-$C12)))</f>
        <v>2.2315147540801052E-3</v>
      </c>
      <c r="F13" s="163"/>
      <c r="G13" s="164"/>
    </row>
    <row r="14" spans="2:11">
      <c r="B14" s="183" t="str">
        <f t="shared" si="0"/>
        <v>5M</v>
      </c>
      <c r="C14" s="215">
        <f t="shared" ca="1" si="1"/>
        <v>0.63013698630136983</v>
      </c>
      <c r="D14" s="168">
        <f ca="1">IF(NOT($C$6),"",IF(GetConvertDate(CDSRollDate,B14)&lt;Parameter_Date,0,GetGetDefaultprob($I$6,B14)))</f>
        <v>1.4051718023094795E-3</v>
      </c>
      <c r="E14" s="177">
        <f t="shared" ca="1" si="2"/>
        <v>2.2315147540801052E-3</v>
      </c>
      <c r="F14" s="163"/>
      <c r="G14" s="164"/>
    </row>
    <row r="15" spans="2:11">
      <c r="B15" s="183" t="str">
        <f t="shared" si="0"/>
        <v>6M</v>
      </c>
      <c r="C15" s="215">
        <f t="shared" ca="1" si="1"/>
        <v>0.70684931506849313</v>
      </c>
      <c r="D15" s="168">
        <f ca="1">IF(NOT($C$6),"",IF(GetConvertDate(CDSRollDate,B15)&lt;Parameter_Date,0,GetGetDefaultprob($I$6,B15)))</f>
        <v>1.576101321192791E-3</v>
      </c>
      <c r="E15" s="177">
        <f t="shared" ca="1" si="2"/>
        <v>2.2315147540793536E-3</v>
      </c>
      <c r="F15" s="163"/>
      <c r="G15" s="164"/>
    </row>
    <row r="16" spans="2:11">
      <c r="B16" s="183" t="str">
        <f t="shared" si="0"/>
        <v>7M</v>
      </c>
      <c r="C16" s="215">
        <f t="shared" ca="1" si="1"/>
        <v>0.79178082191780819</v>
      </c>
      <c r="D16" s="168">
        <f ca="1">IF(NOT($C$6),"",IF(GetConvertDate(CDSRollDate,B16)&lt;Parameter_Date,0,GetGetDefaultprob($I$6,B16)))</f>
        <v>1.9981450245645238E-3</v>
      </c>
      <c r="E16" s="177">
        <f t="shared" ca="1" si="2"/>
        <v>4.9781208385098145E-3</v>
      </c>
      <c r="F16" s="163"/>
      <c r="G16" s="164"/>
    </row>
    <row r="17" spans="2:7">
      <c r="B17" s="183" t="str">
        <f t="shared" si="0"/>
        <v>8M</v>
      </c>
      <c r="C17" s="215">
        <f t="shared" ca="1" si="1"/>
        <v>0.87397260273972599</v>
      </c>
      <c r="D17" s="168">
        <f ca="1">IF(NOT($C$6),"",IF(GetConvertDate(CDSRollDate,B17)&lt;Parameter_Date,0,GetGetDefaultprob($I$6,B17)))</f>
        <v>2.4064045516217769E-3</v>
      </c>
      <c r="E17" s="177">
        <f t="shared" ca="1" si="2"/>
        <v>4.9781208385089671E-3</v>
      </c>
      <c r="F17" s="163"/>
      <c r="G17" s="164"/>
    </row>
    <row r="18" spans="2:7">
      <c r="B18" s="183" t="str">
        <f t="shared" si="0"/>
        <v>9M</v>
      </c>
      <c r="C18" s="215">
        <f t="shared" ca="1" si="1"/>
        <v>0.95890410958904104</v>
      </c>
      <c r="D18" s="168">
        <f ca="1">IF(NOT($C$6),"",IF(GetConvertDate(CDSRollDate,B18)&lt;Parameter_Date,0,GetGetDefaultprob($I$6,B18)))</f>
        <v>2.8280972775672764E-3</v>
      </c>
      <c r="E18" s="177">
        <f t="shared" ca="1" si="2"/>
        <v>4.9781208385098145E-3</v>
      </c>
      <c r="F18" s="163"/>
      <c r="G18" s="164"/>
    </row>
    <row r="19" spans="2:7">
      <c r="B19" s="183" t="str">
        <f t="shared" si="0"/>
        <v>10M</v>
      </c>
      <c r="C19" s="215">
        <f t="shared" ca="1" si="1"/>
        <v>1.0410958904109588</v>
      </c>
      <c r="D19" s="168">
        <f ca="1">IF(NOT($C$6),"",IF(GetConvertDate(CDSRollDate,B19)&lt;Parameter_Date,0,GetGetDefaultprob($I$6,B19)))</f>
        <v>3.2360172903115325E-3</v>
      </c>
      <c r="E19" s="177">
        <f t="shared" ca="1" si="2"/>
        <v>4.9781208385103184E-3</v>
      </c>
      <c r="F19" s="163"/>
      <c r="G19" s="164"/>
    </row>
    <row r="20" spans="2:7">
      <c r="B20" s="183" t="str">
        <f t="shared" si="0"/>
        <v>11M</v>
      </c>
      <c r="C20" s="215">
        <f t="shared" ca="1" si="1"/>
        <v>1.1260273972602739</v>
      </c>
      <c r="D20" s="168">
        <f ca="1">IF(NOT($C$6),"",IF(GetConvertDate(CDSRollDate,B20)&lt;Parameter_Date,0,GetGetDefaultprob($I$6,B20)))</f>
        <v>3.6573593307083208E-3</v>
      </c>
      <c r="E20" s="177">
        <f t="shared" ca="1" si="2"/>
        <v>4.9781208385085065E-3</v>
      </c>
      <c r="F20" s="163"/>
      <c r="G20" s="164"/>
    </row>
    <row r="21" spans="2:7">
      <c r="B21" s="183" t="str">
        <f t="shared" si="0"/>
        <v>12M</v>
      </c>
      <c r="C21" s="215">
        <f t="shared" ca="1" si="1"/>
        <v>1.210958904109589</v>
      </c>
      <c r="D21" s="168">
        <f ca="1">IF(NOT($C$6),"",IF(GetConvertDate(CDSRollDate,B21)&lt;Parameter_Date,0,GetGetDefaultprob($I$6,B21)))</f>
        <v>4.0785232656379566E-3</v>
      </c>
      <c r="E21" s="177">
        <f t="shared" ca="1" si="2"/>
        <v>4.9781208385111216E-3</v>
      </c>
      <c r="F21" s="163"/>
      <c r="G21" s="164"/>
    </row>
    <row r="22" spans="2:7">
      <c r="B22" s="183" t="str">
        <f t="shared" si="0"/>
        <v>13M</v>
      </c>
      <c r="C22" s="215">
        <f t="shared" ca="1" si="1"/>
        <v>1.2931506849315069</v>
      </c>
      <c r="D22" s="168">
        <f ca="1">IF(NOT($C$6),"",IF(GetConvertDate(CDSRollDate,B22)&lt;Parameter_Date,0,GetGetDefaultprob($I$6,B22)))</f>
        <v>4.5408704107210429E-3</v>
      </c>
      <c r="E22" s="177">
        <f t="shared" ca="1" si="2"/>
        <v>5.6495716406230563E-3</v>
      </c>
      <c r="F22" s="163"/>
      <c r="G22" s="164"/>
    </row>
    <row r="23" spans="2:7">
      <c r="B23" s="183" t="str">
        <f t="shared" si="0"/>
        <v>14M</v>
      </c>
      <c r="C23" s="215">
        <f t="shared" ca="1" si="1"/>
        <v>1.3780821917808219</v>
      </c>
      <c r="D23" s="168">
        <f ca="1">IF(NOT($C$6),"",IF(GetConvertDate(CDSRollDate,B23)&lt;Parameter_Date,0,GetGetDefaultprob($I$6,B23)))</f>
        <v>5.0184036369126384E-3</v>
      </c>
      <c r="E23" s="177">
        <f t="shared" ca="1" si="2"/>
        <v>5.6495716406237354E-3</v>
      </c>
      <c r="F23" s="163"/>
      <c r="G23" s="164"/>
    </row>
    <row r="24" spans="2:7">
      <c r="B24" s="183" t="str">
        <f t="shared" si="0"/>
        <v>15M</v>
      </c>
      <c r="C24" s="215">
        <f t="shared" ca="1" si="1"/>
        <v>1.4602739726027398</v>
      </c>
      <c r="D24" s="168">
        <f ca="1">IF(NOT($C$6),"",IF(GetConvertDate(CDSRollDate,B24)&lt;Parameter_Date,0,GetGetDefaultprob($I$6,B24)))</f>
        <v>5.4803144514049551E-3</v>
      </c>
      <c r="E24" s="177">
        <f t="shared" ca="1" si="2"/>
        <v>5.6495716406244076E-3</v>
      </c>
      <c r="F24" s="163"/>
      <c r="G24" s="164"/>
    </row>
    <row r="25" spans="2:7">
      <c r="B25" s="183" t="str">
        <f t="shared" si="0"/>
        <v>16M</v>
      </c>
      <c r="C25" s="215">
        <f t="shared" ca="1" si="1"/>
        <v>1.5452054794520549</v>
      </c>
      <c r="D25" s="168">
        <f ca="1">IF(NOT($C$6),"",IF(GetConvertDate(CDSRollDate,B25)&lt;Parameter_Date,0,GetGetDefaultprob($I$6,B25)))</f>
        <v>5.957397015454613E-3</v>
      </c>
      <c r="E25" s="177">
        <f t="shared" ca="1" si="2"/>
        <v>5.6495716406237354E-3</v>
      </c>
      <c r="F25" s="163"/>
      <c r="G25" s="164"/>
    </row>
    <row r="26" spans="2:7">
      <c r="B26" s="183" t="str">
        <f t="shared" si="0"/>
        <v>17M</v>
      </c>
      <c r="C26" s="215">
        <f t="shared" ca="1" si="1"/>
        <v>1.6301369863013699</v>
      </c>
      <c r="D26" s="168">
        <f ca="1">IF(NOT($C$6),"",IF(GetConvertDate(CDSRollDate,B26)&lt;Parameter_Date,0,GetGetDefaultprob($I$6,B26)))</f>
        <v>6.4342507174954822E-3</v>
      </c>
      <c r="E26" s="177">
        <f t="shared" ca="1" si="2"/>
        <v>5.6495716406224274E-3</v>
      </c>
      <c r="F26" s="163"/>
      <c r="G26" s="164"/>
    </row>
    <row r="27" spans="2:7">
      <c r="B27" s="183" t="str">
        <f t="shared" si="0"/>
        <v>18M</v>
      </c>
      <c r="C27" s="215">
        <f t="shared" ca="1" si="1"/>
        <v>1.7068493150684931</v>
      </c>
      <c r="D27" s="168">
        <f ca="1">IF(NOT($C$6),"",IF(GetConvertDate(CDSRollDate,B27)&lt;Parameter_Date,0,GetGetDefaultprob($I$6,B27)))</f>
        <v>6.8647606666243366E-3</v>
      </c>
      <c r="E27" s="177">
        <f t="shared" ca="1" si="2"/>
        <v>5.6495716406246999E-3</v>
      </c>
      <c r="F27" s="163"/>
      <c r="G27" s="164"/>
    </row>
    <row r="28" spans="2:7">
      <c r="B28" s="183" t="str">
        <f t="shared" si="0"/>
        <v>19M</v>
      </c>
      <c r="C28" s="215">
        <f t="shared" ca="1" si="1"/>
        <v>1.7917808219178082</v>
      </c>
      <c r="D28" s="168">
        <f ca="1">IF(NOT($C$6),"",IF(GetConvertDate(CDSRollDate,B28)&lt;Parameter_Date,0,GetGetDefaultprob($I$6,B28)))</f>
        <v>7.3411790958561873E-3</v>
      </c>
      <c r="E28" s="177">
        <f t="shared" ca="1" si="2"/>
        <v>5.6495716406237354E-3</v>
      </c>
      <c r="F28" s="163"/>
      <c r="G28" s="164"/>
    </row>
    <row r="29" spans="2:7">
      <c r="B29" s="183" t="str">
        <f t="shared" si="0"/>
        <v>20M</v>
      </c>
      <c r="C29" s="215">
        <f t="shared" ca="1" si="1"/>
        <v>1.8739726027397261</v>
      </c>
      <c r="D29" s="168">
        <f ca="1">IF(NOT($C$6),"",IF(GetConvertDate(CDSRollDate,B29)&lt;Parameter_Date,0,GetGetDefaultprob($I$6,B29)))</f>
        <v>7.8020115837662551E-3</v>
      </c>
      <c r="E29" s="177">
        <f t="shared" ca="1" si="2"/>
        <v>5.6495716406230563E-3</v>
      </c>
      <c r="F29" s="163"/>
      <c r="G29" s="164"/>
    </row>
    <row r="30" spans="2:7">
      <c r="B30" s="183" t="str">
        <f t="shared" si="0"/>
        <v>21M</v>
      </c>
      <c r="C30" s="215">
        <f t="shared" ca="1" si="1"/>
        <v>1.9589041095890412</v>
      </c>
      <c r="D30" s="168">
        <f ca="1">IF(NOT($C$6),"",IF(GetConvertDate(CDSRollDate,B30)&lt;Parameter_Date,0,GetGetDefaultprob($I$6,B30)))</f>
        <v>8.2779804029229354E-3</v>
      </c>
      <c r="E30" s="177">
        <f t="shared" ca="1" si="2"/>
        <v>5.6495716406250434E-3</v>
      </c>
      <c r="F30" s="163"/>
      <c r="G30" s="164"/>
    </row>
    <row r="31" spans="2:7">
      <c r="B31" s="183" t="str">
        <f t="shared" si="0"/>
        <v>22M</v>
      </c>
      <c r="C31" s="215">
        <f t="shared" ca="1" si="1"/>
        <v>2.0410958904109591</v>
      </c>
      <c r="D31" s="168">
        <f ca="1">IF(NOT($C$6),"",IF(GetConvertDate(CDSRollDate,B31)&lt;Parameter_Date,0,GetGetDefaultprob($I$6,B31)))</f>
        <v>8.7383779896685887E-3</v>
      </c>
      <c r="E31" s="177">
        <f t="shared" ca="1" si="2"/>
        <v>5.6495716406217049E-3</v>
      </c>
      <c r="F31" s="163"/>
      <c r="G31" s="164"/>
    </row>
    <row r="32" spans="2:7">
      <c r="B32" s="183" t="str">
        <f t="shared" si="0"/>
        <v>23M</v>
      </c>
      <c r="C32" s="215">
        <f t="shared" ca="1" si="1"/>
        <v>2.1260273972602741</v>
      </c>
      <c r="D32" s="168">
        <f ca="1">IF(NOT($C$6),"",IF(GetConvertDate(CDSRollDate,B32)&lt;Parameter_Date,0,GetGetDefaultprob($I$6,B32)))</f>
        <v>9.2138976230600189E-3</v>
      </c>
      <c r="E32" s="177">
        <f t="shared" ca="1" si="2"/>
        <v>5.6495716406224274E-3</v>
      </c>
      <c r="F32" s="163"/>
      <c r="G32" s="164"/>
    </row>
    <row r="33" spans="2:7">
      <c r="B33" s="183" t="str">
        <f t="shared" si="0"/>
        <v>24M</v>
      </c>
      <c r="C33" s="215">
        <f t="shared" ca="1" si="1"/>
        <v>2.2109589041095892</v>
      </c>
      <c r="D33" s="168">
        <f ca="1">IF(NOT($C$6),"",IF(GetConvertDate(CDSRollDate,B33)&lt;Parameter_Date,0,GetGetDefaultprob($I$6,B33)))</f>
        <v>9.6891891441988065E-3</v>
      </c>
      <c r="E33" s="177">
        <f t="shared" ca="1" si="2"/>
        <v>5.6495716406250434E-3</v>
      </c>
      <c r="F33" s="163"/>
      <c r="G33" s="164"/>
    </row>
    <row r="34" spans="2:7">
      <c r="B34" s="183" t="str">
        <f t="shared" si="0"/>
        <v>25M</v>
      </c>
      <c r="C34" s="215">
        <f t="shared" ca="1" si="1"/>
        <v>2.2931506849315069</v>
      </c>
      <c r="D34" s="168">
        <f ca="1">IF(NOT($C$6),"",IF(GetConvertDate(CDSRollDate,B34)&lt;Parameter_Date,0,GetGetDefaultprob($I$6,B34)))</f>
        <v>1.0303746273536696E-2</v>
      </c>
      <c r="E34" s="177">
        <f t="shared" ca="1" si="2"/>
        <v>7.5526114165264521E-3</v>
      </c>
      <c r="F34" s="163"/>
      <c r="G34" s="164"/>
    </row>
    <row r="35" spans="2:7">
      <c r="B35" s="183" t="str">
        <f t="shared" si="0"/>
        <v>26M</v>
      </c>
      <c r="C35" s="215">
        <f t="shared" ca="1" si="1"/>
        <v>2.3780821917808219</v>
      </c>
      <c r="D35" s="168">
        <f ca="1">IF(NOT($C$6),"",IF(GetConvertDate(CDSRollDate,B35)&lt;Parameter_Date,0,GetGetDefaultprob($I$6,B35)))</f>
        <v>1.0938387986936138E-2</v>
      </c>
      <c r="E35" s="177">
        <f t="shared" ca="1" si="2"/>
        <v>7.552611416526943E-3</v>
      </c>
      <c r="F35" s="163"/>
      <c r="G35" s="164"/>
    </row>
    <row r="36" spans="2:7">
      <c r="B36" s="183" t="str">
        <f t="shared" si="0"/>
        <v>27M</v>
      </c>
      <c r="C36" s="215">
        <f t="shared" ca="1" si="1"/>
        <v>2.4602739726027396</v>
      </c>
      <c r="D36" s="168">
        <f ca="1">IF(NOT($C$6),"",IF(GetConvertDate(CDSRollDate,B36)&lt;Parameter_Date,0,GetGetDefaultprob($I$6,B36)))</f>
        <v>1.1552169901011933E-2</v>
      </c>
      <c r="E36" s="177">
        <f t="shared" ca="1" si="2"/>
        <v>7.5526114165264521E-3</v>
      </c>
      <c r="F36" s="163"/>
      <c r="G36" s="164"/>
    </row>
    <row r="37" spans="2:7">
      <c r="B37" s="183" t="str">
        <f t="shared" si="0"/>
        <v>28M</v>
      </c>
      <c r="C37" s="215">
        <f t="shared" ca="1" si="1"/>
        <v>2.5452054794520547</v>
      </c>
      <c r="D37" s="168">
        <f ca="1">IF(NOT($C$6),"",IF(GetConvertDate(CDSRollDate,B37)&lt;Parameter_Date,0,GetGetDefaultprob($I$6,B37)))</f>
        <v>1.2186011064033386E-2</v>
      </c>
      <c r="E37" s="177">
        <f t="shared" ca="1" si="2"/>
        <v>7.552611416526943E-3</v>
      </c>
      <c r="F37" s="163"/>
      <c r="G37" s="164"/>
    </row>
    <row r="38" spans="2:7">
      <c r="B38" s="183" t="str">
        <f t="shared" si="0"/>
        <v>29M</v>
      </c>
      <c r="C38" s="215">
        <f t="shared" ca="1" si="1"/>
        <v>2.6301369863013697</v>
      </c>
      <c r="D38" s="168">
        <f ca="1">IF(NOT($C$6),"",IF(GetConvertDate(CDSRollDate,B38)&lt;Parameter_Date,0,GetGetDefaultprob($I$6,B38)))</f>
        <v>1.2819445777055294E-2</v>
      </c>
      <c r="E38" s="177">
        <f t="shared" ca="1" si="2"/>
        <v>7.5526114165243262E-3</v>
      </c>
      <c r="F38" s="163"/>
      <c r="G38" s="164"/>
    </row>
    <row r="39" spans="2:7">
      <c r="B39" s="183" t="str">
        <f t="shared" si="0"/>
        <v>30M</v>
      </c>
      <c r="C39" s="215">
        <f t="shared" ca="1" si="1"/>
        <v>2.7068493150684931</v>
      </c>
      <c r="D39" s="168">
        <f ca="1">IF(NOT($C$6),"",IF(GetConvertDate(CDSRollDate,B39)&lt;Parameter_Date,0,GetGetDefaultprob($I$6,B39)))</f>
        <v>1.3391231220913125E-2</v>
      </c>
      <c r="E39" s="177">
        <f t="shared" ca="1" si="2"/>
        <v>7.5526114165279865E-3</v>
      </c>
      <c r="F39" s="163"/>
      <c r="G39" s="164"/>
    </row>
    <row r="40" spans="2:7">
      <c r="B40" s="183" t="str">
        <f t="shared" si="0"/>
        <v>31M</v>
      </c>
      <c r="C40" s="215">
        <f t="shared" ca="1" si="1"/>
        <v>2.7917808219178082</v>
      </c>
      <c r="D40" s="168">
        <f ca="1">IF(NOT($C$6),"",IF(GetConvertDate(CDSRollDate,B40)&lt;Parameter_Date,0,GetGetDefaultprob($I$6,B40)))</f>
        <v>1.4023893087738548E-2</v>
      </c>
      <c r="E40" s="177">
        <f t="shared" ca="1" si="2"/>
        <v>7.5526114165256342E-3</v>
      </c>
      <c r="F40" s="163"/>
      <c r="G40" s="164"/>
    </row>
    <row r="41" spans="2:7">
      <c r="B41" s="183" t="str">
        <f t="shared" si="0"/>
        <v>32M</v>
      </c>
      <c r="C41" s="215">
        <f t="shared" ca="1" si="1"/>
        <v>2.8739726027397259</v>
      </c>
      <c r="D41" s="168">
        <f ca="1">IF(NOT($C$6),"",IF(GetConvertDate(CDSRollDate,B41)&lt;Parameter_Date,0,GetGetDefaultprob($I$6,B41)))</f>
        <v>1.4635760230071515E-2</v>
      </c>
      <c r="E41" s="177">
        <f t="shared" ca="1" si="2"/>
        <v>7.5526114165278026E-3</v>
      </c>
      <c r="F41" s="163"/>
      <c r="G41" s="164"/>
    </row>
    <row r="42" spans="2:7">
      <c r="B42" s="183" t="str">
        <f t="shared" si="0"/>
        <v>33M</v>
      </c>
      <c r="C42" s="215">
        <f t="shared" ref="C42:C73" ca="1" si="3">MAX(0,(DATE(YEAR(CDSRollDate),MONTH(CDSRollDate)+ROW()-ROW($B$9),DAY(CDSRollDate))-Parameter_Date)/365)</f>
        <v>2.9589041095890409</v>
      </c>
      <c r="D42" s="168">
        <f ca="1">IF(NOT($C$6),"",IF(GetConvertDate(CDSRollDate,B42)&lt;Parameter_Date,0,GetGetDefaultprob($I$6,B42)))</f>
        <v>1.526762404393911E-2</v>
      </c>
      <c r="E42" s="177">
        <f t="shared" ca="1" si="2"/>
        <v>7.552611416526943E-3</v>
      </c>
      <c r="F42" s="163"/>
      <c r="G42" s="164"/>
    </row>
    <row r="43" spans="2:7">
      <c r="B43" s="183" t="str">
        <f t="shared" si="0"/>
        <v>34M</v>
      </c>
      <c r="C43" s="215">
        <f t="shared" ca="1" si="3"/>
        <v>3.0410958904109591</v>
      </c>
      <c r="D43" s="168">
        <f ca="1">IF(NOT($C$6),"",IF(GetConvertDate(CDSRollDate,B43)&lt;Parameter_Date,0,GetGetDefaultprob($I$6,B43)))</f>
        <v>1.5878719364216032E-2</v>
      </c>
      <c r="E43" s="177">
        <f t="shared" ca="1" si="2"/>
        <v>7.5526114165264113E-3</v>
      </c>
      <c r="F43" s="163"/>
      <c r="G43" s="164"/>
    </row>
    <row r="44" spans="2:7">
      <c r="B44" s="183" t="str">
        <f t="shared" si="0"/>
        <v>35M</v>
      </c>
      <c r="C44" s="215">
        <f t="shared" ca="1" si="3"/>
        <v>3.1260273972602741</v>
      </c>
      <c r="D44" s="168">
        <f ca="1">IF(NOT($C$6),"",IF(GetConvertDate(CDSRollDate,B44)&lt;Parameter_Date,0,GetGetDefaultprob($I$6,B44)))</f>
        <v>1.6509786131806536E-2</v>
      </c>
      <c r="E44" s="177">
        <f t="shared" ca="1" si="2"/>
        <v>7.552611416526943E-3</v>
      </c>
      <c r="F44" s="163"/>
      <c r="G44" s="164"/>
    </row>
    <row r="45" spans="2:7">
      <c r="B45" s="183" t="str">
        <f t="shared" si="0"/>
        <v>36M</v>
      </c>
      <c r="C45" s="215">
        <f t="shared" ca="1" si="3"/>
        <v>3.2109589041095892</v>
      </c>
      <c r="D45" s="168">
        <f ca="1">IF(NOT($C$6),"",IF(GetConvertDate(CDSRollDate,B45)&lt;Parameter_Date,0,GetGetDefaultprob($I$6,B45)))</f>
        <v>1.7140448228475824E-2</v>
      </c>
      <c r="E45" s="177">
        <f t="shared" ca="1" si="2"/>
        <v>7.552611416526943E-3</v>
      </c>
      <c r="F45" s="163"/>
      <c r="G45" s="164"/>
    </row>
    <row r="46" spans="2:7">
      <c r="B46" s="183" t="str">
        <f t="shared" si="0"/>
        <v>37M</v>
      </c>
      <c r="C46" s="215">
        <f t="shared" ca="1" si="3"/>
        <v>3.2931506849315069</v>
      </c>
      <c r="D46" s="168">
        <f ca="1">IF(NOT($C$6),"",IF(GetConvertDate(CDSRollDate,B46)&lt;Parameter_Date,0,GetGetDefaultprob($I$6,B46)))</f>
        <v>1.7891162903759472E-2</v>
      </c>
      <c r="E46" s="177">
        <f t="shared" ca="1" si="2"/>
        <v>9.2965319056387483E-3</v>
      </c>
      <c r="F46" s="163"/>
      <c r="G46" s="164"/>
    </row>
    <row r="47" spans="2:7">
      <c r="B47" s="183" t="str">
        <f t="shared" si="0"/>
        <v>38M</v>
      </c>
      <c r="C47" s="215">
        <f t="shared" ca="1" si="3"/>
        <v>3.3780821917808219</v>
      </c>
      <c r="D47" s="168">
        <f ca="1">IF(NOT($C$6),"",IF(GetConvertDate(CDSRollDate,B47)&lt;Parameter_Date,0,GetGetDefaultprob($I$6,B47)))</f>
        <v>1.8666299017194521E-2</v>
      </c>
      <c r="E47" s="177">
        <f t="shared" ca="1" si="2"/>
        <v>9.2965319056379919E-3</v>
      </c>
      <c r="F47" s="163"/>
      <c r="G47" s="164"/>
    </row>
    <row r="48" spans="2:7">
      <c r="B48" s="183" t="str">
        <f t="shared" si="0"/>
        <v>39M</v>
      </c>
      <c r="C48" s="215">
        <f t="shared" ca="1" si="3"/>
        <v>3.4602739726027396</v>
      </c>
      <c r="D48" s="168">
        <f ca="1">IF(NOT($C$6),"",IF(GetConvertDate(CDSRollDate,B48)&lt;Parameter_Date,0,GetGetDefaultprob($I$6,B48)))</f>
        <v>1.9415848237477662E-2</v>
      </c>
      <c r="E48" s="177">
        <f t="shared" ca="1" si="2"/>
        <v>9.2965319056387483E-3</v>
      </c>
      <c r="F48" s="163"/>
      <c r="G48" s="164"/>
    </row>
    <row r="49" spans="2:7">
      <c r="B49" s="183" t="str">
        <f t="shared" si="0"/>
        <v>40M</v>
      </c>
      <c r="C49" s="215">
        <f t="shared" ca="1" si="3"/>
        <v>3.5452054794520547</v>
      </c>
      <c r="D49" s="168">
        <f ca="1">IF(NOT($C$6),"",IF(GetConvertDate(CDSRollDate,B49)&lt;Parameter_Date,0,GetGetDefaultprob($I$6,B49)))</f>
        <v>2.0189780982590277E-2</v>
      </c>
      <c r="E49" s="177">
        <f t="shared" ca="1" si="2"/>
        <v>9.2965319056392999E-3</v>
      </c>
      <c r="F49" s="163"/>
      <c r="G49" s="164"/>
    </row>
    <row r="50" spans="2:7">
      <c r="B50" s="183" t="str">
        <f t="shared" si="0"/>
        <v>41M</v>
      </c>
      <c r="C50" s="215">
        <f t="shared" ca="1" si="3"/>
        <v>3.6301369863013697</v>
      </c>
      <c r="D50" s="168">
        <f ca="1">IF(NOT($C$6),"",IF(GetConvertDate(CDSRollDate,B50)&lt;Parameter_Date,0,GetGetDefaultprob($I$6,B50)))</f>
        <v>2.0963102895993013E-2</v>
      </c>
      <c r="E50" s="177">
        <f t="shared" ca="1" si="2"/>
        <v>9.2965319056366839E-3</v>
      </c>
      <c r="F50" s="163"/>
      <c r="G50" s="164"/>
    </row>
    <row r="51" spans="2:7">
      <c r="B51" s="183" t="str">
        <f t="shared" si="0"/>
        <v>42M</v>
      </c>
      <c r="C51" s="215">
        <f t="shared" ca="1" si="3"/>
        <v>3.7095890410958905</v>
      </c>
      <c r="D51" s="168">
        <f ca="1">IF(NOT($C$6),"",IF(GetConvertDate(CDSRollDate,B51)&lt;Parameter_Date,0,GetGetDefaultprob($I$6,B51)))</f>
        <v>2.168598050991255E-2</v>
      </c>
      <c r="E51" s="177">
        <f t="shared" ca="1" si="2"/>
        <v>9.2965319056389946E-3</v>
      </c>
      <c r="F51" s="163"/>
      <c r="G51" s="164"/>
    </row>
    <row r="52" spans="2:7">
      <c r="B52" s="183" t="str">
        <f t="shared" si="0"/>
        <v>43M</v>
      </c>
      <c r="C52" s="215">
        <f t="shared" ca="1" si="3"/>
        <v>3.7945205479452055</v>
      </c>
      <c r="D52" s="168">
        <f ca="1">IF(NOT($C$6),"",IF(GetConvertDate(CDSRollDate,B52)&lt;Parameter_Date,0,GetGetDefaultprob($I$6,B52)))</f>
        <v>2.2458121537610398E-2</v>
      </c>
      <c r="E52" s="177">
        <f t="shared" ca="1" si="2"/>
        <v>9.2965319056392999E-3</v>
      </c>
      <c r="F52" s="163"/>
      <c r="G52" s="164"/>
    </row>
    <row r="53" spans="2:7">
      <c r="B53" s="183" t="str">
        <f t="shared" si="0"/>
        <v>44M</v>
      </c>
      <c r="C53" s="215">
        <f t="shared" ca="1" si="3"/>
        <v>3.8767123287671232</v>
      </c>
      <c r="D53" s="168">
        <f ca="1">IF(NOT($C$6),"",IF(GetConvertDate(CDSRollDate,B53)&lt;Parameter_Date,0,GetGetDefaultprob($I$6,B53)))</f>
        <v>2.3204774538584161E-2</v>
      </c>
      <c r="E53" s="177">
        <f t="shared" ca="1" si="2"/>
        <v>9.2965319056373969E-3</v>
      </c>
      <c r="F53" s="163"/>
      <c r="G53" s="164"/>
    </row>
    <row r="54" spans="2:7">
      <c r="B54" s="183" t="str">
        <f t="shared" si="0"/>
        <v>45M</v>
      </c>
      <c r="C54" s="215">
        <f t="shared" ca="1" si="3"/>
        <v>3.9616438356164383</v>
      </c>
      <c r="D54" s="168">
        <f ca="1">IF(NOT($C$6),"",IF(GetConvertDate(CDSRollDate,B54)&lt;Parameter_Date,0,GetGetDefaultprob($I$6,B54)))</f>
        <v>2.3975716847712381E-2</v>
      </c>
      <c r="E54" s="177">
        <f t="shared" ca="1" si="2"/>
        <v>9.2965319056406079E-3</v>
      </c>
      <c r="F54" s="163"/>
      <c r="G54" s="164"/>
    </row>
    <row r="55" spans="2:7">
      <c r="B55" s="183" t="str">
        <f t="shared" si="0"/>
        <v>46M</v>
      </c>
      <c r="C55" s="215">
        <f t="shared" ca="1" si="3"/>
        <v>4.043835616438356</v>
      </c>
      <c r="D55" s="168">
        <f ca="1">IF(NOT($C$6),"",IF(GetConvertDate(CDSRollDate,B55)&lt;Parameter_Date,0,GetGetDefaultprob($I$6,B55)))</f>
        <v>2.4721210699275353E-2</v>
      </c>
      <c r="E55" s="177">
        <f t="shared" ca="1" si="2"/>
        <v>9.2965319056387483E-3</v>
      </c>
      <c r="F55" s="163"/>
      <c r="G55" s="164"/>
    </row>
    <row r="56" spans="2:7">
      <c r="B56" s="183" t="str">
        <f t="shared" si="0"/>
        <v>47M</v>
      </c>
      <c r="C56" s="215">
        <f t="shared" ca="1" si="3"/>
        <v>4.1287671232876715</v>
      </c>
      <c r="D56" s="168">
        <f ca="1">IF(NOT($C$6),"",IF(GetConvertDate(CDSRollDate,B56)&lt;Parameter_Date,0,GetGetDefaultprob($I$6,B56)))</f>
        <v>2.5490956150797106E-2</v>
      </c>
      <c r="E56" s="177">
        <f t="shared" ca="1" si="2"/>
        <v>9.2965319056379433E-3</v>
      </c>
      <c r="F56" s="163"/>
      <c r="G56" s="164"/>
    </row>
    <row r="57" spans="2:7">
      <c r="B57" s="183" t="str">
        <f t="shared" si="0"/>
        <v>48M</v>
      </c>
      <c r="C57" s="215">
        <f t="shared" ca="1" si="3"/>
        <v>4.2136986301369861</v>
      </c>
      <c r="D57" s="168">
        <f ca="1">IF(NOT($C$6),"",IF(GetConvertDate(CDSRollDate,B57)&lt;Parameter_Date,0,GetGetDefaultprob($I$6,B57)))</f>
        <v>2.6260094075459373E-2</v>
      </c>
      <c r="E57" s="177">
        <f t="shared" ca="1" si="2"/>
        <v>9.2965319056393485E-3</v>
      </c>
      <c r="F57" s="163"/>
      <c r="G57" s="164"/>
    </row>
    <row r="58" spans="2:7">
      <c r="B58" s="183" t="str">
        <f t="shared" si="0"/>
        <v>49M</v>
      </c>
      <c r="C58" s="215">
        <f t="shared" ca="1" si="3"/>
        <v>4.2958904109589042</v>
      </c>
      <c r="D58" s="168">
        <f ca="1">IF(NOT($C$6),"",IF(GetConvertDate(CDSRollDate,B58)&lt;Parameter_Date,0,GetGetDefaultprob($I$6,B58)))</f>
        <v>2.7003843104473013E-2</v>
      </c>
      <c r="E58" s="177">
        <f t="shared" ca="1" si="2"/>
        <v>9.296531905638698E-3</v>
      </c>
      <c r="F58" s="163"/>
      <c r="G58" s="164"/>
    </row>
    <row r="59" spans="2:7">
      <c r="B59" s="183" t="str">
        <f t="shared" si="0"/>
        <v>50M</v>
      </c>
      <c r="C59" s="215">
        <f t="shared" ca="1" si="3"/>
        <v>4.3808219178082188</v>
      </c>
      <c r="D59" s="168">
        <f ca="1">IF(NOT($C$6),"",IF(GetConvertDate(CDSRollDate,B59)&lt;Parameter_Date,0,GetGetDefaultprob($I$6,B59)))</f>
        <v>2.7771786972764723E-2</v>
      </c>
      <c r="E59" s="177">
        <f t="shared" ca="1" si="2"/>
        <v>9.2965319056380405E-3</v>
      </c>
      <c r="F59" s="163"/>
      <c r="G59" s="164"/>
    </row>
    <row r="60" spans="2:7">
      <c r="B60" s="183" t="str">
        <f t="shared" si="0"/>
        <v>51M</v>
      </c>
      <c r="C60" s="215">
        <f t="shared" ca="1" si="3"/>
        <v>4.463013698630137</v>
      </c>
      <c r="D60" s="168">
        <f ca="1">IF(NOT($C$6),"",IF(GetConvertDate(CDSRollDate,B60)&lt;Parameter_Date,0,GetGetDefaultprob($I$6,B60)))</f>
        <v>2.8514381360669749E-2</v>
      </c>
      <c r="E60" s="177">
        <f t="shared" ca="1" si="2"/>
        <v>9.2965319056400493E-3</v>
      </c>
      <c r="F60" s="163"/>
      <c r="G60" s="164"/>
    </row>
    <row r="61" spans="2:7">
      <c r="B61" s="183" t="str">
        <f t="shared" si="0"/>
        <v>52M</v>
      </c>
      <c r="C61" s="215">
        <f t="shared" ca="1" si="3"/>
        <v>4.5479452054794525</v>
      </c>
      <c r="D61" s="168">
        <f ca="1">IF(NOT($C$6),"",IF(GetConvertDate(CDSRollDate,B61)&lt;Parameter_Date,0,GetGetDefaultprob($I$6,B61)))</f>
        <v>2.9281133026316741E-2</v>
      </c>
      <c r="E61" s="177">
        <f t="shared" ca="1" si="2"/>
        <v>9.2965319056392513E-3</v>
      </c>
      <c r="F61" s="163"/>
      <c r="G61" s="164"/>
    </row>
    <row r="62" spans="2:7">
      <c r="B62" s="183" t="str">
        <f t="shared" si="0"/>
        <v>53M</v>
      </c>
      <c r="C62" s="215">
        <f t="shared" ca="1" si="3"/>
        <v>4.6328767123287671</v>
      </c>
      <c r="D62" s="168">
        <f ca="1">IF(NOT($C$6),"",IF(GetConvertDate(CDSRollDate,B62)&lt;Parameter_Date,0,GetGetDefaultprob($I$6,B62)))</f>
        <v>3.0047279527970039E-2</v>
      </c>
      <c r="E62" s="177">
        <f t="shared" ca="1" si="2"/>
        <v>9.2965319056380405E-3</v>
      </c>
      <c r="F62" s="163"/>
      <c r="G62" s="164"/>
    </row>
    <row r="63" spans="2:7">
      <c r="B63" s="183" t="str">
        <f t="shared" si="0"/>
        <v>54M</v>
      </c>
      <c r="C63" s="215">
        <f t="shared" ca="1" si="3"/>
        <v>4.7095890410958905</v>
      </c>
      <c r="D63" s="168">
        <f ca="1">IF(NOT($C$6),"",IF(GetConvertDate(CDSRollDate,B63)&lt;Parameter_Date,0,GetGetDefaultprob($I$6,B63)))</f>
        <v>3.0738763065721542E-2</v>
      </c>
      <c r="E63" s="177">
        <f t="shared" ca="1" si="2"/>
        <v>9.2965319056369199E-3</v>
      </c>
      <c r="F63" s="163"/>
      <c r="G63" s="164"/>
    </row>
    <row r="64" spans="2:7">
      <c r="B64" s="183" t="str">
        <f t="shared" si="0"/>
        <v>55M</v>
      </c>
      <c r="C64" s="215">
        <f t="shared" ca="1" si="3"/>
        <v>4.7945205479452051</v>
      </c>
      <c r="D64" s="168">
        <f ca="1">IF(NOT($C$6),"",IF(GetConvertDate(CDSRollDate,B64)&lt;Parameter_Date,0,GetGetDefaultprob($I$6,B64)))</f>
        <v>3.1503759122901931E-2</v>
      </c>
      <c r="E64" s="177">
        <f t="shared" ca="1" si="2"/>
        <v>9.2965319056406565E-3</v>
      </c>
      <c r="F64" s="163"/>
      <c r="G64" s="164"/>
    </row>
    <row r="65" spans="2:7">
      <c r="B65" s="183" t="str">
        <f t="shared" si="0"/>
        <v>56M</v>
      </c>
      <c r="C65" s="215">
        <f t="shared" ca="1" si="3"/>
        <v>4.8767123287671232</v>
      </c>
      <c r="D65" s="168">
        <f ca="1">IF(NOT($C$6),"",IF(GetConvertDate(CDSRollDate,B65)&lt;Parameter_Date,0,GetGetDefaultprob($I$6,B65)))</f>
        <v>3.2243503005609186E-2</v>
      </c>
      <c r="E65" s="177">
        <f t="shared" ca="1" si="2"/>
        <v>9.2965319056373466E-3</v>
      </c>
      <c r="F65" s="163"/>
      <c r="G65" s="164"/>
    </row>
    <row r="66" spans="2:7">
      <c r="B66" s="183" t="str">
        <f t="shared" si="0"/>
        <v>57M</v>
      </c>
      <c r="C66" s="215">
        <f t="shared" ca="1" si="3"/>
        <v>4.9616438356164387</v>
      </c>
      <c r="D66" s="168">
        <f ca="1">IF(NOT($C$6),"",IF(GetConvertDate(CDSRollDate,B66)&lt;Parameter_Date,0,GetGetDefaultprob($I$6,B66)))</f>
        <v>3.3007311436505371E-2</v>
      </c>
      <c r="E66" s="177">
        <f t="shared" ca="1" si="2"/>
        <v>9.2965319056379433E-3</v>
      </c>
      <c r="F66" s="163"/>
      <c r="G66" s="164"/>
    </row>
    <row r="67" spans="2:7">
      <c r="B67" s="183" t="str">
        <f t="shared" si="0"/>
        <v>58M</v>
      </c>
      <c r="C67" s="215">
        <f t="shared" ca="1" si="3"/>
        <v>5.043835616438356</v>
      </c>
      <c r="D67" s="168">
        <f ca="1">IF(NOT($C$6),"",IF(GetConvertDate(CDSRollDate,B67)&lt;Parameter_Date,0,GetGetDefaultprob($I$6,B67)))</f>
        <v>3.374590689593604E-2</v>
      </c>
      <c r="E67" s="177">
        <f t="shared" ca="1" si="2"/>
        <v>9.2965319056374472E-3</v>
      </c>
      <c r="F67" s="163"/>
      <c r="G67" s="164"/>
    </row>
    <row r="68" spans="2:7">
      <c r="B68" s="183" t="str">
        <f t="shared" si="0"/>
        <v>59M</v>
      </c>
      <c r="C68" s="215">
        <f t="shared" ca="1" si="3"/>
        <v>5.1287671232876715</v>
      </c>
      <c r="D68" s="168">
        <f ca="1">IF(NOT($C$6),"",IF(GetConvertDate(CDSRollDate,B68)&lt;Parameter_Date,0,GetGetDefaultprob($I$6,B68)))</f>
        <v>3.45085295442914E-2</v>
      </c>
      <c r="E68" s="177">
        <f t="shared" ca="1" si="2"/>
        <v>9.2965319056405593E-3</v>
      </c>
      <c r="F68" s="163"/>
      <c r="G68" s="164"/>
    </row>
    <row r="69" spans="2:7">
      <c r="B69" s="183" t="str">
        <f t="shared" si="0"/>
        <v>60M</v>
      </c>
      <c r="C69" s="215">
        <f t="shared" ca="1" si="3"/>
        <v>5.2136986301369861</v>
      </c>
      <c r="D69" s="168">
        <f ca="1">IF(NOT($C$6),"",IF(GetConvertDate(CDSRollDate,B69)&lt;Parameter_Date,0,GetGetDefaultprob($I$6,B69)))</f>
        <v>3.5270550287508029E-2</v>
      </c>
      <c r="E69" s="177">
        <f t="shared" ca="1" si="2"/>
        <v>9.2965319056380405E-3</v>
      </c>
      <c r="F69" s="163"/>
      <c r="G69" s="164"/>
    </row>
    <row r="70" spans="2:7">
      <c r="B70" s="183" t="str">
        <f t="shared" si="0"/>
        <v>61M</v>
      </c>
      <c r="C70" s="215">
        <f t="shared" ca="1" si="3"/>
        <v>5.2958904109589042</v>
      </c>
      <c r="D70" s="168">
        <f ca="1">IF(NOT($C$6),"",IF(GetConvertDate(CDSRollDate,B70)&lt;Parameter_Date,0,GetGetDefaultprob($I$6,B70)))</f>
        <v>3.6024014225081169E-2</v>
      </c>
      <c r="E70" s="177">
        <f t="shared" ca="1" si="2"/>
        <v>9.5060084048905445E-3</v>
      </c>
      <c r="F70" s="163"/>
      <c r="G70" s="164"/>
    </row>
    <row r="71" spans="2:7">
      <c r="B71" s="183" t="str">
        <f t="shared" si="0"/>
        <v>62M</v>
      </c>
      <c r="C71" s="215">
        <f t="shared" ca="1" si="3"/>
        <v>5.3808219178082188</v>
      </c>
      <c r="D71" s="168">
        <f ca="1">IF(NOT($C$6),"",IF(GetConvertDate(CDSRollDate,B71)&lt;Parameter_Date,0,GetGetDefaultprob($I$6,B71)))</f>
        <v>3.6801975419184618E-2</v>
      </c>
      <c r="E71" s="177">
        <f t="shared" ca="1" si="2"/>
        <v>9.5060084048901334E-3</v>
      </c>
      <c r="F71" s="163"/>
      <c r="G71" s="164"/>
    </row>
    <row r="72" spans="2:7">
      <c r="B72" s="183" t="str">
        <f t="shared" si="0"/>
        <v>63M</v>
      </c>
      <c r="C72" s="215">
        <f t="shared" ca="1" si="3"/>
        <v>5.463013698630137</v>
      </c>
      <c r="D72" s="168">
        <f ca="1">IF(NOT($C$6),"",IF(GetConvertDate(CDSRollDate,B72)&lt;Parameter_Date,0,GetGetDefaultprob($I$6,B72)))</f>
        <v>3.7554243297478918E-2</v>
      </c>
      <c r="E72" s="177">
        <f t="shared" ca="1" si="2"/>
        <v>9.5060084048891914E-3</v>
      </c>
      <c r="F72" s="163"/>
      <c r="G72" s="164"/>
    </row>
    <row r="73" spans="2:7">
      <c r="B73" s="183" t="str">
        <f t="shared" si="0"/>
        <v>64M</v>
      </c>
      <c r="C73" s="215">
        <f t="shared" ca="1" si="3"/>
        <v>5.5479452054794525</v>
      </c>
      <c r="D73" s="168">
        <f ca="1">IF(NOT($C$6),"",IF(GetConvertDate(CDSRollDate,B73)&lt;Parameter_Date,0,GetGetDefaultprob($I$6,B73)))</f>
        <v>3.8330969545013138E-2</v>
      </c>
      <c r="E73" s="177">
        <f t="shared" ca="1" si="2"/>
        <v>9.5060084048900345E-3</v>
      </c>
      <c r="F73" s="163"/>
      <c r="G73" s="164"/>
    </row>
    <row r="74" spans="2:7">
      <c r="B74" s="183" t="str">
        <f t="shared" si="0"/>
        <v>65M</v>
      </c>
      <c r="C74" s="215">
        <f t="shared" ref="C74:C105" ca="1" si="4">MAX(0,(DATE(YEAR(CDSRollDate),MONTH(CDSRollDate)+ROW()-ROW($B$9),DAY(CDSRollDate))-Parameter_Date)/365)</f>
        <v>5.6328767123287671</v>
      </c>
      <c r="D74" s="168">
        <f ca="1">IF(NOT($C$6),"",IF(GetConvertDate(CDSRollDate,B74)&lt;Parameter_Date,0,GetGetDefaultprob($I$6,B74)))</f>
        <v>3.9107068948219359E-2</v>
      </c>
      <c r="E74" s="177">
        <f t="shared" ca="1" si="2"/>
        <v>9.5060084048901334E-3</v>
      </c>
      <c r="F74" s="163"/>
      <c r="G74" s="164"/>
    </row>
    <row r="75" spans="2:7">
      <c r="B75" s="183" t="str">
        <f t="shared" ref="B75:B129" si="5">ROW()-ROW($B$9)&amp;"M"</f>
        <v>66M</v>
      </c>
      <c r="C75" s="215">
        <f t="shared" ca="1" si="4"/>
        <v>5.7095890410958905</v>
      </c>
      <c r="D75" s="168">
        <f ca="1">IF(NOT($C$6),"",IF(GetConvertDate(CDSRollDate,B75)&lt;Parameter_Date,0,GetGetDefaultprob($I$6,B75)))</f>
        <v>3.9807523592295557E-2</v>
      </c>
      <c r="E75" s="177">
        <f t="shared" ca="1" si="2"/>
        <v>9.5060084048906191E-3</v>
      </c>
      <c r="F75" s="163"/>
      <c r="G75" s="164"/>
    </row>
    <row r="76" spans="2:7">
      <c r="B76" s="183" t="str">
        <f t="shared" si="5"/>
        <v>67M</v>
      </c>
      <c r="C76" s="215">
        <f t="shared" ca="1" si="4"/>
        <v>5.7945205479452051</v>
      </c>
      <c r="D76" s="168">
        <f ca="1">IF(NOT($C$6),"",IF(GetConvertDate(CDSRollDate,B76)&lt;Parameter_Date,0,GetGetDefaultprob($I$6,B76)))</f>
        <v>4.0582431366491645E-2</v>
      </c>
      <c r="E76" s="177">
        <f t="shared" ref="E76:E129" ca="1" si="6">IF(NOT($C$6),"",IF(C76=0,0,-LN((1-D76)/(1-D75))/($C76-$C75)))</f>
        <v>9.5060084048914414E-3</v>
      </c>
      <c r="F76" s="163"/>
      <c r="G76" s="164"/>
    </row>
    <row r="77" spans="2:7">
      <c r="B77" s="183" t="str">
        <f t="shared" si="5"/>
        <v>68M</v>
      </c>
      <c r="C77" s="215">
        <f t="shared" ca="1" si="4"/>
        <v>5.8767123287671232</v>
      </c>
      <c r="D77" s="168">
        <f ca="1">IF(NOT($C$6),"",IF(GetConvertDate(CDSRollDate,B77)&lt;Parameter_Date,0,GetGetDefaultprob($I$6,B77)))</f>
        <v>4.133174666857431E-2</v>
      </c>
      <c r="E77" s="177">
        <f t="shared" ca="1" si="6"/>
        <v>9.5060084048891914E-3</v>
      </c>
      <c r="F77" s="163"/>
      <c r="G77" s="164"/>
    </row>
    <row r="78" spans="2:7">
      <c r="B78" s="183" t="str">
        <f t="shared" si="5"/>
        <v>69M</v>
      </c>
      <c r="C78" s="215">
        <f t="shared" ca="1" si="4"/>
        <v>5.9616438356164387</v>
      </c>
      <c r="D78" s="168">
        <f ca="1">IF(NOT($C$6),"",IF(GetConvertDate(CDSRollDate,B78)&lt;Parameter_Date,0,GetGetDefaultprob($I$6,B78)))</f>
        <v>4.2105424343242936E-2</v>
      </c>
      <c r="E78" s="177">
        <f t="shared" ca="1" si="6"/>
        <v>9.5060084048900345E-3</v>
      </c>
      <c r="F78" s="163"/>
      <c r="G78" s="164"/>
    </row>
    <row r="79" spans="2:7">
      <c r="B79" s="183" t="str">
        <f t="shared" si="5"/>
        <v>70M</v>
      </c>
      <c r="C79" s="215">
        <f t="shared" ca="1" si="4"/>
        <v>6.043835616438356</v>
      </c>
      <c r="D79" s="168">
        <f ca="1">IF(NOT($C$6),"",IF(GetConvertDate(CDSRollDate,B79)&lt;Parameter_Date,0,GetGetDefaultprob($I$6,B79)))</f>
        <v>4.285355017164949E-2</v>
      </c>
      <c r="E79" s="177">
        <f t="shared" ca="1" si="6"/>
        <v>9.5060084048906469E-3</v>
      </c>
      <c r="F79" s="163"/>
      <c r="G79" s="164"/>
    </row>
    <row r="80" spans="2:7">
      <c r="B80" s="183" t="str">
        <f t="shared" si="5"/>
        <v>71M</v>
      </c>
      <c r="C80" s="215">
        <f t="shared" ca="1" si="4"/>
        <v>6.1287671232876715</v>
      </c>
      <c r="D80" s="168">
        <f ca="1">IF(NOT($C$6),"",IF(GetConvertDate(CDSRollDate,B80)&lt;Parameter_Date,0,GetGetDefaultprob($I$6,B80)))</f>
        <v>4.362599969946801E-2</v>
      </c>
      <c r="E80" s="177">
        <f t="shared" ca="1" si="6"/>
        <v>9.5060084048887248E-3</v>
      </c>
      <c r="F80" s="163"/>
      <c r="G80" s="164"/>
    </row>
    <row r="81" spans="2:7">
      <c r="B81" s="183" t="str">
        <f t="shared" si="5"/>
        <v>72M</v>
      </c>
      <c r="C81" s="215">
        <f t="shared" ca="1" si="4"/>
        <v>6.2136986301369861</v>
      </c>
      <c r="D81" s="168">
        <f ca="1">IF(NOT($C$6),"",IF(GetConvertDate(CDSRollDate,B81)&lt;Parameter_Date,0,GetGetDefaultprob($I$6,B81)))</f>
        <v>4.4397825834415983E-2</v>
      </c>
      <c r="E81" s="177">
        <f t="shared" ca="1" si="6"/>
        <v>9.5060084048914414E-3</v>
      </c>
      <c r="F81" s="163"/>
      <c r="G81" s="164"/>
    </row>
    <row r="82" spans="2:7">
      <c r="B82" s="183" t="str">
        <f t="shared" si="5"/>
        <v>73M</v>
      </c>
      <c r="C82" s="215">
        <f t="shared" ca="1" si="4"/>
        <v>6.2958904109589042</v>
      </c>
      <c r="D82" s="168">
        <f ca="1">IF(NOT($C$6),"",IF(GetConvertDate(CDSRollDate,B82)&lt;Parameter_Date,0,GetGetDefaultprob($I$6,B82)))</f>
        <v>4.5144161272931749E-2</v>
      </c>
      <c r="E82" s="177">
        <f t="shared" ca="1" si="6"/>
        <v>9.5060084048891914E-3</v>
      </c>
      <c r="F82" s="163"/>
      <c r="G82" s="164"/>
    </row>
    <row r="83" spans="2:7">
      <c r="B83" s="183" t="str">
        <f t="shared" si="5"/>
        <v>74M</v>
      </c>
      <c r="C83" s="215">
        <f t="shared" ca="1" si="4"/>
        <v>6.3808219178082188</v>
      </c>
      <c r="D83" s="168">
        <f ca="1">IF(NOT($C$6),"",IF(GetConvertDate(CDSRollDate,B83)&lt;Parameter_Date,0,GetGetDefaultprob($I$6,B83)))</f>
        <v>4.5914762200189863E-2</v>
      </c>
      <c r="E83" s="177">
        <f t="shared" ca="1" si="6"/>
        <v>9.5060084048901334E-3</v>
      </c>
      <c r="F83" s="163"/>
      <c r="G83" s="164"/>
    </row>
    <row r="84" spans="2:7">
      <c r="B84" s="183" t="str">
        <f t="shared" si="5"/>
        <v>75M</v>
      </c>
      <c r="C84" s="215">
        <f t="shared" ca="1" si="4"/>
        <v>6.463013698630137</v>
      </c>
      <c r="D84" s="168">
        <f ca="1">IF(NOT($C$6),"",IF(GetConvertDate(CDSRollDate,B84)&lt;Parameter_Date,0,GetGetDefaultprob($I$6,B84)))</f>
        <v>4.6659912895306799E-2</v>
      </c>
      <c r="E84" s="177">
        <f t="shared" ca="1" si="6"/>
        <v>9.5060084048891914E-3</v>
      </c>
      <c r="F84" s="163"/>
      <c r="G84" s="164"/>
    </row>
    <row r="85" spans="2:7">
      <c r="B85" s="183" t="str">
        <f t="shared" si="5"/>
        <v>76M</v>
      </c>
      <c r="C85" s="215">
        <f t="shared" ca="1" si="4"/>
        <v>6.5479452054794525</v>
      </c>
      <c r="D85" s="168">
        <f ca="1">IF(NOT($C$6),"",IF(GetConvertDate(CDSRollDate,B85)&lt;Parameter_Date,0,GetGetDefaultprob($I$6,B85)))</f>
        <v>4.7429290559787174E-2</v>
      </c>
      <c r="E85" s="177">
        <f t="shared" ca="1" si="6"/>
        <v>9.5060084048913425E-3</v>
      </c>
      <c r="F85" s="163"/>
      <c r="G85" s="164"/>
    </row>
    <row r="86" spans="2:7">
      <c r="B86" s="183" t="str">
        <f t="shared" si="5"/>
        <v>77M</v>
      </c>
      <c r="C86" s="215">
        <f t="shared" ca="1" si="4"/>
        <v>6.6328767123287671</v>
      </c>
      <c r="D86" s="168">
        <f ca="1">IF(NOT($C$6),"",IF(GetConvertDate(CDSRollDate,B86)&lt;Parameter_Date,0,GetGetDefaultprob($I$6,B86)))</f>
        <v>4.8198047310494263E-2</v>
      </c>
      <c r="E86" s="177">
        <f t="shared" ca="1" si="6"/>
        <v>9.5060084048901334E-3</v>
      </c>
      <c r="F86" s="163"/>
      <c r="G86" s="164"/>
    </row>
    <row r="87" spans="2:7">
      <c r="B87" s="183" t="str">
        <f t="shared" si="5"/>
        <v>78M</v>
      </c>
      <c r="C87" s="215">
        <f t="shared" ca="1" si="4"/>
        <v>6.7095890410958905</v>
      </c>
      <c r="D87" s="168">
        <f ca="1">IF(NOT($C$6),"",IF(GetConvertDate(CDSRollDate,B87)&lt;Parameter_Date,0,GetGetDefaultprob($I$6,B87)))</f>
        <v>4.8891874974802629E-2</v>
      </c>
      <c r="E87" s="177">
        <f t="shared" ca="1" si="6"/>
        <v>9.5060084048891706E-3</v>
      </c>
      <c r="F87" s="163"/>
      <c r="G87" s="164"/>
    </row>
    <row r="88" spans="2:7">
      <c r="B88" s="183" t="str">
        <f t="shared" si="5"/>
        <v>79M</v>
      </c>
      <c r="C88" s="215">
        <f t="shared" ca="1" si="4"/>
        <v>6.7945205479452051</v>
      </c>
      <c r="D88" s="168">
        <f ca="1">IF(NOT($C$6),"",IF(GetConvertDate(CDSRollDate,B88)&lt;Parameter_Date,0,GetGetDefaultprob($I$6,B88)))</f>
        <v>4.9659451370464902E-2</v>
      </c>
      <c r="E88" s="177">
        <f t="shared" ca="1" si="6"/>
        <v>9.5060084048914414E-3</v>
      </c>
      <c r="F88" s="163"/>
      <c r="G88" s="164"/>
    </row>
    <row r="89" spans="2:7">
      <c r="B89" s="183" t="str">
        <f t="shared" si="5"/>
        <v>80M</v>
      </c>
      <c r="C89" s="215">
        <f t="shared" ca="1" si="4"/>
        <v>6.8767123287671232</v>
      </c>
      <c r="D89" s="168">
        <f ca="1">IF(NOT($C$6),"",IF(GetConvertDate(CDSRollDate,B89)&lt;Parameter_Date,0,GetGetDefaultprob($I$6,B89)))</f>
        <v>5.0401677423602687E-2</v>
      </c>
      <c r="E89" s="177">
        <f t="shared" ca="1" si="6"/>
        <v>9.5060084048905445E-3</v>
      </c>
      <c r="F89" s="163"/>
      <c r="G89" s="164"/>
    </row>
    <row r="90" spans="2:7">
      <c r="B90" s="183" t="str">
        <f t="shared" si="5"/>
        <v>81M</v>
      </c>
      <c r="C90" s="215">
        <f t="shared" ca="1" si="4"/>
        <v>6.9616438356164387</v>
      </c>
      <c r="D90" s="168">
        <f ca="1">IF(NOT($C$6),"",IF(GetConvertDate(CDSRollDate,B90)&lt;Parameter_Date,0,GetGetDefaultprob($I$6,B90)))</f>
        <v>5.1168035357671227E-2</v>
      </c>
      <c r="E90" s="177">
        <f t="shared" ca="1" si="6"/>
        <v>9.5060084048900345E-3</v>
      </c>
      <c r="F90" s="163"/>
      <c r="G90" s="164"/>
    </row>
    <row r="91" spans="2:7">
      <c r="B91" s="183" t="str">
        <f t="shared" si="5"/>
        <v>82M</v>
      </c>
      <c r="C91" s="215">
        <f t="shared" ca="1" si="4"/>
        <v>7.043835616438356</v>
      </c>
      <c r="D91" s="168">
        <f ca="1">IF(NOT($C$6),"",IF(GetConvertDate(CDSRollDate,B91)&lt;Parameter_Date,0,GetGetDefaultprob($I$6,B91)))</f>
        <v>5.1909083190706307E-2</v>
      </c>
      <c r="E91" s="177">
        <f t="shared" ca="1" si="6"/>
        <v>9.5060084048892955E-3</v>
      </c>
      <c r="F91" s="163"/>
      <c r="G91" s="164"/>
    </row>
    <row r="92" spans="2:7">
      <c r="B92" s="183" t="str">
        <f t="shared" si="5"/>
        <v>83M</v>
      </c>
      <c r="C92" s="215">
        <f t="shared" ca="1" si="4"/>
        <v>7.1287671232876715</v>
      </c>
      <c r="D92" s="168">
        <f ca="1">IF(NOT($C$6),"",IF(GetConvertDate(CDSRollDate,B92)&lt;Parameter_Date,0,GetGetDefaultprob($I$6,B92)))</f>
        <v>5.2674224597384245E-2</v>
      </c>
      <c r="E92" s="177">
        <f t="shared" ca="1" si="6"/>
        <v>9.5060084048900345E-3</v>
      </c>
      <c r="F92" s="163"/>
      <c r="G92" s="164"/>
    </row>
    <row r="93" spans="2:7">
      <c r="B93" s="183" t="str">
        <f t="shared" si="5"/>
        <v>84M</v>
      </c>
      <c r="C93" s="215">
        <f t="shared" ca="1" si="4"/>
        <v>7.2136986301369861</v>
      </c>
      <c r="D93" s="168">
        <f ca="1">IF(NOT($C$6),"",IF(GetConvertDate(CDSRollDate,B93)&lt;Parameter_Date,0,GetGetDefaultprob($I$6,B93)))</f>
        <v>5.3438748509092249E-2</v>
      </c>
      <c r="E93" s="177">
        <f t="shared" ca="1" si="6"/>
        <v>9.5060084048914414E-3</v>
      </c>
      <c r="F93" s="163"/>
      <c r="G93" s="164"/>
    </row>
    <row r="94" spans="2:7">
      <c r="B94" s="183" t="str">
        <f t="shared" si="5"/>
        <v>85M</v>
      </c>
      <c r="C94" s="215">
        <f t="shared" ca="1" si="4"/>
        <v>7.2958904109589042</v>
      </c>
      <c r="D94" s="168">
        <f ca="1">IF(NOT($C$6),"",IF(GetConvertDate(CDSRollDate,B94)&lt;Parameter_Date,0,GetGetDefaultprob($I$6,B94)))</f>
        <v>5.4232090605970451E-2</v>
      </c>
      <c r="E94" s="177">
        <f t="shared" ca="1" si="6"/>
        <v>1.0201533232564083E-2</v>
      </c>
      <c r="F94" s="163"/>
      <c r="G94" s="164"/>
    </row>
    <row r="95" spans="2:7">
      <c r="B95" s="183" t="str">
        <f t="shared" si="5"/>
        <v>86M</v>
      </c>
      <c r="C95" s="215">
        <f t="shared" ca="1" si="4"/>
        <v>7.3808219178082188</v>
      </c>
      <c r="D95" s="168">
        <f ca="1">IF(NOT($C$6),"",IF(GetConvertDate(CDSRollDate,B95)&lt;Parameter_Date,0,GetGetDefaultprob($I$6,B95)))</f>
        <v>5.5051178905883624E-2</v>
      </c>
      <c r="E95" s="177">
        <f t="shared" ca="1" si="6"/>
        <v>1.0201533232563637E-2</v>
      </c>
      <c r="F95" s="163"/>
      <c r="G95" s="164"/>
    </row>
    <row r="96" spans="2:7">
      <c r="B96" s="183" t="str">
        <f t="shared" si="5"/>
        <v>87M</v>
      </c>
      <c r="C96" s="215">
        <f t="shared" ca="1" si="4"/>
        <v>7.463013698630137</v>
      </c>
      <c r="D96" s="168">
        <f ca="1">IF(NOT($C$6),"",IF(GetConvertDate(CDSRollDate,B96)&lt;Parameter_Date,0,GetGetDefaultprob($I$6,B96)))</f>
        <v>5.5843169575254925E-2</v>
      </c>
      <c r="E96" s="177">
        <f t="shared" ca="1" si="6"/>
        <v>1.020153323256138E-2</v>
      </c>
      <c r="F96" s="163"/>
      <c r="G96" s="164"/>
    </row>
    <row r="97" spans="2:7">
      <c r="B97" s="183" t="str">
        <f t="shared" si="5"/>
        <v>88M</v>
      </c>
      <c r="C97" s="215">
        <f t="shared" ca="1" si="4"/>
        <v>7.5479452054794525</v>
      </c>
      <c r="D97" s="168">
        <f ca="1">IF(NOT($C$6),"",IF(GetConvertDate(CDSRollDate,B97)&lt;Parameter_Date,0,GetGetDefaultprob($I$6,B97)))</f>
        <v>5.6660862590002692E-2</v>
      </c>
      <c r="E97" s="177">
        <f t="shared" ca="1" si="6"/>
        <v>1.0201533232564839E-2</v>
      </c>
      <c r="F97" s="163"/>
      <c r="G97" s="164"/>
    </row>
    <row r="98" spans="2:7">
      <c r="B98" s="183" t="str">
        <f t="shared" si="5"/>
        <v>89M</v>
      </c>
      <c r="C98" s="215">
        <f t="shared" ca="1" si="4"/>
        <v>7.6328767123287671</v>
      </c>
      <c r="D98" s="168">
        <f ca="1">IF(NOT($C$6),"",IF(GetConvertDate(CDSRollDate,B98)&lt;Parameter_Date,0,GetGetDefaultprob($I$6,B98)))</f>
        <v>5.7477847436525731E-2</v>
      </c>
      <c r="E98" s="177">
        <f t="shared" ca="1" si="6"/>
        <v>1.0201533232563637E-2</v>
      </c>
      <c r="F98" s="163"/>
      <c r="G98" s="164"/>
    </row>
    <row r="99" spans="2:7">
      <c r="B99" s="183" t="str">
        <f t="shared" si="5"/>
        <v>90M</v>
      </c>
      <c r="C99" s="215">
        <f t="shared" ca="1" si="4"/>
        <v>7.7123287671232879</v>
      </c>
      <c r="D99" s="168">
        <f ca="1">IF(NOT($C$6),"",IF(GetConvertDate(CDSRollDate,B99)&lt;Parameter_Date,0,GetGetDefaultprob($I$6,B99)))</f>
        <v>5.8241483016946205E-2</v>
      </c>
      <c r="E99" s="177">
        <f t="shared" ca="1" si="6"/>
        <v>1.0201533232563759E-2</v>
      </c>
      <c r="F99" s="163"/>
      <c r="G99" s="164"/>
    </row>
    <row r="100" spans="2:7">
      <c r="B100" s="183" t="str">
        <f t="shared" si="5"/>
        <v>91M</v>
      </c>
      <c r="C100" s="215">
        <f t="shared" ca="1" si="4"/>
        <v>7.7972602739726025</v>
      </c>
      <c r="D100" s="168">
        <f ca="1">IF(NOT($C$6),"",IF(GetConvertDate(CDSRollDate,B100)&lt;Parameter_Date,0,GetGetDefaultprob($I$6,B100)))</f>
        <v>5.9057098957117637E-2</v>
      </c>
      <c r="E100" s="177">
        <f t="shared" ca="1" si="6"/>
        <v>1.0201533232563637E-2</v>
      </c>
      <c r="F100" s="163"/>
      <c r="G100" s="164"/>
    </row>
    <row r="101" spans="2:7">
      <c r="B101" s="183" t="str">
        <f t="shared" si="5"/>
        <v>92M</v>
      </c>
      <c r="C101" s="215">
        <f t="shared" ca="1" si="4"/>
        <v>7.8794520547945206</v>
      </c>
      <c r="D101" s="168">
        <f ca="1">IF(NOT($C$6),"",IF(GetConvertDate(CDSRollDate,B101)&lt;Parameter_Date,0,GetGetDefaultprob($I$6,B101)))</f>
        <v>5.9845732141689867E-2</v>
      </c>
      <c r="E101" s="177">
        <f t="shared" ca="1" si="6"/>
        <v>1.0201533232562732E-2</v>
      </c>
      <c r="F101" s="163"/>
      <c r="G101" s="164"/>
    </row>
    <row r="102" spans="2:7">
      <c r="B102" s="183" t="str">
        <f t="shared" si="5"/>
        <v>93M</v>
      </c>
      <c r="C102" s="215">
        <f t="shared" ca="1" si="4"/>
        <v>7.9643835616438352</v>
      </c>
      <c r="D102" s="168">
        <f ca="1">IF(NOT($C$6),"",IF(GetConvertDate(CDSRollDate,B102)&lt;Parameter_Date,0,GetGetDefaultprob($I$6,B102)))</f>
        <v>6.0659958711726025E-2</v>
      </c>
      <c r="E102" s="177">
        <f t="shared" ca="1" si="6"/>
        <v>1.0201533232563637E-2</v>
      </c>
      <c r="F102" s="163"/>
      <c r="G102" s="164"/>
    </row>
    <row r="103" spans="2:7">
      <c r="B103" s="183" t="str">
        <f t="shared" si="5"/>
        <v>94M</v>
      </c>
      <c r="C103" s="215">
        <f t="shared" ca="1" si="4"/>
        <v>8.0465753424657542</v>
      </c>
      <c r="D103" s="168">
        <f ca="1">IF(NOT($C$6),"",IF(GetConvertDate(CDSRollDate,B103)&lt;Parameter_Date,0,GetGetDefaultprob($I$6,B103)))</f>
        <v>6.1447248490241191E-2</v>
      </c>
      <c r="E103" s="177">
        <f t="shared" ca="1" si="6"/>
        <v>1.0201533232563974E-2</v>
      </c>
      <c r="F103" s="163"/>
      <c r="G103" s="164"/>
    </row>
    <row r="104" spans="2:7">
      <c r="B104" s="183" t="str">
        <f t="shared" si="5"/>
        <v>95M</v>
      </c>
      <c r="C104" s="215">
        <f t="shared" ca="1" si="4"/>
        <v>8.131506849315068</v>
      </c>
      <c r="D104" s="168">
        <f ca="1">IF(NOT($C$6),"",IF(GetConvertDate(CDSRollDate,B104)&lt;Parameter_Date,0,GetGetDefaultprob($I$6,B104)))</f>
        <v>6.2260088056880214E-2</v>
      </c>
      <c r="E104" s="177">
        <f t="shared" ca="1" si="6"/>
        <v>1.0201533232563745E-2</v>
      </c>
      <c r="F104" s="163"/>
      <c r="G104" s="164"/>
    </row>
    <row r="105" spans="2:7">
      <c r="B105" s="183" t="str">
        <f t="shared" si="5"/>
        <v>96M</v>
      </c>
      <c r="C105" s="215">
        <f t="shared" ca="1" si="4"/>
        <v>8.2164383561643834</v>
      </c>
      <c r="D105" s="168">
        <f ca="1">IF(NOT($C$6),"",IF(GetConvertDate(CDSRollDate,B105)&lt;Parameter_Date,0,GetGetDefaultprob($I$6,B105)))</f>
        <v>6.307222365865417E-2</v>
      </c>
      <c r="E105" s="177">
        <f t="shared" ca="1" si="6"/>
        <v>1.0201533232563531E-2</v>
      </c>
      <c r="F105" s="163"/>
      <c r="G105" s="164"/>
    </row>
    <row r="106" spans="2:7">
      <c r="B106" s="183" t="str">
        <f t="shared" si="5"/>
        <v>97M</v>
      </c>
      <c r="C106" s="215">
        <f t="shared" ref="C106:C129" ca="1" si="7">MAX(0,(DATE(YEAR(CDSRollDate),MONTH(CDSRollDate)+ROW()-ROW($B$9),DAY(CDSRollDate))-Parameter_Date)/365)</f>
        <v>8.2986301369863007</v>
      </c>
      <c r="D106" s="168">
        <f ca="1">IF(NOT($C$6),"",IF(GetConvertDate(CDSRollDate,B106)&lt;Parameter_Date,0,GetGetDefaultprob($I$6,B106)))</f>
        <v>6.3857491643726783E-2</v>
      </c>
      <c r="E106" s="177">
        <f t="shared" ca="1" si="6"/>
        <v>1.0201533232564194E-2</v>
      </c>
      <c r="F106" s="163"/>
      <c r="G106" s="164"/>
    </row>
    <row r="107" spans="2:7">
      <c r="B107" s="183" t="str">
        <f t="shared" si="5"/>
        <v>98M</v>
      </c>
      <c r="C107" s="215">
        <f t="shared" ca="1" si="7"/>
        <v>8.3835616438356162</v>
      </c>
      <c r="D107" s="168">
        <f ca="1">IF(NOT($C$6),"",IF(GetConvertDate(CDSRollDate,B107)&lt;Parameter_Date,0,GetGetDefaultprob($I$6,B107)))</f>
        <v>6.4668243803986947E-2</v>
      </c>
      <c r="E107" s="177">
        <f t="shared" ca="1" si="6"/>
        <v>1.0201533232562222E-2</v>
      </c>
      <c r="F107" s="163"/>
      <c r="G107" s="164"/>
    </row>
    <row r="108" spans="2:7">
      <c r="B108" s="183" t="str">
        <f t="shared" si="5"/>
        <v>99M</v>
      </c>
      <c r="C108" s="215">
        <f t="shared" ca="1" si="7"/>
        <v>8.4657534246575334</v>
      </c>
      <c r="D108" s="168">
        <f ca="1">IF(NOT($C$6),"",IF(GetConvertDate(CDSRollDate,B108)&lt;Parameter_Date,0,GetGetDefaultprob($I$6,B108)))</f>
        <v>6.5452174115489203E-2</v>
      </c>
      <c r="E108" s="177">
        <f t="shared" ca="1" si="6"/>
        <v>1.0201533232562843E-2</v>
      </c>
      <c r="F108" s="163"/>
      <c r="G108" s="164"/>
    </row>
    <row r="109" spans="2:7">
      <c r="B109" s="183" t="str">
        <f t="shared" si="5"/>
        <v>100M</v>
      </c>
      <c r="C109" s="215">
        <f t="shared" ca="1" si="7"/>
        <v>8.5506849315068489</v>
      </c>
      <c r="D109" s="168">
        <f ca="1">IF(NOT($C$6),"",IF(GetConvertDate(CDSRollDate,B109)&lt;Parameter_Date,0,GetGetDefaultprob($I$6,B109)))</f>
        <v>6.6261545190874682E-2</v>
      </c>
      <c r="E109" s="177">
        <f t="shared" ca="1" si="6"/>
        <v>1.0201533232563531E-2</v>
      </c>
      <c r="F109" s="163"/>
      <c r="G109" s="164"/>
    </row>
    <row r="110" spans="2:7">
      <c r="B110" s="183" t="str">
        <f t="shared" si="5"/>
        <v>101M</v>
      </c>
      <c r="C110" s="215">
        <f t="shared" ca="1" si="7"/>
        <v>8.6356164383561644</v>
      </c>
      <c r="D110" s="168">
        <f ca="1">IF(NOT($C$6),"",IF(GetConvertDate(CDSRollDate,B110)&lt;Parameter_Date,0,GetGetDefaultprob($I$6,B110)))</f>
        <v>6.7070215305303882E-2</v>
      </c>
      <c r="E110" s="177">
        <f t="shared" ca="1" si="6"/>
        <v>1.0201533232563531E-2</v>
      </c>
      <c r="F110" s="163"/>
      <c r="G110" s="164"/>
    </row>
    <row r="111" spans="2:7">
      <c r="B111" s="183" t="str">
        <f t="shared" si="5"/>
        <v>102M</v>
      </c>
      <c r="C111" s="215">
        <f t="shared" ca="1" si="7"/>
        <v>8.712328767123287</v>
      </c>
      <c r="D111" s="168">
        <f ca="1">IF(NOT($C$6),"",IF(GetConvertDate(CDSRollDate,B111)&lt;Parameter_Date,0,GetGetDefaultprob($I$6,B111)))</f>
        <v>6.7800025035637534E-2</v>
      </c>
      <c r="E111" s="177">
        <f t="shared" ca="1" si="6"/>
        <v>1.0201533232564747E-2</v>
      </c>
      <c r="F111" s="163"/>
      <c r="G111" s="164"/>
    </row>
    <row r="112" spans="2:7">
      <c r="B112" s="183" t="str">
        <f t="shared" si="5"/>
        <v>103M</v>
      </c>
      <c r="C112" s="215">
        <f t="shared" ca="1" si="7"/>
        <v>8.7972602739726025</v>
      </c>
      <c r="D112" s="168">
        <f ca="1">IF(NOT($C$6),"",IF(GetConvertDate(CDSRollDate,B112)&lt;Parameter_Date,0,GetGetDefaultprob($I$6,B112)))</f>
        <v>6.860736273983381E-2</v>
      </c>
      <c r="E112" s="177">
        <f t="shared" ca="1" si="6"/>
        <v>1.0201533232563531E-2</v>
      </c>
      <c r="F112" s="163"/>
      <c r="G112" s="164"/>
    </row>
    <row r="113" spans="2:7">
      <c r="B113" s="183" t="str">
        <f t="shared" si="5"/>
        <v>104M</v>
      </c>
      <c r="C113" s="215">
        <f t="shared" ca="1" si="7"/>
        <v>8.8794520547945197</v>
      </c>
      <c r="D113" s="168">
        <f ca="1">IF(NOT($C$6),"",IF(GetConvertDate(CDSRollDate,B113)&lt;Parameter_Date,0,GetGetDefaultprob($I$6,B113)))</f>
        <v>6.9387991554606177E-2</v>
      </c>
      <c r="E113" s="177">
        <f t="shared" ca="1" si="6"/>
        <v>1.0201533232562843E-2</v>
      </c>
      <c r="F113" s="163"/>
      <c r="G113" s="164"/>
    </row>
    <row r="114" spans="2:7">
      <c r="B114" s="183" t="str">
        <f t="shared" si="5"/>
        <v>105M</v>
      </c>
      <c r="C114" s="215">
        <f t="shared" ca="1" si="7"/>
        <v>8.9643835616438352</v>
      </c>
      <c r="D114" s="168">
        <f ca="1">IF(NOT($C$6),"",IF(GetConvertDate(CDSRollDate,B114)&lt;Parameter_Date,0,GetGetDefaultprob($I$6,B114)))</f>
        <v>7.0193953990321245E-2</v>
      </c>
      <c r="E114" s="177">
        <f t="shared" ca="1" si="6"/>
        <v>1.0201533232563531E-2</v>
      </c>
      <c r="F114" s="163"/>
      <c r="G114" s="164"/>
    </row>
    <row r="115" spans="2:7">
      <c r="B115" s="183" t="str">
        <f t="shared" si="5"/>
        <v>106M</v>
      </c>
      <c r="C115" s="215">
        <f t="shared" ca="1" si="7"/>
        <v>9.0465753424657542</v>
      </c>
      <c r="D115" s="168">
        <f ca="1">IF(NOT($C$6),"",IF(GetConvertDate(CDSRollDate,B115)&lt;Parameter_Date,0,GetGetDefaultprob($I$6,B115)))</f>
        <v>7.0973253034170125E-2</v>
      </c>
      <c r="E115" s="177">
        <f t="shared" ca="1" si="6"/>
        <v>1.0201533232562621E-2</v>
      </c>
      <c r="F115" s="163"/>
      <c r="G115" s="164"/>
    </row>
    <row r="116" spans="2:7">
      <c r="B116" s="183" t="str">
        <f t="shared" si="5"/>
        <v>107M</v>
      </c>
      <c r="C116" s="215">
        <f t="shared" ca="1" si="7"/>
        <v>9.131506849315068</v>
      </c>
      <c r="D116" s="168">
        <f ca="1">IF(NOT($C$6),"",IF(GetConvertDate(CDSRollDate,B116)&lt;Parameter_Date,0,GetGetDefaultprob($I$6,B116)))</f>
        <v>7.1777842544120563E-2</v>
      </c>
      <c r="E116" s="177">
        <f t="shared" ca="1" si="6"/>
        <v>1.0201533232565053E-2</v>
      </c>
      <c r="F116" s="163"/>
      <c r="G116" s="164"/>
    </row>
    <row r="117" spans="2:7">
      <c r="B117" s="183" t="str">
        <f t="shared" si="5"/>
        <v>108M</v>
      </c>
      <c r="C117" s="215">
        <f t="shared" ca="1" si="7"/>
        <v>9.2164383561643834</v>
      </c>
      <c r="D117" s="168">
        <f ca="1">IF(NOT($C$6),"",IF(GetConvertDate(CDSRollDate,B117)&lt;Parameter_Date,0,GetGetDefaultprob($I$6,B117)))</f>
        <v>7.2581735234219735E-2</v>
      </c>
      <c r="E117" s="177">
        <f t="shared" ca="1" si="6"/>
        <v>1.0201533232562222E-2</v>
      </c>
      <c r="F117" s="163"/>
      <c r="G117" s="164"/>
    </row>
    <row r="118" spans="2:7">
      <c r="B118" s="183" t="str">
        <f t="shared" si="5"/>
        <v>109M</v>
      </c>
      <c r="C118" s="215">
        <f t="shared" ca="1" si="7"/>
        <v>9.2986301369863007</v>
      </c>
      <c r="D118" s="168">
        <f ca="1">IF(NOT($C$6),"",IF(GetConvertDate(CDSRollDate,B118)&lt;Parameter_Date,0,GetGetDefaultprob($I$6,B118)))</f>
        <v>7.3359033005170549E-2</v>
      </c>
      <c r="E118" s="177">
        <f t="shared" ca="1" si="6"/>
        <v>1.0201533232562843E-2</v>
      </c>
      <c r="F118" s="163"/>
      <c r="G118" s="164"/>
    </row>
    <row r="119" spans="2:7">
      <c r="B119" s="183" t="str">
        <f t="shared" si="5"/>
        <v>110M</v>
      </c>
      <c r="C119" s="215">
        <f t="shared" ca="1" si="7"/>
        <v>9.3835616438356162</v>
      </c>
      <c r="D119" s="168">
        <f ca="1">IF(NOT($C$6),"",IF(GetConvertDate(CDSRollDate,B119)&lt;Parameter_Date,0,GetGetDefaultprob($I$6,B119)))</f>
        <v>7.4161556295236575E-2</v>
      </c>
      <c r="E119" s="177">
        <f t="shared" ca="1" si="6"/>
        <v>1.0201533232563531E-2</v>
      </c>
      <c r="F119" s="163"/>
      <c r="G119" s="164"/>
    </row>
    <row r="120" spans="2:7">
      <c r="B120" s="183" t="str">
        <f t="shared" si="5"/>
        <v>111M</v>
      </c>
      <c r="C120" s="215">
        <f t="shared" ca="1" si="7"/>
        <v>9.4657534246575334</v>
      </c>
      <c r="D120" s="168">
        <f ca="1">IF(NOT($C$6),"",IF(GetConvertDate(CDSRollDate,B120)&lt;Parameter_Date,0,GetGetDefaultprob($I$6,B120)))</f>
        <v>7.4937529969567929E-2</v>
      </c>
      <c r="E120" s="177">
        <f t="shared" ca="1" si="6"/>
        <v>1.0201533232562843E-2</v>
      </c>
      <c r="F120" s="163"/>
      <c r="G120" s="164"/>
    </row>
    <row r="121" spans="2:7">
      <c r="B121" s="183" t="str">
        <f t="shared" si="5"/>
        <v>112M</v>
      </c>
      <c r="C121" s="215">
        <f t="shared" ca="1" si="7"/>
        <v>9.5506849315068489</v>
      </c>
      <c r="D121" s="168">
        <f ca="1">IF(NOT($C$6),"",IF(GetConvertDate(CDSRollDate,B121)&lt;Parameter_Date,0,GetGetDefaultprob($I$6,B121)))</f>
        <v>7.5738686192320492E-2</v>
      </c>
      <c r="E121" s="177">
        <f t="shared" ca="1" si="6"/>
        <v>1.0201533232563531E-2</v>
      </c>
      <c r="F121" s="163"/>
      <c r="G121" s="164"/>
    </row>
    <row r="122" spans="2:7">
      <c r="B122" s="183" t="str">
        <f t="shared" si="5"/>
        <v>113M</v>
      </c>
      <c r="C122" s="215">
        <f t="shared" ca="1" si="7"/>
        <v>9.6356164383561644</v>
      </c>
      <c r="D122" s="168">
        <f ca="1">IF(NOT($C$6),"",IF(GetConvertDate(CDSRollDate,B122)&lt;Parameter_Date,0,GetGetDefaultprob($I$6,B122)))</f>
        <v>7.653914856864219E-2</v>
      </c>
      <c r="E122" s="177">
        <f t="shared" ca="1" si="6"/>
        <v>1.0201533232564839E-2</v>
      </c>
      <c r="F122" s="163"/>
      <c r="G122" s="164"/>
    </row>
    <row r="123" spans="2:7">
      <c r="B123" s="183" t="str">
        <f t="shared" si="5"/>
        <v>114M</v>
      </c>
      <c r="C123" s="215">
        <f t="shared" ca="1" si="7"/>
        <v>9.712328767123287</v>
      </c>
      <c r="D123" s="168">
        <f ca="1">IF(NOT($C$6),"",IF(GetConvertDate(CDSRollDate,B123)&lt;Parameter_Date,0,GetGetDefaultprob($I$6,B123)))</f>
        <v>7.7261550968065307E-2</v>
      </c>
      <c r="E123" s="177">
        <f t="shared" ca="1" si="6"/>
        <v>1.0201533232563299E-2</v>
      </c>
      <c r="F123" s="163"/>
      <c r="G123" s="164"/>
    </row>
    <row r="124" spans="2:7">
      <c r="B124" s="183" t="str">
        <f t="shared" si="5"/>
        <v>115M</v>
      </c>
      <c r="C124" s="215">
        <f t="shared" ca="1" si="7"/>
        <v>9.7972602739726025</v>
      </c>
      <c r="D124" s="168">
        <f ca="1">IF(NOT($C$6),"",IF(GetConvertDate(CDSRollDate,B124)&lt;Parameter_Date,0,GetGetDefaultprob($I$6,B124)))</f>
        <v>7.8060694457683599E-2</v>
      </c>
      <c r="E124" s="177">
        <f t="shared" ca="1" si="6"/>
        <v>1.0201533232563531E-2</v>
      </c>
      <c r="F124" s="163"/>
      <c r="G124" s="164"/>
    </row>
    <row r="125" spans="2:7">
      <c r="B125" s="183" t="str">
        <f t="shared" si="5"/>
        <v>116M</v>
      </c>
      <c r="C125" s="215">
        <f t="shared" ca="1" si="7"/>
        <v>9.8794520547945197</v>
      </c>
      <c r="D125" s="168">
        <f ca="1">IF(NOT($C$6),"",IF(GetConvertDate(CDSRollDate,B125)&lt;Parameter_Date,0,GetGetDefaultprob($I$6,B125)))</f>
        <v>7.8833400144400878E-2</v>
      </c>
      <c r="E125" s="177">
        <f t="shared" ca="1" si="6"/>
        <v>1.0201533232562843E-2</v>
      </c>
      <c r="F125" s="163"/>
      <c r="G125" s="164"/>
    </row>
    <row r="126" spans="2:7">
      <c r="B126" s="183" t="str">
        <f t="shared" si="5"/>
        <v>117M</v>
      </c>
      <c r="C126" s="215">
        <f t="shared" ca="1" si="7"/>
        <v>9.9643835616438352</v>
      </c>
      <c r="D126" s="168">
        <f ca="1">IF(NOT($C$6),"",IF(GetConvertDate(CDSRollDate,B126)&lt;Parameter_Date,0,GetGetDefaultprob($I$6,B126)))</f>
        <v>7.9631182324064742E-2</v>
      </c>
      <c r="E126" s="177">
        <f t="shared" ca="1" si="6"/>
        <v>1.0201533232563531E-2</v>
      </c>
      <c r="F126" s="163"/>
      <c r="G126" s="164"/>
    </row>
    <row r="127" spans="2:7">
      <c r="B127" s="183" t="str">
        <f t="shared" si="5"/>
        <v>118M</v>
      </c>
      <c r="C127" s="215">
        <f t="shared" ca="1" si="7"/>
        <v>10.046575342465754</v>
      </c>
      <c r="D127" s="168">
        <f ca="1">IF(NOT($C$6),"",IF(GetConvertDate(CDSRollDate,B127)&lt;Parameter_Date,0,GetGetDefaultprob($I$6,B127)))</f>
        <v>8.0402571736600148E-2</v>
      </c>
      <c r="E127" s="177">
        <f t="shared" ca="1" si="6"/>
        <v>1.0201533232563974E-2</v>
      </c>
      <c r="F127" s="163"/>
      <c r="G127" s="164"/>
    </row>
    <row r="128" spans="2:7">
      <c r="B128" s="183" t="str">
        <f t="shared" si="5"/>
        <v>119M</v>
      </c>
      <c r="C128" s="215">
        <f t="shared" ca="1" si="7"/>
        <v>10.131506849315068</v>
      </c>
      <c r="D128" s="168">
        <f ca="1">IF(NOT($C$6),"",IF(GetConvertDate(CDSRollDate,B128)&lt;Parameter_Date,0,GetGetDefaultprob($I$6,B128)))</f>
        <v>8.1198994925248402E-2</v>
      </c>
      <c r="E128" s="177">
        <f t="shared" ca="1" si="6"/>
        <v>1.0201533232563745E-2</v>
      </c>
      <c r="F128" s="163"/>
      <c r="G128" s="164"/>
    </row>
    <row r="129" spans="2:7" ht="15.75" thickBot="1">
      <c r="B129" s="184" t="str">
        <f t="shared" si="5"/>
        <v>120M</v>
      </c>
      <c r="C129" s="216">
        <f t="shared" ca="1" si="7"/>
        <v>10.216438356164383</v>
      </c>
      <c r="D129" s="178">
        <f ca="1">IF(NOT($C$6),"",IF(GetConvertDate(CDSRollDate,B129)&lt;Parameter_Date,0,GetGetDefaultprob($I$6,B129)))</f>
        <v>8.1994728366539871E-2</v>
      </c>
      <c r="E129" s="217">
        <f t="shared" ca="1" si="6"/>
        <v>1.0201533232562222E-2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2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73" t="s">
        <v>456</v>
      </c>
      <c r="D3" s="574"/>
      <c r="E3" s="575"/>
    </row>
    <row r="4" spans="2:11">
      <c r="C4" s="576"/>
      <c r="D4" s="577"/>
      <c r="E4" s="578"/>
    </row>
    <row r="5" spans="2:11" ht="15.75" thickBot="1">
      <c r="C5" s="579"/>
      <c r="D5" s="580"/>
      <c r="E5" s="581"/>
      <c r="G5" s="477"/>
    </row>
    <row r="6" spans="2:11" ht="15.75" thickBot="1"/>
    <row r="7" spans="2:11" ht="16.5" thickBot="1">
      <c r="B7" s="571" t="s">
        <v>454</v>
      </c>
      <c r="C7" s="572"/>
      <c r="D7" s="79"/>
      <c r="E7" s="571" t="s">
        <v>455</v>
      </c>
      <c r="F7" s="572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19" t="str">
        <f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68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47381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>GetGetCDSName(C8)</f>
        <v>ABNAMRO_MMR.EUR.SU</v>
      </c>
      <c r="H11" s="447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395"/>
      <c r="H12" s="483"/>
      <c r="I12" s="79"/>
      <c r="J12" s="79"/>
      <c r="K12" s="79"/>
    </row>
    <row r="13" spans="2:11" ht="15.75" thickBot="1">
      <c r="B13" s="208" t="s">
        <v>496</v>
      </c>
      <c r="C13" s="446">
        <v>1</v>
      </c>
      <c r="D13" s="79"/>
      <c r="E13" s="79"/>
      <c r="F13" s="79"/>
      <c r="G13" s="221"/>
      <c r="H13" s="79"/>
      <c r="I13" s="79"/>
      <c r="J13" s="79"/>
      <c r="K13" s="79"/>
    </row>
    <row r="14" spans="2:11" ht="15.75" thickBot="1">
      <c r="B14" s="201"/>
      <c r="C14" s="79"/>
      <c r="F14" s="175" t="s">
        <v>75</v>
      </c>
    </row>
    <row r="15" spans="2:11">
      <c r="B15" s="206" t="s">
        <v>82</v>
      </c>
      <c r="C15" s="63" t="s">
        <v>66</v>
      </c>
      <c r="E15" s="223" t="s">
        <v>435</v>
      </c>
      <c r="F15" s="480" t="e" cm="1">
        <f t="array" ref="F15">IF(NOT($F$9),"",getcds(C9,C10,C11,C12,C13,C19,C20,C21,C15,C16,C17,C23,C24,C26,C28:C30,C32))</f>
        <v>#VALUE!</v>
      </c>
      <c r="G15" s="260"/>
      <c r="H15" s="256"/>
      <c r="I15" s="458"/>
      <c r="J15" s="260"/>
      <c r="K15" s="256"/>
    </row>
    <row r="16" spans="2:11">
      <c r="B16" s="207" t="s">
        <v>437</v>
      </c>
      <c r="C16" s="69">
        <v>0</v>
      </c>
      <c r="E16" s="224" t="s">
        <v>436</v>
      </c>
      <c r="F16" s="457"/>
      <c r="G16" s="261"/>
      <c r="H16" s="257"/>
      <c r="I16" s="459"/>
      <c r="J16" s="261"/>
      <c r="K16" s="257"/>
    </row>
    <row r="17" spans="2:11" ht="15.75" thickBot="1">
      <c r="B17" s="208" t="s">
        <v>439</v>
      </c>
      <c r="C17" s="195">
        <v>0</v>
      </c>
      <c r="E17" s="224" t="s">
        <v>438</v>
      </c>
      <c r="F17" s="457"/>
      <c r="G17" s="261"/>
      <c r="H17" s="257"/>
      <c r="I17" s="459"/>
      <c r="J17" s="261"/>
      <c r="K17" s="257"/>
    </row>
    <row r="18" spans="2:11" ht="15.75" thickBot="1">
      <c r="B18" s="201"/>
      <c r="C18" s="79"/>
      <c r="E18" s="224" t="s">
        <v>440</v>
      </c>
      <c r="F18" s="476"/>
      <c r="G18" s="261"/>
      <c r="H18" s="257"/>
      <c r="I18" s="459"/>
      <c r="J18" s="261"/>
      <c r="K18" s="257"/>
    </row>
    <row r="19" spans="2:11">
      <c r="B19" s="206" t="s">
        <v>442</v>
      </c>
      <c r="C19" s="63" t="s">
        <v>83</v>
      </c>
      <c r="E19" s="224" t="s">
        <v>441</v>
      </c>
      <c r="F19" s="457"/>
      <c r="G19" s="262"/>
      <c r="H19" s="257"/>
      <c r="I19" s="460"/>
      <c r="J19" s="262"/>
      <c r="K19" s="257"/>
    </row>
    <row r="20" spans="2:11" ht="15.75" thickBot="1">
      <c r="B20" s="207" t="s">
        <v>444</v>
      </c>
      <c r="C20" s="69" t="s">
        <v>445</v>
      </c>
      <c r="E20" s="224" t="s">
        <v>443</v>
      </c>
      <c r="F20" s="267"/>
      <c r="G20" s="263"/>
      <c r="H20" s="257"/>
      <c r="I20" s="461"/>
      <c r="J20" s="263"/>
      <c r="K20" s="257"/>
    </row>
    <row r="21" spans="2:11" ht="15.75" thickBot="1">
      <c r="B21" s="208" t="s">
        <v>446</v>
      </c>
      <c r="C21" s="478"/>
      <c r="E21" s="225"/>
      <c r="F21" s="258"/>
      <c r="G21" s="258"/>
      <c r="H21" s="259"/>
      <c r="I21" s="258"/>
      <c r="J21" s="258"/>
      <c r="K21" s="259"/>
    </row>
    <row r="22" spans="2:11" ht="15.75" thickBot="1">
      <c r="B22" s="201"/>
      <c r="C22" s="79"/>
      <c r="E22" s="226"/>
      <c r="F22" s="474"/>
      <c r="G22" s="264"/>
      <c r="H22" s="265"/>
      <c r="I22" s="264"/>
      <c r="J22" s="264"/>
      <c r="K22" s="265"/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  <c r="F25" s="520"/>
    </row>
    <row r="26" spans="2:11" ht="15.75" thickBot="1">
      <c r="B26" s="179" t="s">
        <v>449</v>
      </c>
      <c r="C26" s="196" t="b">
        <v>1</v>
      </c>
      <c r="D26" s="85"/>
      <c r="F26" s="520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2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opLeftCell="N1" zoomScale="115" zoomScaleNormal="115" workbookViewId="0">
      <selection activeCell="T15" sqref="T15"/>
    </sheetView>
  </sheetViews>
  <sheetFormatPr defaultColWidth="11.42578125" defaultRowHeight="11.25"/>
  <cols>
    <col min="1" max="1" width="3.140625" style="227" customWidth="1"/>
    <col min="2" max="2" width="17.140625" style="227" customWidth="1"/>
    <col min="3" max="3" width="20" style="228" customWidth="1"/>
    <col min="4" max="4" width="12.28515625" style="228" bestFit="1" customWidth="1"/>
    <col min="5" max="5" width="11" style="228" bestFit="1" customWidth="1"/>
    <col min="6" max="6" width="7.42578125" style="228" customWidth="1"/>
    <col min="7" max="7" width="9.7109375" style="228" customWidth="1"/>
    <col min="8" max="8" width="11.28515625" style="228" customWidth="1"/>
    <col min="9" max="10" width="13.140625" style="227" customWidth="1"/>
    <col min="11" max="11" width="18.5703125" style="227" customWidth="1"/>
    <col min="12" max="12" width="18.42578125" style="227" customWidth="1"/>
    <col min="13" max="13" width="13.140625" style="227" customWidth="1"/>
    <col min="14" max="14" width="27.5703125" style="227" customWidth="1"/>
    <col min="15" max="16" width="13.140625" style="227" customWidth="1"/>
    <col min="17" max="18" width="19.28515625" style="227" customWidth="1"/>
    <col min="19" max="29" width="13.140625" style="227" customWidth="1"/>
    <col min="30" max="30" width="11.42578125" style="227"/>
    <col min="31" max="31" width="13.140625" style="227" customWidth="1"/>
    <col min="32" max="32" width="13.5703125" style="227" customWidth="1"/>
    <col min="33" max="33" width="12.7109375" style="227" customWidth="1"/>
    <col min="34" max="34" width="13.5703125" style="227" customWidth="1"/>
    <col min="35" max="35" width="12.42578125" style="227" customWidth="1"/>
    <col min="36" max="36" width="13" style="227" customWidth="1"/>
    <col min="37" max="37" width="11.42578125" style="227" customWidth="1"/>
    <col min="38" max="39" width="11.42578125" style="227"/>
    <col min="40" max="40" width="25.140625" style="227" customWidth="1"/>
    <col min="41" max="50" width="9.7109375" style="227" customWidth="1"/>
    <col min="51" max="16384" width="11.42578125" style="227"/>
  </cols>
  <sheetData>
    <row r="1" spans="1:30">
      <c r="S1" s="228"/>
    </row>
    <row r="2" spans="1:30" ht="29.25" customHeight="1">
      <c r="N2" s="489"/>
      <c r="O2" s="489"/>
      <c r="P2" s="489"/>
    </row>
    <row r="3" spans="1:30">
      <c r="N3" s="489"/>
      <c r="O3" s="489"/>
      <c r="P3" s="489"/>
    </row>
    <row r="4" spans="1:30" ht="12" thickBot="1">
      <c r="N4" s="490"/>
      <c r="O4" s="489"/>
      <c r="P4" s="489"/>
    </row>
    <row r="5" spans="1:30" ht="12" thickBot="1">
      <c r="H5" s="269" t="s">
        <v>423</v>
      </c>
      <c r="I5" s="140" t="b">
        <v>1</v>
      </c>
      <c r="K5" s="269" t="s">
        <v>508</v>
      </c>
      <c r="L5" s="140" t="b">
        <v>1</v>
      </c>
      <c r="N5" s="489"/>
      <c r="O5" s="489"/>
      <c r="P5" s="489"/>
    </row>
    <row r="6" spans="1:30" ht="12" thickBot="1">
      <c r="B6" s="270" t="s">
        <v>432</v>
      </c>
      <c r="C6" s="229" t="s">
        <v>57</v>
      </c>
      <c r="F6" s="404"/>
      <c r="K6" s="269" t="s">
        <v>509</v>
      </c>
      <c r="L6" s="140" t="b">
        <v>0</v>
      </c>
      <c r="N6" s="489"/>
      <c r="O6" s="489"/>
      <c r="P6" s="489"/>
    </row>
    <row r="7" spans="1:30" customFormat="1" ht="15.75" thickBot="1">
      <c r="A7" s="227"/>
      <c r="B7" s="270" t="s">
        <v>457</v>
      </c>
      <c r="C7" s="230" cm="1">
        <f t="array" aca="1" ref="C7" ca="1">GetConvertDate([0]!CDSRollDate,C6)</f>
        <v>47381</v>
      </c>
      <c r="D7" s="487"/>
      <c r="E7" s="486"/>
      <c r="F7" s="228"/>
      <c r="G7" s="228"/>
      <c r="I7" s="397"/>
      <c r="J7" s="396"/>
      <c r="K7" s="396"/>
      <c r="L7" s="396"/>
      <c r="M7" s="396"/>
      <c r="N7" s="396"/>
      <c r="O7" s="396"/>
      <c r="P7" s="396"/>
      <c r="Q7" s="396"/>
      <c r="R7" s="396"/>
      <c r="S7" s="444"/>
      <c r="T7" s="79"/>
      <c r="U7" s="79"/>
      <c r="V7" s="79"/>
      <c r="W7" s="434"/>
      <c r="X7" s="79"/>
      <c r="Y7" s="79"/>
      <c r="Z7" s="79"/>
      <c r="AA7" s="79"/>
      <c r="AB7" s="79"/>
      <c r="AC7" s="79"/>
    </row>
    <row r="8" spans="1:30" customFormat="1" ht="15">
      <c r="A8" s="227"/>
      <c r="B8" s="271" t="s">
        <v>82</v>
      </c>
      <c r="C8" s="231" t="s">
        <v>66</v>
      </c>
      <c r="D8" s="228"/>
      <c r="E8" s="228"/>
      <c r="F8" s="228"/>
      <c r="G8" s="228"/>
      <c r="H8" s="312" t="s">
        <v>435</v>
      </c>
      <c r="I8" s="398" cm="1">
        <f t="array" ref="I8">IF(NOT($I$5),"",GETCDO(C6,C19:C20,C21:C22,G39:G338,C8,C17,C39:C338,D39:D338,C12,C13,C14,C15,C9,C10,E39:E338,F39:F338,C24,C25,C27,L5,L6,C29:C31,C36,C33,,C34,))</f>
        <v>0</v>
      </c>
      <c r="J8" s="399"/>
      <c r="K8" s="408"/>
      <c r="L8" s="408"/>
      <c r="M8" s="409"/>
      <c r="N8" s="409"/>
      <c r="O8" s="409"/>
      <c r="P8" s="409"/>
      <c r="Q8" s="409"/>
      <c r="R8" s="449"/>
      <c r="S8" s="444"/>
      <c r="T8" s="227"/>
      <c r="U8" s="79"/>
      <c r="V8" s="79"/>
      <c r="W8" s="79"/>
      <c r="X8" s="79"/>
      <c r="Y8" s="79"/>
      <c r="Z8" s="79"/>
      <c r="AA8" s="79"/>
      <c r="AB8" s="79"/>
      <c r="AC8" s="79"/>
    </row>
    <row r="9" spans="1:30" customFormat="1" ht="15.75" thickBot="1">
      <c r="A9" s="227"/>
      <c r="B9" s="271" t="s">
        <v>437</v>
      </c>
      <c r="C9" s="232">
        <v>-0.05</v>
      </c>
      <c r="D9" s="487"/>
      <c r="E9" s="228"/>
      <c r="F9" s="228"/>
      <c r="G9" s="228"/>
      <c r="H9" s="386" t="s">
        <v>436</v>
      </c>
      <c r="I9" s="400"/>
      <c r="J9" s="401"/>
      <c r="K9" s="410"/>
      <c r="L9" s="410"/>
      <c r="M9" s="332"/>
      <c r="N9" s="332"/>
      <c r="O9" s="332"/>
      <c r="P9" s="332"/>
      <c r="Q9" s="332"/>
      <c r="R9" s="450"/>
      <c r="S9" s="44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0" customFormat="1" ht="15.75" thickBot="1">
      <c r="A10" s="227"/>
      <c r="B10" s="272" t="s">
        <v>439</v>
      </c>
      <c r="C10" s="233">
        <v>0.1</v>
      </c>
      <c r="D10" s="228"/>
      <c r="E10" s="227"/>
      <c r="F10" s="228"/>
      <c r="G10" s="228"/>
      <c r="H10" s="386" t="s">
        <v>438</v>
      </c>
      <c r="I10" s="402"/>
      <c r="J10" s="401"/>
      <c r="K10" s="410"/>
      <c r="L10" s="410"/>
      <c r="M10" s="332"/>
      <c r="N10" s="332"/>
      <c r="O10" s="332"/>
      <c r="P10" s="332"/>
      <c r="Q10" s="332"/>
      <c r="R10" s="450"/>
      <c r="S10" s="444"/>
      <c r="T10" s="79"/>
      <c r="U10" s="79"/>
      <c r="V10" s="79"/>
      <c r="W10" s="79"/>
      <c r="X10" s="79"/>
      <c r="Y10" s="481" t="s">
        <v>434</v>
      </c>
      <c r="Z10" s="432">
        <f>C29</f>
        <v>0</v>
      </c>
      <c r="AA10" s="79"/>
      <c r="AB10" s="481" t="s">
        <v>504</v>
      </c>
      <c r="AC10" s="432">
        <v>0.95</v>
      </c>
    </row>
    <row r="11" spans="1:30" customFormat="1" ht="15.75" thickBot="1">
      <c r="A11" s="227"/>
      <c r="B11" s="227"/>
      <c r="C11" s="227"/>
      <c r="D11" s="228"/>
      <c r="E11" s="228"/>
      <c r="F11" s="228"/>
      <c r="H11" s="386" t="s">
        <v>440</v>
      </c>
      <c r="I11" s="403"/>
      <c r="J11" s="403"/>
      <c r="K11" s="410"/>
      <c r="L11" s="410"/>
      <c r="M11" s="332"/>
      <c r="N11" s="332"/>
      <c r="O11" s="332"/>
      <c r="P11" s="332"/>
      <c r="Q11" s="332"/>
      <c r="R11" s="450"/>
      <c r="S11" s="444"/>
      <c r="T11" s="79"/>
      <c r="U11" s="79"/>
      <c r="V11" s="79"/>
      <c r="W11" s="79"/>
      <c r="X11" s="79"/>
      <c r="Y11" s="481" t="s">
        <v>505</v>
      </c>
      <c r="Z11" s="433" t="e">
        <f ca="1">SUM(Z15:Z314)</f>
        <v>#REF!</v>
      </c>
      <c r="AA11" s="79"/>
      <c r="AB11" s="481" t="s">
        <v>505</v>
      </c>
      <c r="AC11" s="433" t="e">
        <f>SUM(AC15:AC314)</f>
        <v>#VALUE!</v>
      </c>
    </row>
    <row r="12" spans="1:30" customFormat="1" ht="15.75" thickBot="1">
      <c r="A12" s="227"/>
      <c r="B12" s="270" t="s">
        <v>434</v>
      </c>
      <c r="C12" s="234">
        <v>0.05</v>
      </c>
      <c r="D12" s="228"/>
      <c r="E12" s="228"/>
      <c r="F12" s="228"/>
      <c r="G12" s="228"/>
      <c r="H12" s="386" t="s">
        <v>497</v>
      </c>
      <c r="I12" s="404"/>
      <c r="J12" s="404"/>
      <c r="K12" s="410"/>
      <c r="L12" s="410"/>
      <c r="M12" s="332"/>
      <c r="N12" s="332"/>
      <c r="O12" s="332"/>
      <c r="P12" s="332"/>
      <c r="Q12" s="332"/>
      <c r="R12" s="450"/>
      <c r="S12" s="445"/>
      <c r="T12" s="283" t="s">
        <v>423</v>
      </c>
      <c r="U12" s="438" t="b">
        <v>1</v>
      </c>
      <c r="V12" s="79"/>
      <c r="W12" s="79"/>
      <c r="X12" s="79"/>
      <c r="Y12" s="481" t="s">
        <v>498</v>
      </c>
      <c r="Z12" s="417" t="e">
        <f ca="1">$J$8+Z11</f>
        <v>#REF!</v>
      </c>
      <c r="AA12" s="79"/>
      <c r="AB12" s="481" t="s">
        <v>498</v>
      </c>
      <c r="AC12" s="417" t="e">
        <f>$J$8+AC11</f>
        <v>#VALUE!</v>
      </c>
    </row>
    <row r="13" spans="1:30" customFormat="1" ht="15.75" thickBot="1">
      <c r="A13" s="227"/>
      <c r="B13" s="271" t="s">
        <v>458</v>
      </c>
      <c r="C13" s="231" t="s">
        <v>459</v>
      </c>
      <c r="D13" s="228"/>
      <c r="E13" s="228" t="s">
        <v>75</v>
      </c>
      <c r="F13" s="228"/>
      <c r="G13" s="228"/>
      <c r="H13" s="386" t="s">
        <v>443</v>
      </c>
      <c r="I13" s="405"/>
      <c r="J13" s="405"/>
      <c r="K13" s="411"/>
      <c r="L13" s="412"/>
      <c r="M13" s="332"/>
      <c r="N13" s="332"/>
      <c r="O13" s="332"/>
      <c r="P13" s="456"/>
      <c r="Q13" s="455"/>
      <c r="R13" s="450"/>
      <c r="S13" s="445"/>
      <c r="T13" s="287" t="s">
        <v>499</v>
      </c>
      <c r="U13" s="418">
        <f>L13</f>
        <v>0</v>
      </c>
      <c r="V13" s="419"/>
      <c r="W13" s="79"/>
      <c r="X13" s="79"/>
      <c r="Y13" s="481" t="s">
        <v>500</v>
      </c>
      <c r="Z13" s="420" t="e">
        <f ca="1">Z12*(C20-C21)</f>
        <v>#REF!</v>
      </c>
      <c r="AA13" s="79"/>
      <c r="AB13" s="481" t="s">
        <v>500</v>
      </c>
      <c r="AC13" s="421" t="e">
        <f>AC12*(C20-C21)</f>
        <v>#VALUE!</v>
      </c>
      <c r="AD13" s="227"/>
    </row>
    <row r="14" spans="1:30" customFormat="1" ht="15">
      <c r="A14" s="227"/>
      <c r="B14" s="271" t="s">
        <v>461</v>
      </c>
      <c r="C14" s="231" t="s">
        <v>445</v>
      </c>
      <c r="D14" s="228"/>
      <c r="E14" s="228"/>
      <c r="F14" s="228"/>
      <c r="G14" s="228"/>
      <c r="H14" s="386" t="s">
        <v>460</v>
      </c>
      <c r="I14" s="406"/>
      <c r="J14" s="407"/>
      <c r="K14" s="407"/>
      <c r="L14" s="406"/>
      <c r="M14" s="406"/>
      <c r="N14" s="406"/>
      <c r="O14" s="406"/>
      <c r="P14" s="406"/>
      <c r="Q14" s="406"/>
      <c r="R14" s="451"/>
      <c r="S14" s="151"/>
      <c r="T14" s="479" t="s">
        <v>501</v>
      </c>
      <c r="U14" s="406" t="s">
        <v>436</v>
      </c>
      <c r="V14" s="406" t="s">
        <v>438</v>
      </c>
      <c r="W14" s="406" t="s">
        <v>440</v>
      </c>
      <c r="X14" s="406" t="s">
        <v>441</v>
      </c>
      <c r="Y14" s="406" t="s">
        <v>506</v>
      </c>
      <c r="Z14" s="406" t="s">
        <v>502</v>
      </c>
      <c r="AA14" s="406" t="s">
        <v>503</v>
      </c>
      <c r="AB14" s="406" t="s">
        <v>507</v>
      </c>
      <c r="AC14" s="406" t="s">
        <v>502</v>
      </c>
      <c r="AD14" s="227"/>
    </row>
    <row r="15" spans="1:30" customFormat="1" ht="15.75" thickBot="1">
      <c r="A15" s="227"/>
      <c r="B15" s="272" t="s">
        <v>462</v>
      </c>
      <c r="C15" s="235"/>
      <c r="D15" s="228"/>
      <c r="E15" s="228"/>
      <c r="F15" s="228"/>
      <c r="G15" s="228"/>
      <c r="H15" s="386">
        <v>1</v>
      </c>
      <c r="I15" s="413"/>
      <c r="J15" s="413"/>
      <c r="K15" s="413"/>
      <c r="L15" s="413"/>
      <c r="M15" s="413"/>
      <c r="N15" s="413"/>
      <c r="O15" s="413"/>
      <c r="P15" s="413"/>
      <c r="Q15" s="413"/>
      <c r="R15" s="452"/>
      <c r="S15" s="442"/>
      <c r="T15" s="422" cm="1">
        <f t="array" ref="T15:X15">IF(AND($U$12,B39&lt;=$C$17,C39&lt;&gt;""),TRANSPOSE(INDEX(getcds(C39,$C$6,G39/10000,F39,D39,$C$13,$C$14,$C$15,$C$8,,,TRUE,TRUE,FALSE,$C$29:$C$31,$C$33),{1;2;3;4;5})),"")</f>
        <v>0</v>
      </c>
      <c r="U15" s="423" t="e">
        <v>#REF!</v>
      </c>
      <c r="V15" s="423" t="e">
        <v>#REF!</v>
      </c>
      <c r="W15" s="424" t="e">
        <v>#REF!</v>
      </c>
      <c r="X15" s="425" t="e">
        <v>#REF!</v>
      </c>
      <c r="Y15" s="426">
        <f ca="1">IF($U$12,IF(T15="","",$U$13*D39/$C$18),"")</f>
        <v>0</v>
      </c>
      <c r="Z15" s="427" t="e">
        <f ca="1">IF($U$12,IF(Y15="","",Y15*($Z$10-W15)*X15),"")</f>
        <v>#REF!</v>
      </c>
      <c r="AA15" s="426" t="str">
        <f>IF($U$12,IF(OR(T15="",L15=""),"",L15/($C$20-$C$19)),"")</f>
        <v/>
      </c>
      <c r="AB15" s="428" t="e">
        <f>IF($U$12,IF(W15="","",W15*$AC$10),"")</f>
        <v>#REF!</v>
      </c>
      <c r="AC15" s="427" t="str">
        <f>IF($U$12,IF(AA15="","",AA15*(AB15-W15)*X15),"")</f>
        <v/>
      </c>
      <c r="AD15" s="227"/>
    </row>
    <row r="16" spans="1:30" customFormat="1" ht="15.75" thickBot="1">
      <c r="A16" s="227"/>
      <c r="B16" s="227"/>
      <c r="C16" s="228"/>
      <c r="D16" s="228"/>
      <c r="E16" s="228"/>
      <c r="F16" s="228"/>
      <c r="G16" s="228"/>
      <c r="H16" s="386">
        <v>2</v>
      </c>
      <c r="I16" s="413"/>
      <c r="J16" s="413"/>
      <c r="K16" s="413"/>
      <c r="L16" s="413"/>
      <c r="M16" s="413"/>
      <c r="N16" s="413"/>
      <c r="O16" s="413"/>
      <c r="P16" s="413"/>
      <c r="Q16" s="413"/>
      <c r="R16" s="452"/>
      <c r="S16" s="443"/>
      <c r="T16" s="422" t="e" cm="1">
        <f t="array" ref="T16:X16">IF(AND($U$12,B40&lt;=$C$17,C40&lt;&gt;""),TRANSPOSE(INDEX(getcds(C40,$C$6,G40/10000,F40,D40,$C$13,$C$14,$C$15,$C$8,,,TRUE,TRUE,FALSE,$C$29:$C$31,$C$33),{1;2;3;4;5})),"")</f>
        <v>#VALUE!</v>
      </c>
      <c r="U16" s="423" t="e">
        <v>#VALUE!</v>
      </c>
      <c r="V16" s="423" t="e">
        <v>#VALUE!</v>
      </c>
      <c r="W16" s="424" t="e">
        <v>#VALUE!</v>
      </c>
      <c r="X16" s="425" t="e">
        <v>#VALUE!</v>
      </c>
      <c r="Y16" s="426" t="e">
        <f>IF($U$12,IF(T16="","",$U$13*D40/$C$18),"")</f>
        <v>#VALUE!</v>
      </c>
      <c r="Z16" s="427" t="e">
        <f t="shared" ref="Z16:Z79" si="0">IF($U$12,IF(Y16="","",Y16*($Z$10-W16)*X16),"")</f>
        <v>#VALUE!</v>
      </c>
      <c r="AA16" s="426" t="e">
        <f t="shared" ref="AA16:AA79" si="1">IF($U$12,IF(OR(T16="",L16=""),"",L16/($C$20-$C$19)),"")</f>
        <v>#VALUE!</v>
      </c>
      <c r="AB16" s="428" t="e">
        <f t="shared" ref="AB16:AB79" si="2">IF($U$12,IF(W16="","",W16*$AC$10),"")</f>
        <v>#VALUE!</v>
      </c>
      <c r="AC16" s="427" t="e">
        <f t="shared" ref="AC16:AC79" si="3">IF($U$12,IF(AA16="","",AA16*(AB16-W16)*X16),"")</f>
        <v>#VALUE!</v>
      </c>
      <c r="AD16" s="227"/>
    </row>
    <row r="17" spans="1:30" customFormat="1" ht="15">
      <c r="A17" s="227"/>
      <c r="B17" s="270" t="s">
        <v>463</v>
      </c>
      <c r="C17" s="236">
        <f>COUNTA(C39:C338)</f>
        <v>100</v>
      </c>
      <c r="D17" s="228"/>
      <c r="E17" s="227"/>
      <c r="F17" s="228"/>
      <c r="G17" s="228"/>
      <c r="H17" s="386">
        <v>3</v>
      </c>
      <c r="I17" s="413"/>
      <c r="J17" s="413"/>
      <c r="K17" s="413"/>
      <c r="L17" s="413"/>
      <c r="M17" s="413"/>
      <c r="N17" s="413"/>
      <c r="O17" s="413"/>
      <c r="P17" s="413"/>
      <c r="Q17" s="413"/>
      <c r="R17" s="452"/>
      <c r="S17" s="443"/>
      <c r="T17" s="422" cm="1">
        <f t="array" ref="T17:X17">IF(AND($U$12,B41&lt;=$C$17,C41&lt;&gt;""),TRANSPOSE(INDEX(getcds(C41,$C$6,G41/10000,F41,D41,$C$13,$C$14,$C$15,$C$8,,,TRUE,TRUE,FALSE,$C$29:$C$31,$C$33),{1;2;3;4;5})),"")</f>
        <v>0</v>
      </c>
      <c r="U17" s="423" t="e">
        <v>#REF!</v>
      </c>
      <c r="V17" s="423" t="e">
        <v>#REF!</v>
      </c>
      <c r="W17" s="424" t="e">
        <v>#REF!</v>
      </c>
      <c r="X17" s="425" t="e">
        <v>#REF!</v>
      </c>
      <c r="Y17" s="426">
        <f ca="1">IF($U$12,IF(T17="","",$U$13*D41/$C$18),"")</f>
        <v>0</v>
      </c>
      <c r="Z17" s="427" t="e">
        <f t="shared" ca="1" si="0"/>
        <v>#REF!</v>
      </c>
      <c r="AA17" s="426" t="str">
        <f t="shared" si="1"/>
        <v/>
      </c>
      <c r="AB17" s="428" t="e">
        <f t="shared" si="2"/>
        <v>#REF!</v>
      </c>
      <c r="AC17" s="427" t="str">
        <f t="shared" si="3"/>
        <v/>
      </c>
      <c r="AD17" s="227"/>
    </row>
    <row r="18" spans="1:30" customFormat="1" ht="15">
      <c r="A18" s="227"/>
      <c r="B18" s="271" t="s">
        <v>464</v>
      </c>
      <c r="C18" s="237">
        <f ca="1">SUM(OFFSET(D38,1,0,C17))</f>
        <v>100</v>
      </c>
      <c r="D18" s="228"/>
      <c r="E18" s="228"/>
      <c r="F18" s="228"/>
      <c r="G18" s="238"/>
      <c r="H18" s="386">
        <v>4</v>
      </c>
      <c r="I18" s="413"/>
      <c r="J18" s="413"/>
      <c r="K18" s="413"/>
      <c r="L18" s="413"/>
      <c r="M18" s="413"/>
      <c r="N18" s="413"/>
      <c r="O18" s="413"/>
      <c r="P18" s="413"/>
      <c r="Q18" s="413"/>
      <c r="R18" s="452"/>
      <c r="S18" s="443"/>
      <c r="T18" s="422" t="e" cm="1">
        <f t="array" ref="T18:X18">IF(AND($U$12,B42&lt;=$C$17,C42&lt;&gt;""),TRANSPOSE(INDEX(getcds(C42,$C$6,G42/10000,F42,D42,$C$13,$C$14,$C$15,$C$8,,,TRUE,TRUE,FALSE,$C$29:$C$31,$C$33),{1;2;3;4;5})),"")</f>
        <v>#VALUE!</v>
      </c>
      <c r="U18" s="423" t="e">
        <v>#VALUE!</v>
      </c>
      <c r="V18" s="423" t="e">
        <v>#VALUE!</v>
      </c>
      <c r="W18" s="424" t="e">
        <v>#VALUE!</v>
      </c>
      <c r="X18" s="425" t="e">
        <v>#VALUE!</v>
      </c>
      <c r="Y18" s="426" t="e">
        <f t="shared" ref="Y18:Y79" si="4">IF($U$12,IF(T18="","",$U$13*D42/$C$18),"")</f>
        <v>#VALUE!</v>
      </c>
      <c r="Z18" s="427" t="e">
        <f t="shared" si="0"/>
        <v>#VALUE!</v>
      </c>
      <c r="AA18" s="426" t="e">
        <f t="shared" si="1"/>
        <v>#VALUE!</v>
      </c>
      <c r="AB18" s="428" t="e">
        <f t="shared" si="2"/>
        <v>#VALUE!</v>
      </c>
      <c r="AC18" s="427" t="e">
        <f t="shared" si="3"/>
        <v>#VALUE!</v>
      </c>
      <c r="AD18" s="227"/>
    </row>
    <row r="19" spans="1:30" customFormat="1" ht="15">
      <c r="A19" s="227"/>
      <c r="B19" s="271" t="s">
        <v>465</v>
      </c>
      <c r="C19" s="239">
        <v>0</v>
      </c>
      <c r="D19" s="240"/>
      <c r="E19" s="228"/>
      <c r="F19" s="228"/>
      <c r="G19" s="241"/>
      <c r="H19" s="386">
        <v>5</v>
      </c>
      <c r="I19" s="413"/>
      <c r="J19" s="413"/>
      <c r="K19" s="413"/>
      <c r="L19" s="413"/>
      <c r="M19" s="413"/>
      <c r="N19" s="413"/>
      <c r="O19" s="413"/>
      <c r="P19" s="413"/>
      <c r="Q19" s="413"/>
      <c r="R19" s="452"/>
      <c r="S19" s="443"/>
      <c r="T19" s="462" cm="1">
        <f t="array" ref="T19:X19">IF(AND($U$12,B43&lt;=$C$17,C43&lt;&gt;""),TRANSPOSE(INDEX(getcds(C43,$C$6,G43/10000,F43,D43,$C$13,$C$14,$C$15,$C$8,,,TRUE,TRUE,FALSE,$C$29:$C$31,$C$33),{1;2;3;4;5})),"")</f>
        <v>0</v>
      </c>
      <c r="U19" s="423" t="e">
        <v>#REF!</v>
      </c>
      <c r="V19" s="423" t="e">
        <v>#REF!</v>
      </c>
      <c r="W19" s="424" t="e">
        <v>#REF!</v>
      </c>
      <c r="X19" s="425" t="e">
        <v>#REF!</v>
      </c>
      <c r="Y19" s="426">
        <f t="shared" ca="1" si="4"/>
        <v>0</v>
      </c>
      <c r="Z19" s="427" t="e">
        <f t="shared" ca="1" si="0"/>
        <v>#REF!</v>
      </c>
      <c r="AA19" s="426" t="str">
        <f t="shared" si="1"/>
        <v/>
      </c>
      <c r="AB19" s="428" t="e">
        <f t="shared" si="2"/>
        <v>#REF!</v>
      </c>
      <c r="AC19" s="427" t="str">
        <f t="shared" si="3"/>
        <v/>
      </c>
      <c r="AD19" s="227"/>
    </row>
    <row r="20" spans="1:30" customFormat="1" ht="15">
      <c r="A20" s="227"/>
      <c r="B20" s="271" t="s">
        <v>466</v>
      </c>
      <c r="C20" s="239">
        <v>3</v>
      </c>
      <c r="D20" s="240"/>
      <c r="E20" s="228"/>
      <c r="F20" s="228"/>
      <c r="G20" s="241"/>
      <c r="H20" s="386">
        <v>6</v>
      </c>
      <c r="I20" s="413"/>
      <c r="J20" s="413"/>
      <c r="K20" s="413"/>
      <c r="L20" s="413"/>
      <c r="M20" s="413"/>
      <c r="N20" s="413"/>
      <c r="O20" s="413"/>
      <c r="P20" s="413"/>
      <c r="Q20" s="413"/>
      <c r="R20" s="452"/>
      <c r="S20" s="443"/>
      <c r="T20" s="422" t="e" cm="1">
        <f t="array" ref="T20:X20">IF(AND($U$12,B44&lt;=$C$17,C44&lt;&gt;""),TRANSPOSE(INDEX(getcds(C44,$C$6,G44/10000,F44,D44,$C$13,$C$14,$C$15,$C$8,,,TRUE,TRUE,FALSE,$C$29:$C$31,$C$33),{1;2;3;4;5})),"")</f>
        <v>#VALUE!</v>
      </c>
      <c r="U20" s="423" t="e">
        <v>#VALUE!</v>
      </c>
      <c r="V20" s="423" t="e">
        <v>#VALUE!</v>
      </c>
      <c r="W20" s="424" t="e">
        <v>#VALUE!</v>
      </c>
      <c r="X20" s="425" t="e">
        <v>#VALUE!</v>
      </c>
      <c r="Y20" s="426" t="e">
        <f t="shared" si="4"/>
        <v>#VALUE!</v>
      </c>
      <c r="Z20" s="427" t="e">
        <f t="shared" si="0"/>
        <v>#VALUE!</v>
      </c>
      <c r="AA20" s="426" t="e">
        <f t="shared" si="1"/>
        <v>#VALUE!</v>
      </c>
      <c r="AB20" s="428" t="e">
        <f t="shared" si="2"/>
        <v>#VALUE!</v>
      </c>
      <c r="AC20" s="427" t="e">
        <f t="shared" si="3"/>
        <v>#VALUE!</v>
      </c>
      <c r="AD20" s="227"/>
    </row>
    <row r="21" spans="1:30" customFormat="1" ht="15">
      <c r="A21" s="227"/>
      <c r="B21" s="271" t="s">
        <v>467</v>
      </c>
      <c r="C21" s="242">
        <v>0.4</v>
      </c>
      <c r="D21" s="228"/>
      <c r="E21" s="228"/>
      <c r="F21" s="228"/>
      <c r="G21" s="243"/>
      <c r="H21" s="386">
        <v>7</v>
      </c>
      <c r="I21" s="413"/>
      <c r="J21" s="413"/>
      <c r="K21" s="413"/>
      <c r="L21" s="413"/>
      <c r="M21" s="413"/>
      <c r="N21" s="413"/>
      <c r="O21" s="413"/>
      <c r="P21" s="413"/>
      <c r="Q21" s="413"/>
      <c r="R21" s="452"/>
      <c r="S21" s="443"/>
      <c r="T21" s="422" t="e" cm="1">
        <f t="array" ref="T21:X21">IF(AND($U$12,B45&lt;=$C$17,C45&lt;&gt;""),TRANSPOSE(INDEX(getcds(C45,$C$6,G45/10000,F45,D45,$C$13,$C$14,$C$15,$C$8,,,TRUE,TRUE,FALSE,$C$29:$C$31,$C$33),{1;2;3;4;5})),"")</f>
        <v>#VALUE!</v>
      </c>
      <c r="U21" s="423" t="e">
        <v>#VALUE!</v>
      </c>
      <c r="V21" s="423" t="e">
        <v>#VALUE!</v>
      </c>
      <c r="W21" s="424" t="e">
        <v>#VALUE!</v>
      </c>
      <c r="X21" s="425" t="e">
        <v>#VALUE!</v>
      </c>
      <c r="Y21" s="426" t="e">
        <f t="shared" si="4"/>
        <v>#VALUE!</v>
      </c>
      <c r="Z21" s="427" t="e">
        <f t="shared" si="0"/>
        <v>#VALUE!</v>
      </c>
      <c r="AA21" s="426" t="e">
        <f>IF($U$12,IF(OR(T21="",L21=""),"",L21/($C$20-$C$19)),"")</f>
        <v>#VALUE!</v>
      </c>
      <c r="AB21" s="428" t="e">
        <f t="shared" si="2"/>
        <v>#VALUE!</v>
      </c>
      <c r="AC21" s="427" t="e">
        <f t="shared" si="3"/>
        <v>#VALUE!</v>
      </c>
      <c r="AD21" s="227"/>
    </row>
    <row r="22" spans="1:30" customFormat="1" ht="15.75" thickBot="1">
      <c r="A22" s="227"/>
      <c r="B22" s="272" t="s">
        <v>468</v>
      </c>
      <c r="C22" s="244">
        <v>0.5</v>
      </c>
      <c r="D22" s="228"/>
      <c r="E22" s="228"/>
      <c r="F22" s="228"/>
      <c r="G22" s="243"/>
      <c r="H22" s="386">
        <v>8</v>
      </c>
      <c r="I22" s="413"/>
      <c r="J22" s="413"/>
      <c r="K22" s="413"/>
      <c r="L22" s="413"/>
      <c r="M22" s="413"/>
      <c r="N22" s="413"/>
      <c r="O22" s="413"/>
      <c r="P22" s="413"/>
      <c r="Q22" s="413"/>
      <c r="R22" s="452"/>
      <c r="S22" s="443"/>
      <c r="T22" s="422" t="e" cm="1">
        <f t="array" ref="T22:X22">IF(AND($U$12,B46&lt;=$C$17,C46&lt;&gt;""),TRANSPOSE(INDEX(getcds(C46,$C$6,G46/10000,F46,D46,$C$13,$C$14,$C$15,$C$8,,,TRUE,TRUE,FALSE,$C$29:$C$31,$C$33),{1;2;3;4;5})),"")</f>
        <v>#VALUE!</v>
      </c>
      <c r="U22" s="423" t="e">
        <v>#VALUE!</v>
      </c>
      <c r="V22" s="423" t="e">
        <v>#VALUE!</v>
      </c>
      <c r="W22" s="424" t="e">
        <v>#VALUE!</v>
      </c>
      <c r="X22" s="425" t="e">
        <v>#VALUE!</v>
      </c>
      <c r="Y22" s="426" t="e">
        <f t="shared" si="4"/>
        <v>#VALUE!</v>
      </c>
      <c r="Z22" s="427" t="e">
        <f t="shared" si="0"/>
        <v>#VALUE!</v>
      </c>
      <c r="AA22" s="426" t="e">
        <f t="shared" si="1"/>
        <v>#VALUE!</v>
      </c>
      <c r="AB22" s="428" t="e">
        <f t="shared" si="2"/>
        <v>#VALUE!</v>
      </c>
      <c r="AC22" s="427" t="e">
        <f t="shared" si="3"/>
        <v>#VALUE!</v>
      </c>
      <c r="AD22" s="227"/>
    </row>
    <row r="23" spans="1:30" customFormat="1" ht="15.75" thickBot="1">
      <c r="A23" s="227"/>
      <c r="B23" s="227"/>
      <c r="C23" s="228"/>
      <c r="D23" s="228"/>
      <c r="E23" s="228"/>
      <c r="F23" s="228"/>
      <c r="G23" s="228"/>
      <c r="H23" s="386">
        <v>9</v>
      </c>
      <c r="I23" s="413"/>
      <c r="J23" s="413"/>
      <c r="K23" s="413"/>
      <c r="L23" s="413"/>
      <c r="M23" s="413"/>
      <c r="N23" s="413"/>
      <c r="O23" s="413"/>
      <c r="P23" s="413"/>
      <c r="Q23" s="413"/>
      <c r="R23" s="452"/>
      <c r="S23" s="443"/>
      <c r="T23" s="422" cm="1">
        <f t="array" ref="T23:X23">IF(AND($U$12,B47&lt;=$C$17,C47&lt;&gt;""),TRANSPOSE(INDEX(getcds(C47,$C$6,G47/10000,F47,D47,$C$13,$C$14,$C$15,$C$8,,,TRUE,TRUE,FALSE,$C$29:$C$31,$C$33),{1;2;3;4;5})),"")</f>
        <v>0</v>
      </c>
      <c r="U23" s="423" t="e">
        <v>#REF!</v>
      </c>
      <c r="V23" s="423" t="e">
        <v>#REF!</v>
      </c>
      <c r="W23" s="424" t="e">
        <v>#REF!</v>
      </c>
      <c r="X23" s="425" t="e">
        <v>#REF!</v>
      </c>
      <c r="Y23" s="426">
        <f t="shared" ca="1" si="4"/>
        <v>0</v>
      </c>
      <c r="Z23" s="427" t="e">
        <f t="shared" ca="1" si="0"/>
        <v>#REF!</v>
      </c>
      <c r="AA23" s="426" t="str">
        <f t="shared" si="1"/>
        <v/>
      </c>
      <c r="AB23" s="428" t="e">
        <f t="shared" si="2"/>
        <v>#REF!</v>
      </c>
      <c r="AC23" s="427" t="str">
        <f t="shared" si="3"/>
        <v/>
      </c>
      <c r="AD23" s="227"/>
    </row>
    <row r="24" spans="1:30" customFormat="1" ht="15">
      <c r="A24" s="245"/>
      <c r="B24" s="273" t="s">
        <v>447</v>
      </c>
      <c r="C24" s="63" t="b">
        <v>1</v>
      </c>
      <c r="D24" s="228"/>
      <c r="E24" s="228"/>
      <c r="F24" s="228"/>
      <c r="G24" s="228"/>
      <c r="H24" s="386">
        <v>10</v>
      </c>
      <c r="I24" s="413"/>
      <c r="J24" s="413"/>
      <c r="K24" s="413"/>
      <c r="L24" s="413"/>
      <c r="M24" s="413"/>
      <c r="N24" s="413"/>
      <c r="O24" s="413"/>
      <c r="P24" s="413"/>
      <c r="Q24" s="413"/>
      <c r="R24" s="452"/>
      <c r="S24" s="443"/>
      <c r="T24" s="422" cm="1">
        <f t="array" ref="T24:X24">IF(AND($U$12,B48&lt;=$C$17,C48&lt;&gt;""),TRANSPOSE(INDEX(getcds(C48,$C$6,G48/10000,F48,D48,$C$13,$C$14,$C$15,$C$8,,,TRUE,TRUE,FALSE,$C$29:$C$31,$C$33),{1;2;3;4;5})),"")</f>
        <v>0</v>
      </c>
      <c r="U24" s="423" t="e">
        <v>#REF!</v>
      </c>
      <c r="V24" s="423" t="e">
        <v>#REF!</v>
      </c>
      <c r="W24" s="424" t="e">
        <v>#REF!</v>
      </c>
      <c r="X24" s="425" t="e">
        <v>#REF!</v>
      </c>
      <c r="Y24" s="426">
        <f t="shared" ca="1" si="4"/>
        <v>0</v>
      </c>
      <c r="Z24" s="427" t="e">
        <f t="shared" ca="1" si="0"/>
        <v>#REF!</v>
      </c>
      <c r="AA24" s="426" t="str">
        <f t="shared" si="1"/>
        <v/>
      </c>
      <c r="AB24" s="428" t="e">
        <f t="shared" si="2"/>
        <v>#REF!</v>
      </c>
      <c r="AC24" s="427" t="str">
        <f t="shared" si="3"/>
        <v/>
      </c>
      <c r="AD24" s="227"/>
    </row>
    <row r="25" spans="1:30" customFormat="1" ht="15.75" thickBot="1">
      <c r="A25" s="245"/>
      <c r="B25" s="436" t="s">
        <v>448</v>
      </c>
      <c r="C25" s="437" t="b">
        <v>1</v>
      </c>
      <c r="D25" s="228"/>
      <c r="E25" s="228"/>
      <c r="F25" s="228"/>
      <c r="G25" s="228"/>
      <c r="H25" s="386">
        <v>11</v>
      </c>
      <c r="I25" s="413"/>
      <c r="J25" s="413"/>
      <c r="K25" s="413"/>
      <c r="L25" s="413"/>
      <c r="M25" s="413"/>
      <c r="N25" s="413"/>
      <c r="O25" s="413"/>
      <c r="P25" s="413"/>
      <c r="Q25" s="413"/>
      <c r="R25" s="452"/>
      <c r="S25" s="443"/>
      <c r="T25" s="422" cm="1">
        <f t="array" ref="T25:X25">IF(AND($U$12,B49&lt;=$C$17,C49&lt;&gt;""),TRANSPOSE(INDEX(getcds(C49,$C$6,G49/10000,F49,D49,$C$13,$C$14,$C$15,$C$8,,,TRUE,TRUE,FALSE,$C$29:$C$31,$C$33),{1;2;3;4;5})),"")</f>
        <v>0</v>
      </c>
      <c r="U25" s="423" t="e">
        <v>#REF!</v>
      </c>
      <c r="V25" s="423" t="e">
        <v>#REF!</v>
      </c>
      <c r="W25" s="424" t="e">
        <v>#REF!</v>
      </c>
      <c r="X25" s="425" t="e">
        <v>#REF!</v>
      </c>
      <c r="Y25" s="426">
        <f t="shared" ca="1" si="4"/>
        <v>0</v>
      </c>
      <c r="Z25" s="427" t="e">
        <f t="shared" ca="1" si="0"/>
        <v>#REF!</v>
      </c>
      <c r="AA25" s="426" t="str">
        <f t="shared" si="1"/>
        <v/>
      </c>
      <c r="AB25" s="428" t="e">
        <f t="shared" si="2"/>
        <v>#REF!</v>
      </c>
      <c r="AC25" s="427" t="str">
        <f t="shared" si="3"/>
        <v/>
      </c>
      <c r="AD25" s="227"/>
    </row>
    <row r="26" spans="1:30" customFormat="1" ht="15.75" thickBot="1">
      <c r="A26" s="227"/>
      <c r="B26" s="227"/>
      <c r="C26" s="228"/>
      <c r="D26" s="228"/>
      <c r="E26" s="228"/>
      <c r="F26" s="228"/>
      <c r="G26" s="228"/>
      <c r="H26" s="386">
        <v>12</v>
      </c>
      <c r="I26" s="413"/>
      <c r="J26" s="413"/>
      <c r="K26" s="413"/>
      <c r="L26" s="413"/>
      <c r="M26" s="413"/>
      <c r="N26" s="413"/>
      <c r="O26" s="413"/>
      <c r="P26" s="413"/>
      <c r="Q26" s="413"/>
      <c r="R26" s="452"/>
      <c r="S26" s="443"/>
      <c r="T26" s="422" cm="1">
        <f t="array" ref="T26:X26">IF(AND($U$12,B50&lt;=$C$17,C50&lt;&gt;""),TRANSPOSE(INDEX(getcds(C50,$C$6,G50/10000,F50,D50,$C$13,$C$14,$C$15,$C$8,,,TRUE,TRUE,FALSE,$C$29:$C$31,$C$33),{1;2;3;4;5})),"")</f>
        <v>0</v>
      </c>
      <c r="U26" s="423" t="e">
        <v>#REF!</v>
      </c>
      <c r="V26" s="423" t="e">
        <v>#REF!</v>
      </c>
      <c r="W26" s="424" t="e">
        <v>#REF!</v>
      </c>
      <c r="X26" s="425" t="e">
        <v>#REF!</v>
      </c>
      <c r="Y26" s="426">
        <f t="shared" ca="1" si="4"/>
        <v>0</v>
      </c>
      <c r="Z26" s="427" t="e">
        <f t="shared" ca="1" si="0"/>
        <v>#REF!</v>
      </c>
      <c r="AA26" s="426" t="str">
        <f t="shared" si="1"/>
        <v/>
      </c>
      <c r="AB26" s="428" t="e">
        <f t="shared" si="2"/>
        <v>#REF!</v>
      </c>
      <c r="AC26" s="427" t="str">
        <f t="shared" si="3"/>
        <v/>
      </c>
      <c r="AD26" s="227"/>
    </row>
    <row r="27" spans="1:30" customFormat="1" ht="15.75" thickBot="1">
      <c r="A27" s="227"/>
      <c r="B27" s="441" t="s">
        <v>449</v>
      </c>
      <c r="C27" s="185" t="b">
        <v>1</v>
      </c>
      <c r="D27" s="228"/>
      <c r="E27" s="228"/>
      <c r="F27" s="228"/>
      <c r="G27" s="228"/>
      <c r="H27" s="386">
        <v>13</v>
      </c>
      <c r="I27" s="413"/>
      <c r="J27" s="413"/>
      <c r="K27" s="413"/>
      <c r="L27" s="413"/>
      <c r="M27" s="413"/>
      <c r="N27" s="413"/>
      <c r="O27" s="413"/>
      <c r="P27" s="413"/>
      <c r="Q27" s="413"/>
      <c r="R27" s="452"/>
      <c r="S27" s="443"/>
      <c r="T27" s="422" t="e" cm="1">
        <f t="array" ref="T27:X27">IF(AND($U$12,B51&lt;=$C$17,C51&lt;&gt;""),TRANSPOSE(INDEX(getcds(C51,$C$6,G51/10000,F51,D51,$C$13,$C$14,$C$15,$C$8,,,TRUE,TRUE,FALSE,$C$29:$C$31,$C$33),{1;2;3;4;5})),"")</f>
        <v>#VALUE!</v>
      </c>
      <c r="U27" s="423" t="e">
        <v>#VALUE!</v>
      </c>
      <c r="V27" s="423" t="e">
        <v>#VALUE!</v>
      </c>
      <c r="W27" s="424" t="e">
        <v>#VALUE!</v>
      </c>
      <c r="X27" s="425" t="e">
        <v>#VALUE!</v>
      </c>
      <c r="Y27" s="426" t="e">
        <f t="shared" si="4"/>
        <v>#VALUE!</v>
      </c>
      <c r="Z27" s="427" t="e">
        <f t="shared" si="0"/>
        <v>#VALUE!</v>
      </c>
      <c r="AA27" s="426" t="e">
        <f t="shared" si="1"/>
        <v>#VALUE!</v>
      </c>
      <c r="AB27" s="428" t="e">
        <f t="shared" si="2"/>
        <v>#VALUE!</v>
      </c>
      <c r="AC27" s="427" t="e">
        <f t="shared" si="3"/>
        <v>#VALUE!</v>
      </c>
      <c r="AD27" s="227"/>
    </row>
    <row r="28" spans="1:30" customFormat="1" ht="15.75" thickBot="1">
      <c r="A28" s="227"/>
      <c r="B28" s="271" t="s">
        <v>450</v>
      </c>
      <c r="C28" s="246"/>
      <c r="D28" s="228"/>
      <c r="E28" s="228"/>
      <c r="F28" s="228"/>
      <c r="G28" s="228"/>
      <c r="H28" s="386">
        <v>14</v>
      </c>
      <c r="I28" s="413"/>
      <c r="J28" s="413"/>
      <c r="K28" s="413"/>
      <c r="L28" s="413"/>
      <c r="M28" s="413"/>
      <c r="N28" s="413"/>
      <c r="O28" s="413"/>
      <c r="P28" s="413"/>
      <c r="Q28" s="413"/>
      <c r="R28" s="452"/>
      <c r="S28" s="443"/>
      <c r="T28" s="422" t="e" cm="1">
        <f t="array" ref="T28:X28">IF(AND($U$12,B52&lt;=$C$17,C52&lt;&gt;""),TRANSPOSE(INDEX(getcds(C52,$C$6,G52/10000,F52,D52,$C$13,$C$14,$C$15,$C$8,,,TRUE,TRUE,FALSE,$C$29:$C$31,$C$33),{1;2;3;4;5})),"")</f>
        <v>#VALUE!</v>
      </c>
      <c r="U28" s="423" t="e">
        <v>#VALUE!</v>
      </c>
      <c r="V28" s="423" t="e">
        <v>#VALUE!</v>
      </c>
      <c r="W28" s="424" t="e">
        <v>#VALUE!</v>
      </c>
      <c r="X28" s="425" t="e">
        <v>#VALUE!</v>
      </c>
      <c r="Y28" s="426" t="e">
        <f t="shared" si="4"/>
        <v>#VALUE!</v>
      </c>
      <c r="Z28" s="427" t="e">
        <f t="shared" si="0"/>
        <v>#VALUE!</v>
      </c>
      <c r="AA28" s="426" t="e">
        <f t="shared" si="1"/>
        <v>#VALUE!</v>
      </c>
      <c r="AB28" s="428" t="e">
        <f t="shared" si="2"/>
        <v>#VALUE!</v>
      </c>
      <c r="AC28" s="427" t="e">
        <f t="shared" si="3"/>
        <v>#VALUE!</v>
      </c>
      <c r="AD28" s="227"/>
    </row>
    <row r="29" spans="1:30" customFormat="1" ht="15.75" thickBot="1">
      <c r="A29" s="227"/>
      <c r="B29" s="271" t="s">
        <v>469</v>
      </c>
      <c r="C29" s="247"/>
      <c r="D29" s="228"/>
      <c r="E29" s="228"/>
      <c r="F29" s="228"/>
      <c r="G29" s="228"/>
      <c r="H29" s="386">
        <v>15</v>
      </c>
      <c r="I29" s="413"/>
      <c r="J29" s="413"/>
      <c r="K29" s="413"/>
      <c r="L29" s="413"/>
      <c r="M29" s="413"/>
      <c r="N29" s="413"/>
      <c r="O29" s="413"/>
      <c r="P29" s="413"/>
      <c r="Q29" s="413"/>
      <c r="R29" s="452"/>
      <c r="S29" s="443"/>
      <c r="T29" s="422" t="e" cm="1">
        <f t="array" ref="T29:X29">IF(AND($U$12,B53&lt;=$C$17,C53&lt;&gt;""),TRANSPOSE(INDEX(getcds(C53,$C$6,G53/10000,F53,D53,$C$13,$C$14,$C$15,$C$8,,,TRUE,TRUE,FALSE,$C$29:$C$31,$C$33),{1;2;3;4;5})),"")</f>
        <v>#VALUE!</v>
      </c>
      <c r="U29" s="423" t="e">
        <v>#VALUE!</v>
      </c>
      <c r="V29" s="423" t="e">
        <v>#VALUE!</v>
      </c>
      <c r="W29" s="424" t="e">
        <v>#VALUE!</v>
      </c>
      <c r="X29" s="425" t="e">
        <v>#VALUE!</v>
      </c>
      <c r="Y29" s="426" t="e">
        <f t="shared" si="4"/>
        <v>#VALUE!</v>
      </c>
      <c r="Z29" s="427" t="e">
        <f t="shared" si="0"/>
        <v>#VALUE!</v>
      </c>
      <c r="AA29" s="426" t="e">
        <f t="shared" si="1"/>
        <v>#VALUE!</v>
      </c>
      <c r="AB29" s="428" t="e">
        <f t="shared" si="2"/>
        <v>#VALUE!</v>
      </c>
      <c r="AC29" s="427" t="e">
        <f t="shared" si="3"/>
        <v>#VALUE!</v>
      </c>
      <c r="AD29" s="227"/>
    </row>
    <row r="30" spans="1:30" customFormat="1" ht="15">
      <c r="A30" s="227"/>
      <c r="B30" s="271" t="s">
        <v>447</v>
      </c>
      <c r="C30" s="63" t="b">
        <v>1</v>
      </c>
      <c r="D30" s="228"/>
      <c r="E30" s="228"/>
      <c r="F30" s="228"/>
      <c r="G30" s="228"/>
      <c r="H30" s="386">
        <v>16</v>
      </c>
      <c r="I30" s="413"/>
      <c r="J30" s="413"/>
      <c r="K30" s="413"/>
      <c r="L30" s="413"/>
      <c r="M30" s="413"/>
      <c r="N30" s="413"/>
      <c r="O30" s="413"/>
      <c r="P30" s="413"/>
      <c r="Q30" s="413"/>
      <c r="R30" s="452"/>
      <c r="S30" s="443"/>
      <c r="T30" s="422" t="e" cm="1">
        <f t="array" ref="T30:X30">IF(AND($U$12,B54&lt;=$C$17,C54&lt;&gt;""),TRANSPOSE(INDEX(getcds(C54,$C$6,G54/10000,F54,D54,$C$13,$C$14,$C$15,$C$8,,,TRUE,TRUE,FALSE,$C$29:$C$31,$C$33),{1;2;3;4;5})),"")</f>
        <v>#VALUE!</v>
      </c>
      <c r="U30" s="423" t="e">
        <v>#VALUE!</v>
      </c>
      <c r="V30" s="423" t="e">
        <v>#VALUE!</v>
      </c>
      <c r="W30" s="424" t="e">
        <v>#VALUE!</v>
      </c>
      <c r="X30" s="425" t="e">
        <v>#VALUE!</v>
      </c>
      <c r="Y30" s="426" t="e">
        <f t="shared" si="4"/>
        <v>#VALUE!</v>
      </c>
      <c r="Z30" s="427" t="e">
        <f t="shared" si="0"/>
        <v>#VALUE!</v>
      </c>
      <c r="AA30" s="426" t="e">
        <f t="shared" si="1"/>
        <v>#VALUE!</v>
      </c>
      <c r="AB30" s="428" t="e">
        <f t="shared" si="2"/>
        <v>#VALUE!</v>
      </c>
      <c r="AC30" s="427" t="e">
        <f t="shared" si="3"/>
        <v>#VALUE!</v>
      </c>
      <c r="AD30" s="227"/>
    </row>
    <row r="31" spans="1:30" customFormat="1" ht="15.75" thickBot="1">
      <c r="A31" s="227"/>
      <c r="B31" s="272" t="s">
        <v>448</v>
      </c>
      <c r="C31" s="437" t="b">
        <v>1</v>
      </c>
      <c r="D31" s="228"/>
      <c r="E31" s="228"/>
      <c r="F31" s="228"/>
      <c r="G31" s="228"/>
      <c r="H31" s="386">
        <v>17</v>
      </c>
      <c r="I31" s="413"/>
      <c r="J31" s="413"/>
      <c r="K31" s="413"/>
      <c r="L31" s="413"/>
      <c r="M31" s="413"/>
      <c r="N31" s="413"/>
      <c r="O31" s="413"/>
      <c r="P31" s="413"/>
      <c r="Q31" s="413"/>
      <c r="R31" s="452"/>
      <c r="S31" s="443"/>
      <c r="T31" s="422" t="e" cm="1">
        <f t="array" ref="T31:X31">IF(AND($U$12,B55&lt;=$C$17,C55&lt;&gt;""),TRANSPOSE(INDEX(getcds(C55,$C$6,G55/10000,F55,D55,$C$13,$C$14,$C$15,$C$8,,,TRUE,TRUE,FALSE,$C$29:$C$31,$C$33),{1;2;3;4;5})),"")</f>
        <v>#VALUE!</v>
      </c>
      <c r="U31" s="423" t="e">
        <v>#VALUE!</v>
      </c>
      <c r="V31" s="423" t="e">
        <v>#VALUE!</v>
      </c>
      <c r="W31" s="424" t="e">
        <v>#VALUE!</v>
      </c>
      <c r="X31" s="425" t="e">
        <v>#VALUE!</v>
      </c>
      <c r="Y31" s="426" t="e">
        <f t="shared" si="4"/>
        <v>#VALUE!</v>
      </c>
      <c r="Z31" s="427" t="e">
        <f t="shared" si="0"/>
        <v>#VALUE!</v>
      </c>
      <c r="AA31" s="426" t="e">
        <f t="shared" si="1"/>
        <v>#VALUE!</v>
      </c>
      <c r="AB31" s="428" t="e">
        <f t="shared" si="2"/>
        <v>#VALUE!</v>
      </c>
      <c r="AC31" s="427" t="e">
        <f t="shared" si="3"/>
        <v>#VALUE!</v>
      </c>
      <c r="AD31" s="227"/>
    </row>
    <row r="32" spans="1:30" customFormat="1" ht="15.75" thickBot="1">
      <c r="A32" s="227"/>
      <c r="B32" s="227"/>
      <c r="C32" s="228"/>
      <c r="D32" s="228"/>
      <c r="E32" s="228"/>
      <c r="F32" s="228"/>
      <c r="G32" s="228"/>
      <c r="H32" s="386">
        <v>18</v>
      </c>
      <c r="I32" s="413"/>
      <c r="J32" s="413"/>
      <c r="K32" s="413"/>
      <c r="L32" s="413"/>
      <c r="M32" s="413"/>
      <c r="N32" s="413"/>
      <c r="O32" s="413"/>
      <c r="P32" s="413"/>
      <c r="Q32" s="413"/>
      <c r="R32" s="452"/>
      <c r="S32" s="443"/>
      <c r="T32" s="422" cm="1">
        <f t="array" ref="T32:X32">IF(AND($U$12,B56&lt;=$C$17,C56&lt;&gt;""),TRANSPOSE(INDEX(getcds(C56,$C$6,G56/10000,F56,D56,$C$13,$C$14,$C$15,$C$8,,,TRUE,TRUE,FALSE,$C$29:$C$31,$C$33),{1;2;3;4;5})),"")</f>
        <v>0</v>
      </c>
      <c r="U32" s="423" t="e">
        <v>#REF!</v>
      </c>
      <c r="V32" s="423" t="e">
        <v>#REF!</v>
      </c>
      <c r="W32" s="424" t="e">
        <v>#REF!</v>
      </c>
      <c r="X32" s="425" t="e">
        <v>#REF!</v>
      </c>
      <c r="Y32" s="426">
        <f t="shared" ca="1" si="4"/>
        <v>0</v>
      </c>
      <c r="Z32" s="427" t="e">
        <f t="shared" ca="1" si="0"/>
        <v>#REF!</v>
      </c>
      <c r="AA32" s="426" t="str">
        <f t="shared" si="1"/>
        <v/>
      </c>
      <c r="AB32" s="428" t="e">
        <f t="shared" si="2"/>
        <v>#REF!</v>
      </c>
      <c r="AC32" s="427" t="str">
        <f t="shared" si="3"/>
        <v/>
      </c>
      <c r="AD32" s="227"/>
    </row>
    <row r="33" spans="1:30" customFormat="1" ht="15">
      <c r="A33" s="227"/>
      <c r="B33" s="270" t="s">
        <v>451</v>
      </c>
      <c r="C33" s="248" t="s">
        <v>452</v>
      </c>
      <c r="D33" s="249"/>
      <c r="E33" s="249"/>
      <c r="F33" s="249"/>
      <c r="G33" s="228"/>
      <c r="H33" s="386">
        <v>19</v>
      </c>
      <c r="I33" s="413"/>
      <c r="J33" s="413"/>
      <c r="K33" s="413"/>
      <c r="L33" s="413"/>
      <c r="M33" s="413"/>
      <c r="N33" s="413"/>
      <c r="O33" s="413"/>
      <c r="P33" s="413"/>
      <c r="Q33" s="413"/>
      <c r="R33" s="452"/>
      <c r="S33" s="443"/>
      <c r="T33" s="422" cm="1">
        <f t="array" ref="T33:X33">IF(AND($U$12,B57&lt;=$C$17,C57&lt;&gt;""),TRANSPOSE(INDEX(getcds(C57,$C$6,G57/10000,F57,D57,$C$13,$C$14,$C$15,$C$8,,,TRUE,TRUE,FALSE,$C$29:$C$31,$C$33),{1;2;3;4;5})),"")</f>
        <v>0</v>
      </c>
      <c r="U33" s="423" t="e">
        <v>#REF!</v>
      </c>
      <c r="V33" s="423" t="e">
        <v>#REF!</v>
      </c>
      <c r="W33" s="424" t="e">
        <v>#REF!</v>
      </c>
      <c r="X33" s="425" t="e">
        <v>#REF!</v>
      </c>
      <c r="Y33" s="426">
        <f t="shared" ca="1" si="4"/>
        <v>0</v>
      </c>
      <c r="Z33" s="427" t="e">
        <f t="shared" ca="1" si="0"/>
        <v>#REF!</v>
      </c>
      <c r="AA33" s="426" t="str">
        <f t="shared" si="1"/>
        <v/>
      </c>
      <c r="AB33" s="428" t="e">
        <f t="shared" si="2"/>
        <v>#REF!</v>
      </c>
      <c r="AC33" s="427" t="str">
        <f t="shared" si="3"/>
        <v/>
      </c>
      <c r="AD33" s="227"/>
    </row>
    <row r="34" spans="1:30" customFormat="1" ht="15">
      <c r="A34" s="227"/>
      <c r="B34" s="271" t="s">
        <v>470</v>
      </c>
      <c r="C34" s="250">
        <v>0.01</v>
      </c>
      <c r="D34" s="249"/>
      <c r="E34" s="249"/>
      <c r="F34" s="249"/>
      <c r="G34" s="228"/>
      <c r="H34" s="386">
        <v>20</v>
      </c>
      <c r="I34" s="413"/>
      <c r="J34" s="413"/>
      <c r="K34" s="413"/>
      <c r="L34" s="413"/>
      <c r="M34" s="413"/>
      <c r="N34" s="413"/>
      <c r="O34" s="413"/>
      <c r="P34" s="413"/>
      <c r="Q34" s="413"/>
      <c r="R34" s="452"/>
      <c r="S34" s="443"/>
      <c r="T34" s="422" cm="1">
        <f t="array" ref="T34:X34">IF(AND($U$12,B58&lt;=$C$17,C58&lt;&gt;""),TRANSPOSE(INDEX(getcds(C58,$C$6,G58/10000,F58,D58,$C$13,$C$14,$C$15,$C$8,,,TRUE,TRUE,FALSE,$C$29:$C$31,$C$33),{1;2;3;4;5})),"")</f>
        <v>0</v>
      </c>
      <c r="U34" s="423" t="e">
        <v>#REF!</v>
      </c>
      <c r="V34" s="423" t="e">
        <v>#REF!</v>
      </c>
      <c r="W34" s="424" t="e">
        <v>#REF!</v>
      </c>
      <c r="X34" s="425" t="e">
        <v>#REF!</v>
      </c>
      <c r="Y34" s="426">
        <f t="shared" ca="1" si="4"/>
        <v>0</v>
      </c>
      <c r="Z34" s="427" t="e">
        <f t="shared" ca="1" si="0"/>
        <v>#REF!</v>
      </c>
      <c r="AA34" s="426" t="str">
        <f t="shared" si="1"/>
        <v/>
      </c>
      <c r="AB34" s="428" t="e">
        <f t="shared" si="2"/>
        <v>#REF!</v>
      </c>
      <c r="AC34" s="427" t="str">
        <f t="shared" si="3"/>
        <v/>
      </c>
      <c r="AD34" s="227"/>
    </row>
    <row r="35" spans="1:30" customFormat="1" ht="15">
      <c r="A35" s="227"/>
      <c r="B35" s="271" t="s">
        <v>471</v>
      </c>
      <c r="C35" s="250">
        <v>1</v>
      </c>
      <c r="D35" s="228"/>
      <c r="E35" s="228"/>
      <c r="F35" s="228"/>
      <c r="G35" s="228"/>
      <c r="H35" s="386">
        <v>21</v>
      </c>
      <c r="I35" s="413"/>
      <c r="J35" s="413"/>
      <c r="K35" s="413"/>
      <c r="L35" s="413"/>
      <c r="M35" s="413"/>
      <c r="N35" s="413"/>
      <c r="O35" s="413"/>
      <c r="P35" s="413"/>
      <c r="Q35" s="413"/>
      <c r="R35" s="452"/>
      <c r="S35" s="443"/>
      <c r="T35" s="422" t="e" cm="1">
        <f t="array" ref="T35:X35">IF(AND($U$12,B59&lt;=$C$17,C59&lt;&gt;""),TRANSPOSE(INDEX(getcds(C59,$C$6,G59/10000,F59,D59,$C$13,$C$14,$C$15,$C$8,,,TRUE,TRUE,FALSE,$C$29:$C$31,$C$33),{1;2;3;4;5})),"")</f>
        <v>#VALUE!</v>
      </c>
      <c r="U35" s="423" t="e">
        <v>#VALUE!</v>
      </c>
      <c r="V35" s="423" t="e">
        <v>#VALUE!</v>
      </c>
      <c r="W35" s="424" t="e">
        <v>#VALUE!</v>
      </c>
      <c r="X35" s="425" t="e">
        <v>#VALUE!</v>
      </c>
      <c r="Y35" s="426" t="e">
        <f t="shared" si="4"/>
        <v>#VALUE!</v>
      </c>
      <c r="Z35" s="427" t="e">
        <f t="shared" si="0"/>
        <v>#VALUE!</v>
      </c>
      <c r="AA35" s="426" t="e">
        <f t="shared" si="1"/>
        <v>#VALUE!</v>
      </c>
      <c r="AB35" s="428" t="e">
        <f t="shared" si="2"/>
        <v>#VALUE!</v>
      </c>
      <c r="AC35" s="427" t="e">
        <f t="shared" si="3"/>
        <v>#VALUE!</v>
      </c>
      <c r="AD35" s="227"/>
    </row>
    <row r="36" spans="1:30" customFormat="1" ht="15.75" thickBot="1">
      <c r="A36" s="227"/>
      <c r="B36" s="272" t="s">
        <v>472</v>
      </c>
      <c r="C36" s="251"/>
      <c r="D36" s="228"/>
      <c r="E36" s="228"/>
      <c r="F36" s="228"/>
      <c r="G36" s="228"/>
      <c r="H36" s="386">
        <v>22</v>
      </c>
      <c r="I36" s="413"/>
      <c r="J36" s="413"/>
      <c r="K36" s="413"/>
      <c r="L36" s="413"/>
      <c r="M36" s="413"/>
      <c r="N36" s="413"/>
      <c r="O36" s="413"/>
      <c r="P36" s="413"/>
      <c r="Q36" s="413"/>
      <c r="R36" s="452"/>
      <c r="S36" s="443"/>
      <c r="T36" s="422" t="e" cm="1">
        <f t="array" ref="T36:X36">IF(AND($U$12,B60&lt;=$C$17,C60&lt;&gt;""),TRANSPOSE(INDEX(getcds(C60,$C$6,G60/10000,F60,D60,$C$13,$C$14,$C$15,$C$8,,,TRUE,TRUE,FALSE,$C$29:$C$31,$C$33),{1;2;3;4;5})),"")</f>
        <v>#VALUE!</v>
      </c>
      <c r="U36" s="423" t="e">
        <v>#VALUE!</v>
      </c>
      <c r="V36" s="423" t="e">
        <v>#VALUE!</v>
      </c>
      <c r="W36" s="424" t="e">
        <v>#VALUE!</v>
      </c>
      <c r="X36" s="425" t="e">
        <v>#VALUE!</v>
      </c>
      <c r="Y36" s="426" t="e">
        <f t="shared" si="4"/>
        <v>#VALUE!</v>
      </c>
      <c r="Z36" s="427" t="e">
        <f t="shared" si="0"/>
        <v>#VALUE!</v>
      </c>
      <c r="AA36" s="426" t="e">
        <f t="shared" si="1"/>
        <v>#VALUE!</v>
      </c>
      <c r="AB36" s="428" t="e">
        <f t="shared" si="2"/>
        <v>#VALUE!</v>
      </c>
      <c r="AC36" s="427" t="e">
        <f t="shared" si="3"/>
        <v>#VALUE!</v>
      </c>
      <c r="AD36" s="227"/>
    </row>
    <row r="37" spans="1:30" customFormat="1" ht="15.75" thickBot="1">
      <c r="A37" s="227"/>
      <c r="B37" s="227"/>
      <c r="C37" s="228"/>
      <c r="D37" s="228"/>
      <c r="E37" s="228"/>
      <c r="F37" s="228"/>
      <c r="G37" s="228"/>
      <c r="H37" s="386">
        <v>23</v>
      </c>
      <c r="I37" s="413"/>
      <c r="J37" s="413"/>
      <c r="K37" s="413"/>
      <c r="L37" s="413"/>
      <c r="M37" s="413"/>
      <c r="N37" s="413"/>
      <c r="O37" s="413"/>
      <c r="P37" s="413"/>
      <c r="Q37" s="413"/>
      <c r="R37" s="452"/>
      <c r="S37" s="443"/>
      <c r="T37" s="422" t="e" cm="1">
        <f t="array" ref="T37:X37">IF(AND($U$12,B61&lt;=$C$17,C61&lt;&gt;""),TRANSPOSE(INDEX(getcds(C61,$C$6,G61/10000,F61,D61,$C$13,$C$14,$C$15,$C$8,,,TRUE,TRUE,FALSE,$C$29:$C$31,$C$33),{1;2;3;4;5})),"")</f>
        <v>#VALUE!</v>
      </c>
      <c r="U37" s="423" t="e">
        <v>#VALUE!</v>
      </c>
      <c r="V37" s="423" t="e">
        <v>#VALUE!</v>
      </c>
      <c r="W37" s="424" t="e">
        <v>#VALUE!</v>
      </c>
      <c r="X37" s="425" t="e">
        <v>#VALUE!</v>
      </c>
      <c r="Y37" s="426" t="e">
        <f t="shared" si="4"/>
        <v>#VALUE!</v>
      </c>
      <c r="Z37" s="427" t="e">
        <f t="shared" si="0"/>
        <v>#VALUE!</v>
      </c>
      <c r="AA37" s="426" t="e">
        <f t="shared" si="1"/>
        <v>#VALUE!</v>
      </c>
      <c r="AB37" s="428" t="e">
        <f t="shared" si="2"/>
        <v>#VALUE!</v>
      </c>
      <c r="AC37" s="427" t="e">
        <f t="shared" si="3"/>
        <v>#VALUE!</v>
      </c>
      <c r="AD37" s="227"/>
    </row>
    <row r="38" spans="1:30" customFormat="1" ht="15.75" thickBot="1">
      <c r="A38" s="227"/>
      <c r="B38" s="274" t="s">
        <v>460</v>
      </c>
      <c r="C38" s="252" t="s">
        <v>80</v>
      </c>
      <c r="D38" s="252" t="s">
        <v>473</v>
      </c>
      <c r="E38" s="252" t="s">
        <v>474</v>
      </c>
      <c r="F38" s="252" t="s">
        <v>85</v>
      </c>
      <c r="G38" s="252" t="s">
        <v>434</v>
      </c>
      <c r="H38" s="386">
        <v>24</v>
      </c>
      <c r="I38" s="413"/>
      <c r="J38" s="413"/>
      <c r="K38" s="413"/>
      <c r="L38" s="413"/>
      <c r="M38" s="413"/>
      <c r="N38" s="413"/>
      <c r="O38" s="413"/>
      <c r="P38" s="413"/>
      <c r="Q38" s="413"/>
      <c r="R38" s="452"/>
      <c r="S38" s="443"/>
      <c r="T38" s="422" cm="1">
        <f t="array" ref="T38:X38">IF(AND($U$12,B62&lt;=$C$17,C62&lt;&gt;""),TRANSPOSE(INDEX(getcds(C62,$C$6,G62/10000,F62,D62,$C$13,$C$14,$C$15,$C$8,,,TRUE,TRUE,FALSE,$C$29:$C$31,$C$33),{1;2;3;4;5})),"")</f>
        <v>0</v>
      </c>
      <c r="U38" s="423" t="e">
        <v>#REF!</v>
      </c>
      <c r="V38" s="423" t="e">
        <v>#REF!</v>
      </c>
      <c r="W38" s="424" t="e">
        <v>#REF!</v>
      </c>
      <c r="X38" s="425" t="e">
        <v>#REF!</v>
      </c>
      <c r="Y38" s="426">
        <f t="shared" ca="1" si="4"/>
        <v>0</v>
      </c>
      <c r="Z38" s="427" t="e">
        <f t="shared" ca="1" si="0"/>
        <v>#REF!</v>
      </c>
      <c r="AA38" s="426" t="str">
        <f t="shared" si="1"/>
        <v/>
      </c>
      <c r="AB38" s="428" t="e">
        <f t="shared" si="2"/>
        <v>#REF!</v>
      </c>
      <c r="AC38" s="427" t="str">
        <f t="shared" si="3"/>
        <v/>
      </c>
      <c r="AD38" s="227"/>
    </row>
    <row r="39" spans="1:30" customFormat="1" ht="15">
      <c r="A39" s="227"/>
      <c r="B39" s="275">
        <v>1</v>
      </c>
      <c r="C39" s="62" t="s">
        <v>86</v>
      </c>
      <c r="D39" s="253">
        <v>1</v>
      </c>
      <c r="E39" s="247"/>
      <c r="F39" s="232">
        <v>0.4</v>
      </c>
      <c r="G39" s="435">
        <v>100</v>
      </c>
      <c r="H39" s="386">
        <v>25</v>
      </c>
      <c r="I39" s="413"/>
      <c r="J39" s="413"/>
      <c r="K39" s="413"/>
      <c r="L39" s="413"/>
      <c r="M39" s="413"/>
      <c r="N39" s="413"/>
      <c r="O39" s="413"/>
      <c r="P39" s="413"/>
      <c r="Q39" s="413"/>
      <c r="R39" s="452"/>
      <c r="S39" s="443"/>
      <c r="T39" s="422" cm="1">
        <f t="array" ref="T39:X39">IF(AND($U$12,B63&lt;=$C$17,C63&lt;&gt;""),TRANSPOSE(INDEX(getcds(C63,$C$6,G63/10000,F63,D63,$C$13,$C$14,$C$15,$C$8,,,TRUE,TRUE,FALSE,$C$29:$C$31,$C$33),{1;2;3;4;5})),"")</f>
        <v>0</v>
      </c>
      <c r="U39" s="423" t="e">
        <v>#REF!</v>
      </c>
      <c r="V39" s="423" t="e">
        <v>#REF!</v>
      </c>
      <c r="W39" s="424" t="e">
        <v>#REF!</v>
      </c>
      <c r="X39" s="425" t="e">
        <v>#REF!</v>
      </c>
      <c r="Y39" s="426">
        <f t="shared" ca="1" si="4"/>
        <v>0</v>
      </c>
      <c r="Z39" s="427" t="e">
        <f t="shared" ca="1" si="0"/>
        <v>#REF!</v>
      </c>
      <c r="AA39" s="426" t="str">
        <f t="shared" si="1"/>
        <v/>
      </c>
      <c r="AB39" s="428" t="e">
        <f t="shared" si="2"/>
        <v>#REF!</v>
      </c>
      <c r="AC39" s="427" t="str">
        <f t="shared" si="3"/>
        <v/>
      </c>
      <c r="AD39" s="227"/>
    </row>
    <row r="40" spans="1:30" customFormat="1" ht="15">
      <c r="A40" s="227"/>
      <c r="B40" s="276">
        <v>2</v>
      </c>
      <c r="C40" s="254" t="s">
        <v>88</v>
      </c>
      <c r="D40" s="255">
        <v>1</v>
      </c>
      <c r="E40" s="247"/>
      <c r="F40" s="232">
        <v>0.4</v>
      </c>
      <c r="G40" s="435">
        <v>100</v>
      </c>
      <c r="H40" s="386">
        <v>26</v>
      </c>
      <c r="I40" s="413"/>
      <c r="J40" s="413"/>
      <c r="K40" s="413"/>
      <c r="L40" s="413"/>
      <c r="M40" s="413"/>
      <c r="N40" s="413"/>
      <c r="O40" s="413"/>
      <c r="P40" s="413"/>
      <c r="Q40" s="413"/>
      <c r="R40" s="452"/>
      <c r="S40" s="443"/>
      <c r="T40" s="422" cm="1">
        <f t="array" ref="T40:X40">IF(AND($U$12,B64&lt;=$C$17,C64&lt;&gt;""),TRANSPOSE(INDEX(getcds(C64,$C$6,G64/10000,F64,D64,$C$13,$C$14,$C$15,$C$8,,,TRUE,TRUE,FALSE,$C$29:$C$31,$C$33),{1;2;3;4;5})),"")</f>
        <v>0</v>
      </c>
      <c r="U40" s="423" t="e">
        <v>#REF!</v>
      </c>
      <c r="V40" s="423" t="e">
        <v>#REF!</v>
      </c>
      <c r="W40" s="424" t="e">
        <v>#REF!</v>
      </c>
      <c r="X40" s="425" t="e">
        <v>#REF!</v>
      </c>
      <c r="Y40" s="426">
        <f t="shared" ca="1" si="4"/>
        <v>0</v>
      </c>
      <c r="Z40" s="427" t="e">
        <f t="shared" ca="1" si="0"/>
        <v>#REF!</v>
      </c>
      <c r="AA40" s="426" t="str">
        <f t="shared" si="1"/>
        <v/>
      </c>
      <c r="AB40" s="428" t="e">
        <f t="shared" si="2"/>
        <v>#REF!</v>
      </c>
      <c r="AC40" s="427" t="str">
        <f t="shared" si="3"/>
        <v/>
      </c>
      <c r="AD40" s="227"/>
    </row>
    <row r="41" spans="1:30" customFormat="1" ht="12.75" customHeight="1">
      <c r="A41" s="227"/>
      <c r="B41" s="276">
        <v>3</v>
      </c>
      <c r="C41" s="254" t="s">
        <v>89</v>
      </c>
      <c r="D41" s="255">
        <v>1</v>
      </c>
      <c r="E41" s="247"/>
      <c r="F41" s="232">
        <v>0.4</v>
      </c>
      <c r="G41" s="435">
        <v>100</v>
      </c>
      <c r="H41" s="386">
        <v>27</v>
      </c>
      <c r="I41" s="413"/>
      <c r="J41" s="413"/>
      <c r="K41" s="413"/>
      <c r="L41" s="413"/>
      <c r="M41" s="413"/>
      <c r="N41" s="413"/>
      <c r="O41" s="413"/>
      <c r="P41" s="413"/>
      <c r="Q41" s="413"/>
      <c r="R41" s="452"/>
      <c r="S41" s="443"/>
      <c r="T41" s="422" t="e" cm="1">
        <f t="array" ref="T41:X41">IF(AND($U$12,B65&lt;=$C$17,C65&lt;&gt;""),TRANSPOSE(INDEX(getcds(C65,$C$6,G65/10000,F65,D65,$C$13,$C$14,$C$15,$C$8,,,TRUE,TRUE,FALSE,$C$29:$C$31,$C$33),{1;2;3;4;5})),"")</f>
        <v>#VALUE!</v>
      </c>
      <c r="U41" s="423" t="e">
        <v>#VALUE!</v>
      </c>
      <c r="V41" s="423" t="e">
        <v>#VALUE!</v>
      </c>
      <c r="W41" s="424" t="e">
        <v>#VALUE!</v>
      </c>
      <c r="X41" s="425" t="e">
        <v>#VALUE!</v>
      </c>
      <c r="Y41" s="426" t="e">
        <f t="shared" si="4"/>
        <v>#VALUE!</v>
      </c>
      <c r="Z41" s="427" t="e">
        <f t="shared" si="0"/>
        <v>#VALUE!</v>
      </c>
      <c r="AA41" s="426" t="e">
        <f t="shared" si="1"/>
        <v>#VALUE!</v>
      </c>
      <c r="AB41" s="428" t="e">
        <f t="shared" si="2"/>
        <v>#VALUE!</v>
      </c>
      <c r="AC41" s="427" t="e">
        <f t="shared" si="3"/>
        <v>#VALUE!</v>
      </c>
      <c r="AD41" s="227"/>
    </row>
    <row r="42" spans="1:30" customFormat="1" ht="15">
      <c r="A42" s="227"/>
      <c r="B42" s="276">
        <v>4</v>
      </c>
      <c r="C42" s="254" t="s">
        <v>90</v>
      </c>
      <c r="D42" s="255">
        <v>1</v>
      </c>
      <c r="E42" s="247"/>
      <c r="F42" s="232">
        <v>0.4</v>
      </c>
      <c r="G42" s="435">
        <v>100</v>
      </c>
      <c r="H42" s="386">
        <v>28</v>
      </c>
      <c r="I42" s="413"/>
      <c r="J42" s="413"/>
      <c r="K42" s="413"/>
      <c r="L42" s="413"/>
      <c r="M42" s="413"/>
      <c r="N42" s="413"/>
      <c r="O42" s="413"/>
      <c r="P42" s="413"/>
      <c r="Q42" s="413"/>
      <c r="R42" s="452"/>
      <c r="S42" s="443"/>
      <c r="T42" s="422" t="e" cm="1">
        <f t="array" ref="T42:X42">IF(AND($U$12,B66&lt;=$C$17,C66&lt;&gt;""),TRANSPOSE(INDEX(getcds(C66,$C$6,G66/10000,F66,D66,$C$13,$C$14,$C$15,$C$8,,,TRUE,TRUE,FALSE,$C$29:$C$31,$C$33),{1;2;3;4;5})),"")</f>
        <v>#VALUE!</v>
      </c>
      <c r="U42" s="423" t="e">
        <v>#VALUE!</v>
      </c>
      <c r="V42" s="423" t="e">
        <v>#VALUE!</v>
      </c>
      <c r="W42" s="424" t="e">
        <v>#VALUE!</v>
      </c>
      <c r="X42" s="425" t="e">
        <v>#VALUE!</v>
      </c>
      <c r="Y42" s="426" t="e">
        <f t="shared" si="4"/>
        <v>#VALUE!</v>
      </c>
      <c r="Z42" s="427" t="e">
        <f t="shared" si="0"/>
        <v>#VALUE!</v>
      </c>
      <c r="AA42" s="426" t="e">
        <f t="shared" si="1"/>
        <v>#VALUE!</v>
      </c>
      <c r="AB42" s="428" t="e">
        <f t="shared" si="2"/>
        <v>#VALUE!</v>
      </c>
      <c r="AC42" s="427" t="e">
        <f t="shared" si="3"/>
        <v>#VALUE!</v>
      </c>
      <c r="AD42" s="227"/>
    </row>
    <row r="43" spans="1:30" customFormat="1" ht="15">
      <c r="A43" s="227"/>
      <c r="B43" s="276">
        <v>5</v>
      </c>
      <c r="C43" s="254" t="s">
        <v>93</v>
      </c>
      <c r="D43" s="255">
        <v>1</v>
      </c>
      <c r="E43" s="247"/>
      <c r="F43" s="232">
        <v>0.4</v>
      </c>
      <c r="G43" s="435">
        <v>100</v>
      </c>
      <c r="H43" s="386">
        <v>29</v>
      </c>
      <c r="I43" s="413"/>
      <c r="J43" s="413"/>
      <c r="K43" s="413"/>
      <c r="L43" s="413"/>
      <c r="M43" s="413"/>
      <c r="N43" s="413"/>
      <c r="O43" s="413"/>
      <c r="P43" s="413"/>
      <c r="Q43" s="413"/>
      <c r="R43" s="452"/>
      <c r="S43" s="443"/>
      <c r="T43" s="422" t="e" cm="1">
        <f t="array" ref="T43:X43">IF(AND($U$12,B67&lt;=$C$17,C67&lt;&gt;""),TRANSPOSE(INDEX(getcds(C67,$C$6,G67/10000,F67,D67,$C$13,$C$14,$C$15,$C$8,,,TRUE,TRUE,FALSE,$C$29:$C$31,$C$33),{1;2;3;4;5})),"")</f>
        <v>#VALUE!</v>
      </c>
      <c r="U43" s="423" t="e">
        <v>#VALUE!</v>
      </c>
      <c r="V43" s="423" t="e">
        <v>#VALUE!</v>
      </c>
      <c r="W43" s="424" t="e">
        <v>#VALUE!</v>
      </c>
      <c r="X43" s="425" t="e">
        <v>#VALUE!</v>
      </c>
      <c r="Y43" s="426" t="e">
        <f t="shared" si="4"/>
        <v>#VALUE!</v>
      </c>
      <c r="Z43" s="427" t="e">
        <f t="shared" si="0"/>
        <v>#VALUE!</v>
      </c>
      <c r="AA43" s="426" t="e">
        <f t="shared" si="1"/>
        <v>#VALUE!</v>
      </c>
      <c r="AB43" s="428" t="e">
        <f t="shared" si="2"/>
        <v>#VALUE!</v>
      </c>
      <c r="AC43" s="427" t="e">
        <f t="shared" si="3"/>
        <v>#VALUE!</v>
      </c>
      <c r="AD43" s="227"/>
    </row>
    <row r="44" spans="1:30" customFormat="1" ht="15">
      <c r="A44" s="227"/>
      <c r="B44" s="276">
        <v>6</v>
      </c>
      <c r="C44" s="254" t="s">
        <v>94</v>
      </c>
      <c r="D44" s="255">
        <v>1</v>
      </c>
      <c r="E44" s="247"/>
      <c r="F44" s="232">
        <v>0.4</v>
      </c>
      <c r="G44" s="435">
        <v>100</v>
      </c>
      <c r="H44" s="386">
        <v>30</v>
      </c>
      <c r="I44" s="413"/>
      <c r="J44" s="413"/>
      <c r="K44" s="413"/>
      <c r="L44" s="413"/>
      <c r="M44" s="413"/>
      <c r="N44" s="413"/>
      <c r="O44" s="413"/>
      <c r="P44" s="413"/>
      <c r="Q44" s="413"/>
      <c r="R44" s="452"/>
      <c r="S44" s="443"/>
      <c r="T44" s="422" t="e" cm="1">
        <f t="array" ref="T44:X44">IF(AND($U$12,B68&lt;=$C$17,C68&lt;&gt;""),TRANSPOSE(INDEX(getcds(C68,$C$6,G68/10000,F68,D68,$C$13,$C$14,$C$15,$C$8,,,TRUE,TRUE,FALSE,$C$29:$C$31,$C$33),{1;2;3;4;5})),"")</f>
        <v>#VALUE!</v>
      </c>
      <c r="U44" s="423" t="e">
        <v>#VALUE!</v>
      </c>
      <c r="V44" s="423" t="e">
        <v>#VALUE!</v>
      </c>
      <c r="W44" s="424" t="e">
        <v>#VALUE!</v>
      </c>
      <c r="X44" s="425" t="e">
        <v>#VALUE!</v>
      </c>
      <c r="Y44" s="426" t="e">
        <f t="shared" si="4"/>
        <v>#VALUE!</v>
      </c>
      <c r="Z44" s="427" t="e">
        <f t="shared" si="0"/>
        <v>#VALUE!</v>
      </c>
      <c r="AA44" s="426" t="e">
        <f t="shared" si="1"/>
        <v>#VALUE!</v>
      </c>
      <c r="AB44" s="428" t="e">
        <f t="shared" si="2"/>
        <v>#VALUE!</v>
      </c>
      <c r="AC44" s="427" t="e">
        <f t="shared" si="3"/>
        <v>#VALUE!</v>
      </c>
      <c r="AD44" s="227"/>
    </row>
    <row r="45" spans="1:30" customFormat="1" ht="15">
      <c r="A45" s="227"/>
      <c r="B45" s="276">
        <v>7</v>
      </c>
      <c r="C45" s="254" t="s">
        <v>95</v>
      </c>
      <c r="D45" s="255">
        <v>1</v>
      </c>
      <c r="E45" s="247"/>
      <c r="F45" s="232">
        <v>0.4</v>
      </c>
      <c r="G45" s="435">
        <v>100</v>
      </c>
      <c r="H45" s="386">
        <v>31</v>
      </c>
      <c r="I45" s="413"/>
      <c r="J45" s="413"/>
      <c r="K45" s="413"/>
      <c r="L45" s="413"/>
      <c r="M45" s="413"/>
      <c r="N45" s="413"/>
      <c r="O45" s="413"/>
      <c r="P45" s="413"/>
      <c r="Q45" s="413"/>
      <c r="R45" s="452"/>
      <c r="S45" s="443"/>
      <c r="T45" s="422" cm="1">
        <f t="array" ref="T45:X45">IF(AND($U$12,B69&lt;=$C$17,C69&lt;&gt;""),TRANSPOSE(INDEX(getcds(C69,$C$6,G69/10000,F69,D69,$C$13,$C$14,$C$15,$C$8,,,TRUE,TRUE,FALSE,$C$29:$C$31,$C$33),{1;2;3;4;5})),"")</f>
        <v>0</v>
      </c>
      <c r="U45" s="423" t="e">
        <v>#REF!</v>
      </c>
      <c r="V45" s="423" t="e">
        <v>#REF!</v>
      </c>
      <c r="W45" s="424" t="e">
        <v>#REF!</v>
      </c>
      <c r="X45" s="425" t="e">
        <v>#REF!</v>
      </c>
      <c r="Y45" s="426">
        <f t="shared" ca="1" si="4"/>
        <v>0</v>
      </c>
      <c r="Z45" s="427" t="e">
        <f t="shared" ca="1" si="0"/>
        <v>#REF!</v>
      </c>
      <c r="AA45" s="426" t="str">
        <f t="shared" si="1"/>
        <v/>
      </c>
      <c r="AB45" s="428" t="e">
        <f t="shared" si="2"/>
        <v>#REF!</v>
      </c>
      <c r="AC45" s="427" t="str">
        <f t="shared" si="3"/>
        <v/>
      </c>
      <c r="AD45" s="227"/>
    </row>
    <row r="46" spans="1:30" customFormat="1" ht="15">
      <c r="A46" s="227"/>
      <c r="B46" s="276">
        <v>8</v>
      </c>
      <c r="C46" s="254" t="s">
        <v>96</v>
      </c>
      <c r="D46" s="255">
        <v>1</v>
      </c>
      <c r="E46" s="247"/>
      <c r="F46" s="232">
        <v>0.4</v>
      </c>
      <c r="G46" s="435">
        <v>100</v>
      </c>
      <c r="H46" s="386">
        <v>32</v>
      </c>
      <c r="I46" s="413"/>
      <c r="J46" s="413"/>
      <c r="K46" s="413"/>
      <c r="L46" s="413"/>
      <c r="M46" s="413"/>
      <c r="N46" s="413"/>
      <c r="O46" s="413"/>
      <c r="P46" s="413"/>
      <c r="Q46" s="413"/>
      <c r="R46" s="452"/>
      <c r="S46" s="443"/>
      <c r="T46" s="422" cm="1">
        <f t="array" ref="T46:X46">IF(AND($U$12,B70&lt;=$C$17,C70&lt;&gt;""),TRANSPOSE(INDEX(getcds(C70,$C$6,G70/10000,F70,D70,$C$13,$C$14,$C$15,$C$8,,,TRUE,TRUE,FALSE,$C$29:$C$31,$C$33),{1;2;3;4;5})),"")</f>
        <v>0</v>
      </c>
      <c r="U46" s="423" t="e">
        <v>#REF!</v>
      </c>
      <c r="V46" s="423" t="e">
        <v>#REF!</v>
      </c>
      <c r="W46" s="424" t="e">
        <v>#REF!</v>
      </c>
      <c r="X46" s="425" t="e">
        <v>#REF!</v>
      </c>
      <c r="Y46" s="426">
        <f t="shared" ca="1" si="4"/>
        <v>0</v>
      </c>
      <c r="Z46" s="427" t="e">
        <f t="shared" ca="1" si="0"/>
        <v>#REF!</v>
      </c>
      <c r="AA46" s="426" t="str">
        <f t="shared" si="1"/>
        <v/>
      </c>
      <c r="AB46" s="428" t="e">
        <f t="shared" si="2"/>
        <v>#REF!</v>
      </c>
      <c r="AC46" s="427" t="str">
        <f t="shared" si="3"/>
        <v/>
      </c>
      <c r="AD46" s="227"/>
    </row>
    <row r="47" spans="1:30" customFormat="1" ht="15">
      <c r="A47" s="227"/>
      <c r="B47" s="276">
        <v>9</v>
      </c>
      <c r="C47" s="254" t="s">
        <v>97</v>
      </c>
      <c r="D47" s="255">
        <v>1</v>
      </c>
      <c r="E47" s="247"/>
      <c r="F47" s="232">
        <v>0.4</v>
      </c>
      <c r="G47" s="435">
        <v>100</v>
      </c>
      <c r="H47" s="386">
        <v>33</v>
      </c>
      <c r="I47" s="413"/>
      <c r="J47" s="413"/>
      <c r="K47" s="413"/>
      <c r="L47" s="413"/>
      <c r="M47" s="413"/>
      <c r="N47" s="413"/>
      <c r="O47" s="413"/>
      <c r="P47" s="413"/>
      <c r="Q47" s="413"/>
      <c r="R47" s="452"/>
      <c r="S47" s="443"/>
      <c r="T47" s="422" cm="1">
        <f t="array" ref="T47:X47">IF(AND($U$12,B71&lt;=$C$17,C71&lt;&gt;""),TRANSPOSE(INDEX(getcds(C71,$C$6,G71/10000,F71,D71,$C$13,$C$14,$C$15,$C$8,,,TRUE,TRUE,FALSE,$C$29:$C$31,$C$33),{1;2;3;4;5})),"")</f>
        <v>0</v>
      </c>
      <c r="U47" s="423" t="e">
        <v>#REF!</v>
      </c>
      <c r="V47" s="423" t="e">
        <v>#REF!</v>
      </c>
      <c r="W47" s="424" t="e">
        <v>#REF!</v>
      </c>
      <c r="X47" s="425" t="e">
        <v>#REF!</v>
      </c>
      <c r="Y47" s="426">
        <f t="shared" ca="1" si="4"/>
        <v>0</v>
      </c>
      <c r="Z47" s="427" t="e">
        <f t="shared" ca="1" si="0"/>
        <v>#REF!</v>
      </c>
      <c r="AA47" s="426" t="str">
        <f t="shared" si="1"/>
        <v/>
      </c>
      <c r="AB47" s="428" t="e">
        <f t="shared" si="2"/>
        <v>#REF!</v>
      </c>
      <c r="AC47" s="427" t="str">
        <f t="shared" si="3"/>
        <v/>
      </c>
      <c r="AD47" s="227"/>
    </row>
    <row r="48" spans="1:30" customFormat="1" ht="15">
      <c r="A48" s="227"/>
      <c r="B48" s="276">
        <v>10</v>
      </c>
      <c r="C48" s="254" t="s">
        <v>98</v>
      </c>
      <c r="D48" s="255">
        <v>1</v>
      </c>
      <c r="E48" s="247"/>
      <c r="F48" s="232">
        <v>0.4</v>
      </c>
      <c r="G48" s="435">
        <v>100</v>
      </c>
      <c r="H48" s="386">
        <v>34</v>
      </c>
      <c r="I48" s="413"/>
      <c r="J48" s="413"/>
      <c r="K48" s="413"/>
      <c r="L48" s="413"/>
      <c r="M48" s="413"/>
      <c r="N48" s="413"/>
      <c r="O48" s="413"/>
      <c r="P48" s="413"/>
      <c r="Q48" s="413"/>
      <c r="R48" s="452"/>
      <c r="S48" s="443"/>
      <c r="T48" s="422" t="e" cm="1">
        <f t="array" ref="T48:X48">IF(AND($U$12,B72&lt;=$C$17,C72&lt;&gt;""),TRANSPOSE(INDEX(getcds(C72,$C$6,G72/10000,F72,D72,$C$13,$C$14,$C$15,$C$8,,,TRUE,TRUE,FALSE,$C$29:$C$31,$C$33),{1;2;3;4;5})),"")</f>
        <v>#VALUE!</v>
      </c>
      <c r="U48" s="423" t="e">
        <v>#VALUE!</v>
      </c>
      <c r="V48" s="423" t="e">
        <v>#VALUE!</v>
      </c>
      <c r="W48" s="424" t="e">
        <v>#VALUE!</v>
      </c>
      <c r="X48" s="425" t="e">
        <v>#VALUE!</v>
      </c>
      <c r="Y48" s="426" t="e">
        <f t="shared" si="4"/>
        <v>#VALUE!</v>
      </c>
      <c r="Z48" s="427" t="e">
        <f t="shared" si="0"/>
        <v>#VALUE!</v>
      </c>
      <c r="AA48" s="426" t="e">
        <f t="shared" si="1"/>
        <v>#VALUE!</v>
      </c>
      <c r="AB48" s="428" t="e">
        <f t="shared" si="2"/>
        <v>#VALUE!</v>
      </c>
      <c r="AC48" s="427" t="e">
        <f t="shared" si="3"/>
        <v>#VALUE!</v>
      </c>
      <c r="AD48" s="227"/>
    </row>
    <row r="49" spans="1:30" customFormat="1" ht="15">
      <c r="A49" s="227"/>
      <c r="B49" s="276">
        <v>11</v>
      </c>
      <c r="C49" s="254" t="s">
        <v>99</v>
      </c>
      <c r="D49" s="255">
        <v>1</v>
      </c>
      <c r="E49" s="247"/>
      <c r="F49" s="232">
        <v>0.4</v>
      </c>
      <c r="G49" s="435">
        <v>100</v>
      </c>
      <c r="H49" s="386">
        <v>35</v>
      </c>
      <c r="I49" s="413"/>
      <c r="J49" s="413"/>
      <c r="K49" s="413"/>
      <c r="L49" s="413"/>
      <c r="M49" s="413"/>
      <c r="N49" s="413"/>
      <c r="O49" s="413"/>
      <c r="P49" s="413"/>
      <c r="Q49" s="413"/>
      <c r="R49" s="452"/>
      <c r="S49" s="443"/>
      <c r="T49" s="422" cm="1">
        <f t="array" ref="T49:X49">IF(AND($U$12,B73&lt;=$C$17,C73&lt;&gt;""),TRANSPOSE(INDEX(getcds(C73,$C$6,G73/10000,F73,D73,$C$13,$C$14,$C$15,$C$8,,,TRUE,TRUE,FALSE,$C$29:$C$31,$C$33),{1;2;3;4;5})),"")</f>
        <v>0</v>
      </c>
      <c r="U49" s="423" t="e">
        <v>#REF!</v>
      </c>
      <c r="V49" s="423" t="e">
        <v>#REF!</v>
      </c>
      <c r="W49" s="424" t="e">
        <v>#REF!</v>
      </c>
      <c r="X49" s="425" t="e">
        <v>#REF!</v>
      </c>
      <c r="Y49" s="426">
        <f t="shared" ca="1" si="4"/>
        <v>0</v>
      </c>
      <c r="Z49" s="427" t="e">
        <f t="shared" ca="1" si="0"/>
        <v>#REF!</v>
      </c>
      <c r="AA49" s="426" t="str">
        <f t="shared" si="1"/>
        <v/>
      </c>
      <c r="AB49" s="428" t="e">
        <f t="shared" si="2"/>
        <v>#REF!</v>
      </c>
      <c r="AC49" s="427" t="str">
        <f t="shared" si="3"/>
        <v/>
      </c>
      <c r="AD49" s="227"/>
    </row>
    <row r="50" spans="1:30" customFormat="1" ht="15">
      <c r="A50" s="227"/>
      <c r="B50" s="276">
        <v>12</v>
      </c>
      <c r="C50" s="254" t="s">
        <v>100</v>
      </c>
      <c r="D50" s="255">
        <v>1</v>
      </c>
      <c r="E50" s="247"/>
      <c r="F50" s="232">
        <v>0.4</v>
      </c>
      <c r="G50" s="435">
        <v>100</v>
      </c>
      <c r="H50" s="386">
        <v>36</v>
      </c>
      <c r="I50" s="413"/>
      <c r="J50" s="413"/>
      <c r="K50" s="413"/>
      <c r="L50" s="413"/>
      <c r="M50" s="413"/>
      <c r="N50" s="413"/>
      <c r="O50" s="413"/>
      <c r="P50" s="413"/>
      <c r="Q50" s="413"/>
      <c r="R50" s="452"/>
      <c r="S50" s="443"/>
      <c r="T50" s="422" t="e" cm="1">
        <f t="array" ref="T50:X50">IF(AND($U$12,B74&lt;=$C$17,C74&lt;&gt;""),TRANSPOSE(INDEX(getcds(C74,$C$6,G74/10000,F74,D74,$C$13,$C$14,$C$15,$C$8,,,TRUE,TRUE,FALSE,$C$29:$C$31,$C$33),{1;2;3;4;5})),"")</f>
        <v>#VALUE!</v>
      </c>
      <c r="U50" s="423" t="e">
        <v>#VALUE!</v>
      </c>
      <c r="V50" s="423" t="e">
        <v>#VALUE!</v>
      </c>
      <c r="W50" s="424" t="e">
        <v>#VALUE!</v>
      </c>
      <c r="X50" s="425" t="e">
        <v>#VALUE!</v>
      </c>
      <c r="Y50" s="426" t="e">
        <f t="shared" si="4"/>
        <v>#VALUE!</v>
      </c>
      <c r="Z50" s="427" t="e">
        <f t="shared" si="0"/>
        <v>#VALUE!</v>
      </c>
      <c r="AA50" s="426" t="e">
        <f t="shared" si="1"/>
        <v>#VALUE!</v>
      </c>
      <c r="AB50" s="428" t="e">
        <f t="shared" si="2"/>
        <v>#VALUE!</v>
      </c>
      <c r="AC50" s="427" t="e">
        <f t="shared" si="3"/>
        <v>#VALUE!</v>
      </c>
      <c r="AD50" s="227"/>
    </row>
    <row r="51" spans="1:30" customFormat="1" ht="15">
      <c r="A51" s="227"/>
      <c r="B51" s="276">
        <v>13</v>
      </c>
      <c r="C51" s="254" t="s">
        <v>101</v>
      </c>
      <c r="D51" s="255">
        <v>1</v>
      </c>
      <c r="E51" s="247"/>
      <c r="F51" s="232">
        <v>0.4</v>
      </c>
      <c r="G51" s="435">
        <v>100</v>
      </c>
      <c r="H51" s="386">
        <v>37</v>
      </c>
      <c r="I51" s="413"/>
      <c r="J51" s="413"/>
      <c r="K51" s="413"/>
      <c r="L51" s="413"/>
      <c r="M51" s="413"/>
      <c r="N51" s="413"/>
      <c r="O51" s="413"/>
      <c r="P51" s="413"/>
      <c r="Q51" s="413"/>
      <c r="R51" s="452"/>
      <c r="S51" s="443"/>
      <c r="T51" s="422" t="e" cm="1">
        <f t="array" ref="T51:X51">IF(AND($U$12,B75&lt;=$C$17,C75&lt;&gt;""),TRANSPOSE(INDEX(getcds(C75,$C$6,G75/10000,F75,D75,$C$13,$C$14,$C$15,$C$8,,,TRUE,TRUE,FALSE,$C$29:$C$31,$C$33),{1;2;3;4;5})),"")</f>
        <v>#VALUE!</v>
      </c>
      <c r="U51" s="423" t="e">
        <v>#VALUE!</v>
      </c>
      <c r="V51" s="423" t="e">
        <v>#VALUE!</v>
      </c>
      <c r="W51" s="424" t="e">
        <v>#VALUE!</v>
      </c>
      <c r="X51" s="425" t="e">
        <v>#VALUE!</v>
      </c>
      <c r="Y51" s="426" t="e">
        <f t="shared" si="4"/>
        <v>#VALUE!</v>
      </c>
      <c r="Z51" s="427" t="e">
        <f t="shared" si="0"/>
        <v>#VALUE!</v>
      </c>
      <c r="AA51" s="426" t="e">
        <f t="shared" si="1"/>
        <v>#VALUE!</v>
      </c>
      <c r="AB51" s="428" t="e">
        <f t="shared" si="2"/>
        <v>#VALUE!</v>
      </c>
      <c r="AC51" s="427" t="e">
        <f t="shared" si="3"/>
        <v>#VALUE!</v>
      </c>
      <c r="AD51" s="227"/>
    </row>
    <row r="52" spans="1:30" customFormat="1" ht="15">
      <c r="A52" s="227"/>
      <c r="B52" s="276">
        <v>14</v>
      </c>
      <c r="C52" s="254" t="s">
        <v>102</v>
      </c>
      <c r="D52" s="255">
        <v>1</v>
      </c>
      <c r="E52" s="247"/>
      <c r="F52" s="232">
        <v>0.4</v>
      </c>
      <c r="G52" s="435">
        <v>100</v>
      </c>
      <c r="H52" s="386">
        <v>38</v>
      </c>
      <c r="I52" s="413"/>
      <c r="J52" s="413"/>
      <c r="K52" s="413"/>
      <c r="L52" s="413"/>
      <c r="M52" s="413"/>
      <c r="N52" s="413"/>
      <c r="O52" s="413"/>
      <c r="P52" s="413"/>
      <c r="Q52" s="413"/>
      <c r="R52" s="452"/>
      <c r="S52" s="443"/>
      <c r="T52" s="422" cm="1">
        <f t="array" ref="T52:X52">IF(AND($U$12,B76&lt;=$C$17,C76&lt;&gt;""),TRANSPOSE(INDEX(getcds(C76,$C$6,G76/10000,F76,D76,$C$13,$C$14,$C$15,$C$8,,,TRUE,TRUE,FALSE,$C$29:$C$31,$C$33),{1;2;3;4;5})),"")</f>
        <v>0</v>
      </c>
      <c r="U52" s="423" t="e">
        <v>#REF!</v>
      </c>
      <c r="V52" s="423" t="e">
        <v>#REF!</v>
      </c>
      <c r="W52" s="424" t="e">
        <v>#REF!</v>
      </c>
      <c r="X52" s="425" t="e">
        <v>#REF!</v>
      </c>
      <c r="Y52" s="426">
        <f t="shared" ca="1" si="4"/>
        <v>0</v>
      </c>
      <c r="Z52" s="427" t="e">
        <f t="shared" ca="1" si="0"/>
        <v>#REF!</v>
      </c>
      <c r="AA52" s="426" t="str">
        <f t="shared" si="1"/>
        <v/>
      </c>
      <c r="AB52" s="428" t="e">
        <f t="shared" si="2"/>
        <v>#REF!</v>
      </c>
      <c r="AC52" s="427" t="str">
        <f t="shared" si="3"/>
        <v/>
      </c>
      <c r="AD52" s="227"/>
    </row>
    <row r="53" spans="1:30" customFormat="1" ht="15">
      <c r="A53" s="227"/>
      <c r="B53" s="276">
        <v>15</v>
      </c>
      <c r="C53" s="254" t="s">
        <v>103</v>
      </c>
      <c r="D53" s="255">
        <v>1</v>
      </c>
      <c r="E53" s="247"/>
      <c r="F53" s="232">
        <v>0.4</v>
      </c>
      <c r="G53" s="435">
        <v>100</v>
      </c>
      <c r="H53" s="386">
        <v>39</v>
      </c>
      <c r="I53" s="413"/>
      <c r="J53" s="413"/>
      <c r="K53" s="413"/>
      <c r="L53" s="413"/>
      <c r="M53" s="413"/>
      <c r="N53" s="413"/>
      <c r="O53" s="413"/>
      <c r="P53" s="413"/>
      <c r="Q53" s="413"/>
      <c r="R53" s="452"/>
      <c r="S53" s="443"/>
      <c r="T53" s="422" cm="1">
        <f t="array" ref="T53:X53">IF(AND($U$12,B77&lt;=$C$17,C77&lt;&gt;""),TRANSPOSE(INDEX(getcds(C77,$C$6,G77/10000,F77,D77,$C$13,$C$14,$C$15,$C$8,,,TRUE,TRUE,FALSE,$C$29:$C$31,$C$33),{1;2;3;4;5})),"")</f>
        <v>0</v>
      </c>
      <c r="U53" s="423" t="e">
        <v>#REF!</v>
      </c>
      <c r="V53" s="423" t="e">
        <v>#REF!</v>
      </c>
      <c r="W53" s="424" t="e">
        <v>#REF!</v>
      </c>
      <c r="X53" s="425" t="e">
        <v>#REF!</v>
      </c>
      <c r="Y53" s="426">
        <f t="shared" ca="1" si="4"/>
        <v>0</v>
      </c>
      <c r="Z53" s="427" t="e">
        <f t="shared" ca="1" si="0"/>
        <v>#REF!</v>
      </c>
      <c r="AA53" s="426" t="str">
        <f t="shared" si="1"/>
        <v/>
      </c>
      <c r="AB53" s="428" t="e">
        <f t="shared" si="2"/>
        <v>#REF!</v>
      </c>
      <c r="AC53" s="427" t="str">
        <f t="shared" si="3"/>
        <v/>
      </c>
      <c r="AD53" s="227"/>
    </row>
    <row r="54" spans="1:30" customFormat="1" ht="15">
      <c r="A54" s="227"/>
      <c r="B54" s="276">
        <v>16</v>
      </c>
      <c r="C54" s="254" t="s">
        <v>104</v>
      </c>
      <c r="D54" s="255">
        <v>1</v>
      </c>
      <c r="E54" s="247"/>
      <c r="F54" s="232">
        <v>0.4</v>
      </c>
      <c r="G54" s="435">
        <v>100</v>
      </c>
      <c r="H54" s="386">
        <v>40</v>
      </c>
      <c r="I54" s="413"/>
      <c r="J54" s="413"/>
      <c r="K54" s="413"/>
      <c r="L54" s="413"/>
      <c r="M54" s="413"/>
      <c r="N54" s="413"/>
      <c r="O54" s="413"/>
      <c r="P54" s="413"/>
      <c r="Q54" s="413"/>
      <c r="R54" s="452"/>
      <c r="S54" s="443"/>
      <c r="T54" s="422" t="e" cm="1">
        <f t="array" ref="T54:X54">IF(AND($U$12,B78&lt;=$C$17,C78&lt;&gt;""),TRANSPOSE(INDEX(getcds(C78,$C$6,G78/10000,F78,D78,$C$13,$C$14,$C$15,$C$8,,,TRUE,TRUE,FALSE,$C$29:$C$31,$C$33),{1;2;3;4;5})),"")</f>
        <v>#VALUE!</v>
      </c>
      <c r="U54" s="423" t="e">
        <v>#VALUE!</v>
      </c>
      <c r="V54" s="423" t="e">
        <v>#VALUE!</v>
      </c>
      <c r="W54" s="424" t="e">
        <v>#VALUE!</v>
      </c>
      <c r="X54" s="425" t="e">
        <v>#VALUE!</v>
      </c>
      <c r="Y54" s="426" t="e">
        <f t="shared" si="4"/>
        <v>#VALUE!</v>
      </c>
      <c r="Z54" s="427" t="e">
        <f t="shared" si="0"/>
        <v>#VALUE!</v>
      </c>
      <c r="AA54" s="426" t="e">
        <f t="shared" si="1"/>
        <v>#VALUE!</v>
      </c>
      <c r="AB54" s="428" t="e">
        <f t="shared" si="2"/>
        <v>#VALUE!</v>
      </c>
      <c r="AC54" s="427" t="e">
        <f t="shared" si="3"/>
        <v>#VALUE!</v>
      </c>
      <c r="AD54" s="227"/>
    </row>
    <row r="55" spans="1:30" customFormat="1" ht="15">
      <c r="A55" s="227"/>
      <c r="B55" s="276">
        <v>17</v>
      </c>
      <c r="C55" s="254" t="s">
        <v>105</v>
      </c>
      <c r="D55" s="255">
        <v>1</v>
      </c>
      <c r="E55" s="247"/>
      <c r="F55" s="232">
        <v>0.4</v>
      </c>
      <c r="G55" s="435">
        <v>100</v>
      </c>
      <c r="H55" s="386">
        <v>41</v>
      </c>
      <c r="I55" s="413"/>
      <c r="J55" s="413"/>
      <c r="K55" s="413"/>
      <c r="L55" s="413"/>
      <c r="M55" s="413"/>
      <c r="N55" s="413"/>
      <c r="O55" s="413"/>
      <c r="P55" s="413"/>
      <c r="Q55" s="413"/>
      <c r="R55" s="452"/>
      <c r="S55" s="443"/>
      <c r="T55" s="422" cm="1">
        <f t="array" ref="T55:X55">IF(AND($U$12,B79&lt;=$C$17,C79&lt;&gt;""),TRANSPOSE(INDEX(getcds(C79,$C$6,G79/10000,F79,D79,$C$13,$C$14,$C$15,$C$8,,,TRUE,TRUE,FALSE,$C$29:$C$31,$C$33),{1;2;3;4;5})),"")</f>
        <v>0</v>
      </c>
      <c r="U55" s="423" t="e">
        <v>#REF!</v>
      </c>
      <c r="V55" s="423" t="e">
        <v>#REF!</v>
      </c>
      <c r="W55" s="424" t="e">
        <v>#REF!</v>
      </c>
      <c r="X55" s="425" t="e">
        <v>#REF!</v>
      </c>
      <c r="Y55" s="426">
        <f t="shared" ca="1" si="4"/>
        <v>0</v>
      </c>
      <c r="Z55" s="427" t="e">
        <f t="shared" ca="1" si="0"/>
        <v>#REF!</v>
      </c>
      <c r="AA55" s="426" t="str">
        <f t="shared" si="1"/>
        <v/>
      </c>
      <c r="AB55" s="428" t="e">
        <f t="shared" si="2"/>
        <v>#REF!</v>
      </c>
      <c r="AC55" s="427" t="str">
        <f t="shared" si="3"/>
        <v/>
      </c>
      <c r="AD55" s="227"/>
    </row>
    <row r="56" spans="1:30" customFormat="1" ht="15">
      <c r="A56" s="227"/>
      <c r="B56" s="276">
        <v>18</v>
      </c>
      <c r="C56" s="254" t="s">
        <v>106</v>
      </c>
      <c r="D56" s="255">
        <v>1</v>
      </c>
      <c r="E56" s="247"/>
      <c r="F56" s="232">
        <v>0.4</v>
      </c>
      <c r="G56" s="435">
        <v>100</v>
      </c>
      <c r="H56" s="386">
        <v>42</v>
      </c>
      <c r="I56" s="413"/>
      <c r="J56" s="413"/>
      <c r="K56" s="413"/>
      <c r="L56" s="413"/>
      <c r="M56" s="413"/>
      <c r="N56" s="413"/>
      <c r="O56" s="413"/>
      <c r="P56" s="413"/>
      <c r="Q56" s="413"/>
      <c r="R56" s="452"/>
      <c r="S56" s="443"/>
      <c r="T56" s="422" cm="1">
        <f t="array" ref="T56:X56">IF(AND($U$12,B80&lt;=$C$17,C80&lt;&gt;""),TRANSPOSE(INDEX(getcds(C80,$C$6,G80/10000,F80,D80,$C$13,$C$14,$C$15,$C$8,,,TRUE,TRUE,FALSE,$C$29:$C$31,$C$33),{1;2;3;4;5})),"")</f>
        <v>0</v>
      </c>
      <c r="U56" s="423" t="e">
        <v>#REF!</v>
      </c>
      <c r="V56" s="423" t="e">
        <v>#REF!</v>
      </c>
      <c r="W56" s="424" t="e">
        <v>#REF!</v>
      </c>
      <c r="X56" s="425" t="e">
        <v>#REF!</v>
      </c>
      <c r="Y56" s="426">
        <f t="shared" ca="1" si="4"/>
        <v>0</v>
      </c>
      <c r="Z56" s="427" t="e">
        <f t="shared" ca="1" si="0"/>
        <v>#REF!</v>
      </c>
      <c r="AA56" s="426" t="str">
        <f t="shared" si="1"/>
        <v/>
      </c>
      <c r="AB56" s="428" t="e">
        <f t="shared" si="2"/>
        <v>#REF!</v>
      </c>
      <c r="AC56" s="427" t="str">
        <f t="shared" si="3"/>
        <v/>
      </c>
      <c r="AD56" s="227"/>
    </row>
    <row r="57" spans="1:30" customFormat="1" ht="15">
      <c r="A57" s="227"/>
      <c r="B57" s="276">
        <v>19</v>
      </c>
      <c r="C57" s="254" t="s">
        <v>107</v>
      </c>
      <c r="D57" s="255">
        <v>1</v>
      </c>
      <c r="E57" s="247"/>
      <c r="F57" s="232">
        <v>0.4</v>
      </c>
      <c r="G57" s="435">
        <v>100</v>
      </c>
      <c r="H57" s="386">
        <v>43</v>
      </c>
      <c r="I57" s="413"/>
      <c r="J57" s="413"/>
      <c r="K57" s="413"/>
      <c r="L57" s="413"/>
      <c r="M57" s="413"/>
      <c r="N57" s="413"/>
      <c r="O57" s="413"/>
      <c r="P57" s="413"/>
      <c r="Q57" s="413"/>
      <c r="R57" s="452"/>
      <c r="S57" s="443"/>
      <c r="T57" s="422" t="e" cm="1">
        <f t="array" ref="T57:X57">IF(AND($U$12,B81&lt;=$C$17,C81&lt;&gt;""),TRANSPOSE(INDEX(getcds(C81,$C$6,G81/10000,F81,D81,$C$13,$C$14,$C$15,$C$8,,,TRUE,TRUE,FALSE,$C$29:$C$31,$C$33),{1;2;3;4;5})),"")</f>
        <v>#VALUE!</v>
      </c>
      <c r="U57" s="423" t="e">
        <v>#VALUE!</v>
      </c>
      <c r="V57" s="423" t="e">
        <v>#VALUE!</v>
      </c>
      <c r="W57" s="424" t="e">
        <v>#VALUE!</v>
      </c>
      <c r="X57" s="425" t="e">
        <v>#VALUE!</v>
      </c>
      <c r="Y57" s="426" t="e">
        <f t="shared" si="4"/>
        <v>#VALUE!</v>
      </c>
      <c r="Z57" s="427" t="e">
        <f t="shared" si="0"/>
        <v>#VALUE!</v>
      </c>
      <c r="AA57" s="426" t="e">
        <f t="shared" si="1"/>
        <v>#VALUE!</v>
      </c>
      <c r="AB57" s="428" t="e">
        <f t="shared" si="2"/>
        <v>#VALUE!</v>
      </c>
      <c r="AC57" s="427" t="e">
        <f t="shared" si="3"/>
        <v>#VALUE!</v>
      </c>
      <c r="AD57" s="227"/>
    </row>
    <row r="58" spans="1:30" customFormat="1" ht="15">
      <c r="A58" s="227"/>
      <c r="B58" s="276">
        <v>20</v>
      </c>
      <c r="C58" s="254" t="s">
        <v>108</v>
      </c>
      <c r="D58" s="255">
        <v>1</v>
      </c>
      <c r="E58" s="247"/>
      <c r="F58" s="232">
        <v>0.4</v>
      </c>
      <c r="G58" s="435">
        <v>100</v>
      </c>
      <c r="H58" s="386">
        <v>44</v>
      </c>
      <c r="I58" s="413"/>
      <c r="J58" s="413"/>
      <c r="K58" s="413"/>
      <c r="L58" s="413"/>
      <c r="M58" s="413"/>
      <c r="N58" s="413"/>
      <c r="O58" s="413"/>
      <c r="P58" s="413"/>
      <c r="Q58" s="413"/>
      <c r="R58" s="452"/>
      <c r="S58" s="443"/>
      <c r="T58" s="422" t="e" cm="1">
        <f t="array" ref="T58:X58">IF(AND($U$12,B82&lt;=$C$17,C82&lt;&gt;""),TRANSPOSE(INDEX(getcds(C82,$C$6,G82/10000,F82,D82,$C$13,$C$14,$C$15,$C$8,,,TRUE,TRUE,FALSE,$C$29:$C$31,$C$33),{1;2;3;4;5})),"")</f>
        <v>#VALUE!</v>
      </c>
      <c r="U58" s="423" t="e">
        <v>#VALUE!</v>
      </c>
      <c r="V58" s="423" t="e">
        <v>#VALUE!</v>
      </c>
      <c r="W58" s="424" t="e">
        <v>#VALUE!</v>
      </c>
      <c r="X58" s="425" t="e">
        <v>#VALUE!</v>
      </c>
      <c r="Y58" s="426" t="e">
        <f t="shared" si="4"/>
        <v>#VALUE!</v>
      </c>
      <c r="Z58" s="427" t="e">
        <f t="shared" si="0"/>
        <v>#VALUE!</v>
      </c>
      <c r="AA58" s="426" t="e">
        <f t="shared" si="1"/>
        <v>#VALUE!</v>
      </c>
      <c r="AB58" s="428" t="e">
        <f t="shared" si="2"/>
        <v>#VALUE!</v>
      </c>
      <c r="AC58" s="427" t="e">
        <f t="shared" si="3"/>
        <v>#VALUE!</v>
      </c>
      <c r="AD58" s="227"/>
    </row>
    <row r="59" spans="1:30" customFormat="1" ht="15">
      <c r="A59" s="227"/>
      <c r="B59" s="276">
        <v>21</v>
      </c>
      <c r="C59" s="254" t="s">
        <v>109</v>
      </c>
      <c r="D59" s="255">
        <v>1</v>
      </c>
      <c r="E59" s="247"/>
      <c r="F59" s="232">
        <v>0.4</v>
      </c>
      <c r="G59" s="435">
        <v>100</v>
      </c>
      <c r="H59" s="386">
        <v>45</v>
      </c>
      <c r="I59" s="413"/>
      <c r="J59" s="413"/>
      <c r="K59" s="413"/>
      <c r="L59" s="413"/>
      <c r="M59" s="413"/>
      <c r="N59" s="413"/>
      <c r="O59" s="413"/>
      <c r="P59" s="413"/>
      <c r="Q59" s="413"/>
      <c r="R59" s="452"/>
      <c r="S59" s="443"/>
      <c r="T59" s="422" t="e" cm="1">
        <f t="array" ref="T59:X59">IF(AND($U$12,B83&lt;=$C$17,C83&lt;&gt;""),TRANSPOSE(INDEX(getcds(C83,$C$6,G83/10000,F83,D83,$C$13,$C$14,$C$15,$C$8,,,TRUE,TRUE,FALSE,$C$29:$C$31,$C$33),{1;2;3;4;5})),"")</f>
        <v>#VALUE!</v>
      </c>
      <c r="U59" s="423" t="e">
        <v>#VALUE!</v>
      </c>
      <c r="V59" s="423" t="e">
        <v>#VALUE!</v>
      </c>
      <c r="W59" s="424" t="e">
        <v>#VALUE!</v>
      </c>
      <c r="X59" s="425" t="e">
        <v>#VALUE!</v>
      </c>
      <c r="Y59" s="426" t="e">
        <f t="shared" si="4"/>
        <v>#VALUE!</v>
      </c>
      <c r="Z59" s="427" t="e">
        <f t="shared" si="0"/>
        <v>#VALUE!</v>
      </c>
      <c r="AA59" s="426" t="e">
        <f t="shared" si="1"/>
        <v>#VALUE!</v>
      </c>
      <c r="AB59" s="428" t="e">
        <f t="shared" si="2"/>
        <v>#VALUE!</v>
      </c>
      <c r="AC59" s="427" t="e">
        <f t="shared" si="3"/>
        <v>#VALUE!</v>
      </c>
      <c r="AD59" s="227"/>
    </row>
    <row r="60" spans="1:30" customFormat="1" ht="15">
      <c r="A60" s="227"/>
      <c r="B60" s="276">
        <v>22</v>
      </c>
      <c r="C60" s="254" t="s">
        <v>110</v>
      </c>
      <c r="D60" s="255">
        <v>1</v>
      </c>
      <c r="E60" s="247"/>
      <c r="F60" s="232">
        <v>0.4</v>
      </c>
      <c r="G60" s="435">
        <v>100</v>
      </c>
      <c r="H60" s="386">
        <v>46</v>
      </c>
      <c r="I60" s="413"/>
      <c r="J60" s="413"/>
      <c r="K60" s="413"/>
      <c r="L60" s="413"/>
      <c r="M60" s="413"/>
      <c r="N60" s="413"/>
      <c r="O60" s="413"/>
      <c r="P60" s="413"/>
      <c r="Q60" s="413"/>
      <c r="R60" s="452"/>
      <c r="S60" s="443"/>
      <c r="T60" s="422" cm="1">
        <f t="array" ref="T60:X60">IF(AND($U$12,B84&lt;=$C$17,C84&lt;&gt;""),TRANSPOSE(INDEX(getcds(C84,$C$6,G84/10000,F84,D84,$C$13,$C$14,$C$15,$C$8,,,TRUE,TRUE,FALSE,$C$29:$C$31,$C$33),{1;2;3;4;5})),"")</f>
        <v>0</v>
      </c>
      <c r="U60" s="423" t="e">
        <v>#REF!</v>
      </c>
      <c r="V60" s="423" t="e">
        <v>#REF!</v>
      </c>
      <c r="W60" s="424" t="e">
        <v>#REF!</v>
      </c>
      <c r="X60" s="425" t="e">
        <v>#REF!</v>
      </c>
      <c r="Y60" s="426">
        <f t="shared" ca="1" si="4"/>
        <v>0</v>
      </c>
      <c r="Z60" s="427" t="e">
        <f t="shared" ca="1" si="0"/>
        <v>#REF!</v>
      </c>
      <c r="AA60" s="426" t="str">
        <f t="shared" si="1"/>
        <v/>
      </c>
      <c r="AB60" s="428" t="e">
        <f t="shared" si="2"/>
        <v>#REF!</v>
      </c>
      <c r="AC60" s="427" t="str">
        <f t="shared" si="3"/>
        <v/>
      </c>
      <c r="AD60" s="227"/>
    </row>
    <row r="61" spans="1:30" customFormat="1" ht="15">
      <c r="A61" s="227"/>
      <c r="B61" s="276">
        <v>23</v>
      </c>
      <c r="C61" s="254" t="s">
        <v>111</v>
      </c>
      <c r="D61" s="255">
        <v>1</v>
      </c>
      <c r="E61" s="247"/>
      <c r="F61" s="232">
        <v>0.4</v>
      </c>
      <c r="G61" s="435">
        <v>100</v>
      </c>
      <c r="H61" s="386">
        <v>47</v>
      </c>
      <c r="I61" s="413"/>
      <c r="J61" s="413"/>
      <c r="K61" s="413"/>
      <c r="L61" s="413"/>
      <c r="M61" s="413"/>
      <c r="N61" s="413"/>
      <c r="O61" s="413"/>
      <c r="P61" s="413"/>
      <c r="Q61" s="413"/>
      <c r="R61" s="452"/>
      <c r="S61" s="443"/>
      <c r="T61" s="422" cm="1">
        <f t="array" ref="T61:X61">IF(AND($U$12,B85&lt;=$C$17,C85&lt;&gt;""),TRANSPOSE(INDEX(getcds(C85,$C$6,G85/10000,F85,D85,$C$13,$C$14,$C$15,$C$8,,,TRUE,TRUE,FALSE,$C$29:$C$31,$C$33),{1;2;3;4;5})),"")</f>
        <v>0</v>
      </c>
      <c r="U61" s="423" t="e">
        <v>#REF!</v>
      </c>
      <c r="V61" s="423" t="e">
        <v>#REF!</v>
      </c>
      <c r="W61" s="424" t="e">
        <v>#REF!</v>
      </c>
      <c r="X61" s="425" t="e">
        <v>#REF!</v>
      </c>
      <c r="Y61" s="426">
        <f t="shared" ca="1" si="4"/>
        <v>0</v>
      </c>
      <c r="Z61" s="427" t="e">
        <f t="shared" ca="1" si="0"/>
        <v>#REF!</v>
      </c>
      <c r="AA61" s="426" t="str">
        <f t="shared" si="1"/>
        <v/>
      </c>
      <c r="AB61" s="428" t="e">
        <f t="shared" si="2"/>
        <v>#REF!</v>
      </c>
      <c r="AC61" s="427" t="str">
        <f t="shared" si="3"/>
        <v/>
      </c>
      <c r="AD61" s="227"/>
    </row>
    <row r="62" spans="1:30" customFormat="1" ht="15">
      <c r="A62" s="227"/>
      <c r="B62" s="276">
        <v>24</v>
      </c>
      <c r="C62" s="254" t="s">
        <v>112</v>
      </c>
      <c r="D62" s="255">
        <v>1</v>
      </c>
      <c r="E62" s="247"/>
      <c r="F62" s="232">
        <v>0.4</v>
      </c>
      <c r="G62" s="435">
        <v>100</v>
      </c>
      <c r="H62" s="386">
        <v>48</v>
      </c>
      <c r="I62" s="413"/>
      <c r="J62" s="413"/>
      <c r="K62" s="413"/>
      <c r="L62" s="413"/>
      <c r="M62" s="413"/>
      <c r="N62" s="413"/>
      <c r="O62" s="413"/>
      <c r="P62" s="413"/>
      <c r="Q62" s="413"/>
      <c r="R62" s="452"/>
      <c r="S62" s="443"/>
      <c r="T62" s="422" cm="1">
        <f t="array" ref="T62:X62">IF(AND($U$12,B86&lt;=$C$17,C86&lt;&gt;""),TRANSPOSE(INDEX(getcds(C86,$C$6,G86/10000,F86,D86,$C$13,$C$14,$C$15,$C$8,,,TRUE,TRUE,FALSE,$C$29:$C$31,$C$33),{1;2;3;4;5})),"")</f>
        <v>0</v>
      </c>
      <c r="U62" s="423" t="e">
        <v>#REF!</v>
      </c>
      <c r="V62" s="423" t="e">
        <v>#REF!</v>
      </c>
      <c r="W62" s="424" t="e">
        <v>#REF!</v>
      </c>
      <c r="X62" s="425" t="e">
        <v>#REF!</v>
      </c>
      <c r="Y62" s="426">
        <f t="shared" ca="1" si="4"/>
        <v>0</v>
      </c>
      <c r="Z62" s="427" t="e">
        <f t="shared" ca="1" si="0"/>
        <v>#REF!</v>
      </c>
      <c r="AA62" s="426" t="str">
        <f t="shared" si="1"/>
        <v/>
      </c>
      <c r="AB62" s="428" t="e">
        <f t="shared" si="2"/>
        <v>#REF!</v>
      </c>
      <c r="AC62" s="427" t="str">
        <f t="shared" si="3"/>
        <v/>
      </c>
      <c r="AD62" s="227"/>
    </row>
    <row r="63" spans="1:30" customFormat="1" ht="15">
      <c r="A63" s="227"/>
      <c r="B63" s="276">
        <v>25</v>
      </c>
      <c r="C63" s="254" t="s">
        <v>113</v>
      </c>
      <c r="D63" s="255">
        <v>1</v>
      </c>
      <c r="E63" s="247"/>
      <c r="F63" s="232">
        <v>0.4</v>
      </c>
      <c r="G63" s="435">
        <v>100</v>
      </c>
      <c r="H63" s="386">
        <v>49</v>
      </c>
      <c r="I63" s="413"/>
      <c r="J63" s="413"/>
      <c r="K63" s="413"/>
      <c r="L63" s="413"/>
      <c r="M63" s="413"/>
      <c r="N63" s="413"/>
      <c r="O63" s="413"/>
      <c r="P63" s="413"/>
      <c r="Q63" s="413"/>
      <c r="R63" s="452"/>
      <c r="S63" s="443"/>
      <c r="T63" s="422" t="e" cm="1">
        <f t="array" ref="T63:X63">IF(AND($U$12,B87&lt;=$C$17,C87&lt;&gt;""),TRANSPOSE(INDEX(getcds(C87,$C$6,G87/10000,F87,D87,$C$13,$C$14,$C$15,$C$8,,,TRUE,TRUE,FALSE,$C$29:$C$31,$C$33),{1;2;3;4;5})),"")</f>
        <v>#VALUE!</v>
      </c>
      <c r="U63" s="423" t="e">
        <v>#VALUE!</v>
      </c>
      <c r="V63" s="423" t="e">
        <v>#VALUE!</v>
      </c>
      <c r="W63" s="424" t="e">
        <v>#VALUE!</v>
      </c>
      <c r="X63" s="425" t="e">
        <v>#VALUE!</v>
      </c>
      <c r="Y63" s="426" t="e">
        <f t="shared" si="4"/>
        <v>#VALUE!</v>
      </c>
      <c r="Z63" s="427" t="e">
        <f t="shared" si="0"/>
        <v>#VALUE!</v>
      </c>
      <c r="AA63" s="426" t="e">
        <f t="shared" si="1"/>
        <v>#VALUE!</v>
      </c>
      <c r="AB63" s="428" t="e">
        <f t="shared" si="2"/>
        <v>#VALUE!</v>
      </c>
      <c r="AC63" s="427" t="e">
        <f t="shared" si="3"/>
        <v>#VALUE!</v>
      </c>
      <c r="AD63" s="227"/>
    </row>
    <row r="64" spans="1:30" customFormat="1" ht="15">
      <c r="A64" s="227"/>
      <c r="B64" s="276">
        <v>26</v>
      </c>
      <c r="C64" s="254" t="s">
        <v>114</v>
      </c>
      <c r="D64" s="255">
        <v>1</v>
      </c>
      <c r="E64" s="247"/>
      <c r="F64" s="232">
        <v>0.4</v>
      </c>
      <c r="G64" s="435">
        <v>100</v>
      </c>
      <c r="H64" s="386">
        <v>50</v>
      </c>
      <c r="I64" s="413"/>
      <c r="J64" s="413"/>
      <c r="K64" s="413"/>
      <c r="L64" s="413"/>
      <c r="M64" s="413"/>
      <c r="N64" s="413"/>
      <c r="O64" s="413"/>
      <c r="P64" s="413"/>
      <c r="Q64" s="413"/>
      <c r="R64" s="452"/>
      <c r="S64" s="443"/>
      <c r="T64" s="422" t="e" cm="1">
        <f t="array" ref="T64:X64">IF(AND($U$12,B88&lt;=$C$17,C88&lt;&gt;""),TRANSPOSE(INDEX(getcds(C88,$C$6,G88/10000,F88,D88,$C$13,$C$14,$C$15,$C$8,,,TRUE,TRUE,FALSE,$C$29:$C$31,$C$33),{1;2;3;4;5})),"")</f>
        <v>#VALUE!</v>
      </c>
      <c r="U64" s="423" t="e">
        <v>#VALUE!</v>
      </c>
      <c r="V64" s="423" t="e">
        <v>#VALUE!</v>
      </c>
      <c r="W64" s="424" t="e">
        <v>#VALUE!</v>
      </c>
      <c r="X64" s="425" t="e">
        <v>#VALUE!</v>
      </c>
      <c r="Y64" s="426" t="e">
        <f t="shared" si="4"/>
        <v>#VALUE!</v>
      </c>
      <c r="Z64" s="427" t="e">
        <f t="shared" si="0"/>
        <v>#VALUE!</v>
      </c>
      <c r="AA64" s="426" t="e">
        <f t="shared" si="1"/>
        <v>#VALUE!</v>
      </c>
      <c r="AB64" s="428" t="e">
        <f t="shared" si="2"/>
        <v>#VALUE!</v>
      </c>
      <c r="AC64" s="427" t="e">
        <f t="shared" si="3"/>
        <v>#VALUE!</v>
      </c>
      <c r="AD64" s="227"/>
    </row>
    <row r="65" spans="1:30" customFormat="1" ht="15">
      <c r="A65" s="227"/>
      <c r="B65" s="276">
        <v>27</v>
      </c>
      <c r="C65" s="254" t="s">
        <v>115</v>
      </c>
      <c r="D65" s="255">
        <v>1</v>
      </c>
      <c r="E65" s="247"/>
      <c r="F65" s="232">
        <v>0.4</v>
      </c>
      <c r="G65" s="435">
        <v>100</v>
      </c>
      <c r="H65" s="386">
        <v>51</v>
      </c>
      <c r="I65" s="413"/>
      <c r="J65" s="413"/>
      <c r="K65" s="413"/>
      <c r="L65" s="413"/>
      <c r="M65" s="413"/>
      <c r="N65" s="413"/>
      <c r="O65" s="413"/>
      <c r="P65" s="413"/>
      <c r="Q65" s="413"/>
      <c r="R65" s="452"/>
      <c r="S65" s="443"/>
      <c r="T65" s="422" t="e" cm="1">
        <f t="array" ref="T65:X65">IF(AND($U$12,B89&lt;=$C$17,C89&lt;&gt;""),TRANSPOSE(INDEX(getcds(C89,$C$6,G89/10000,F89,D89,$C$13,$C$14,$C$15,$C$8,,,TRUE,TRUE,FALSE,$C$29:$C$31,$C$33),{1;2;3;4;5})),"")</f>
        <v>#VALUE!</v>
      </c>
      <c r="U65" s="423" t="e">
        <v>#VALUE!</v>
      </c>
      <c r="V65" s="423" t="e">
        <v>#VALUE!</v>
      </c>
      <c r="W65" s="424" t="e">
        <v>#VALUE!</v>
      </c>
      <c r="X65" s="425" t="e">
        <v>#VALUE!</v>
      </c>
      <c r="Y65" s="426" t="e">
        <f t="shared" si="4"/>
        <v>#VALUE!</v>
      </c>
      <c r="Z65" s="427" t="e">
        <f t="shared" si="0"/>
        <v>#VALUE!</v>
      </c>
      <c r="AA65" s="426" t="e">
        <f t="shared" si="1"/>
        <v>#VALUE!</v>
      </c>
      <c r="AB65" s="428" t="e">
        <f t="shared" si="2"/>
        <v>#VALUE!</v>
      </c>
      <c r="AC65" s="427" t="e">
        <f t="shared" si="3"/>
        <v>#VALUE!</v>
      </c>
      <c r="AD65" s="227"/>
    </row>
    <row r="66" spans="1:30" customFormat="1" ht="15">
      <c r="A66" s="227"/>
      <c r="B66" s="276">
        <v>28</v>
      </c>
      <c r="C66" s="254" t="s">
        <v>116</v>
      </c>
      <c r="D66" s="255">
        <v>1</v>
      </c>
      <c r="E66" s="247"/>
      <c r="F66" s="232">
        <v>0.4</v>
      </c>
      <c r="G66" s="435">
        <v>100</v>
      </c>
      <c r="H66" s="386">
        <v>52</v>
      </c>
      <c r="I66" s="413"/>
      <c r="J66" s="413"/>
      <c r="K66" s="413"/>
      <c r="L66" s="413"/>
      <c r="M66" s="413"/>
      <c r="N66" s="413"/>
      <c r="O66" s="413"/>
      <c r="P66" s="413"/>
      <c r="Q66" s="413"/>
      <c r="R66" s="452"/>
      <c r="S66" s="443"/>
      <c r="T66" s="422" t="e" cm="1">
        <f t="array" ref="T66:X66">IF(AND($U$12,B90&lt;=$C$17,C90&lt;&gt;""),TRANSPOSE(INDEX(getcds(C90,$C$6,G90/10000,F90,D90,$C$13,$C$14,$C$15,$C$8,,,TRUE,TRUE,FALSE,$C$29:$C$31,$C$33),{1;2;3;4;5})),"")</f>
        <v>#VALUE!</v>
      </c>
      <c r="U66" s="423" t="e">
        <v>#VALUE!</v>
      </c>
      <c r="V66" s="423" t="e">
        <v>#VALUE!</v>
      </c>
      <c r="W66" s="424" t="e">
        <v>#VALUE!</v>
      </c>
      <c r="X66" s="425" t="e">
        <v>#VALUE!</v>
      </c>
      <c r="Y66" s="426" t="e">
        <f t="shared" si="4"/>
        <v>#VALUE!</v>
      </c>
      <c r="Z66" s="427" t="e">
        <f t="shared" si="0"/>
        <v>#VALUE!</v>
      </c>
      <c r="AA66" s="426" t="e">
        <f t="shared" si="1"/>
        <v>#VALUE!</v>
      </c>
      <c r="AB66" s="428" t="e">
        <f t="shared" si="2"/>
        <v>#VALUE!</v>
      </c>
      <c r="AC66" s="427" t="e">
        <f t="shared" si="3"/>
        <v>#VALUE!</v>
      </c>
      <c r="AD66" s="227"/>
    </row>
    <row r="67" spans="1:30" customFormat="1" ht="15">
      <c r="A67" s="227"/>
      <c r="B67" s="276">
        <v>29</v>
      </c>
      <c r="C67" s="254" t="s">
        <v>117</v>
      </c>
      <c r="D67" s="255">
        <v>1</v>
      </c>
      <c r="E67" s="247"/>
      <c r="F67" s="232">
        <v>0.4</v>
      </c>
      <c r="G67" s="435">
        <v>100</v>
      </c>
      <c r="H67" s="386">
        <v>53</v>
      </c>
      <c r="I67" s="413"/>
      <c r="J67" s="413"/>
      <c r="K67" s="413"/>
      <c r="L67" s="413"/>
      <c r="M67" s="413"/>
      <c r="N67" s="413"/>
      <c r="O67" s="413"/>
      <c r="P67" s="413"/>
      <c r="Q67" s="413"/>
      <c r="R67" s="452"/>
      <c r="S67" s="443"/>
      <c r="T67" s="422" t="e" cm="1">
        <f t="array" ref="T67:X67">IF(AND($U$12,B91&lt;=$C$17,C91&lt;&gt;""),TRANSPOSE(INDEX(getcds(C91,$C$6,G91/10000,F91,D91,$C$13,$C$14,$C$15,$C$8,,,TRUE,TRUE,FALSE,$C$29:$C$31,$C$33),{1;2;3;4;5})),"")</f>
        <v>#VALUE!</v>
      </c>
      <c r="U67" s="423" t="e">
        <v>#VALUE!</v>
      </c>
      <c r="V67" s="423" t="e">
        <v>#VALUE!</v>
      </c>
      <c r="W67" s="424" t="e">
        <v>#VALUE!</v>
      </c>
      <c r="X67" s="425" t="e">
        <v>#VALUE!</v>
      </c>
      <c r="Y67" s="426" t="e">
        <f t="shared" si="4"/>
        <v>#VALUE!</v>
      </c>
      <c r="Z67" s="427" t="e">
        <f t="shared" si="0"/>
        <v>#VALUE!</v>
      </c>
      <c r="AA67" s="426" t="e">
        <f t="shared" si="1"/>
        <v>#VALUE!</v>
      </c>
      <c r="AB67" s="428" t="e">
        <f t="shared" si="2"/>
        <v>#VALUE!</v>
      </c>
      <c r="AC67" s="427" t="e">
        <f t="shared" si="3"/>
        <v>#VALUE!</v>
      </c>
      <c r="AD67" s="227"/>
    </row>
    <row r="68" spans="1:30" customFormat="1" ht="15">
      <c r="A68" s="227"/>
      <c r="B68" s="276">
        <v>30</v>
      </c>
      <c r="C68" s="254" t="s">
        <v>118</v>
      </c>
      <c r="D68" s="255">
        <v>1</v>
      </c>
      <c r="E68" s="247"/>
      <c r="F68" s="232">
        <v>0.4</v>
      </c>
      <c r="G68" s="435">
        <v>100</v>
      </c>
      <c r="H68" s="386">
        <v>54</v>
      </c>
      <c r="I68" s="413"/>
      <c r="J68" s="413"/>
      <c r="K68" s="413"/>
      <c r="L68" s="413"/>
      <c r="M68" s="413"/>
      <c r="N68" s="413"/>
      <c r="O68" s="413"/>
      <c r="P68" s="413"/>
      <c r="Q68" s="413"/>
      <c r="R68" s="452"/>
      <c r="S68" s="443"/>
      <c r="T68" s="422" cm="1">
        <f t="array" ref="T68:X68">IF(AND($U$12,B92&lt;=$C$17,C92&lt;&gt;""),TRANSPOSE(INDEX(getcds(C92,$C$6,G92/10000,F92,D92,$C$13,$C$14,$C$15,$C$8,,,TRUE,TRUE,FALSE,$C$29:$C$31,$C$33),{1;2;3;4;5})),"")</f>
        <v>0</v>
      </c>
      <c r="U68" s="423" t="e">
        <v>#REF!</v>
      </c>
      <c r="V68" s="423" t="e">
        <v>#REF!</v>
      </c>
      <c r="W68" s="424" t="e">
        <v>#REF!</v>
      </c>
      <c r="X68" s="425" t="e">
        <v>#REF!</v>
      </c>
      <c r="Y68" s="426">
        <f t="shared" ca="1" si="4"/>
        <v>0</v>
      </c>
      <c r="Z68" s="427" t="e">
        <f t="shared" ca="1" si="0"/>
        <v>#REF!</v>
      </c>
      <c r="AA68" s="426" t="str">
        <f t="shared" si="1"/>
        <v/>
      </c>
      <c r="AB68" s="428" t="e">
        <f t="shared" si="2"/>
        <v>#REF!</v>
      </c>
      <c r="AC68" s="427" t="str">
        <f t="shared" si="3"/>
        <v/>
      </c>
      <c r="AD68" s="227"/>
    </row>
    <row r="69" spans="1:30" customFormat="1" ht="15">
      <c r="A69" s="227"/>
      <c r="B69" s="276">
        <v>31</v>
      </c>
      <c r="C69" s="254" t="s">
        <v>119</v>
      </c>
      <c r="D69" s="255">
        <v>1</v>
      </c>
      <c r="E69" s="247"/>
      <c r="F69" s="232">
        <v>0.4</v>
      </c>
      <c r="G69" s="435">
        <v>100</v>
      </c>
      <c r="H69" s="386">
        <v>55</v>
      </c>
      <c r="I69" s="413"/>
      <c r="J69" s="413"/>
      <c r="K69" s="413"/>
      <c r="L69" s="413"/>
      <c r="M69" s="413"/>
      <c r="N69" s="413"/>
      <c r="O69" s="413"/>
      <c r="P69" s="413"/>
      <c r="Q69" s="413"/>
      <c r="R69" s="452"/>
      <c r="S69" s="443"/>
      <c r="T69" s="422" cm="1">
        <f t="array" ref="T69:X69">IF(AND($U$12,B93&lt;=$C$17,C93&lt;&gt;""),TRANSPOSE(INDEX(getcds(C93,$C$6,G93/10000,F93,D93,$C$13,$C$14,$C$15,$C$8,,,TRUE,TRUE,FALSE,$C$29:$C$31,$C$33),{1;2;3;4;5})),"")</f>
        <v>0</v>
      </c>
      <c r="U69" s="423" t="e">
        <v>#REF!</v>
      </c>
      <c r="V69" s="423" t="e">
        <v>#REF!</v>
      </c>
      <c r="W69" s="424" t="e">
        <v>#REF!</v>
      </c>
      <c r="X69" s="425" t="e">
        <v>#REF!</v>
      </c>
      <c r="Y69" s="426">
        <f t="shared" ca="1" si="4"/>
        <v>0</v>
      </c>
      <c r="Z69" s="427" t="e">
        <f t="shared" ca="1" si="0"/>
        <v>#REF!</v>
      </c>
      <c r="AA69" s="426" t="str">
        <f t="shared" si="1"/>
        <v/>
      </c>
      <c r="AB69" s="428" t="e">
        <f t="shared" si="2"/>
        <v>#REF!</v>
      </c>
      <c r="AC69" s="427" t="str">
        <f t="shared" si="3"/>
        <v/>
      </c>
      <c r="AD69" s="227"/>
    </row>
    <row r="70" spans="1:30" customFormat="1" ht="15">
      <c r="A70" s="227"/>
      <c r="B70" s="276">
        <v>32</v>
      </c>
      <c r="C70" s="254" t="s">
        <v>120</v>
      </c>
      <c r="D70" s="255">
        <v>1</v>
      </c>
      <c r="E70" s="247"/>
      <c r="F70" s="232">
        <v>0.4</v>
      </c>
      <c r="G70" s="435">
        <v>100</v>
      </c>
      <c r="H70" s="386">
        <v>56</v>
      </c>
      <c r="I70" s="413"/>
      <c r="J70" s="413"/>
      <c r="K70" s="413"/>
      <c r="L70" s="413"/>
      <c r="M70" s="413"/>
      <c r="N70" s="413"/>
      <c r="O70" s="413"/>
      <c r="P70" s="413"/>
      <c r="Q70" s="413"/>
      <c r="R70" s="452"/>
      <c r="S70" s="443"/>
      <c r="T70" s="422" cm="1">
        <f t="array" ref="T70:X70">IF(AND($U$12,B94&lt;=$C$17,C94&lt;&gt;""),TRANSPOSE(INDEX(getcds(C94,$C$6,G94/10000,F94,D94,$C$13,$C$14,$C$15,$C$8,,,TRUE,TRUE,FALSE,$C$29:$C$31,$C$33),{1;2;3;4;5})),"")</f>
        <v>0</v>
      </c>
      <c r="U70" s="423" t="e">
        <v>#REF!</v>
      </c>
      <c r="V70" s="423" t="e">
        <v>#REF!</v>
      </c>
      <c r="W70" s="424" t="e">
        <v>#REF!</v>
      </c>
      <c r="X70" s="425" t="e">
        <v>#REF!</v>
      </c>
      <c r="Y70" s="426">
        <f t="shared" ca="1" si="4"/>
        <v>0</v>
      </c>
      <c r="Z70" s="427" t="e">
        <f t="shared" ca="1" si="0"/>
        <v>#REF!</v>
      </c>
      <c r="AA70" s="426" t="str">
        <f t="shared" si="1"/>
        <v/>
      </c>
      <c r="AB70" s="428" t="e">
        <f t="shared" si="2"/>
        <v>#REF!</v>
      </c>
      <c r="AC70" s="427" t="str">
        <f t="shared" si="3"/>
        <v/>
      </c>
      <c r="AD70" s="227"/>
    </row>
    <row r="71" spans="1:30" customFormat="1" ht="15">
      <c r="A71" s="227"/>
      <c r="B71" s="276">
        <v>33</v>
      </c>
      <c r="C71" s="254" t="s">
        <v>121</v>
      </c>
      <c r="D71" s="255">
        <v>1</v>
      </c>
      <c r="E71" s="247"/>
      <c r="F71" s="232">
        <v>0.4</v>
      </c>
      <c r="G71" s="435">
        <v>100</v>
      </c>
      <c r="H71" s="386">
        <v>57</v>
      </c>
      <c r="I71" s="413"/>
      <c r="J71" s="413"/>
      <c r="K71" s="413"/>
      <c r="L71" s="413"/>
      <c r="M71" s="413"/>
      <c r="N71" s="413"/>
      <c r="O71" s="413"/>
      <c r="P71" s="413"/>
      <c r="Q71" s="413"/>
      <c r="R71" s="452"/>
      <c r="S71" s="443"/>
      <c r="T71" s="422" cm="1">
        <f t="array" ref="T71:X71">IF(AND($U$12,B95&lt;=$C$17,C95&lt;&gt;""),TRANSPOSE(INDEX(getcds(C95,$C$6,G95/10000,F95,D95,$C$13,$C$14,$C$15,$C$8,,,TRUE,TRUE,FALSE,$C$29:$C$31,$C$33),{1;2;3;4;5})),"")</f>
        <v>0</v>
      </c>
      <c r="U71" s="423" t="e">
        <v>#REF!</v>
      </c>
      <c r="V71" s="423" t="e">
        <v>#REF!</v>
      </c>
      <c r="W71" s="424" t="e">
        <v>#REF!</v>
      </c>
      <c r="X71" s="425" t="e">
        <v>#REF!</v>
      </c>
      <c r="Y71" s="426">
        <f t="shared" ca="1" si="4"/>
        <v>0</v>
      </c>
      <c r="Z71" s="427" t="e">
        <f t="shared" ca="1" si="0"/>
        <v>#REF!</v>
      </c>
      <c r="AA71" s="426" t="str">
        <f t="shared" si="1"/>
        <v/>
      </c>
      <c r="AB71" s="428" t="e">
        <f t="shared" si="2"/>
        <v>#REF!</v>
      </c>
      <c r="AC71" s="427" t="str">
        <f t="shared" si="3"/>
        <v/>
      </c>
      <c r="AD71" s="227"/>
    </row>
    <row r="72" spans="1:30" customFormat="1" ht="15">
      <c r="A72" s="227"/>
      <c r="B72" s="276">
        <v>34</v>
      </c>
      <c r="C72" s="254" t="s">
        <v>122</v>
      </c>
      <c r="D72" s="255">
        <v>1</v>
      </c>
      <c r="E72" s="247"/>
      <c r="F72" s="232">
        <v>0.4</v>
      </c>
      <c r="G72" s="435">
        <v>100</v>
      </c>
      <c r="H72" s="386">
        <v>58</v>
      </c>
      <c r="I72" s="413"/>
      <c r="J72" s="413"/>
      <c r="K72" s="413"/>
      <c r="L72" s="413"/>
      <c r="M72" s="413"/>
      <c r="N72" s="413"/>
      <c r="O72" s="413"/>
      <c r="P72" s="413"/>
      <c r="Q72" s="413"/>
      <c r="R72" s="452"/>
      <c r="S72" s="443"/>
      <c r="T72" s="422" t="e" cm="1">
        <f t="array" ref="T72:X72">IF(AND($U$12,B96&lt;=$C$17,C96&lt;&gt;""),TRANSPOSE(INDEX(getcds(C96,$C$6,G96/10000,F96,D96,$C$13,$C$14,$C$15,$C$8,,,TRUE,TRUE,FALSE,$C$29:$C$31,$C$33),{1;2;3;4;5})),"")</f>
        <v>#VALUE!</v>
      </c>
      <c r="U72" s="423" t="e">
        <v>#VALUE!</v>
      </c>
      <c r="V72" s="423" t="e">
        <v>#VALUE!</v>
      </c>
      <c r="W72" s="424" t="e">
        <v>#VALUE!</v>
      </c>
      <c r="X72" s="425" t="e">
        <v>#VALUE!</v>
      </c>
      <c r="Y72" s="426" t="e">
        <f t="shared" si="4"/>
        <v>#VALUE!</v>
      </c>
      <c r="Z72" s="427" t="e">
        <f t="shared" si="0"/>
        <v>#VALUE!</v>
      </c>
      <c r="AA72" s="426" t="e">
        <f t="shared" si="1"/>
        <v>#VALUE!</v>
      </c>
      <c r="AB72" s="428" t="e">
        <f t="shared" si="2"/>
        <v>#VALUE!</v>
      </c>
      <c r="AC72" s="427" t="e">
        <f t="shared" si="3"/>
        <v>#VALUE!</v>
      </c>
      <c r="AD72" s="227"/>
    </row>
    <row r="73" spans="1:30" customFormat="1" ht="15">
      <c r="A73" s="227"/>
      <c r="B73" s="276">
        <v>35</v>
      </c>
      <c r="C73" s="254" t="s">
        <v>123</v>
      </c>
      <c r="D73" s="255">
        <v>1</v>
      </c>
      <c r="E73" s="247"/>
      <c r="F73" s="232">
        <v>0.4</v>
      </c>
      <c r="G73" s="435">
        <v>100</v>
      </c>
      <c r="H73" s="386">
        <v>59</v>
      </c>
      <c r="I73" s="413"/>
      <c r="J73" s="413"/>
      <c r="K73" s="413"/>
      <c r="L73" s="413"/>
      <c r="M73" s="413"/>
      <c r="N73" s="413"/>
      <c r="O73" s="413"/>
      <c r="P73" s="413"/>
      <c r="Q73" s="413"/>
      <c r="R73" s="452"/>
      <c r="S73" s="443"/>
      <c r="T73" s="422" t="e" cm="1">
        <f t="array" ref="T73:X73">IF(AND($U$12,B97&lt;=$C$17,C97&lt;&gt;""),TRANSPOSE(INDEX(getcds(C97,$C$6,G97/10000,F97,D97,$C$13,$C$14,$C$15,$C$8,,,TRUE,TRUE,FALSE,$C$29:$C$31,$C$33),{1;2;3;4;5})),"")</f>
        <v>#VALUE!</v>
      </c>
      <c r="U73" s="423" t="e">
        <v>#VALUE!</v>
      </c>
      <c r="V73" s="423" t="e">
        <v>#VALUE!</v>
      </c>
      <c r="W73" s="424" t="e">
        <v>#VALUE!</v>
      </c>
      <c r="X73" s="425" t="e">
        <v>#VALUE!</v>
      </c>
      <c r="Y73" s="426" t="e">
        <f t="shared" si="4"/>
        <v>#VALUE!</v>
      </c>
      <c r="Z73" s="427" t="e">
        <f t="shared" si="0"/>
        <v>#VALUE!</v>
      </c>
      <c r="AA73" s="426" t="e">
        <f t="shared" si="1"/>
        <v>#VALUE!</v>
      </c>
      <c r="AB73" s="428" t="e">
        <f t="shared" si="2"/>
        <v>#VALUE!</v>
      </c>
      <c r="AC73" s="427" t="e">
        <f t="shared" si="3"/>
        <v>#VALUE!</v>
      </c>
      <c r="AD73" s="227"/>
    </row>
    <row r="74" spans="1:30" customFormat="1" ht="15">
      <c r="A74" s="227"/>
      <c r="B74" s="276">
        <v>36</v>
      </c>
      <c r="C74" s="254" t="s">
        <v>124</v>
      </c>
      <c r="D74" s="255">
        <v>1</v>
      </c>
      <c r="E74" s="247"/>
      <c r="F74" s="232">
        <v>0.4</v>
      </c>
      <c r="G74" s="435">
        <v>100</v>
      </c>
      <c r="H74" s="386">
        <v>60</v>
      </c>
      <c r="I74" s="413"/>
      <c r="J74" s="413"/>
      <c r="K74" s="413"/>
      <c r="L74" s="413"/>
      <c r="M74" s="413"/>
      <c r="N74" s="413"/>
      <c r="O74" s="413"/>
      <c r="P74" s="413"/>
      <c r="Q74" s="413"/>
      <c r="R74" s="452"/>
      <c r="S74" s="443"/>
      <c r="T74" s="422" t="e" cm="1">
        <f t="array" ref="T74:X74">IF(AND($U$12,B98&lt;=$C$17,C98&lt;&gt;""),TRANSPOSE(INDEX(getcds(C98,$C$6,G98/10000,F98,D98,$C$13,$C$14,$C$15,$C$8,,,TRUE,TRUE,FALSE,$C$29:$C$31,$C$33),{1;2;3;4;5})),"")</f>
        <v>#VALUE!</v>
      </c>
      <c r="U74" s="423" t="e">
        <v>#VALUE!</v>
      </c>
      <c r="V74" s="423" t="e">
        <v>#VALUE!</v>
      </c>
      <c r="W74" s="424" t="e">
        <v>#VALUE!</v>
      </c>
      <c r="X74" s="425" t="e">
        <v>#VALUE!</v>
      </c>
      <c r="Y74" s="426" t="e">
        <f t="shared" si="4"/>
        <v>#VALUE!</v>
      </c>
      <c r="Z74" s="427" t="e">
        <f t="shared" si="0"/>
        <v>#VALUE!</v>
      </c>
      <c r="AA74" s="426" t="e">
        <f t="shared" si="1"/>
        <v>#VALUE!</v>
      </c>
      <c r="AB74" s="428" t="e">
        <f t="shared" si="2"/>
        <v>#VALUE!</v>
      </c>
      <c r="AC74" s="427" t="e">
        <f t="shared" si="3"/>
        <v>#VALUE!</v>
      </c>
      <c r="AD74" s="227"/>
    </row>
    <row r="75" spans="1:30" customFormat="1" ht="15">
      <c r="A75" s="227"/>
      <c r="B75" s="276">
        <v>37</v>
      </c>
      <c r="C75" s="254" t="s">
        <v>125</v>
      </c>
      <c r="D75" s="255">
        <v>1</v>
      </c>
      <c r="E75" s="247"/>
      <c r="F75" s="232">
        <v>0.4</v>
      </c>
      <c r="G75" s="435">
        <v>100</v>
      </c>
      <c r="H75" s="386">
        <v>61</v>
      </c>
      <c r="I75" s="413"/>
      <c r="J75" s="413"/>
      <c r="K75" s="413"/>
      <c r="L75" s="413"/>
      <c r="M75" s="413"/>
      <c r="N75" s="413"/>
      <c r="O75" s="413"/>
      <c r="P75" s="413"/>
      <c r="Q75" s="413"/>
      <c r="R75" s="452"/>
      <c r="S75" s="443"/>
      <c r="T75" s="422" cm="1">
        <f t="array" ref="T75:X75">IF(AND($U$12,B99&lt;=$C$17,C99&lt;&gt;""),TRANSPOSE(INDEX(getcds(C99,$C$6,G99/10000,F99,D99,$C$13,$C$14,$C$15,$C$8,,,TRUE,TRUE,FALSE,$C$29:$C$31,$C$33),{1;2;3;4;5})),"")</f>
        <v>0</v>
      </c>
      <c r="U75" s="423" t="e">
        <v>#REF!</v>
      </c>
      <c r="V75" s="423" t="e">
        <v>#REF!</v>
      </c>
      <c r="W75" s="424" t="e">
        <v>#REF!</v>
      </c>
      <c r="X75" s="425" t="e">
        <v>#REF!</v>
      </c>
      <c r="Y75" s="426">
        <f t="shared" ca="1" si="4"/>
        <v>0</v>
      </c>
      <c r="Z75" s="427" t="e">
        <f t="shared" ca="1" si="0"/>
        <v>#REF!</v>
      </c>
      <c r="AA75" s="426" t="str">
        <f t="shared" si="1"/>
        <v/>
      </c>
      <c r="AB75" s="428" t="e">
        <f t="shared" si="2"/>
        <v>#REF!</v>
      </c>
      <c r="AC75" s="427" t="str">
        <f t="shared" si="3"/>
        <v/>
      </c>
      <c r="AD75" s="227"/>
    </row>
    <row r="76" spans="1:30" customFormat="1" ht="15">
      <c r="A76" s="227"/>
      <c r="B76" s="276">
        <v>38</v>
      </c>
      <c r="C76" s="254" t="s">
        <v>126</v>
      </c>
      <c r="D76" s="255">
        <v>1</v>
      </c>
      <c r="E76" s="247"/>
      <c r="F76" s="232">
        <v>0.4</v>
      </c>
      <c r="G76" s="435">
        <v>100</v>
      </c>
      <c r="H76" s="386">
        <v>62</v>
      </c>
      <c r="I76" s="413"/>
      <c r="J76" s="413"/>
      <c r="K76" s="413"/>
      <c r="L76" s="413"/>
      <c r="M76" s="413"/>
      <c r="N76" s="413"/>
      <c r="O76" s="413"/>
      <c r="P76" s="413"/>
      <c r="Q76" s="413"/>
      <c r="R76" s="452"/>
      <c r="S76" s="443"/>
      <c r="T76" s="422" cm="1">
        <f t="array" ref="T76:X76">IF(AND($U$12,B100&lt;=$C$17,C100&lt;&gt;""),TRANSPOSE(INDEX(getcds(C100,$C$6,G100/10000,F100,D100,$C$13,$C$14,$C$15,$C$8,,,TRUE,TRUE,FALSE,$C$29:$C$31,$C$33),{1;2;3;4;5})),"")</f>
        <v>0</v>
      </c>
      <c r="U76" s="423" t="e">
        <v>#REF!</v>
      </c>
      <c r="V76" s="423" t="e">
        <v>#REF!</v>
      </c>
      <c r="W76" s="424" t="e">
        <v>#REF!</v>
      </c>
      <c r="X76" s="425" t="e">
        <v>#REF!</v>
      </c>
      <c r="Y76" s="426">
        <f t="shared" ca="1" si="4"/>
        <v>0</v>
      </c>
      <c r="Z76" s="427" t="e">
        <f t="shared" ca="1" si="0"/>
        <v>#REF!</v>
      </c>
      <c r="AA76" s="426" t="str">
        <f t="shared" si="1"/>
        <v/>
      </c>
      <c r="AB76" s="428" t="e">
        <f t="shared" si="2"/>
        <v>#REF!</v>
      </c>
      <c r="AC76" s="427" t="str">
        <f t="shared" si="3"/>
        <v/>
      </c>
      <c r="AD76" s="227"/>
    </row>
    <row r="77" spans="1:30" customFormat="1" ht="15">
      <c r="A77" s="227"/>
      <c r="B77" s="276">
        <v>39</v>
      </c>
      <c r="C77" s="254" t="s">
        <v>127</v>
      </c>
      <c r="D77" s="255">
        <v>1</v>
      </c>
      <c r="E77" s="247"/>
      <c r="F77" s="232">
        <v>0.4</v>
      </c>
      <c r="G77" s="435">
        <v>100</v>
      </c>
      <c r="H77" s="386">
        <v>63</v>
      </c>
      <c r="I77" s="413"/>
      <c r="J77" s="413"/>
      <c r="K77" s="413"/>
      <c r="L77" s="413"/>
      <c r="M77" s="413"/>
      <c r="N77" s="413"/>
      <c r="O77" s="413"/>
      <c r="P77" s="413"/>
      <c r="Q77" s="413"/>
      <c r="R77" s="452"/>
      <c r="S77" s="443"/>
      <c r="T77" s="422" t="e" cm="1">
        <f t="array" ref="T77:X77">IF(AND($U$12,B101&lt;=$C$17,C101&lt;&gt;""),TRANSPOSE(INDEX(getcds(C101,$C$6,G101/10000,F101,D101,$C$13,$C$14,$C$15,$C$8,,,TRUE,TRUE,FALSE,$C$29:$C$31,$C$33),{1;2;3;4;5})),"")</f>
        <v>#VALUE!</v>
      </c>
      <c r="U77" s="423" t="e">
        <v>#VALUE!</v>
      </c>
      <c r="V77" s="423" t="e">
        <v>#VALUE!</v>
      </c>
      <c r="W77" s="424" t="e">
        <v>#VALUE!</v>
      </c>
      <c r="X77" s="425" t="e">
        <v>#VALUE!</v>
      </c>
      <c r="Y77" s="426" t="e">
        <f t="shared" si="4"/>
        <v>#VALUE!</v>
      </c>
      <c r="Z77" s="427" t="e">
        <f t="shared" si="0"/>
        <v>#VALUE!</v>
      </c>
      <c r="AA77" s="426" t="e">
        <f t="shared" si="1"/>
        <v>#VALUE!</v>
      </c>
      <c r="AB77" s="428" t="e">
        <f t="shared" si="2"/>
        <v>#VALUE!</v>
      </c>
      <c r="AC77" s="427" t="e">
        <f t="shared" si="3"/>
        <v>#VALUE!</v>
      </c>
      <c r="AD77" s="227"/>
    </row>
    <row r="78" spans="1:30" customFormat="1" ht="15">
      <c r="A78" s="227"/>
      <c r="B78" s="276">
        <v>40</v>
      </c>
      <c r="C78" s="254" t="s">
        <v>128</v>
      </c>
      <c r="D78" s="255">
        <v>1</v>
      </c>
      <c r="E78" s="247"/>
      <c r="F78" s="232">
        <v>0.4</v>
      </c>
      <c r="G78" s="435">
        <v>100</v>
      </c>
      <c r="H78" s="386">
        <v>64</v>
      </c>
      <c r="I78" s="413"/>
      <c r="J78" s="413"/>
      <c r="K78" s="413"/>
      <c r="L78" s="413"/>
      <c r="M78" s="413"/>
      <c r="N78" s="413"/>
      <c r="O78" s="413"/>
      <c r="P78" s="413"/>
      <c r="Q78" s="413"/>
      <c r="R78" s="452"/>
      <c r="S78" s="443"/>
      <c r="T78" s="422" t="e" cm="1">
        <f t="array" ref="T78:X78">IF(AND($U$12,B102&lt;=$C$17,C102&lt;&gt;""),TRANSPOSE(INDEX(getcds(C102,$C$6,G102/10000,F102,D102,$C$13,$C$14,$C$15,$C$8,,,TRUE,TRUE,FALSE,$C$29:$C$31,$C$33),{1;2;3;4;5})),"")</f>
        <v>#VALUE!</v>
      </c>
      <c r="U78" s="423" t="e">
        <v>#VALUE!</v>
      </c>
      <c r="V78" s="423" t="e">
        <v>#VALUE!</v>
      </c>
      <c r="W78" s="424" t="e">
        <v>#VALUE!</v>
      </c>
      <c r="X78" s="425" t="e">
        <v>#VALUE!</v>
      </c>
      <c r="Y78" s="426" t="e">
        <f t="shared" si="4"/>
        <v>#VALUE!</v>
      </c>
      <c r="Z78" s="427" t="e">
        <f t="shared" si="0"/>
        <v>#VALUE!</v>
      </c>
      <c r="AA78" s="426" t="e">
        <f t="shared" si="1"/>
        <v>#VALUE!</v>
      </c>
      <c r="AB78" s="428" t="e">
        <f t="shared" si="2"/>
        <v>#VALUE!</v>
      </c>
      <c r="AC78" s="427" t="e">
        <f t="shared" si="3"/>
        <v>#VALUE!</v>
      </c>
      <c r="AD78" s="227"/>
    </row>
    <row r="79" spans="1:30" customFormat="1" ht="15">
      <c r="A79" s="227"/>
      <c r="B79" s="276">
        <v>41</v>
      </c>
      <c r="C79" s="254" t="s">
        <v>129</v>
      </c>
      <c r="D79" s="255">
        <v>1</v>
      </c>
      <c r="E79" s="247"/>
      <c r="F79" s="232">
        <v>0.4</v>
      </c>
      <c r="G79" s="435">
        <v>100</v>
      </c>
      <c r="H79" s="386">
        <v>65</v>
      </c>
      <c r="I79" s="413"/>
      <c r="J79" s="413"/>
      <c r="K79" s="413"/>
      <c r="L79" s="413"/>
      <c r="M79" s="413"/>
      <c r="N79" s="413"/>
      <c r="O79" s="413"/>
      <c r="P79" s="413"/>
      <c r="Q79" s="413"/>
      <c r="R79" s="452"/>
      <c r="S79" s="443"/>
      <c r="T79" s="422" cm="1">
        <f t="array" ref="T79:X79">IF(AND($U$12,B103&lt;=$C$17,C103&lt;&gt;""),TRANSPOSE(INDEX(getcds(C103,$C$6,G103/10000,F103,D103,$C$13,$C$14,$C$15,$C$8,,,TRUE,TRUE,FALSE,$C$29:$C$31,$C$33),{1;2;3;4;5})),"")</f>
        <v>0</v>
      </c>
      <c r="U79" s="423" t="e">
        <v>#REF!</v>
      </c>
      <c r="V79" s="423" t="e">
        <v>#REF!</v>
      </c>
      <c r="W79" s="424" t="e">
        <v>#REF!</v>
      </c>
      <c r="X79" s="425" t="e">
        <v>#REF!</v>
      </c>
      <c r="Y79" s="426">
        <f t="shared" ca="1" si="4"/>
        <v>0</v>
      </c>
      <c r="Z79" s="427" t="e">
        <f t="shared" ca="1" si="0"/>
        <v>#REF!</v>
      </c>
      <c r="AA79" s="426" t="str">
        <f t="shared" si="1"/>
        <v/>
      </c>
      <c r="AB79" s="428" t="e">
        <f t="shared" si="2"/>
        <v>#REF!</v>
      </c>
      <c r="AC79" s="427" t="str">
        <f t="shared" si="3"/>
        <v/>
      </c>
      <c r="AD79" s="227"/>
    </row>
    <row r="80" spans="1:30" customFormat="1" ht="15">
      <c r="A80" s="227"/>
      <c r="B80" s="276">
        <v>42</v>
      </c>
      <c r="C80" s="254" t="s">
        <v>130</v>
      </c>
      <c r="D80" s="255">
        <v>1</v>
      </c>
      <c r="E80" s="247"/>
      <c r="F80" s="232">
        <v>0.4</v>
      </c>
      <c r="G80" s="435">
        <v>100</v>
      </c>
      <c r="H80" s="386">
        <v>66</v>
      </c>
      <c r="I80" s="413"/>
      <c r="J80" s="413"/>
      <c r="K80" s="413"/>
      <c r="L80" s="413"/>
      <c r="M80" s="413"/>
      <c r="N80" s="413"/>
      <c r="O80" s="413"/>
      <c r="P80" s="413"/>
      <c r="Q80" s="413"/>
      <c r="R80" s="452"/>
      <c r="S80" s="443"/>
      <c r="T80" s="422" t="e" cm="1">
        <f t="array" ref="T80:X80">IF(AND($U$12,B104&lt;=$C$17,C104&lt;&gt;""),TRANSPOSE(INDEX(getcds(C104,$C$6,G104/10000,F104,D104,$C$13,$C$14,$C$15,$C$8,,,TRUE,TRUE,FALSE,$C$29:$C$31,$C$33),{1;2;3;4;5})),"")</f>
        <v>#VALUE!</v>
      </c>
      <c r="U80" s="423" t="e">
        <v>#VALUE!</v>
      </c>
      <c r="V80" s="423" t="e">
        <v>#VALUE!</v>
      </c>
      <c r="W80" s="424" t="e">
        <v>#VALUE!</v>
      </c>
      <c r="X80" s="425" t="e">
        <v>#VALUE!</v>
      </c>
      <c r="Y80" s="426" t="e">
        <f t="shared" ref="Y80:Y143" si="5">IF($U$12,IF(T80="","",$U$13*D104/$C$18),"")</f>
        <v>#VALUE!</v>
      </c>
      <c r="Z80" s="427" t="e">
        <f t="shared" ref="Z80:Z143" si="6">IF($U$12,IF(Y80="","",Y80*($Z$10-W80)*X80),"")</f>
        <v>#VALUE!</v>
      </c>
      <c r="AA80" s="426" t="e">
        <f t="shared" ref="AA80:AA143" si="7">IF($U$12,IF(OR(T80="",L80=""),"",L80/($C$20-$C$19)),"")</f>
        <v>#VALUE!</v>
      </c>
      <c r="AB80" s="428" t="e">
        <f t="shared" ref="AB80:AB143" si="8">IF($U$12,IF(W80="","",W80*$AC$10),"")</f>
        <v>#VALUE!</v>
      </c>
      <c r="AC80" s="427" t="e">
        <f t="shared" ref="AC80:AC143" si="9">IF($U$12,IF(AA80="","",AA80*(AB80-W80)*X80),"")</f>
        <v>#VALUE!</v>
      </c>
      <c r="AD80" s="227"/>
    </row>
    <row r="81" spans="1:30" customFormat="1" ht="15">
      <c r="A81" s="227"/>
      <c r="B81" s="276">
        <v>43</v>
      </c>
      <c r="C81" s="254" t="s">
        <v>131</v>
      </c>
      <c r="D81" s="255">
        <v>1</v>
      </c>
      <c r="E81" s="247"/>
      <c r="F81" s="232">
        <v>0.4</v>
      </c>
      <c r="G81" s="435">
        <v>100</v>
      </c>
      <c r="H81" s="386">
        <v>67</v>
      </c>
      <c r="I81" s="413"/>
      <c r="J81" s="413"/>
      <c r="K81" s="413"/>
      <c r="L81" s="413"/>
      <c r="M81" s="413"/>
      <c r="N81" s="413"/>
      <c r="O81" s="413"/>
      <c r="P81" s="413"/>
      <c r="Q81" s="413"/>
      <c r="R81" s="452"/>
      <c r="S81" s="443"/>
      <c r="T81" s="422" t="e" cm="1">
        <f t="array" ref="T81:X81">IF(AND($U$12,B105&lt;=$C$17,C105&lt;&gt;""),TRANSPOSE(INDEX(getcds(C105,$C$6,G105/10000,F105,D105,$C$13,$C$14,$C$15,$C$8,,,TRUE,TRUE,FALSE,$C$29:$C$31,$C$33),{1;2;3;4;5})),"")</f>
        <v>#VALUE!</v>
      </c>
      <c r="U81" s="423" t="e">
        <v>#VALUE!</v>
      </c>
      <c r="V81" s="423" t="e">
        <v>#VALUE!</v>
      </c>
      <c r="W81" s="424" t="e">
        <v>#VALUE!</v>
      </c>
      <c r="X81" s="425" t="e">
        <v>#VALUE!</v>
      </c>
      <c r="Y81" s="426" t="e">
        <f t="shared" si="5"/>
        <v>#VALUE!</v>
      </c>
      <c r="Z81" s="427" t="e">
        <f t="shared" si="6"/>
        <v>#VALUE!</v>
      </c>
      <c r="AA81" s="426" t="e">
        <f t="shared" si="7"/>
        <v>#VALUE!</v>
      </c>
      <c r="AB81" s="428" t="e">
        <f t="shared" si="8"/>
        <v>#VALUE!</v>
      </c>
      <c r="AC81" s="427" t="e">
        <f t="shared" si="9"/>
        <v>#VALUE!</v>
      </c>
      <c r="AD81" s="227"/>
    </row>
    <row r="82" spans="1:30" customFormat="1" ht="15">
      <c r="A82" s="227"/>
      <c r="B82" s="276">
        <v>44</v>
      </c>
      <c r="C82" s="254" t="s">
        <v>132</v>
      </c>
      <c r="D82" s="255">
        <v>1</v>
      </c>
      <c r="E82" s="247"/>
      <c r="F82" s="232">
        <v>0.4</v>
      </c>
      <c r="G82" s="435">
        <v>100</v>
      </c>
      <c r="H82" s="386">
        <v>68</v>
      </c>
      <c r="I82" s="413"/>
      <c r="J82" s="413"/>
      <c r="K82" s="413"/>
      <c r="L82" s="413"/>
      <c r="M82" s="413"/>
      <c r="N82" s="413"/>
      <c r="O82" s="413"/>
      <c r="P82" s="413"/>
      <c r="Q82" s="413"/>
      <c r="R82" s="452"/>
      <c r="S82" s="443"/>
      <c r="T82" s="422" t="e" cm="1">
        <f t="array" ref="T82:X82">IF(AND($U$12,B106&lt;=$C$17,C106&lt;&gt;""),TRANSPOSE(INDEX(getcds(C106,$C$6,G106/10000,F106,D106,$C$13,$C$14,$C$15,$C$8,,,TRUE,TRUE,FALSE,$C$29:$C$31,$C$33),{1;2;3;4;5})),"")</f>
        <v>#VALUE!</v>
      </c>
      <c r="U82" s="423" t="e">
        <v>#VALUE!</v>
      </c>
      <c r="V82" s="423" t="e">
        <v>#VALUE!</v>
      </c>
      <c r="W82" s="424" t="e">
        <v>#VALUE!</v>
      </c>
      <c r="X82" s="425" t="e">
        <v>#VALUE!</v>
      </c>
      <c r="Y82" s="426" t="e">
        <f t="shared" si="5"/>
        <v>#VALUE!</v>
      </c>
      <c r="Z82" s="427" t="e">
        <f t="shared" si="6"/>
        <v>#VALUE!</v>
      </c>
      <c r="AA82" s="426" t="e">
        <f t="shared" si="7"/>
        <v>#VALUE!</v>
      </c>
      <c r="AB82" s="428" t="e">
        <f t="shared" si="8"/>
        <v>#VALUE!</v>
      </c>
      <c r="AC82" s="427" t="e">
        <f t="shared" si="9"/>
        <v>#VALUE!</v>
      </c>
      <c r="AD82" s="227"/>
    </row>
    <row r="83" spans="1:30" customFormat="1" ht="15">
      <c r="A83" s="227"/>
      <c r="B83" s="276">
        <v>45</v>
      </c>
      <c r="C83" s="254" t="s">
        <v>133</v>
      </c>
      <c r="D83" s="255">
        <v>1</v>
      </c>
      <c r="E83" s="247"/>
      <c r="F83" s="232">
        <v>0.4</v>
      </c>
      <c r="G83" s="435">
        <v>100</v>
      </c>
      <c r="H83" s="386">
        <v>69</v>
      </c>
      <c r="I83" s="413"/>
      <c r="J83" s="413"/>
      <c r="K83" s="413"/>
      <c r="L83" s="413"/>
      <c r="M83" s="413"/>
      <c r="N83" s="413"/>
      <c r="O83" s="413"/>
      <c r="P83" s="413"/>
      <c r="Q83" s="413"/>
      <c r="R83" s="452"/>
      <c r="S83" s="443"/>
      <c r="T83" s="422" cm="1">
        <f t="array" ref="T83:X83">IF(AND($U$12,B107&lt;=$C$17,C107&lt;&gt;""),TRANSPOSE(INDEX(getcds(C107,$C$6,G107/10000,F107,D107,$C$13,$C$14,$C$15,$C$8,,,TRUE,TRUE,FALSE,$C$29:$C$31,$C$33),{1;2;3;4;5})),"")</f>
        <v>0</v>
      </c>
      <c r="U83" s="423" t="e">
        <v>#REF!</v>
      </c>
      <c r="V83" s="423" t="e">
        <v>#REF!</v>
      </c>
      <c r="W83" s="424" t="e">
        <v>#REF!</v>
      </c>
      <c r="X83" s="425" t="e">
        <v>#REF!</v>
      </c>
      <c r="Y83" s="426">
        <f t="shared" ca="1" si="5"/>
        <v>0</v>
      </c>
      <c r="Z83" s="427" t="e">
        <f t="shared" ca="1" si="6"/>
        <v>#REF!</v>
      </c>
      <c r="AA83" s="426" t="str">
        <f t="shared" si="7"/>
        <v/>
      </c>
      <c r="AB83" s="428" t="e">
        <f t="shared" si="8"/>
        <v>#REF!</v>
      </c>
      <c r="AC83" s="427" t="str">
        <f t="shared" si="9"/>
        <v/>
      </c>
      <c r="AD83" s="227"/>
    </row>
    <row r="84" spans="1:30" customFormat="1" ht="15">
      <c r="A84" s="227"/>
      <c r="B84" s="276">
        <v>46</v>
      </c>
      <c r="C84" s="254" t="s">
        <v>134</v>
      </c>
      <c r="D84" s="255">
        <v>1</v>
      </c>
      <c r="E84" s="247"/>
      <c r="F84" s="232">
        <v>0.4</v>
      </c>
      <c r="G84" s="435">
        <v>100</v>
      </c>
      <c r="H84" s="386">
        <v>70</v>
      </c>
      <c r="I84" s="413"/>
      <c r="J84" s="413"/>
      <c r="K84" s="413"/>
      <c r="L84" s="413"/>
      <c r="M84" s="413"/>
      <c r="N84" s="413"/>
      <c r="O84" s="413"/>
      <c r="P84" s="413"/>
      <c r="Q84" s="413"/>
      <c r="R84" s="452"/>
      <c r="S84" s="443"/>
      <c r="T84" s="422" cm="1">
        <f t="array" ref="T84:X84">IF(AND($U$12,B108&lt;=$C$17,C108&lt;&gt;""),TRANSPOSE(INDEX(getcds(C108,$C$6,G108/10000,F108,D108,$C$13,$C$14,$C$15,$C$8,,,TRUE,TRUE,FALSE,$C$29:$C$31,$C$33),{1;2;3;4;5})),"")</f>
        <v>0</v>
      </c>
      <c r="U84" s="423" t="e">
        <v>#REF!</v>
      </c>
      <c r="V84" s="423" t="e">
        <v>#REF!</v>
      </c>
      <c r="W84" s="424" t="e">
        <v>#REF!</v>
      </c>
      <c r="X84" s="425" t="e">
        <v>#REF!</v>
      </c>
      <c r="Y84" s="426">
        <f t="shared" ca="1" si="5"/>
        <v>0</v>
      </c>
      <c r="Z84" s="427" t="e">
        <f t="shared" ca="1" si="6"/>
        <v>#REF!</v>
      </c>
      <c r="AA84" s="426" t="str">
        <f t="shared" si="7"/>
        <v/>
      </c>
      <c r="AB84" s="428" t="e">
        <f t="shared" si="8"/>
        <v>#REF!</v>
      </c>
      <c r="AC84" s="427" t="str">
        <f t="shared" si="9"/>
        <v/>
      </c>
      <c r="AD84" s="227"/>
    </row>
    <row r="85" spans="1:30" customFormat="1" ht="15">
      <c r="A85" s="227"/>
      <c r="B85" s="276">
        <v>47</v>
      </c>
      <c r="C85" s="254" t="s">
        <v>135</v>
      </c>
      <c r="D85" s="255">
        <v>1</v>
      </c>
      <c r="E85" s="247"/>
      <c r="F85" s="232">
        <v>0.4</v>
      </c>
      <c r="G85" s="435">
        <v>100</v>
      </c>
      <c r="H85" s="386">
        <v>71</v>
      </c>
      <c r="I85" s="413"/>
      <c r="J85" s="413"/>
      <c r="K85" s="413"/>
      <c r="L85" s="413"/>
      <c r="M85" s="413"/>
      <c r="N85" s="413"/>
      <c r="O85" s="413"/>
      <c r="P85" s="413"/>
      <c r="Q85" s="413"/>
      <c r="R85" s="452"/>
      <c r="S85" s="443"/>
      <c r="T85" s="422" cm="1">
        <f t="array" ref="T85:X85">IF(AND($U$12,B109&lt;=$C$17,C109&lt;&gt;""),TRANSPOSE(INDEX(getcds(C109,$C$6,G109/10000,F109,D109,$C$13,$C$14,$C$15,$C$8,,,TRUE,TRUE,FALSE,$C$29:$C$31,$C$33),{1;2;3;4;5})),"")</f>
        <v>0</v>
      </c>
      <c r="U85" s="423" t="e">
        <v>#REF!</v>
      </c>
      <c r="V85" s="423" t="e">
        <v>#REF!</v>
      </c>
      <c r="W85" s="424" t="e">
        <v>#REF!</v>
      </c>
      <c r="X85" s="425" t="e">
        <v>#REF!</v>
      </c>
      <c r="Y85" s="426">
        <f t="shared" ca="1" si="5"/>
        <v>0</v>
      </c>
      <c r="Z85" s="427" t="e">
        <f t="shared" ca="1" si="6"/>
        <v>#REF!</v>
      </c>
      <c r="AA85" s="426" t="str">
        <f t="shared" si="7"/>
        <v/>
      </c>
      <c r="AB85" s="428" t="e">
        <f t="shared" si="8"/>
        <v>#REF!</v>
      </c>
      <c r="AC85" s="427" t="str">
        <f t="shared" si="9"/>
        <v/>
      </c>
      <c r="AD85" s="227"/>
    </row>
    <row r="86" spans="1:30" customFormat="1" ht="15">
      <c r="A86" s="227"/>
      <c r="B86" s="276">
        <v>48</v>
      </c>
      <c r="C86" s="254" t="s">
        <v>136</v>
      </c>
      <c r="D86" s="255">
        <v>1</v>
      </c>
      <c r="E86" s="247"/>
      <c r="F86" s="232">
        <v>0.4</v>
      </c>
      <c r="G86" s="435">
        <v>100</v>
      </c>
      <c r="H86" s="386">
        <v>72</v>
      </c>
      <c r="I86" s="413"/>
      <c r="J86" s="413"/>
      <c r="K86" s="413"/>
      <c r="L86" s="413"/>
      <c r="M86" s="413"/>
      <c r="N86" s="413"/>
      <c r="O86" s="413"/>
      <c r="P86" s="413"/>
      <c r="Q86" s="413"/>
      <c r="R86" s="452"/>
      <c r="S86" s="443"/>
      <c r="T86" s="422" cm="1">
        <f t="array" ref="T86:X86">IF(AND($U$12,B110&lt;=$C$17,C110&lt;&gt;""),TRANSPOSE(INDEX(getcds(C110,$C$6,G110/10000,F110,D110,$C$13,$C$14,$C$15,$C$8,,,TRUE,TRUE,FALSE,$C$29:$C$31,$C$33),{1;2;3;4;5})),"")</f>
        <v>0</v>
      </c>
      <c r="U86" s="423" t="e">
        <v>#REF!</v>
      </c>
      <c r="V86" s="423" t="e">
        <v>#REF!</v>
      </c>
      <c r="W86" s="424" t="e">
        <v>#REF!</v>
      </c>
      <c r="X86" s="425" t="e">
        <v>#REF!</v>
      </c>
      <c r="Y86" s="426">
        <f t="shared" ca="1" si="5"/>
        <v>0</v>
      </c>
      <c r="Z86" s="427" t="e">
        <f t="shared" ca="1" si="6"/>
        <v>#REF!</v>
      </c>
      <c r="AA86" s="426" t="str">
        <f t="shared" si="7"/>
        <v/>
      </c>
      <c r="AB86" s="428" t="e">
        <f t="shared" si="8"/>
        <v>#REF!</v>
      </c>
      <c r="AC86" s="427" t="str">
        <f t="shared" si="9"/>
        <v/>
      </c>
      <c r="AD86" s="227"/>
    </row>
    <row r="87" spans="1:30" customFormat="1" ht="15">
      <c r="A87" s="227"/>
      <c r="B87" s="276">
        <v>49</v>
      </c>
      <c r="C87" s="254" t="s">
        <v>137</v>
      </c>
      <c r="D87" s="255">
        <v>1</v>
      </c>
      <c r="E87" s="247"/>
      <c r="F87" s="232">
        <v>0.4</v>
      </c>
      <c r="G87" s="435">
        <v>100</v>
      </c>
      <c r="H87" s="386">
        <v>73</v>
      </c>
      <c r="I87" s="413"/>
      <c r="J87" s="413"/>
      <c r="K87" s="413"/>
      <c r="L87" s="413"/>
      <c r="M87" s="413"/>
      <c r="N87" s="413"/>
      <c r="O87" s="413"/>
      <c r="P87" s="413"/>
      <c r="Q87" s="413"/>
      <c r="R87" s="452"/>
      <c r="S87" s="443"/>
      <c r="T87" s="422" t="e" cm="1">
        <f t="array" ref="T87:X87">IF(AND($U$12,B111&lt;=$C$17,C111&lt;&gt;""),TRANSPOSE(INDEX(getcds(C111,$C$6,G111/10000,F111,D111,$C$13,$C$14,$C$15,$C$8,,,TRUE,TRUE,FALSE,$C$29:$C$31,$C$33),{1;2;3;4;5})),"")</f>
        <v>#VALUE!</v>
      </c>
      <c r="U87" s="423" t="e">
        <v>#VALUE!</v>
      </c>
      <c r="V87" s="423" t="e">
        <v>#VALUE!</v>
      </c>
      <c r="W87" s="424" t="e">
        <v>#VALUE!</v>
      </c>
      <c r="X87" s="425" t="e">
        <v>#VALUE!</v>
      </c>
      <c r="Y87" s="426" t="e">
        <f t="shared" si="5"/>
        <v>#VALUE!</v>
      </c>
      <c r="Z87" s="427" t="e">
        <f t="shared" si="6"/>
        <v>#VALUE!</v>
      </c>
      <c r="AA87" s="426" t="e">
        <f t="shared" si="7"/>
        <v>#VALUE!</v>
      </c>
      <c r="AB87" s="428" t="e">
        <f t="shared" si="8"/>
        <v>#VALUE!</v>
      </c>
      <c r="AC87" s="427" t="e">
        <f t="shared" si="9"/>
        <v>#VALUE!</v>
      </c>
      <c r="AD87" s="227"/>
    </row>
    <row r="88" spans="1:30" customFormat="1" ht="15">
      <c r="A88" s="227"/>
      <c r="B88" s="276">
        <v>50</v>
      </c>
      <c r="C88" s="254" t="s">
        <v>138</v>
      </c>
      <c r="D88" s="255">
        <v>1</v>
      </c>
      <c r="E88" s="247"/>
      <c r="F88" s="232">
        <v>0.4</v>
      </c>
      <c r="G88" s="435">
        <v>100</v>
      </c>
      <c r="H88" s="386">
        <v>74</v>
      </c>
      <c r="I88" s="413"/>
      <c r="J88" s="413"/>
      <c r="K88" s="413"/>
      <c r="L88" s="413"/>
      <c r="M88" s="413"/>
      <c r="N88" s="413"/>
      <c r="O88" s="413"/>
      <c r="P88" s="413"/>
      <c r="Q88" s="413"/>
      <c r="R88" s="452"/>
      <c r="S88" s="443"/>
      <c r="T88" s="422" t="e" cm="1">
        <f t="array" ref="T88:X88">IF(AND($U$12,B112&lt;=$C$17,C112&lt;&gt;""),TRANSPOSE(INDEX(getcds(C112,$C$6,G112/10000,F112,D112,$C$13,$C$14,$C$15,$C$8,,,TRUE,TRUE,FALSE,$C$29:$C$31,$C$33),{1;2;3;4;5})),"")</f>
        <v>#VALUE!</v>
      </c>
      <c r="U88" s="423" t="e">
        <v>#VALUE!</v>
      </c>
      <c r="V88" s="423" t="e">
        <v>#VALUE!</v>
      </c>
      <c r="W88" s="424" t="e">
        <v>#VALUE!</v>
      </c>
      <c r="X88" s="425" t="e">
        <v>#VALUE!</v>
      </c>
      <c r="Y88" s="426" t="e">
        <f t="shared" si="5"/>
        <v>#VALUE!</v>
      </c>
      <c r="Z88" s="427" t="e">
        <f t="shared" si="6"/>
        <v>#VALUE!</v>
      </c>
      <c r="AA88" s="426" t="e">
        <f t="shared" si="7"/>
        <v>#VALUE!</v>
      </c>
      <c r="AB88" s="428" t="e">
        <f t="shared" si="8"/>
        <v>#VALUE!</v>
      </c>
      <c r="AC88" s="427" t="e">
        <f t="shared" si="9"/>
        <v>#VALUE!</v>
      </c>
      <c r="AD88" s="227"/>
    </row>
    <row r="89" spans="1:30" customFormat="1" ht="15">
      <c r="A89" s="227"/>
      <c r="B89" s="276">
        <v>51</v>
      </c>
      <c r="C89" s="254" t="s">
        <v>139</v>
      </c>
      <c r="D89" s="255">
        <v>1</v>
      </c>
      <c r="E89" s="247"/>
      <c r="F89" s="232">
        <v>0.4</v>
      </c>
      <c r="G89" s="435">
        <v>100</v>
      </c>
      <c r="H89" s="386">
        <v>75</v>
      </c>
      <c r="I89" s="413"/>
      <c r="J89" s="413"/>
      <c r="K89" s="413"/>
      <c r="L89" s="413"/>
      <c r="M89" s="413"/>
      <c r="N89" s="413"/>
      <c r="O89" s="413"/>
      <c r="P89" s="413"/>
      <c r="Q89" s="413"/>
      <c r="R89" s="452"/>
      <c r="S89" s="443"/>
      <c r="T89" s="422" t="e" cm="1">
        <f t="array" ref="T89:X89">IF(AND($U$12,B113&lt;=$C$17,C113&lt;&gt;""),TRANSPOSE(INDEX(getcds(C113,$C$6,G113/10000,F113,D113,$C$13,$C$14,$C$15,$C$8,,,TRUE,TRUE,FALSE,$C$29:$C$31,$C$33),{1;2;3;4;5})),"")</f>
        <v>#VALUE!</v>
      </c>
      <c r="U89" s="423" t="e">
        <v>#VALUE!</v>
      </c>
      <c r="V89" s="423" t="e">
        <v>#VALUE!</v>
      </c>
      <c r="W89" s="424" t="e">
        <v>#VALUE!</v>
      </c>
      <c r="X89" s="425" t="e">
        <v>#VALUE!</v>
      </c>
      <c r="Y89" s="426" t="e">
        <f t="shared" si="5"/>
        <v>#VALUE!</v>
      </c>
      <c r="Z89" s="427" t="e">
        <f t="shared" si="6"/>
        <v>#VALUE!</v>
      </c>
      <c r="AA89" s="426" t="e">
        <f t="shared" si="7"/>
        <v>#VALUE!</v>
      </c>
      <c r="AB89" s="428" t="e">
        <f t="shared" si="8"/>
        <v>#VALUE!</v>
      </c>
      <c r="AC89" s="427" t="e">
        <f t="shared" si="9"/>
        <v>#VALUE!</v>
      </c>
      <c r="AD89" s="227"/>
    </row>
    <row r="90" spans="1:30" customFormat="1" ht="15">
      <c r="A90" s="227"/>
      <c r="B90" s="276">
        <v>52</v>
      </c>
      <c r="C90" s="254" t="s">
        <v>140</v>
      </c>
      <c r="D90" s="255">
        <v>1</v>
      </c>
      <c r="E90" s="247"/>
      <c r="F90" s="232">
        <v>0.4</v>
      </c>
      <c r="G90" s="435">
        <v>100</v>
      </c>
      <c r="H90" s="386">
        <v>76</v>
      </c>
      <c r="I90" s="413"/>
      <c r="J90" s="413"/>
      <c r="K90" s="413"/>
      <c r="L90" s="413"/>
      <c r="M90" s="413"/>
      <c r="N90" s="413"/>
      <c r="O90" s="413"/>
      <c r="P90" s="413"/>
      <c r="Q90" s="413"/>
      <c r="R90" s="452"/>
      <c r="S90" s="443"/>
      <c r="T90" s="422" t="e" cm="1">
        <f t="array" ref="T90:X90">IF(AND($U$12,B114&lt;=$C$17,C114&lt;&gt;""),TRANSPOSE(INDEX(getcds(C114,$C$6,G114/10000,F114,D114,$C$13,$C$14,$C$15,$C$8,,,TRUE,TRUE,FALSE,$C$29:$C$31,$C$33),{1;2;3;4;5})),"")</f>
        <v>#VALUE!</v>
      </c>
      <c r="U90" s="423" t="e">
        <v>#VALUE!</v>
      </c>
      <c r="V90" s="423" t="e">
        <v>#VALUE!</v>
      </c>
      <c r="W90" s="424" t="e">
        <v>#VALUE!</v>
      </c>
      <c r="X90" s="425" t="e">
        <v>#VALUE!</v>
      </c>
      <c r="Y90" s="426" t="e">
        <f t="shared" si="5"/>
        <v>#VALUE!</v>
      </c>
      <c r="Z90" s="427" t="e">
        <f t="shared" si="6"/>
        <v>#VALUE!</v>
      </c>
      <c r="AA90" s="426" t="e">
        <f t="shared" si="7"/>
        <v>#VALUE!</v>
      </c>
      <c r="AB90" s="428" t="e">
        <f t="shared" si="8"/>
        <v>#VALUE!</v>
      </c>
      <c r="AC90" s="427" t="e">
        <f t="shared" si="9"/>
        <v>#VALUE!</v>
      </c>
      <c r="AD90" s="227"/>
    </row>
    <row r="91" spans="1:30" customFormat="1" ht="15">
      <c r="A91" s="227"/>
      <c r="B91" s="276">
        <v>53</v>
      </c>
      <c r="C91" s="254" t="s">
        <v>141</v>
      </c>
      <c r="D91" s="255">
        <v>1</v>
      </c>
      <c r="E91" s="247"/>
      <c r="F91" s="232">
        <v>0.4</v>
      </c>
      <c r="G91" s="435">
        <v>100</v>
      </c>
      <c r="H91" s="386">
        <v>77</v>
      </c>
      <c r="I91" s="413"/>
      <c r="J91" s="413"/>
      <c r="K91" s="413"/>
      <c r="L91" s="413"/>
      <c r="M91" s="413"/>
      <c r="N91" s="413"/>
      <c r="O91" s="413"/>
      <c r="P91" s="413"/>
      <c r="Q91" s="413"/>
      <c r="R91" s="452"/>
      <c r="S91" s="443"/>
      <c r="T91" s="422" t="e" cm="1">
        <f t="array" ref="T91:X91">IF(AND($U$12,B115&lt;=$C$17,C115&lt;&gt;""),TRANSPOSE(INDEX(getcds(C115,$C$6,G115/10000,F115,D115,$C$13,$C$14,$C$15,$C$8,,,TRUE,TRUE,FALSE,$C$29:$C$31,$C$33),{1;2;3;4;5})),"")</f>
        <v>#VALUE!</v>
      </c>
      <c r="U91" s="423" t="e">
        <v>#VALUE!</v>
      </c>
      <c r="V91" s="423" t="e">
        <v>#VALUE!</v>
      </c>
      <c r="W91" s="424" t="e">
        <v>#VALUE!</v>
      </c>
      <c r="X91" s="425" t="e">
        <v>#VALUE!</v>
      </c>
      <c r="Y91" s="426" t="e">
        <f t="shared" si="5"/>
        <v>#VALUE!</v>
      </c>
      <c r="Z91" s="427" t="e">
        <f t="shared" si="6"/>
        <v>#VALUE!</v>
      </c>
      <c r="AA91" s="426" t="e">
        <f t="shared" si="7"/>
        <v>#VALUE!</v>
      </c>
      <c r="AB91" s="428" t="e">
        <f t="shared" si="8"/>
        <v>#VALUE!</v>
      </c>
      <c r="AC91" s="427" t="e">
        <f t="shared" si="9"/>
        <v>#VALUE!</v>
      </c>
      <c r="AD91" s="227"/>
    </row>
    <row r="92" spans="1:30" customFormat="1" ht="15">
      <c r="A92" s="227"/>
      <c r="B92" s="276">
        <v>54</v>
      </c>
      <c r="C92" s="254" t="s">
        <v>142</v>
      </c>
      <c r="D92" s="255">
        <v>1</v>
      </c>
      <c r="E92" s="247"/>
      <c r="F92" s="232">
        <v>0.4</v>
      </c>
      <c r="G92" s="435">
        <v>100</v>
      </c>
      <c r="H92" s="386">
        <v>78</v>
      </c>
      <c r="I92" s="413"/>
      <c r="J92" s="413"/>
      <c r="K92" s="413"/>
      <c r="L92" s="413"/>
      <c r="M92" s="413"/>
      <c r="N92" s="413"/>
      <c r="O92" s="413"/>
      <c r="P92" s="413"/>
      <c r="Q92" s="413"/>
      <c r="R92" s="452"/>
      <c r="S92" s="443"/>
      <c r="T92" s="422" cm="1">
        <f t="array" ref="T92:X92">IF(AND($U$12,B116&lt;=$C$17,C116&lt;&gt;""),TRANSPOSE(INDEX(getcds(C116,$C$6,G116/10000,F116,D116,$C$13,$C$14,$C$15,$C$8,,,TRUE,TRUE,FALSE,$C$29:$C$31,$C$33),{1;2;3;4;5})),"")</f>
        <v>0</v>
      </c>
      <c r="U92" s="423" t="e">
        <v>#REF!</v>
      </c>
      <c r="V92" s="423" t="e">
        <v>#REF!</v>
      </c>
      <c r="W92" s="424" t="e">
        <v>#REF!</v>
      </c>
      <c r="X92" s="425" t="e">
        <v>#REF!</v>
      </c>
      <c r="Y92" s="426">
        <f t="shared" ca="1" si="5"/>
        <v>0</v>
      </c>
      <c r="Z92" s="427" t="e">
        <f t="shared" ca="1" si="6"/>
        <v>#REF!</v>
      </c>
      <c r="AA92" s="426" t="str">
        <f t="shared" si="7"/>
        <v/>
      </c>
      <c r="AB92" s="428" t="e">
        <f t="shared" si="8"/>
        <v>#REF!</v>
      </c>
      <c r="AC92" s="427" t="str">
        <f t="shared" si="9"/>
        <v/>
      </c>
      <c r="AD92" s="227"/>
    </row>
    <row r="93" spans="1:30" customFormat="1" ht="15">
      <c r="A93" s="227"/>
      <c r="B93" s="276">
        <v>55</v>
      </c>
      <c r="C93" s="254" t="s">
        <v>143</v>
      </c>
      <c r="D93" s="255">
        <v>1</v>
      </c>
      <c r="E93" s="247"/>
      <c r="F93" s="232">
        <v>0.4</v>
      </c>
      <c r="G93" s="435">
        <v>100</v>
      </c>
      <c r="H93" s="386">
        <v>79</v>
      </c>
      <c r="I93" s="413"/>
      <c r="J93" s="413"/>
      <c r="K93" s="413"/>
      <c r="L93" s="413"/>
      <c r="M93" s="413"/>
      <c r="N93" s="413"/>
      <c r="O93" s="413"/>
      <c r="P93" s="413"/>
      <c r="Q93" s="413"/>
      <c r="R93" s="452"/>
      <c r="S93" s="443"/>
      <c r="T93" s="422" cm="1">
        <f t="array" ref="T93:X93">IF(AND($U$12,B117&lt;=$C$17,C117&lt;&gt;""),TRANSPOSE(INDEX(getcds(C117,$C$6,G117/10000,F117,D117,$C$13,$C$14,$C$15,$C$8,,,TRUE,TRUE,FALSE,$C$29:$C$31,$C$33),{1;2;3;4;5})),"")</f>
        <v>0</v>
      </c>
      <c r="U93" s="423" t="e">
        <v>#REF!</v>
      </c>
      <c r="V93" s="423" t="e">
        <v>#REF!</v>
      </c>
      <c r="W93" s="424" t="e">
        <v>#REF!</v>
      </c>
      <c r="X93" s="425" t="e">
        <v>#REF!</v>
      </c>
      <c r="Y93" s="426">
        <f t="shared" ca="1" si="5"/>
        <v>0</v>
      </c>
      <c r="Z93" s="427" t="e">
        <f t="shared" ca="1" si="6"/>
        <v>#REF!</v>
      </c>
      <c r="AA93" s="426" t="str">
        <f t="shared" si="7"/>
        <v/>
      </c>
      <c r="AB93" s="428" t="e">
        <f t="shared" si="8"/>
        <v>#REF!</v>
      </c>
      <c r="AC93" s="427" t="str">
        <f t="shared" si="9"/>
        <v/>
      </c>
      <c r="AD93" s="227"/>
    </row>
    <row r="94" spans="1:30" customFormat="1" ht="15">
      <c r="A94" s="227"/>
      <c r="B94" s="276">
        <v>56</v>
      </c>
      <c r="C94" s="254" t="s">
        <v>144</v>
      </c>
      <c r="D94" s="255">
        <v>1</v>
      </c>
      <c r="E94" s="247"/>
      <c r="F94" s="232">
        <v>0.4</v>
      </c>
      <c r="G94" s="435">
        <v>100</v>
      </c>
      <c r="H94" s="386">
        <v>80</v>
      </c>
      <c r="I94" s="413"/>
      <c r="J94" s="413"/>
      <c r="K94" s="413"/>
      <c r="L94" s="413"/>
      <c r="M94" s="413"/>
      <c r="N94" s="413"/>
      <c r="O94" s="413"/>
      <c r="P94" s="413"/>
      <c r="Q94" s="413"/>
      <c r="R94" s="452"/>
      <c r="S94" s="443"/>
      <c r="T94" s="422" cm="1">
        <f t="array" ref="T94:X94">IF(AND($U$12,B118&lt;=$C$17,C118&lt;&gt;""),TRANSPOSE(INDEX(getcds(C118,$C$6,G118/10000,F118,D118,$C$13,$C$14,$C$15,$C$8,,,TRUE,TRUE,FALSE,$C$29:$C$31,$C$33),{1;2;3;4;5})),"")</f>
        <v>0</v>
      </c>
      <c r="U94" s="423" t="e">
        <v>#REF!</v>
      </c>
      <c r="V94" s="423" t="e">
        <v>#REF!</v>
      </c>
      <c r="W94" s="424" t="e">
        <v>#REF!</v>
      </c>
      <c r="X94" s="425" t="e">
        <v>#REF!</v>
      </c>
      <c r="Y94" s="426">
        <f t="shared" ca="1" si="5"/>
        <v>0</v>
      </c>
      <c r="Z94" s="427" t="e">
        <f t="shared" ca="1" si="6"/>
        <v>#REF!</v>
      </c>
      <c r="AA94" s="426" t="str">
        <f t="shared" si="7"/>
        <v/>
      </c>
      <c r="AB94" s="428" t="e">
        <f t="shared" si="8"/>
        <v>#REF!</v>
      </c>
      <c r="AC94" s="427" t="str">
        <f t="shared" si="9"/>
        <v/>
      </c>
      <c r="AD94" s="227"/>
    </row>
    <row r="95" spans="1:30" customFormat="1" ht="15">
      <c r="A95" s="227"/>
      <c r="B95" s="276">
        <v>57</v>
      </c>
      <c r="C95" s="254" t="s">
        <v>145</v>
      </c>
      <c r="D95" s="255">
        <v>1</v>
      </c>
      <c r="E95" s="247"/>
      <c r="F95" s="232">
        <v>0.4</v>
      </c>
      <c r="G95" s="435">
        <v>100</v>
      </c>
      <c r="H95" s="386">
        <v>81</v>
      </c>
      <c r="I95" s="413"/>
      <c r="J95" s="413"/>
      <c r="K95" s="413"/>
      <c r="L95" s="413"/>
      <c r="M95" s="413"/>
      <c r="N95" s="413"/>
      <c r="O95" s="413"/>
      <c r="P95" s="413"/>
      <c r="Q95" s="413"/>
      <c r="R95" s="452"/>
      <c r="S95" s="443"/>
      <c r="T95" s="422" t="e" cm="1">
        <f t="array" ref="T95:X95">IF(AND($U$12,B119&lt;=$C$17,C119&lt;&gt;""),TRANSPOSE(INDEX(getcds(C119,$C$6,G119/10000,F119,D119,$C$13,$C$14,$C$15,$C$8,,,TRUE,TRUE,FALSE,$C$29:$C$31,$C$33),{1;2;3;4;5})),"")</f>
        <v>#VALUE!</v>
      </c>
      <c r="U95" s="423" t="e">
        <v>#VALUE!</v>
      </c>
      <c r="V95" s="423" t="e">
        <v>#VALUE!</v>
      </c>
      <c r="W95" s="424" t="e">
        <v>#VALUE!</v>
      </c>
      <c r="X95" s="425" t="e">
        <v>#VALUE!</v>
      </c>
      <c r="Y95" s="426" t="e">
        <f t="shared" si="5"/>
        <v>#VALUE!</v>
      </c>
      <c r="Z95" s="427" t="e">
        <f t="shared" si="6"/>
        <v>#VALUE!</v>
      </c>
      <c r="AA95" s="426" t="e">
        <f t="shared" si="7"/>
        <v>#VALUE!</v>
      </c>
      <c r="AB95" s="428" t="e">
        <f t="shared" si="8"/>
        <v>#VALUE!</v>
      </c>
      <c r="AC95" s="427" t="e">
        <f t="shared" si="9"/>
        <v>#VALUE!</v>
      </c>
      <c r="AD95" s="227"/>
    </row>
    <row r="96" spans="1:30" customFormat="1" ht="15">
      <c r="A96" s="227"/>
      <c r="B96" s="276">
        <v>58</v>
      </c>
      <c r="C96" s="254" t="s">
        <v>146</v>
      </c>
      <c r="D96" s="255">
        <v>1</v>
      </c>
      <c r="E96" s="247"/>
      <c r="F96" s="232">
        <v>0.4</v>
      </c>
      <c r="G96" s="435">
        <v>100</v>
      </c>
      <c r="H96" s="386">
        <v>82</v>
      </c>
      <c r="I96" s="413"/>
      <c r="J96" s="413"/>
      <c r="K96" s="413"/>
      <c r="L96" s="413"/>
      <c r="M96" s="413"/>
      <c r="N96" s="413"/>
      <c r="O96" s="413"/>
      <c r="P96" s="413"/>
      <c r="Q96" s="413"/>
      <c r="R96" s="452"/>
      <c r="S96" s="443"/>
      <c r="T96" s="422" t="e" cm="1">
        <f t="array" ref="T96:X96">IF(AND($U$12,B120&lt;=$C$17,C120&lt;&gt;""),TRANSPOSE(INDEX(getcds(C120,$C$6,G120/10000,F120,D120,$C$13,$C$14,$C$15,$C$8,,,TRUE,TRUE,FALSE,$C$29:$C$31,$C$33),{1;2;3;4;5})),"")</f>
        <v>#VALUE!</v>
      </c>
      <c r="U96" s="423" t="e">
        <v>#VALUE!</v>
      </c>
      <c r="V96" s="423" t="e">
        <v>#VALUE!</v>
      </c>
      <c r="W96" s="424" t="e">
        <v>#VALUE!</v>
      </c>
      <c r="X96" s="425" t="e">
        <v>#VALUE!</v>
      </c>
      <c r="Y96" s="426" t="e">
        <f t="shared" si="5"/>
        <v>#VALUE!</v>
      </c>
      <c r="Z96" s="427" t="e">
        <f t="shared" si="6"/>
        <v>#VALUE!</v>
      </c>
      <c r="AA96" s="426" t="e">
        <f t="shared" si="7"/>
        <v>#VALUE!</v>
      </c>
      <c r="AB96" s="428" t="e">
        <f t="shared" si="8"/>
        <v>#VALUE!</v>
      </c>
      <c r="AC96" s="427" t="e">
        <f t="shared" si="9"/>
        <v>#VALUE!</v>
      </c>
      <c r="AD96" s="227"/>
    </row>
    <row r="97" spans="1:30" customFormat="1" ht="15">
      <c r="A97" s="227"/>
      <c r="B97" s="276">
        <v>59</v>
      </c>
      <c r="C97" s="254" t="s">
        <v>147</v>
      </c>
      <c r="D97" s="255">
        <v>1</v>
      </c>
      <c r="E97" s="247"/>
      <c r="F97" s="232">
        <v>0.4</v>
      </c>
      <c r="G97" s="435">
        <v>100</v>
      </c>
      <c r="H97" s="386">
        <v>83</v>
      </c>
      <c r="I97" s="413"/>
      <c r="J97" s="413"/>
      <c r="K97" s="413"/>
      <c r="L97" s="413"/>
      <c r="M97" s="413"/>
      <c r="N97" s="413"/>
      <c r="O97" s="413"/>
      <c r="P97" s="413"/>
      <c r="Q97" s="413"/>
      <c r="R97" s="452"/>
      <c r="S97" s="443"/>
      <c r="T97" s="422" t="e" cm="1">
        <f t="array" ref="T97:X97">IF(AND($U$12,B121&lt;=$C$17,C121&lt;&gt;""),TRANSPOSE(INDEX(getcds(C121,$C$6,G121/10000,F121,D121,$C$13,$C$14,$C$15,$C$8,,,TRUE,TRUE,FALSE,$C$29:$C$31,$C$33),{1;2;3;4;5})),"")</f>
        <v>#VALUE!</v>
      </c>
      <c r="U97" s="423" t="e">
        <v>#VALUE!</v>
      </c>
      <c r="V97" s="423" t="e">
        <v>#VALUE!</v>
      </c>
      <c r="W97" s="424" t="e">
        <v>#VALUE!</v>
      </c>
      <c r="X97" s="425" t="e">
        <v>#VALUE!</v>
      </c>
      <c r="Y97" s="426" t="e">
        <f t="shared" si="5"/>
        <v>#VALUE!</v>
      </c>
      <c r="Z97" s="427" t="e">
        <f t="shared" si="6"/>
        <v>#VALUE!</v>
      </c>
      <c r="AA97" s="426" t="e">
        <f t="shared" si="7"/>
        <v>#VALUE!</v>
      </c>
      <c r="AB97" s="428" t="e">
        <f t="shared" si="8"/>
        <v>#VALUE!</v>
      </c>
      <c r="AC97" s="427" t="e">
        <f t="shared" si="9"/>
        <v>#VALUE!</v>
      </c>
      <c r="AD97" s="227"/>
    </row>
    <row r="98" spans="1:30" customFormat="1" ht="15">
      <c r="A98" s="227"/>
      <c r="B98" s="276">
        <v>60</v>
      </c>
      <c r="C98" s="254" t="s">
        <v>148</v>
      </c>
      <c r="D98" s="255">
        <v>1</v>
      </c>
      <c r="E98" s="247"/>
      <c r="F98" s="232">
        <v>0.4</v>
      </c>
      <c r="G98" s="435">
        <v>100</v>
      </c>
      <c r="H98" s="386">
        <v>84</v>
      </c>
      <c r="I98" s="413"/>
      <c r="J98" s="413"/>
      <c r="K98" s="413"/>
      <c r="L98" s="413"/>
      <c r="M98" s="413"/>
      <c r="N98" s="413"/>
      <c r="O98" s="413"/>
      <c r="P98" s="413"/>
      <c r="Q98" s="413"/>
      <c r="R98" s="452"/>
      <c r="S98" s="443"/>
      <c r="T98" s="422" cm="1">
        <f t="array" ref="T98:X98">IF(AND($U$12,B122&lt;=$C$17,C122&lt;&gt;""),TRANSPOSE(INDEX(getcds(C122,$C$6,G122/10000,F122,D122,$C$13,$C$14,$C$15,$C$8,,,TRUE,TRUE,FALSE,$C$29:$C$31,$C$33),{1;2;3;4;5})),"")</f>
        <v>0</v>
      </c>
      <c r="U98" s="423" t="e">
        <v>#REF!</v>
      </c>
      <c r="V98" s="423" t="e">
        <v>#REF!</v>
      </c>
      <c r="W98" s="424" t="e">
        <v>#REF!</v>
      </c>
      <c r="X98" s="425" t="e">
        <v>#REF!</v>
      </c>
      <c r="Y98" s="426">
        <f t="shared" ca="1" si="5"/>
        <v>0</v>
      </c>
      <c r="Z98" s="427" t="e">
        <f t="shared" ca="1" si="6"/>
        <v>#REF!</v>
      </c>
      <c r="AA98" s="426" t="str">
        <f t="shared" si="7"/>
        <v/>
      </c>
      <c r="AB98" s="428" t="e">
        <f t="shared" si="8"/>
        <v>#REF!</v>
      </c>
      <c r="AC98" s="427" t="str">
        <f t="shared" si="9"/>
        <v/>
      </c>
      <c r="AD98" s="227"/>
    </row>
    <row r="99" spans="1:30" customFormat="1" ht="15">
      <c r="A99" s="227"/>
      <c r="B99" s="276">
        <v>61</v>
      </c>
      <c r="C99" s="254" t="s">
        <v>149</v>
      </c>
      <c r="D99" s="255">
        <v>1</v>
      </c>
      <c r="E99" s="247"/>
      <c r="F99" s="232">
        <v>0.4</v>
      </c>
      <c r="G99" s="435">
        <v>100</v>
      </c>
      <c r="H99" s="386">
        <v>85</v>
      </c>
      <c r="I99" s="413"/>
      <c r="J99" s="413"/>
      <c r="K99" s="413"/>
      <c r="L99" s="413"/>
      <c r="M99" s="413"/>
      <c r="N99" s="413"/>
      <c r="O99" s="413"/>
      <c r="P99" s="413"/>
      <c r="Q99" s="413"/>
      <c r="R99" s="452"/>
      <c r="S99" s="443"/>
      <c r="T99" s="422" cm="1">
        <f t="array" ref="T99:X99">IF(AND($U$12,B123&lt;=$C$17,C123&lt;&gt;""),TRANSPOSE(INDEX(getcds(C123,$C$6,G123/10000,F123,D123,$C$13,$C$14,$C$15,$C$8,,,TRUE,TRUE,FALSE,$C$29:$C$31,$C$33),{1;2;3;4;5})),"")</f>
        <v>0</v>
      </c>
      <c r="U99" s="423" t="e">
        <v>#REF!</v>
      </c>
      <c r="V99" s="423" t="e">
        <v>#REF!</v>
      </c>
      <c r="W99" s="424" t="e">
        <v>#REF!</v>
      </c>
      <c r="X99" s="425" t="e">
        <v>#REF!</v>
      </c>
      <c r="Y99" s="426">
        <f t="shared" ca="1" si="5"/>
        <v>0</v>
      </c>
      <c r="Z99" s="427" t="e">
        <f t="shared" ca="1" si="6"/>
        <v>#REF!</v>
      </c>
      <c r="AA99" s="426" t="str">
        <f t="shared" si="7"/>
        <v/>
      </c>
      <c r="AB99" s="428" t="e">
        <f t="shared" si="8"/>
        <v>#REF!</v>
      </c>
      <c r="AC99" s="427" t="str">
        <f t="shared" si="9"/>
        <v/>
      </c>
      <c r="AD99" s="227"/>
    </row>
    <row r="100" spans="1:30" customFormat="1" ht="15">
      <c r="A100" s="227"/>
      <c r="B100" s="276">
        <v>62</v>
      </c>
      <c r="C100" s="254" t="s">
        <v>150</v>
      </c>
      <c r="D100" s="255">
        <v>1</v>
      </c>
      <c r="E100" s="247"/>
      <c r="F100" s="232">
        <v>0.4</v>
      </c>
      <c r="G100" s="435">
        <v>100</v>
      </c>
      <c r="H100" s="386">
        <v>86</v>
      </c>
      <c r="I100" s="413"/>
      <c r="J100" s="413"/>
      <c r="K100" s="413"/>
      <c r="L100" s="413"/>
      <c r="M100" s="413"/>
      <c r="N100" s="413"/>
      <c r="O100" s="413"/>
      <c r="P100" s="413"/>
      <c r="Q100" s="413"/>
      <c r="R100" s="452"/>
      <c r="S100" s="443"/>
      <c r="T100" s="422" cm="1">
        <f t="array" ref="T100:X100">IF(AND($U$12,B124&lt;=$C$17,C124&lt;&gt;""),TRANSPOSE(INDEX(getcds(C124,$C$6,G124/10000,F124,D124,$C$13,$C$14,$C$15,$C$8,,,TRUE,TRUE,FALSE,$C$29:$C$31,$C$33),{1;2;3;4;5})),"")</f>
        <v>0</v>
      </c>
      <c r="U100" s="423" t="e">
        <v>#REF!</v>
      </c>
      <c r="V100" s="423" t="e">
        <v>#REF!</v>
      </c>
      <c r="W100" s="424" t="e">
        <v>#REF!</v>
      </c>
      <c r="X100" s="425" t="e">
        <v>#REF!</v>
      </c>
      <c r="Y100" s="426">
        <f t="shared" ca="1" si="5"/>
        <v>0</v>
      </c>
      <c r="Z100" s="427" t="e">
        <f t="shared" ca="1" si="6"/>
        <v>#REF!</v>
      </c>
      <c r="AA100" s="426" t="str">
        <f t="shared" si="7"/>
        <v/>
      </c>
      <c r="AB100" s="428" t="e">
        <f t="shared" si="8"/>
        <v>#REF!</v>
      </c>
      <c r="AC100" s="427" t="str">
        <f t="shared" si="9"/>
        <v/>
      </c>
      <c r="AD100" s="227"/>
    </row>
    <row r="101" spans="1:30" customFormat="1" ht="15">
      <c r="A101" s="227"/>
      <c r="B101" s="276">
        <v>63</v>
      </c>
      <c r="C101" s="254" t="s">
        <v>151</v>
      </c>
      <c r="D101" s="255">
        <v>1</v>
      </c>
      <c r="E101" s="247"/>
      <c r="F101" s="232">
        <v>0.4</v>
      </c>
      <c r="G101" s="435">
        <v>100</v>
      </c>
      <c r="H101" s="386">
        <v>87</v>
      </c>
      <c r="I101" s="413"/>
      <c r="J101" s="413"/>
      <c r="K101" s="413"/>
      <c r="L101" s="413"/>
      <c r="M101" s="413"/>
      <c r="N101" s="413"/>
      <c r="O101" s="413"/>
      <c r="P101" s="413"/>
      <c r="Q101" s="413"/>
      <c r="R101" s="452"/>
      <c r="S101" s="443"/>
      <c r="T101" s="422" t="e" cm="1">
        <f t="array" ref="T101:X101">IF(AND($U$12,B125&lt;=$C$17,C125&lt;&gt;""),TRANSPOSE(INDEX(getcds(C125,$C$6,G125/10000,F125,D125,$C$13,$C$14,$C$15,$C$8,,,TRUE,TRUE,FALSE,$C$29:$C$31,$C$33),{1;2;3;4;5})),"")</f>
        <v>#VALUE!</v>
      </c>
      <c r="U101" s="423" t="e">
        <v>#VALUE!</v>
      </c>
      <c r="V101" s="423" t="e">
        <v>#VALUE!</v>
      </c>
      <c r="W101" s="424" t="e">
        <v>#VALUE!</v>
      </c>
      <c r="X101" s="425" t="e">
        <v>#VALUE!</v>
      </c>
      <c r="Y101" s="426" t="e">
        <f t="shared" si="5"/>
        <v>#VALUE!</v>
      </c>
      <c r="Z101" s="427" t="e">
        <f t="shared" si="6"/>
        <v>#VALUE!</v>
      </c>
      <c r="AA101" s="426" t="e">
        <f t="shared" si="7"/>
        <v>#VALUE!</v>
      </c>
      <c r="AB101" s="428" t="e">
        <f t="shared" si="8"/>
        <v>#VALUE!</v>
      </c>
      <c r="AC101" s="427" t="e">
        <f t="shared" si="9"/>
        <v>#VALUE!</v>
      </c>
      <c r="AD101" s="227"/>
    </row>
    <row r="102" spans="1:30" customFormat="1" ht="15">
      <c r="A102" s="227"/>
      <c r="B102" s="276">
        <v>64</v>
      </c>
      <c r="C102" s="254" t="s">
        <v>152</v>
      </c>
      <c r="D102" s="255">
        <v>1</v>
      </c>
      <c r="E102" s="247"/>
      <c r="F102" s="232">
        <v>0.4</v>
      </c>
      <c r="G102" s="435">
        <v>100</v>
      </c>
      <c r="H102" s="386">
        <v>88</v>
      </c>
      <c r="I102" s="413"/>
      <c r="J102" s="413"/>
      <c r="K102" s="413"/>
      <c r="L102" s="413"/>
      <c r="M102" s="413"/>
      <c r="N102" s="413"/>
      <c r="O102" s="413"/>
      <c r="P102" s="413"/>
      <c r="Q102" s="413"/>
      <c r="R102" s="452"/>
      <c r="S102" s="443"/>
      <c r="T102" s="422" t="e" cm="1">
        <f t="array" ref="T102:X102">IF(AND($U$12,B126&lt;=$C$17,C126&lt;&gt;""),TRANSPOSE(INDEX(getcds(C126,$C$6,G126/10000,F126,D126,$C$13,$C$14,$C$15,$C$8,,,TRUE,TRUE,FALSE,$C$29:$C$31,$C$33),{1;2;3;4;5})),"")</f>
        <v>#VALUE!</v>
      </c>
      <c r="U102" s="423" t="e">
        <v>#VALUE!</v>
      </c>
      <c r="V102" s="423" t="e">
        <v>#VALUE!</v>
      </c>
      <c r="W102" s="424" t="e">
        <v>#VALUE!</v>
      </c>
      <c r="X102" s="425" t="e">
        <v>#VALUE!</v>
      </c>
      <c r="Y102" s="426" t="e">
        <f t="shared" si="5"/>
        <v>#VALUE!</v>
      </c>
      <c r="Z102" s="427" t="e">
        <f t="shared" si="6"/>
        <v>#VALUE!</v>
      </c>
      <c r="AA102" s="426" t="e">
        <f t="shared" si="7"/>
        <v>#VALUE!</v>
      </c>
      <c r="AB102" s="428" t="e">
        <f t="shared" si="8"/>
        <v>#VALUE!</v>
      </c>
      <c r="AC102" s="427" t="e">
        <f t="shared" si="9"/>
        <v>#VALUE!</v>
      </c>
      <c r="AD102" s="227"/>
    </row>
    <row r="103" spans="1:30" customFormat="1" ht="15">
      <c r="A103" s="227"/>
      <c r="B103" s="276">
        <v>65</v>
      </c>
      <c r="C103" s="254" t="s">
        <v>153</v>
      </c>
      <c r="D103" s="255">
        <v>1</v>
      </c>
      <c r="E103" s="247"/>
      <c r="F103" s="232">
        <v>0.4</v>
      </c>
      <c r="G103" s="435">
        <v>100</v>
      </c>
      <c r="H103" s="386">
        <v>89</v>
      </c>
      <c r="I103" s="413"/>
      <c r="J103" s="413"/>
      <c r="K103" s="413"/>
      <c r="L103" s="413"/>
      <c r="M103" s="413"/>
      <c r="N103" s="413"/>
      <c r="O103" s="413"/>
      <c r="P103" s="413"/>
      <c r="Q103" s="413"/>
      <c r="R103" s="452"/>
      <c r="S103" s="443"/>
      <c r="T103" s="422" t="e" cm="1">
        <f t="array" ref="T103:X103">IF(AND($U$12,B127&lt;=$C$17,C127&lt;&gt;""),TRANSPOSE(INDEX(getcds(C127,$C$6,G127/10000,F127,D127,$C$13,$C$14,$C$15,$C$8,,,TRUE,TRUE,FALSE,$C$29:$C$31,$C$33),{1;2;3;4;5})),"")</f>
        <v>#VALUE!</v>
      </c>
      <c r="U103" s="423" t="e">
        <v>#VALUE!</v>
      </c>
      <c r="V103" s="423" t="e">
        <v>#VALUE!</v>
      </c>
      <c r="W103" s="424" t="e">
        <v>#VALUE!</v>
      </c>
      <c r="X103" s="425" t="e">
        <v>#VALUE!</v>
      </c>
      <c r="Y103" s="426" t="e">
        <f t="shared" si="5"/>
        <v>#VALUE!</v>
      </c>
      <c r="Z103" s="427" t="e">
        <f t="shared" si="6"/>
        <v>#VALUE!</v>
      </c>
      <c r="AA103" s="426" t="e">
        <f t="shared" si="7"/>
        <v>#VALUE!</v>
      </c>
      <c r="AB103" s="428" t="e">
        <f t="shared" si="8"/>
        <v>#VALUE!</v>
      </c>
      <c r="AC103" s="427" t="e">
        <f t="shared" si="9"/>
        <v>#VALUE!</v>
      </c>
      <c r="AD103" s="227"/>
    </row>
    <row r="104" spans="1:30" customFormat="1" ht="15">
      <c r="A104" s="227"/>
      <c r="B104" s="276">
        <v>66</v>
      </c>
      <c r="C104" s="254" t="s">
        <v>154</v>
      </c>
      <c r="D104" s="255">
        <v>1</v>
      </c>
      <c r="E104" s="247"/>
      <c r="F104" s="232">
        <v>0.4</v>
      </c>
      <c r="G104" s="435">
        <v>100</v>
      </c>
      <c r="H104" s="386">
        <v>90</v>
      </c>
      <c r="I104" s="413"/>
      <c r="J104" s="413"/>
      <c r="K104" s="413"/>
      <c r="L104" s="413"/>
      <c r="M104" s="413"/>
      <c r="N104" s="413"/>
      <c r="O104" s="413"/>
      <c r="P104" s="413"/>
      <c r="Q104" s="413"/>
      <c r="R104" s="452"/>
      <c r="S104" s="443"/>
      <c r="T104" s="422" t="e" cm="1">
        <f t="array" ref="T104:X104">IF(AND($U$12,B128&lt;=$C$17,C128&lt;&gt;""),TRANSPOSE(INDEX(getcds(C128,$C$6,G128/10000,F128,D128,$C$13,$C$14,$C$15,$C$8,,,TRUE,TRUE,FALSE,$C$29:$C$31,$C$33),{1;2;3;4;5})),"")</f>
        <v>#VALUE!</v>
      </c>
      <c r="U104" s="423" t="e">
        <v>#VALUE!</v>
      </c>
      <c r="V104" s="423" t="e">
        <v>#VALUE!</v>
      </c>
      <c r="W104" s="424" t="e">
        <v>#VALUE!</v>
      </c>
      <c r="X104" s="425" t="e">
        <v>#VALUE!</v>
      </c>
      <c r="Y104" s="426" t="e">
        <f t="shared" si="5"/>
        <v>#VALUE!</v>
      </c>
      <c r="Z104" s="427" t="e">
        <f t="shared" si="6"/>
        <v>#VALUE!</v>
      </c>
      <c r="AA104" s="426" t="e">
        <f t="shared" si="7"/>
        <v>#VALUE!</v>
      </c>
      <c r="AB104" s="428" t="e">
        <f t="shared" si="8"/>
        <v>#VALUE!</v>
      </c>
      <c r="AC104" s="427" t="e">
        <f t="shared" si="9"/>
        <v>#VALUE!</v>
      </c>
      <c r="AD104" s="227"/>
    </row>
    <row r="105" spans="1:30" customFormat="1" ht="15">
      <c r="A105" s="227"/>
      <c r="B105" s="276">
        <v>67</v>
      </c>
      <c r="C105" s="254" t="s">
        <v>155</v>
      </c>
      <c r="D105" s="255">
        <v>1</v>
      </c>
      <c r="E105" s="247"/>
      <c r="F105" s="232">
        <v>0.4</v>
      </c>
      <c r="G105" s="435">
        <v>100</v>
      </c>
      <c r="H105" s="386">
        <v>91</v>
      </c>
      <c r="I105" s="413"/>
      <c r="J105" s="413"/>
      <c r="K105" s="413"/>
      <c r="L105" s="413"/>
      <c r="M105" s="413"/>
      <c r="N105" s="413"/>
      <c r="O105" s="413"/>
      <c r="P105" s="413"/>
      <c r="Q105" s="413"/>
      <c r="R105" s="452"/>
      <c r="S105" s="443"/>
      <c r="T105" s="422" t="e" cm="1">
        <f t="array" ref="T105:X105">IF(AND($U$12,B129&lt;=$C$17,C129&lt;&gt;""),TRANSPOSE(INDEX(getcds(C129,$C$6,G129/10000,F129,D129,$C$13,$C$14,$C$15,$C$8,,,TRUE,TRUE,FALSE,$C$29:$C$31,$C$33),{1;2;3;4;5})),"")</f>
        <v>#VALUE!</v>
      </c>
      <c r="U105" s="423" t="e">
        <v>#VALUE!</v>
      </c>
      <c r="V105" s="423" t="e">
        <v>#VALUE!</v>
      </c>
      <c r="W105" s="424" t="e">
        <v>#VALUE!</v>
      </c>
      <c r="X105" s="425" t="e">
        <v>#VALUE!</v>
      </c>
      <c r="Y105" s="426" t="e">
        <f t="shared" si="5"/>
        <v>#VALUE!</v>
      </c>
      <c r="Z105" s="427" t="e">
        <f t="shared" si="6"/>
        <v>#VALUE!</v>
      </c>
      <c r="AA105" s="426" t="e">
        <f t="shared" si="7"/>
        <v>#VALUE!</v>
      </c>
      <c r="AB105" s="428" t="e">
        <f t="shared" si="8"/>
        <v>#VALUE!</v>
      </c>
      <c r="AC105" s="427" t="e">
        <f t="shared" si="9"/>
        <v>#VALUE!</v>
      </c>
      <c r="AD105" s="227"/>
    </row>
    <row r="106" spans="1:30" customFormat="1" ht="15">
      <c r="A106" s="227"/>
      <c r="B106" s="276">
        <v>68</v>
      </c>
      <c r="C106" s="254" t="s">
        <v>156</v>
      </c>
      <c r="D106" s="255">
        <v>1</v>
      </c>
      <c r="E106" s="247"/>
      <c r="F106" s="232">
        <v>0.4</v>
      </c>
      <c r="G106" s="435">
        <v>100</v>
      </c>
      <c r="H106" s="386">
        <v>92</v>
      </c>
      <c r="I106" s="413"/>
      <c r="J106" s="413"/>
      <c r="K106" s="413"/>
      <c r="L106" s="413"/>
      <c r="M106" s="413"/>
      <c r="N106" s="413"/>
      <c r="O106" s="413"/>
      <c r="P106" s="413"/>
      <c r="Q106" s="413"/>
      <c r="R106" s="452"/>
      <c r="S106" s="443"/>
      <c r="T106" s="422" cm="1">
        <f t="array" ref="T106:X106">IF(AND($U$12,B130&lt;=$C$17,C130&lt;&gt;""),TRANSPOSE(INDEX(getcds(C130,$C$6,G130/10000,F130,D130,$C$13,$C$14,$C$15,$C$8,,,TRUE,TRUE,FALSE,$C$29:$C$31,$C$33),{1;2;3;4;5})),"")</f>
        <v>0</v>
      </c>
      <c r="U106" s="423" t="e">
        <v>#REF!</v>
      </c>
      <c r="V106" s="423" t="e">
        <v>#REF!</v>
      </c>
      <c r="W106" s="424" t="e">
        <v>#REF!</v>
      </c>
      <c r="X106" s="425" t="e">
        <v>#REF!</v>
      </c>
      <c r="Y106" s="426">
        <f t="shared" ca="1" si="5"/>
        <v>0</v>
      </c>
      <c r="Z106" s="427" t="e">
        <f t="shared" ca="1" si="6"/>
        <v>#REF!</v>
      </c>
      <c r="AA106" s="426" t="str">
        <f t="shared" si="7"/>
        <v/>
      </c>
      <c r="AB106" s="428" t="e">
        <f t="shared" si="8"/>
        <v>#REF!</v>
      </c>
      <c r="AC106" s="427" t="str">
        <f t="shared" si="9"/>
        <v/>
      </c>
      <c r="AD106" s="227"/>
    </row>
    <row r="107" spans="1:30" customFormat="1" ht="15">
      <c r="A107" s="227"/>
      <c r="B107" s="276">
        <v>69</v>
      </c>
      <c r="C107" s="254" t="s">
        <v>157</v>
      </c>
      <c r="D107" s="255">
        <v>1</v>
      </c>
      <c r="E107" s="247"/>
      <c r="F107" s="232">
        <v>0.4</v>
      </c>
      <c r="G107" s="435">
        <v>100</v>
      </c>
      <c r="H107" s="386">
        <v>93</v>
      </c>
      <c r="I107" s="413"/>
      <c r="J107" s="413"/>
      <c r="K107" s="413"/>
      <c r="L107" s="413"/>
      <c r="M107" s="413"/>
      <c r="N107" s="413"/>
      <c r="O107" s="413"/>
      <c r="P107" s="413"/>
      <c r="Q107" s="413"/>
      <c r="R107" s="452"/>
      <c r="S107" s="443"/>
      <c r="T107" s="422" cm="1">
        <f t="array" ref="T107:X107">IF(AND($U$12,B131&lt;=$C$17,C131&lt;&gt;""),TRANSPOSE(INDEX(getcds(C131,$C$6,G131/10000,F131,D131,$C$13,$C$14,$C$15,$C$8,,,TRUE,TRUE,FALSE,$C$29:$C$31,$C$33),{1;2;3;4;5})),"")</f>
        <v>0</v>
      </c>
      <c r="U107" s="423" t="e">
        <v>#REF!</v>
      </c>
      <c r="V107" s="423" t="e">
        <v>#REF!</v>
      </c>
      <c r="W107" s="424" t="e">
        <v>#REF!</v>
      </c>
      <c r="X107" s="425" t="e">
        <v>#REF!</v>
      </c>
      <c r="Y107" s="426">
        <f t="shared" ca="1" si="5"/>
        <v>0</v>
      </c>
      <c r="Z107" s="427" t="e">
        <f t="shared" ca="1" si="6"/>
        <v>#REF!</v>
      </c>
      <c r="AA107" s="426" t="str">
        <f t="shared" si="7"/>
        <v/>
      </c>
      <c r="AB107" s="428" t="e">
        <f t="shared" si="8"/>
        <v>#REF!</v>
      </c>
      <c r="AC107" s="427" t="str">
        <f t="shared" si="9"/>
        <v/>
      </c>
      <c r="AD107" s="227"/>
    </row>
    <row r="108" spans="1:30" customFormat="1" ht="15">
      <c r="A108" s="227"/>
      <c r="B108" s="276">
        <v>70</v>
      </c>
      <c r="C108" s="254" t="s">
        <v>158</v>
      </c>
      <c r="D108" s="255">
        <v>1</v>
      </c>
      <c r="E108" s="247"/>
      <c r="F108" s="232">
        <v>0.4</v>
      </c>
      <c r="G108" s="435">
        <v>100</v>
      </c>
      <c r="H108" s="386">
        <v>94</v>
      </c>
      <c r="I108" s="413"/>
      <c r="J108" s="413"/>
      <c r="K108" s="413"/>
      <c r="L108" s="413"/>
      <c r="M108" s="413"/>
      <c r="N108" s="413"/>
      <c r="O108" s="413"/>
      <c r="P108" s="413"/>
      <c r="Q108" s="413"/>
      <c r="R108" s="452"/>
      <c r="S108" s="443"/>
      <c r="T108" s="422" cm="1">
        <f t="array" ref="T108:X108">IF(AND($U$12,B132&lt;=$C$17,C132&lt;&gt;""),TRANSPOSE(INDEX(getcds(C132,$C$6,G132/10000,F132,D132,$C$13,$C$14,$C$15,$C$8,,,TRUE,TRUE,FALSE,$C$29:$C$31,$C$33),{1;2;3;4;5})),"")</f>
        <v>0</v>
      </c>
      <c r="U108" s="423" t="e">
        <v>#REF!</v>
      </c>
      <c r="V108" s="423" t="e">
        <v>#REF!</v>
      </c>
      <c r="W108" s="424" t="e">
        <v>#REF!</v>
      </c>
      <c r="X108" s="425" t="e">
        <v>#REF!</v>
      </c>
      <c r="Y108" s="426">
        <f t="shared" ca="1" si="5"/>
        <v>0</v>
      </c>
      <c r="Z108" s="427" t="e">
        <f t="shared" ca="1" si="6"/>
        <v>#REF!</v>
      </c>
      <c r="AA108" s="426" t="str">
        <f t="shared" si="7"/>
        <v/>
      </c>
      <c r="AB108" s="428" t="e">
        <f t="shared" si="8"/>
        <v>#REF!</v>
      </c>
      <c r="AC108" s="427" t="str">
        <f t="shared" si="9"/>
        <v/>
      </c>
      <c r="AD108" s="227"/>
    </row>
    <row r="109" spans="1:30" customFormat="1" ht="15">
      <c r="A109" s="227"/>
      <c r="B109" s="276">
        <v>71</v>
      </c>
      <c r="C109" s="254" t="s">
        <v>159</v>
      </c>
      <c r="D109" s="255">
        <v>1</v>
      </c>
      <c r="E109" s="247"/>
      <c r="F109" s="232">
        <v>0.4</v>
      </c>
      <c r="G109" s="435">
        <v>100</v>
      </c>
      <c r="H109" s="386">
        <v>95</v>
      </c>
      <c r="I109" s="413"/>
      <c r="J109" s="413"/>
      <c r="K109" s="413"/>
      <c r="L109" s="413"/>
      <c r="M109" s="413"/>
      <c r="N109" s="413"/>
      <c r="O109" s="413"/>
      <c r="P109" s="413"/>
      <c r="Q109" s="413"/>
      <c r="R109" s="452"/>
      <c r="S109" s="443"/>
      <c r="T109" s="422" cm="1">
        <f t="array" ref="T109:X109">IF(AND($U$12,B133&lt;=$C$17,C133&lt;&gt;""),TRANSPOSE(INDEX(getcds(C133,$C$6,G133/10000,F133,D133,$C$13,$C$14,$C$15,$C$8,,,TRUE,TRUE,FALSE,$C$29:$C$31,$C$33),{1;2;3;4;5})),"")</f>
        <v>0</v>
      </c>
      <c r="U109" s="423" t="e">
        <v>#REF!</v>
      </c>
      <c r="V109" s="423" t="e">
        <v>#REF!</v>
      </c>
      <c r="W109" s="424" t="e">
        <v>#REF!</v>
      </c>
      <c r="X109" s="425" t="e">
        <v>#REF!</v>
      </c>
      <c r="Y109" s="426">
        <f t="shared" ca="1" si="5"/>
        <v>0</v>
      </c>
      <c r="Z109" s="427" t="e">
        <f t="shared" ca="1" si="6"/>
        <v>#REF!</v>
      </c>
      <c r="AA109" s="426" t="str">
        <f t="shared" si="7"/>
        <v/>
      </c>
      <c r="AB109" s="428" t="e">
        <f t="shared" si="8"/>
        <v>#REF!</v>
      </c>
      <c r="AC109" s="427" t="str">
        <f t="shared" si="9"/>
        <v/>
      </c>
      <c r="AD109" s="227"/>
    </row>
    <row r="110" spans="1:30" customFormat="1" ht="15">
      <c r="A110" s="227"/>
      <c r="B110" s="276">
        <v>72</v>
      </c>
      <c r="C110" s="254" t="s">
        <v>160</v>
      </c>
      <c r="D110" s="255">
        <v>1</v>
      </c>
      <c r="E110" s="247"/>
      <c r="F110" s="232">
        <v>0.4</v>
      </c>
      <c r="G110" s="435">
        <v>100</v>
      </c>
      <c r="H110" s="386">
        <v>96</v>
      </c>
      <c r="I110" s="413"/>
      <c r="J110" s="413"/>
      <c r="K110" s="413"/>
      <c r="L110" s="413"/>
      <c r="M110" s="413"/>
      <c r="N110" s="413"/>
      <c r="O110" s="413"/>
      <c r="P110" s="413"/>
      <c r="Q110" s="413"/>
      <c r="R110" s="452"/>
      <c r="S110" s="443"/>
      <c r="T110" s="422" t="e" cm="1">
        <f t="array" ref="T110:X110">IF(AND($U$12,B134&lt;=$C$17,C134&lt;&gt;""),TRANSPOSE(INDEX(getcds(C134,$C$6,G134/10000,F134,D134,$C$13,$C$14,$C$15,$C$8,,,TRUE,TRUE,FALSE,$C$29:$C$31,$C$33),{1;2;3;4;5})),"")</f>
        <v>#VALUE!</v>
      </c>
      <c r="U110" s="423" t="e">
        <v>#VALUE!</v>
      </c>
      <c r="V110" s="423" t="e">
        <v>#VALUE!</v>
      </c>
      <c r="W110" s="424" t="e">
        <v>#VALUE!</v>
      </c>
      <c r="X110" s="425" t="e">
        <v>#VALUE!</v>
      </c>
      <c r="Y110" s="426" t="e">
        <f t="shared" si="5"/>
        <v>#VALUE!</v>
      </c>
      <c r="Z110" s="427" t="e">
        <f t="shared" si="6"/>
        <v>#VALUE!</v>
      </c>
      <c r="AA110" s="426" t="e">
        <f t="shared" si="7"/>
        <v>#VALUE!</v>
      </c>
      <c r="AB110" s="428" t="e">
        <f t="shared" si="8"/>
        <v>#VALUE!</v>
      </c>
      <c r="AC110" s="427" t="e">
        <f t="shared" si="9"/>
        <v>#VALUE!</v>
      </c>
      <c r="AD110" s="227"/>
    </row>
    <row r="111" spans="1:30" customFormat="1" ht="15">
      <c r="A111" s="227"/>
      <c r="B111" s="276">
        <v>73</v>
      </c>
      <c r="C111" s="254" t="s">
        <v>161</v>
      </c>
      <c r="D111" s="255">
        <v>1</v>
      </c>
      <c r="E111" s="247"/>
      <c r="F111" s="232">
        <v>0.4</v>
      </c>
      <c r="G111" s="435">
        <v>100</v>
      </c>
      <c r="H111" s="386">
        <v>97</v>
      </c>
      <c r="I111" s="413"/>
      <c r="J111" s="413"/>
      <c r="K111" s="413"/>
      <c r="L111" s="413"/>
      <c r="M111" s="413"/>
      <c r="N111" s="413"/>
      <c r="O111" s="413"/>
      <c r="P111" s="413"/>
      <c r="Q111" s="413"/>
      <c r="R111" s="452"/>
      <c r="S111" s="443"/>
      <c r="T111" s="422" t="e" cm="1">
        <f t="array" ref="T111:X111">IF(AND($U$12,B135&lt;=$C$17,C135&lt;&gt;""),TRANSPOSE(INDEX(getcds(C135,$C$6,G135/10000,F135,D135,$C$13,$C$14,$C$15,$C$8,,,TRUE,TRUE,FALSE,$C$29:$C$31,$C$33),{1;2;3;4;5})),"")</f>
        <v>#VALUE!</v>
      </c>
      <c r="U111" s="423" t="e">
        <v>#VALUE!</v>
      </c>
      <c r="V111" s="423" t="e">
        <v>#VALUE!</v>
      </c>
      <c r="W111" s="424" t="e">
        <v>#VALUE!</v>
      </c>
      <c r="X111" s="425" t="e">
        <v>#VALUE!</v>
      </c>
      <c r="Y111" s="426" t="e">
        <f t="shared" si="5"/>
        <v>#VALUE!</v>
      </c>
      <c r="Z111" s="427" t="e">
        <f t="shared" si="6"/>
        <v>#VALUE!</v>
      </c>
      <c r="AA111" s="426" t="e">
        <f t="shared" si="7"/>
        <v>#VALUE!</v>
      </c>
      <c r="AB111" s="428" t="e">
        <f t="shared" si="8"/>
        <v>#VALUE!</v>
      </c>
      <c r="AC111" s="427" t="e">
        <f t="shared" si="9"/>
        <v>#VALUE!</v>
      </c>
      <c r="AD111" s="227"/>
    </row>
    <row r="112" spans="1:30" customFormat="1" ht="15">
      <c r="A112" s="227"/>
      <c r="B112" s="276">
        <v>74</v>
      </c>
      <c r="C112" s="254" t="s">
        <v>162</v>
      </c>
      <c r="D112" s="255">
        <v>1</v>
      </c>
      <c r="E112" s="247"/>
      <c r="F112" s="232">
        <v>0.4</v>
      </c>
      <c r="G112" s="435">
        <v>100</v>
      </c>
      <c r="H112" s="386">
        <v>98</v>
      </c>
      <c r="I112" s="413"/>
      <c r="J112" s="413"/>
      <c r="K112" s="413"/>
      <c r="L112" s="413"/>
      <c r="M112" s="413"/>
      <c r="N112" s="413"/>
      <c r="O112" s="413"/>
      <c r="P112" s="413"/>
      <c r="Q112" s="413"/>
      <c r="R112" s="452"/>
      <c r="S112" s="443"/>
      <c r="T112" s="422" t="e" cm="1">
        <f t="array" ref="T112:X112">IF(AND($U$12,B136&lt;=$C$17,C136&lt;&gt;""),TRANSPOSE(INDEX(getcds(C136,$C$6,G136/10000,F136,D136,$C$13,$C$14,$C$15,$C$8,,,TRUE,TRUE,FALSE,$C$29:$C$31,$C$33),{1;2;3;4;5})),"")</f>
        <v>#VALUE!</v>
      </c>
      <c r="U112" s="423" t="e">
        <v>#VALUE!</v>
      </c>
      <c r="V112" s="423" t="e">
        <v>#VALUE!</v>
      </c>
      <c r="W112" s="424" t="e">
        <v>#VALUE!</v>
      </c>
      <c r="X112" s="425" t="e">
        <v>#VALUE!</v>
      </c>
      <c r="Y112" s="426" t="e">
        <f t="shared" si="5"/>
        <v>#VALUE!</v>
      </c>
      <c r="Z112" s="427" t="e">
        <f t="shared" si="6"/>
        <v>#VALUE!</v>
      </c>
      <c r="AA112" s="426" t="e">
        <f t="shared" si="7"/>
        <v>#VALUE!</v>
      </c>
      <c r="AB112" s="428" t="e">
        <f t="shared" si="8"/>
        <v>#VALUE!</v>
      </c>
      <c r="AC112" s="427" t="e">
        <f t="shared" si="9"/>
        <v>#VALUE!</v>
      </c>
      <c r="AD112" s="227"/>
    </row>
    <row r="113" spans="1:30" customFormat="1" ht="15">
      <c r="A113" s="227"/>
      <c r="B113" s="276">
        <v>75</v>
      </c>
      <c r="C113" s="254" t="s">
        <v>163</v>
      </c>
      <c r="D113" s="255">
        <v>1</v>
      </c>
      <c r="E113" s="247"/>
      <c r="F113" s="232">
        <v>0.4</v>
      </c>
      <c r="G113" s="435">
        <v>100</v>
      </c>
      <c r="H113" s="386">
        <v>99</v>
      </c>
      <c r="I113" s="413"/>
      <c r="J113" s="413"/>
      <c r="K113" s="413"/>
      <c r="L113" s="413"/>
      <c r="M113" s="413"/>
      <c r="N113" s="413"/>
      <c r="O113" s="413"/>
      <c r="P113" s="413"/>
      <c r="Q113" s="413"/>
      <c r="R113" s="452"/>
      <c r="S113" s="443"/>
      <c r="T113" s="422" cm="1">
        <f t="array" ref="T113:X113">IF(AND($U$12,B137&lt;=$C$17,C137&lt;&gt;""),TRANSPOSE(INDEX(getcds(C137,$C$6,G137/10000,F137,D137,$C$13,$C$14,$C$15,$C$8,,,TRUE,TRUE,FALSE,$C$29:$C$31,$C$33),{1;2;3;4;5})),"")</f>
        <v>0</v>
      </c>
      <c r="U113" s="423" t="e">
        <v>#REF!</v>
      </c>
      <c r="V113" s="423" t="e">
        <v>#REF!</v>
      </c>
      <c r="W113" s="424" t="e">
        <v>#REF!</v>
      </c>
      <c r="X113" s="425" t="e">
        <v>#REF!</v>
      </c>
      <c r="Y113" s="426">
        <f t="shared" ca="1" si="5"/>
        <v>0</v>
      </c>
      <c r="Z113" s="427" t="e">
        <f t="shared" ca="1" si="6"/>
        <v>#REF!</v>
      </c>
      <c r="AA113" s="426" t="str">
        <f t="shared" si="7"/>
        <v/>
      </c>
      <c r="AB113" s="428" t="e">
        <f t="shared" si="8"/>
        <v>#REF!</v>
      </c>
      <c r="AC113" s="427" t="str">
        <f t="shared" si="9"/>
        <v/>
      </c>
      <c r="AD113" s="227"/>
    </row>
    <row r="114" spans="1:30" customFormat="1" ht="15">
      <c r="A114" s="227"/>
      <c r="B114" s="276">
        <v>76</v>
      </c>
      <c r="C114" s="254" t="s">
        <v>164</v>
      </c>
      <c r="D114" s="255">
        <v>1</v>
      </c>
      <c r="E114" s="247"/>
      <c r="F114" s="232">
        <v>0.4</v>
      </c>
      <c r="G114" s="435">
        <v>100</v>
      </c>
      <c r="H114" s="386">
        <v>100</v>
      </c>
      <c r="I114" s="413"/>
      <c r="J114" s="413"/>
      <c r="K114" s="413"/>
      <c r="L114" s="413"/>
      <c r="M114" s="413"/>
      <c r="N114" s="413"/>
      <c r="O114" s="413"/>
      <c r="P114" s="413"/>
      <c r="Q114" s="413"/>
      <c r="R114" s="452"/>
      <c r="S114" s="443"/>
      <c r="T114" s="422" t="e" cm="1">
        <f t="array" ref="T114:X114">IF(AND($U$12,B138&lt;=$C$17,C138&lt;&gt;""),TRANSPOSE(INDEX(getcds(C138,$C$6,G138/10000,F138,D138,$C$13,$C$14,$C$15,$C$8,,,TRUE,TRUE,FALSE,$C$29:$C$31,$C$33),{1;2;3;4;5})),"")</f>
        <v>#VALUE!</v>
      </c>
      <c r="U114" s="423" t="e">
        <v>#VALUE!</v>
      </c>
      <c r="V114" s="423" t="e">
        <v>#VALUE!</v>
      </c>
      <c r="W114" s="424" t="e">
        <v>#VALUE!</v>
      </c>
      <c r="X114" s="425" t="e">
        <v>#VALUE!</v>
      </c>
      <c r="Y114" s="426" t="e">
        <f t="shared" si="5"/>
        <v>#VALUE!</v>
      </c>
      <c r="Z114" s="427" t="e">
        <f t="shared" si="6"/>
        <v>#VALUE!</v>
      </c>
      <c r="AA114" s="426" t="e">
        <f t="shared" si="7"/>
        <v>#VALUE!</v>
      </c>
      <c r="AB114" s="428" t="e">
        <f t="shared" si="8"/>
        <v>#VALUE!</v>
      </c>
      <c r="AC114" s="427" t="e">
        <f t="shared" si="9"/>
        <v>#VALUE!</v>
      </c>
      <c r="AD114" s="227"/>
    </row>
    <row r="115" spans="1:30" customFormat="1" ht="15">
      <c r="A115" s="227"/>
      <c r="B115" s="276">
        <v>77</v>
      </c>
      <c r="C115" s="254" t="s">
        <v>165</v>
      </c>
      <c r="D115" s="255">
        <v>1</v>
      </c>
      <c r="E115" s="247"/>
      <c r="F115" s="232">
        <v>0.4</v>
      </c>
      <c r="G115" s="435">
        <v>100</v>
      </c>
      <c r="H115" s="386">
        <v>101</v>
      </c>
      <c r="I115" s="404"/>
      <c r="J115" s="404"/>
      <c r="K115" s="413"/>
      <c r="L115" s="413"/>
      <c r="M115" s="413"/>
      <c r="N115" s="413"/>
      <c r="O115" s="413"/>
      <c r="P115" s="413"/>
      <c r="Q115" s="413"/>
      <c r="R115" s="452"/>
      <c r="S115" s="443"/>
      <c r="T115" s="422" t="str" cm="1">
        <f t="array" ref="T115">IF(AND($U$12,B139&lt;=$C$17,C139&lt;&gt;""),TRANSPOSE(INDEX(getcds(C139,$C$6,G139/10000,F139,D139,$C$13,$C$14,$C$15,$C$8,,,TRUE,TRUE,FALSE,$C$29:$C$31,$C$33),{1;2;3;4;5})),"")</f>
        <v/>
      </c>
      <c r="U115" s="423"/>
      <c r="V115" s="423"/>
      <c r="W115" s="424"/>
      <c r="X115" s="425"/>
      <c r="Y115" s="426" t="str">
        <f t="shared" si="5"/>
        <v/>
      </c>
      <c r="Z115" s="427" t="str">
        <f t="shared" si="6"/>
        <v/>
      </c>
      <c r="AA115" s="426" t="str">
        <f t="shared" si="7"/>
        <v/>
      </c>
      <c r="AB115" s="428" t="str">
        <f t="shared" si="8"/>
        <v/>
      </c>
      <c r="AC115" s="427" t="str">
        <f t="shared" si="9"/>
        <v/>
      </c>
      <c r="AD115" s="227"/>
    </row>
    <row r="116" spans="1:30" customFormat="1" ht="15">
      <c r="A116" s="227"/>
      <c r="B116" s="276">
        <v>78</v>
      </c>
      <c r="C116" s="254" t="s">
        <v>166</v>
      </c>
      <c r="D116" s="255">
        <v>1</v>
      </c>
      <c r="E116" s="247"/>
      <c r="F116" s="232">
        <v>0.4</v>
      </c>
      <c r="G116" s="435">
        <v>100</v>
      </c>
      <c r="H116" s="386">
        <v>102</v>
      </c>
      <c r="I116" s="404"/>
      <c r="J116" s="404"/>
      <c r="K116" s="413"/>
      <c r="L116" s="413"/>
      <c r="M116" s="413"/>
      <c r="N116" s="413"/>
      <c r="O116" s="413"/>
      <c r="P116" s="413"/>
      <c r="Q116" s="413"/>
      <c r="R116" s="452"/>
      <c r="S116" s="443"/>
      <c r="T116" s="422" t="str" cm="1">
        <f t="array" ref="T116">IF(AND($U$12,B140&lt;=$C$17,C140&lt;&gt;""),TRANSPOSE(INDEX(getcds(C140,$C$6,G140/10000,F140,D140,$C$13,$C$14,$C$15,$C$8,,,TRUE,TRUE,FALSE,$C$29:$C$31,$C$33),{1;2;3;4;5})),"")</f>
        <v/>
      </c>
      <c r="U116" s="423"/>
      <c r="V116" s="423"/>
      <c r="W116" s="424"/>
      <c r="X116" s="425"/>
      <c r="Y116" s="426" t="str">
        <f t="shared" si="5"/>
        <v/>
      </c>
      <c r="Z116" s="427" t="str">
        <f t="shared" si="6"/>
        <v/>
      </c>
      <c r="AA116" s="426" t="str">
        <f t="shared" si="7"/>
        <v/>
      </c>
      <c r="AB116" s="428" t="str">
        <f t="shared" si="8"/>
        <v/>
      </c>
      <c r="AC116" s="427" t="str">
        <f t="shared" si="9"/>
        <v/>
      </c>
      <c r="AD116" s="227"/>
    </row>
    <row r="117" spans="1:30" customFormat="1" ht="15">
      <c r="A117" s="227"/>
      <c r="B117" s="276">
        <v>79</v>
      </c>
      <c r="C117" s="254" t="s">
        <v>167</v>
      </c>
      <c r="D117" s="255">
        <v>1</v>
      </c>
      <c r="E117" s="247"/>
      <c r="F117" s="232">
        <v>0.4</v>
      </c>
      <c r="G117" s="435">
        <v>100</v>
      </c>
      <c r="H117" s="386">
        <v>103</v>
      </c>
      <c r="I117" s="404"/>
      <c r="J117" s="404"/>
      <c r="K117" s="413"/>
      <c r="L117" s="413"/>
      <c r="M117" s="413"/>
      <c r="N117" s="413"/>
      <c r="O117" s="413"/>
      <c r="P117" s="413"/>
      <c r="Q117" s="413"/>
      <c r="R117" s="452"/>
      <c r="S117" s="443"/>
      <c r="T117" s="422" t="str" cm="1">
        <f t="array" ref="T117">IF(AND($U$12,B141&lt;=$C$17,C141&lt;&gt;""),TRANSPOSE(INDEX(getcds(C141,$C$6,G141/10000,F141,D141,$C$13,$C$14,$C$15,$C$8,,,TRUE,TRUE,FALSE,$C$29:$C$31,$C$33),{1;2;3;4;5})),"")</f>
        <v/>
      </c>
      <c r="U117" s="423"/>
      <c r="V117" s="423"/>
      <c r="W117" s="424"/>
      <c r="X117" s="425"/>
      <c r="Y117" s="426" t="str">
        <f t="shared" si="5"/>
        <v/>
      </c>
      <c r="Z117" s="427" t="str">
        <f t="shared" si="6"/>
        <v/>
      </c>
      <c r="AA117" s="426" t="str">
        <f t="shared" si="7"/>
        <v/>
      </c>
      <c r="AB117" s="428" t="str">
        <f t="shared" si="8"/>
        <v/>
      </c>
      <c r="AC117" s="427" t="str">
        <f t="shared" si="9"/>
        <v/>
      </c>
      <c r="AD117" s="227"/>
    </row>
    <row r="118" spans="1:30" customFormat="1" ht="15">
      <c r="A118" s="227"/>
      <c r="B118" s="276">
        <v>80</v>
      </c>
      <c r="C118" s="254" t="s">
        <v>168</v>
      </c>
      <c r="D118" s="255">
        <v>1</v>
      </c>
      <c r="E118" s="247"/>
      <c r="F118" s="232">
        <v>0.4</v>
      </c>
      <c r="G118" s="435">
        <v>100</v>
      </c>
      <c r="H118" s="386">
        <v>104</v>
      </c>
      <c r="I118" s="404"/>
      <c r="J118" s="404"/>
      <c r="K118" s="413"/>
      <c r="L118" s="413"/>
      <c r="M118" s="413"/>
      <c r="N118" s="413"/>
      <c r="O118" s="413"/>
      <c r="P118" s="413"/>
      <c r="Q118" s="413"/>
      <c r="R118" s="452"/>
      <c r="S118" s="443"/>
      <c r="T118" s="422" t="str" cm="1">
        <f t="array" ref="T118">IF(AND($U$12,B142&lt;=$C$17,C142&lt;&gt;""),TRANSPOSE(INDEX(getcds(C142,$C$6,G142/10000,F142,D142,$C$13,$C$14,$C$15,$C$8,,,TRUE,TRUE,FALSE,$C$29:$C$31,$C$33),{1;2;3;4;5})),"")</f>
        <v/>
      </c>
      <c r="U118" s="423"/>
      <c r="V118" s="423"/>
      <c r="W118" s="424"/>
      <c r="X118" s="425"/>
      <c r="Y118" s="426" t="str">
        <f t="shared" si="5"/>
        <v/>
      </c>
      <c r="Z118" s="427" t="str">
        <f t="shared" si="6"/>
        <v/>
      </c>
      <c r="AA118" s="426" t="str">
        <f t="shared" si="7"/>
        <v/>
      </c>
      <c r="AB118" s="428" t="str">
        <f t="shared" si="8"/>
        <v/>
      </c>
      <c r="AC118" s="427" t="str">
        <f t="shared" si="9"/>
        <v/>
      </c>
      <c r="AD118" s="227"/>
    </row>
    <row r="119" spans="1:30" customFormat="1" ht="15">
      <c r="A119" s="227"/>
      <c r="B119" s="276">
        <v>81</v>
      </c>
      <c r="C119" s="254" t="s">
        <v>169</v>
      </c>
      <c r="D119" s="255">
        <v>1</v>
      </c>
      <c r="E119" s="247"/>
      <c r="F119" s="232">
        <v>0.4</v>
      </c>
      <c r="G119" s="435">
        <v>100</v>
      </c>
      <c r="H119" s="386">
        <v>105</v>
      </c>
      <c r="I119" s="404"/>
      <c r="J119" s="404"/>
      <c r="K119" s="413"/>
      <c r="L119" s="413"/>
      <c r="M119" s="413"/>
      <c r="N119" s="413"/>
      <c r="O119" s="413"/>
      <c r="P119" s="413"/>
      <c r="Q119" s="413"/>
      <c r="R119" s="452"/>
      <c r="S119" s="443"/>
      <c r="T119" s="422" t="str" cm="1">
        <f t="array" ref="T119">IF(AND($U$12,B143&lt;=$C$17,C143&lt;&gt;""),TRANSPOSE(INDEX(getcds(C143,$C$6,G143/10000,F143,D143,$C$13,$C$14,$C$15,$C$8,,,TRUE,TRUE,FALSE,$C$29:$C$31,$C$33),{1;2;3;4;5})),"")</f>
        <v/>
      </c>
      <c r="U119" s="423"/>
      <c r="V119" s="423"/>
      <c r="W119" s="424"/>
      <c r="X119" s="425"/>
      <c r="Y119" s="426" t="str">
        <f t="shared" si="5"/>
        <v/>
      </c>
      <c r="Z119" s="427" t="str">
        <f t="shared" si="6"/>
        <v/>
      </c>
      <c r="AA119" s="426" t="str">
        <f t="shared" si="7"/>
        <v/>
      </c>
      <c r="AB119" s="428" t="str">
        <f t="shared" si="8"/>
        <v/>
      </c>
      <c r="AC119" s="427" t="str">
        <f t="shared" si="9"/>
        <v/>
      </c>
      <c r="AD119" s="227"/>
    </row>
    <row r="120" spans="1:30" customFormat="1" ht="15">
      <c r="A120" s="227"/>
      <c r="B120" s="276">
        <v>82</v>
      </c>
      <c r="C120" s="254" t="s">
        <v>170</v>
      </c>
      <c r="D120" s="255">
        <v>1</v>
      </c>
      <c r="E120" s="247"/>
      <c r="F120" s="232">
        <v>0.4</v>
      </c>
      <c r="G120" s="435">
        <v>100</v>
      </c>
      <c r="H120" s="386">
        <v>106</v>
      </c>
      <c r="I120" s="404"/>
      <c r="J120" s="404"/>
      <c r="K120" s="413"/>
      <c r="L120" s="413"/>
      <c r="M120" s="413"/>
      <c r="N120" s="413"/>
      <c r="O120" s="413"/>
      <c r="P120" s="413"/>
      <c r="Q120" s="413"/>
      <c r="R120" s="452"/>
      <c r="S120" s="443"/>
      <c r="T120" s="422" t="str" cm="1">
        <f t="array" ref="T120">IF(AND($U$12,B144&lt;=$C$17,C144&lt;&gt;""),TRANSPOSE(INDEX(getcds(C144,$C$6,G144/10000,F144,D144,$C$13,$C$14,$C$15,$C$8,,,TRUE,TRUE,FALSE,$C$29:$C$31,$C$33),{1;2;3;4;5})),"")</f>
        <v/>
      </c>
      <c r="U120" s="423"/>
      <c r="V120" s="423"/>
      <c r="W120" s="424"/>
      <c r="X120" s="425"/>
      <c r="Y120" s="426" t="str">
        <f t="shared" si="5"/>
        <v/>
      </c>
      <c r="Z120" s="427" t="str">
        <f t="shared" si="6"/>
        <v/>
      </c>
      <c r="AA120" s="426" t="str">
        <f t="shared" si="7"/>
        <v/>
      </c>
      <c r="AB120" s="428" t="str">
        <f t="shared" si="8"/>
        <v/>
      </c>
      <c r="AC120" s="427" t="str">
        <f t="shared" si="9"/>
        <v/>
      </c>
      <c r="AD120" s="227"/>
    </row>
    <row r="121" spans="1:30" customFormat="1" ht="15">
      <c r="A121" s="227"/>
      <c r="B121" s="276">
        <v>83</v>
      </c>
      <c r="C121" s="254" t="s">
        <v>171</v>
      </c>
      <c r="D121" s="255">
        <v>1</v>
      </c>
      <c r="E121" s="247"/>
      <c r="F121" s="232">
        <v>0.4</v>
      </c>
      <c r="G121" s="435">
        <v>100</v>
      </c>
      <c r="H121" s="386">
        <v>107</v>
      </c>
      <c r="I121" s="404"/>
      <c r="J121" s="404"/>
      <c r="K121" s="413"/>
      <c r="L121" s="413"/>
      <c r="M121" s="413"/>
      <c r="N121" s="413"/>
      <c r="O121" s="413"/>
      <c r="P121" s="413"/>
      <c r="Q121" s="413"/>
      <c r="R121" s="452"/>
      <c r="S121" s="443"/>
      <c r="T121" s="422" t="str" cm="1">
        <f t="array" ref="T121">IF(AND($U$12,B145&lt;=$C$17,C145&lt;&gt;""),TRANSPOSE(INDEX(getcds(C145,$C$6,G145/10000,F145,D145,$C$13,$C$14,$C$15,$C$8,,,TRUE,TRUE,FALSE,$C$29:$C$31,$C$33),{1;2;3;4;5})),"")</f>
        <v/>
      </c>
      <c r="U121" s="423"/>
      <c r="V121" s="423"/>
      <c r="W121" s="424"/>
      <c r="X121" s="425"/>
      <c r="Y121" s="426" t="str">
        <f t="shared" si="5"/>
        <v/>
      </c>
      <c r="Z121" s="427" t="str">
        <f t="shared" si="6"/>
        <v/>
      </c>
      <c r="AA121" s="426" t="str">
        <f t="shared" si="7"/>
        <v/>
      </c>
      <c r="AB121" s="428" t="str">
        <f t="shared" si="8"/>
        <v/>
      </c>
      <c r="AC121" s="427" t="str">
        <f t="shared" si="9"/>
        <v/>
      </c>
      <c r="AD121" s="227"/>
    </row>
    <row r="122" spans="1:30" customFormat="1" ht="15">
      <c r="A122" s="227"/>
      <c r="B122" s="276">
        <v>84</v>
      </c>
      <c r="C122" s="254" t="s">
        <v>172</v>
      </c>
      <c r="D122" s="255">
        <v>1</v>
      </c>
      <c r="E122" s="247"/>
      <c r="F122" s="232">
        <v>0.4</v>
      </c>
      <c r="G122" s="435">
        <v>100</v>
      </c>
      <c r="H122" s="386">
        <v>108</v>
      </c>
      <c r="I122" s="404"/>
      <c r="J122" s="404"/>
      <c r="K122" s="413"/>
      <c r="L122" s="413"/>
      <c r="M122" s="413"/>
      <c r="N122" s="413"/>
      <c r="O122" s="413"/>
      <c r="P122" s="413"/>
      <c r="Q122" s="413"/>
      <c r="R122" s="452"/>
      <c r="S122" s="443"/>
      <c r="T122" s="422" t="str" cm="1">
        <f t="array" ref="T122">IF(AND($U$12,B146&lt;=$C$17,C146&lt;&gt;""),TRANSPOSE(INDEX(getcds(C146,$C$6,G146/10000,F146,D146,$C$13,$C$14,$C$15,$C$8,,,TRUE,TRUE,FALSE,$C$29:$C$31,$C$33),{1;2;3;4;5})),"")</f>
        <v/>
      </c>
      <c r="U122" s="423"/>
      <c r="V122" s="423"/>
      <c r="W122" s="424"/>
      <c r="X122" s="425"/>
      <c r="Y122" s="426" t="str">
        <f t="shared" si="5"/>
        <v/>
      </c>
      <c r="Z122" s="427" t="str">
        <f t="shared" si="6"/>
        <v/>
      </c>
      <c r="AA122" s="426" t="str">
        <f t="shared" si="7"/>
        <v/>
      </c>
      <c r="AB122" s="428" t="str">
        <f t="shared" si="8"/>
        <v/>
      </c>
      <c r="AC122" s="427" t="str">
        <f t="shared" si="9"/>
        <v/>
      </c>
      <c r="AD122" s="227"/>
    </row>
    <row r="123" spans="1:30" customFormat="1" ht="15">
      <c r="A123" s="227"/>
      <c r="B123" s="276">
        <v>85</v>
      </c>
      <c r="C123" s="254" t="s">
        <v>173</v>
      </c>
      <c r="D123" s="255">
        <v>1</v>
      </c>
      <c r="E123" s="247"/>
      <c r="F123" s="232">
        <v>0.4</v>
      </c>
      <c r="G123" s="435">
        <v>100</v>
      </c>
      <c r="H123" s="386">
        <v>109</v>
      </c>
      <c r="I123" s="404"/>
      <c r="J123" s="404"/>
      <c r="K123" s="413"/>
      <c r="L123" s="413"/>
      <c r="M123" s="413"/>
      <c r="N123" s="413"/>
      <c r="O123" s="413"/>
      <c r="P123" s="413"/>
      <c r="Q123" s="413"/>
      <c r="R123" s="452"/>
      <c r="S123" s="443"/>
      <c r="T123" s="422" t="str" cm="1">
        <f t="array" ref="T123">IF(AND($U$12,B147&lt;=$C$17,C147&lt;&gt;""),TRANSPOSE(INDEX(getcds(C147,$C$6,G147/10000,F147,D147,$C$13,$C$14,$C$15,$C$8,,,TRUE,TRUE,FALSE,$C$29:$C$31,$C$33),{1;2;3;4;5})),"")</f>
        <v/>
      </c>
      <c r="U123" s="423"/>
      <c r="V123" s="423"/>
      <c r="W123" s="424"/>
      <c r="X123" s="425"/>
      <c r="Y123" s="426" t="str">
        <f t="shared" si="5"/>
        <v/>
      </c>
      <c r="Z123" s="427" t="str">
        <f t="shared" si="6"/>
        <v/>
      </c>
      <c r="AA123" s="426" t="str">
        <f t="shared" si="7"/>
        <v/>
      </c>
      <c r="AB123" s="428" t="str">
        <f t="shared" si="8"/>
        <v/>
      </c>
      <c r="AC123" s="427" t="str">
        <f t="shared" si="9"/>
        <v/>
      </c>
      <c r="AD123" s="227"/>
    </row>
    <row r="124" spans="1:30" customFormat="1" ht="15">
      <c r="A124" s="227"/>
      <c r="B124" s="276">
        <v>86</v>
      </c>
      <c r="C124" s="254" t="s">
        <v>174</v>
      </c>
      <c r="D124" s="255">
        <v>1</v>
      </c>
      <c r="E124" s="247"/>
      <c r="F124" s="232">
        <v>0.4</v>
      </c>
      <c r="G124" s="435">
        <v>100</v>
      </c>
      <c r="H124" s="386">
        <v>110</v>
      </c>
      <c r="I124" s="404"/>
      <c r="J124" s="404"/>
      <c r="K124" s="413"/>
      <c r="L124" s="413"/>
      <c r="M124" s="413"/>
      <c r="N124" s="413"/>
      <c r="O124" s="413"/>
      <c r="P124" s="413"/>
      <c r="Q124" s="413"/>
      <c r="R124" s="452"/>
      <c r="S124" s="443"/>
      <c r="T124" s="422" t="str" cm="1">
        <f t="array" ref="T124">IF(AND($U$12,B148&lt;=$C$17,C148&lt;&gt;""),TRANSPOSE(INDEX(getcds(C148,$C$6,G148/10000,F148,D148,$C$13,$C$14,$C$15,$C$8,,,TRUE,TRUE,FALSE,$C$29:$C$31,$C$33),{1;2;3;4;5})),"")</f>
        <v/>
      </c>
      <c r="U124" s="423"/>
      <c r="V124" s="423"/>
      <c r="W124" s="424"/>
      <c r="X124" s="425"/>
      <c r="Y124" s="426" t="str">
        <f t="shared" si="5"/>
        <v/>
      </c>
      <c r="Z124" s="427" t="str">
        <f t="shared" si="6"/>
        <v/>
      </c>
      <c r="AA124" s="426" t="str">
        <f t="shared" si="7"/>
        <v/>
      </c>
      <c r="AB124" s="428" t="str">
        <f t="shared" si="8"/>
        <v/>
      </c>
      <c r="AC124" s="427" t="str">
        <f t="shared" si="9"/>
        <v/>
      </c>
      <c r="AD124" s="227"/>
    </row>
    <row r="125" spans="1:30" customFormat="1" ht="15">
      <c r="A125" s="227"/>
      <c r="B125" s="276">
        <v>87</v>
      </c>
      <c r="C125" s="254" t="s">
        <v>175</v>
      </c>
      <c r="D125" s="255">
        <v>1</v>
      </c>
      <c r="E125" s="247"/>
      <c r="F125" s="232">
        <v>0.4</v>
      </c>
      <c r="G125" s="435">
        <v>100</v>
      </c>
      <c r="H125" s="386">
        <v>111</v>
      </c>
      <c r="I125" s="404"/>
      <c r="J125" s="404"/>
      <c r="K125" s="413"/>
      <c r="L125" s="413"/>
      <c r="M125" s="413"/>
      <c r="N125" s="413"/>
      <c r="O125" s="413"/>
      <c r="P125" s="413"/>
      <c r="Q125" s="413"/>
      <c r="R125" s="452"/>
      <c r="S125" s="443"/>
      <c r="T125" s="422" t="str" cm="1">
        <f t="array" ref="T125">IF(AND($U$12,B149&lt;=$C$17,C149&lt;&gt;""),TRANSPOSE(INDEX(getcds(C149,$C$6,G149/10000,F149,D149,$C$13,$C$14,$C$15,$C$8,,,TRUE,TRUE,FALSE,$C$29:$C$31,$C$33),{1;2;3;4;5})),"")</f>
        <v/>
      </c>
      <c r="U125" s="423"/>
      <c r="V125" s="423"/>
      <c r="W125" s="424"/>
      <c r="X125" s="425"/>
      <c r="Y125" s="426" t="str">
        <f t="shared" si="5"/>
        <v/>
      </c>
      <c r="Z125" s="427" t="str">
        <f t="shared" si="6"/>
        <v/>
      </c>
      <c r="AA125" s="426" t="str">
        <f t="shared" si="7"/>
        <v/>
      </c>
      <c r="AB125" s="428" t="str">
        <f t="shared" si="8"/>
        <v/>
      </c>
      <c r="AC125" s="427" t="str">
        <f t="shared" si="9"/>
        <v/>
      </c>
      <c r="AD125" s="227"/>
    </row>
    <row r="126" spans="1:30" customFormat="1" ht="15">
      <c r="A126" s="227"/>
      <c r="B126" s="276">
        <v>88</v>
      </c>
      <c r="C126" s="254" t="s">
        <v>176</v>
      </c>
      <c r="D126" s="255">
        <v>1</v>
      </c>
      <c r="E126" s="247"/>
      <c r="F126" s="232">
        <v>0.4</v>
      </c>
      <c r="G126" s="435">
        <v>100</v>
      </c>
      <c r="H126" s="386">
        <v>112</v>
      </c>
      <c r="I126" s="404"/>
      <c r="J126" s="404"/>
      <c r="K126" s="413"/>
      <c r="L126" s="413"/>
      <c r="M126" s="413"/>
      <c r="N126" s="413"/>
      <c r="O126" s="413"/>
      <c r="P126" s="413"/>
      <c r="Q126" s="413"/>
      <c r="R126" s="452"/>
      <c r="S126" s="443"/>
      <c r="T126" s="422" t="str" cm="1">
        <f t="array" ref="T126">IF(AND($U$12,B150&lt;=$C$17,C150&lt;&gt;""),TRANSPOSE(INDEX(getcds(C150,$C$6,G150/10000,F150,D150,$C$13,$C$14,$C$15,$C$8,,,TRUE,TRUE,FALSE,$C$29:$C$31,$C$33),{1;2;3;4;5})),"")</f>
        <v/>
      </c>
      <c r="U126" s="423"/>
      <c r="V126" s="423"/>
      <c r="W126" s="424"/>
      <c r="X126" s="425"/>
      <c r="Y126" s="426" t="str">
        <f t="shared" si="5"/>
        <v/>
      </c>
      <c r="Z126" s="427" t="str">
        <f t="shared" si="6"/>
        <v/>
      </c>
      <c r="AA126" s="426" t="str">
        <f t="shared" si="7"/>
        <v/>
      </c>
      <c r="AB126" s="428" t="str">
        <f t="shared" si="8"/>
        <v/>
      </c>
      <c r="AC126" s="427" t="str">
        <f t="shared" si="9"/>
        <v/>
      </c>
      <c r="AD126" s="227"/>
    </row>
    <row r="127" spans="1:30" customFormat="1" ht="15">
      <c r="A127" s="227"/>
      <c r="B127" s="276">
        <v>89</v>
      </c>
      <c r="C127" s="254" t="s">
        <v>177</v>
      </c>
      <c r="D127" s="255">
        <v>1</v>
      </c>
      <c r="E127" s="247"/>
      <c r="F127" s="232">
        <v>0.4</v>
      </c>
      <c r="G127" s="435">
        <v>100</v>
      </c>
      <c r="H127" s="386">
        <v>113</v>
      </c>
      <c r="I127" s="404"/>
      <c r="J127" s="404"/>
      <c r="K127" s="413"/>
      <c r="L127" s="413"/>
      <c r="M127" s="413"/>
      <c r="N127" s="413"/>
      <c r="O127" s="413"/>
      <c r="P127" s="413"/>
      <c r="Q127" s="413"/>
      <c r="R127" s="452"/>
      <c r="S127" s="443"/>
      <c r="T127" s="422" t="str" cm="1">
        <f t="array" ref="T127">IF(AND($U$12,B151&lt;=$C$17,C151&lt;&gt;""),TRANSPOSE(INDEX(getcds(C151,$C$6,G151/10000,F151,D151,$C$13,$C$14,$C$15,$C$8,,,TRUE,TRUE,FALSE,$C$29:$C$31,$C$33),{1;2;3;4;5})),"")</f>
        <v/>
      </c>
      <c r="U127" s="423"/>
      <c r="V127" s="423"/>
      <c r="W127" s="424"/>
      <c r="X127" s="425"/>
      <c r="Y127" s="426" t="str">
        <f t="shared" si="5"/>
        <v/>
      </c>
      <c r="Z127" s="427" t="str">
        <f t="shared" si="6"/>
        <v/>
      </c>
      <c r="AA127" s="426" t="str">
        <f t="shared" si="7"/>
        <v/>
      </c>
      <c r="AB127" s="428" t="str">
        <f t="shared" si="8"/>
        <v/>
      </c>
      <c r="AC127" s="427" t="str">
        <f t="shared" si="9"/>
        <v/>
      </c>
      <c r="AD127" s="227"/>
    </row>
    <row r="128" spans="1:30" customFormat="1" ht="15">
      <c r="A128" s="227"/>
      <c r="B128" s="276">
        <v>90</v>
      </c>
      <c r="C128" s="254" t="s">
        <v>178</v>
      </c>
      <c r="D128" s="255">
        <v>1</v>
      </c>
      <c r="E128" s="247"/>
      <c r="F128" s="232">
        <v>0.4</v>
      </c>
      <c r="G128" s="435">
        <v>100</v>
      </c>
      <c r="H128" s="386">
        <v>114</v>
      </c>
      <c r="I128" s="404"/>
      <c r="J128" s="404"/>
      <c r="K128" s="413"/>
      <c r="L128" s="413"/>
      <c r="M128" s="413"/>
      <c r="N128" s="413"/>
      <c r="O128" s="413"/>
      <c r="P128" s="413"/>
      <c r="Q128" s="413"/>
      <c r="R128" s="452"/>
      <c r="S128" s="443"/>
      <c r="T128" s="422" t="str" cm="1">
        <f t="array" ref="T128">IF(AND($U$12,B152&lt;=$C$17,C152&lt;&gt;""),TRANSPOSE(INDEX(getcds(C152,$C$6,G152/10000,F152,D152,$C$13,$C$14,$C$15,$C$8,,,TRUE,TRUE,FALSE,$C$29:$C$31,$C$33),{1;2;3;4;5})),"")</f>
        <v/>
      </c>
      <c r="U128" s="423"/>
      <c r="V128" s="423"/>
      <c r="W128" s="424"/>
      <c r="X128" s="425"/>
      <c r="Y128" s="426" t="str">
        <f t="shared" si="5"/>
        <v/>
      </c>
      <c r="Z128" s="427" t="str">
        <f t="shared" si="6"/>
        <v/>
      </c>
      <c r="AA128" s="426" t="str">
        <f t="shared" si="7"/>
        <v/>
      </c>
      <c r="AB128" s="428" t="str">
        <f t="shared" si="8"/>
        <v/>
      </c>
      <c r="AC128" s="427" t="str">
        <f t="shared" si="9"/>
        <v/>
      </c>
      <c r="AD128" s="227"/>
    </row>
    <row r="129" spans="1:30" customFormat="1" ht="15">
      <c r="A129" s="227"/>
      <c r="B129" s="276">
        <v>91</v>
      </c>
      <c r="C129" s="254" t="s">
        <v>179</v>
      </c>
      <c r="D129" s="255">
        <v>1</v>
      </c>
      <c r="E129" s="247"/>
      <c r="F129" s="232">
        <v>0.4</v>
      </c>
      <c r="G129" s="435">
        <v>100</v>
      </c>
      <c r="H129" s="386">
        <v>115</v>
      </c>
      <c r="I129" s="404"/>
      <c r="J129" s="404"/>
      <c r="K129" s="413"/>
      <c r="L129" s="413"/>
      <c r="M129" s="413"/>
      <c r="N129" s="413"/>
      <c r="O129" s="413"/>
      <c r="P129" s="413"/>
      <c r="Q129" s="413"/>
      <c r="R129" s="452"/>
      <c r="S129" s="443"/>
      <c r="T129" s="422" t="str" cm="1">
        <f t="array" ref="T129">IF(AND($U$12,B153&lt;=$C$17,C153&lt;&gt;""),TRANSPOSE(INDEX(getcds(C153,$C$6,G153/10000,F153,D153,$C$13,$C$14,$C$15,$C$8,,,TRUE,TRUE,FALSE,$C$29:$C$31,$C$33),{1;2;3;4;5})),"")</f>
        <v/>
      </c>
      <c r="U129" s="423"/>
      <c r="V129" s="423"/>
      <c r="W129" s="424"/>
      <c r="X129" s="425"/>
      <c r="Y129" s="426" t="str">
        <f t="shared" si="5"/>
        <v/>
      </c>
      <c r="Z129" s="427" t="str">
        <f t="shared" si="6"/>
        <v/>
      </c>
      <c r="AA129" s="426" t="str">
        <f t="shared" si="7"/>
        <v/>
      </c>
      <c r="AB129" s="428" t="str">
        <f t="shared" si="8"/>
        <v/>
      </c>
      <c r="AC129" s="427" t="str">
        <f t="shared" si="9"/>
        <v/>
      </c>
      <c r="AD129" s="227"/>
    </row>
    <row r="130" spans="1:30" customFormat="1" ht="15">
      <c r="A130" s="227"/>
      <c r="B130" s="276">
        <v>92</v>
      </c>
      <c r="C130" s="254" t="s">
        <v>180</v>
      </c>
      <c r="D130" s="255">
        <v>1</v>
      </c>
      <c r="E130" s="247"/>
      <c r="F130" s="232">
        <v>0.4</v>
      </c>
      <c r="G130" s="435">
        <v>100</v>
      </c>
      <c r="H130" s="386">
        <v>116</v>
      </c>
      <c r="I130" s="404"/>
      <c r="J130" s="404"/>
      <c r="K130" s="413"/>
      <c r="L130" s="413"/>
      <c r="M130" s="413"/>
      <c r="N130" s="413"/>
      <c r="O130" s="413"/>
      <c r="P130" s="413"/>
      <c r="Q130" s="413"/>
      <c r="R130" s="452"/>
      <c r="S130" s="443"/>
      <c r="T130" s="422" t="str" cm="1">
        <f t="array" ref="T130">IF(AND($U$12,B154&lt;=$C$17,C154&lt;&gt;""),TRANSPOSE(INDEX(getcds(C154,$C$6,G154/10000,F154,D154,$C$13,$C$14,$C$15,$C$8,,,TRUE,TRUE,FALSE,$C$29:$C$31,$C$33),{1;2;3;4;5})),"")</f>
        <v/>
      </c>
      <c r="U130" s="423"/>
      <c r="V130" s="423"/>
      <c r="W130" s="424"/>
      <c r="X130" s="425"/>
      <c r="Y130" s="426" t="str">
        <f t="shared" si="5"/>
        <v/>
      </c>
      <c r="Z130" s="427" t="str">
        <f t="shared" si="6"/>
        <v/>
      </c>
      <c r="AA130" s="426" t="str">
        <f t="shared" si="7"/>
        <v/>
      </c>
      <c r="AB130" s="428" t="str">
        <f t="shared" si="8"/>
        <v/>
      </c>
      <c r="AC130" s="427" t="str">
        <f t="shared" si="9"/>
        <v/>
      </c>
      <c r="AD130" s="227"/>
    </row>
    <row r="131" spans="1:30" customFormat="1" ht="15">
      <c r="A131" s="227"/>
      <c r="B131" s="276">
        <v>93</v>
      </c>
      <c r="C131" s="254" t="s">
        <v>181</v>
      </c>
      <c r="D131" s="255">
        <v>1</v>
      </c>
      <c r="E131" s="247"/>
      <c r="F131" s="232">
        <v>0.4</v>
      </c>
      <c r="G131" s="435">
        <v>100</v>
      </c>
      <c r="H131" s="386">
        <v>117</v>
      </c>
      <c r="I131" s="404"/>
      <c r="J131" s="404"/>
      <c r="K131" s="413"/>
      <c r="L131" s="413"/>
      <c r="M131" s="413"/>
      <c r="N131" s="413"/>
      <c r="O131" s="413"/>
      <c r="P131" s="413"/>
      <c r="Q131" s="413"/>
      <c r="R131" s="452"/>
      <c r="S131" s="443"/>
      <c r="T131" s="422" t="str" cm="1">
        <f t="array" ref="T131">IF(AND($U$12,B155&lt;=$C$17,C155&lt;&gt;""),TRANSPOSE(INDEX(getcds(C155,$C$6,G155/10000,F155,D155,$C$13,$C$14,$C$15,$C$8,,,TRUE,TRUE,FALSE,$C$29:$C$31,$C$33),{1;2;3;4;5})),"")</f>
        <v/>
      </c>
      <c r="U131" s="423"/>
      <c r="V131" s="423"/>
      <c r="W131" s="424"/>
      <c r="X131" s="425"/>
      <c r="Y131" s="426" t="str">
        <f t="shared" si="5"/>
        <v/>
      </c>
      <c r="Z131" s="427" t="str">
        <f t="shared" si="6"/>
        <v/>
      </c>
      <c r="AA131" s="426" t="str">
        <f t="shared" si="7"/>
        <v/>
      </c>
      <c r="AB131" s="428" t="str">
        <f t="shared" si="8"/>
        <v/>
      </c>
      <c r="AC131" s="427" t="str">
        <f t="shared" si="9"/>
        <v/>
      </c>
      <c r="AD131" s="227"/>
    </row>
    <row r="132" spans="1:30" customFormat="1" ht="15">
      <c r="A132" s="227"/>
      <c r="B132" s="276">
        <v>94</v>
      </c>
      <c r="C132" s="254" t="s">
        <v>182</v>
      </c>
      <c r="D132" s="255">
        <v>1</v>
      </c>
      <c r="E132" s="247"/>
      <c r="F132" s="232">
        <v>0.4</v>
      </c>
      <c r="G132" s="435">
        <v>100</v>
      </c>
      <c r="H132" s="386">
        <v>118</v>
      </c>
      <c r="I132" s="404"/>
      <c r="J132" s="404"/>
      <c r="K132" s="413"/>
      <c r="L132" s="413"/>
      <c r="M132" s="413"/>
      <c r="N132" s="413"/>
      <c r="O132" s="413"/>
      <c r="P132" s="413"/>
      <c r="Q132" s="413"/>
      <c r="R132" s="452"/>
      <c r="S132" s="443"/>
      <c r="T132" s="422" t="str" cm="1">
        <f t="array" ref="T132">IF(AND($U$12,B156&lt;=$C$17,C156&lt;&gt;""),TRANSPOSE(INDEX(getcds(C156,$C$6,G156/10000,F156,D156,$C$13,$C$14,$C$15,$C$8,,,TRUE,TRUE,FALSE,$C$29:$C$31,$C$33),{1;2;3;4;5})),"")</f>
        <v/>
      </c>
      <c r="U132" s="423"/>
      <c r="V132" s="423"/>
      <c r="W132" s="424"/>
      <c r="X132" s="425"/>
      <c r="Y132" s="426" t="str">
        <f t="shared" si="5"/>
        <v/>
      </c>
      <c r="Z132" s="427" t="str">
        <f t="shared" si="6"/>
        <v/>
      </c>
      <c r="AA132" s="426" t="str">
        <f t="shared" si="7"/>
        <v/>
      </c>
      <c r="AB132" s="428" t="str">
        <f t="shared" si="8"/>
        <v/>
      </c>
      <c r="AC132" s="427" t="str">
        <f t="shared" si="9"/>
        <v/>
      </c>
      <c r="AD132" s="227"/>
    </row>
    <row r="133" spans="1:30" customFormat="1" ht="15">
      <c r="A133" s="227"/>
      <c r="B133" s="276">
        <v>95</v>
      </c>
      <c r="C133" s="254" t="s">
        <v>183</v>
      </c>
      <c r="D133" s="255">
        <v>1</v>
      </c>
      <c r="E133" s="247"/>
      <c r="F133" s="232">
        <v>0.4</v>
      </c>
      <c r="G133" s="435">
        <v>100</v>
      </c>
      <c r="H133" s="386">
        <v>119</v>
      </c>
      <c r="I133" s="404"/>
      <c r="J133" s="404"/>
      <c r="K133" s="413"/>
      <c r="L133" s="413"/>
      <c r="M133" s="413"/>
      <c r="N133" s="413"/>
      <c r="O133" s="413"/>
      <c r="P133" s="413"/>
      <c r="Q133" s="413"/>
      <c r="R133" s="452"/>
      <c r="S133" s="443"/>
      <c r="T133" s="422" t="str" cm="1">
        <f t="array" ref="T133">IF(AND($U$12,B157&lt;=$C$17,C157&lt;&gt;""),TRANSPOSE(INDEX(getcds(C157,$C$6,G157/10000,F157,D157,$C$13,$C$14,$C$15,$C$8,,,TRUE,TRUE,FALSE,$C$29:$C$31,$C$33),{1;2;3;4;5})),"")</f>
        <v/>
      </c>
      <c r="U133" s="423"/>
      <c r="V133" s="423"/>
      <c r="W133" s="424"/>
      <c r="X133" s="425"/>
      <c r="Y133" s="426" t="str">
        <f t="shared" si="5"/>
        <v/>
      </c>
      <c r="Z133" s="427" t="str">
        <f t="shared" si="6"/>
        <v/>
      </c>
      <c r="AA133" s="426" t="str">
        <f t="shared" si="7"/>
        <v/>
      </c>
      <c r="AB133" s="428" t="str">
        <f t="shared" si="8"/>
        <v/>
      </c>
      <c r="AC133" s="427" t="str">
        <f t="shared" si="9"/>
        <v/>
      </c>
      <c r="AD133" s="227"/>
    </row>
    <row r="134" spans="1:30" customFormat="1" ht="15">
      <c r="A134" s="227"/>
      <c r="B134" s="276">
        <v>96</v>
      </c>
      <c r="C134" s="254" t="s">
        <v>184</v>
      </c>
      <c r="D134" s="255">
        <v>1</v>
      </c>
      <c r="E134" s="247"/>
      <c r="F134" s="232">
        <v>0.4</v>
      </c>
      <c r="G134" s="435">
        <v>100</v>
      </c>
      <c r="H134" s="386">
        <v>120</v>
      </c>
      <c r="I134" s="404"/>
      <c r="J134" s="404"/>
      <c r="K134" s="413"/>
      <c r="L134" s="413"/>
      <c r="M134" s="413"/>
      <c r="N134" s="413"/>
      <c r="O134" s="413"/>
      <c r="P134" s="413"/>
      <c r="Q134" s="413"/>
      <c r="R134" s="452"/>
      <c r="S134" s="443"/>
      <c r="T134" s="422" t="str" cm="1">
        <f t="array" ref="T134">IF(AND($U$12,B158&lt;=$C$17,C158&lt;&gt;""),TRANSPOSE(INDEX(getcds(C158,$C$6,G158/10000,F158,D158,$C$13,$C$14,$C$15,$C$8,,,TRUE,TRUE,FALSE,$C$29:$C$31,$C$33),{1;2;3;4;5})),"")</f>
        <v/>
      </c>
      <c r="U134" s="423"/>
      <c r="V134" s="423"/>
      <c r="W134" s="424"/>
      <c r="X134" s="425"/>
      <c r="Y134" s="426" t="str">
        <f t="shared" si="5"/>
        <v/>
      </c>
      <c r="Z134" s="427" t="str">
        <f t="shared" si="6"/>
        <v/>
      </c>
      <c r="AA134" s="426" t="str">
        <f t="shared" si="7"/>
        <v/>
      </c>
      <c r="AB134" s="428" t="str">
        <f t="shared" si="8"/>
        <v/>
      </c>
      <c r="AC134" s="427" t="str">
        <f t="shared" si="9"/>
        <v/>
      </c>
      <c r="AD134" s="227"/>
    </row>
    <row r="135" spans="1:30" customFormat="1" ht="15">
      <c r="A135" s="227"/>
      <c r="B135" s="276">
        <v>97</v>
      </c>
      <c r="C135" s="254" t="s">
        <v>185</v>
      </c>
      <c r="D135" s="255">
        <v>1</v>
      </c>
      <c r="E135" s="247"/>
      <c r="F135" s="232">
        <v>0.4</v>
      </c>
      <c r="G135" s="435">
        <v>100</v>
      </c>
      <c r="H135" s="386">
        <v>121</v>
      </c>
      <c r="I135" s="404"/>
      <c r="J135" s="404"/>
      <c r="K135" s="413"/>
      <c r="L135" s="413"/>
      <c r="M135" s="413"/>
      <c r="N135" s="413"/>
      <c r="O135" s="413"/>
      <c r="P135" s="413"/>
      <c r="Q135" s="413"/>
      <c r="R135" s="452"/>
      <c r="S135" s="443"/>
      <c r="T135" s="422" t="str" cm="1">
        <f t="array" ref="T135">IF(AND($U$12,B159&lt;=$C$17,C159&lt;&gt;""),TRANSPOSE(INDEX(getcds(C159,$C$6,G159/10000,F159,D159,$C$13,$C$14,$C$15,$C$8,,,TRUE,TRUE,FALSE,$C$29:$C$31,$C$33),{1;2;3;4;5})),"")</f>
        <v/>
      </c>
      <c r="U135" s="423"/>
      <c r="V135" s="423"/>
      <c r="W135" s="424"/>
      <c r="X135" s="425"/>
      <c r="Y135" s="426" t="str">
        <f t="shared" si="5"/>
        <v/>
      </c>
      <c r="Z135" s="427" t="str">
        <f t="shared" si="6"/>
        <v/>
      </c>
      <c r="AA135" s="426" t="str">
        <f t="shared" si="7"/>
        <v/>
      </c>
      <c r="AB135" s="428" t="str">
        <f t="shared" si="8"/>
        <v/>
      </c>
      <c r="AC135" s="427" t="str">
        <f t="shared" si="9"/>
        <v/>
      </c>
      <c r="AD135" s="227"/>
    </row>
    <row r="136" spans="1:30" customFormat="1" ht="15">
      <c r="A136" s="227"/>
      <c r="B136" s="276">
        <v>98</v>
      </c>
      <c r="C136" s="254" t="s">
        <v>186</v>
      </c>
      <c r="D136" s="255">
        <v>1</v>
      </c>
      <c r="E136" s="247"/>
      <c r="F136" s="232">
        <v>0.4</v>
      </c>
      <c r="G136" s="435">
        <v>100</v>
      </c>
      <c r="H136" s="386">
        <v>122</v>
      </c>
      <c r="I136" s="404"/>
      <c r="J136" s="404"/>
      <c r="K136" s="413"/>
      <c r="L136" s="413"/>
      <c r="M136" s="413"/>
      <c r="N136" s="413"/>
      <c r="O136" s="413"/>
      <c r="P136" s="413"/>
      <c r="Q136" s="413"/>
      <c r="R136" s="452"/>
      <c r="S136" s="443"/>
      <c r="T136" s="422" t="str" cm="1">
        <f t="array" ref="T136">IF(AND($U$12,B160&lt;=$C$17,C160&lt;&gt;""),TRANSPOSE(INDEX(getcds(C160,$C$6,G160/10000,F160,D160,$C$13,$C$14,$C$15,$C$8,,,TRUE,TRUE,FALSE,$C$29:$C$31,$C$33),{1;2;3;4;5})),"")</f>
        <v/>
      </c>
      <c r="U136" s="423"/>
      <c r="V136" s="423"/>
      <c r="W136" s="424"/>
      <c r="X136" s="425"/>
      <c r="Y136" s="426" t="str">
        <f t="shared" si="5"/>
        <v/>
      </c>
      <c r="Z136" s="427" t="str">
        <f t="shared" si="6"/>
        <v/>
      </c>
      <c r="AA136" s="426" t="str">
        <f t="shared" si="7"/>
        <v/>
      </c>
      <c r="AB136" s="428" t="str">
        <f t="shared" si="8"/>
        <v/>
      </c>
      <c r="AC136" s="427" t="str">
        <f t="shared" si="9"/>
        <v/>
      </c>
      <c r="AD136" s="227"/>
    </row>
    <row r="137" spans="1:30" customFormat="1" ht="15">
      <c r="A137" s="227"/>
      <c r="B137" s="276">
        <v>99</v>
      </c>
      <c r="C137" s="254" t="s">
        <v>187</v>
      </c>
      <c r="D137" s="255">
        <v>1</v>
      </c>
      <c r="E137" s="247"/>
      <c r="F137" s="232">
        <v>0.4</v>
      </c>
      <c r="G137" s="435">
        <v>100</v>
      </c>
      <c r="H137" s="386">
        <v>123</v>
      </c>
      <c r="I137" s="404"/>
      <c r="J137" s="404"/>
      <c r="K137" s="413"/>
      <c r="L137" s="413"/>
      <c r="M137" s="413"/>
      <c r="N137" s="413"/>
      <c r="O137" s="413"/>
      <c r="P137" s="413"/>
      <c r="Q137" s="413"/>
      <c r="R137" s="452"/>
      <c r="S137" s="443"/>
      <c r="T137" s="422" t="str" cm="1">
        <f t="array" ref="T137">IF(AND($U$12,B161&lt;=$C$17,C161&lt;&gt;""),TRANSPOSE(INDEX(getcds(C161,$C$6,G161/10000,F161,D161,$C$13,$C$14,$C$15,$C$8,,,TRUE,TRUE,FALSE,$C$29:$C$31,$C$33),{1;2;3;4;5})),"")</f>
        <v/>
      </c>
      <c r="U137" s="423"/>
      <c r="V137" s="423"/>
      <c r="W137" s="424"/>
      <c r="X137" s="425"/>
      <c r="Y137" s="426" t="str">
        <f t="shared" si="5"/>
        <v/>
      </c>
      <c r="Z137" s="427" t="str">
        <f t="shared" si="6"/>
        <v/>
      </c>
      <c r="AA137" s="426" t="str">
        <f t="shared" si="7"/>
        <v/>
      </c>
      <c r="AB137" s="428" t="str">
        <f t="shared" si="8"/>
        <v/>
      </c>
      <c r="AC137" s="427" t="str">
        <f t="shared" si="9"/>
        <v/>
      </c>
      <c r="AD137" s="227"/>
    </row>
    <row r="138" spans="1:30" customFormat="1" ht="15">
      <c r="A138" s="227"/>
      <c r="B138" s="276">
        <v>100</v>
      </c>
      <c r="C138" s="254" t="s">
        <v>188</v>
      </c>
      <c r="D138" s="255">
        <v>1</v>
      </c>
      <c r="E138" s="247"/>
      <c r="F138" s="232">
        <v>0.4</v>
      </c>
      <c r="G138" s="435">
        <v>100</v>
      </c>
      <c r="H138" s="386">
        <v>124</v>
      </c>
      <c r="I138" s="404"/>
      <c r="J138" s="404"/>
      <c r="K138" s="413"/>
      <c r="L138" s="413"/>
      <c r="M138" s="413"/>
      <c r="N138" s="413"/>
      <c r="O138" s="413"/>
      <c r="P138" s="413"/>
      <c r="Q138" s="413"/>
      <c r="R138" s="452"/>
      <c r="S138" s="443"/>
      <c r="T138" s="422" t="str" cm="1">
        <f t="array" ref="T138">IF(AND($U$12,B162&lt;=$C$17,C162&lt;&gt;""),TRANSPOSE(INDEX(getcds(C162,$C$6,G162/10000,F162,D162,$C$13,$C$14,$C$15,$C$8,,,TRUE,TRUE,FALSE,$C$29:$C$31,$C$33),{1;2;3;4;5})),"")</f>
        <v/>
      </c>
      <c r="U138" s="423"/>
      <c r="V138" s="423"/>
      <c r="W138" s="424"/>
      <c r="X138" s="425"/>
      <c r="Y138" s="426" t="str">
        <f t="shared" si="5"/>
        <v/>
      </c>
      <c r="Z138" s="427" t="str">
        <f t="shared" si="6"/>
        <v/>
      </c>
      <c r="AA138" s="426" t="str">
        <f t="shared" si="7"/>
        <v/>
      </c>
      <c r="AB138" s="428" t="str">
        <f t="shared" si="8"/>
        <v/>
      </c>
      <c r="AC138" s="427" t="str">
        <f t="shared" si="9"/>
        <v/>
      </c>
      <c r="AD138" s="227"/>
    </row>
    <row r="139" spans="1:30" customFormat="1" ht="15">
      <c r="A139" s="227"/>
      <c r="B139" s="276">
        <v>101</v>
      </c>
      <c r="C139" s="254"/>
      <c r="D139" s="255"/>
      <c r="E139" s="247"/>
      <c r="F139" s="232"/>
      <c r="G139" s="239"/>
      <c r="H139" s="386">
        <v>125</v>
      </c>
      <c r="I139" s="404"/>
      <c r="J139" s="404"/>
      <c r="K139" s="413"/>
      <c r="L139" s="413"/>
      <c r="M139" s="413"/>
      <c r="N139" s="413"/>
      <c r="O139" s="413"/>
      <c r="P139" s="413"/>
      <c r="Q139" s="413"/>
      <c r="R139" s="452"/>
      <c r="S139" s="443"/>
      <c r="T139" s="422" t="str" cm="1">
        <f t="array" ref="T139">IF(AND($U$12,B163&lt;=$C$17,C163&lt;&gt;""),TRANSPOSE(INDEX(getcds(C163,$C$6,G163/10000,F163,D163,$C$13,$C$14,$C$15,$C$8,,,TRUE,TRUE,FALSE,$C$29:$C$31,$C$33),{1;2;3;4;5})),"")</f>
        <v/>
      </c>
      <c r="U139" s="423"/>
      <c r="V139" s="423"/>
      <c r="W139" s="424"/>
      <c r="X139" s="425"/>
      <c r="Y139" s="426" t="str">
        <f t="shared" si="5"/>
        <v/>
      </c>
      <c r="Z139" s="427" t="str">
        <f t="shared" si="6"/>
        <v/>
      </c>
      <c r="AA139" s="426" t="str">
        <f t="shared" si="7"/>
        <v/>
      </c>
      <c r="AB139" s="428" t="str">
        <f t="shared" si="8"/>
        <v/>
      </c>
      <c r="AC139" s="427" t="str">
        <f t="shared" si="9"/>
        <v/>
      </c>
      <c r="AD139" s="227"/>
    </row>
    <row r="140" spans="1:30" customFormat="1" ht="15">
      <c r="A140" s="227"/>
      <c r="B140" s="276">
        <v>102</v>
      </c>
      <c r="C140" s="254"/>
      <c r="D140" s="255"/>
      <c r="E140" s="247"/>
      <c r="F140" s="232"/>
      <c r="G140" s="239"/>
      <c r="H140" s="386">
        <v>126</v>
      </c>
      <c r="I140" s="404"/>
      <c r="J140" s="404"/>
      <c r="K140" s="413"/>
      <c r="L140" s="413"/>
      <c r="M140" s="404"/>
      <c r="N140" s="404"/>
      <c r="O140" s="404"/>
      <c r="P140" s="404"/>
      <c r="Q140" s="404"/>
      <c r="R140" s="453"/>
      <c r="S140" s="443"/>
      <c r="T140" s="422" t="str" cm="1">
        <f t="array" ref="T140">IF(AND($U$12,B164&lt;=$C$17,C164&lt;&gt;""),TRANSPOSE(INDEX(getcds(C164,$C$6,G164/10000,F164,D164,$C$13,$C$14,$C$15,$C$8,,,TRUE,TRUE,FALSE,$C$29:$C$31,$C$33),{1;2;3;4;5})),"")</f>
        <v/>
      </c>
      <c r="U140" s="423"/>
      <c r="V140" s="423"/>
      <c r="W140" s="424"/>
      <c r="X140" s="425"/>
      <c r="Y140" s="426" t="str">
        <f t="shared" si="5"/>
        <v/>
      </c>
      <c r="Z140" s="427" t="str">
        <f t="shared" si="6"/>
        <v/>
      </c>
      <c r="AA140" s="426" t="str">
        <f t="shared" si="7"/>
        <v/>
      </c>
      <c r="AB140" s="428" t="str">
        <f t="shared" si="8"/>
        <v/>
      </c>
      <c r="AC140" s="427" t="str">
        <f t="shared" si="9"/>
        <v/>
      </c>
      <c r="AD140" s="227"/>
    </row>
    <row r="141" spans="1:30" customFormat="1" ht="15">
      <c r="A141" s="227"/>
      <c r="B141" s="276">
        <v>103</v>
      </c>
      <c r="C141" s="254"/>
      <c r="D141" s="255"/>
      <c r="E141" s="247"/>
      <c r="F141" s="232"/>
      <c r="G141" s="239"/>
      <c r="H141" s="386">
        <v>127</v>
      </c>
      <c r="I141" s="404"/>
      <c r="J141" s="404"/>
      <c r="K141" s="413"/>
      <c r="L141" s="413"/>
      <c r="M141" s="404"/>
      <c r="N141" s="404"/>
      <c r="O141" s="404"/>
      <c r="P141" s="404"/>
      <c r="Q141" s="404"/>
      <c r="R141" s="453"/>
      <c r="S141" s="443"/>
      <c r="T141" s="422" t="str" cm="1">
        <f t="array" ref="T141">IF(AND($U$12,B165&lt;=$C$17,C165&lt;&gt;""),TRANSPOSE(INDEX(getcds(C165,$C$6,G165/10000,F165,D165,$C$13,$C$14,$C$15,$C$8,,,TRUE,TRUE,FALSE,$C$29:$C$31,$C$33),{1;2;3;4;5})),"")</f>
        <v/>
      </c>
      <c r="U141" s="423"/>
      <c r="V141" s="423"/>
      <c r="W141" s="424"/>
      <c r="X141" s="425"/>
      <c r="Y141" s="426" t="str">
        <f t="shared" si="5"/>
        <v/>
      </c>
      <c r="Z141" s="427" t="str">
        <f t="shared" si="6"/>
        <v/>
      </c>
      <c r="AA141" s="426" t="str">
        <f t="shared" si="7"/>
        <v/>
      </c>
      <c r="AB141" s="428" t="str">
        <f t="shared" si="8"/>
        <v/>
      </c>
      <c r="AC141" s="427" t="str">
        <f t="shared" si="9"/>
        <v/>
      </c>
      <c r="AD141" s="227"/>
    </row>
    <row r="142" spans="1:30" customFormat="1" ht="15">
      <c r="A142" s="227"/>
      <c r="B142" s="276">
        <v>104</v>
      </c>
      <c r="C142" s="254"/>
      <c r="D142" s="255"/>
      <c r="E142" s="247"/>
      <c r="F142" s="232"/>
      <c r="G142" s="239"/>
      <c r="H142" s="386">
        <v>128</v>
      </c>
      <c r="I142" s="404"/>
      <c r="J142" s="404"/>
      <c r="K142" s="413"/>
      <c r="L142" s="413"/>
      <c r="M142" s="404"/>
      <c r="N142" s="404"/>
      <c r="O142" s="404"/>
      <c r="P142" s="404"/>
      <c r="Q142" s="404"/>
      <c r="R142" s="453"/>
      <c r="S142" s="443"/>
      <c r="T142" s="422" t="str" cm="1">
        <f t="array" ref="T142">IF(AND($U$12,B166&lt;=$C$17,C166&lt;&gt;""),TRANSPOSE(INDEX(getcds(C166,$C$6,G166/10000,F166,D166,$C$13,$C$14,$C$15,$C$8,,,TRUE,TRUE,FALSE,$C$29:$C$31,$C$33),{1;2;3;4;5})),"")</f>
        <v/>
      </c>
      <c r="U142" s="423"/>
      <c r="V142" s="423"/>
      <c r="W142" s="424"/>
      <c r="X142" s="425"/>
      <c r="Y142" s="426" t="str">
        <f t="shared" si="5"/>
        <v/>
      </c>
      <c r="Z142" s="427" t="str">
        <f t="shared" si="6"/>
        <v/>
      </c>
      <c r="AA142" s="426" t="str">
        <f t="shared" si="7"/>
        <v/>
      </c>
      <c r="AB142" s="428" t="str">
        <f t="shared" si="8"/>
        <v/>
      </c>
      <c r="AC142" s="427" t="str">
        <f t="shared" si="9"/>
        <v/>
      </c>
      <c r="AD142" s="227"/>
    </row>
    <row r="143" spans="1:30" customFormat="1" ht="15">
      <c r="A143" s="227"/>
      <c r="B143" s="276">
        <v>105</v>
      </c>
      <c r="C143" s="254"/>
      <c r="D143" s="255"/>
      <c r="E143" s="247"/>
      <c r="F143" s="232"/>
      <c r="G143" s="239"/>
      <c r="H143" s="386">
        <v>129</v>
      </c>
      <c r="I143" s="404"/>
      <c r="J143" s="404"/>
      <c r="K143" s="413"/>
      <c r="L143" s="413"/>
      <c r="M143" s="404"/>
      <c r="N143" s="404"/>
      <c r="O143" s="404"/>
      <c r="P143" s="404"/>
      <c r="Q143" s="404"/>
      <c r="R143" s="453"/>
      <c r="S143" s="443"/>
      <c r="T143" s="422" t="str" cm="1">
        <f t="array" ref="T143">IF(AND($U$12,B167&lt;=$C$17,C167&lt;&gt;""),TRANSPOSE(INDEX(getcds(C167,$C$6,G167/10000,F167,D167,$C$13,$C$14,$C$15,$C$8,,,TRUE,TRUE,FALSE,$C$29:$C$31,$C$33),{1;2;3;4;5})),"")</f>
        <v/>
      </c>
      <c r="U143" s="423"/>
      <c r="V143" s="423"/>
      <c r="W143" s="424"/>
      <c r="X143" s="425"/>
      <c r="Y143" s="426" t="str">
        <f t="shared" si="5"/>
        <v/>
      </c>
      <c r="Z143" s="427" t="str">
        <f t="shared" si="6"/>
        <v/>
      </c>
      <c r="AA143" s="426" t="str">
        <f t="shared" si="7"/>
        <v/>
      </c>
      <c r="AB143" s="428" t="str">
        <f t="shared" si="8"/>
        <v/>
      </c>
      <c r="AC143" s="427" t="str">
        <f t="shared" si="9"/>
        <v/>
      </c>
      <c r="AD143" s="227"/>
    </row>
    <row r="144" spans="1:30" customFormat="1" ht="15">
      <c r="A144" s="227"/>
      <c r="B144" s="276">
        <v>106</v>
      </c>
      <c r="C144" s="254"/>
      <c r="D144" s="255"/>
      <c r="E144" s="247"/>
      <c r="F144" s="232"/>
      <c r="G144" s="239"/>
      <c r="H144" s="386">
        <v>130</v>
      </c>
      <c r="I144" s="404"/>
      <c r="J144" s="404"/>
      <c r="K144" s="413"/>
      <c r="L144" s="413"/>
      <c r="M144" s="404"/>
      <c r="N144" s="404"/>
      <c r="O144" s="404"/>
      <c r="P144" s="404"/>
      <c r="Q144" s="404"/>
      <c r="R144" s="453"/>
      <c r="S144" s="443"/>
      <c r="T144" s="422" t="str" cm="1">
        <f t="array" ref="T144">IF(AND($U$12,B168&lt;=$C$17,C168&lt;&gt;""),TRANSPOSE(INDEX(getcds(C168,$C$6,G168/10000,F168,D168,$C$13,$C$14,$C$15,$C$8,,,TRUE,TRUE,FALSE,$C$29:$C$31,$C$33),{1;2;3;4;5})),"")</f>
        <v/>
      </c>
      <c r="U144" s="423"/>
      <c r="V144" s="423"/>
      <c r="W144" s="424"/>
      <c r="X144" s="425"/>
      <c r="Y144" s="426" t="str">
        <f t="shared" ref="Y144:Y207" si="10">IF($U$12,IF(T144="","",$U$13*D168/$C$18),"")</f>
        <v/>
      </c>
      <c r="Z144" s="427" t="str">
        <f t="shared" ref="Z144:Z207" si="11">IF($U$12,IF(Y144="","",Y144*($Z$10-W144)*X144),"")</f>
        <v/>
      </c>
      <c r="AA144" s="426" t="str">
        <f t="shared" ref="AA144:AA207" si="12">IF($U$12,IF(OR(T144="",L144=""),"",L144/($C$20-$C$19)),"")</f>
        <v/>
      </c>
      <c r="AB144" s="428" t="str">
        <f t="shared" ref="AB144:AB207" si="13">IF($U$12,IF(W144="","",W144*$AC$10),"")</f>
        <v/>
      </c>
      <c r="AC144" s="427" t="str">
        <f t="shared" ref="AC144:AC207" si="14">IF($U$12,IF(AA144="","",AA144*(AB144-W144)*X144),"")</f>
        <v/>
      </c>
      <c r="AD144" s="227"/>
    </row>
    <row r="145" spans="1:30" customFormat="1" ht="15">
      <c r="A145" s="227"/>
      <c r="B145" s="276">
        <v>107</v>
      </c>
      <c r="C145" s="254"/>
      <c r="D145" s="255"/>
      <c r="E145" s="247"/>
      <c r="F145" s="232"/>
      <c r="G145" s="239"/>
      <c r="H145" s="386">
        <v>131</v>
      </c>
      <c r="I145" s="404"/>
      <c r="J145" s="404"/>
      <c r="K145" s="413"/>
      <c r="L145" s="413"/>
      <c r="M145" s="404"/>
      <c r="N145" s="404"/>
      <c r="O145" s="404"/>
      <c r="P145" s="404"/>
      <c r="Q145" s="404"/>
      <c r="R145" s="453"/>
      <c r="S145" s="443"/>
      <c r="T145" s="422" t="str" cm="1">
        <f t="array" ref="T145">IF(AND($U$12,B169&lt;=$C$17,C169&lt;&gt;""),TRANSPOSE(INDEX(getcds(C169,$C$6,G169/10000,F169,D169,$C$13,$C$14,$C$15,$C$8,,,TRUE,TRUE,FALSE,$C$29:$C$31,$C$33),{1;2;3;4;5})),"")</f>
        <v/>
      </c>
      <c r="U145" s="423"/>
      <c r="V145" s="423"/>
      <c r="W145" s="424"/>
      <c r="X145" s="425"/>
      <c r="Y145" s="426" t="str">
        <f t="shared" si="10"/>
        <v/>
      </c>
      <c r="Z145" s="427" t="str">
        <f t="shared" si="11"/>
        <v/>
      </c>
      <c r="AA145" s="426" t="str">
        <f t="shared" si="12"/>
        <v/>
      </c>
      <c r="AB145" s="428" t="str">
        <f t="shared" si="13"/>
        <v/>
      </c>
      <c r="AC145" s="427" t="str">
        <f t="shared" si="14"/>
        <v/>
      </c>
      <c r="AD145" s="227"/>
    </row>
    <row r="146" spans="1:30" customFormat="1" ht="15">
      <c r="A146" s="227"/>
      <c r="B146" s="276">
        <v>108</v>
      </c>
      <c r="C146" s="254"/>
      <c r="D146" s="255"/>
      <c r="E146" s="247"/>
      <c r="F146" s="232"/>
      <c r="G146" s="239"/>
      <c r="H146" s="386">
        <v>132</v>
      </c>
      <c r="I146" s="404"/>
      <c r="J146" s="404"/>
      <c r="K146" s="413"/>
      <c r="L146" s="413"/>
      <c r="M146" s="404"/>
      <c r="N146" s="404"/>
      <c r="O146" s="404"/>
      <c r="P146" s="404"/>
      <c r="Q146" s="404"/>
      <c r="R146" s="453"/>
      <c r="S146" s="443"/>
      <c r="T146" s="422" t="str" cm="1">
        <f t="array" ref="T146">IF(AND($U$12,B170&lt;=$C$17,C170&lt;&gt;""),TRANSPOSE(INDEX(getcds(C170,$C$6,G170/10000,F170,D170,$C$13,$C$14,$C$15,$C$8,,,TRUE,TRUE,FALSE,$C$29:$C$31,$C$33),{1;2;3;4;5})),"")</f>
        <v/>
      </c>
      <c r="U146" s="423"/>
      <c r="V146" s="423"/>
      <c r="W146" s="424"/>
      <c r="X146" s="425"/>
      <c r="Y146" s="426" t="str">
        <f t="shared" si="10"/>
        <v/>
      </c>
      <c r="Z146" s="427" t="str">
        <f t="shared" si="11"/>
        <v/>
      </c>
      <c r="AA146" s="426" t="str">
        <f t="shared" si="12"/>
        <v/>
      </c>
      <c r="AB146" s="428" t="str">
        <f t="shared" si="13"/>
        <v/>
      </c>
      <c r="AC146" s="427" t="str">
        <f t="shared" si="14"/>
        <v/>
      </c>
      <c r="AD146" s="227"/>
    </row>
    <row r="147" spans="1:30" customFormat="1" ht="15">
      <c r="A147" s="227"/>
      <c r="B147" s="276">
        <v>109</v>
      </c>
      <c r="C147" s="254"/>
      <c r="D147" s="255"/>
      <c r="E147" s="247"/>
      <c r="F147" s="232"/>
      <c r="G147" s="239"/>
      <c r="H147" s="386">
        <v>133</v>
      </c>
      <c r="I147" s="404"/>
      <c r="J147" s="404"/>
      <c r="K147" s="413"/>
      <c r="L147" s="413"/>
      <c r="M147" s="404"/>
      <c r="N147" s="404"/>
      <c r="O147" s="404"/>
      <c r="P147" s="404"/>
      <c r="Q147" s="404"/>
      <c r="R147" s="453"/>
      <c r="S147" s="443"/>
      <c r="T147" s="422" t="str" cm="1">
        <f t="array" ref="T147">IF(AND($U$12,B171&lt;=$C$17,C171&lt;&gt;""),TRANSPOSE(INDEX(getcds(C171,$C$6,G171/10000,F171,D171,$C$13,$C$14,$C$15,$C$8,,,TRUE,TRUE,FALSE,$C$29:$C$31,$C$33),{1;2;3;4;5})),"")</f>
        <v/>
      </c>
      <c r="U147" s="423"/>
      <c r="V147" s="423"/>
      <c r="W147" s="424"/>
      <c r="X147" s="425"/>
      <c r="Y147" s="426" t="str">
        <f t="shared" si="10"/>
        <v/>
      </c>
      <c r="Z147" s="427" t="str">
        <f t="shared" si="11"/>
        <v/>
      </c>
      <c r="AA147" s="426" t="str">
        <f t="shared" si="12"/>
        <v/>
      </c>
      <c r="AB147" s="428" t="str">
        <f t="shared" si="13"/>
        <v/>
      </c>
      <c r="AC147" s="427" t="str">
        <f t="shared" si="14"/>
        <v/>
      </c>
      <c r="AD147" s="227"/>
    </row>
    <row r="148" spans="1:30" customFormat="1" ht="15">
      <c r="A148" s="227"/>
      <c r="B148" s="276">
        <v>110</v>
      </c>
      <c r="C148" s="254"/>
      <c r="D148" s="255"/>
      <c r="E148" s="247"/>
      <c r="F148" s="232"/>
      <c r="G148" s="239"/>
      <c r="H148" s="386">
        <v>134</v>
      </c>
      <c r="I148" s="404"/>
      <c r="J148" s="404"/>
      <c r="K148" s="413"/>
      <c r="L148" s="413"/>
      <c r="M148" s="404"/>
      <c r="N148" s="404"/>
      <c r="O148" s="404"/>
      <c r="P148" s="404"/>
      <c r="Q148" s="404"/>
      <c r="R148" s="453"/>
      <c r="S148" s="443"/>
      <c r="T148" s="422" t="str" cm="1">
        <f t="array" ref="T148">IF(AND($U$12,B172&lt;=$C$17,C172&lt;&gt;""),TRANSPOSE(INDEX(getcds(C172,$C$6,G172/10000,F172,D172,$C$13,$C$14,$C$15,$C$8,,,TRUE,TRUE,FALSE,$C$29:$C$31,$C$33),{1;2;3;4;5})),"")</f>
        <v/>
      </c>
      <c r="U148" s="423"/>
      <c r="V148" s="423"/>
      <c r="W148" s="424"/>
      <c r="X148" s="425"/>
      <c r="Y148" s="426" t="str">
        <f t="shared" si="10"/>
        <v/>
      </c>
      <c r="Z148" s="427" t="str">
        <f t="shared" si="11"/>
        <v/>
      </c>
      <c r="AA148" s="426" t="str">
        <f t="shared" si="12"/>
        <v/>
      </c>
      <c r="AB148" s="428" t="str">
        <f t="shared" si="13"/>
        <v/>
      </c>
      <c r="AC148" s="427" t="str">
        <f t="shared" si="14"/>
        <v/>
      </c>
      <c r="AD148" s="227"/>
    </row>
    <row r="149" spans="1:30" customFormat="1" ht="15">
      <c r="A149" s="227"/>
      <c r="B149" s="276">
        <v>111</v>
      </c>
      <c r="C149" s="254"/>
      <c r="D149" s="255"/>
      <c r="E149" s="247"/>
      <c r="F149" s="232"/>
      <c r="G149" s="239"/>
      <c r="H149" s="386">
        <v>135</v>
      </c>
      <c r="I149" s="404"/>
      <c r="J149" s="404"/>
      <c r="K149" s="413"/>
      <c r="L149" s="413"/>
      <c r="M149" s="404"/>
      <c r="N149" s="404"/>
      <c r="O149" s="404"/>
      <c r="P149" s="404"/>
      <c r="Q149" s="404"/>
      <c r="R149" s="453"/>
      <c r="S149" s="443"/>
      <c r="T149" s="422" t="str" cm="1">
        <f t="array" ref="T149">IF(AND($U$12,B173&lt;=$C$17,C173&lt;&gt;""),TRANSPOSE(INDEX(getcds(C173,$C$6,G173/10000,F173,D173,$C$13,$C$14,$C$15,$C$8,,,TRUE,TRUE,FALSE,$C$29:$C$31,$C$33),{1;2;3;4;5})),"")</f>
        <v/>
      </c>
      <c r="U149" s="423"/>
      <c r="V149" s="423"/>
      <c r="W149" s="424"/>
      <c r="X149" s="425"/>
      <c r="Y149" s="426" t="str">
        <f t="shared" si="10"/>
        <v/>
      </c>
      <c r="Z149" s="427" t="str">
        <f t="shared" si="11"/>
        <v/>
      </c>
      <c r="AA149" s="426" t="str">
        <f t="shared" si="12"/>
        <v/>
      </c>
      <c r="AB149" s="428" t="str">
        <f t="shared" si="13"/>
        <v/>
      </c>
      <c r="AC149" s="427" t="str">
        <f t="shared" si="14"/>
        <v/>
      </c>
      <c r="AD149" s="227"/>
    </row>
    <row r="150" spans="1:30" customFormat="1" ht="15">
      <c r="A150" s="227"/>
      <c r="B150" s="276">
        <v>112</v>
      </c>
      <c r="C150" s="254"/>
      <c r="D150" s="255"/>
      <c r="E150" s="247"/>
      <c r="F150" s="232"/>
      <c r="G150" s="239"/>
      <c r="H150" s="386">
        <v>136</v>
      </c>
      <c r="I150" s="404"/>
      <c r="J150" s="404"/>
      <c r="K150" s="413"/>
      <c r="L150" s="413"/>
      <c r="M150" s="404"/>
      <c r="N150" s="404"/>
      <c r="O150" s="404"/>
      <c r="P150" s="404"/>
      <c r="Q150" s="404"/>
      <c r="R150" s="453"/>
      <c r="S150" s="443"/>
      <c r="T150" s="422" t="str" cm="1">
        <f t="array" ref="T150">IF(AND($U$12,B174&lt;=$C$17,C174&lt;&gt;""),TRANSPOSE(INDEX(getcds(C174,$C$6,G174/10000,F174,D174,$C$13,$C$14,$C$15,$C$8,,,TRUE,TRUE,FALSE,$C$29:$C$31,$C$33),{1;2;3;4;5})),"")</f>
        <v/>
      </c>
      <c r="U150" s="423"/>
      <c r="V150" s="423"/>
      <c r="W150" s="424"/>
      <c r="X150" s="425"/>
      <c r="Y150" s="426" t="str">
        <f t="shared" si="10"/>
        <v/>
      </c>
      <c r="Z150" s="427" t="str">
        <f t="shared" si="11"/>
        <v/>
      </c>
      <c r="AA150" s="426" t="str">
        <f t="shared" si="12"/>
        <v/>
      </c>
      <c r="AB150" s="428" t="str">
        <f t="shared" si="13"/>
        <v/>
      </c>
      <c r="AC150" s="427" t="str">
        <f t="shared" si="14"/>
        <v/>
      </c>
      <c r="AD150" s="227"/>
    </row>
    <row r="151" spans="1:30" customFormat="1" ht="15">
      <c r="A151" s="227"/>
      <c r="B151" s="276">
        <v>113</v>
      </c>
      <c r="C151" s="254"/>
      <c r="D151" s="255"/>
      <c r="E151" s="247"/>
      <c r="F151" s="232"/>
      <c r="G151" s="239"/>
      <c r="H151" s="386">
        <v>137</v>
      </c>
      <c r="I151" s="404"/>
      <c r="J151" s="404"/>
      <c r="K151" s="413"/>
      <c r="L151" s="413"/>
      <c r="M151" s="404"/>
      <c r="N151" s="404"/>
      <c r="O151" s="404"/>
      <c r="P151" s="404"/>
      <c r="Q151" s="404"/>
      <c r="R151" s="453"/>
      <c r="S151" s="443"/>
      <c r="T151" s="422" t="str" cm="1">
        <f t="array" ref="T151">IF(AND($U$12,B175&lt;=$C$17,C175&lt;&gt;""),TRANSPOSE(INDEX(getcds(C175,$C$6,G175/10000,F175,D175,$C$13,$C$14,$C$15,$C$8,,,TRUE,TRUE,FALSE,$C$29:$C$31,$C$33),{1;2;3;4;5})),"")</f>
        <v/>
      </c>
      <c r="U151" s="423"/>
      <c r="V151" s="423"/>
      <c r="W151" s="424"/>
      <c r="X151" s="425"/>
      <c r="Y151" s="426" t="str">
        <f t="shared" si="10"/>
        <v/>
      </c>
      <c r="Z151" s="427" t="str">
        <f t="shared" si="11"/>
        <v/>
      </c>
      <c r="AA151" s="426" t="str">
        <f t="shared" si="12"/>
        <v/>
      </c>
      <c r="AB151" s="428" t="str">
        <f t="shared" si="13"/>
        <v/>
      </c>
      <c r="AC151" s="427" t="str">
        <f t="shared" si="14"/>
        <v/>
      </c>
      <c r="AD151" s="227"/>
    </row>
    <row r="152" spans="1:30" customFormat="1" ht="15">
      <c r="A152" s="227"/>
      <c r="B152" s="276">
        <v>114</v>
      </c>
      <c r="C152" s="254"/>
      <c r="D152" s="255"/>
      <c r="E152" s="247"/>
      <c r="F152" s="232"/>
      <c r="G152" s="239"/>
      <c r="H152" s="386">
        <v>138</v>
      </c>
      <c r="I152" s="404"/>
      <c r="J152" s="404"/>
      <c r="K152" s="413"/>
      <c r="L152" s="413"/>
      <c r="M152" s="404"/>
      <c r="N152" s="404"/>
      <c r="O152" s="404"/>
      <c r="P152" s="404"/>
      <c r="Q152" s="404"/>
      <c r="R152" s="453"/>
      <c r="S152" s="443"/>
      <c r="T152" s="422" t="str" cm="1">
        <f t="array" ref="T152">IF(AND($U$12,B176&lt;=$C$17,C176&lt;&gt;""),TRANSPOSE(INDEX(getcds(C176,$C$6,G176/10000,F176,D176,$C$13,$C$14,$C$15,$C$8,,,TRUE,TRUE,FALSE,$C$29:$C$31,$C$33),{1;2;3;4;5})),"")</f>
        <v/>
      </c>
      <c r="U152" s="423"/>
      <c r="V152" s="423"/>
      <c r="W152" s="424"/>
      <c r="X152" s="425"/>
      <c r="Y152" s="426" t="str">
        <f t="shared" si="10"/>
        <v/>
      </c>
      <c r="Z152" s="427" t="str">
        <f t="shared" si="11"/>
        <v/>
      </c>
      <c r="AA152" s="426" t="str">
        <f t="shared" si="12"/>
        <v/>
      </c>
      <c r="AB152" s="428" t="str">
        <f t="shared" si="13"/>
        <v/>
      </c>
      <c r="AC152" s="427" t="str">
        <f t="shared" si="14"/>
        <v/>
      </c>
      <c r="AD152" s="227"/>
    </row>
    <row r="153" spans="1:30" customFormat="1" ht="15">
      <c r="A153" s="227"/>
      <c r="B153" s="276">
        <v>115</v>
      </c>
      <c r="C153" s="254"/>
      <c r="D153" s="255"/>
      <c r="E153" s="247"/>
      <c r="F153" s="232"/>
      <c r="G153" s="239"/>
      <c r="H153" s="386">
        <v>139</v>
      </c>
      <c r="I153" s="404"/>
      <c r="J153" s="404"/>
      <c r="K153" s="413"/>
      <c r="L153" s="413"/>
      <c r="M153" s="404"/>
      <c r="N153" s="404"/>
      <c r="O153" s="404"/>
      <c r="P153" s="404"/>
      <c r="Q153" s="404"/>
      <c r="R153" s="453"/>
      <c r="S153" s="443"/>
      <c r="T153" s="422" t="str" cm="1">
        <f t="array" ref="T153">IF(AND($U$12,B177&lt;=$C$17,C177&lt;&gt;""),TRANSPOSE(INDEX(getcds(C177,$C$6,G177/10000,F177,D177,$C$13,$C$14,$C$15,$C$8,,,TRUE,TRUE,FALSE,$C$29:$C$31,$C$33),{1;2;3;4;5})),"")</f>
        <v/>
      </c>
      <c r="U153" s="423"/>
      <c r="V153" s="423"/>
      <c r="W153" s="424"/>
      <c r="X153" s="425"/>
      <c r="Y153" s="426" t="str">
        <f t="shared" si="10"/>
        <v/>
      </c>
      <c r="Z153" s="427" t="str">
        <f t="shared" si="11"/>
        <v/>
      </c>
      <c r="AA153" s="426" t="str">
        <f t="shared" si="12"/>
        <v/>
      </c>
      <c r="AB153" s="428" t="str">
        <f t="shared" si="13"/>
        <v/>
      </c>
      <c r="AC153" s="427" t="str">
        <f t="shared" si="14"/>
        <v/>
      </c>
      <c r="AD153" s="227"/>
    </row>
    <row r="154" spans="1:30" customFormat="1" ht="15">
      <c r="A154" s="227"/>
      <c r="B154" s="276">
        <v>116</v>
      </c>
      <c r="C154" s="254"/>
      <c r="D154" s="255"/>
      <c r="E154" s="247"/>
      <c r="F154" s="232"/>
      <c r="G154" s="239"/>
      <c r="H154" s="386">
        <v>140</v>
      </c>
      <c r="I154" s="404"/>
      <c r="J154" s="404"/>
      <c r="K154" s="413"/>
      <c r="L154" s="413"/>
      <c r="M154" s="404"/>
      <c r="N154" s="404"/>
      <c r="O154" s="404"/>
      <c r="P154" s="404"/>
      <c r="Q154" s="404"/>
      <c r="R154" s="453"/>
      <c r="S154" s="443"/>
      <c r="T154" s="422" t="str" cm="1">
        <f t="array" ref="T154">IF(AND($U$12,B178&lt;=$C$17,C178&lt;&gt;""),TRANSPOSE(INDEX(getcds(C178,$C$6,G178/10000,F178,D178,$C$13,$C$14,$C$15,$C$8,,,TRUE,TRUE,FALSE,$C$29:$C$31,$C$33),{1;2;3;4;5})),"")</f>
        <v/>
      </c>
      <c r="U154" s="423"/>
      <c r="V154" s="423"/>
      <c r="W154" s="424"/>
      <c r="X154" s="425"/>
      <c r="Y154" s="426" t="str">
        <f t="shared" si="10"/>
        <v/>
      </c>
      <c r="Z154" s="427" t="str">
        <f t="shared" si="11"/>
        <v/>
      </c>
      <c r="AA154" s="426" t="str">
        <f t="shared" si="12"/>
        <v/>
      </c>
      <c r="AB154" s="428" t="str">
        <f t="shared" si="13"/>
        <v/>
      </c>
      <c r="AC154" s="427" t="str">
        <f t="shared" si="14"/>
        <v/>
      </c>
      <c r="AD154" s="227"/>
    </row>
    <row r="155" spans="1:30" customFormat="1" ht="15">
      <c r="A155" s="227"/>
      <c r="B155" s="276">
        <v>117</v>
      </c>
      <c r="C155" s="254"/>
      <c r="D155" s="255"/>
      <c r="E155" s="247"/>
      <c r="F155" s="232"/>
      <c r="G155" s="239"/>
      <c r="H155" s="386">
        <v>141</v>
      </c>
      <c r="I155" s="404"/>
      <c r="J155" s="404"/>
      <c r="K155" s="413"/>
      <c r="L155" s="413"/>
      <c r="M155" s="404"/>
      <c r="N155" s="404"/>
      <c r="O155" s="404"/>
      <c r="P155" s="404"/>
      <c r="Q155" s="404"/>
      <c r="R155" s="453"/>
      <c r="S155" s="443"/>
      <c r="T155" s="422" t="str" cm="1">
        <f t="array" ref="T155">IF(AND($U$12,B179&lt;=$C$17,C179&lt;&gt;""),TRANSPOSE(INDEX(getcds(C179,$C$6,G179/10000,F179,D179,$C$13,$C$14,$C$15,$C$8,,,TRUE,TRUE,FALSE,$C$29:$C$31,$C$33),{1;2;3;4;5})),"")</f>
        <v/>
      </c>
      <c r="U155" s="423"/>
      <c r="V155" s="423"/>
      <c r="W155" s="424"/>
      <c r="X155" s="425"/>
      <c r="Y155" s="426" t="str">
        <f t="shared" si="10"/>
        <v/>
      </c>
      <c r="Z155" s="427" t="str">
        <f t="shared" si="11"/>
        <v/>
      </c>
      <c r="AA155" s="426" t="str">
        <f t="shared" si="12"/>
        <v/>
      </c>
      <c r="AB155" s="428" t="str">
        <f t="shared" si="13"/>
        <v/>
      </c>
      <c r="AC155" s="427" t="str">
        <f t="shared" si="14"/>
        <v/>
      </c>
      <c r="AD155" s="227"/>
    </row>
    <row r="156" spans="1:30" customFormat="1" ht="15">
      <c r="A156" s="227"/>
      <c r="B156" s="276">
        <v>118</v>
      </c>
      <c r="C156" s="254"/>
      <c r="D156" s="255"/>
      <c r="E156" s="247"/>
      <c r="F156" s="232"/>
      <c r="G156" s="239"/>
      <c r="H156" s="386">
        <v>142</v>
      </c>
      <c r="I156" s="404"/>
      <c r="J156" s="404"/>
      <c r="K156" s="413"/>
      <c r="L156" s="413"/>
      <c r="M156" s="404"/>
      <c r="N156" s="404"/>
      <c r="O156" s="404"/>
      <c r="P156" s="404"/>
      <c r="Q156" s="404"/>
      <c r="R156" s="453"/>
      <c r="S156" s="443"/>
      <c r="T156" s="422" t="str" cm="1">
        <f t="array" ref="T156">IF(AND($U$12,B180&lt;=$C$17,C180&lt;&gt;""),TRANSPOSE(INDEX(getcds(C180,$C$6,G180/10000,F180,D180,$C$13,$C$14,$C$15,$C$8,,,TRUE,TRUE,FALSE,$C$29:$C$31,$C$33),{1;2;3;4;5})),"")</f>
        <v/>
      </c>
      <c r="U156" s="423"/>
      <c r="V156" s="423"/>
      <c r="W156" s="424"/>
      <c r="X156" s="425"/>
      <c r="Y156" s="426" t="str">
        <f t="shared" si="10"/>
        <v/>
      </c>
      <c r="Z156" s="427" t="str">
        <f t="shared" si="11"/>
        <v/>
      </c>
      <c r="AA156" s="426" t="str">
        <f t="shared" si="12"/>
        <v/>
      </c>
      <c r="AB156" s="428" t="str">
        <f t="shared" si="13"/>
        <v/>
      </c>
      <c r="AC156" s="427" t="str">
        <f t="shared" si="14"/>
        <v/>
      </c>
      <c r="AD156" s="227"/>
    </row>
    <row r="157" spans="1:30" customFormat="1" ht="15">
      <c r="A157" s="227"/>
      <c r="B157" s="276">
        <v>119</v>
      </c>
      <c r="C157" s="254"/>
      <c r="D157" s="255"/>
      <c r="E157" s="247"/>
      <c r="F157" s="232"/>
      <c r="G157" s="239"/>
      <c r="H157" s="386">
        <v>143</v>
      </c>
      <c r="I157" s="404"/>
      <c r="J157" s="404"/>
      <c r="K157" s="413"/>
      <c r="L157" s="413"/>
      <c r="M157" s="404"/>
      <c r="N157" s="404"/>
      <c r="O157" s="404"/>
      <c r="P157" s="404"/>
      <c r="Q157" s="404"/>
      <c r="R157" s="453"/>
      <c r="S157" s="443"/>
      <c r="T157" s="422" t="str" cm="1">
        <f t="array" ref="T157">IF(AND($U$12,B181&lt;=$C$17,C181&lt;&gt;""),TRANSPOSE(INDEX(getcds(C181,$C$6,G181/10000,F181,D181,$C$13,$C$14,$C$15,$C$8,,,TRUE,TRUE,FALSE,$C$29:$C$31,$C$33),{1;2;3;4;5})),"")</f>
        <v/>
      </c>
      <c r="U157" s="423"/>
      <c r="V157" s="423"/>
      <c r="W157" s="424"/>
      <c r="X157" s="425"/>
      <c r="Y157" s="426" t="str">
        <f t="shared" si="10"/>
        <v/>
      </c>
      <c r="Z157" s="427" t="str">
        <f t="shared" si="11"/>
        <v/>
      </c>
      <c r="AA157" s="426" t="str">
        <f t="shared" si="12"/>
        <v/>
      </c>
      <c r="AB157" s="428" t="str">
        <f t="shared" si="13"/>
        <v/>
      </c>
      <c r="AC157" s="427" t="str">
        <f t="shared" si="14"/>
        <v/>
      </c>
      <c r="AD157" s="227"/>
    </row>
    <row r="158" spans="1:30" customFormat="1" ht="15">
      <c r="A158" s="227"/>
      <c r="B158" s="276">
        <v>120</v>
      </c>
      <c r="C158" s="254"/>
      <c r="D158" s="255"/>
      <c r="E158" s="247"/>
      <c r="F158" s="232"/>
      <c r="G158" s="239"/>
      <c r="H158" s="386">
        <v>144</v>
      </c>
      <c r="I158" s="404"/>
      <c r="J158" s="404"/>
      <c r="K158" s="413"/>
      <c r="L158" s="413"/>
      <c r="M158" s="404"/>
      <c r="N158" s="404"/>
      <c r="O158" s="404"/>
      <c r="P158" s="404"/>
      <c r="Q158" s="404"/>
      <c r="R158" s="453"/>
      <c r="S158" s="443"/>
      <c r="T158" s="422" t="str" cm="1">
        <f t="array" ref="T158">IF(AND($U$12,B182&lt;=$C$17,C182&lt;&gt;""),TRANSPOSE(INDEX(getcds(C182,$C$6,G182/10000,F182,D182,$C$13,$C$14,$C$15,$C$8,,,TRUE,TRUE,FALSE,$C$29:$C$31,$C$33),{1;2;3;4;5})),"")</f>
        <v/>
      </c>
      <c r="U158" s="423"/>
      <c r="V158" s="423"/>
      <c r="W158" s="424"/>
      <c r="X158" s="425"/>
      <c r="Y158" s="426" t="str">
        <f t="shared" si="10"/>
        <v/>
      </c>
      <c r="Z158" s="427" t="str">
        <f t="shared" si="11"/>
        <v/>
      </c>
      <c r="AA158" s="426" t="str">
        <f t="shared" si="12"/>
        <v/>
      </c>
      <c r="AB158" s="428" t="str">
        <f t="shared" si="13"/>
        <v/>
      </c>
      <c r="AC158" s="427" t="str">
        <f t="shared" si="14"/>
        <v/>
      </c>
      <c r="AD158" s="227"/>
    </row>
    <row r="159" spans="1:30" customFormat="1" ht="15">
      <c r="A159" s="227"/>
      <c r="B159" s="276">
        <v>121</v>
      </c>
      <c r="C159" s="254"/>
      <c r="D159" s="255"/>
      <c r="E159" s="247"/>
      <c r="F159" s="232"/>
      <c r="G159" s="239"/>
      <c r="H159" s="386">
        <v>145</v>
      </c>
      <c r="I159" s="404"/>
      <c r="J159" s="404"/>
      <c r="K159" s="413"/>
      <c r="L159" s="413"/>
      <c r="M159" s="404"/>
      <c r="N159" s="404"/>
      <c r="O159" s="404"/>
      <c r="P159" s="404"/>
      <c r="Q159" s="404"/>
      <c r="R159" s="453"/>
      <c r="S159" s="443"/>
      <c r="T159" s="422" t="str" cm="1">
        <f t="array" ref="T159">IF(AND($U$12,B183&lt;=$C$17,C183&lt;&gt;""),TRANSPOSE(INDEX(getcds(C183,$C$6,G183/10000,F183,D183,$C$13,$C$14,$C$15,$C$8,,,TRUE,TRUE,FALSE,$C$29:$C$31,$C$33),{1;2;3;4;5})),"")</f>
        <v/>
      </c>
      <c r="U159" s="423"/>
      <c r="V159" s="423"/>
      <c r="W159" s="424"/>
      <c r="X159" s="425"/>
      <c r="Y159" s="426" t="str">
        <f t="shared" si="10"/>
        <v/>
      </c>
      <c r="Z159" s="427" t="str">
        <f t="shared" si="11"/>
        <v/>
      </c>
      <c r="AA159" s="426" t="str">
        <f t="shared" si="12"/>
        <v/>
      </c>
      <c r="AB159" s="428" t="str">
        <f t="shared" si="13"/>
        <v/>
      </c>
      <c r="AC159" s="427" t="str">
        <f t="shared" si="14"/>
        <v/>
      </c>
      <c r="AD159" s="227"/>
    </row>
    <row r="160" spans="1:30" customFormat="1" ht="15">
      <c r="A160" s="227"/>
      <c r="B160" s="276">
        <v>122</v>
      </c>
      <c r="C160" s="254"/>
      <c r="D160" s="255"/>
      <c r="E160" s="247"/>
      <c r="F160" s="232"/>
      <c r="G160" s="239"/>
      <c r="H160" s="386">
        <v>146</v>
      </c>
      <c r="I160" s="404"/>
      <c r="J160" s="404"/>
      <c r="K160" s="413"/>
      <c r="L160" s="413"/>
      <c r="M160" s="404"/>
      <c r="N160" s="404"/>
      <c r="O160" s="404"/>
      <c r="P160" s="404"/>
      <c r="Q160" s="404"/>
      <c r="R160" s="453"/>
      <c r="S160" s="443"/>
      <c r="T160" s="422" t="str" cm="1">
        <f t="array" ref="T160">IF(AND($U$12,B184&lt;=$C$17,C184&lt;&gt;""),TRANSPOSE(INDEX(getcds(C184,$C$6,G184/10000,F184,D184,$C$13,$C$14,$C$15,$C$8,,,TRUE,TRUE,FALSE,$C$29:$C$31,$C$33),{1;2;3;4;5})),"")</f>
        <v/>
      </c>
      <c r="U160" s="423"/>
      <c r="V160" s="423"/>
      <c r="W160" s="424"/>
      <c r="X160" s="425"/>
      <c r="Y160" s="426" t="str">
        <f t="shared" si="10"/>
        <v/>
      </c>
      <c r="Z160" s="427" t="str">
        <f t="shared" si="11"/>
        <v/>
      </c>
      <c r="AA160" s="426" t="str">
        <f t="shared" si="12"/>
        <v/>
      </c>
      <c r="AB160" s="428" t="str">
        <f t="shared" si="13"/>
        <v/>
      </c>
      <c r="AC160" s="427" t="str">
        <f t="shared" si="14"/>
        <v/>
      </c>
      <c r="AD160" s="227"/>
    </row>
    <row r="161" spans="1:30" customFormat="1" ht="15">
      <c r="A161" s="227"/>
      <c r="B161" s="276">
        <v>123</v>
      </c>
      <c r="C161" s="254"/>
      <c r="D161" s="255"/>
      <c r="E161" s="247"/>
      <c r="F161" s="232"/>
      <c r="G161" s="239"/>
      <c r="H161" s="386">
        <v>147</v>
      </c>
      <c r="I161" s="404"/>
      <c r="J161" s="404"/>
      <c r="K161" s="413"/>
      <c r="L161" s="413"/>
      <c r="M161" s="404"/>
      <c r="N161" s="404"/>
      <c r="O161" s="404"/>
      <c r="P161" s="404"/>
      <c r="Q161" s="404"/>
      <c r="R161" s="453"/>
      <c r="S161" s="443"/>
      <c r="T161" s="422" t="str" cm="1">
        <f t="array" ref="T161">IF(AND($U$12,B185&lt;=$C$17,C185&lt;&gt;""),TRANSPOSE(INDEX(getcds(C185,$C$6,G185/10000,F185,D185,$C$13,$C$14,$C$15,$C$8,,,TRUE,TRUE,FALSE,$C$29:$C$31,$C$33),{1;2;3;4;5})),"")</f>
        <v/>
      </c>
      <c r="U161" s="423"/>
      <c r="V161" s="423"/>
      <c r="W161" s="424"/>
      <c r="X161" s="425"/>
      <c r="Y161" s="426" t="str">
        <f t="shared" si="10"/>
        <v/>
      </c>
      <c r="Z161" s="427" t="str">
        <f t="shared" si="11"/>
        <v/>
      </c>
      <c r="AA161" s="426" t="str">
        <f t="shared" si="12"/>
        <v/>
      </c>
      <c r="AB161" s="428" t="str">
        <f t="shared" si="13"/>
        <v/>
      </c>
      <c r="AC161" s="427" t="str">
        <f t="shared" si="14"/>
        <v/>
      </c>
      <c r="AD161" s="227"/>
    </row>
    <row r="162" spans="1:30" customFormat="1" ht="15">
      <c r="A162" s="227"/>
      <c r="B162" s="276">
        <v>124</v>
      </c>
      <c r="C162" s="254"/>
      <c r="D162" s="255"/>
      <c r="E162" s="247"/>
      <c r="F162" s="232"/>
      <c r="G162" s="239"/>
      <c r="H162" s="386">
        <v>148</v>
      </c>
      <c r="I162" s="404"/>
      <c r="J162" s="404"/>
      <c r="K162" s="413"/>
      <c r="L162" s="413"/>
      <c r="M162" s="404"/>
      <c r="N162" s="404"/>
      <c r="O162" s="404"/>
      <c r="P162" s="404"/>
      <c r="Q162" s="404"/>
      <c r="R162" s="453"/>
      <c r="S162" s="443"/>
      <c r="T162" s="422" t="str" cm="1">
        <f t="array" ref="T162">IF(AND($U$12,B186&lt;=$C$17,C186&lt;&gt;""),TRANSPOSE(INDEX(getcds(C186,$C$6,G186/10000,F186,D186,$C$13,$C$14,$C$15,$C$8,,,TRUE,TRUE,FALSE,$C$29:$C$31,$C$33),{1;2;3;4;5})),"")</f>
        <v/>
      </c>
      <c r="U162" s="423"/>
      <c r="V162" s="423"/>
      <c r="W162" s="424"/>
      <c r="X162" s="425"/>
      <c r="Y162" s="426" t="str">
        <f t="shared" si="10"/>
        <v/>
      </c>
      <c r="Z162" s="427" t="str">
        <f t="shared" si="11"/>
        <v/>
      </c>
      <c r="AA162" s="426" t="str">
        <f t="shared" si="12"/>
        <v/>
      </c>
      <c r="AB162" s="428" t="str">
        <f t="shared" si="13"/>
        <v/>
      </c>
      <c r="AC162" s="427" t="str">
        <f t="shared" si="14"/>
        <v/>
      </c>
      <c r="AD162" s="227"/>
    </row>
    <row r="163" spans="1:30" customFormat="1" ht="15">
      <c r="A163" s="227"/>
      <c r="B163" s="276">
        <v>125</v>
      </c>
      <c r="C163" s="254"/>
      <c r="D163" s="255"/>
      <c r="E163" s="247"/>
      <c r="F163" s="232"/>
      <c r="G163" s="239"/>
      <c r="H163" s="386">
        <v>149</v>
      </c>
      <c r="I163" s="404"/>
      <c r="J163" s="404"/>
      <c r="K163" s="413"/>
      <c r="L163" s="413"/>
      <c r="M163" s="413"/>
      <c r="N163" s="413"/>
      <c r="O163" s="413"/>
      <c r="P163" s="413"/>
      <c r="Q163" s="413"/>
      <c r="R163" s="452"/>
      <c r="S163" s="443"/>
      <c r="T163" s="422" t="str" cm="1">
        <f t="array" ref="T163">IF(AND($U$12,B187&lt;=$C$17,C187&lt;&gt;""),TRANSPOSE(INDEX(getcds(C187,$C$6,G187/10000,F187,D187,$C$13,$C$14,$C$15,$C$8,,,TRUE,TRUE,FALSE,$C$29:$C$31,$C$33),{1;2;3;4;5})),"")</f>
        <v/>
      </c>
      <c r="U163" s="423"/>
      <c r="V163" s="423"/>
      <c r="W163" s="424"/>
      <c r="X163" s="425"/>
      <c r="Y163" s="426" t="str">
        <f t="shared" si="10"/>
        <v/>
      </c>
      <c r="Z163" s="427" t="str">
        <f t="shared" si="11"/>
        <v/>
      </c>
      <c r="AA163" s="426" t="str">
        <f t="shared" si="12"/>
        <v/>
      </c>
      <c r="AB163" s="428" t="str">
        <f t="shared" si="13"/>
        <v/>
      </c>
      <c r="AC163" s="427" t="str">
        <f t="shared" si="14"/>
        <v/>
      </c>
      <c r="AD163" s="227"/>
    </row>
    <row r="164" spans="1:30" customFormat="1" ht="15">
      <c r="A164" s="227"/>
      <c r="B164" s="276">
        <v>126</v>
      </c>
      <c r="C164" s="254"/>
      <c r="D164" s="255"/>
      <c r="E164" s="247"/>
      <c r="F164" s="232"/>
      <c r="G164" s="239"/>
      <c r="H164" s="386">
        <v>150</v>
      </c>
      <c r="I164" s="404"/>
      <c r="J164" s="404"/>
      <c r="K164" s="413"/>
      <c r="L164" s="413"/>
      <c r="M164" s="413"/>
      <c r="N164" s="413"/>
      <c r="O164" s="413"/>
      <c r="P164" s="413"/>
      <c r="Q164" s="413"/>
      <c r="R164" s="452"/>
      <c r="S164" s="443"/>
      <c r="T164" s="422" t="str" cm="1">
        <f t="array" ref="T164">IF(AND($U$12,B188&lt;=$C$17,C188&lt;&gt;""),TRANSPOSE(INDEX(getcds(C188,$C$6,G188/10000,F188,D188,$C$13,$C$14,$C$15,$C$8,,,TRUE,TRUE,FALSE,$C$29:$C$31,$C$33),{1;2;3;4;5})),"")</f>
        <v/>
      </c>
      <c r="U164" s="423"/>
      <c r="V164" s="423"/>
      <c r="W164" s="424"/>
      <c r="X164" s="425"/>
      <c r="Y164" s="426" t="str">
        <f t="shared" si="10"/>
        <v/>
      </c>
      <c r="Z164" s="427" t="str">
        <f t="shared" si="11"/>
        <v/>
      </c>
      <c r="AA164" s="426" t="str">
        <f t="shared" si="12"/>
        <v/>
      </c>
      <c r="AB164" s="428" t="str">
        <f t="shared" si="13"/>
        <v/>
      </c>
      <c r="AC164" s="427" t="str">
        <f t="shared" si="14"/>
        <v/>
      </c>
      <c r="AD164" s="227"/>
    </row>
    <row r="165" spans="1:30" customFormat="1" ht="15">
      <c r="A165" s="227"/>
      <c r="B165" s="276">
        <v>127</v>
      </c>
      <c r="C165" s="254"/>
      <c r="D165" s="255"/>
      <c r="E165" s="247"/>
      <c r="F165" s="232"/>
      <c r="G165" s="239"/>
      <c r="H165" s="386">
        <v>151</v>
      </c>
      <c r="I165" s="404"/>
      <c r="J165" s="404"/>
      <c r="K165" s="413"/>
      <c r="L165" s="413"/>
      <c r="M165" s="413"/>
      <c r="N165" s="413"/>
      <c r="O165" s="413"/>
      <c r="P165" s="413"/>
      <c r="Q165" s="413"/>
      <c r="R165" s="452"/>
      <c r="S165" s="443"/>
      <c r="T165" s="422" t="str" cm="1">
        <f t="array" ref="T165">IF(AND($U$12,B189&lt;=$C$17,C189&lt;&gt;""),TRANSPOSE(INDEX(getcds(C189,$C$6,G189/10000,F189,D189,$C$13,$C$14,$C$15,$C$8,,,TRUE,TRUE,FALSE,$C$29:$C$31,$C$33),{1;2;3;4;5})),"")</f>
        <v/>
      </c>
      <c r="U165" s="423"/>
      <c r="V165" s="423"/>
      <c r="W165" s="424"/>
      <c r="X165" s="425"/>
      <c r="Y165" s="426" t="str">
        <f t="shared" si="10"/>
        <v/>
      </c>
      <c r="Z165" s="427" t="str">
        <f t="shared" si="11"/>
        <v/>
      </c>
      <c r="AA165" s="426" t="str">
        <f t="shared" si="12"/>
        <v/>
      </c>
      <c r="AB165" s="428" t="str">
        <f t="shared" si="13"/>
        <v/>
      </c>
      <c r="AC165" s="427" t="str">
        <f t="shared" si="14"/>
        <v/>
      </c>
      <c r="AD165" s="227"/>
    </row>
    <row r="166" spans="1:30" customFormat="1" ht="15">
      <c r="A166" s="227"/>
      <c r="B166" s="276">
        <v>128</v>
      </c>
      <c r="C166" s="254"/>
      <c r="D166" s="255"/>
      <c r="E166" s="247"/>
      <c r="F166" s="232"/>
      <c r="G166" s="239"/>
      <c r="H166" s="386">
        <v>152</v>
      </c>
      <c r="I166" s="404"/>
      <c r="J166" s="404"/>
      <c r="K166" s="413"/>
      <c r="L166" s="413"/>
      <c r="M166" s="413"/>
      <c r="N166" s="413"/>
      <c r="O166" s="413"/>
      <c r="P166" s="413"/>
      <c r="Q166" s="413"/>
      <c r="R166" s="452"/>
      <c r="S166" s="443"/>
      <c r="T166" s="422" t="str" cm="1">
        <f t="array" ref="T166">IF(AND($U$12,B190&lt;=$C$17,C190&lt;&gt;""),TRANSPOSE(INDEX(getcds(C190,$C$6,G190/10000,F190,D190,$C$13,$C$14,$C$15,$C$8,,,TRUE,TRUE,FALSE,$C$29:$C$31,$C$33),{1;2;3;4;5})),"")</f>
        <v/>
      </c>
      <c r="U166" s="423"/>
      <c r="V166" s="423"/>
      <c r="W166" s="424"/>
      <c r="X166" s="425"/>
      <c r="Y166" s="426" t="str">
        <f t="shared" si="10"/>
        <v/>
      </c>
      <c r="Z166" s="427" t="str">
        <f t="shared" si="11"/>
        <v/>
      </c>
      <c r="AA166" s="426" t="str">
        <f t="shared" si="12"/>
        <v/>
      </c>
      <c r="AB166" s="428" t="str">
        <f t="shared" si="13"/>
        <v/>
      </c>
      <c r="AC166" s="427" t="str">
        <f t="shared" si="14"/>
        <v/>
      </c>
      <c r="AD166" s="227"/>
    </row>
    <row r="167" spans="1:30" customFormat="1" ht="15">
      <c r="A167" s="227"/>
      <c r="B167" s="276">
        <v>129</v>
      </c>
      <c r="C167" s="254"/>
      <c r="D167" s="255"/>
      <c r="E167" s="247"/>
      <c r="F167" s="232"/>
      <c r="G167" s="239"/>
      <c r="H167" s="386">
        <v>153</v>
      </c>
      <c r="I167" s="404"/>
      <c r="J167" s="404"/>
      <c r="K167" s="413"/>
      <c r="L167" s="413"/>
      <c r="M167" s="413"/>
      <c r="N167" s="413"/>
      <c r="O167" s="413"/>
      <c r="P167" s="413"/>
      <c r="Q167" s="413"/>
      <c r="R167" s="452"/>
      <c r="S167" s="443"/>
      <c r="T167" s="422" t="str" cm="1">
        <f t="array" ref="T167">IF(AND($U$12,B191&lt;=$C$17,C191&lt;&gt;""),TRANSPOSE(INDEX(getcds(C191,$C$6,G191/10000,F191,D191,$C$13,$C$14,$C$15,$C$8,,,TRUE,TRUE,FALSE,$C$29:$C$31,$C$33),{1;2;3;4;5})),"")</f>
        <v/>
      </c>
      <c r="U167" s="423"/>
      <c r="V167" s="423"/>
      <c r="W167" s="424"/>
      <c r="X167" s="425"/>
      <c r="Y167" s="426" t="str">
        <f t="shared" si="10"/>
        <v/>
      </c>
      <c r="Z167" s="427" t="str">
        <f t="shared" si="11"/>
        <v/>
      </c>
      <c r="AA167" s="426" t="str">
        <f t="shared" si="12"/>
        <v/>
      </c>
      <c r="AB167" s="428" t="str">
        <f t="shared" si="13"/>
        <v/>
      </c>
      <c r="AC167" s="427" t="str">
        <f t="shared" si="14"/>
        <v/>
      </c>
      <c r="AD167" s="227"/>
    </row>
    <row r="168" spans="1:30" customFormat="1" ht="15">
      <c r="A168" s="227"/>
      <c r="B168" s="276">
        <v>130</v>
      </c>
      <c r="C168" s="254"/>
      <c r="D168" s="255"/>
      <c r="E168" s="247"/>
      <c r="F168" s="232"/>
      <c r="G168" s="239"/>
      <c r="H168" s="386">
        <v>154</v>
      </c>
      <c r="I168" s="404"/>
      <c r="J168" s="404"/>
      <c r="K168" s="413"/>
      <c r="L168" s="413"/>
      <c r="M168" s="413"/>
      <c r="N168" s="413"/>
      <c r="O168" s="413"/>
      <c r="P168" s="413"/>
      <c r="Q168" s="413"/>
      <c r="R168" s="452"/>
      <c r="S168" s="443"/>
      <c r="T168" s="422" t="str" cm="1">
        <f t="array" ref="T168">IF(AND($U$12,B192&lt;=$C$17,C192&lt;&gt;""),TRANSPOSE(INDEX(getcds(C192,$C$6,G192/10000,F192,D192,$C$13,$C$14,$C$15,$C$8,,,TRUE,TRUE,FALSE,$C$29:$C$31,$C$33),{1;2;3;4;5})),"")</f>
        <v/>
      </c>
      <c r="U168" s="423"/>
      <c r="V168" s="423"/>
      <c r="W168" s="424"/>
      <c r="X168" s="425"/>
      <c r="Y168" s="426" t="str">
        <f t="shared" si="10"/>
        <v/>
      </c>
      <c r="Z168" s="427" t="str">
        <f t="shared" si="11"/>
        <v/>
      </c>
      <c r="AA168" s="426" t="str">
        <f t="shared" si="12"/>
        <v/>
      </c>
      <c r="AB168" s="428" t="str">
        <f t="shared" si="13"/>
        <v/>
      </c>
      <c r="AC168" s="427" t="str">
        <f t="shared" si="14"/>
        <v/>
      </c>
      <c r="AD168" s="227"/>
    </row>
    <row r="169" spans="1:30" customFormat="1" ht="15">
      <c r="A169" s="227"/>
      <c r="B169" s="276">
        <v>131</v>
      </c>
      <c r="C169" s="254"/>
      <c r="D169" s="255"/>
      <c r="E169" s="247"/>
      <c r="F169" s="232"/>
      <c r="G169" s="239"/>
      <c r="H169" s="386">
        <v>155</v>
      </c>
      <c r="I169" s="404"/>
      <c r="J169" s="404"/>
      <c r="K169" s="413"/>
      <c r="L169" s="413"/>
      <c r="M169" s="413"/>
      <c r="N169" s="413"/>
      <c r="O169" s="413"/>
      <c r="P169" s="413"/>
      <c r="Q169" s="413"/>
      <c r="R169" s="452"/>
      <c r="S169" s="443"/>
      <c r="T169" s="422" t="str" cm="1">
        <f t="array" ref="T169">IF(AND($U$12,B193&lt;=$C$17,C193&lt;&gt;""),TRANSPOSE(INDEX(getcds(C193,$C$6,G193/10000,F193,D193,$C$13,$C$14,$C$15,$C$8,,,TRUE,TRUE,FALSE,$C$29:$C$31,$C$33),{1;2;3;4;5})),"")</f>
        <v/>
      </c>
      <c r="U169" s="423"/>
      <c r="V169" s="423"/>
      <c r="W169" s="424"/>
      <c r="X169" s="425"/>
      <c r="Y169" s="426" t="str">
        <f t="shared" si="10"/>
        <v/>
      </c>
      <c r="Z169" s="427" t="str">
        <f t="shared" si="11"/>
        <v/>
      </c>
      <c r="AA169" s="426" t="str">
        <f t="shared" si="12"/>
        <v/>
      </c>
      <c r="AB169" s="428" t="str">
        <f t="shared" si="13"/>
        <v/>
      </c>
      <c r="AC169" s="427" t="str">
        <f t="shared" si="14"/>
        <v/>
      </c>
      <c r="AD169" s="227"/>
    </row>
    <row r="170" spans="1:30" customFormat="1" ht="15">
      <c r="A170" s="227"/>
      <c r="B170" s="276">
        <v>132</v>
      </c>
      <c r="C170" s="254"/>
      <c r="D170" s="255"/>
      <c r="E170" s="247"/>
      <c r="F170" s="232"/>
      <c r="G170" s="239"/>
      <c r="H170" s="386">
        <v>156</v>
      </c>
      <c r="I170" s="404"/>
      <c r="J170" s="404"/>
      <c r="K170" s="413"/>
      <c r="L170" s="413"/>
      <c r="M170" s="413"/>
      <c r="N170" s="413"/>
      <c r="O170" s="413"/>
      <c r="P170" s="413"/>
      <c r="Q170" s="413"/>
      <c r="R170" s="452"/>
      <c r="S170" s="443"/>
      <c r="T170" s="422" t="str" cm="1">
        <f t="array" ref="T170">IF(AND($U$12,B194&lt;=$C$17,C194&lt;&gt;""),TRANSPOSE(INDEX(getcds(C194,$C$6,G194/10000,F194,D194,$C$13,$C$14,$C$15,$C$8,,,TRUE,TRUE,FALSE,$C$29:$C$31,$C$33),{1;2;3;4;5})),"")</f>
        <v/>
      </c>
      <c r="U170" s="423"/>
      <c r="V170" s="423"/>
      <c r="W170" s="424"/>
      <c r="X170" s="425"/>
      <c r="Y170" s="426" t="str">
        <f t="shared" si="10"/>
        <v/>
      </c>
      <c r="Z170" s="427" t="str">
        <f t="shared" si="11"/>
        <v/>
      </c>
      <c r="AA170" s="426" t="str">
        <f t="shared" si="12"/>
        <v/>
      </c>
      <c r="AB170" s="428" t="str">
        <f t="shared" si="13"/>
        <v/>
      </c>
      <c r="AC170" s="427" t="str">
        <f t="shared" si="14"/>
        <v/>
      </c>
      <c r="AD170" s="227"/>
    </row>
    <row r="171" spans="1:30" customFormat="1" ht="15">
      <c r="A171" s="227"/>
      <c r="B171" s="276">
        <v>133</v>
      </c>
      <c r="C171" s="254"/>
      <c r="D171" s="255"/>
      <c r="E171" s="247"/>
      <c r="F171" s="232"/>
      <c r="G171" s="239"/>
      <c r="H171" s="386">
        <v>157</v>
      </c>
      <c r="I171" s="404"/>
      <c r="J171" s="404"/>
      <c r="K171" s="413"/>
      <c r="L171" s="413"/>
      <c r="M171" s="413"/>
      <c r="N171" s="413"/>
      <c r="O171" s="413"/>
      <c r="P171" s="413"/>
      <c r="Q171" s="413"/>
      <c r="R171" s="452"/>
      <c r="S171" s="443"/>
      <c r="T171" s="422" t="str" cm="1">
        <f t="array" ref="T171">IF(AND($U$12,B195&lt;=$C$17,C195&lt;&gt;""),TRANSPOSE(INDEX(getcds(C195,$C$6,G195/10000,F195,D195,$C$13,$C$14,$C$15,$C$8,,,TRUE,TRUE,FALSE,$C$29:$C$31,$C$33),{1;2;3;4;5})),"")</f>
        <v/>
      </c>
      <c r="U171" s="423"/>
      <c r="V171" s="423"/>
      <c r="W171" s="424"/>
      <c r="X171" s="425"/>
      <c r="Y171" s="426" t="str">
        <f t="shared" si="10"/>
        <v/>
      </c>
      <c r="Z171" s="427" t="str">
        <f t="shared" si="11"/>
        <v/>
      </c>
      <c r="AA171" s="426" t="str">
        <f t="shared" si="12"/>
        <v/>
      </c>
      <c r="AB171" s="428" t="str">
        <f t="shared" si="13"/>
        <v/>
      </c>
      <c r="AC171" s="427" t="str">
        <f t="shared" si="14"/>
        <v/>
      </c>
      <c r="AD171" s="227"/>
    </row>
    <row r="172" spans="1:30" customFormat="1" ht="15">
      <c r="A172" s="227"/>
      <c r="B172" s="276">
        <v>134</v>
      </c>
      <c r="C172" s="254"/>
      <c r="D172" s="255"/>
      <c r="E172" s="247"/>
      <c r="F172" s="232"/>
      <c r="G172" s="239"/>
      <c r="H172" s="386">
        <v>158</v>
      </c>
      <c r="I172" s="404"/>
      <c r="J172" s="404"/>
      <c r="K172" s="413"/>
      <c r="L172" s="413"/>
      <c r="M172" s="413"/>
      <c r="N172" s="413"/>
      <c r="O172" s="413"/>
      <c r="P172" s="413"/>
      <c r="Q172" s="413"/>
      <c r="R172" s="452"/>
      <c r="S172" s="443"/>
      <c r="T172" s="422" t="str" cm="1">
        <f t="array" ref="T172">IF(AND($U$12,B196&lt;=$C$17,C196&lt;&gt;""),TRANSPOSE(INDEX(getcds(C196,$C$6,G196/10000,F196,D196,$C$13,$C$14,$C$15,$C$8,,,TRUE,TRUE,FALSE,$C$29:$C$31,$C$33),{1;2;3;4;5})),"")</f>
        <v/>
      </c>
      <c r="U172" s="423"/>
      <c r="V172" s="423"/>
      <c r="W172" s="424"/>
      <c r="X172" s="425"/>
      <c r="Y172" s="426" t="str">
        <f t="shared" si="10"/>
        <v/>
      </c>
      <c r="Z172" s="427" t="str">
        <f t="shared" si="11"/>
        <v/>
      </c>
      <c r="AA172" s="426" t="str">
        <f t="shared" si="12"/>
        <v/>
      </c>
      <c r="AB172" s="428" t="str">
        <f t="shared" si="13"/>
        <v/>
      </c>
      <c r="AC172" s="427" t="str">
        <f t="shared" si="14"/>
        <v/>
      </c>
      <c r="AD172" s="227"/>
    </row>
    <row r="173" spans="1:30" customFormat="1" ht="15">
      <c r="A173" s="227"/>
      <c r="B173" s="276">
        <v>135</v>
      </c>
      <c r="C173" s="254"/>
      <c r="D173" s="255"/>
      <c r="E173" s="247"/>
      <c r="F173" s="232"/>
      <c r="G173" s="239"/>
      <c r="H173" s="386">
        <v>159</v>
      </c>
      <c r="I173" s="404"/>
      <c r="J173" s="404"/>
      <c r="K173" s="413"/>
      <c r="L173" s="413"/>
      <c r="M173" s="413"/>
      <c r="N173" s="413"/>
      <c r="O173" s="413"/>
      <c r="P173" s="413"/>
      <c r="Q173" s="413"/>
      <c r="R173" s="452"/>
      <c r="S173" s="443"/>
      <c r="T173" s="422" t="str" cm="1">
        <f t="array" ref="T173">IF(AND($U$12,B197&lt;=$C$17,C197&lt;&gt;""),TRANSPOSE(INDEX(getcds(C197,$C$6,G197/10000,F197,D197,$C$13,$C$14,$C$15,$C$8,,,TRUE,TRUE,FALSE,$C$29:$C$31,$C$33),{1;2;3;4;5})),"")</f>
        <v/>
      </c>
      <c r="U173" s="423"/>
      <c r="V173" s="423"/>
      <c r="W173" s="424"/>
      <c r="X173" s="425"/>
      <c r="Y173" s="426" t="str">
        <f t="shared" si="10"/>
        <v/>
      </c>
      <c r="Z173" s="427" t="str">
        <f t="shared" si="11"/>
        <v/>
      </c>
      <c r="AA173" s="426" t="str">
        <f t="shared" si="12"/>
        <v/>
      </c>
      <c r="AB173" s="428" t="str">
        <f t="shared" si="13"/>
        <v/>
      </c>
      <c r="AC173" s="427" t="str">
        <f t="shared" si="14"/>
        <v/>
      </c>
      <c r="AD173" s="227"/>
    </row>
    <row r="174" spans="1:30" customFormat="1" ht="15">
      <c r="A174" s="227"/>
      <c r="B174" s="276">
        <v>136</v>
      </c>
      <c r="C174" s="254"/>
      <c r="D174" s="255"/>
      <c r="E174" s="247"/>
      <c r="F174" s="232"/>
      <c r="G174" s="239"/>
      <c r="H174" s="386">
        <v>160</v>
      </c>
      <c r="I174" s="404"/>
      <c r="J174" s="404"/>
      <c r="K174" s="413"/>
      <c r="L174" s="413"/>
      <c r="M174" s="413"/>
      <c r="N174" s="413"/>
      <c r="O174" s="413"/>
      <c r="P174" s="413"/>
      <c r="Q174" s="413"/>
      <c r="R174" s="452"/>
      <c r="S174" s="443"/>
      <c r="T174" s="422" t="str" cm="1">
        <f t="array" ref="T174">IF(AND($U$12,B198&lt;=$C$17,C198&lt;&gt;""),TRANSPOSE(INDEX(getcds(C198,$C$6,G198/10000,F198,D198,$C$13,$C$14,$C$15,$C$8,,,TRUE,TRUE,FALSE,$C$29:$C$31,$C$33),{1;2;3;4;5})),"")</f>
        <v/>
      </c>
      <c r="U174" s="423"/>
      <c r="V174" s="423"/>
      <c r="W174" s="424"/>
      <c r="X174" s="425"/>
      <c r="Y174" s="426" t="str">
        <f t="shared" si="10"/>
        <v/>
      </c>
      <c r="Z174" s="427" t="str">
        <f t="shared" si="11"/>
        <v/>
      </c>
      <c r="AA174" s="426" t="str">
        <f t="shared" si="12"/>
        <v/>
      </c>
      <c r="AB174" s="428" t="str">
        <f t="shared" si="13"/>
        <v/>
      </c>
      <c r="AC174" s="427" t="str">
        <f t="shared" si="14"/>
        <v/>
      </c>
      <c r="AD174" s="227"/>
    </row>
    <row r="175" spans="1:30" customFormat="1" ht="15">
      <c r="A175" s="227"/>
      <c r="B175" s="276">
        <v>137</v>
      </c>
      <c r="C175" s="254"/>
      <c r="D175" s="255"/>
      <c r="E175" s="247"/>
      <c r="F175" s="232"/>
      <c r="G175" s="239"/>
      <c r="H175" s="386">
        <v>161</v>
      </c>
      <c r="I175" s="404"/>
      <c r="J175" s="404"/>
      <c r="K175" s="413"/>
      <c r="L175" s="413"/>
      <c r="M175" s="413"/>
      <c r="N175" s="413"/>
      <c r="O175" s="413"/>
      <c r="P175" s="413"/>
      <c r="Q175" s="413"/>
      <c r="R175" s="452"/>
      <c r="S175" s="443"/>
      <c r="T175" s="422" t="str" cm="1">
        <f t="array" ref="T175">IF(AND($U$12,B199&lt;=$C$17,C199&lt;&gt;""),TRANSPOSE(INDEX(getcds(C199,$C$6,G199/10000,F199,D199,$C$13,$C$14,$C$15,$C$8,,,TRUE,TRUE,FALSE,$C$29:$C$31,$C$33),{1;2;3;4;5})),"")</f>
        <v/>
      </c>
      <c r="U175" s="423"/>
      <c r="V175" s="423"/>
      <c r="W175" s="424"/>
      <c r="X175" s="425"/>
      <c r="Y175" s="426" t="str">
        <f t="shared" si="10"/>
        <v/>
      </c>
      <c r="Z175" s="427" t="str">
        <f t="shared" si="11"/>
        <v/>
      </c>
      <c r="AA175" s="426" t="str">
        <f t="shared" si="12"/>
        <v/>
      </c>
      <c r="AB175" s="428" t="str">
        <f t="shared" si="13"/>
        <v/>
      </c>
      <c r="AC175" s="427" t="str">
        <f t="shared" si="14"/>
        <v/>
      </c>
      <c r="AD175" s="227"/>
    </row>
    <row r="176" spans="1:30" customFormat="1" ht="15">
      <c r="A176" s="227"/>
      <c r="B176" s="276">
        <v>138</v>
      </c>
      <c r="C176" s="254"/>
      <c r="D176" s="255"/>
      <c r="E176" s="247"/>
      <c r="F176" s="232"/>
      <c r="G176" s="239"/>
      <c r="H176" s="386">
        <v>162</v>
      </c>
      <c r="I176" s="404"/>
      <c r="J176" s="404"/>
      <c r="K176" s="413"/>
      <c r="L176" s="413"/>
      <c r="M176" s="413"/>
      <c r="N176" s="413"/>
      <c r="O176" s="413"/>
      <c r="P176" s="413"/>
      <c r="Q176" s="413"/>
      <c r="R176" s="452"/>
      <c r="S176" s="443"/>
      <c r="T176" s="422" t="str" cm="1">
        <f t="array" ref="T176">IF(AND($U$12,B200&lt;=$C$17,C200&lt;&gt;""),TRANSPOSE(INDEX(getcds(C200,$C$6,G200/10000,F200,D200,$C$13,$C$14,$C$15,$C$8,,,TRUE,TRUE,FALSE,$C$29:$C$31,$C$33),{1;2;3;4;5})),"")</f>
        <v/>
      </c>
      <c r="U176" s="423"/>
      <c r="V176" s="423"/>
      <c r="W176" s="424"/>
      <c r="X176" s="425"/>
      <c r="Y176" s="426" t="str">
        <f t="shared" si="10"/>
        <v/>
      </c>
      <c r="Z176" s="427" t="str">
        <f t="shared" si="11"/>
        <v/>
      </c>
      <c r="AA176" s="426" t="str">
        <f t="shared" si="12"/>
        <v/>
      </c>
      <c r="AB176" s="428" t="str">
        <f t="shared" si="13"/>
        <v/>
      </c>
      <c r="AC176" s="427" t="str">
        <f t="shared" si="14"/>
        <v/>
      </c>
      <c r="AD176" s="227"/>
    </row>
    <row r="177" spans="1:30" customFormat="1" ht="15">
      <c r="A177" s="227"/>
      <c r="B177" s="276">
        <v>139</v>
      </c>
      <c r="C177" s="254"/>
      <c r="D177" s="255"/>
      <c r="E177" s="247"/>
      <c r="F177" s="232"/>
      <c r="G177" s="239"/>
      <c r="H177" s="386">
        <v>163</v>
      </c>
      <c r="I177" s="404"/>
      <c r="J177" s="404"/>
      <c r="K177" s="413"/>
      <c r="L177" s="413"/>
      <c r="M177" s="413"/>
      <c r="N177" s="413"/>
      <c r="O177" s="413"/>
      <c r="P177" s="413"/>
      <c r="Q177" s="413"/>
      <c r="R177" s="452"/>
      <c r="S177" s="443"/>
      <c r="T177" s="422" t="str" cm="1">
        <f t="array" ref="T177">IF(AND($U$12,B201&lt;=$C$17,C201&lt;&gt;""),TRANSPOSE(INDEX(getcds(C201,$C$6,G201/10000,F201,D201,$C$13,$C$14,$C$15,$C$8,,,TRUE,TRUE,FALSE,$C$29:$C$31,$C$33),{1;2;3;4;5})),"")</f>
        <v/>
      </c>
      <c r="U177" s="423"/>
      <c r="V177" s="423"/>
      <c r="W177" s="424"/>
      <c r="X177" s="425"/>
      <c r="Y177" s="426" t="str">
        <f t="shared" si="10"/>
        <v/>
      </c>
      <c r="Z177" s="427" t="str">
        <f t="shared" si="11"/>
        <v/>
      </c>
      <c r="AA177" s="426" t="str">
        <f t="shared" si="12"/>
        <v/>
      </c>
      <c r="AB177" s="428" t="str">
        <f t="shared" si="13"/>
        <v/>
      </c>
      <c r="AC177" s="427" t="str">
        <f t="shared" si="14"/>
        <v/>
      </c>
      <c r="AD177" s="227"/>
    </row>
    <row r="178" spans="1:30" customFormat="1" ht="15">
      <c r="A178" s="227"/>
      <c r="B178" s="276">
        <v>140</v>
      </c>
      <c r="C178" s="254"/>
      <c r="D178" s="255"/>
      <c r="E178" s="247"/>
      <c r="F178" s="232"/>
      <c r="G178" s="239"/>
      <c r="H178" s="386">
        <v>164</v>
      </c>
      <c r="I178" s="404"/>
      <c r="J178" s="404"/>
      <c r="K178" s="413"/>
      <c r="L178" s="413"/>
      <c r="M178" s="413"/>
      <c r="N178" s="413"/>
      <c r="O178" s="413"/>
      <c r="P178" s="413"/>
      <c r="Q178" s="413"/>
      <c r="R178" s="452"/>
      <c r="S178" s="443"/>
      <c r="T178" s="422" t="str" cm="1">
        <f t="array" ref="T178">IF(AND($U$12,B202&lt;=$C$17,C202&lt;&gt;""),TRANSPOSE(INDEX(getcds(C202,$C$6,G202/10000,F202,D202,$C$13,$C$14,$C$15,$C$8,,,TRUE,TRUE,FALSE,$C$29:$C$31,$C$33),{1;2;3;4;5})),"")</f>
        <v/>
      </c>
      <c r="U178" s="423"/>
      <c r="V178" s="423"/>
      <c r="W178" s="424"/>
      <c r="X178" s="425"/>
      <c r="Y178" s="426" t="str">
        <f t="shared" si="10"/>
        <v/>
      </c>
      <c r="Z178" s="427" t="str">
        <f t="shared" si="11"/>
        <v/>
      </c>
      <c r="AA178" s="426" t="str">
        <f t="shared" si="12"/>
        <v/>
      </c>
      <c r="AB178" s="428" t="str">
        <f t="shared" si="13"/>
        <v/>
      </c>
      <c r="AC178" s="427" t="str">
        <f t="shared" si="14"/>
        <v/>
      </c>
      <c r="AD178" s="227"/>
    </row>
    <row r="179" spans="1:30" customFormat="1" ht="15">
      <c r="A179" s="227"/>
      <c r="B179" s="276">
        <v>141</v>
      </c>
      <c r="C179" s="254"/>
      <c r="D179" s="255"/>
      <c r="E179" s="247"/>
      <c r="F179" s="232"/>
      <c r="G179" s="239"/>
      <c r="H179" s="386">
        <v>165</v>
      </c>
      <c r="I179" s="404"/>
      <c r="J179" s="404"/>
      <c r="K179" s="413"/>
      <c r="L179" s="413"/>
      <c r="M179" s="413"/>
      <c r="N179" s="413"/>
      <c r="O179" s="413"/>
      <c r="P179" s="413"/>
      <c r="Q179" s="413"/>
      <c r="R179" s="452"/>
      <c r="S179" s="443"/>
      <c r="T179" s="422" t="str" cm="1">
        <f t="array" ref="T179">IF(AND($U$12,B203&lt;=$C$17,C203&lt;&gt;""),TRANSPOSE(INDEX(getcds(C203,$C$6,G203/10000,F203,D203,$C$13,$C$14,$C$15,$C$8,,,TRUE,TRUE,FALSE,$C$29:$C$31,$C$33),{1;2;3;4;5})),"")</f>
        <v/>
      </c>
      <c r="U179" s="423"/>
      <c r="V179" s="423"/>
      <c r="W179" s="424"/>
      <c r="X179" s="425"/>
      <c r="Y179" s="426" t="str">
        <f t="shared" si="10"/>
        <v/>
      </c>
      <c r="Z179" s="427" t="str">
        <f t="shared" si="11"/>
        <v/>
      </c>
      <c r="AA179" s="426" t="str">
        <f t="shared" si="12"/>
        <v/>
      </c>
      <c r="AB179" s="428" t="str">
        <f t="shared" si="13"/>
        <v/>
      </c>
      <c r="AC179" s="427" t="str">
        <f t="shared" si="14"/>
        <v/>
      </c>
      <c r="AD179" s="227"/>
    </row>
    <row r="180" spans="1:30" customFormat="1" ht="15">
      <c r="A180" s="227"/>
      <c r="B180" s="276">
        <v>142</v>
      </c>
      <c r="C180" s="254"/>
      <c r="D180" s="255"/>
      <c r="E180" s="247"/>
      <c r="F180" s="232"/>
      <c r="G180" s="239"/>
      <c r="H180" s="386">
        <v>166</v>
      </c>
      <c r="I180" s="404"/>
      <c r="J180" s="404"/>
      <c r="K180" s="413"/>
      <c r="L180" s="413"/>
      <c r="M180" s="413"/>
      <c r="N180" s="413"/>
      <c r="O180" s="413"/>
      <c r="P180" s="413"/>
      <c r="Q180" s="413"/>
      <c r="R180" s="452"/>
      <c r="S180" s="443"/>
      <c r="T180" s="422" t="str" cm="1">
        <f t="array" ref="T180">IF(AND($U$12,B204&lt;=$C$17,C204&lt;&gt;""),TRANSPOSE(INDEX(getcds(C204,$C$6,G204/10000,F204,D204,$C$13,$C$14,$C$15,$C$8,,,TRUE,TRUE,FALSE,$C$29:$C$31,$C$33),{1;2;3;4;5})),"")</f>
        <v/>
      </c>
      <c r="U180" s="423"/>
      <c r="V180" s="423"/>
      <c r="W180" s="424"/>
      <c r="X180" s="425"/>
      <c r="Y180" s="426" t="str">
        <f t="shared" si="10"/>
        <v/>
      </c>
      <c r="Z180" s="427" t="str">
        <f t="shared" si="11"/>
        <v/>
      </c>
      <c r="AA180" s="426" t="str">
        <f t="shared" si="12"/>
        <v/>
      </c>
      <c r="AB180" s="428" t="str">
        <f t="shared" si="13"/>
        <v/>
      </c>
      <c r="AC180" s="427" t="str">
        <f t="shared" si="14"/>
        <v/>
      </c>
      <c r="AD180" s="227"/>
    </row>
    <row r="181" spans="1:30" customFormat="1" ht="15">
      <c r="A181" s="227"/>
      <c r="B181" s="276">
        <v>143</v>
      </c>
      <c r="C181" s="254"/>
      <c r="D181" s="255"/>
      <c r="E181" s="247"/>
      <c r="F181" s="232"/>
      <c r="G181" s="239"/>
      <c r="H181" s="386">
        <v>167</v>
      </c>
      <c r="I181" s="404"/>
      <c r="J181" s="404"/>
      <c r="K181" s="413"/>
      <c r="L181" s="413"/>
      <c r="M181" s="413"/>
      <c r="N181" s="413"/>
      <c r="O181" s="413"/>
      <c r="P181" s="413"/>
      <c r="Q181" s="413"/>
      <c r="R181" s="452"/>
      <c r="S181" s="443"/>
      <c r="T181" s="422" t="str" cm="1">
        <f t="array" ref="T181">IF(AND($U$12,B205&lt;=$C$17,C205&lt;&gt;""),TRANSPOSE(INDEX(getcds(C205,$C$6,G205/10000,F205,D205,$C$13,$C$14,$C$15,$C$8,,,TRUE,TRUE,FALSE,$C$29:$C$31,$C$33),{1;2;3;4;5})),"")</f>
        <v/>
      </c>
      <c r="U181" s="423"/>
      <c r="V181" s="423"/>
      <c r="W181" s="424"/>
      <c r="X181" s="425"/>
      <c r="Y181" s="426" t="str">
        <f t="shared" si="10"/>
        <v/>
      </c>
      <c r="Z181" s="427" t="str">
        <f t="shared" si="11"/>
        <v/>
      </c>
      <c r="AA181" s="426" t="str">
        <f t="shared" si="12"/>
        <v/>
      </c>
      <c r="AB181" s="428" t="str">
        <f t="shared" si="13"/>
        <v/>
      </c>
      <c r="AC181" s="427" t="str">
        <f t="shared" si="14"/>
        <v/>
      </c>
      <c r="AD181" s="227"/>
    </row>
    <row r="182" spans="1:30" customFormat="1" ht="15">
      <c r="A182" s="227"/>
      <c r="B182" s="276">
        <v>144</v>
      </c>
      <c r="C182" s="254"/>
      <c r="D182" s="255"/>
      <c r="E182" s="247"/>
      <c r="F182" s="232"/>
      <c r="G182" s="239"/>
      <c r="H182" s="386">
        <v>168</v>
      </c>
      <c r="I182" s="404"/>
      <c r="J182" s="404"/>
      <c r="K182" s="413"/>
      <c r="L182" s="413"/>
      <c r="M182" s="413"/>
      <c r="N182" s="413"/>
      <c r="O182" s="413"/>
      <c r="P182" s="413"/>
      <c r="Q182" s="413"/>
      <c r="R182" s="452"/>
      <c r="S182" s="443"/>
      <c r="T182" s="422" t="str" cm="1">
        <f t="array" ref="T182">IF(AND($U$12,B206&lt;=$C$17,C206&lt;&gt;""),TRANSPOSE(INDEX(getcds(C206,$C$6,G206/10000,F206,D206,$C$13,$C$14,$C$15,$C$8,,,TRUE,TRUE,FALSE,$C$29:$C$31,$C$33),{1;2;3;4;5})),"")</f>
        <v/>
      </c>
      <c r="U182" s="423"/>
      <c r="V182" s="423"/>
      <c r="W182" s="424"/>
      <c r="X182" s="425"/>
      <c r="Y182" s="426" t="str">
        <f t="shared" si="10"/>
        <v/>
      </c>
      <c r="Z182" s="427" t="str">
        <f t="shared" si="11"/>
        <v/>
      </c>
      <c r="AA182" s="426" t="str">
        <f t="shared" si="12"/>
        <v/>
      </c>
      <c r="AB182" s="428" t="str">
        <f t="shared" si="13"/>
        <v/>
      </c>
      <c r="AC182" s="427" t="str">
        <f t="shared" si="14"/>
        <v/>
      </c>
      <c r="AD182" s="227"/>
    </row>
    <row r="183" spans="1:30" customFormat="1" ht="15">
      <c r="A183" s="227"/>
      <c r="B183" s="276">
        <v>145</v>
      </c>
      <c r="C183" s="254"/>
      <c r="D183" s="255"/>
      <c r="E183" s="247"/>
      <c r="F183" s="232"/>
      <c r="G183" s="239"/>
      <c r="H183" s="386">
        <v>169</v>
      </c>
      <c r="I183" s="404"/>
      <c r="J183" s="404"/>
      <c r="K183" s="413"/>
      <c r="L183" s="413"/>
      <c r="M183" s="413"/>
      <c r="N183" s="413"/>
      <c r="O183" s="413"/>
      <c r="P183" s="413"/>
      <c r="Q183" s="413"/>
      <c r="R183" s="452"/>
      <c r="S183" s="443"/>
      <c r="T183" s="422" t="str" cm="1">
        <f t="array" ref="T183">IF(AND($U$12,B207&lt;=$C$17,C207&lt;&gt;""),TRANSPOSE(INDEX(getcds(C207,$C$6,G207/10000,F207,D207,$C$13,$C$14,$C$15,$C$8,,,TRUE,TRUE,FALSE,$C$29:$C$31,$C$33),{1;2;3;4;5})),"")</f>
        <v/>
      </c>
      <c r="U183" s="423"/>
      <c r="V183" s="423"/>
      <c r="W183" s="424"/>
      <c r="X183" s="425"/>
      <c r="Y183" s="426" t="str">
        <f t="shared" si="10"/>
        <v/>
      </c>
      <c r="Z183" s="427" t="str">
        <f t="shared" si="11"/>
        <v/>
      </c>
      <c r="AA183" s="426" t="str">
        <f t="shared" si="12"/>
        <v/>
      </c>
      <c r="AB183" s="428" t="str">
        <f t="shared" si="13"/>
        <v/>
      </c>
      <c r="AC183" s="427" t="str">
        <f t="shared" si="14"/>
        <v/>
      </c>
      <c r="AD183" s="227"/>
    </row>
    <row r="184" spans="1:30" customFormat="1" ht="15">
      <c r="A184" s="227"/>
      <c r="B184" s="276">
        <v>146</v>
      </c>
      <c r="C184" s="254"/>
      <c r="D184" s="255"/>
      <c r="E184" s="247"/>
      <c r="F184" s="232"/>
      <c r="G184" s="239"/>
      <c r="H184" s="386">
        <v>170</v>
      </c>
      <c r="I184" s="404"/>
      <c r="J184" s="404"/>
      <c r="K184" s="413"/>
      <c r="L184" s="413"/>
      <c r="M184" s="413"/>
      <c r="N184" s="413"/>
      <c r="O184" s="413"/>
      <c r="P184" s="413"/>
      <c r="Q184" s="413"/>
      <c r="R184" s="452"/>
      <c r="S184" s="443"/>
      <c r="T184" s="422" t="str" cm="1">
        <f t="array" ref="T184">IF(AND($U$12,B208&lt;=$C$17,C208&lt;&gt;""),TRANSPOSE(INDEX(getcds(C208,$C$6,G208/10000,F208,D208,$C$13,$C$14,$C$15,$C$8,,,TRUE,TRUE,FALSE,$C$29:$C$31,$C$33),{1;2;3;4;5})),"")</f>
        <v/>
      </c>
      <c r="U184" s="423"/>
      <c r="V184" s="423"/>
      <c r="W184" s="424"/>
      <c r="X184" s="425"/>
      <c r="Y184" s="426" t="str">
        <f t="shared" si="10"/>
        <v/>
      </c>
      <c r="Z184" s="427" t="str">
        <f t="shared" si="11"/>
        <v/>
      </c>
      <c r="AA184" s="426" t="str">
        <f t="shared" si="12"/>
        <v/>
      </c>
      <c r="AB184" s="428" t="str">
        <f t="shared" si="13"/>
        <v/>
      </c>
      <c r="AC184" s="427" t="str">
        <f t="shared" si="14"/>
        <v/>
      </c>
      <c r="AD184" s="227"/>
    </row>
    <row r="185" spans="1:30" customFormat="1" ht="15">
      <c r="A185" s="227"/>
      <c r="B185" s="276">
        <v>147</v>
      </c>
      <c r="C185" s="254"/>
      <c r="D185" s="255"/>
      <c r="E185" s="247"/>
      <c r="F185" s="232"/>
      <c r="G185" s="239"/>
      <c r="H185" s="386">
        <v>171</v>
      </c>
      <c r="I185" s="404"/>
      <c r="J185" s="404"/>
      <c r="K185" s="413"/>
      <c r="L185" s="413"/>
      <c r="M185" s="413"/>
      <c r="N185" s="413"/>
      <c r="O185" s="413"/>
      <c r="P185" s="413"/>
      <c r="Q185" s="413"/>
      <c r="R185" s="452"/>
      <c r="S185" s="443"/>
      <c r="T185" s="422" t="str" cm="1">
        <f t="array" ref="T185">IF(AND($U$12,B209&lt;=$C$17,C209&lt;&gt;""),TRANSPOSE(INDEX(getcds(C209,$C$6,G209/10000,F209,D209,$C$13,$C$14,$C$15,$C$8,,,TRUE,TRUE,FALSE,$C$29:$C$31,$C$33),{1;2;3;4;5})),"")</f>
        <v/>
      </c>
      <c r="U185" s="423"/>
      <c r="V185" s="423"/>
      <c r="W185" s="424"/>
      <c r="X185" s="425"/>
      <c r="Y185" s="426" t="str">
        <f t="shared" si="10"/>
        <v/>
      </c>
      <c r="Z185" s="427" t="str">
        <f t="shared" si="11"/>
        <v/>
      </c>
      <c r="AA185" s="426" t="str">
        <f t="shared" si="12"/>
        <v/>
      </c>
      <c r="AB185" s="428" t="str">
        <f t="shared" si="13"/>
        <v/>
      </c>
      <c r="AC185" s="427" t="str">
        <f t="shared" si="14"/>
        <v/>
      </c>
      <c r="AD185" s="227"/>
    </row>
    <row r="186" spans="1:30" customFormat="1" ht="15">
      <c r="A186" s="227"/>
      <c r="B186" s="276">
        <v>148</v>
      </c>
      <c r="C186" s="254"/>
      <c r="D186" s="255"/>
      <c r="E186" s="247"/>
      <c r="F186" s="232"/>
      <c r="G186" s="239"/>
      <c r="H186" s="386">
        <v>172</v>
      </c>
      <c r="I186" s="404"/>
      <c r="J186" s="404"/>
      <c r="K186" s="413"/>
      <c r="L186" s="413"/>
      <c r="M186" s="413"/>
      <c r="N186" s="413"/>
      <c r="O186" s="413"/>
      <c r="P186" s="413"/>
      <c r="Q186" s="413"/>
      <c r="R186" s="452"/>
      <c r="S186" s="443"/>
      <c r="T186" s="422" t="str" cm="1">
        <f t="array" ref="T186">IF(AND($U$12,B210&lt;=$C$17,C210&lt;&gt;""),TRANSPOSE(INDEX(getcds(C210,$C$6,G210/10000,F210,D210,$C$13,$C$14,$C$15,$C$8,,,TRUE,TRUE,FALSE,$C$29:$C$31,$C$33),{1;2;3;4;5})),"")</f>
        <v/>
      </c>
      <c r="U186" s="423"/>
      <c r="V186" s="423"/>
      <c r="W186" s="424"/>
      <c r="X186" s="425"/>
      <c r="Y186" s="426" t="str">
        <f t="shared" si="10"/>
        <v/>
      </c>
      <c r="Z186" s="427" t="str">
        <f t="shared" si="11"/>
        <v/>
      </c>
      <c r="AA186" s="426" t="str">
        <f t="shared" si="12"/>
        <v/>
      </c>
      <c r="AB186" s="428" t="str">
        <f t="shared" si="13"/>
        <v/>
      </c>
      <c r="AC186" s="427" t="str">
        <f t="shared" si="14"/>
        <v/>
      </c>
      <c r="AD186" s="227"/>
    </row>
    <row r="187" spans="1:30" customFormat="1" ht="15">
      <c r="A187" s="227"/>
      <c r="B187" s="276">
        <v>149</v>
      </c>
      <c r="C187" s="254"/>
      <c r="D187" s="255"/>
      <c r="E187" s="247"/>
      <c r="F187" s="232"/>
      <c r="G187" s="239"/>
      <c r="H187" s="386">
        <v>173</v>
      </c>
      <c r="I187" s="404"/>
      <c r="J187" s="404"/>
      <c r="K187" s="413"/>
      <c r="L187" s="413"/>
      <c r="M187" s="413"/>
      <c r="N187" s="413"/>
      <c r="O187" s="413"/>
      <c r="P187" s="413"/>
      <c r="Q187" s="413"/>
      <c r="R187" s="452"/>
      <c r="S187" s="443"/>
      <c r="T187" s="422" t="str" cm="1">
        <f t="array" ref="T187">IF(AND($U$12,B211&lt;=$C$17,C211&lt;&gt;""),TRANSPOSE(INDEX(getcds(C211,$C$6,G211/10000,F211,D211,$C$13,$C$14,$C$15,$C$8,,,TRUE,TRUE,FALSE,$C$29:$C$31,$C$33),{1;2;3;4;5})),"")</f>
        <v/>
      </c>
      <c r="U187" s="423"/>
      <c r="V187" s="423"/>
      <c r="W187" s="424"/>
      <c r="X187" s="425"/>
      <c r="Y187" s="426" t="str">
        <f t="shared" si="10"/>
        <v/>
      </c>
      <c r="Z187" s="427" t="str">
        <f t="shared" si="11"/>
        <v/>
      </c>
      <c r="AA187" s="426" t="str">
        <f t="shared" si="12"/>
        <v/>
      </c>
      <c r="AB187" s="428" t="str">
        <f t="shared" si="13"/>
        <v/>
      </c>
      <c r="AC187" s="427" t="str">
        <f t="shared" si="14"/>
        <v/>
      </c>
      <c r="AD187" s="227"/>
    </row>
    <row r="188" spans="1:30" customFormat="1" ht="15">
      <c r="A188" s="227"/>
      <c r="B188" s="276">
        <v>150</v>
      </c>
      <c r="C188" s="254"/>
      <c r="D188" s="255"/>
      <c r="E188" s="247"/>
      <c r="F188" s="232"/>
      <c r="G188" s="239"/>
      <c r="H188" s="386">
        <v>174</v>
      </c>
      <c r="I188" s="404"/>
      <c r="J188" s="404"/>
      <c r="K188" s="413"/>
      <c r="L188" s="413"/>
      <c r="M188" s="413"/>
      <c r="N188" s="413"/>
      <c r="O188" s="413"/>
      <c r="P188" s="413"/>
      <c r="Q188" s="413"/>
      <c r="R188" s="452"/>
      <c r="S188" s="443"/>
      <c r="T188" s="422" t="str" cm="1">
        <f t="array" ref="T188">IF(AND($U$12,B212&lt;=$C$17,C212&lt;&gt;""),TRANSPOSE(INDEX(getcds(C212,$C$6,G212/10000,F212,D212,$C$13,$C$14,$C$15,$C$8,,,TRUE,TRUE,FALSE,$C$29:$C$31,$C$33),{1;2;3;4;5})),"")</f>
        <v/>
      </c>
      <c r="U188" s="423"/>
      <c r="V188" s="423"/>
      <c r="W188" s="424"/>
      <c r="X188" s="425"/>
      <c r="Y188" s="426" t="str">
        <f t="shared" si="10"/>
        <v/>
      </c>
      <c r="Z188" s="427" t="str">
        <f t="shared" si="11"/>
        <v/>
      </c>
      <c r="AA188" s="426" t="str">
        <f t="shared" si="12"/>
        <v/>
      </c>
      <c r="AB188" s="428" t="str">
        <f t="shared" si="13"/>
        <v/>
      </c>
      <c r="AC188" s="427" t="str">
        <f t="shared" si="14"/>
        <v/>
      </c>
      <c r="AD188" s="227"/>
    </row>
    <row r="189" spans="1:30" customFormat="1" ht="15">
      <c r="A189" s="227"/>
      <c r="B189" s="276">
        <v>151</v>
      </c>
      <c r="C189" s="254"/>
      <c r="D189" s="255"/>
      <c r="E189" s="247"/>
      <c r="F189" s="232"/>
      <c r="G189" s="239"/>
      <c r="H189" s="386">
        <v>175</v>
      </c>
      <c r="I189" s="404"/>
      <c r="J189" s="404"/>
      <c r="K189" s="413"/>
      <c r="L189" s="413"/>
      <c r="M189" s="413"/>
      <c r="N189" s="413"/>
      <c r="O189" s="413"/>
      <c r="P189" s="413"/>
      <c r="Q189" s="413"/>
      <c r="R189" s="452"/>
      <c r="S189" s="443"/>
      <c r="T189" s="422" t="str" cm="1">
        <f t="array" ref="T189">IF(AND($U$12,B213&lt;=$C$17,C213&lt;&gt;""),TRANSPOSE(INDEX(getcds(C213,$C$6,G213/10000,F213,D213,$C$13,$C$14,$C$15,$C$8,,,TRUE,TRUE,FALSE,$C$29:$C$31,$C$33),{1;2;3;4;5})),"")</f>
        <v/>
      </c>
      <c r="U189" s="423"/>
      <c r="V189" s="423"/>
      <c r="W189" s="424"/>
      <c r="X189" s="425"/>
      <c r="Y189" s="426" t="str">
        <f t="shared" si="10"/>
        <v/>
      </c>
      <c r="Z189" s="427" t="str">
        <f t="shared" si="11"/>
        <v/>
      </c>
      <c r="AA189" s="426" t="str">
        <f t="shared" si="12"/>
        <v/>
      </c>
      <c r="AB189" s="428" t="str">
        <f t="shared" si="13"/>
        <v/>
      </c>
      <c r="AC189" s="427" t="str">
        <f t="shared" si="14"/>
        <v/>
      </c>
      <c r="AD189" s="227"/>
    </row>
    <row r="190" spans="1:30" customFormat="1" ht="15">
      <c r="A190" s="227"/>
      <c r="B190" s="276">
        <v>152</v>
      </c>
      <c r="C190" s="254"/>
      <c r="D190" s="255"/>
      <c r="E190" s="247"/>
      <c r="F190" s="232"/>
      <c r="G190" s="239"/>
      <c r="H190" s="386">
        <v>176</v>
      </c>
      <c r="I190" s="404"/>
      <c r="J190" s="404"/>
      <c r="K190" s="413"/>
      <c r="L190" s="413"/>
      <c r="M190" s="413"/>
      <c r="N190" s="413"/>
      <c r="O190" s="413"/>
      <c r="P190" s="413"/>
      <c r="Q190" s="413"/>
      <c r="R190" s="452"/>
      <c r="S190" s="443"/>
      <c r="T190" s="422" t="str" cm="1">
        <f t="array" ref="T190">IF(AND($U$12,B214&lt;=$C$17,C214&lt;&gt;""),TRANSPOSE(INDEX(getcds(C214,$C$6,G214/10000,F214,D214,$C$13,$C$14,$C$15,$C$8,,,TRUE,TRUE,FALSE,$C$29:$C$31,$C$33),{1;2;3;4;5})),"")</f>
        <v/>
      </c>
      <c r="U190" s="423"/>
      <c r="V190" s="423"/>
      <c r="W190" s="424"/>
      <c r="X190" s="425"/>
      <c r="Y190" s="426" t="str">
        <f t="shared" si="10"/>
        <v/>
      </c>
      <c r="Z190" s="427" t="str">
        <f t="shared" si="11"/>
        <v/>
      </c>
      <c r="AA190" s="426" t="str">
        <f t="shared" si="12"/>
        <v/>
      </c>
      <c r="AB190" s="428" t="str">
        <f t="shared" si="13"/>
        <v/>
      </c>
      <c r="AC190" s="427" t="str">
        <f t="shared" si="14"/>
        <v/>
      </c>
      <c r="AD190" s="227"/>
    </row>
    <row r="191" spans="1:30" customFormat="1" ht="15">
      <c r="A191" s="227"/>
      <c r="B191" s="276">
        <v>153</v>
      </c>
      <c r="C191" s="254"/>
      <c r="D191" s="255"/>
      <c r="E191" s="247"/>
      <c r="F191" s="232"/>
      <c r="G191" s="239"/>
      <c r="H191" s="386">
        <v>177</v>
      </c>
      <c r="I191" s="404"/>
      <c r="J191" s="404"/>
      <c r="K191" s="413"/>
      <c r="L191" s="413"/>
      <c r="M191" s="413"/>
      <c r="N191" s="413"/>
      <c r="O191" s="413"/>
      <c r="P191" s="413"/>
      <c r="Q191" s="413"/>
      <c r="R191" s="452"/>
      <c r="S191" s="443"/>
      <c r="T191" s="422" t="str" cm="1">
        <f t="array" ref="T191">IF(AND($U$12,B215&lt;=$C$17,C215&lt;&gt;""),TRANSPOSE(INDEX(getcds(C215,$C$6,G215/10000,F215,D215,$C$13,$C$14,$C$15,$C$8,,,TRUE,TRUE,FALSE,$C$29:$C$31,$C$33),{1;2;3;4;5})),"")</f>
        <v/>
      </c>
      <c r="U191" s="423"/>
      <c r="V191" s="423"/>
      <c r="W191" s="424"/>
      <c r="X191" s="425"/>
      <c r="Y191" s="426" t="str">
        <f t="shared" si="10"/>
        <v/>
      </c>
      <c r="Z191" s="427" t="str">
        <f t="shared" si="11"/>
        <v/>
      </c>
      <c r="AA191" s="426" t="str">
        <f t="shared" si="12"/>
        <v/>
      </c>
      <c r="AB191" s="428" t="str">
        <f t="shared" si="13"/>
        <v/>
      </c>
      <c r="AC191" s="427" t="str">
        <f t="shared" si="14"/>
        <v/>
      </c>
      <c r="AD191" s="227"/>
    </row>
    <row r="192" spans="1:30" customFormat="1" ht="15">
      <c r="A192" s="227"/>
      <c r="B192" s="276">
        <v>154</v>
      </c>
      <c r="C192" s="254"/>
      <c r="D192" s="255"/>
      <c r="E192" s="247"/>
      <c r="F192" s="232"/>
      <c r="G192" s="239"/>
      <c r="H192" s="386">
        <v>178</v>
      </c>
      <c r="I192" s="404"/>
      <c r="J192" s="404"/>
      <c r="K192" s="413"/>
      <c r="L192" s="413"/>
      <c r="M192" s="413"/>
      <c r="N192" s="413"/>
      <c r="O192" s="413"/>
      <c r="P192" s="413"/>
      <c r="Q192" s="413"/>
      <c r="R192" s="452"/>
      <c r="S192" s="443"/>
      <c r="T192" s="422" t="str" cm="1">
        <f t="array" ref="T192">IF(AND($U$12,B216&lt;=$C$17,C216&lt;&gt;""),TRANSPOSE(INDEX(getcds(C216,$C$6,G216/10000,F216,D216,$C$13,$C$14,$C$15,$C$8,,,TRUE,TRUE,FALSE,$C$29:$C$31,$C$33),{1;2;3;4;5})),"")</f>
        <v/>
      </c>
      <c r="U192" s="423"/>
      <c r="V192" s="423"/>
      <c r="W192" s="424"/>
      <c r="X192" s="425"/>
      <c r="Y192" s="426" t="str">
        <f t="shared" si="10"/>
        <v/>
      </c>
      <c r="Z192" s="427" t="str">
        <f t="shared" si="11"/>
        <v/>
      </c>
      <c r="AA192" s="426" t="str">
        <f t="shared" si="12"/>
        <v/>
      </c>
      <c r="AB192" s="428" t="str">
        <f t="shared" si="13"/>
        <v/>
      </c>
      <c r="AC192" s="427" t="str">
        <f t="shared" si="14"/>
        <v/>
      </c>
      <c r="AD192" s="227"/>
    </row>
    <row r="193" spans="1:30" customFormat="1" ht="15">
      <c r="A193" s="227"/>
      <c r="B193" s="276">
        <v>155</v>
      </c>
      <c r="C193" s="254"/>
      <c r="D193" s="255"/>
      <c r="E193" s="247"/>
      <c r="F193" s="232"/>
      <c r="G193" s="239"/>
      <c r="H193" s="386">
        <v>179</v>
      </c>
      <c r="I193" s="404"/>
      <c r="J193" s="404"/>
      <c r="K193" s="413"/>
      <c r="L193" s="413"/>
      <c r="M193" s="413"/>
      <c r="N193" s="413"/>
      <c r="O193" s="413"/>
      <c r="P193" s="413"/>
      <c r="Q193" s="413"/>
      <c r="R193" s="452"/>
      <c r="S193" s="443"/>
      <c r="T193" s="422" t="str" cm="1">
        <f t="array" ref="T193">IF(AND($U$12,B217&lt;=$C$17,C217&lt;&gt;""),TRANSPOSE(INDEX(getcds(C217,$C$6,G217/10000,F217,D217,$C$13,$C$14,$C$15,$C$8,,,TRUE,TRUE,FALSE,$C$29:$C$31,$C$33),{1;2;3;4;5})),"")</f>
        <v/>
      </c>
      <c r="U193" s="423"/>
      <c r="V193" s="423"/>
      <c r="W193" s="424"/>
      <c r="X193" s="425"/>
      <c r="Y193" s="426" t="str">
        <f t="shared" si="10"/>
        <v/>
      </c>
      <c r="Z193" s="427" t="str">
        <f t="shared" si="11"/>
        <v/>
      </c>
      <c r="AA193" s="426" t="str">
        <f t="shared" si="12"/>
        <v/>
      </c>
      <c r="AB193" s="428" t="str">
        <f t="shared" si="13"/>
        <v/>
      </c>
      <c r="AC193" s="427" t="str">
        <f t="shared" si="14"/>
        <v/>
      </c>
      <c r="AD193" s="227"/>
    </row>
    <row r="194" spans="1:30" customFormat="1" ht="15">
      <c r="A194" s="227"/>
      <c r="B194" s="276">
        <v>156</v>
      </c>
      <c r="C194" s="254"/>
      <c r="D194" s="255"/>
      <c r="E194" s="247"/>
      <c r="F194" s="232"/>
      <c r="G194" s="239"/>
      <c r="H194" s="386">
        <v>180</v>
      </c>
      <c r="I194" s="404"/>
      <c r="J194" s="404"/>
      <c r="K194" s="413"/>
      <c r="L194" s="413"/>
      <c r="M194" s="413"/>
      <c r="N194" s="413"/>
      <c r="O194" s="413"/>
      <c r="P194" s="413"/>
      <c r="Q194" s="413"/>
      <c r="R194" s="452"/>
      <c r="S194" s="443"/>
      <c r="T194" s="422" t="str" cm="1">
        <f t="array" ref="T194">IF(AND($U$12,B218&lt;=$C$17,C218&lt;&gt;""),TRANSPOSE(INDEX(getcds(C218,$C$6,G218/10000,F218,D218,$C$13,$C$14,$C$15,$C$8,,,TRUE,TRUE,FALSE,$C$29:$C$31,$C$33),{1;2;3;4;5})),"")</f>
        <v/>
      </c>
      <c r="U194" s="423"/>
      <c r="V194" s="423"/>
      <c r="W194" s="424"/>
      <c r="X194" s="425"/>
      <c r="Y194" s="426" t="str">
        <f t="shared" si="10"/>
        <v/>
      </c>
      <c r="Z194" s="427" t="str">
        <f t="shared" si="11"/>
        <v/>
      </c>
      <c r="AA194" s="426" t="str">
        <f t="shared" si="12"/>
        <v/>
      </c>
      <c r="AB194" s="428" t="str">
        <f t="shared" si="13"/>
        <v/>
      </c>
      <c r="AC194" s="427" t="str">
        <f t="shared" si="14"/>
        <v/>
      </c>
      <c r="AD194" s="227"/>
    </row>
    <row r="195" spans="1:30" customFormat="1" ht="15">
      <c r="A195" s="227"/>
      <c r="B195" s="276">
        <v>157</v>
      </c>
      <c r="C195" s="254"/>
      <c r="D195" s="255"/>
      <c r="E195" s="247"/>
      <c r="F195" s="232"/>
      <c r="G195" s="239"/>
      <c r="H195" s="386">
        <v>181</v>
      </c>
      <c r="I195" s="404"/>
      <c r="J195" s="404"/>
      <c r="K195" s="413"/>
      <c r="L195" s="413"/>
      <c r="M195" s="413"/>
      <c r="N195" s="413"/>
      <c r="O195" s="413"/>
      <c r="P195" s="413"/>
      <c r="Q195" s="413"/>
      <c r="R195" s="452"/>
      <c r="S195" s="443"/>
      <c r="T195" s="422" t="str" cm="1">
        <f t="array" ref="T195">IF(AND($U$12,B219&lt;=$C$17,C219&lt;&gt;""),TRANSPOSE(INDEX(getcds(C219,$C$6,G219/10000,F219,D219,$C$13,$C$14,$C$15,$C$8,,,TRUE,TRUE,FALSE,$C$29:$C$31,$C$33),{1;2;3;4;5})),"")</f>
        <v/>
      </c>
      <c r="U195" s="423"/>
      <c r="V195" s="423"/>
      <c r="W195" s="424"/>
      <c r="X195" s="425"/>
      <c r="Y195" s="426" t="str">
        <f t="shared" si="10"/>
        <v/>
      </c>
      <c r="Z195" s="427" t="str">
        <f t="shared" si="11"/>
        <v/>
      </c>
      <c r="AA195" s="426" t="str">
        <f t="shared" si="12"/>
        <v/>
      </c>
      <c r="AB195" s="428" t="str">
        <f t="shared" si="13"/>
        <v/>
      </c>
      <c r="AC195" s="427" t="str">
        <f t="shared" si="14"/>
        <v/>
      </c>
      <c r="AD195" s="227"/>
    </row>
    <row r="196" spans="1:30" customFormat="1" ht="15">
      <c r="A196" s="227"/>
      <c r="B196" s="276">
        <v>158</v>
      </c>
      <c r="C196" s="254"/>
      <c r="D196" s="255"/>
      <c r="E196" s="247"/>
      <c r="F196" s="232"/>
      <c r="G196" s="239"/>
      <c r="H196" s="386">
        <v>182</v>
      </c>
      <c r="I196" s="404"/>
      <c r="J196" s="404"/>
      <c r="K196" s="413"/>
      <c r="L196" s="413"/>
      <c r="M196" s="413"/>
      <c r="N196" s="413"/>
      <c r="O196" s="413"/>
      <c r="P196" s="413"/>
      <c r="Q196" s="413"/>
      <c r="R196" s="452"/>
      <c r="S196" s="443"/>
      <c r="T196" s="422" t="str" cm="1">
        <f t="array" ref="T196">IF(AND($U$12,B220&lt;=$C$17,C220&lt;&gt;""),TRANSPOSE(INDEX(getcds(C220,$C$6,G220/10000,F220,D220,$C$13,$C$14,$C$15,$C$8,,,TRUE,TRUE,FALSE,$C$29:$C$31,$C$33),{1;2;3;4;5})),"")</f>
        <v/>
      </c>
      <c r="U196" s="423"/>
      <c r="V196" s="423"/>
      <c r="W196" s="424"/>
      <c r="X196" s="425"/>
      <c r="Y196" s="426" t="str">
        <f t="shared" si="10"/>
        <v/>
      </c>
      <c r="Z196" s="427" t="str">
        <f t="shared" si="11"/>
        <v/>
      </c>
      <c r="AA196" s="426" t="str">
        <f t="shared" si="12"/>
        <v/>
      </c>
      <c r="AB196" s="428" t="str">
        <f t="shared" si="13"/>
        <v/>
      </c>
      <c r="AC196" s="427" t="str">
        <f t="shared" si="14"/>
        <v/>
      </c>
      <c r="AD196" s="227"/>
    </row>
    <row r="197" spans="1:30" customFormat="1" ht="15">
      <c r="A197" s="227"/>
      <c r="B197" s="276">
        <v>159</v>
      </c>
      <c r="C197" s="254"/>
      <c r="D197" s="255"/>
      <c r="E197" s="247"/>
      <c r="F197" s="232"/>
      <c r="G197" s="239"/>
      <c r="H197" s="386">
        <v>183</v>
      </c>
      <c r="I197" s="404"/>
      <c r="J197" s="404"/>
      <c r="K197" s="413"/>
      <c r="L197" s="413"/>
      <c r="M197" s="413"/>
      <c r="N197" s="413"/>
      <c r="O197" s="413"/>
      <c r="P197" s="413"/>
      <c r="Q197" s="413"/>
      <c r="R197" s="452"/>
      <c r="S197" s="443"/>
      <c r="T197" s="422" t="str" cm="1">
        <f t="array" ref="T197">IF(AND($U$12,B221&lt;=$C$17,C221&lt;&gt;""),TRANSPOSE(INDEX(getcds(C221,$C$6,G221/10000,F221,D221,$C$13,$C$14,$C$15,$C$8,,,TRUE,TRUE,FALSE,$C$29:$C$31,$C$33),{1;2;3;4;5})),"")</f>
        <v/>
      </c>
      <c r="U197" s="423"/>
      <c r="V197" s="423"/>
      <c r="W197" s="424"/>
      <c r="X197" s="425"/>
      <c r="Y197" s="426" t="str">
        <f t="shared" si="10"/>
        <v/>
      </c>
      <c r="Z197" s="427" t="str">
        <f t="shared" si="11"/>
        <v/>
      </c>
      <c r="AA197" s="426" t="str">
        <f t="shared" si="12"/>
        <v/>
      </c>
      <c r="AB197" s="428" t="str">
        <f t="shared" si="13"/>
        <v/>
      </c>
      <c r="AC197" s="427" t="str">
        <f t="shared" si="14"/>
        <v/>
      </c>
      <c r="AD197" s="227"/>
    </row>
    <row r="198" spans="1:30" customFormat="1" ht="15">
      <c r="A198" s="227"/>
      <c r="B198" s="276">
        <v>160</v>
      </c>
      <c r="C198" s="254"/>
      <c r="D198" s="255"/>
      <c r="E198" s="247"/>
      <c r="F198" s="232"/>
      <c r="G198" s="239"/>
      <c r="H198" s="386">
        <v>184</v>
      </c>
      <c r="I198" s="404"/>
      <c r="J198" s="404"/>
      <c r="K198" s="413"/>
      <c r="L198" s="413"/>
      <c r="M198" s="413"/>
      <c r="N198" s="413"/>
      <c r="O198" s="413"/>
      <c r="P198" s="413"/>
      <c r="Q198" s="413"/>
      <c r="R198" s="452"/>
      <c r="S198" s="443"/>
      <c r="T198" s="422" t="str" cm="1">
        <f t="array" ref="T198">IF(AND($U$12,B222&lt;=$C$17,C222&lt;&gt;""),TRANSPOSE(INDEX(getcds(C222,$C$6,G222/10000,F222,D222,$C$13,$C$14,$C$15,$C$8,,,TRUE,TRUE,FALSE,$C$29:$C$31,$C$33),{1;2;3;4;5})),"")</f>
        <v/>
      </c>
      <c r="U198" s="423"/>
      <c r="V198" s="423"/>
      <c r="W198" s="424"/>
      <c r="X198" s="425"/>
      <c r="Y198" s="426" t="str">
        <f t="shared" si="10"/>
        <v/>
      </c>
      <c r="Z198" s="427" t="str">
        <f t="shared" si="11"/>
        <v/>
      </c>
      <c r="AA198" s="426" t="str">
        <f t="shared" si="12"/>
        <v/>
      </c>
      <c r="AB198" s="428" t="str">
        <f t="shared" si="13"/>
        <v/>
      </c>
      <c r="AC198" s="427" t="str">
        <f t="shared" si="14"/>
        <v/>
      </c>
      <c r="AD198" s="227"/>
    </row>
    <row r="199" spans="1:30" customFormat="1" ht="15">
      <c r="A199" s="227"/>
      <c r="B199" s="276">
        <v>161</v>
      </c>
      <c r="C199" s="254"/>
      <c r="D199" s="255"/>
      <c r="E199" s="247"/>
      <c r="F199" s="232"/>
      <c r="G199" s="239"/>
      <c r="H199" s="386">
        <v>185</v>
      </c>
      <c r="I199" s="404"/>
      <c r="J199" s="404"/>
      <c r="K199" s="413"/>
      <c r="L199" s="413"/>
      <c r="M199" s="413"/>
      <c r="N199" s="413"/>
      <c r="O199" s="413"/>
      <c r="P199" s="413"/>
      <c r="Q199" s="413"/>
      <c r="R199" s="452"/>
      <c r="S199" s="443"/>
      <c r="T199" s="422" t="str" cm="1">
        <f t="array" ref="T199">IF(AND($U$12,B223&lt;=$C$17,C223&lt;&gt;""),TRANSPOSE(INDEX(getcds(C223,$C$6,G223/10000,F223,D223,$C$13,$C$14,$C$15,$C$8,,,TRUE,TRUE,FALSE,$C$29:$C$31,$C$33),{1;2;3;4;5})),"")</f>
        <v/>
      </c>
      <c r="U199" s="423"/>
      <c r="V199" s="423"/>
      <c r="W199" s="424"/>
      <c r="X199" s="425"/>
      <c r="Y199" s="426" t="str">
        <f t="shared" si="10"/>
        <v/>
      </c>
      <c r="Z199" s="427" t="str">
        <f t="shared" si="11"/>
        <v/>
      </c>
      <c r="AA199" s="426" t="str">
        <f t="shared" si="12"/>
        <v/>
      </c>
      <c r="AB199" s="428" t="str">
        <f t="shared" si="13"/>
        <v/>
      </c>
      <c r="AC199" s="427" t="str">
        <f t="shared" si="14"/>
        <v/>
      </c>
      <c r="AD199" s="227"/>
    </row>
    <row r="200" spans="1:30" customFormat="1" ht="15">
      <c r="A200" s="227"/>
      <c r="B200" s="276">
        <v>162</v>
      </c>
      <c r="C200" s="254"/>
      <c r="D200" s="255"/>
      <c r="E200" s="247"/>
      <c r="F200" s="232"/>
      <c r="G200" s="239"/>
      <c r="H200" s="386">
        <v>186</v>
      </c>
      <c r="I200" s="404"/>
      <c r="J200" s="404"/>
      <c r="K200" s="413"/>
      <c r="L200" s="413"/>
      <c r="M200" s="413"/>
      <c r="N200" s="413"/>
      <c r="O200" s="413"/>
      <c r="P200" s="413"/>
      <c r="Q200" s="413"/>
      <c r="R200" s="452"/>
      <c r="S200" s="443"/>
      <c r="T200" s="422" t="str" cm="1">
        <f t="array" ref="T200">IF(AND($U$12,B224&lt;=$C$17,C224&lt;&gt;""),TRANSPOSE(INDEX(getcds(C224,$C$6,G224/10000,F224,D224,$C$13,$C$14,$C$15,$C$8,,,TRUE,TRUE,FALSE,$C$29:$C$31,$C$33),{1;2;3;4;5})),"")</f>
        <v/>
      </c>
      <c r="U200" s="423"/>
      <c r="V200" s="423"/>
      <c r="W200" s="424"/>
      <c r="X200" s="425"/>
      <c r="Y200" s="426" t="str">
        <f t="shared" si="10"/>
        <v/>
      </c>
      <c r="Z200" s="427" t="str">
        <f t="shared" si="11"/>
        <v/>
      </c>
      <c r="AA200" s="426" t="str">
        <f t="shared" si="12"/>
        <v/>
      </c>
      <c r="AB200" s="428" t="str">
        <f t="shared" si="13"/>
        <v/>
      </c>
      <c r="AC200" s="427" t="str">
        <f t="shared" si="14"/>
        <v/>
      </c>
      <c r="AD200" s="227"/>
    </row>
    <row r="201" spans="1:30" customFormat="1" ht="15">
      <c r="A201" s="227"/>
      <c r="B201" s="276">
        <v>163</v>
      </c>
      <c r="C201" s="254"/>
      <c r="D201" s="255"/>
      <c r="E201" s="247"/>
      <c r="F201" s="232"/>
      <c r="G201" s="239"/>
      <c r="H201" s="386">
        <v>187</v>
      </c>
      <c r="I201" s="404"/>
      <c r="J201" s="404"/>
      <c r="K201" s="413"/>
      <c r="L201" s="413"/>
      <c r="M201" s="413"/>
      <c r="N201" s="413"/>
      <c r="O201" s="413"/>
      <c r="P201" s="413"/>
      <c r="Q201" s="413"/>
      <c r="R201" s="452"/>
      <c r="S201" s="443"/>
      <c r="T201" s="422" t="str" cm="1">
        <f t="array" ref="T201">IF(AND($U$12,B225&lt;=$C$17,C225&lt;&gt;""),TRANSPOSE(INDEX(getcds(C225,$C$6,G225/10000,F225,D225,$C$13,$C$14,$C$15,$C$8,,,TRUE,TRUE,FALSE,$C$29:$C$31,$C$33),{1;2;3;4;5})),"")</f>
        <v/>
      </c>
      <c r="U201" s="423"/>
      <c r="V201" s="423"/>
      <c r="W201" s="424"/>
      <c r="X201" s="425"/>
      <c r="Y201" s="426" t="str">
        <f t="shared" si="10"/>
        <v/>
      </c>
      <c r="Z201" s="427" t="str">
        <f t="shared" si="11"/>
        <v/>
      </c>
      <c r="AA201" s="426" t="str">
        <f t="shared" si="12"/>
        <v/>
      </c>
      <c r="AB201" s="428" t="str">
        <f t="shared" si="13"/>
        <v/>
      </c>
      <c r="AC201" s="427" t="str">
        <f t="shared" si="14"/>
        <v/>
      </c>
      <c r="AD201" s="227"/>
    </row>
    <row r="202" spans="1:30" customFormat="1" ht="15">
      <c r="A202" s="227"/>
      <c r="B202" s="276">
        <v>164</v>
      </c>
      <c r="C202" s="254"/>
      <c r="D202" s="255"/>
      <c r="E202" s="247"/>
      <c r="F202" s="232"/>
      <c r="G202" s="239"/>
      <c r="H202" s="386">
        <v>188</v>
      </c>
      <c r="I202" s="404"/>
      <c r="J202" s="404"/>
      <c r="K202" s="413"/>
      <c r="L202" s="413"/>
      <c r="M202" s="413"/>
      <c r="N202" s="413"/>
      <c r="O202" s="413"/>
      <c r="P202" s="413"/>
      <c r="Q202" s="413"/>
      <c r="R202" s="452"/>
      <c r="S202" s="443"/>
      <c r="T202" s="422" t="str" cm="1">
        <f t="array" ref="T202">IF(AND($U$12,B226&lt;=$C$17,C226&lt;&gt;""),TRANSPOSE(INDEX(getcds(C226,$C$6,G226/10000,F226,D226,$C$13,$C$14,$C$15,$C$8,,,TRUE,TRUE,FALSE,$C$29:$C$31,$C$33),{1;2;3;4;5})),"")</f>
        <v/>
      </c>
      <c r="U202" s="423"/>
      <c r="V202" s="423"/>
      <c r="W202" s="424"/>
      <c r="X202" s="425"/>
      <c r="Y202" s="426" t="str">
        <f t="shared" si="10"/>
        <v/>
      </c>
      <c r="Z202" s="427" t="str">
        <f t="shared" si="11"/>
        <v/>
      </c>
      <c r="AA202" s="426" t="str">
        <f t="shared" si="12"/>
        <v/>
      </c>
      <c r="AB202" s="428" t="str">
        <f t="shared" si="13"/>
        <v/>
      </c>
      <c r="AC202" s="427" t="str">
        <f t="shared" si="14"/>
        <v/>
      </c>
      <c r="AD202" s="227"/>
    </row>
    <row r="203" spans="1:30" customFormat="1" ht="15">
      <c r="A203" s="227"/>
      <c r="B203" s="276">
        <v>165</v>
      </c>
      <c r="C203" s="254"/>
      <c r="D203" s="255"/>
      <c r="E203" s="247"/>
      <c r="F203" s="232"/>
      <c r="G203" s="239"/>
      <c r="H203" s="386">
        <v>189</v>
      </c>
      <c r="I203" s="404"/>
      <c r="J203" s="404"/>
      <c r="K203" s="413"/>
      <c r="L203" s="413"/>
      <c r="M203" s="413"/>
      <c r="N203" s="413"/>
      <c r="O203" s="413"/>
      <c r="P203" s="413"/>
      <c r="Q203" s="413"/>
      <c r="R203" s="452"/>
      <c r="S203" s="443"/>
      <c r="T203" s="422" t="str" cm="1">
        <f t="array" ref="T203">IF(AND($U$12,B227&lt;=$C$17,C227&lt;&gt;""),TRANSPOSE(INDEX(getcds(C227,$C$6,G227/10000,F227,D227,$C$13,$C$14,$C$15,$C$8,,,TRUE,TRUE,FALSE,$C$29:$C$31,$C$33),{1;2;3;4;5})),"")</f>
        <v/>
      </c>
      <c r="U203" s="423"/>
      <c r="V203" s="423"/>
      <c r="W203" s="424"/>
      <c r="X203" s="425"/>
      <c r="Y203" s="426" t="str">
        <f t="shared" si="10"/>
        <v/>
      </c>
      <c r="Z203" s="427" t="str">
        <f t="shared" si="11"/>
        <v/>
      </c>
      <c r="AA203" s="426" t="str">
        <f t="shared" si="12"/>
        <v/>
      </c>
      <c r="AB203" s="428" t="str">
        <f t="shared" si="13"/>
        <v/>
      </c>
      <c r="AC203" s="427" t="str">
        <f t="shared" si="14"/>
        <v/>
      </c>
      <c r="AD203" s="227"/>
    </row>
    <row r="204" spans="1:30" customFormat="1" ht="15">
      <c r="A204" s="227"/>
      <c r="B204" s="276">
        <v>166</v>
      </c>
      <c r="C204" s="254"/>
      <c r="D204" s="255"/>
      <c r="E204" s="247"/>
      <c r="F204" s="232"/>
      <c r="G204" s="239"/>
      <c r="H204" s="386">
        <v>190</v>
      </c>
      <c r="I204" s="404"/>
      <c r="J204" s="404"/>
      <c r="K204" s="413"/>
      <c r="L204" s="413"/>
      <c r="M204" s="413"/>
      <c r="N204" s="413"/>
      <c r="O204" s="413"/>
      <c r="P204" s="413"/>
      <c r="Q204" s="413"/>
      <c r="R204" s="452"/>
      <c r="S204" s="443"/>
      <c r="T204" s="422" t="str" cm="1">
        <f t="array" ref="T204">IF(AND($U$12,B228&lt;=$C$17,C228&lt;&gt;""),TRANSPOSE(INDEX(getcds(C228,$C$6,G228/10000,F228,D228,$C$13,$C$14,$C$15,$C$8,,,TRUE,TRUE,FALSE,$C$29:$C$31,$C$33),{1;2;3;4;5})),"")</f>
        <v/>
      </c>
      <c r="U204" s="423"/>
      <c r="V204" s="423"/>
      <c r="W204" s="424"/>
      <c r="X204" s="425"/>
      <c r="Y204" s="426" t="str">
        <f t="shared" si="10"/>
        <v/>
      </c>
      <c r="Z204" s="427" t="str">
        <f t="shared" si="11"/>
        <v/>
      </c>
      <c r="AA204" s="426" t="str">
        <f t="shared" si="12"/>
        <v/>
      </c>
      <c r="AB204" s="428" t="str">
        <f t="shared" si="13"/>
        <v/>
      </c>
      <c r="AC204" s="427" t="str">
        <f t="shared" si="14"/>
        <v/>
      </c>
      <c r="AD204" s="227"/>
    </row>
    <row r="205" spans="1:30" customFormat="1" ht="15">
      <c r="A205" s="227"/>
      <c r="B205" s="276">
        <v>167</v>
      </c>
      <c r="C205" s="254"/>
      <c r="D205" s="255"/>
      <c r="E205" s="247"/>
      <c r="F205" s="232"/>
      <c r="G205" s="239"/>
      <c r="H205" s="386">
        <v>191</v>
      </c>
      <c r="I205" s="404"/>
      <c r="J205" s="404"/>
      <c r="K205" s="413"/>
      <c r="L205" s="413"/>
      <c r="M205" s="413"/>
      <c r="N205" s="413"/>
      <c r="O205" s="413"/>
      <c r="P205" s="413"/>
      <c r="Q205" s="413"/>
      <c r="R205" s="452"/>
      <c r="S205" s="443"/>
      <c r="T205" s="422" t="str" cm="1">
        <f t="array" ref="T205">IF(AND($U$12,B229&lt;=$C$17,C229&lt;&gt;""),TRANSPOSE(INDEX(getcds(C229,$C$6,G229/10000,F229,D229,$C$13,$C$14,$C$15,$C$8,,,TRUE,TRUE,FALSE,$C$29:$C$31,$C$33),{1;2;3;4;5})),"")</f>
        <v/>
      </c>
      <c r="U205" s="423"/>
      <c r="V205" s="423"/>
      <c r="W205" s="424"/>
      <c r="X205" s="425"/>
      <c r="Y205" s="426" t="str">
        <f t="shared" si="10"/>
        <v/>
      </c>
      <c r="Z205" s="427" t="str">
        <f t="shared" si="11"/>
        <v/>
      </c>
      <c r="AA205" s="426" t="str">
        <f t="shared" si="12"/>
        <v/>
      </c>
      <c r="AB205" s="428" t="str">
        <f t="shared" si="13"/>
        <v/>
      </c>
      <c r="AC205" s="427" t="str">
        <f t="shared" si="14"/>
        <v/>
      </c>
      <c r="AD205" s="227"/>
    </row>
    <row r="206" spans="1:30" customFormat="1" ht="15">
      <c r="A206" s="227"/>
      <c r="B206" s="276">
        <v>168</v>
      </c>
      <c r="C206" s="254"/>
      <c r="D206" s="255"/>
      <c r="E206" s="247"/>
      <c r="F206" s="232"/>
      <c r="G206" s="239"/>
      <c r="H206" s="386">
        <v>192</v>
      </c>
      <c r="I206" s="404"/>
      <c r="J206" s="404"/>
      <c r="K206" s="413"/>
      <c r="L206" s="413"/>
      <c r="M206" s="413"/>
      <c r="N206" s="413"/>
      <c r="O206" s="413"/>
      <c r="P206" s="413"/>
      <c r="Q206" s="413"/>
      <c r="R206" s="452"/>
      <c r="S206" s="443"/>
      <c r="T206" s="422" t="str" cm="1">
        <f t="array" ref="T206">IF(AND($U$12,B230&lt;=$C$17,C230&lt;&gt;""),TRANSPOSE(INDEX(getcds(C230,$C$6,G230/10000,F230,D230,$C$13,$C$14,$C$15,$C$8,,,TRUE,TRUE,FALSE,$C$29:$C$31,$C$33),{1;2;3;4;5})),"")</f>
        <v/>
      </c>
      <c r="U206" s="423"/>
      <c r="V206" s="423"/>
      <c r="W206" s="424"/>
      <c r="X206" s="425"/>
      <c r="Y206" s="426" t="str">
        <f t="shared" si="10"/>
        <v/>
      </c>
      <c r="Z206" s="427" t="str">
        <f t="shared" si="11"/>
        <v/>
      </c>
      <c r="AA206" s="426" t="str">
        <f t="shared" si="12"/>
        <v/>
      </c>
      <c r="AB206" s="428" t="str">
        <f t="shared" si="13"/>
        <v/>
      </c>
      <c r="AC206" s="427" t="str">
        <f t="shared" si="14"/>
        <v/>
      </c>
      <c r="AD206" s="227"/>
    </row>
    <row r="207" spans="1:30" customFormat="1" ht="15">
      <c r="A207" s="227"/>
      <c r="B207" s="276">
        <v>169</v>
      </c>
      <c r="C207" s="254"/>
      <c r="D207" s="255"/>
      <c r="E207" s="247"/>
      <c r="F207" s="232"/>
      <c r="G207" s="239"/>
      <c r="H207" s="386">
        <v>193</v>
      </c>
      <c r="I207" s="404"/>
      <c r="J207" s="404"/>
      <c r="K207" s="413"/>
      <c r="L207" s="413"/>
      <c r="M207" s="413"/>
      <c r="N207" s="413"/>
      <c r="O207" s="413"/>
      <c r="P207" s="413"/>
      <c r="Q207" s="413"/>
      <c r="R207" s="452"/>
      <c r="S207" s="443"/>
      <c r="T207" s="422" t="str" cm="1">
        <f t="array" ref="T207">IF(AND($U$12,B231&lt;=$C$17,C231&lt;&gt;""),TRANSPOSE(INDEX(getcds(C231,$C$6,G231/10000,F231,D231,$C$13,$C$14,$C$15,$C$8,,,TRUE,TRUE,FALSE,$C$29:$C$31,$C$33),{1;2;3;4;5})),"")</f>
        <v/>
      </c>
      <c r="U207" s="423"/>
      <c r="V207" s="423"/>
      <c r="W207" s="424"/>
      <c r="X207" s="425"/>
      <c r="Y207" s="426" t="str">
        <f t="shared" si="10"/>
        <v/>
      </c>
      <c r="Z207" s="427" t="str">
        <f t="shared" si="11"/>
        <v/>
      </c>
      <c r="AA207" s="426" t="str">
        <f t="shared" si="12"/>
        <v/>
      </c>
      <c r="AB207" s="428" t="str">
        <f t="shared" si="13"/>
        <v/>
      </c>
      <c r="AC207" s="427" t="str">
        <f t="shared" si="14"/>
        <v/>
      </c>
      <c r="AD207" s="227"/>
    </row>
    <row r="208" spans="1:30" customFormat="1" ht="15">
      <c r="A208" s="227"/>
      <c r="B208" s="276">
        <v>170</v>
      </c>
      <c r="C208" s="254"/>
      <c r="D208" s="255"/>
      <c r="E208" s="247"/>
      <c r="F208" s="232"/>
      <c r="G208" s="239"/>
      <c r="H208" s="386">
        <v>194</v>
      </c>
      <c r="I208" s="404"/>
      <c r="J208" s="404"/>
      <c r="K208" s="413"/>
      <c r="L208" s="413"/>
      <c r="M208" s="413"/>
      <c r="N208" s="413"/>
      <c r="O208" s="413"/>
      <c r="P208" s="413"/>
      <c r="Q208" s="413"/>
      <c r="R208" s="452"/>
      <c r="S208" s="443"/>
      <c r="T208" s="422" t="str" cm="1">
        <f t="array" ref="T208">IF(AND($U$12,B232&lt;=$C$17,C232&lt;&gt;""),TRANSPOSE(INDEX(getcds(C232,$C$6,G232/10000,F232,D232,$C$13,$C$14,$C$15,$C$8,,,TRUE,TRUE,FALSE,$C$29:$C$31,$C$33),{1;2;3;4;5})),"")</f>
        <v/>
      </c>
      <c r="U208" s="423"/>
      <c r="V208" s="423"/>
      <c r="W208" s="424"/>
      <c r="X208" s="425"/>
      <c r="Y208" s="426" t="str">
        <f t="shared" ref="Y208:Y271" si="15">IF($U$12,IF(T208="","",$U$13*D232/$C$18),"")</f>
        <v/>
      </c>
      <c r="Z208" s="427" t="str">
        <f t="shared" ref="Z208:Z271" si="16">IF($U$12,IF(Y208="","",Y208*($Z$10-W208)*X208),"")</f>
        <v/>
      </c>
      <c r="AA208" s="426" t="str">
        <f t="shared" ref="AA208:AA271" si="17">IF($U$12,IF(OR(T208="",L208=""),"",L208/($C$20-$C$19)),"")</f>
        <v/>
      </c>
      <c r="AB208" s="428" t="str">
        <f t="shared" ref="AB208:AB271" si="18">IF($U$12,IF(W208="","",W208*$AC$10),"")</f>
        <v/>
      </c>
      <c r="AC208" s="427" t="str">
        <f t="shared" ref="AC208:AC271" si="19">IF($U$12,IF(AA208="","",AA208*(AB208-W208)*X208),"")</f>
        <v/>
      </c>
      <c r="AD208" s="227"/>
    </row>
    <row r="209" spans="1:30" customFormat="1" ht="15">
      <c r="A209" s="227"/>
      <c r="B209" s="276">
        <v>171</v>
      </c>
      <c r="C209" s="254"/>
      <c r="D209" s="255"/>
      <c r="E209" s="247"/>
      <c r="F209" s="232"/>
      <c r="G209" s="239"/>
      <c r="H209" s="386">
        <v>195</v>
      </c>
      <c r="I209" s="404"/>
      <c r="J209" s="404"/>
      <c r="K209" s="413"/>
      <c r="L209" s="413"/>
      <c r="M209" s="413"/>
      <c r="N209" s="413"/>
      <c r="O209" s="413"/>
      <c r="P209" s="413"/>
      <c r="Q209" s="413"/>
      <c r="R209" s="452"/>
      <c r="S209" s="443"/>
      <c r="T209" s="422" t="str" cm="1">
        <f t="array" ref="T209">IF(AND($U$12,B233&lt;=$C$17,C233&lt;&gt;""),TRANSPOSE(INDEX(getcds(C233,$C$6,G233/10000,F233,D233,$C$13,$C$14,$C$15,$C$8,,,TRUE,TRUE,FALSE,$C$29:$C$31,$C$33),{1;2;3;4;5})),"")</f>
        <v/>
      </c>
      <c r="U209" s="423"/>
      <c r="V209" s="423"/>
      <c r="W209" s="424"/>
      <c r="X209" s="425"/>
      <c r="Y209" s="426" t="str">
        <f t="shared" si="15"/>
        <v/>
      </c>
      <c r="Z209" s="427" t="str">
        <f t="shared" si="16"/>
        <v/>
      </c>
      <c r="AA209" s="426" t="str">
        <f t="shared" si="17"/>
        <v/>
      </c>
      <c r="AB209" s="428" t="str">
        <f t="shared" si="18"/>
        <v/>
      </c>
      <c r="AC209" s="427" t="str">
        <f t="shared" si="19"/>
        <v/>
      </c>
      <c r="AD209" s="227"/>
    </row>
    <row r="210" spans="1:30" customFormat="1" ht="15">
      <c r="A210" s="227"/>
      <c r="B210" s="276">
        <v>172</v>
      </c>
      <c r="C210" s="254"/>
      <c r="D210" s="255"/>
      <c r="E210" s="247"/>
      <c r="F210" s="232"/>
      <c r="G210" s="239"/>
      <c r="H210" s="386">
        <v>196</v>
      </c>
      <c r="I210" s="404"/>
      <c r="J210" s="404"/>
      <c r="K210" s="413"/>
      <c r="L210" s="413"/>
      <c r="M210" s="413"/>
      <c r="N210" s="413"/>
      <c r="O210" s="413"/>
      <c r="P210" s="413"/>
      <c r="Q210" s="413"/>
      <c r="R210" s="452"/>
      <c r="S210" s="443"/>
      <c r="T210" s="422" t="str" cm="1">
        <f t="array" ref="T210">IF(AND($U$12,B234&lt;=$C$17,C234&lt;&gt;""),TRANSPOSE(INDEX(getcds(C234,$C$6,G234/10000,F234,D234,$C$13,$C$14,$C$15,$C$8,,,TRUE,TRUE,FALSE,$C$29:$C$31,$C$33),{1;2;3;4;5})),"")</f>
        <v/>
      </c>
      <c r="U210" s="423"/>
      <c r="V210" s="423"/>
      <c r="W210" s="424"/>
      <c r="X210" s="425"/>
      <c r="Y210" s="426" t="str">
        <f t="shared" si="15"/>
        <v/>
      </c>
      <c r="Z210" s="427" t="str">
        <f t="shared" si="16"/>
        <v/>
      </c>
      <c r="AA210" s="426" t="str">
        <f t="shared" si="17"/>
        <v/>
      </c>
      <c r="AB210" s="428" t="str">
        <f t="shared" si="18"/>
        <v/>
      </c>
      <c r="AC210" s="427" t="str">
        <f t="shared" si="19"/>
        <v/>
      </c>
      <c r="AD210" s="227"/>
    </row>
    <row r="211" spans="1:30" customFormat="1" ht="15">
      <c r="A211" s="227"/>
      <c r="B211" s="276">
        <v>173</v>
      </c>
      <c r="C211" s="254"/>
      <c r="D211" s="255"/>
      <c r="E211" s="247"/>
      <c r="F211" s="232"/>
      <c r="G211" s="239"/>
      <c r="H211" s="386">
        <v>197</v>
      </c>
      <c r="I211" s="404"/>
      <c r="J211" s="404"/>
      <c r="K211" s="413"/>
      <c r="L211" s="413"/>
      <c r="M211" s="413"/>
      <c r="N211" s="413"/>
      <c r="O211" s="413"/>
      <c r="P211" s="413"/>
      <c r="Q211" s="413"/>
      <c r="R211" s="452"/>
      <c r="S211" s="443"/>
      <c r="T211" s="422" t="str" cm="1">
        <f t="array" ref="T211">IF(AND($U$12,B235&lt;=$C$17,C235&lt;&gt;""),TRANSPOSE(INDEX(getcds(C235,$C$6,G235/10000,F235,D235,$C$13,$C$14,$C$15,$C$8,,,TRUE,TRUE,FALSE,$C$29:$C$31,$C$33),{1;2;3;4;5})),"")</f>
        <v/>
      </c>
      <c r="U211" s="423"/>
      <c r="V211" s="423"/>
      <c r="W211" s="424"/>
      <c r="X211" s="425"/>
      <c r="Y211" s="426" t="str">
        <f t="shared" si="15"/>
        <v/>
      </c>
      <c r="Z211" s="427" t="str">
        <f t="shared" si="16"/>
        <v/>
      </c>
      <c r="AA211" s="426" t="str">
        <f t="shared" si="17"/>
        <v/>
      </c>
      <c r="AB211" s="428" t="str">
        <f t="shared" si="18"/>
        <v/>
      </c>
      <c r="AC211" s="427" t="str">
        <f t="shared" si="19"/>
        <v/>
      </c>
      <c r="AD211" s="227"/>
    </row>
    <row r="212" spans="1:30" customFormat="1" ht="15">
      <c r="A212" s="227"/>
      <c r="B212" s="276">
        <v>174</v>
      </c>
      <c r="C212" s="254"/>
      <c r="D212" s="255"/>
      <c r="E212" s="247"/>
      <c r="F212" s="232"/>
      <c r="G212" s="239"/>
      <c r="H212" s="386">
        <v>198</v>
      </c>
      <c r="I212" s="404"/>
      <c r="J212" s="404"/>
      <c r="K212" s="413"/>
      <c r="L212" s="413"/>
      <c r="M212" s="413"/>
      <c r="N212" s="413"/>
      <c r="O212" s="413"/>
      <c r="P212" s="413"/>
      <c r="Q212" s="413"/>
      <c r="R212" s="452"/>
      <c r="S212" s="443"/>
      <c r="T212" s="422" t="str" cm="1">
        <f t="array" ref="T212">IF(AND($U$12,B236&lt;=$C$17,C236&lt;&gt;""),TRANSPOSE(INDEX(getcds(C236,$C$6,G236/10000,F236,D236,$C$13,$C$14,$C$15,$C$8,,,TRUE,TRUE,FALSE,$C$29:$C$31,$C$33),{1;2;3;4;5})),"")</f>
        <v/>
      </c>
      <c r="U212" s="423"/>
      <c r="V212" s="423"/>
      <c r="W212" s="424"/>
      <c r="X212" s="425"/>
      <c r="Y212" s="426" t="str">
        <f t="shared" si="15"/>
        <v/>
      </c>
      <c r="Z212" s="427" t="str">
        <f t="shared" si="16"/>
        <v/>
      </c>
      <c r="AA212" s="426" t="str">
        <f t="shared" si="17"/>
        <v/>
      </c>
      <c r="AB212" s="428" t="str">
        <f t="shared" si="18"/>
        <v/>
      </c>
      <c r="AC212" s="427" t="str">
        <f t="shared" si="19"/>
        <v/>
      </c>
      <c r="AD212" s="227"/>
    </row>
    <row r="213" spans="1:30" customFormat="1" ht="15">
      <c r="A213" s="227"/>
      <c r="B213" s="276">
        <v>175</v>
      </c>
      <c r="C213" s="254"/>
      <c r="D213" s="255"/>
      <c r="E213" s="247"/>
      <c r="F213" s="232"/>
      <c r="G213" s="239"/>
      <c r="H213" s="386">
        <v>199</v>
      </c>
      <c r="I213" s="404"/>
      <c r="J213" s="404"/>
      <c r="K213" s="413"/>
      <c r="L213" s="413"/>
      <c r="M213" s="413"/>
      <c r="N213" s="413"/>
      <c r="O213" s="413"/>
      <c r="P213" s="413"/>
      <c r="Q213" s="413"/>
      <c r="R213" s="452"/>
      <c r="S213" s="443"/>
      <c r="T213" s="422" t="str" cm="1">
        <f t="array" ref="T213">IF(AND($U$12,B237&lt;=$C$17,C237&lt;&gt;""),TRANSPOSE(INDEX(getcds(C237,$C$6,G237/10000,F237,D237,$C$13,$C$14,$C$15,$C$8,,,TRUE,TRUE,FALSE,$C$29:$C$31,$C$33),{1;2;3;4;5})),"")</f>
        <v/>
      </c>
      <c r="U213" s="423"/>
      <c r="V213" s="423"/>
      <c r="W213" s="424"/>
      <c r="X213" s="425"/>
      <c r="Y213" s="426" t="str">
        <f t="shared" si="15"/>
        <v/>
      </c>
      <c r="Z213" s="427" t="str">
        <f t="shared" si="16"/>
        <v/>
      </c>
      <c r="AA213" s="426" t="str">
        <f t="shared" si="17"/>
        <v/>
      </c>
      <c r="AB213" s="428" t="str">
        <f t="shared" si="18"/>
        <v/>
      </c>
      <c r="AC213" s="427" t="str">
        <f t="shared" si="19"/>
        <v/>
      </c>
      <c r="AD213" s="227"/>
    </row>
    <row r="214" spans="1:30" customFormat="1" ht="15">
      <c r="A214" s="227"/>
      <c r="B214" s="276">
        <v>176</v>
      </c>
      <c r="C214" s="254"/>
      <c r="D214" s="255"/>
      <c r="E214" s="247"/>
      <c r="F214" s="232"/>
      <c r="G214" s="239"/>
      <c r="H214" s="386">
        <v>200</v>
      </c>
      <c r="I214" s="404"/>
      <c r="J214" s="404"/>
      <c r="K214" s="413"/>
      <c r="L214" s="413"/>
      <c r="M214" s="413"/>
      <c r="N214" s="413"/>
      <c r="O214" s="413"/>
      <c r="P214" s="413"/>
      <c r="Q214" s="413"/>
      <c r="R214" s="452"/>
      <c r="S214" s="443"/>
      <c r="T214" s="422" t="str" cm="1">
        <f t="array" ref="T214">IF(AND($U$12,B238&lt;=$C$17,C238&lt;&gt;""),TRANSPOSE(INDEX(getcds(C238,$C$6,G238/10000,F238,D238,$C$13,$C$14,$C$15,$C$8,,,TRUE,TRUE,FALSE,$C$29:$C$31,$C$33),{1;2;3;4;5})),"")</f>
        <v/>
      </c>
      <c r="U214" s="423"/>
      <c r="V214" s="423"/>
      <c r="W214" s="424"/>
      <c r="X214" s="425"/>
      <c r="Y214" s="426" t="str">
        <f t="shared" si="15"/>
        <v/>
      </c>
      <c r="Z214" s="427" t="str">
        <f t="shared" si="16"/>
        <v/>
      </c>
      <c r="AA214" s="426" t="str">
        <f t="shared" si="17"/>
        <v/>
      </c>
      <c r="AB214" s="428" t="str">
        <f t="shared" si="18"/>
        <v/>
      </c>
      <c r="AC214" s="427" t="str">
        <f t="shared" si="19"/>
        <v/>
      </c>
      <c r="AD214" s="227"/>
    </row>
    <row r="215" spans="1:30" customFormat="1" ht="15">
      <c r="A215" s="227"/>
      <c r="B215" s="276">
        <v>177</v>
      </c>
      <c r="C215" s="254"/>
      <c r="D215" s="255"/>
      <c r="E215" s="247"/>
      <c r="F215" s="232"/>
      <c r="G215" s="239"/>
      <c r="H215" s="386">
        <v>201</v>
      </c>
      <c r="I215" s="404"/>
      <c r="J215" s="404"/>
      <c r="K215" s="413"/>
      <c r="L215" s="413"/>
      <c r="M215" s="413"/>
      <c r="N215" s="413"/>
      <c r="O215" s="413"/>
      <c r="P215" s="413"/>
      <c r="Q215" s="413"/>
      <c r="R215" s="452"/>
      <c r="S215" s="443"/>
      <c r="T215" s="422" t="str" cm="1">
        <f t="array" ref="T215">IF(AND($U$12,B239&lt;=$C$17,C239&lt;&gt;""),TRANSPOSE(INDEX(getcds(C239,$C$6,G239/10000,F239,D239,$C$13,$C$14,$C$15,$C$8,,,TRUE,TRUE,FALSE,$C$29:$C$31,$C$33),{1;2;3;4;5})),"")</f>
        <v/>
      </c>
      <c r="U215" s="423"/>
      <c r="V215" s="423"/>
      <c r="W215" s="424"/>
      <c r="X215" s="425"/>
      <c r="Y215" s="426" t="str">
        <f t="shared" si="15"/>
        <v/>
      </c>
      <c r="Z215" s="427" t="str">
        <f t="shared" si="16"/>
        <v/>
      </c>
      <c r="AA215" s="426" t="str">
        <f t="shared" si="17"/>
        <v/>
      </c>
      <c r="AB215" s="428" t="str">
        <f t="shared" si="18"/>
        <v/>
      </c>
      <c r="AC215" s="427" t="str">
        <f t="shared" si="19"/>
        <v/>
      </c>
      <c r="AD215" s="227"/>
    </row>
    <row r="216" spans="1:30" customFormat="1" ht="15">
      <c r="A216" s="227"/>
      <c r="B216" s="276">
        <v>178</v>
      </c>
      <c r="C216" s="254"/>
      <c r="D216" s="255"/>
      <c r="E216" s="247"/>
      <c r="F216" s="232"/>
      <c r="G216" s="239"/>
      <c r="H216" s="386">
        <v>202</v>
      </c>
      <c r="I216" s="404"/>
      <c r="J216" s="404"/>
      <c r="K216" s="413"/>
      <c r="L216" s="413"/>
      <c r="M216" s="413"/>
      <c r="N216" s="413"/>
      <c r="O216" s="413"/>
      <c r="P216" s="413"/>
      <c r="Q216" s="413"/>
      <c r="R216" s="452"/>
      <c r="S216" s="443"/>
      <c r="T216" s="422" t="str" cm="1">
        <f t="array" ref="T216">IF(AND($U$12,B240&lt;=$C$17,C240&lt;&gt;""),TRANSPOSE(INDEX(getcds(C240,$C$6,G240/10000,F240,D240,$C$13,$C$14,$C$15,$C$8,,,TRUE,TRUE,FALSE,$C$29:$C$31,$C$33),{1;2;3;4;5})),"")</f>
        <v/>
      </c>
      <c r="U216" s="423"/>
      <c r="V216" s="423"/>
      <c r="W216" s="424"/>
      <c r="X216" s="425"/>
      <c r="Y216" s="426" t="str">
        <f t="shared" si="15"/>
        <v/>
      </c>
      <c r="Z216" s="427" t="str">
        <f t="shared" si="16"/>
        <v/>
      </c>
      <c r="AA216" s="426" t="str">
        <f t="shared" si="17"/>
        <v/>
      </c>
      <c r="AB216" s="428" t="str">
        <f t="shared" si="18"/>
        <v/>
      </c>
      <c r="AC216" s="427" t="str">
        <f t="shared" si="19"/>
        <v/>
      </c>
      <c r="AD216" s="227"/>
    </row>
    <row r="217" spans="1:30" customFormat="1" ht="15">
      <c r="A217" s="227"/>
      <c r="B217" s="276">
        <v>179</v>
      </c>
      <c r="C217" s="254"/>
      <c r="D217" s="255"/>
      <c r="E217" s="247"/>
      <c r="F217" s="232"/>
      <c r="G217" s="239"/>
      <c r="H217" s="386">
        <v>203</v>
      </c>
      <c r="I217" s="404"/>
      <c r="J217" s="404"/>
      <c r="K217" s="413"/>
      <c r="L217" s="413"/>
      <c r="M217" s="413"/>
      <c r="N217" s="413"/>
      <c r="O217" s="413"/>
      <c r="P217" s="413"/>
      <c r="Q217" s="413"/>
      <c r="R217" s="452"/>
      <c r="S217" s="443"/>
      <c r="T217" s="422" t="str" cm="1">
        <f t="array" ref="T217">IF(AND($U$12,B241&lt;=$C$17,C241&lt;&gt;""),TRANSPOSE(INDEX(getcds(C241,$C$6,G241/10000,F241,D241,$C$13,$C$14,$C$15,$C$8,,,TRUE,TRUE,FALSE,$C$29:$C$31,$C$33),{1;2;3;4;5})),"")</f>
        <v/>
      </c>
      <c r="U217" s="423"/>
      <c r="V217" s="423"/>
      <c r="W217" s="424"/>
      <c r="X217" s="425"/>
      <c r="Y217" s="426" t="str">
        <f t="shared" si="15"/>
        <v/>
      </c>
      <c r="Z217" s="427" t="str">
        <f t="shared" si="16"/>
        <v/>
      </c>
      <c r="AA217" s="426" t="str">
        <f t="shared" si="17"/>
        <v/>
      </c>
      <c r="AB217" s="428" t="str">
        <f t="shared" si="18"/>
        <v/>
      </c>
      <c r="AC217" s="427" t="str">
        <f t="shared" si="19"/>
        <v/>
      </c>
      <c r="AD217" s="227"/>
    </row>
    <row r="218" spans="1:30" customFormat="1" ht="15">
      <c r="A218" s="227"/>
      <c r="B218" s="276">
        <v>180</v>
      </c>
      <c r="C218" s="254"/>
      <c r="D218" s="255"/>
      <c r="E218" s="247"/>
      <c r="F218" s="232"/>
      <c r="G218" s="239"/>
      <c r="H218" s="386">
        <v>204</v>
      </c>
      <c r="I218" s="404"/>
      <c r="J218" s="404"/>
      <c r="K218" s="413"/>
      <c r="L218" s="413"/>
      <c r="M218" s="413"/>
      <c r="N218" s="413"/>
      <c r="O218" s="413"/>
      <c r="P218" s="413"/>
      <c r="Q218" s="413"/>
      <c r="R218" s="452"/>
      <c r="S218" s="443"/>
      <c r="T218" s="422" t="str" cm="1">
        <f t="array" ref="T218">IF(AND($U$12,B242&lt;=$C$17,C242&lt;&gt;""),TRANSPOSE(INDEX(getcds(C242,$C$6,G242/10000,F242,D242,$C$13,$C$14,$C$15,$C$8,,,TRUE,TRUE,FALSE,$C$29:$C$31,$C$33),{1;2;3;4;5})),"")</f>
        <v/>
      </c>
      <c r="U218" s="423"/>
      <c r="V218" s="423"/>
      <c r="W218" s="424"/>
      <c r="X218" s="425"/>
      <c r="Y218" s="426" t="str">
        <f t="shared" si="15"/>
        <v/>
      </c>
      <c r="Z218" s="427" t="str">
        <f t="shared" si="16"/>
        <v/>
      </c>
      <c r="AA218" s="426" t="str">
        <f t="shared" si="17"/>
        <v/>
      </c>
      <c r="AB218" s="428" t="str">
        <f t="shared" si="18"/>
        <v/>
      </c>
      <c r="AC218" s="427" t="str">
        <f t="shared" si="19"/>
        <v/>
      </c>
      <c r="AD218" s="227"/>
    </row>
    <row r="219" spans="1:30" customFormat="1" ht="15">
      <c r="A219" s="227"/>
      <c r="B219" s="276">
        <v>181</v>
      </c>
      <c r="C219" s="254"/>
      <c r="D219" s="255"/>
      <c r="E219" s="247"/>
      <c r="F219" s="232"/>
      <c r="G219" s="239"/>
      <c r="H219" s="386">
        <v>205</v>
      </c>
      <c r="I219" s="404"/>
      <c r="J219" s="404"/>
      <c r="K219" s="413"/>
      <c r="L219" s="413"/>
      <c r="M219" s="413"/>
      <c r="N219" s="413"/>
      <c r="O219" s="413"/>
      <c r="P219" s="413"/>
      <c r="Q219" s="413"/>
      <c r="R219" s="452"/>
      <c r="S219" s="443"/>
      <c r="T219" s="422" t="str" cm="1">
        <f t="array" ref="T219">IF(AND($U$12,B243&lt;=$C$17,C243&lt;&gt;""),TRANSPOSE(INDEX(getcds(C243,$C$6,G243/10000,F243,D243,$C$13,$C$14,$C$15,$C$8,,,TRUE,TRUE,FALSE,$C$29:$C$31,$C$33),{1;2;3;4;5})),"")</f>
        <v/>
      </c>
      <c r="U219" s="423"/>
      <c r="V219" s="423"/>
      <c r="W219" s="424"/>
      <c r="X219" s="425"/>
      <c r="Y219" s="426" t="str">
        <f t="shared" si="15"/>
        <v/>
      </c>
      <c r="Z219" s="427" t="str">
        <f t="shared" si="16"/>
        <v/>
      </c>
      <c r="AA219" s="426" t="str">
        <f t="shared" si="17"/>
        <v/>
      </c>
      <c r="AB219" s="428" t="str">
        <f t="shared" si="18"/>
        <v/>
      </c>
      <c r="AC219" s="427" t="str">
        <f t="shared" si="19"/>
        <v/>
      </c>
      <c r="AD219" s="227"/>
    </row>
    <row r="220" spans="1:30" customFormat="1" ht="15">
      <c r="A220" s="227"/>
      <c r="B220" s="276">
        <v>182</v>
      </c>
      <c r="C220" s="254"/>
      <c r="D220" s="255"/>
      <c r="E220" s="247"/>
      <c r="F220" s="232"/>
      <c r="G220" s="239"/>
      <c r="H220" s="386">
        <v>206</v>
      </c>
      <c r="I220" s="404"/>
      <c r="J220" s="404"/>
      <c r="K220" s="413"/>
      <c r="L220" s="413"/>
      <c r="M220" s="413"/>
      <c r="N220" s="413"/>
      <c r="O220" s="413"/>
      <c r="P220" s="413"/>
      <c r="Q220" s="413"/>
      <c r="R220" s="452"/>
      <c r="S220" s="443"/>
      <c r="T220" s="422" t="str" cm="1">
        <f t="array" ref="T220">IF(AND($U$12,B244&lt;=$C$17,C244&lt;&gt;""),TRANSPOSE(INDEX(getcds(C244,$C$6,G244/10000,F244,D244,$C$13,$C$14,$C$15,$C$8,,,TRUE,TRUE,FALSE,$C$29:$C$31,$C$33),{1;2;3;4;5})),"")</f>
        <v/>
      </c>
      <c r="U220" s="423"/>
      <c r="V220" s="423"/>
      <c r="W220" s="424"/>
      <c r="X220" s="425"/>
      <c r="Y220" s="426" t="str">
        <f t="shared" si="15"/>
        <v/>
      </c>
      <c r="Z220" s="427" t="str">
        <f t="shared" si="16"/>
        <v/>
      </c>
      <c r="AA220" s="426" t="str">
        <f t="shared" si="17"/>
        <v/>
      </c>
      <c r="AB220" s="428" t="str">
        <f t="shared" si="18"/>
        <v/>
      </c>
      <c r="AC220" s="427" t="str">
        <f t="shared" si="19"/>
        <v/>
      </c>
      <c r="AD220" s="227"/>
    </row>
    <row r="221" spans="1:30" customFormat="1" ht="15">
      <c r="A221" s="227"/>
      <c r="B221" s="276">
        <v>183</v>
      </c>
      <c r="C221" s="254"/>
      <c r="D221" s="255"/>
      <c r="E221" s="247"/>
      <c r="F221" s="232"/>
      <c r="G221" s="239"/>
      <c r="H221" s="386">
        <v>207</v>
      </c>
      <c r="I221" s="404"/>
      <c r="J221" s="404"/>
      <c r="K221" s="413"/>
      <c r="L221" s="413"/>
      <c r="M221" s="413"/>
      <c r="N221" s="413"/>
      <c r="O221" s="413"/>
      <c r="P221" s="413"/>
      <c r="Q221" s="413"/>
      <c r="R221" s="452"/>
      <c r="S221" s="443"/>
      <c r="T221" s="422" t="str" cm="1">
        <f t="array" ref="T221">IF(AND($U$12,B245&lt;=$C$17,C245&lt;&gt;""),TRANSPOSE(INDEX(getcds(C245,$C$6,G245/10000,F245,D245,$C$13,$C$14,$C$15,$C$8,,,TRUE,TRUE,FALSE,$C$29:$C$31,$C$33),{1;2;3;4;5})),"")</f>
        <v/>
      </c>
      <c r="U221" s="423"/>
      <c r="V221" s="423"/>
      <c r="W221" s="424"/>
      <c r="X221" s="425"/>
      <c r="Y221" s="426" t="str">
        <f t="shared" si="15"/>
        <v/>
      </c>
      <c r="Z221" s="427" t="str">
        <f t="shared" si="16"/>
        <v/>
      </c>
      <c r="AA221" s="426" t="str">
        <f t="shared" si="17"/>
        <v/>
      </c>
      <c r="AB221" s="428" t="str">
        <f t="shared" si="18"/>
        <v/>
      </c>
      <c r="AC221" s="427" t="str">
        <f t="shared" si="19"/>
        <v/>
      </c>
      <c r="AD221" s="227"/>
    </row>
    <row r="222" spans="1:30" customFormat="1" ht="15">
      <c r="A222" s="227"/>
      <c r="B222" s="276">
        <v>184</v>
      </c>
      <c r="C222" s="254"/>
      <c r="D222" s="255"/>
      <c r="E222" s="247"/>
      <c r="F222" s="232"/>
      <c r="G222" s="239"/>
      <c r="H222" s="386">
        <v>208</v>
      </c>
      <c r="I222" s="404"/>
      <c r="J222" s="404"/>
      <c r="K222" s="413"/>
      <c r="L222" s="413"/>
      <c r="M222" s="413"/>
      <c r="N222" s="413"/>
      <c r="O222" s="413"/>
      <c r="P222" s="413"/>
      <c r="Q222" s="413"/>
      <c r="R222" s="452"/>
      <c r="S222" s="443"/>
      <c r="T222" s="422" t="str" cm="1">
        <f t="array" ref="T222">IF(AND($U$12,B246&lt;=$C$17,C246&lt;&gt;""),TRANSPOSE(INDEX(getcds(C246,$C$6,G246/10000,F246,D246,$C$13,$C$14,$C$15,$C$8,,,TRUE,TRUE,FALSE,$C$29:$C$31,$C$33),{1;2;3;4;5})),"")</f>
        <v/>
      </c>
      <c r="U222" s="423"/>
      <c r="V222" s="423"/>
      <c r="W222" s="424"/>
      <c r="X222" s="425"/>
      <c r="Y222" s="426" t="str">
        <f t="shared" si="15"/>
        <v/>
      </c>
      <c r="Z222" s="427" t="str">
        <f t="shared" si="16"/>
        <v/>
      </c>
      <c r="AA222" s="426" t="str">
        <f t="shared" si="17"/>
        <v/>
      </c>
      <c r="AB222" s="428" t="str">
        <f t="shared" si="18"/>
        <v/>
      </c>
      <c r="AC222" s="427" t="str">
        <f t="shared" si="19"/>
        <v/>
      </c>
      <c r="AD222" s="227"/>
    </row>
    <row r="223" spans="1:30" customFormat="1" ht="15">
      <c r="A223" s="227"/>
      <c r="B223" s="276">
        <v>185</v>
      </c>
      <c r="C223" s="254"/>
      <c r="D223" s="255"/>
      <c r="E223" s="247"/>
      <c r="F223" s="232"/>
      <c r="G223" s="239"/>
      <c r="H223" s="386">
        <v>209</v>
      </c>
      <c r="I223" s="404"/>
      <c r="J223" s="404"/>
      <c r="K223" s="413"/>
      <c r="L223" s="413"/>
      <c r="M223" s="413"/>
      <c r="N223" s="413"/>
      <c r="O223" s="413"/>
      <c r="P223" s="413"/>
      <c r="Q223" s="413"/>
      <c r="R223" s="452"/>
      <c r="S223" s="443"/>
      <c r="T223" s="422" t="str" cm="1">
        <f t="array" ref="T223">IF(AND($U$12,B247&lt;=$C$17,C247&lt;&gt;""),TRANSPOSE(INDEX(getcds(C247,$C$6,G247/10000,F247,D247,$C$13,$C$14,$C$15,$C$8,,,TRUE,TRUE,FALSE,$C$29:$C$31,$C$33),{1;2;3;4;5})),"")</f>
        <v/>
      </c>
      <c r="U223" s="423"/>
      <c r="V223" s="423"/>
      <c r="W223" s="424"/>
      <c r="X223" s="425"/>
      <c r="Y223" s="426" t="str">
        <f t="shared" si="15"/>
        <v/>
      </c>
      <c r="Z223" s="427" t="str">
        <f t="shared" si="16"/>
        <v/>
      </c>
      <c r="AA223" s="426" t="str">
        <f t="shared" si="17"/>
        <v/>
      </c>
      <c r="AB223" s="428" t="str">
        <f t="shared" si="18"/>
        <v/>
      </c>
      <c r="AC223" s="427" t="str">
        <f t="shared" si="19"/>
        <v/>
      </c>
      <c r="AD223" s="227"/>
    </row>
    <row r="224" spans="1:30" customFormat="1" ht="15">
      <c r="A224" s="227"/>
      <c r="B224" s="276">
        <v>186</v>
      </c>
      <c r="C224" s="254"/>
      <c r="D224" s="255"/>
      <c r="E224" s="247"/>
      <c r="F224" s="232"/>
      <c r="G224" s="239"/>
      <c r="H224" s="386">
        <v>210</v>
      </c>
      <c r="I224" s="404"/>
      <c r="J224" s="404"/>
      <c r="K224" s="413"/>
      <c r="L224" s="413"/>
      <c r="M224" s="413"/>
      <c r="N224" s="413"/>
      <c r="O224" s="413"/>
      <c r="P224" s="413"/>
      <c r="Q224" s="413"/>
      <c r="R224" s="452"/>
      <c r="S224" s="443"/>
      <c r="T224" s="422" t="str" cm="1">
        <f t="array" ref="T224">IF(AND($U$12,B248&lt;=$C$17,C248&lt;&gt;""),TRANSPOSE(INDEX(getcds(C248,$C$6,G248/10000,F248,D248,$C$13,$C$14,$C$15,$C$8,,,TRUE,TRUE,FALSE,$C$29:$C$31,$C$33),{1;2;3;4;5})),"")</f>
        <v/>
      </c>
      <c r="U224" s="423"/>
      <c r="V224" s="423"/>
      <c r="W224" s="424"/>
      <c r="X224" s="425"/>
      <c r="Y224" s="426" t="str">
        <f t="shared" si="15"/>
        <v/>
      </c>
      <c r="Z224" s="427" t="str">
        <f t="shared" si="16"/>
        <v/>
      </c>
      <c r="AA224" s="426" t="str">
        <f t="shared" si="17"/>
        <v/>
      </c>
      <c r="AB224" s="428" t="str">
        <f t="shared" si="18"/>
        <v/>
      </c>
      <c r="AC224" s="427" t="str">
        <f t="shared" si="19"/>
        <v/>
      </c>
      <c r="AD224" s="227"/>
    </row>
    <row r="225" spans="1:30" customFormat="1" ht="15">
      <c r="A225" s="227"/>
      <c r="B225" s="276">
        <v>187</v>
      </c>
      <c r="C225" s="254"/>
      <c r="D225" s="255"/>
      <c r="E225" s="247"/>
      <c r="F225" s="232"/>
      <c r="G225" s="239"/>
      <c r="H225" s="386">
        <v>211</v>
      </c>
      <c r="I225" s="404"/>
      <c r="J225" s="404"/>
      <c r="K225" s="413"/>
      <c r="L225" s="413"/>
      <c r="M225" s="413"/>
      <c r="N225" s="413"/>
      <c r="O225" s="413"/>
      <c r="P225" s="413"/>
      <c r="Q225" s="413"/>
      <c r="R225" s="452"/>
      <c r="S225" s="443"/>
      <c r="T225" s="422" t="str" cm="1">
        <f t="array" ref="T225">IF(AND($U$12,B249&lt;=$C$17,C249&lt;&gt;""),TRANSPOSE(INDEX(getcds(C249,$C$6,G249/10000,F249,D249,$C$13,$C$14,$C$15,$C$8,,,TRUE,TRUE,FALSE,$C$29:$C$31,$C$33),{1;2;3;4;5})),"")</f>
        <v/>
      </c>
      <c r="U225" s="423"/>
      <c r="V225" s="423"/>
      <c r="W225" s="424"/>
      <c r="X225" s="425"/>
      <c r="Y225" s="426" t="str">
        <f t="shared" si="15"/>
        <v/>
      </c>
      <c r="Z225" s="427" t="str">
        <f t="shared" si="16"/>
        <v/>
      </c>
      <c r="AA225" s="426" t="str">
        <f t="shared" si="17"/>
        <v/>
      </c>
      <c r="AB225" s="428" t="str">
        <f t="shared" si="18"/>
        <v/>
      </c>
      <c r="AC225" s="427" t="str">
        <f t="shared" si="19"/>
        <v/>
      </c>
      <c r="AD225" s="227"/>
    </row>
    <row r="226" spans="1:30" customFormat="1" ht="15">
      <c r="A226" s="227"/>
      <c r="B226" s="276">
        <v>188</v>
      </c>
      <c r="C226" s="254"/>
      <c r="D226" s="255"/>
      <c r="E226" s="247"/>
      <c r="F226" s="232"/>
      <c r="G226" s="239"/>
      <c r="H226" s="386">
        <v>212</v>
      </c>
      <c r="I226" s="404"/>
      <c r="J226" s="404"/>
      <c r="K226" s="413"/>
      <c r="L226" s="413"/>
      <c r="M226" s="413"/>
      <c r="N226" s="413"/>
      <c r="O226" s="413"/>
      <c r="P226" s="413"/>
      <c r="Q226" s="413"/>
      <c r="R226" s="452"/>
      <c r="S226" s="443"/>
      <c r="T226" s="422" t="str" cm="1">
        <f t="array" ref="T226">IF(AND($U$12,B250&lt;=$C$17,C250&lt;&gt;""),TRANSPOSE(INDEX(getcds(C250,$C$6,G250/10000,F250,D250,$C$13,$C$14,$C$15,$C$8,,,TRUE,TRUE,FALSE,$C$29:$C$31,$C$33),{1;2;3;4;5})),"")</f>
        <v/>
      </c>
      <c r="U226" s="423"/>
      <c r="V226" s="423"/>
      <c r="W226" s="424"/>
      <c r="X226" s="425"/>
      <c r="Y226" s="426" t="str">
        <f t="shared" si="15"/>
        <v/>
      </c>
      <c r="Z226" s="427" t="str">
        <f t="shared" si="16"/>
        <v/>
      </c>
      <c r="AA226" s="426" t="str">
        <f t="shared" si="17"/>
        <v/>
      </c>
      <c r="AB226" s="428" t="str">
        <f t="shared" si="18"/>
        <v/>
      </c>
      <c r="AC226" s="427" t="str">
        <f t="shared" si="19"/>
        <v/>
      </c>
      <c r="AD226" s="227"/>
    </row>
    <row r="227" spans="1:30" customFormat="1" ht="15">
      <c r="A227" s="227"/>
      <c r="B227" s="276">
        <v>189</v>
      </c>
      <c r="C227" s="254"/>
      <c r="D227" s="255"/>
      <c r="E227" s="247"/>
      <c r="F227" s="232"/>
      <c r="G227" s="239"/>
      <c r="H227" s="386">
        <v>213</v>
      </c>
      <c r="I227" s="404"/>
      <c r="J227" s="404"/>
      <c r="K227" s="413"/>
      <c r="L227" s="413"/>
      <c r="M227" s="413"/>
      <c r="N227" s="413"/>
      <c r="O227" s="413"/>
      <c r="P227" s="413"/>
      <c r="Q227" s="413"/>
      <c r="R227" s="452"/>
      <c r="S227" s="443"/>
      <c r="T227" s="422" t="str" cm="1">
        <f t="array" ref="T227">IF(AND($U$12,B251&lt;=$C$17,C251&lt;&gt;""),TRANSPOSE(INDEX(getcds(C251,$C$6,G251/10000,F251,D251,$C$13,$C$14,$C$15,$C$8,,,TRUE,TRUE,FALSE,$C$29:$C$31,$C$33),{1;2;3;4;5})),"")</f>
        <v/>
      </c>
      <c r="U227" s="423"/>
      <c r="V227" s="423"/>
      <c r="W227" s="424"/>
      <c r="X227" s="425"/>
      <c r="Y227" s="426" t="str">
        <f t="shared" si="15"/>
        <v/>
      </c>
      <c r="Z227" s="427" t="str">
        <f t="shared" si="16"/>
        <v/>
      </c>
      <c r="AA227" s="426" t="str">
        <f t="shared" si="17"/>
        <v/>
      </c>
      <c r="AB227" s="428" t="str">
        <f t="shared" si="18"/>
        <v/>
      </c>
      <c r="AC227" s="427" t="str">
        <f t="shared" si="19"/>
        <v/>
      </c>
      <c r="AD227" s="227"/>
    </row>
    <row r="228" spans="1:30" customFormat="1" ht="15">
      <c r="A228" s="227"/>
      <c r="B228" s="276">
        <v>190</v>
      </c>
      <c r="C228" s="254"/>
      <c r="D228" s="255"/>
      <c r="E228" s="247"/>
      <c r="F228" s="232"/>
      <c r="G228" s="239"/>
      <c r="H228" s="386">
        <v>214</v>
      </c>
      <c r="I228" s="404"/>
      <c r="J228" s="404"/>
      <c r="K228" s="413"/>
      <c r="L228" s="413"/>
      <c r="M228" s="413"/>
      <c r="N228" s="413"/>
      <c r="O228" s="413"/>
      <c r="P228" s="413"/>
      <c r="Q228" s="413"/>
      <c r="R228" s="452"/>
      <c r="S228" s="443"/>
      <c r="T228" s="422" t="str" cm="1">
        <f t="array" ref="T228">IF(AND($U$12,B252&lt;=$C$17,C252&lt;&gt;""),TRANSPOSE(INDEX(getcds(C252,$C$6,G252/10000,F252,D252,$C$13,$C$14,$C$15,$C$8,,,TRUE,TRUE,FALSE,$C$29:$C$31,$C$33),{1;2;3;4;5})),"")</f>
        <v/>
      </c>
      <c r="U228" s="423"/>
      <c r="V228" s="423"/>
      <c r="W228" s="424"/>
      <c r="X228" s="425"/>
      <c r="Y228" s="426" t="str">
        <f t="shared" si="15"/>
        <v/>
      </c>
      <c r="Z228" s="427" t="str">
        <f t="shared" si="16"/>
        <v/>
      </c>
      <c r="AA228" s="426" t="str">
        <f t="shared" si="17"/>
        <v/>
      </c>
      <c r="AB228" s="428" t="str">
        <f t="shared" si="18"/>
        <v/>
      </c>
      <c r="AC228" s="427" t="str">
        <f t="shared" si="19"/>
        <v/>
      </c>
      <c r="AD228" s="227"/>
    </row>
    <row r="229" spans="1:30" customFormat="1" ht="15">
      <c r="A229" s="227"/>
      <c r="B229" s="276">
        <v>191</v>
      </c>
      <c r="C229" s="254"/>
      <c r="D229" s="255"/>
      <c r="E229" s="247"/>
      <c r="F229" s="232"/>
      <c r="G229" s="239"/>
      <c r="H229" s="386">
        <v>215</v>
      </c>
      <c r="I229" s="404"/>
      <c r="J229" s="404"/>
      <c r="K229" s="413"/>
      <c r="L229" s="413"/>
      <c r="M229" s="413"/>
      <c r="N229" s="413"/>
      <c r="O229" s="413"/>
      <c r="P229" s="413"/>
      <c r="Q229" s="413"/>
      <c r="R229" s="452"/>
      <c r="S229" s="443"/>
      <c r="T229" s="422" t="str" cm="1">
        <f t="array" ref="T229">IF(AND($U$12,B253&lt;=$C$17,C253&lt;&gt;""),TRANSPOSE(INDEX(getcds(C253,$C$6,G253/10000,F253,D253,$C$13,$C$14,$C$15,$C$8,,,TRUE,TRUE,FALSE,$C$29:$C$31,$C$33),{1;2;3;4;5})),"")</f>
        <v/>
      </c>
      <c r="U229" s="423"/>
      <c r="V229" s="423"/>
      <c r="W229" s="424"/>
      <c r="X229" s="425"/>
      <c r="Y229" s="426" t="str">
        <f t="shared" si="15"/>
        <v/>
      </c>
      <c r="Z229" s="427" t="str">
        <f t="shared" si="16"/>
        <v/>
      </c>
      <c r="AA229" s="426" t="str">
        <f t="shared" si="17"/>
        <v/>
      </c>
      <c r="AB229" s="428" t="str">
        <f t="shared" si="18"/>
        <v/>
      </c>
      <c r="AC229" s="427" t="str">
        <f t="shared" si="19"/>
        <v/>
      </c>
      <c r="AD229" s="227"/>
    </row>
    <row r="230" spans="1:30" customFormat="1" ht="15">
      <c r="A230" s="227"/>
      <c r="B230" s="276">
        <v>192</v>
      </c>
      <c r="C230" s="254"/>
      <c r="D230" s="255"/>
      <c r="E230" s="247"/>
      <c r="F230" s="232"/>
      <c r="G230" s="239"/>
      <c r="H230" s="386">
        <v>216</v>
      </c>
      <c r="I230" s="404"/>
      <c r="J230" s="404"/>
      <c r="K230" s="413"/>
      <c r="L230" s="413"/>
      <c r="M230" s="413"/>
      <c r="N230" s="413"/>
      <c r="O230" s="413"/>
      <c r="P230" s="413"/>
      <c r="Q230" s="413"/>
      <c r="R230" s="452"/>
      <c r="S230" s="443"/>
      <c r="T230" s="422" t="str" cm="1">
        <f t="array" ref="T230">IF(AND($U$12,B254&lt;=$C$17,C254&lt;&gt;""),TRANSPOSE(INDEX(getcds(C254,$C$6,G254/10000,F254,D254,$C$13,$C$14,$C$15,$C$8,,,TRUE,TRUE,FALSE,$C$29:$C$31,$C$33),{1;2;3;4;5})),"")</f>
        <v/>
      </c>
      <c r="U230" s="423"/>
      <c r="V230" s="423"/>
      <c r="W230" s="424"/>
      <c r="X230" s="425"/>
      <c r="Y230" s="426" t="str">
        <f t="shared" si="15"/>
        <v/>
      </c>
      <c r="Z230" s="427" t="str">
        <f t="shared" si="16"/>
        <v/>
      </c>
      <c r="AA230" s="426" t="str">
        <f t="shared" si="17"/>
        <v/>
      </c>
      <c r="AB230" s="428" t="str">
        <f t="shared" si="18"/>
        <v/>
      </c>
      <c r="AC230" s="427" t="str">
        <f t="shared" si="19"/>
        <v/>
      </c>
      <c r="AD230" s="227"/>
    </row>
    <row r="231" spans="1:30" customFormat="1" ht="15">
      <c r="A231" s="227"/>
      <c r="B231" s="276">
        <v>193</v>
      </c>
      <c r="C231" s="254"/>
      <c r="D231" s="255"/>
      <c r="E231" s="247"/>
      <c r="F231" s="232"/>
      <c r="G231" s="239"/>
      <c r="H231" s="386">
        <v>217</v>
      </c>
      <c r="I231" s="404"/>
      <c r="J231" s="404"/>
      <c r="K231" s="413"/>
      <c r="L231" s="413"/>
      <c r="M231" s="413"/>
      <c r="N231" s="413"/>
      <c r="O231" s="413"/>
      <c r="P231" s="413"/>
      <c r="Q231" s="413"/>
      <c r="R231" s="452"/>
      <c r="S231" s="443"/>
      <c r="T231" s="422" t="str" cm="1">
        <f t="array" ref="T231">IF(AND($U$12,B255&lt;=$C$17,C255&lt;&gt;""),TRANSPOSE(INDEX(getcds(C255,$C$6,G255/10000,F255,D255,$C$13,$C$14,$C$15,$C$8,,,TRUE,TRUE,FALSE,$C$29:$C$31,$C$33),{1;2;3;4;5})),"")</f>
        <v/>
      </c>
      <c r="U231" s="423"/>
      <c r="V231" s="423"/>
      <c r="W231" s="424"/>
      <c r="X231" s="425"/>
      <c r="Y231" s="426" t="str">
        <f t="shared" si="15"/>
        <v/>
      </c>
      <c r="Z231" s="427" t="str">
        <f t="shared" si="16"/>
        <v/>
      </c>
      <c r="AA231" s="426" t="str">
        <f t="shared" si="17"/>
        <v/>
      </c>
      <c r="AB231" s="428" t="str">
        <f t="shared" si="18"/>
        <v/>
      </c>
      <c r="AC231" s="427" t="str">
        <f t="shared" si="19"/>
        <v/>
      </c>
      <c r="AD231" s="227"/>
    </row>
    <row r="232" spans="1:30" customFormat="1" ht="15">
      <c r="A232" s="227"/>
      <c r="B232" s="276">
        <v>194</v>
      </c>
      <c r="C232" s="254"/>
      <c r="D232" s="255"/>
      <c r="E232" s="247"/>
      <c r="F232" s="232"/>
      <c r="G232" s="239"/>
      <c r="H232" s="386">
        <v>218</v>
      </c>
      <c r="I232" s="404"/>
      <c r="J232" s="404"/>
      <c r="K232" s="413"/>
      <c r="L232" s="413"/>
      <c r="M232" s="413"/>
      <c r="N232" s="413"/>
      <c r="O232" s="413"/>
      <c r="P232" s="413"/>
      <c r="Q232" s="413"/>
      <c r="R232" s="452"/>
      <c r="S232" s="443"/>
      <c r="T232" s="422" t="str" cm="1">
        <f t="array" ref="T232">IF(AND($U$12,B256&lt;=$C$17,C256&lt;&gt;""),TRANSPOSE(INDEX(getcds(C256,$C$6,G256/10000,F256,D256,$C$13,$C$14,$C$15,$C$8,,,TRUE,TRUE,FALSE,$C$29:$C$31,$C$33),{1;2;3;4;5})),"")</f>
        <v/>
      </c>
      <c r="U232" s="423"/>
      <c r="V232" s="423"/>
      <c r="W232" s="424"/>
      <c r="X232" s="425"/>
      <c r="Y232" s="426" t="str">
        <f t="shared" si="15"/>
        <v/>
      </c>
      <c r="Z232" s="427" t="str">
        <f t="shared" si="16"/>
        <v/>
      </c>
      <c r="AA232" s="426" t="str">
        <f t="shared" si="17"/>
        <v/>
      </c>
      <c r="AB232" s="428" t="str">
        <f t="shared" si="18"/>
        <v/>
      </c>
      <c r="AC232" s="427" t="str">
        <f t="shared" si="19"/>
        <v/>
      </c>
      <c r="AD232" s="227"/>
    </row>
    <row r="233" spans="1:30" customFormat="1" ht="15">
      <c r="A233" s="227"/>
      <c r="B233" s="276">
        <v>195</v>
      </c>
      <c r="C233" s="254"/>
      <c r="D233" s="255"/>
      <c r="E233" s="247"/>
      <c r="F233" s="232"/>
      <c r="G233" s="239"/>
      <c r="H233" s="386">
        <v>219</v>
      </c>
      <c r="I233" s="404"/>
      <c r="J233" s="404"/>
      <c r="K233" s="413"/>
      <c r="L233" s="413"/>
      <c r="M233" s="413"/>
      <c r="N233" s="413"/>
      <c r="O233" s="413"/>
      <c r="P233" s="413"/>
      <c r="Q233" s="413"/>
      <c r="R233" s="452"/>
      <c r="S233" s="443"/>
      <c r="T233" s="422" t="str" cm="1">
        <f t="array" ref="T233">IF(AND($U$12,B257&lt;=$C$17,C257&lt;&gt;""),TRANSPOSE(INDEX(getcds(C257,$C$6,G257/10000,F257,D257,$C$13,$C$14,$C$15,$C$8,,,TRUE,TRUE,FALSE,$C$29:$C$31,$C$33),{1;2;3;4;5})),"")</f>
        <v/>
      </c>
      <c r="U233" s="423"/>
      <c r="V233" s="423"/>
      <c r="W233" s="424"/>
      <c r="X233" s="425"/>
      <c r="Y233" s="426" t="str">
        <f t="shared" si="15"/>
        <v/>
      </c>
      <c r="Z233" s="427" t="str">
        <f t="shared" si="16"/>
        <v/>
      </c>
      <c r="AA233" s="426" t="str">
        <f t="shared" si="17"/>
        <v/>
      </c>
      <c r="AB233" s="428" t="str">
        <f t="shared" si="18"/>
        <v/>
      </c>
      <c r="AC233" s="427" t="str">
        <f t="shared" si="19"/>
        <v/>
      </c>
      <c r="AD233" s="227"/>
    </row>
    <row r="234" spans="1:30" customFormat="1" ht="15">
      <c r="A234" s="227"/>
      <c r="B234" s="276">
        <v>196</v>
      </c>
      <c r="C234" s="254"/>
      <c r="D234" s="255"/>
      <c r="E234" s="247"/>
      <c r="F234" s="232"/>
      <c r="G234" s="239"/>
      <c r="H234" s="386">
        <v>220</v>
      </c>
      <c r="I234" s="404"/>
      <c r="J234" s="404"/>
      <c r="K234" s="413"/>
      <c r="L234" s="413"/>
      <c r="M234" s="413"/>
      <c r="N234" s="413"/>
      <c r="O234" s="413"/>
      <c r="P234" s="413"/>
      <c r="Q234" s="413"/>
      <c r="R234" s="452"/>
      <c r="S234" s="443"/>
      <c r="T234" s="422" t="str" cm="1">
        <f t="array" ref="T234">IF(AND($U$12,B258&lt;=$C$17,C258&lt;&gt;""),TRANSPOSE(INDEX(getcds(C258,$C$6,G258/10000,F258,D258,$C$13,$C$14,$C$15,$C$8,,,TRUE,TRUE,FALSE,$C$29:$C$31,$C$33),{1;2;3;4;5})),"")</f>
        <v/>
      </c>
      <c r="U234" s="423"/>
      <c r="V234" s="423"/>
      <c r="W234" s="424"/>
      <c r="X234" s="425"/>
      <c r="Y234" s="426" t="str">
        <f t="shared" si="15"/>
        <v/>
      </c>
      <c r="Z234" s="427" t="str">
        <f t="shared" si="16"/>
        <v/>
      </c>
      <c r="AA234" s="426" t="str">
        <f t="shared" si="17"/>
        <v/>
      </c>
      <c r="AB234" s="428" t="str">
        <f t="shared" si="18"/>
        <v/>
      </c>
      <c r="AC234" s="427" t="str">
        <f t="shared" si="19"/>
        <v/>
      </c>
      <c r="AD234" s="227"/>
    </row>
    <row r="235" spans="1:30" customFormat="1" ht="15">
      <c r="A235" s="227"/>
      <c r="B235" s="276">
        <v>197</v>
      </c>
      <c r="C235" s="254"/>
      <c r="D235" s="255"/>
      <c r="E235" s="247"/>
      <c r="F235" s="232"/>
      <c r="G235" s="239"/>
      <c r="H235" s="386">
        <v>221</v>
      </c>
      <c r="I235" s="404"/>
      <c r="J235" s="404"/>
      <c r="K235" s="413"/>
      <c r="L235" s="413"/>
      <c r="M235" s="413"/>
      <c r="N235" s="413"/>
      <c r="O235" s="413"/>
      <c r="P235" s="413"/>
      <c r="Q235" s="413"/>
      <c r="R235" s="452"/>
      <c r="S235" s="443"/>
      <c r="T235" s="422" t="str" cm="1">
        <f t="array" ref="T235">IF(AND($U$12,B259&lt;=$C$17,C259&lt;&gt;""),TRANSPOSE(INDEX(getcds(C259,$C$6,G259/10000,F259,D259,$C$13,$C$14,$C$15,$C$8,,,TRUE,TRUE,FALSE,$C$29:$C$31,$C$33),{1;2;3;4;5})),"")</f>
        <v/>
      </c>
      <c r="U235" s="423"/>
      <c r="V235" s="423"/>
      <c r="W235" s="424"/>
      <c r="X235" s="425"/>
      <c r="Y235" s="426" t="str">
        <f t="shared" si="15"/>
        <v/>
      </c>
      <c r="Z235" s="427" t="str">
        <f t="shared" si="16"/>
        <v/>
      </c>
      <c r="AA235" s="426" t="str">
        <f t="shared" si="17"/>
        <v/>
      </c>
      <c r="AB235" s="428" t="str">
        <f t="shared" si="18"/>
        <v/>
      </c>
      <c r="AC235" s="427" t="str">
        <f t="shared" si="19"/>
        <v/>
      </c>
      <c r="AD235" s="227"/>
    </row>
    <row r="236" spans="1:30" customFormat="1" ht="15">
      <c r="A236" s="227"/>
      <c r="B236" s="276">
        <v>198</v>
      </c>
      <c r="C236" s="254"/>
      <c r="D236" s="255"/>
      <c r="E236" s="247"/>
      <c r="F236" s="232"/>
      <c r="G236" s="239"/>
      <c r="H236" s="386">
        <v>222</v>
      </c>
      <c r="I236" s="404"/>
      <c r="J236" s="404"/>
      <c r="K236" s="413"/>
      <c r="L236" s="413"/>
      <c r="M236" s="413"/>
      <c r="N236" s="413"/>
      <c r="O236" s="413"/>
      <c r="P236" s="413"/>
      <c r="Q236" s="413"/>
      <c r="R236" s="452"/>
      <c r="S236" s="443"/>
      <c r="T236" s="422" t="str" cm="1">
        <f t="array" ref="T236">IF(AND($U$12,B260&lt;=$C$17,C260&lt;&gt;""),TRANSPOSE(INDEX(getcds(C260,$C$6,G260/10000,F260,D260,$C$13,$C$14,$C$15,$C$8,,,TRUE,TRUE,FALSE,$C$29:$C$31,$C$33),{1;2;3;4;5})),"")</f>
        <v/>
      </c>
      <c r="U236" s="423"/>
      <c r="V236" s="423"/>
      <c r="W236" s="424"/>
      <c r="X236" s="425"/>
      <c r="Y236" s="426" t="str">
        <f t="shared" si="15"/>
        <v/>
      </c>
      <c r="Z236" s="427" t="str">
        <f t="shared" si="16"/>
        <v/>
      </c>
      <c r="AA236" s="426" t="str">
        <f t="shared" si="17"/>
        <v/>
      </c>
      <c r="AB236" s="428" t="str">
        <f t="shared" si="18"/>
        <v/>
      </c>
      <c r="AC236" s="427" t="str">
        <f t="shared" si="19"/>
        <v/>
      </c>
      <c r="AD236" s="227"/>
    </row>
    <row r="237" spans="1:30" customFormat="1" ht="15">
      <c r="A237" s="227"/>
      <c r="B237" s="276">
        <v>199</v>
      </c>
      <c r="C237" s="254"/>
      <c r="D237" s="255"/>
      <c r="E237" s="247"/>
      <c r="F237" s="232"/>
      <c r="G237" s="239"/>
      <c r="H237" s="386">
        <v>223</v>
      </c>
      <c r="I237" s="404"/>
      <c r="J237" s="404"/>
      <c r="K237" s="413"/>
      <c r="L237" s="413"/>
      <c r="M237" s="413"/>
      <c r="N237" s="413"/>
      <c r="O237" s="413"/>
      <c r="P237" s="413"/>
      <c r="Q237" s="413"/>
      <c r="R237" s="452"/>
      <c r="S237" s="443"/>
      <c r="T237" s="422" t="str" cm="1">
        <f t="array" ref="T237">IF(AND($U$12,B261&lt;=$C$17,C261&lt;&gt;""),TRANSPOSE(INDEX(getcds(C261,$C$6,G261/10000,F261,D261,$C$13,$C$14,$C$15,$C$8,,,TRUE,TRUE,FALSE,$C$29:$C$31,$C$33),{1;2;3;4;5})),"")</f>
        <v/>
      </c>
      <c r="U237" s="423"/>
      <c r="V237" s="423"/>
      <c r="W237" s="424"/>
      <c r="X237" s="425"/>
      <c r="Y237" s="426" t="str">
        <f t="shared" si="15"/>
        <v/>
      </c>
      <c r="Z237" s="427" t="str">
        <f t="shared" si="16"/>
        <v/>
      </c>
      <c r="AA237" s="426" t="str">
        <f t="shared" si="17"/>
        <v/>
      </c>
      <c r="AB237" s="428" t="str">
        <f t="shared" si="18"/>
        <v/>
      </c>
      <c r="AC237" s="427" t="str">
        <f t="shared" si="19"/>
        <v/>
      </c>
      <c r="AD237" s="227"/>
    </row>
    <row r="238" spans="1:30" customFormat="1" ht="15">
      <c r="A238" s="227"/>
      <c r="B238" s="276">
        <v>200</v>
      </c>
      <c r="C238" s="254"/>
      <c r="D238" s="255"/>
      <c r="E238" s="247"/>
      <c r="F238" s="232"/>
      <c r="G238" s="239"/>
      <c r="H238" s="386">
        <v>224</v>
      </c>
      <c r="I238" s="404"/>
      <c r="J238" s="404"/>
      <c r="K238" s="413"/>
      <c r="L238" s="413"/>
      <c r="M238" s="413"/>
      <c r="N238" s="413"/>
      <c r="O238" s="413"/>
      <c r="P238" s="413"/>
      <c r="Q238" s="413"/>
      <c r="R238" s="452"/>
      <c r="S238" s="443"/>
      <c r="T238" s="422" t="str" cm="1">
        <f t="array" ref="T238">IF(AND($U$12,B262&lt;=$C$17,C262&lt;&gt;""),TRANSPOSE(INDEX(getcds(C262,$C$6,G262/10000,F262,D262,$C$13,$C$14,$C$15,$C$8,,,TRUE,TRUE,FALSE,$C$29:$C$31,$C$33),{1;2;3;4;5})),"")</f>
        <v/>
      </c>
      <c r="U238" s="423"/>
      <c r="V238" s="423"/>
      <c r="W238" s="424"/>
      <c r="X238" s="425"/>
      <c r="Y238" s="426" t="str">
        <f t="shared" si="15"/>
        <v/>
      </c>
      <c r="Z238" s="427" t="str">
        <f t="shared" si="16"/>
        <v/>
      </c>
      <c r="AA238" s="426" t="str">
        <f t="shared" si="17"/>
        <v/>
      </c>
      <c r="AB238" s="428" t="str">
        <f t="shared" si="18"/>
        <v/>
      </c>
      <c r="AC238" s="427" t="str">
        <f t="shared" si="19"/>
        <v/>
      </c>
      <c r="AD238" s="227"/>
    </row>
    <row r="239" spans="1:30" customFormat="1" ht="15">
      <c r="A239" s="227"/>
      <c r="B239" s="276">
        <v>201</v>
      </c>
      <c r="C239" s="254"/>
      <c r="D239" s="255"/>
      <c r="E239" s="247"/>
      <c r="F239" s="232"/>
      <c r="G239" s="239"/>
      <c r="H239" s="386">
        <v>225</v>
      </c>
      <c r="I239" s="404"/>
      <c r="J239" s="404"/>
      <c r="K239" s="413"/>
      <c r="L239" s="413"/>
      <c r="M239" s="413"/>
      <c r="N239" s="413"/>
      <c r="O239" s="413"/>
      <c r="P239" s="413"/>
      <c r="Q239" s="413"/>
      <c r="R239" s="452"/>
      <c r="S239" s="443"/>
      <c r="T239" s="422" t="str" cm="1">
        <f t="array" ref="T239">IF(AND($U$12,B263&lt;=$C$17,C263&lt;&gt;""),TRANSPOSE(INDEX(getcds(C263,$C$6,G263/10000,F263,D263,$C$13,$C$14,$C$15,$C$8,,,TRUE,TRUE,FALSE,$C$29:$C$31,$C$33),{1;2;3;4;5})),"")</f>
        <v/>
      </c>
      <c r="U239" s="423"/>
      <c r="V239" s="423"/>
      <c r="W239" s="424"/>
      <c r="X239" s="425"/>
      <c r="Y239" s="426" t="str">
        <f t="shared" si="15"/>
        <v/>
      </c>
      <c r="Z239" s="427" t="str">
        <f t="shared" si="16"/>
        <v/>
      </c>
      <c r="AA239" s="426" t="str">
        <f t="shared" si="17"/>
        <v/>
      </c>
      <c r="AB239" s="428" t="str">
        <f t="shared" si="18"/>
        <v/>
      </c>
      <c r="AC239" s="427" t="str">
        <f t="shared" si="19"/>
        <v/>
      </c>
      <c r="AD239" s="227"/>
    </row>
    <row r="240" spans="1:30" customFormat="1" ht="15">
      <c r="A240" s="227"/>
      <c r="B240" s="276">
        <v>202</v>
      </c>
      <c r="C240" s="254"/>
      <c r="D240" s="255"/>
      <c r="E240" s="247"/>
      <c r="F240" s="232"/>
      <c r="G240" s="239"/>
      <c r="H240" s="386">
        <v>226</v>
      </c>
      <c r="I240" s="404"/>
      <c r="J240" s="404"/>
      <c r="K240" s="413"/>
      <c r="L240" s="413"/>
      <c r="M240" s="413"/>
      <c r="N240" s="413"/>
      <c r="O240" s="413"/>
      <c r="P240" s="413"/>
      <c r="Q240" s="413"/>
      <c r="R240" s="452"/>
      <c r="S240" s="443"/>
      <c r="T240" s="422" t="str" cm="1">
        <f t="array" ref="T240">IF(AND($U$12,B264&lt;=$C$17,C264&lt;&gt;""),TRANSPOSE(INDEX(getcds(C264,$C$6,G264/10000,F264,D264,$C$13,$C$14,$C$15,$C$8,,,TRUE,TRUE,FALSE,$C$29:$C$31,$C$33),{1;2;3;4;5})),"")</f>
        <v/>
      </c>
      <c r="U240" s="423"/>
      <c r="V240" s="423"/>
      <c r="W240" s="424"/>
      <c r="X240" s="425"/>
      <c r="Y240" s="426" t="str">
        <f t="shared" si="15"/>
        <v/>
      </c>
      <c r="Z240" s="427" t="str">
        <f t="shared" si="16"/>
        <v/>
      </c>
      <c r="AA240" s="426" t="str">
        <f t="shared" si="17"/>
        <v/>
      </c>
      <c r="AB240" s="428" t="str">
        <f t="shared" si="18"/>
        <v/>
      </c>
      <c r="AC240" s="427" t="str">
        <f t="shared" si="19"/>
        <v/>
      </c>
      <c r="AD240" s="227"/>
    </row>
    <row r="241" spans="1:30" customFormat="1" ht="15">
      <c r="A241" s="227"/>
      <c r="B241" s="276">
        <v>203</v>
      </c>
      <c r="C241" s="254"/>
      <c r="D241" s="255"/>
      <c r="E241" s="247"/>
      <c r="F241" s="232"/>
      <c r="G241" s="239"/>
      <c r="H241" s="386">
        <v>227</v>
      </c>
      <c r="I241" s="404"/>
      <c r="J241" s="404"/>
      <c r="K241" s="413"/>
      <c r="L241" s="413"/>
      <c r="M241" s="413"/>
      <c r="N241" s="413"/>
      <c r="O241" s="413"/>
      <c r="P241" s="413"/>
      <c r="Q241" s="413"/>
      <c r="R241" s="452"/>
      <c r="S241" s="443"/>
      <c r="T241" s="422" t="str" cm="1">
        <f t="array" ref="T241">IF(AND($U$12,B265&lt;=$C$17,C265&lt;&gt;""),TRANSPOSE(INDEX(getcds(C265,$C$6,G265/10000,F265,D265,$C$13,$C$14,$C$15,$C$8,,,TRUE,TRUE,FALSE,$C$29:$C$31,$C$33),{1;2;3;4;5})),"")</f>
        <v/>
      </c>
      <c r="U241" s="423"/>
      <c r="V241" s="423"/>
      <c r="W241" s="424"/>
      <c r="X241" s="425"/>
      <c r="Y241" s="426" t="str">
        <f t="shared" si="15"/>
        <v/>
      </c>
      <c r="Z241" s="427" t="str">
        <f t="shared" si="16"/>
        <v/>
      </c>
      <c r="AA241" s="426" t="str">
        <f t="shared" si="17"/>
        <v/>
      </c>
      <c r="AB241" s="428" t="str">
        <f t="shared" si="18"/>
        <v/>
      </c>
      <c r="AC241" s="427" t="str">
        <f t="shared" si="19"/>
        <v/>
      </c>
      <c r="AD241" s="227"/>
    </row>
    <row r="242" spans="1:30" customFormat="1" ht="15">
      <c r="A242" s="227"/>
      <c r="B242" s="276">
        <v>204</v>
      </c>
      <c r="C242" s="254"/>
      <c r="D242" s="255"/>
      <c r="E242" s="247"/>
      <c r="F242" s="232"/>
      <c r="G242" s="239"/>
      <c r="H242" s="386">
        <v>228</v>
      </c>
      <c r="I242" s="404"/>
      <c r="J242" s="404"/>
      <c r="K242" s="413"/>
      <c r="L242" s="413"/>
      <c r="M242" s="413"/>
      <c r="N242" s="413"/>
      <c r="O242" s="413"/>
      <c r="P242" s="413"/>
      <c r="Q242" s="413"/>
      <c r="R242" s="452"/>
      <c r="S242" s="443"/>
      <c r="T242" s="422" t="str" cm="1">
        <f t="array" ref="T242">IF(AND($U$12,B266&lt;=$C$17,C266&lt;&gt;""),TRANSPOSE(INDEX(getcds(C266,$C$6,G266/10000,F266,D266,$C$13,$C$14,$C$15,$C$8,,,TRUE,TRUE,FALSE,$C$29:$C$31,$C$33),{1;2;3;4;5})),"")</f>
        <v/>
      </c>
      <c r="U242" s="423"/>
      <c r="V242" s="423"/>
      <c r="W242" s="424"/>
      <c r="X242" s="425"/>
      <c r="Y242" s="426" t="str">
        <f t="shared" si="15"/>
        <v/>
      </c>
      <c r="Z242" s="427" t="str">
        <f t="shared" si="16"/>
        <v/>
      </c>
      <c r="AA242" s="426" t="str">
        <f t="shared" si="17"/>
        <v/>
      </c>
      <c r="AB242" s="428" t="str">
        <f t="shared" si="18"/>
        <v/>
      </c>
      <c r="AC242" s="427" t="str">
        <f t="shared" si="19"/>
        <v/>
      </c>
      <c r="AD242" s="227"/>
    </row>
    <row r="243" spans="1:30" customFormat="1" ht="15">
      <c r="A243" s="227"/>
      <c r="B243" s="276">
        <v>205</v>
      </c>
      <c r="C243" s="254"/>
      <c r="D243" s="255"/>
      <c r="E243" s="247"/>
      <c r="F243" s="232"/>
      <c r="G243" s="239"/>
      <c r="H243" s="386">
        <v>229</v>
      </c>
      <c r="I243" s="404"/>
      <c r="J243" s="404"/>
      <c r="K243" s="413"/>
      <c r="L243" s="413"/>
      <c r="M243" s="413"/>
      <c r="N243" s="413"/>
      <c r="O243" s="413"/>
      <c r="P243" s="413"/>
      <c r="Q243" s="413"/>
      <c r="R243" s="452"/>
      <c r="S243" s="443"/>
      <c r="T243" s="422" t="str" cm="1">
        <f t="array" ref="T243">IF(AND($U$12,B267&lt;=$C$17,C267&lt;&gt;""),TRANSPOSE(INDEX(getcds(C267,$C$6,G267/10000,F267,D267,$C$13,$C$14,$C$15,$C$8,,,TRUE,TRUE,FALSE,$C$29:$C$31,$C$33),{1;2;3;4;5})),"")</f>
        <v/>
      </c>
      <c r="U243" s="423"/>
      <c r="V243" s="423"/>
      <c r="W243" s="424"/>
      <c r="X243" s="425"/>
      <c r="Y243" s="426" t="str">
        <f t="shared" si="15"/>
        <v/>
      </c>
      <c r="Z243" s="427" t="str">
        <f t="shared" si="16"/>
        <v/>
      </c>
      <c r="AA243" s="426" t="str">
        <f t="shared" si="17"/>
        <v/>
      </c>
      <c r="AB243" s="428" t="str">
        <f t="shared" si="18"/>
        <v/>
      </c>
      <c r="AC243" s="427" t="str">
        <f t="shared" si="19"/>
        <v/>
      </c>
      <c r="AD243" s="227"/>
    </row>
    <row r="244" spans="1:30" customFormat="1" ht="15">
      <c r="A244" s="227"/>
      <c r="B244" s="276">
        <v>206</v>
      </c>
      <c r="C244" s="254"/>
      <c r="D244" s="255"/>
      <c r="E244" s="247"/>
      <c r="F244" s="232"/>
      <c r="G244" s="239"/>
      <c r="H244" s="386">
        <v>230</v>
      </c>
      <c r="I244" s="404"/>
      <c r="J244" s="404"/>
      <c r="K244" s="413"/>
      <c r="L244" s="413"/>
      <c r="M244" s="413"/>
      <c r="N244" s="413"/>
      <c r="O244" s="413"/>
      <c r="P244" s="413"/>
      <c r="Q244" s="413"/>
      <c r="R244" s="452"/>
      <c r="S244" s="443"/>
      <c r="T244" s="422" t="str" cm="1">
        <f t="array" ref="T244">IF(AND($U$12,B268&lt;=$C$17,C268&lt;&gt;""),TRANSPOSE(INDEX(getcds(C268,$C$6,G268/10000,F268,D268,$C$13,$C$14,$C$15,$C$8,,,TRUE,TRUE,FALSE,$C$29:$C$31,$C$33),{1;2;3;4;5})),"")</f>
        <v/>
      </c>
      <c r="U244" s="423"/>
      <c r="V244" s="423"/>
      <c r="W244" s="424"/>
      <c r="X244" s="425"/>
      <c r="Y244" s="426" t="str">
        <f t="shared" si="15"/>
        <v/>
      </c>
      <c r="Z244" s="427" t="str">
        <f t="shared" si="16"/>
        <v/>
      </c>
      <c r="AA244" s="426" t="str">
        <f t="shared" si="17"/>
        <v/>
      </c>
      <c r="AB244" s="428" t="str">
        <f t="shared" si="18"/>
        <v/>
      </c>
      <c r="AC244" s="427" t="str">
        <f t="shared" si="19"/>
        <v/>
      </c>
      <c r="AD244" s="227"/>
    </row>
    <row r="245" spans="1:30" customFormat="1" ht="15">
      <c r="A245" s="227"/>
      <c r="B245" s="276">
        <v>207</v>
      </c>
      <c r="C245" s="254"/>
      <c r="D245" s="255"/>
      <c r="E245" s="247"/>
      <c r="F245" s="232"/>
      <c r="G245" s="239"/>
      <c r="H245" s="386">
        <v>231</v>
      </c>
      <c r="I245" s="404"/>
      <c r="J245" s="404"/>
      <c r="K245" s="413"/>
      <c r="L245" s="413"/>
      <c r="M245" s="413"/>
      <c r="N245" s="413"/>
      <c r="O245" s="413"/>
      <c r="P245" s="413"/>
      <c r="Q245" s="413"/>
      <c r="R245" s="452"/>
      <c r="S245" s="443"/>
      <c r="T245" s="422" t="str" cm="1">
        <f t="array" ref="T245">IF(AND($U$12,B269&lt;=$C$17,C269&lt;&gt;""),TRANSPOSE(INDEX(getcds(C269,$C$6,G269/10000,F269,D269,$C$13,$C$14,$C$15,$C$8,,,TRUE,TRUE,FALSE,$C$29:$C$31,$C$33),{1;2;3;4;5})),"")</f>
        <v/>
      </c>
      <c r="U245" s="423"/>
      <c r="V245" s="423"/>
      <c r="W245" s="424"/>
      <c r="X245" s="425"/>
      <c r="Y245" s="426" t="str">
        <f t="shared" si="15"/>
        <v/>
      </c>
      <c r="Z245" s="427" t="str">
        <f t="shared" si="16"/>
        <v/>
      </c>
      <c r="AA245" s="426" t="str">
        <f t="shared" si="17"/>
        <v/>
      </c>
      <c r="AB245" s="428" t="str">
        <f t="shared" si="18"/>
        <v/>
      </c>
      <c r="AC245" s="427" t="str">
        <f t="shared" si="19"/>
        <v/>
      </c>
      <c r="AD245" s="227"/>
    </row>
    <row r="246" spans="1:30" customFormat="1" ht="15">
      <c r="A246" s="227"/>
      <c r="B246" s="276">
        <v>208</v>
      </c>
      <c r="C246" s="254"/>
      <c r="D246" s="255"/>
      <c r="E246" s="247"/>
      <c r="F246" s="232"/>
      <c r="G246" s="239"/>
      <c r="H246" s="386">
        <v>232</v>
      </c>
      <c r="I246" s="404"/>
      <c r="J246" s="404"/>
      <c r="K246" s="413"/>
      <c r="L246" s="413"/>
      <c r="M246" s="413"/>
      <c r="N246" s="413"/>
      <c r="O246" s="413"/>
      <c r="P246" s="413"/>
      <c r="Q246" s="413"/>
      <c r="R246" s="452"/>
      <c r="S246" s="443"/>
      <c r="T246" s="422" t="str" cm="1">
        <f t="array" ref="T246">IF(AND($U$12,B270&lt;=$C$17,C270&lt;&gt;""),TRANSPOSE(INDEX(getcds(C270,$C$6,G270/10000,F270,D270,$C$13,$C$14,$C$15,$C$8,,,TRUE,TRUE,FALSE,$C$29:$C$31,$C$33),{1;2;3;4;5})),"")</f>
        <v/>
      </c>
      <c r="U246" s="423"/>
      <c r="V246" s="423"/>
      <c r="W246" s="424"/>
      <c r="X246" s="425"/>
      <c r="Y246" s="426" t="str">
        <f t="shared" si="15"/>
        <v/>
      </c>
      <c r="Z246" s="427" t="str">
        <f t="shared" si="16"/>
        <v/>
      </c>
      <c r="AA246" s="426" t="str">
        <f t="shared" si="17"/>
        <v/>
      </c>
      <c r="AB246" s="428" t="str">
        <f t="shared" si="18"/>
        <v/>
      </c>
      <c r="AC246" s="427" t="str">
        <f t="shared" si="19"/>
        <v/>
      </c>
      <c r="AD246" s="227"/>
    </row>
    <row r="247" spans="1:30" customFormat="1" ht="15">
      <c r="A247" s="227"/>
      <c r="B247" s="276">
        <v>209</v>
      </c>
      <c r="C247" s="254"/>
      <c r="D247" s="255"/>
      <c r="E247" s="247"/>
      <c r="F247" s="232"/>
      <c r="G247" s="239"/>
      <c r="H247" s="386">
        <v>233</v>
      </c>
      <c r="I247" s="404"/>
      <c r="J247" s="404"/>
      <c r="K247" s="413"/>
      <c r="L247" s="413"/>
      <c r="M247" s="413"/>
      <c r="N247" s="413"/>
      <c r="O247" s="413"/>
      <c r="P247" s="413"/>
      <c r="Q247" s="413"/>
      <c r="R247" s="452"/>
      <c r="S247" s="443"/>
      <c r="T247" s="422" t="str" cm="1">
        <f t="array" ref="T247">IF(AND($U$12,B271&lt;=$C$17,C271&lt;&gt;""),TRANSPOSE(INDEX(getcds(C271,$C$6,G271/10000,F271,D271,$C$13,$C$14,$C$15,$C$8,,,TRUE,TRUE,FALSE,$C$29:$C$31,$C$33),{1;2;3;4;5})),"")</f>
        <v/>
      </c>
      <c r="U247" s="423"/>
      <c r="V247" s="423"/>
      <c r="W247" s="424"/>
      <c r="X247" s="425"/>
      <c r="Y247" s="426" t="str">
        <f t="shared" si="15"/>
        <v/>
      </c>
      <c r="Z247" s="427" t="str">
        <f t="shared" si="16"/>
        <v/>
      </c>
      <c r="AA247" s="426" t="str">
        <f t="shared" si="17"/>
        <v/>
      </c>
      <c r="AB247" s="428" t="str">
        <f t="shared" si="18"/>
        <v/>
      </c>
      <c r="AC247" s="427" t="str">
        <f t="shared" si="19"/>
        <v/>
      </c>
      <c r="AD247" s="227"/>
    </row>
    <row r="248" spans="1:30" customFormat="1" ht="15">
      <c r="A248" s="227"/>
      <c r="B248" s="276">
        <v>210</v>
      </c>
      <c r="C248" s="254"/>
      <c r="D248" s="255"/>
      <c r="E248" s="247"/>
      <c r="F248" s="232"/>
      <c r="G248" s="239"/>
      <c r="H248" s="386">
        <v>234</v>
      </c>
      <c r="I248" s="404"/>
      <c r="J248" s="404"/>
      <c r="K248" s="413"/>
      <c r="L248" s="413"/>
      <c r="M248" s="413"/>
      <c r="N248" s="413"/>
      <c r="O248" s="413"/>
      <c r="P248" s="413"/>
      <c r="Q248" s="413"/>
      <c r="R248" s="452"/>
      <c r="S248" s="443"/>
      <c r="T248" s="422" t="str" cm="1">
        <f t="array" ref="T248">IF(AND($U$12,B272&lt;=$C$17,C272&lt;&gt;""),TRANSPOSE(INDEX(getcds(C272,$C$6,G272/10000,F272,D272,$C$13,$C$14,$C$15,$C$8,,,TRUE,TRUE,FALSE,$C$29:$C$31,$C$33),{1;2;3;4;5})),"")</f>
        <v/>
      </c>
      <c r="U248" s="423"/>
      <c r="V248" s="423"/>
      <c r="W248" s="424"/>
      <c r="X248" s="425"/>
      <c r="Y248" s="426" t="str">
        <f t="shared" si="15"/>
        <v/>
      </c>
      <c r="Z248" s="427" t="str">
        <f t="shared" si="16"/>
        <v/>
      </c>
      <c r="AA248" s="426" t="str">
        <f t="shared" si="17"/>
        <v/>
      </c>
      <c r="AB248" s="428" t="str">
        <f t="shared" si="18"/>
        <v/>
      </c>
      <c r="AC248" s="427" t="str">
        <f t="shared" si="19"/>
        <v/>
      </c>
      <c r="AD248" s="227"/>
    </row>
    <row r="249" spans="1:30" customFormat="1" ht="15">
      <c r="A249" s="227"/>
      <c r="B249" s="276">
        <v>211</v>
      </c>
      <c r="C249" s="254"/>
      <c r="D249" s="255"/>
      <c r="E249" s="247"/>
      <c r="F249" s="232"/>
      <c r="G249" s="239"/>
      <c r="H249" s="386">
        <v>235</v>
      </c>
      <c r="I249" s="404"/>
      <c r="J249" s="404"/>
      <c r="K249" s="413"/>
      <c r="L249" s="413"/>
      <c r="M249" s="413"/>
      <c r="N249" s="413"/>
      <c r="O249" s="413"/>
      <c r="P249" s="413"/>
      <c r="Q249" s="413"/>
      <c r="R249" s="452"/>
      <c r="S249" s="443"/>
      <c r="T249" s="422" t="str" cm="1">
        <f t="array" ref="T249">IF(AND($U$12,B273&lt;=$C$17,C273&lt;&gt;""),TRANSPOSE(INDEX(getcds(C273,$C$6,G273/10000,F273,D273,$C$13,$C$14,$C$15,$C$8,,,TRUE,TRUE,FALSE,$C$29:$C$31,$C$33),{1;2;3;4;5})),"")</f>
        <v/>
      </c>
      <c r="U249" s="423"/>
      <c r="V249" s="423"/>
      <c r="W249" s="424"/>
      <c r="X249" s="425"/>
      <c r="Y249" s="426" t="str">
        <f t="shared" si="15"/>
        <v/>
      </c>
      <c r="Z249" s="427" t="str">
        <f t="shared" si="16"/>
        <v/>
      </c>
      <c r="AA249" s="426" t="str">
        <f t="shared" si="17"/>
        <v/>
      </c>
      <c r="AB249" s="428" t="str">
        <f t="shared" si="18"/>
        <v/>
      </c>
      <c r="AC249" s="427" t="str">
        <f t="shared" si="19"/>
        <v/>
      </c>
      <c r="AD249" s="227"/>
    </row>
    <row r="250" spans="1:30" customFormat="1" ht="15">
      <c r="A250" s="227"/>
      <c r="B250" s="276">
        <v>212</v>
      </c>
      <c r="C250" s="254"/>
      <c r="D250" s="255"/>
      <c r="E250" s="247"/>
      <c r="F250" s="232"/>
      <c r="G250" s="239"/>
      <c r="H250" s="386">
        <v>236</v>
      </c>
      <c r="I250" s="404"/>
      <c r="J250" s="404"/>
      <c r="K250" s="413"/>
      <c r="L250" s="413"/>
      <c r="M250" s="413"/>
      <c r="N250" s="413"/>
      <c r="O250" s="413"/>
      <c r="P250" s="413"/>
      <c r="Q250" s="413"/>
      <c r="R250" s="452"/>
      <c r="S250" s="443"/>
      <c r="T250" s="422" t="str" cm="1">
        <f t="array" ref="T250">IF(AND($U$12,B274&lt;=$C$17,C274&lt;&gt;""),TRANSPOSE(INDEX(getcds(C274,$C$6,G274/10000,F274,D274,$C$13,$C$14,$C$15,$C$8,,,TRUE,TRUE,FALSE,$C$29:$C$31,$C$33),{1;2;3;4;5})),"")</f>
        <v/>
      </c>
      <c r="U250" s="423"/>
      <c r="V250" s="423"/>
      <c r="W250" s="424"/>
      <c r="X250" s="425"/>
      <c r="Y250" s="426" t="str">
        <f t="shared" si="15"/>
        <v/>
      </c>
      <c r="Z250" s="427" t="str">
        <f t="shared" si="16"/>
        <v/>
      </c>
      <c r="AA250" s="426" t="str">
        <f t="shared" si="17"/>
        <v/>
      </c>
      <c r="AB250" s="428" t="str">
        <f t="shared" si="18"/>
        <v/>
      </c>
      <c r="AC250" s="427" t="str">
        <f t="shared" si="19"/>
        <v/>
      </c>
      <c r="AD250" s="227"/>
    </row>
    <row r="251" spans="1:30" customFormat="1" ht="15">
      <c r="A251" s="227"/>
      <c r="B251" s="276">
        <v>213</v>
      </c>
      <c r="C251" s="254"/>
      <c r="D251" s="255"/>
      <c r="E251" s="247"/>
      <c r="F251" s="232"/>
      <c r="G251" s="239"/>
      <c r="H251" s="386">
        <v>237</v>
      </c>
      <c r="I251" s="404"/>
      <c r="J251" s="404"/>
      <c r="K251" s="413"/>
      <c r="L251" s="413"/>
      <c r="M251" s="413"/>
      <c r="N251" s="413"/>
      <c r="O251" s="413"/>
      <c r="P251" s="413"/>
      <c r="Q251" s="413"/>
      <c r="R251" s="452"/>
      <c r="S251" s="443"/>
      <c r="T251" s="422" t="str" cm="1">
        <f t="array" ref="T251">IF(AND($U$12,B275&lt;=$C$17,C275&lt;&gt;""),TRANSPOSE(INDEX(getcds(C275,$C$6,G275/10000,F275,D275,$C$13,$C$14,$C$15,$C$8,,,TRUE,TRUE,FALSE,$C$29:$C$31,$C$33),{1;2;3;4;5})),"")</f>
        <v/>
      </c>
      <c r="U251" s="423"/>
      <c r="V251" s="423"/>
      <c r="W251" s="424"/>
      <c r="X251" s="425"/>
      <c r="Y251" s="426" t="str">
        <f t="shared" si="15"/>
        <v/>
      </c>
      <c r="Z251" s="427" t="str">
        <f t="shared" si="16"/>
        <v/>
      </c>
      <c r="AA251" s="426" t="str">
        <f t="shared" si="17"/>
        <v/>
      </c>
      <c r="AB251" s="428" t="str">
        <f t="shared" si="18"/>
        <v/>
      </c>
      <c r="AC251" s="427" t="str">
        <f t="shared" si="19"/>
        <v/>
      </c>
      <c r="AD251" s="227"/>
    </row>
    <row r="252" spans="1:30" customFormat="1" ht="15">
      <c r="A252" s="227"/>
      <c r="B252" s="276">
        <v>214</v>
      </c>
      <c r="C252" s="254"/>
      <c r="D252" s="255"/>
      <c r="E252" s="247"/>
      <c r="F252" s="232"/>
      <c r="G252" s="239"/>
      <c r="H252" s="386">
        <v>238</v>
      </c>
      <c r="I252" s="404"/>
      <c r="J252" s="404"/>
      <c r="K252" s="413"/>
      <c r="L252" s="413"/>
      <c r="M252" s="413"/>
      <c r="N252" s="413"/>
      <c r="O252" s="413"/>
      <c r="P252" s="413"/>
      <c r="Q252" s="413"/>
      <c r="R252" s="452"/>
      <c r="S252" s="443"/>
      <c r="T252" s="422" t="str" cm="1">
        <f t="array" ref="T252">IF(AND($U$12,B276&lt;=$C$17,C276&lt;&gt;""),TRANSPOSE(INDEX(getcds(C276,$C$6,G276/10000,F276,D276,$C$13,$C$14,$C$15,$C$8,,,TRUE,TRUE,FALSE,$C$29:$C$31,$C$33),{1;2;3;4;5})),"")</f>
        <v/>
      </c>
      <c r="U252" s="423"/>
      <c r="V252" s="423"/>
      <c r="W252" s="424"/>
      <c r="X252" s="425"/>
      <c r="Y252" s="426" t="str">
        <f t="shared" si="15"/>
        <v/>
      </c>
      <c r="Z252" s="427" t="str">
        <f t="shared" si="16"/>
        <v/>
      </c>
      <c r="AA252" s="426" t="str">
        <f t="shared" si="17"/>
        <v/>
      </c>
      <c r="AB252" s="428" t="str">
        <f t="shared" si="18"/>
        <v/>
      </c>
      <c r="AC252" s="427" t="str">
        <f t="shared" si="19"/>
        <v/>
      </c>
      <c r="AD252" s="227"/>
    </row>
    <row r="253" spans="1:30" customFormat="1" ht="15">
      <c r="A253" s="227"/>
      <c r="B253" s="276">
        <v>215</v>
      </c>
      <c r="C253" s="254"/>
      <c r="D253" s="255"/>
      <c r="E253" s="247"/>
      <c r="F253" s="232"/>
      <c r="G253" s="239"/>
      <c r="H253" s="386">
        <v>239</v>
      </c>
      <c r="I253" s="404"/>
      <c r="J253" s="404"/>
      <c r="K253" s="413"/>
      <c r="L253" s="413"/>
      <c r="M253" s="413"/>
      <c r="N253" s="413"/>
      <c r="O253" s="413"/>
      <c r="P253" s="413"/>
      <c r="Q253" s="413"/>
      <c r="R253" s="452"/>
      <c r="S253" s="443"/>
      <c r="T253" s="422" t="str" cm="1">
        <f t="array" ref="T253">IF(AND($U$12,B277&lt;=$C$17,C277&lt;&gt;""),TRANSPOSE(INDEX(getcds(C277,$C$6,G277/10000,F277,D277,$C$13,$C$14,$C$15,$C$8,,,TRUE,TRUE,FALSE,$C$29:$C$31,$C$33),{1;2;3;4;5})),"")</f>
        <v/>
      </c>
      <c r="U253" s="423"/>
      <c r="V253" s="423"/>
      <c r="W253" s="424"/>
      <c r="X253" s="425"/>
      <c r="Y253" s="426" t="str">
        <f t="shared" si="15"/>
        <v/>
      </c>
      <c r="Z253" s="427" t="str">
        <f t="shared" si="16"/>
        <v/>
      </c>
      <c r="AA253" s="426" t="str">
        <f t="shared" si="17"/>
        <v/>
      </c>
      <c r="AB253" s="428" t="str">
        <f t="shared" si="18"/>
        <v/>
      </c>
      <c r="AC253" s="427" t="str">
        <f t="shared" si="19"/>
        <v/>
      </c>
      <c r="AD253" s="227"/>
    </row>
    <row r="254" spans="1:30" customFormat="1" ht="15">
      <c r="A254" s="227"/>
      <c r="B254" s="276">
        <v>216</v>
      </c>
      <c r="C254" s="254"/>
      <c r="D254" s="255"/>
      <c r="E254" s="247"/>
      <c r="F254" s="232"/>
      <c r="G254" s="239"/>
      <c r="H254" s="386">
        <v>240</v>
      </c>
      <c r="I254" s="404"/>
      <c r="J254" s="404"/>
      <c r="K254" s="413"/>
      <c r="L254" s="413"/>
      <c r="M254" s="413"/>
      <c r="N254" s="413"/>
      <c r="O254" s="413"/>
      <c r="P254" s="413"/>
      <c r="Q254" s="413"/>
      <c r="R254" s="452"/>
      <c r="S254" s="443"/>
      <c r="T254" s="422" t="str" cm="1">
        <f t="array" ref="T254">IF(AND($U$12,B278&lt;=$C$17,C278&lt;&gt;""),TRANSPOSE(INDEX(getcds(C278,$C$6,G278/10000,F278,D278,$C$13,$C$14,$C$15,$C$8,,,TRUE,TRUE,FALSE,$C$29:$C$31,$C$33),{1;2;3;4;5})),"")</f>
        <v/>
      </c>
      <c r="U254" s="423"/>
      <c r="V254" s="423"/>
      <c r="W254" s="424"/>
      <c r="X254" s="425"/>
      <c r="Y254" s="426" t="str">
        <f t="shared" si="15"/>
        <v/>
      </c>
      <c r="Z254" s="427" t="str">
        <f t="shared" si="16"/>
        <v/>
      </c>
      <c r="AA254" s="426" t="str">
        <f t="shared" si="17"/>
        <v/>
      </c>
      <c r="AB254" s="428" t="str">
        <f t="shared" si="18"/>
        <v/>
      </c>
      <c r="AC254" s="427" t="str">
        <f t="shared" si="19"/>
        <v/>
      </c>
      <c r="AD254" s="227"/>
    </row>
    <row r="255" spans="1:30" customFormat="1" ht="15">
      <c r="A255" s="227"/>
      <c r="B255" s="276">
        <v>217</v>
      </c>
      <c r="C255" s="254"/>
      <c r="D255" s="255"/>
      <c r="E255" s="247"/>
      <c r="F255" s="232"/>
      <c r="G255" s="239"/>
      <c r="H255" s="386">
        <v>241</v>
      </c>
      <c r="I255" s="404"/>
      <c r="J255" s="404"/>
      <c r="K255" s="413"/>
      <c r="L255" s="413"/>
      <c r="M255" s="413"/>
      <c r="N255" s="413"/>
      <c r="O255" s="413"/>
      <c r="P255" s="413"/>
      <c r="Q255" s="413"/>
      <c r="R255" s="452"/>
      <c r="S255" s="443"/>
      <c r="T255" s="422" t="str" cm="1">
        <f t="array" ref="T255">IF(AND($U$12,B279&lt;=$C$17,C279&lt;&gt;""),TRANSPOSE(INDEX(getcds(C279,$C$6,G279/10000,F279,D279,$C$13,$C$14,$C$15,$C$8,,,TRUE,TRUE,FALSE,$C$29:$C$31,$C$33),{1;2;3;4;5})),"")</f>
        <v/>
      </c>
      <c r="U255" s="423"/>
      <c r="V255" s="423"/>
      <c r="W255" s="424"/>
      <c r="X255" s="425"/>
      <c r="Y255" s="426" t="str">
        <f t="shared" si="15"/>
        <v/>
      </c>
      <c r="Z255" s="427" t="str">
        <f t="shared" si="16"/>
        <v/>
      </c>
      <c r="AA255" s="426" t="str">
        <f t="shared" si="17"/>
        <v/>
      </c>
      <c r="AB255" s="428" t="str">
        <f t="shared" si="18"/>
        <v/>
      </c>
      <c r="AC255" s="427" t="str">
        <f t="shared" si="19"/>
        <v/>
      </c>
      <c r="AD255" s="227"/>
    </row>
    <row r="256" spans="1:30" customFormat="1" ht="15">
      <c r="A256" s="227"/>
      <c r="B256" s="276">
        <v>218</v>
      </c>
      <c r="C256" s="254"/>
      <c r="D256" s="255"/>
      <c r="E256" s="247"/>
      <c r="F256" s="232"/>
      <c r="G256" s="239"/>
      <c r="H256" s="386">
        <v>242</v>
      </c>
      <c r="I256" s="404"/>
      <c r="J256" s="404"/>
      <c r="K256" s="413"/>
      <c r="L256" s="413"/>
      <c r="M256" s="413"/>
      <c r="N256" s="413"/>
      <c r="O256" s="413"/>
      <c r="P256" s="413"/>
      <c r="Q256" s="413"/>
      <c r="R256" s="452"/>
      <c r="S256" s="443"/>
      <c r="T256" s="422" t="str" cm="1">
        <f t="array" ref="T256">IF(AND($U$12,B280&lt;=$C$17,C280&lt;&gt;""),TRANSPOSE(INDEX(getcds(C280,$C$6,G280/10000,F280,D280,$C$13,$C$14,$C$15,$C$8,,,TRUE,TRUE,FALSE,$C$29:$C$31,$C$33),{1;2;3;4;5})),"")</f>
        <v/>
      </c>
      <c r="U256" s="423"/>
      <c r="V256" s="423"/>
      <c r="W256" s="424"/>
      <c r="X256" s="425"/>
      <c r="Y256" s="426" t="str">
        <f t="shared" si="15"/>
        <v/>
      </c>
      <c r="Z256" s="427" t="str">
        <f t="shared" si="16"/>
        <v/>
      </c>
      <c r="AA256" s="426" t="str">
        <f t="shared" si="17"/>
        <v/>
      </c>
      <c r="AB256" s="428" t="str">
        <f t="shared" si="18"/>
        <v/>
      </c>
      <c r="AC256" s="427" t="str">
        <f t="shared" si="19"/>
        <v/>
      </c>
      <c r="AD256" s="227"/>
    </row>
    <row r="257" spans="1:30" customFormat="1" ht="15">
      <c r="A257" s="227"/>
      <c r="B257" s="276">
        <v>219</v>
      </c>
      <c r="C257" s="254"/>
      <c r="D257" s="255"/>
      <c r="E257" s="247"/>
      <c r="F257" s="232"/>
      <c r="G257" s="239"/>
      <c r="H257" s="386">
        <v>243</v>
      </c>
      <c r="I257" s="404"/>
      <c r="J257" s="404"/>
      <c r="K257" s="413"/>
      <c r="L257" s="413"/>
      <c r="M257" s="413"/>
      <c r="N257" s="413"/>
      <c r="O257" s="413"/>
      <c r="P257" s="413"/>
      <c r="Q257" s="413"/>
      <c r="R257" s="452"/>
      <c r="S257" s="443"/>
      <c r="T257" s="422" t="str" cm="1">
        <f t="array" ref="T257">IF(AND($U$12,B281&lt;=$C$17,C281&lt;&gt;""),TRANSPOSE(INDEX(getcds(C281,$C$6,G281/10000,F281,D281,$C$13,$C$14,$C$15,$C$8,,,TRUE,TRUE,FALSE,$C$29:$C$31,$C$33),{1;2;3;4;5})),"")</f>
        <v/>
      </c>
      <c r="U257" s="423"/>
      <c r="V257" s="423"/>
      <c r="W257" s="424"/>
      <c r="X257" s="425"/>
      <c r="Y257" s="426" t="str">
        <f t="shared" si="15"/>
        <v/>
      </c>
      <c r="Z257" s="427" t="str">
        <f t="shared" si="16"/>
        <v/>
      </c>
      <c r="AA257" s="426" t="str">
        <f t="shared" si="17"/>
        <v/>
      </c>
      <c r="AB257" s="428" t="str">
        <f t="shared" si="18"/>
        <v/>
      </c>
      <c r="AC257" s="427" t="str">
        <f t="shared" si="19"/>
        <v/>
      </c>
      <c r="AD257" s="227"/>
    </row>
    <row r="258" spans="1:30" customFormat="1" ht="15">
      <c r="A258" s="227"/>
      <c r="B258" s="276">
        <v>220</v>
      </c>
      <c r="C258" s="254"/>
      <c r="D258" s="255"/>
      <c r="E258" s="247"/>
      <c r="F258" s="232"/>
      <c r="G258" s="239"/>
      <c r="H258" s="386">
        <v>244</v>
      </c>
      <c r="I258" s="404"/>
      <c r="J258" s="404"/>
      <c r="K258" s="413"/>
      <c r="L258" s="413"/>
      <c r="M258" s="413"/>
      <c r="N258" s="413"/>
      <c r="O258" s="413"/>
      <c r="P258" s="413"/>
      <c r="Q258" s="413"/>
      <c r="R258" s="452"/>
      <c r="S258" s="443"/>
      <c r="T258" s="422" t="str" cm="1">
        <f t="array" ref="T258">IF(AND($U$12,B282&lt;=$C$17,C282&lt;&gt;""),TRANSPOSE(INDEX(getcds(C282,$C$6,G282/10000,F282,D282,$C$13,$C$14,$C$15,$C$8,,,TRUE,TRUE,FALSE,$C$29:$C$31,$C$33),{1;2;3;4;5})),"")</f>
        <v/>
      </c>
      <c r="U258" s="423"/>
      <c r="V258" s="423"/>
      <c r="W258" s="424"/>
      <c r="X258" s="425"/>
      <c r="Y258" s="426" t="str">
        <f t="shared" si="15"/>
        <v/>
      </c>
      <c r="Z258" s="427" t="str">
        <f t="shared" si="16"/>
        <v/>
      </c>
      <c r="AA258" s="426" t="str">
        <f t="shared" si="17"/>
        <v/>
      </c>
      <c r="AB258" s="428" t="str">
        <f t="shared" si="18"/>
        <v/>
      </c>
      <c r="AC258" s="427" t="str">
        <f t="shared" si="19"/>
        <v/>
      </c>
      <c r="AD258" s="227"/>
    </row>
    <row r="259" spans="1:30" customFormat="1" ht="15">
      <c r="A259" s="227"/>
      <c r="B259" s="276">
        <v>221</v>
      </c>
      <c r="C259" s="254"/>
      <c r="D259" s="255"/>
      <c r="E259" s="247"/>
      <c r="F259" s="232"/>
      <c r="G259" s="239"/>
      <c r="H259" s="386">
        <v>245</v>
      </c>
      <c r="I259" s="404"/>
      <c r="J259" s="404"/>
      <c r="K259" s="413"/>
      <c r="L259" s="413"/>
      <c r="M259" s="413"/>
      <c r="N259" s="413"/>
      <c r="O259" s="413"/>
      <c r="P259" s="413"/>
      <c r="Q259" s="413"/>
      <c r="R259" s="452"/>
      <c r="S259" s="443"/>
      <c r="T259" s="422" t="str" cm="1">
        <f t="array" ref="T259">IF(AND($U$12,B283&lt;=$C$17,C283&lt;&gt;""),TRANSPOSE(INDEX(getcds(C283,$C$6,G283/10000,F283,D283,$C$13,$C$14,$C$15,$C$8,,,TRUE,TRUE,FALSE,$C$29:$C$31,$C$33),{1;2;3;4;5})),"")</f>
        <v/>
      </c>
      <c r="U259" s="423"/>
      <c r="V259" s="423"/>
      <c r="W259" s="424"/>
      <c r="X259" s="425"/>
      <c r="Y259" s="426" t="str">
        <f t="shared" si="15"/>
        <v/>
      </c>
      <c r="Z259" s="427" t="str">
        <f t="shared" si="16"/>
        <v/>
      </c>
      <c r="AA259" s="426" t="str">
        <f t="shared" si="17"/>
        <v/>
      </c>
      <c r="AB259" s="428" t="str">
        <f t="shared" si="18"/>
        <v/>
      </c>
      <c r="AC259" s="427" t="str">
        <f t="shared" si="19"/>
        <v/>
      </c>
      <c r="AD259" s="227"/>
    </row>
    <row r="260" spans="1:30" customFormat="1" ht="15">
      <c r="A260" s="227"/>
      <c r="B260" s="276">
        <v>222</v>
      </c>
      <c r="C260" s="254"/>
      <c r="D260" s="255"/>
      <c r="E260" s="247"/>
      <c r="F260" s="232"/>
      <c r="G260" s="239"/>
      <c r="H260" s="386">
        <v>246</v>
      </c>
      <c r="I260" s="404"/>
      <c r="J260" s="404"/>
      <c r="K260" s="413"/>
      <c r="L260" s="413"/>
      <c r="M260" s="413"/>
      <c r="N260" s="413"/>
      <c r="O260" s="413"/>
      <c r="P260" s="413"/>
      <c r="Q260" s="413"/>
      <c r="R260" s="452"/>
      <c r="S260" s="443"/>
      <c r="T260" s="422" t="str" cm="1">
        <f t="array" ref="T260">IF(AND($U$12,B284&lt;=$C$17,C284&lt;&gt;""),TRANSPOSE(INDEX(getcds(C284,$C$6,G284/10000,F284,D284,$C$13,$C$14,$C$15,$C$8,,,TRUE,TRUE,FALSE,$C$29:$C$31,$C$33),{1;2;3;4;5})),"")</f>
        <v/>
      </c>
      <c r="U260" s="423"/>
      <c r="V260" s="423"/>
      <c r="W260" s="424"/>
      <c r="X260" s="425"/>
      <c r="Y260" s="426" t="str">
        <f t="shared" si="15"/>
        <v/>
      </c>
      <c r="Z260" s="427" t="str">
        <f t="shared" si="16"/>
        <v/>
      </c>
      <c r="AA260" s="426" t="str">
        <f t="shared" si="17"/>
        <v/>
      </c>
      <c r="AB260" s="428" t="str">
        <f t="shared" si="18"/>
        <v/>
      </c>
      <c r="AC260" s="427" t="str">
        <f t="shared" si="19"/>
        <v/>
      </c>
      <c r="AD260" s="227"/>
    </row>
    <row r="261" spans="1:30" customFormat="1" ht="15">
      <c r="A261" s="227"/>
      <c r="B261" s="276">
        <v>223</v>
      </c>
      <c r="C261" s="254"/>
      <c r="D261" s="255"/>
      <c r="E261" s="247"/>
      <c r="F261" s="232"/>
      <c r="G261" s="239"/>
      <c r="H261" s="386">
        <v>247</v>
      </c>
      <c r="I261" s="404"/>
      <c r="J261" s="404"/>
      <c r="K261" s="413"/>
      <c r="L261" s="413"/>
      <c r="M261" s="413"/>
      <c r="N261" s="413"/>
      <c r="O261" s="413"/>
      <c r="P261" s="413"/>
      <c r="Q261" s="413"/>
      <c r="R261" s="452"/>
      <c r="S261" s="443"/>
      <c r="T261" s="422" t="str" cm="1">
        <f t="array" ref="T261">IF(AND($U$12,B285&lt;=$C$17,C285&lt;&gt;""),TRANSPOSE(INDEX(getcds(C285,$C$6,G285/10000,F285,D285,$C$13,$C$14,$C$15,$C$8,,,TRUE,TRUE,FALSE,$C$29:$C$31,$C$33),{1;2;3;4;5})),"")</f>
        <v/>
      </c>
      <c r="U261" s="423"/>
      <c r="V261" s="423"/>
      <c r="W261" s="424"/>
      <c r="X261" s="425"/>
      <c r="Y261" s="426" t="str">
        <f t="shared" si="15"/>
        <v/>
      </c>
      <c r="Z261" s="427" t="str">
        <f t="shared" si="16"/>
        <v/>
      </c>
      <c r="AA261" s="426" t="str">
        <f t="shared" si="17"/>
        <v/>
      </c>
      <c r="AB261" s="428" t="str">
        <f t="shared" si="18"/>
        <v/>
      </c>
      <c r="AC261" s="427" t="str">
        <f t="shared" si="19"/>
        <v/>
      </c>
      <c r="AD261" s="227"/>
    </row>
    <row r="262" spans="1:30" customFormat="1" ht="15">
      <c r="A262" s="227"/>
      <c r="B262" s="276">
        <v>224</v>
      </c>
      <c r="C262" s="254"/>
      <c r="D262" s="255"/>
      <c r="E262" s="247"/>
      <c r="F262" s="232"/>
      <c r="G262" s="239"/>
      <c r="H262" s="386">
        <v>248</v>
      </c>
      <c r="I262" s="404"/>
      <c r="J262" s="404"/>
      <c r="K262" s="413"/>
      <c r="L262" s="413"/>
      <c r="M262" s="413"/>
      <c r="N262" s="413"/>
      <c r="O262" s="413"/>
      <c r="P262" s="413"/>
      <c r="Q262" s="413"/>
      <c r="R262" s="452"/>
      <c r="S262" s="443"/>
      <c r="T262" s="422" t="str" cm="1">
        <f t="array" ref="T262">IF(AND($U$12,B286&lt;=$C$17,C286&lt;&gt;""),TRANSPOSE(INDEX(getcds(C286,$C$6,G286/10000,F286,D286,$C$13,$C$14,$C$15,$C$8,,,TRUE,TRUE,FALSE,$C$29:$C$31,$C$33),{1;2;3;4;5})),"")</f>
        <v/>
      </c>
      <c r="U262" s="423"/>
      <c r="V262" s="423"/>
      <c r="W262" s="424"/>
      <c r="X262" s="425"/>
      <c r="Y262" s="426" t="str">
        <f t="shared" si="15"/>
        <v/>
      </c>
      <c r="Z262" s="427" t="str">
        <f t="shared" si="16"/>
        <v/>
      </c>
      <c r="AA262" s="426" t="str">
        <f t="shared" si="17"/>
        <v/>
      </c>
      <c r="AB262" s="428" t="str">
        <f t="shared" si="18"/>
        <v/>
      </c>
      <c r="AC262" s="427" t="str">
        <f t="shared" si="19"/>
        <v/>
      </c>
      <c r="AD262" s="227"/>
    </row>
    <row r="263" spans="1:30" customFormat="1" ht="15">
      <c r="A263" s="227"/>
      <c r="B263" s="276">
        <v>225</v>
      </c>
      <c r="C263" s="254"/>
      <c r="D263" s="255"/>
      <c r="E263" s="247"/>
      <c r="F263" s="232"/>
      <c r="G263" s="239"/>
      <c r="H263" s="386">
        <v>249</v>
      </c>
      <c r="I263" s="404"/>
      <c r="J263" s="404"/>
      <c r="K263" s="413"/>
      <c r="L263" s="413"/>
      <c r="M263" s="413"/>
      <c r="N263" s="413"/>
      <c r="O263" s="413"/>
      <c r="P263" s="413"/>
      <c r="Q263" s="413"/>
      <c r="R263" s="452"/>
      <c r="S263" s="443"/>
      <c r="T263" s="422" t="str" cm="1">
        <f t="array" ref="T263">IF(AND($U$12,B287&lt;=$C$17,C287&lt;&gt;""),TRANSPOSE(INDEX(getcds(C287,$C$6,G287/10000,F287,D287,$C$13,$C$14,$C$15,$C$8,,,TRUE,TRUE,FALSE,$C$29:$C$31,$C$33),{1;2;3;4;5})),"")</f>
        <v/>
      </c>
      <c r="U263" s="423"/>
      <c r="V263" s="423"/>
      <c r="W263" s="424"/>
      <c r="X263" s="425"/>
      <c r="Y263" s="426" t="str">
        <f t="shared" si="15"/>
        <v/>
      </c>
      <c r="Z263" s="427" t="str">
        <f t="shared" si="16"/>
        <v/>
      </c>
      <c r="AA263" s="426" t="str">
        <f t="shared" si="17"/>
        <v/>
      </c>
      <c r="AB263" s="428" t="str">
        <f t="shared" si="18"/>
        <v/>
      </c>
      <c r="AC263" s="427" t="str">
        <f t="shared" si="19"/>
        <v/>
      </c>
      <c r="AD263" s="227"/>
    </row>
    <row r="264" spans="1:30" customFormat="1" ht="15">
      <c r="A264" s="227"/>
      <c r="B264" s="276">
        <v>226</v>
      </c>
      <c r="C264" s="254"/>
      <c r="D264" s="255"/>
      <c r="E264" s="247"/>
      <c r="F264" s="232"/>
      <c r="G264" s="239"/>
      <c r="H264" s="386">
        <v>250</v>
      </c>
      <c r="I264" s="404"/>
      <c r="J264" s="404"/>
      <c r="K264" s="413"/>
      <c r="L264" s="413"/>
      <c r="M264" s="413"/>
      <c r="N264" s="413"/>
      <c r="O264" s="413"/>
      <c r="P264" s="413"/>
      <c r="Q264" s="413"/>
      <c r="R264" s="452"/>
      <c r="S264" s="443"/>
      <c r="T264" s="422" t="str" cm="1">
        <f t="array" ref="T264">IF(AND($U$12,B288&lt;=$C$17,C288&lt;&gt;""),TRANSPOSE(INDEX(getcds(C288,$C$6,G288/10000,F288,D288,$C$13,$C$14,$C$15,$C$8,,,TRUE,TRUE,FALSE,$C$29:$C$31,$C$33),{1;2;3;4;5})),"")</f>
        <v/>
      </c>
      <c r="U264" s="423"/>
      <c r="V264" s="423"/>
      <c r="W264" s="424"/>
      <c r="X264" s="425"/>
      <c r="Y264" s="426" t="str">
        <f t="shared" si="15"/>
        <v/>
      </c>
      <c r="Z264" s="427" t="str">
        <f t="shared" si="16"/>
        <v/>
      </c>
      <c r="AA264" s="426" t="str">
        <f t="shared" si="17"/>
        <v/>
      </c>
      <c r="AB264" s="428" t="str">
        <f t="shared" si="18"/>
        <v/>
      </c>
      <c r="AC264" s="427" t="str">
        <f t="shared" si="19"/>
        <v/>
      </c>
      <c r="AD264" s="227"/>
    </row>
    <row r="265" spans="1:30" customFormat="1" ht="15">
      <c r="A265" s="227"/>
      <c r="B265" s="276">
        <v>227</v>
      </c>
      <c r="C265" s="254"/>
      <c r="D265" s="255"/>
      <c r="E265" s="247"/>
      <c r="F265" s="232"/>
      <c r="G265" s="239"/>
      <c r="H265" s="386">
        <v>251</v>
      </c>
      <c r="I265" s="404"/>
      <c r="J265" s="404"/>
      <c r="K265" s="413"/>
      <c r="L265" s="413"/>
      <c r="M265" s="413"/>
      <c r="N265" s="413"/>
      <c r="O265" s="413"/>
      <c r="P265" s="413"/>
      <c r="Q265" s="413"/>
      <c r="R265" s="452"/>
      <c r="S265" s="443"/>
      <c r="T265" s="422" t="str" cm="1">
        <f t="array" ref="T265">IF(AND($U$12,B289&lt;=$C$17,C289&lt;&gt;""),TRANSPOSE(INDEX(getcds(C289,$C$6,G289/10000,F289,D289,$C$13,$C$14,$C$15,$C$8,,,TRUE,TRUE,FALSE,$C$29:$C$31,$C$33),{1;2;3;4;5})),"")</f>
        <v/>
      </c>
      <c r="U265" s="423"/>
      <c r="V265" s="423"/>
      <c r="W265" s="424"/>
      <c r="X265" s="425"/>
      <c r="Y265" s="426" t="str">
        <f t="shared" si="15"/>
        <v/>
      </c>
      <c r="Z265" s="427" t="str">
        <f t="shared" si="16"/>
        <v/>
      </c>
      <c r="AA265" s="426" t="str">
        <f t="shared" si="17"/>
        <v/>
      </c>
      <c r="AB265" s="428" t="str">
        <f t="shared" si="18"/>
        <v/>
      </c>
      <c r="AC265" s="427" t="str">
        <f t="shared" si="19"/>
        <v/>
      </c>
      <c r="AD265" s="227"/>
    </row>
    <row r="266" spans="1:30" customFormat="1" ht="15">
      <c r="A266" s="227"/>
      <c r="B266" s="276">
        <v>228</v>
      </c>
      <c r="C266" s="254"/>
      <c r="D266" s="255"/>
      <c r="E266" s="247"/>
      <c r="F266" s="232"/>
      <c r="G266" s="239"/>
      <c r="H266" s="386">
        <v>252</v>
      </c>
      <c r="I266" s="404"/>
      <c r="J266" s="404"/>
      <c r="K266" s="413"/>
      <c r="L266" s="413"/>
      <c r="M266" s="413"/>
      <c r="N266" s="413"/>
      <c r="O266" s="413"/>
      <c r="P266" s="413"/>
      <c r="Q266" s="413"/>
      <c r="R266" s="452"/>
      <c r="S266" s="443"/>
      <c r="T266" s="422" t="str" cm="1">
        <f t="array" ref="T266">IF(AND($U$12,B290&lt;=$C$17,C290&lt;&gt;""),TRANSPOSE(INDEX(getcds(C290,$C$6,G290/10000,F290,D290,$C$13,$C$14,$C$15,$C$8,,,TRUE,TRUE,FALSE,$C$29:$C$31,$C$33),{1;2;3;4;5})),"")</f>
        <v/>
      </c>
      <c r="U266" s="423"/>
      <c r="V266" s="423"/>
      <c r="W266" s="424"/>
      <c r="X266" s="425"/>
      <c r="Y266" s="426" t="str">
        <f t="shared" si="15"/>
        <v/>
      </c>
      <c r="Z266" s="427" t="str">
        <f t="shared" si="16"/>
        <v/>
      </c>
      <c r="AA266" s="426" t="str">
        <f t="shared" si="17"/>
        <v/>
      </c>
      <c r="AB266" s="428" t="str">
        <f t="shared" si="18"/>
        <v/>
      </c>
      <c r="AC266" s="427" t="str">
        <f t="shared" si="19"/>
        <v/>
      </c>
      <c r="AD266" s="227"/>
    </row>
    <row r="267" spans="1:30" customFormat="1" ht="15">
      <c r="A267" s="227"/>
      <c r="B267" s="276">
        <v>229</v>
      </c>
      <c r="C267" s="254"/>
      <c r="D267" s="255"/>
      <c r="E267" s="247"/>
      <c r="F267" s="232"/>
      <c r="G267" s="239"/>
      <c r="H267" s="386">
        <v>253</v>
      </c>
      <c r="I267" s="404"/>
      <c r="J267" s="404"/>
      <c r="K267" s="413"/>
      <c r="L267" s="413"/>
      <c r="M267" s="413"/>
      <c r="N267" s="413"/>
      <c r="O267" s="413"/>
      <c r="P267" s="413"/>
      <c r="Q267" s="413"/>
      <c r="R267" s="452"/>
      <c r="S267" s="443"/>
      <c r="T267" s="422" t="str" cm="1">
        <f t="array" ref="T267">IF(AND($U$12,B291&lt;=$C$17,C291&lt;&gt;""),TRANSPOSE(INDEX(getcds(C291,$C$6,G291/10000,F291,D291,$C$13,$C$14,$C$15,$C$8,,,TRUE,TRUE,FALSE,$C$29:$C$31,$C$33),{1;2;3;4;5})),"")</f>
        <v/>
      </c>
      <c r="U267" s="423"/>
      <c r="V267" s="423"/>
      <c r="W267" s="424"/>
      <c r="X267" s="425"/>
      <c r="Y267" s="426" t="str">
        <f t="shared" si="15"/>
        <v/>
      </c>
      <c r="Z267" s="427" t="str">
        <f t="shared" si="16"/>
        <v/>
      </c>
      <c r="AA267" s="426" t="str">
        <f t="shared" si="17"/>
        <v/>
      </c>
      <c r="AB267" s="428" t="str">
        <f t="shared" si="18"/>
        <v/>
      </c>
      <c r="AC267" s="427" t="str">
        <f t="shared" si="19"/>
        <v/>
      </c>
      <c r="AD267" s="227"/>
    </row>
    <row r="268" spans="1:30" customFormat="1" ht="15">
      <c r="A268" s="227"/>
      <c r="B268" s="276">
        <v>230</v>
      </c>
      <c r="C268" s="254"/>
      <c r="D268" s="255"/>
      <c r="E268" s="247"/>
      <c r="F268" s="232"/>
      <c r="G268" s="239"/>
      <c r="H268" s="386">
        <v>254</v>
      </c>
      <c r="I268" s="404"/>
      <c r="J268" s="404"/>
      <c r="K268" s="413"/>
      <c r="L268" s="413"/>
      <c r="M268" s="413"/>
      <c r="N268" s="413"/>
      <c r="O268" s="413"/>
      <c r="P268" s="413"/>
      <c r="Q268" s="413"/>
      <c r="R268" s="452"/>
      <c r="S268" s="443"/>
      <c r="T268" s="422" t="str" cm="1">
        <f t="array" ref="T268">IF(AND($U$12,B292&lt;=$C$17,C292&lt;&gt;""),TRANSPOSE(INDEX(getcds(C292,$C$6,G292/10000,F292,D292,$C$13,$C$14,$C$15,$C$8,,,TRUE,TRUE,FALSE,$C$29:$C$31,$C$33),{1;2;3;4;5})),"")</f>
        <v/>
      </c>
      <c r="U268" s="423"/>
      <c r="V268" s="423"/>
      <c r="W268" s="424"/>
      <c r="X268" s="425"/>
      <c r="Y268" s="426" t="str">
        <f t="shared" si="15"/>
        <v/>
      </c>
      <c r="Z268" s="427" t="str">
        <f t="shared" si="16"/>
        <v/>
      </c>
      <c r="AA268" s="426" t="str">
        <f t="shared" si="17"/>
        <v/>
      </c>
      <c r="AB268" s="428" t="str">
        <f t="shared" si="18"/>
        <v/>
      </c>
      <c r="AC268" s="427" t="str">
        <f t="shared" si="19"/>
        <v/>
      </c>
      <c r="AD268" s="227"/>
    </row>
    <row r="269" spans="1:30" customFormat="1" ht="15">
      <c r="A269" s="227"/>
      <c r="B269" s="276">
        <v>231</v>
      </c>
      <c r="C269" s="254"/>
      <c r="D269" s="255"/>
      <c r="E269" s="247"/>
      <c r="F269" s="232"/>
      <c r="G269" s="239"/>
      <c r="H269" s="386">
        <v>255</v>
      </c>
      <c r="I269" s="404"/>
      <c r="J269" s="404"/>
      <c r="K269" s="413"/>
      <c r="L269" s="413"/>
      <c r="M269" s="413"/>
      <c r="N269" s="413"/>
      <c r="O269" s="413"/>
      <c r="P269" s="413"/>
      <c r="Q269" s="413"/>
      <c r="R269" s="452"/>
      <c r="S269" s="443"/>
      <c r="T269" s="422" t="str" cm="1">
        <f t="array" ref="T269">IF(AND($U$12,B293&lt;=$C$17,C293&lt;&gt;""),TRANSPOSE(INDEX(getcds(C293,$C$6,G293/10000,F293,D293,$C$13,$C$14,$C$15,$C$8,,,TRUE,TRUE,FALSE,$C$29:$C$31,$C$33),{1;2;3;4;5})),"")</f>
        <v/>
      </c>
      <c r="U269" s="423"/>
      <c r="V269" s="423"/>
      <c r="W269" s="424"/>
      <c r="X269" s="425"/>
      <c r="Y269" s="426" t="str">
        <f t="shared" si="15"/>
        <v/>
      </c>
      <c r="Z269" s="427" t="str">
        <f t="shared" si="16"/>
        <v/>
      </c>
      <c r="AA269" s="426" t="str">
        <f t="shared" si="17"/>
        <v/>
      </c>
      <c r="AB269" s="428" t="str">
        <f t="shared" si="18"/>
        <v/>
      </c>
      <c r="AC269" s="427" t="str">
        <f t="shared" si="19"/>
        <v/>
      </c>
      <c r="AD269" s="227"/>
    </row>
    <row r="270" spans="1:30" customFormat="1" ht="15">
      <c r="A270" s="227"/>
      <c r="B270" s="276">
        <v>232</v>
      </c>
      <c r="C270" s="254"/>
      <c r="D270" s="255"/>
      <c r="E270" s="247"/>
      <c r="F270" s="232"/>
      <c r="G270" s="239"/>
      <c r="H270" s="386">
        <v>256</v>
      </c>
      <c r="I270" s="404"/>
      <c r="J270" s="404"/>
      <c r="K270" s="413"/>
      <c r="L270" s="413"/>
      <c r="M270" s="413"/>
      <c r="N270" s="413"/>
      <c r="O270" s="413"/>
      <c r="P270" s="413"/>
      <c r="Q270" s="413"/>
      <c r="R270" s="452"/>
      <c r="S270" s="443"/>
      <c r="T270" s="422" t="str" cm="1">
        <f t="array" ref="T270">IF(AND($U$12,B294&lt;=$C$17,C294&lt;&gt;""),TRANSPOSE(INDEX(getcds(C294,$C$6,G294/10000,F294,D294,$C$13,$C$14,$C$15,$C$8,,,TRUE,TRUE,FALSE,$C$29:$C$31,$C$33),{1;2;3;4;5})),"")</f>
        <v/>
      </c>
      <c r="U270" s="423"/>
      <c r="V270" s="423"/>
      <c r="W270" s="424"/>
      <c r="X270" s="425"/>
      <c r="Y270" s="426" t="str">
        <f t="shared" si="15"/>
        <v/>
      </c>
      <c r="Z270" s="427" t="str">
        <f t="shared" si="16"/>
        <v/>
      </c>
      <c r="AA270" s="426" t="str">
        <f t="shared" si="17"/>
        <v/>
      </c>
      <c r="AB270" s="428" t="str">
        <f t="shared" si="18"/>
        <v/>
      </c>
      <c r="AC270" s="427" t="str">
        <f t="shared" si="19"/>
        <v/>
      </c>
      <c r="AD270" s="227"/>
    </row>
    <row r="271" spans="1:30" customFormat="1" ht="15">
      <c r="A271" s="227"/>
      <c r="B271" s="276">
        <v>233</v>
      </c>
      <c r="C271" s="254"/>
      <c r="D271" s="255"/>
      <c r="E271" s="247"/>
      <c r="F271" s="232"/>
      <c r="G271" s="239"/>
      <c r="H271" s="386">
        <v>257</v>
      </c>
      <c r="I271" s="404"/>
      <c r="J271" s="404"/>
      <c r="K271" s="413"/>
      <c r="L271" s="413"/>
      <c r="M271" s="413"/>
      <c r="N271" s="413"/>
      <c r="O271" s="413"/>
      <c r="P271" s="413"/>
      <c r="Q271" s="413"/>
      <c r="R271" s="452"/>
      <c r="S271" s="443"/>
      <c r="T271" s="422" t="str" cm="1">
        <f t="array" ref="T271">IF(AND($U$12,B295&lt;=$C$17,C295&lt;&gt;""),TRANSPOSE(INDEX(getcds(C295,$C$6,G295/10000,F295,D295,$C$13,$C$14,$C$15,$C$8,,,TRUE,TRUE,FALSE,$C$29:$C$31,$C$33),{1;2;3;4;5})),"")</f>
        <v/>
      </c>
      <c r="U271" s="423"/>
      <c r="V271" s="423"/>
      <c r="W271" s="424"/>
      <c r="X271" s="425"/>
      <c r="Y271" s="426" t="str">
        <f t="shared" si="15"/>
        <v/>
      </c>
      <c r="Z271" s="427" t="str">
        <f t="shared" si="16"/>
        <v/>
      </c>
      <c r="AA271" s="426" t="str">
        <f t="shared" si="17"/>
        <v/>
      </c>
      <c r="AB271" s="428" t="str">
        <f t="shared" si="18"/>
        <v/>
      </c>
      <c r="AC271" s="427" t="str">
        <f t="shared" si="19"/>
        <v/>
      </c>
      <c r="AD271" s="227"/>
    </row>
    <row r="272" spans="1:30" customFormat="1" ht="15">
      <c r="A272" s="227"/>
      <c r="B272" s="276">
        <v>234</v>
      </c>
      <c r="C272" s="254"/>
      <c r="D272" s="255"/>
      <c r="E272" s="247"/>
      <c r="F272" s="232"/>
      <c r="G272" s="239"/>
      <c r="H272" s="386">
        <v>258</v>
      </c>
      <c r="I272" s="404"/>
      <c r="J272" s="404"/>
      <c r="K272" s="413"/>
      <c r="L272" s="413"/>
      <c r="M272" s="413"/>
      <c r="N272" s="413"/>
      <c r="O272" s="413"/>
      <c r="P272" s="413"/>
      <c r="Q272" s="413"/>
      <c r="R272" s="452"/>
      <c r="S272" s="443"/>
      <c r="T272" s="422" t="str" cm="1">
        <f t="array" ref="T272">IF(AND($U$12,B296&lt;=$C$17,C296&lt;&gt;""),TRANSPOSE(INDEX(getcds(C296,$C$6,G296/10000,F296,D296,$C$13,$C$14,$C$15,$C$8,,,TRUE,TRUE,FALSE,$C$29:$C$31,$C$33),{1;2;3;4;5})),"")</f>
        <v/>
      </c>
      <c r="U272" s="423"/>
      <c r="V272" s="423"/>
      <c r="W272" s="424"/>
      <c r="X272" s="425"/>
      <c r="Y272" s="426" t="str">
        <f t="shared" ref="Y272:Y314" si="20">IF($U$12,IF(T272="","",$U$13*D296/$C$18),"")</f>
        <v/>
      </c>
      <c r="Z272" s="427" t="str">
        <f t="shared" ref="Z272:Z314" si="21">IF($U$12,IF(Y272="","",Y272*($Z$10-W272)*X272),"")</f>
        <v/>
      </c>
      <c r="AA272" s="426" t="str">
        <f t="shared" ref="AA272:AA313" si="22">IF($U$12,IF(OR(T272="",L272=""),"",L272/($C$20-$C$19)),"")</f>
        <v/>
      </c>
      <c r="AB272" s="428" t="str">
        <f t="shared" ref="AB272:AB313" si="23">IF($U$12,IF(W272="","",W272*$AC$10),"")</f>
        <v/>
      </c>
      <c r="AC272" s="427" t="str">
        <f t="shared" ref="AC272:AC313" si="24">IF($U$12,IF(AA272="","",AA272*(AB272-W272)*X272),"")</f>
        <v/>
      </c>
      <c r="AD272" s="227"/>
    </row>
    <row r="273" spans="1:30" customFormat="1" ht="15">
      <c r="A273" s="227"/>
      <c r="B273" s="276">
        <v>235</v>
      </c>
      <c r="C273" s="254"/>
      <c r="D273" s="255"/>
      <c r="E273" s="247"/>
      <c r="F273" s="232"/>
      <c r="G273" s="239"/>
      <c r="H273" s="386">
        <v>259</v>
      </c>
      <c r="I273" s="404"/>
      <c r="J273" s="404"/>
      <c r="K273" s="413"/>
      <c r="L273" s="413"/>
      <c r="M273" s="413"/>
      <c r="N273" s="413"/>
      <c r="O273" s="413"/>
      <c r="P273" s="413"/>
      <c r="Q273" s="413"/>
      <c r="R273" s="452"/>
      <c r="S273" s="443"/>
      <c r="T273" s="422" t="str" cm="1">
        <f t="array" ref="T273">IF(AND($U$12,B297&lt;=$C$17,C297&lt;&gt;""),TRANSPOSE(INDEX(getcds(C297,$C$6,G297/10000,F297,D297,$C$13,$C$14,$C$15,$C$8,,,TRUE,TRUE,FALSE,$C$29:$C$31,$C$33),{1;2;3;4;5})),"")</f>
        <v/>
      </c>
      <c r="U273" s="423"/>
      <c r="V273" s="423"/>
      <c r="W273" s="424"/>
      <c r="X273" s="425"/>
      <c r="Y273" s="426" t="str">
        <f t="shared" si="20"/>
        <v/>
      </c>
      <c r="Z273" s="427" t="str">
        <f t="shared" si="21"/>
        <v/>
      </c>
      <c r="AA273" s="426" t="str">
        <f t="shared" si="22"/>
        <v/>
      </c>
      <c r="AB273" s="428" t="str">
        <f t="shared" si="23"/>
        <v/>
      </c>
      <c r="AC273" s="427" t="str">
        <f t="shared" si="24"/>
        <v/>
      </c>
      <c r="AD273" s="227"/>
    </row>
    <row r="274" spans="1:30" customFormat="1" ht="15">
      <c r="A274" s="227"/>
      <c r="B274" s="276">
        <v>236</v>
      </c>
      <c r="C274" s="254"/>
      <c r="D274" s="255"/>
      <c r="E274" s="247"/>
      <c r="F274" s="232"/>
      <c r="G274" s="239"/>
      <c r="H274" s="386">
        <v>260</v>
      </c>
      <c r="I274" s="404"/>
      <c r="J274" s="404"/>
      <c r="K274" s="413"/>
      <c r="L274" s="413"/>
      <c r="M274" s="413"/>
      <c r="N274" s="413"/>
      <c r="O274" s="413"/>
      <c r="P274" s="413"/>
      <c r="Q274" s="413"/>
      <c r="R274" s="452"/>
      <c r="S274" s="443"/>
      <c r="T274" s="422" t="str" cm="1">
        <f t="array" ref="T274">IF(AND($U$12,B298&lt;=$C$17,C298&lt;&gt;""),TRANSPOSE(INDEX(getcds(C298,$C$6,G298/10000,F298,D298,$C$13,$C$14,$C$15,$C$8,,,TRUE,TRUE,FALSE,$C$29:$C$31,$C$33),{1;2;3;4;5})),"")</f>
        <v/>
      </c>
      <c r="U274" s="423"/>
      <c r="V274" s="423"/>
      <c r="W274" s="424"/>
      <c r="X274" s="425"/>
      <c r="Y274" s="426" t="str">
        <f t="shared" si="20"/>
        <v/>
      </c>
      <c r="Z274" s="427" t="str">
        <f t="shared" si="21"/>
        <v/>
      </c>
      <c r="AA274" s="426" t="str">
        <f t="shared" si="22"/>
        <v/>
      </c>
      <c r="AB274" s="428" t="str">
        <f t="shared" si="23"/>
        <v/>
      </c>
      <c r="AC274" s="427" t="str">
        <f t="shared" si="24"/>
        <v/>
      </c>
      <c r="AD274" s="227"/>
    </row>
    <row r="275" spans="1:30" customFormat="1" ht="15">
      <c r="A275" s="227"/>
      <c r="B275" s="276">
        <v>237</v>
      </c>
      <c r="C275" s="254"/>
      <c r="D275" s="255"/>
      <c r="E275" s="247"/>
      <c r="F275" s="232"/>
      <c r="G275" s="239"/>
      <c r="H275" s="386">
        <v>261</v>
      </c>
      <c r="I275" s="404"/>
      <c r="J275" s="404"/>
      <c r="K275" s="413"/>
      <c r="L275" s="413"/>
      <c r="M275" s="413"/>
      <c r="N275" s="413"/>
      <c r="O275" s="413"/>
      <c r="P275" s="413"/>
      <c r="Q275" s="413"/>
      <c r="R275" s="452"/>
      <c r="S275" s="443"/>
      <c r="T275" s="422" t="str" cm="1">
        <f t="array" ref="T275">IF(AND($U$12,B299&lt;=$C$17,C299&lt;&gt;""),TRANSPOSE(INDEX(getcds(C299,$C$6,G299/10000,F299,D299,$C$13,$C$14,$C$15,$C$8,,,TRUE,TRUE,FALSE,$C$29:$C$31,$C$33),{1;2;3;4;5})),"")</f>
        <v/>
      </c>
      <c r="U275" s="423"/>
      <c r="V275" s="423"/>
      <c r="W275" s="424"/>
      <c r="X275" s="425"/>
      <c r="Y275" s="426" t="str">
        <f t="shared" si="20"/>
        <v/>
      </c>
      <c r="Z275" s="427" t="str">
        <f t="shared" si="21"/>
        <v/>
      </c>
      <c r="AA275" s="426" t="str">
        <f t="shared" si="22"/>
        <v/>
      </c>
      <c r="AB275" s="428" t="str">
        <f t="shared" si="23"/>
        <v/>
      </c>
      <c r="AC275" s="427" t="str">
        <f t="shared" si="24"/>
        <v/>
      </c>
      <c r="AD275" s="227"/>
    </row>
    <row r="276" spans="1:30" customFormat="1" ht="15">
      <c r="A276" s="227"/>
      <c r="B276" s="276">
        <v>238</v>
      </c>
      <c r="C276" s="254"/>
      <c r="D276" s="255"/>
      <c r="E276" s="247"/>
      <c r="F276" s="232"/>
      <c r="G276" s="239"/>
      <c r="H276" s="386">
        <v>262</v>
      </c>
      <c r="I276" s="404"/>
      <c r="J276" s="404"/>
      <c r="K276" s="413"/>
      <c r="L276" s="413"/>
      <c r="M276" s="413"/>
      <c r="N276" s="413"/>
      <c r="O276" s="413"/>
      <c r="P276" s="413"/>
      <c r="Q276" s="413"/>
      <c r="R276" s="452"/>
      <c r="S276" s="443"/>
      <c r="T276" s="422" t="str" cm="1">
        <f t="array" ref="T276">IF(AND($U$12,B300&lt;=$C$17,C300&lt;&gt;""),TRANSPOSE(INDEX(getcds(C300,$C$6,G300/10000,F300,D300,$C$13,$C$14,$C$15,$C$8,,,TRUE,TRUE,FALSE,$C$29:$C$31,$C$33),{1;2;3;4;5})),"")</f>
        <v/>
      </c>
      <c r="U276" s="423"/>
      <c r="V276" s="423"/>
      <c r="W276" s="424"/>
      <c r="X276" s="425"/>
      <c r="Y276" s="426" t="str">
        <f t="shared" si="20"/>
        <v/>
      </c>
      <c r="Z276" s="427" t="str">
        <f t="shared" si="21"/>
        <v/>
      </c>
      <c r="AA276" s="426" t="str">
        <f t="shared" si="22"/>
        <v/>
      </c>
      <c r="AB276" s="428" t="str">
        <f t="shared" si="23"/>
        <v/>
      </c>
      <c r="AC276" s="427" t="str">
        <f t="shared" si="24"/>
        <v/>
      </c>
      <c r="AD276" s="227"/>
    </row>
    <row r="277" spans="1:30" customFormat="1" ht="15">
      <c r="A277" s="227"/>
      <c r="B277" s="276">
        <v>239</v>
      </c>
      <c r="C277" s="254"/>
      <c r="D277" s="255"/>
      <c r="E277" s="247"/>
      <c r="F277" s="232"/>
      <c r="G277" s="239"/>
      <c r="H277" s="386">
        <v>263</v>
      </c>
      <c r="I277" s="404"/>
      <c r="J277" s="404"/>
      <c r="K277" s="413"/>
      <c r="L277" s="413"/>
      <c r="M277" s="413"/>
      <c r="N277" s="413"/>
      <c r="O277" s="413"/>
      <c r="P277" s="413"/>
      <c r="Q277" s="413"/>
      <c r="R277" s="452"/>
      <c r="S277" s="443"/>
      <c r="T277" s="422" t="str" cm="1">
        <f t="array" ref="T277">IF(AND($U$12,B301&lt;=$C$17,C301&lt;&gt;""),TRANSPOSE(INDEX(getcds(C301,$C$6,G301/10000,F301,D301,$C$13,$C$14,$C$15,$C$8,,,TRUE,TRUE,FALSE,$C$29:$C$31,$C$33),{1;2;3;4;5})),"")</f>
        <v/>
      </c>
      <c r="U277" s="423"/>
      <c r="V277" s="423"/>
      <c r="W277" s="424"/>
      <c r="X277" s="425"/>
      <c r="Y277" s="426" t="str">
        <f t="shared" si="20"/>
        <v/>
      </c>
      <c r="Z277" s="427" t="str">
        <f t="shared" si="21"/>
        <v/>
      </c>
      <c r="AA277" s="426" t="str">
        <f t="shared" si="22"/>
        <v/>
      </c>
      <c r="AB277" s="428" t="str">
        <f t="shared" si="23"/>
        <v/>
      </c>
      <c r="AC277" s="427" t="str">
        <f t="shared" si="24"/>
        <v/>
      </c>
      <c r="AD277" s="227"/>
    </row>
    <row r="278" spans="1:30" customFormat="1" ht="15">
      <c r="A278" s="227"/>
      <c r="B278" s="276">
        <v>240</v>
      </c>
      <c r="C278" s="254"/>
      <c r="D278" s="255"/>
      <c r="E278" s="247"/>
      <c r="F278" s="232"/>
      <c r="G278" s="239"/>
      <c r="H278" s="386">
        <v>264</v>
      </c>
      <c r="I278" s="404"/>
      <c r="J278" s="404"/>
      <c r="K278" s="413"/>
      <c r="L278" s="413"/>
      <c r="M278" s="413"/>
      <c r="N278" s="413"/>
      <c r="O278" s="413"/>
      <c r="P278" s="413"/>
      <c r="Q278" s="413"/>
      <c r="R278" s="452"/>
      <c r="S278" s="443"/>
      <c r="T278" s="422" t="str" cm="1">
        <f t="array" ref="T278">IF(AND($U$12,B302&lt;=$C$17,C302&lt;&gt;""),TRANSPOSE(INDEX(getcds(C302,$C$6,G302/10000,F302,D302,$C$13,$C$14,$C$15,$C$8,,,TRUE,TRUE,FALSE,$C$29:$C$31,$C$33),{1;2;3;4;5})),"")</f>
        <v/>
      </c>
      <c r="U278" s="423"/>
      <c r="V278" s="423"/>
      <c r="W278" s="424"/>
      <c r="X278" s="425"/>
      <c r="Y278" s="426" t="str">
        <f t="shared" si="20"/>
        <v/>
      </c>
      <c r="Z278" s="427" t="str">
        <f t="shared" si="21"/>
        <v/>
      </c>
      <c r="AA278" s="426" t="str">
        <f t="shared" si="22"/>
        <v/>
      </c>
      <c r="AB278" s="428" t="str">
        <f t="shared" si="23"/>
        <v/>
      </c>
      <c r="AC278" s="427" t="str">
        <f t="shared" si="24"/>
        <v/>
      </c>
      <c r="AD278" s="227"/>
    </row>
    <row r="279" spans="1:30" customFormat="1" ht="15">
      <c r="A279" s="227"/>
      <c r="B279" s="276">
        <v>241</v>
      </c>
      <c r="C279" s="254"/>
      <c r="D279" s="255"/>
      <c r="E279" s="247"/>
      <c r="F279" s="232"/>
      <c r="G279" s="239"/>
      <c r="H279" s="386">
        <v>265</v>
      </c>
      <c r="I279" s="404"/>
      <c r="J279" s="404"/>
      <c r="K279" s="413"/>
      <c r="L279" s="413"/>
      <c r="M279" s="413"/>
      <c r="N279" s="413"/>
      <c r="O279" s="413"/>
      <c r="P279" s="413"/>
      <c r="Q279" s="413"/>
      <c r="R279" s="452"/>
      <c r="S279" s="443"/>
      <c r="T279" s="422" t="str" cm="1">
        <f t="array" ref="T279">IF(AND($U$12,B303&lt;=$C$17,C303&lt;&gt;""),TRANSPOSE(INDEX(getcds(C303,$C$6,G303/10000,F303,D303,$C$13,$C$14,$C$15,$C$8,,,TRUE,TRUE,FALSE,$C$29:$C$31,$C$33),{1;2;3;4;5})),"")</f>
        <v/>
      </c>
      <c r="U279" s="423"/>
      <c r="V279" s="423"/>
      <c r="W279" s="424"/>
      <c r="X279" s="425"/>
      <c r="Y279" s="426" t="str">
        <f t="shared" si="20"/>
        <v/>
      </c>
      <c r="Z279" s="427" t="str">
        <f t="shared" si="21"/>
        <v/>
      </c>
      <c r="AA279" s="426" t="str">
        <f t="shared" si="22"/>
        <v/>
      </c>
      <c r="AB279" s="428" t="str">
        <f t="shared" si="23"/>
        <v/>
      </c>
      <c r="AC279" s="427" t="str">
        <f t="shared" si="24"/>
        <v/>
      </c>
      <c r="AD279" s="227"/>
    </row>
    <row r="280" spans="1:30" customFormat="1" ht="15">
      <c r="A280" s="227"/>
      <c r="B280" s="276">
        <v>242</v>
      </c>
      <c r="C280" s="254"/>
      <c r="D280" s="255"/>
      <c r="E280" s="247"/>
      <c r="F280" s="232"/>
      <c r="G280" s="239"/>
      <c r="H280" s="386">
        <v>266</v>
      </c>
      <c r="I280" s="404"/>
      <c r="J280" s="404"/>
      <c r="K280" s="413"/>
      <c r="L280" s="413"/>
      <c r="M280" s="413"/>
      <c r="N280" s="413"/>
      <c r="O280" s="413"/>
      <c r="P280" s="413"/>
      <c r="Q280" s="413"/>
      <c r="R280" s="452"/>
      <c r="S280" s="443"/>
      <c r="T280" s="422" t="str" cm="1">
        <f t="array" ref="T280">IF(AND($U$12,B304&lt;=$C$17,C304&lt;&gt;""),TRANSPOSE(INDEX(getcds(C304,$C$6,G304/10000,F304,D304,$C$13,$C$14,$C$15,$C$8,,,TRUE,TRUE,FALSE,$C$29:$C$31,$C$33),{1;2;3;4;5})),"")</f>
        <v/>
      </c>
      <c r="U280" s="423"/>
      <c r="V280" s="423"/>
      <c r="W280" s="424"/>
      <c r="X280" s="425"/>
      <c r="Y280" s="426" t="str">
        <f t="shared" si="20"/>
        <v/>
      </c>
      <c r="Z280" s="427" t="str">
        <f t="shared" si="21"/>
        <v/>
      </c>
      <c r="AA280" s="426" t="str">
        <f t="shared" si="22"/>
        <v/>
      </c>
      <c r="AB280" s="428" t="str">
        <f t="shared" si="23"/>
        <v/>
      </c>
      <c r="AC280" s="427" t="str">
        <f t="shared" si="24"/>
        <v/>
      </c>
      <c r="AD280" s="227"/>
    </row>
    <row r="281" spans="1:30" customFormat="1" ht="15">
      <c r="A281" s="227"/>
      <c r="B281" s="276">
        <v>243</v>
      </c>
      <c r="C281" s="254"/>
      <c r="D281" s="255"/>
      <c r="E281" s="247"/>
      <c r="F281" s="232"/>
      <c r="G281" s="239"/>
      <c r="H281" s="386">
        <v>267</v>
      </c>
      <c r="I281" s="404"/>
      <c r="J281" s="404"/>
      <c r="K281" s="413"/>
      <c r="L281" s="413"/>
      <c r="M281" s="413"/>
      <c r="N281" s="413"/>
      <c r="O281" s="413"/>
      <c r="P281" s="413"/>
      <c r="Q281" s="413"/>
      <c r="R281" s="452"/>
      <c r="S281" s="443"/>
      <c r="T281" s="422" t="str" cm="1">
        <f t="array" ref="T281">IF(AND($U$12,B305&lt;=$C$17,C305&lt;&gt;""),TRANSPOSE(INDEX(getcds(C305,$C$6,G305/10000,F305,D305,$C$13,$C$14,$C$15,$C$8,,,TRUE,TRUE,FALSE,$C$29:$C$31,$C$33),{1;2;3;4;5})),"")</f>
        <v/>
      </c>
      <c r="U281" s="423"/>
      <c r="V281" s="423"/>
      <c r="W281" s="424"/>
      <c r="X281" s="425"/>
      <c r="Y281" s="426" t="str">
        <f t="shared" si="20"/>
        <v/>
      </c>
      <c r="Z281" s="427" t="str">
        <f t="shared" si="21"/>
        <v/>
      </c>
      <c r="AA281" s="426" t="str">
        <f t="shared" si="22"/>
        <v/>
      </c>
      <c r="AB281" s="428" t="str">
        <f t="shared" si="23"/>
        <v/>
      </c>
      <c r="AC281" s="427" t="str">
        <f t="shared" si="24"/>
        <v/>
      </c>
      <c r="AD281" s="227"/>
    </row>
    <row r="282" spans="1:30" customFormat="1" ht="15">
      <c r="A282" s="227"/>
      <c r="B282" s="276">
        <v>244</v>
      </c>
      <c r="C282" s="254"/>
      <c r="D282" s="255"/>
      <c r="E282" s="247"/>
      <c r="F282" s="232"/>
      <c r="G282" s="239"/>
      <c r="H282" s="386">
        <v>268</v>
      </c>
      <c r="I282" s="404"/>
      <c r="J282" s="404"/>
      <c r="K282" s="413"/>
      <c r="L282" s="413"/>
      <c r="M282" s="413"/>
      <c r="N282" s="413"/>
      <c r="O282" s="413"/>
      <c r="P282" s="413"/>
      <c r="Q282" s="413"/>
      <c r="R282" s="452"/>
      <c r="S282" s="443"/>
      <c r="T282" s="422" t="str" cm="1">
        <f t="array" ref="T282">IF(AND($U$12,B306&lt;=$C$17,C306&lt;&gt;""),TRANSPOSE(INDEX(getcds(C306,$C$6,G306/10000,F306,D306,$C$13,$C$14,$C$15,$C$8,,,TRUE,TRUE,FALSE,$C$29:$C$31,$C$33),{1;2;3;4;5})),"")</f>
        <v/>
      </c>
      <c r="U282" s="423"/>
      <c r="V282" s="423"/>
      <c r="W282" s="424"/>
      <c r="X282" s="425"/>
      <c r="Y282" s="426" t="str">
        <f t="shared" si="20"/>
        <v/>
      </c>
      <c r="Z282" s="427" t="str">
        <f t="shared" si="21"/>
        <v/>
      </c>
      <c r="AA282" s="426" t="str">
        <f t="shared" si="22"/>
        <v/>
      </c>
      <c r="AB282" s="428" t="str">
        <f t="shared" si="23"/>
        <v/>
      </c>
      <c r="AC282" s="427" t="str">
        <f t="shared" si="24"/>
        <v/>
      </c>
      <c r="AD282" s="227"/>
    </row>
    <row r="283" spans="1:30" customFormat="1" ht="15">
      <c r="A283" s="227"/>
      <c r="B283" s="276">
        <v>245</v>
      </c>
      <c r="C283" s="254"/>
      <c r="D283" s="255"/>
      <c r="E283" s="247"/>
      <c r="F283" s="232"/>
      <c r="G283" s="239"/>
      <c r="H283" s="386">
        <v>269</v>
      </c>
      <c r="I283" s="404"/>
      <c r="J283" s="404"/>
      <c r="K283" s="413"/>
      <c r="L283" s="413"/>
      <c r="M283" s="413"/>
      <c r="N283" s="413"/>
      <c r="O283" s="413"/>
      <c r="P283" s="413"/>
      <c r="Q283" s="413"/>
      <c r="R283" s="452"/>
      <c r="S283" s="443"/>
      <c r="T283" s="422" t="str" cm="1">
        <f t="array" ref="T283">IF(AND($U$12,B307&lt;=$C$17,C307&lt;&gt;""),TRANSPOSE(INDEX(getcds(C307,$C$6,G307/10000,F307,D307,$C$13,$C$14,$C$15,$C$8,,,TRUE,TRUE,FALSE,$C$29:$C$31,$C$33),{1;2;3;4;5})),"")</f>
        <v/>
      </c>
      <c r="U283" s="423"/>
      <c r="V283" s="423"/>
      <c r="W283" s="424"/>
      <c r="X283" s="425"/>
      <c r="Y283" s="426" t="str">
        <f t="shared" si="20"/>
        <v/>
      </c>
      <c r="Z283" s="427" t="str">
        <f t="shared" si="21"/>
        <v/>
      </c>
      <c r="AA283" s="426" t="str">
        <f t="shared" si="22"/>
        <v/>
      </c>
      <c r="AB283" s="428" t="str">
        <f t="shared" si="23"/>
        <v/>
      </c>
      <c r="AC283" s="427" t="str">
        <f t="shared" si="24"/>
        <v/>
      </c>
      <c r="AD283" s="227"/>
    </row>
    <row r="284" spans="1:30" customFormat="1" ht="15">
      <c r="A284" s="227"/>
      <c r="B284" s="276">
        <v>246</v>
      </c>
      <c r="C284" s="254"/>
      <c r="D284" s="255"/>
      <c r="E284" s="247"/>
      <c r="F284" s="232"/>
      <c r="G284" s="239"/>
      <c r="H284" s="386">
        <v>270</v>
      </c>
      <c r="I284" s="404"/>
      <c r="J284" s="404"/>
      <c r="K284" s="413"/>
      <c r="L284" s="413"/>
      <c r="M284" s="413"/>
      <c r="N284" s="413"/>
      <c r="O284" s="413"/>
      <c r="P284" s="413"/>
      <c r="Q284" s="413"/>
      <c r="R284" s="452"/>
      <c r="S284" s="443"/>
      <c r="T284" s="422" t="str" cm="1">
        <f t="array" ref="T284">IF(AND($U$12,B308&lt;=$C$17,C308&lt;&gt;""),TRANSPOSE(INDEX(getcds(C308,$C$6,G308/10000,F308,D308,$C$13,$C$14,$C$15,$C$8,,,TRUE,TRUE,FALSE,$C$29:$C$31,$C$33),{1;2;3;4;5})),"")</f>
        <v/>
      </c>
      <c r="U284" s="423"/>
      <c r="V284" s="423"/>
      <c r="W284" s="424"/>
      <c r="X284" s="425"/>
      <c r="Y284" s="426" t="str">
        <f t="shared" si="20"/>
        <v/>
      </c>
      <c r="Z284" s="427" t="str">
        <f t="shared" si="21"/>
        <v/>
      </c>
      <c r="AA284" s="426" t="str">
        <f t="shared" si="22"/>
        <v/>
      </c>
      <c r="AB284" s="428" t="str">
        <f t="shared" si="23"/>
        <v/>
      </c>
      <c r="AC284" s="427" t="str">
        <f t="shared" si="24"/>
        <v/>
      </c>
      <c r="AD284" s="227"/>
    </row>
    <row r="285" spans="1:30" customFormat="1" ht="15">
      <c r="A285" s="227"/>
      <c r="B285" s="276">
        <v>247</v>
      </c>
      <c r="C285" s="254"/>
      <c r="D285" s="255"/>
      <c r="E285" s="247"/>
      <c r="F285" s="232"/>
      <c r="G285" s="239"/>
      <c r="H285" s="386">
        <v>271</v>
      </c>
      <c r="I285" s="404"/>
      <c r="J285" s="404"/>
      <c r="K285" s="413"/>
      <c r="L285" s="413"/>
      <c r="M285" s="413"/>
      <c r="N285" s="413"/>
      <c r="O285" s="413"/>
      <c r="P285" s="413"/>
      <c r="Q285" s="413"/>
      <c r="R285" s="452"/>
      <c r="S285" s="443"/>
      <c r="T285" s="422" t="str" cm="1">
        <f t="array" ref="T285">IF(AND($U$12,B309&lt;=$C$17,C309&lt;&gt;""),TRANSPOSE(INDEX(getcds(C309,$C$6,G309/10000,F309,D309,$C$13,$C$14,$C$15,$C$8,,,TRUE,TRUE,FALSE,$C$29:$C$31,$C$33),{1;2;3;4;5})),"")</f>
        <v/>
      </c>
      <c r="U285" s="423"/>
      <c r="V285" s="423"/>
      <c r="W285" s="424"/>
      <c r="X285" s="425"/>
      <c r="Y285" s="426" t="str">
        <f t="shared" si="20"/>
        <v/>
      </c>
      <c r="Z285" s="427" t="str">
        <f t="shared" si="21"/>
        <v/>
      </c>
      <c r="AA285" s="426" t="str">
        <f t="shared" si="22"/>
        <v/>
      </c>
      <c r="AB285" s="428" t="str">
        <f t="shared" si="23"/>
        <v/>
      </c>
      <c r="AC285" s="427" t="str">
        <f t="shared" si="24"/>
        <v/>
      </c>
      <c r="AD285" s="227"/>
    </row>
    <row r="286" spans="1:30" customFormat="1" ht="15">
      <c r="A286" s="227"/>
      <c r="B286" s="276">
        <v>248</v>
      </c>
      <c r="C286" s="254"/>
      <c r="D286" s="255"/>
      <c r="E286" s="247"/>
      <c r="F286" s="232"/>
      <c r="G286" s="239"/>
      <c r="H286" s="386">
        <v>272</v>
      </c>
      <c r="I286" s="404"/>
      <c r="J286" s="404"/>
      <c r="K286" s="413"/>
      <c r="L286" s="413"/>
      <c r="M286" s="413"/>
      <c r="N286" s="413"/>
      <c r="O286" s="413"/>
      <c r="P286" s="413"/>
      <c r="Q286" s="413"/>
      <c r="R286" s="452"/>
      <c r="S286" s="443"/>
      <c r="T286" s="422" t="str" cm="1">
        <f t="array" ref="T286">IF(AND($U$12,B310&lt;=$C$17,C310&lt;&gt;""),TRANSPOSE(INDEX(getcds(C310,$C$6,G310/10000,F310,D310,$C$13,$C$14,$C$15,$C$8,,,TRUE,TRUE,FALSE,$C$29:$C$31,$C$33),{1;2;3;4;5})),"")</f>
        <v/>
      </c>
      <c r="U286" s="423"/>
      <c r="V286" s="423"/>
      <c r="W286" s="424"/>
      <c r="X286" s="425"/>
      <c r="Y286" s="426" t="str">
        <f t="shared" si="20"/>
        <v/>
      </c>
      <c r="Z286" s="427" t="str">
        <f t="shared" si="21"/>
        <v/>
      </c>
      <c r="AA286" s="426" t="str">
        <f t="shared" si="22"/>
        <v/>
      </c>
      <c r="AB286" s="428" t="str">
        <f t="shared" si="23"/>
        <v/>
      </c>
      <c r="AC286" s="427" t="str">
        <f t="shared" si="24"/>
        <v/>
      </c>
      <c r="AD286" s="227"/>
    </row>
    <row r="287" spans="1:30" customFormat="1" ht="15">
      <c r="A287" s="227"/>
      <c r="B287" s="276">
        <v>249</v>
      </c>
      <c r="C287" s="254"/>
      <c r="D287" s="255"/>
      <c r="E287" s="247"/>
      <c r="F287" s="232"/>
      <c r="G287" s="239"/>
      <c r="H287" s="386">
        <v>273</v>
      </c>
      <c r="I287" s="404"/>
      <c r="J287" s="404"/>
      <c r="K287" s="413"/>
      <c r="L287" s="413"/>
      <c r="M287" s="413"/>
      <c r="N287" s="413"/>
      <c r="O287" s="413"/>
      <c r="P287" s="413"/>
      <c r="Q287" s="413"/>
      <c r="R287" s="452"/>
      <c r="S287" s="443"/>
      <c r="T287" s="422" t="str" cm="1">
        <f t="array" ref="T287">IF(AND($U$12,B311&lt;=$C$17,C311&lt;&gt;""),TRANSPOSE(INDEX(getcds(C311,$C$6,G311/10000,F311,D311,$C$13,$C$14,$C$15,$C$8,,,TRUE,TRUE,FALSE,$C$29:$C$31,$C$33),{1;2;3;4;5})),"")</f>
        <v/>
      </c>
      <c r="U287" s="423"/>
      <c r="V287" s="423"/>
      <c r="W287" s="424"/>
      <c r="X287" s="425"/>
      <c r="Y287" s="426" t="str">
        <f t="shared" si="20"/>
        <v/>
      </c>
      <c r="Z287" s="427" t="str">
        <f t="shared" si="21"/>
        <v/>
      </c>
      <c r="AA287" s="426" t="str">
        <f t="shared" si="22"/>
        <v/>
      </c>
      <c r="AB287" s="428" t="str">
        <f t="shared" si="23"/>
        <v/>
      </c>
      <c r="AC287" s="427" t="str">
        <f t="shared" si="24"/>
        <v/>
      </c>
      <c r="AD287" s="227"/>
    </row>
    <row r="288" spans="1:30" customFormat="1" ht="15">
      <c r="A288" s="227"/>
      <c r="B288" s="276">
        <v>250</v>
      </c>
      <c r="C288" s="254"/>
      <c r="D288" s="255"/>
      <c r="E288" s="247"/>
      <c r="F288" s="232"/>
      <c r="G288" s="239"/>
      <c r="H288" s="386">
        <v>274</v>
      </c>
      <c r="I288" s="404"/>
      <c r="J288" s="404"/>
      <c r="K288" s="413"/>
      <c r="L288" s="413"/>
      <c r="M288" s="413"/>
      <c r="N288" s="413"/>
      <c r="O288" s="413"/>
      <c r="P288" s="413"/>
      <c r="Q288" s="413"/>
      <c r="R288" s="452"/>
      <c r="S288" s="443"/>
      <c r="T288" s="422" t="str" cm="1">
        <f t="array" ref="T288">IF(AND($U$12,B312&lt;=$C$17,C312&lt;&gt;""),TRANSPOSE(INDEX(getcds(C312,$C$6,G312/10000,F312,D312,$C$13,$C$14,$C$15,$C$8,,,TRUE,TRUE,FALSE,$C$29:$C$31,$C$33),{1;2;3;4;5})),"")</f>
        <v/>
      </c>
      <c r="U288" s="423"/>
      <c r="V288" s="423"/>
      <c r="W288" s="424"/>
      <c r="X288" s="425"/>
      <c r="Y288" s="426" t="str">
        <f t="shared" si="20"/>
        <v/>
      </c>
      <c r="Z288" s="427" t="str">
        <f t="shared" si="21"/>
        <v/>
      </c>
      <c r="AA288" s="426" t="str">
        <f t="shared" si="22"/>
        <v/>
      </c>
      <c r="AB288" s="428" t="str">
        <f t="shared" si="23"/>
        <v/>
      </c>
      <c r="AC288" s="427" t="str">
        <f t="shared" si="24"/>
        <v/>
      </c>
      <c r="AD288" s="227"/>
    </row>
    <row r="289" spans="1:30" customFormat="1" ht="15">
      <c r="A289" s="227"/>
      <c r="B289" s="276">
        <v>251</v>
      </c>
      <c r="C289" s="254"/>
      <c r="D289" s="255"/>
      <c r="E289" s="247"/>
      <c r="F289" s="232"/>
      <c r="G289" s="239"/>
      <c r="H289" s="386">
        <v>275</v>
      </c>
      <c r="I289" s="404"/>
      <c r="J289" s="404"/>
      <c r="K289" s="413"/>
      <c r="L289" s="413"/>
      <c r="M289" s="413"/>
      <c r="N289" s="413"/>
      <c r="O289" s="413"/>
      <c r="P289" s="413"/>
      <c r="Q289" s="413"/>
      <c r="R289" s="452"/>
      <c r="S289" s="443"/>
      <c r="T289" s="422" t="str" cm="1">
        <f t="array" ref="T289">IF(AND($U$12,B313&lt;=$C$17,C313&lt;&gt;""),TRANSPOSE(INDEX(getcds(C313,$C$6,G313/10000,F313,D313,$C$13,$C$14,$C$15,$C$8,,,TRUE,TRUE,FALSE,$C$29:$C$31,$C$33),{1;2;3;4;5})),"")</f>
        <v/>
      </c>
      <c r="U289" s="423"/>
      <c r="V289" s="423"/>
      <c r="W289" s="424"/>
      <c r="X289" s="425"/>
      <c r="Y289" s="426" t="str">
        <f t="shared" si="20"/>
        <v/>
      </c>
      <c r="Z289" s="427" t="str">
        <f t="shared" si="21"/>
        <v/>
      </c>
      <c r="AA289" s="426" t="str">
        <f t="shared" si="22"/>
        <v/>
      </c>
      <c r="AB289" s="428" t="str">
        <f t="shared" si="23"/>
        <v/>
      </c>
      <c r="AC289" s="427" t="str">
        <f t="shared" si="24"/>
        <v/>
      </c>
      <c r="AD289" s="227"/>
    </row>
    <row r="290" spans="1:30" customFormat="1" ht="15">
      <c r="A290" s="227"/>
      <c r="B290" s="276">
        <v>252</v>
      </c>
      <c r="C290" s="254"/>
      <c r="D290" s="255"/>
      <c r="E290" s="247"/>
      <c r="F290" s="232"/>
      <c r="G290" s="239"/>
      <c r="H290" s="386">
        <v>276</v>
      </c>
      <c r="I290" s="404"/>
      <c r="J290" s="404"/>
      <c r="K290" s="413"/>
      <c r="L290" s="413"/>
      <c r="M290" s="413"/>
      <c r="N290" s="413"/>
      <c r="O290" s="413"/>
      <c r="P290" s="413"/>
      <c r="Q290" s="413"/>
      <c r="R290" s="452"/>
      <c r="S290" s="443"/>
      <c r="T290" s="422" t="str" cm="1">
        <f t="array" ref="T290">IF(AND($U$12,B314&lt;=$C$17,C314&lt;&gt;""),TRANSPOSE(INDEX(getcds(C314,$C$6,G314/10000,F314,D314,$C$13,$C$14,$C$15,$C$8,,,TRUE,TRUE,FALSE,$C$29:$C$31,$C$33),{1;2;3;4;5})),"")</f>
        <v/>
      </c>
      <c r="U290" s="423"/>
      <c r="V290" s="423"/>
      <c r="W290" s="424"/>
      <c r="X290" s="425"/>
      <c r="Y290" s="426" t="str">
        <f t="shared" si="20"/>
        <v/>
      </c>
      <c r="Z290" s="427" t="str">
        <f t="shared" si="21"/>
        <v/>
      </c>
      <c r="AA290" s="426" t="str">
        <f t="shared" si="22"/>
        <v/>
      </c>
      <c r="AB290" s="428" t="str">
        <f t="shared" si="23"/>
        <v/>
      </c>
      <c r="AC290" s="427" t="str">
        <f t="shared" si="24"/>
        <v/>
      </c>
      <c r="AD290" s="227"/>
    </row>
    <row r="291" spans="1:30" customFormat="1" ht="15">
      <c r="A291" s="227"/>
      <c r="B291" s="276">
        <v>253</v>
      </c>
      <c r="C291" s="254"/>
      <c r="D291" s="255"/>
      <c r="E291" s="247"/>
      <c r="F291" s="232"/>
      <c r="G291" s="239"/>
      <c r="H291" s="386">
        <v>277</v>
      </c>
      <c r="I291" s="404"/>
      <c r="J291" s="404"/>
      <c r="K291" s="413"/>
      <c r="L291" s="413"/>
      <c r="M291" s="413"/>
      <c r="N291" s="413"/>
      <c r="O291" s="413"/>
      <c r="P291" s="413"/>
      <c r="Q291" s="413"/>
      <c r="R291" s="452"/>
      <c r="S291" s="443"/>
      <c r="T291" s="422" t="str" cm="1">
        <f t="array" ref="T291">IF(AND($U$12,B315&lt;=$C$17,C315&lt;&gt;""),TRANSPOSE(INDEX(getcds(C315,$C$6,G315/10000,F315,D315,$C$13,$C$14,$C$15,$C$8,,,TRUE,TRUE,FALSE,$C$29:$C$31,$C$33),{1;2;3;4;5})),"")</f>
        <v/>
      </c>
      <c r="U291" s="423"/>
      <c r="V291" s="423"/>
      <c r="W291" s="424"/>
      <c r="X291" s="425"/>
      <c r="Y291" s="426" t="str">
        <f t="shared" si="20"/>
        <v/>
      </c>
      <c r="Z291" s="427" t="str">
        <f t="shared" si="21"/>
        <v/>
      </c>
      <c r="AA291" s="426" t="str">
        <f t="shared" si="22"/>
        <v/>
      </c>
      <c r="AB291" s="428" t="str">
        <f t="shared" si="23"/>
        <v/>
      </c>
      <c r="AC291" s="427" t="str">
        <f t="shared" si="24"/>
        <v/>
      </c>
      <c r="AD291" s="227"/>
    </row>
    <row r="292" spans="1:30" customFormat="1" ht="15">
      <c r="A292" s="227"/>
      <c r="B292" s="276">
        <v>254</v>
      </c>
      <c r="C292" s="254"/>
      <c r="D292" s="255"/>
      <c r="E292" s="247"/>
      <c r="F292" s="232"/>
      <c r="G292" s="239"/>
      <c r="H292" s="386">
        <v>278</v>
      </c>
      <c r="I292" s="404"/>
      <c r="J292" s="404"/>
      <c r="K292" s="413"/>
      <c r="L292" s="413"/>
      <c r="M292" s="413"/>
      <c r="N292" s="413"/>
      <c r="O292" s="413"/>
      <c r="P292" s="413"/>
      <c r="Q292" s="413"/>
      <c r="R292" s="452"/>
      <c r="S292" s="443"/>
      <c r="T292" s="422" t="str" cm="1">
        <f t="array" ref="T292">IF(AND($U$12,B316&lt;=$C$17,C316&lt;&gt;""),TRANSPOSE(INDEX(getcds(C316,$C$6,G316/10000,F316,D316,$C$13,$C$14,$C$15,$C$8,,,TRUE,TRUE,FALSE,$C$29:$C$31,$C$33),{1;2;3;4;5})),"")</f>
        <v/>
      </c>
      <c r="U292" s="423"/>
      <c r="V292" s="423"/>
      <c r="W292" s="424"/>
      <c r="X292" s="425"/>
      <c r="Y292" s="426" t="str">
        <f t="shared" si="20"/>
        <v/>
      </c>
      <c r="Z292" s="427" t="str">
        <f t="shared" si="21"/>
        <v/>
      </c>
      <c r="AA292" s="426" t="str">
        <f t="shared" si="22"/>
        <v/>
      </c>
      <c r="AB292" s="428" t="str">
        <f t="shared" si="23"/>
        <v/>
      </c>
      <c r="AC292" s="427" t="str">
        <f t="shared" si="24"/>
        <v/>
      </c>
      <c r="AD292" s="227"/>
    </row>
    <row r="293" spans="1:30" customFormat="1" ht="15">
      <c r="A293" s="227"/>
      <c r="B293" s="276">
        <v>255</v>
      </c>
      <c r="C293" s="254"/>
      <c r="D293" s="255"/>
      <c r="E293" s="247"/>
      <c r="F293" s="232"/>
      <c r="G293" s="239"/>
      <c r="H293" s="386">
        <v>279</v>
      </c>
      <c r="I293" s="404"/>
      <c r="J293" s="404"/>
      <c r="K293" s="413"/>
      <c r="L293" s="413"/>
      <c r="M293" s="413"/>
      <c r="N293" s="413"/>
      <c r="O293" s="413"/>
      <c r="P293" s="413"/>
      <c r="Q293" s="413"/>
      <c r="R293" s="452"/>
      <c r="S293" s="443"/>
      <c r="T293" s="422" t="str" cm="1">
        <f t="array" ref="T293">IF(AND($U$12,B317&lt;=$C$17,C317&lt;&gt;""),TRANSPOSE(INDEX(getcds(C317,$C$6,G317/10000,F317,D317,$C$13,$C$14,$C$15,$C$8,,,TRUE,TRUE,FALSE,$C$29:$C$31,$C$33),{1;2;3;4;5})),"")</f>
        <v/>
      </c>
      <c r="U293" s="423"/>
      <c r="V293" s="423"/>
      <c r="W293" s="424"/>
      <c r="X293" s="425"/>
      <c r="Y293" s="426" t="str">
        <f t="shared" si="20"/>
        <v/>
      </c>
      <c r="Z293" s="427" t="str">
        <f t="shared" si="21"/>
        <v/>
      </c>
      <c r="AA293" s="426" t="str">
        <f t="shared" si="22"/>
        <v/>
      </c>
      <c r="AB293" s="428" t="str">
        <f t="shared" si="23"/>
        <v/>
      </c>
      <c r="AC293" s="427" t="str">
        <f t="shared" si="24"/>
        <v/>
      </c>
      <c r="AD293" s="227"/>
    </row>
    <row r="294" spans="1:30" customFormat="1" ht="15">
      <c r="A294" s="227"/>
      <c r="B294" s="276">
        <v>256</v>
      </c>
      <c r="C294" s="254"/>
      <c r="D294" s="255"/>
      <c r="E294" s="247"/>
      <c r="F294" s="232"/>
      <c r="G294" s="239"/>
      <c r="H294" s="386">
        <v>280</v>
      </c>
      <c r="I294" s="404"/>
      <c r="J294" s="404"/>
      <c r="K294" s="413"/>
      <c r="L294" s="413"/>
      <c r="M294" s="413"/>
      <c r="N294" s="413"/>
      <c r="O294" s="413"/>
      <c r="P294" s="413"/>
      <c r="Q294" s="413"/>
      <c r="R294" s="452"/>
      <c r="S294" s="443"/>
      <c r="T294" s="422" t="str" cm="1">
        <f t="array" ref="T294">IF(AND($U$12,B318&lt;=$C$17,C318&lt;&gt;""),TRANSPOSE(INDEX(getcds(C318,$C$6,G318/10000,F318,D318,$C$13,$C$14,$C$15,$C$8,,,TRUE,TRUE,FALSE,$C$29:$C$31,$C$33),{1;2;3;4;5})),"")</f>
        <v/>
      </c>
      <c r="U294" s="423"/>
      <c r="V294" s="423"/>
      <c r="W294" s="424"/>
      <c r="X294" s="425"/>
      <c r="Y294" s="426" t="str">
        <f t="shared" si="20"/>
        <v/>
      </c>
      <c r="Z294" s="427" t="str">
        <f t="shared" si="21"/>
        <v/>
      </c>
      <c r="AA294" s="426" t="str">
        <f t="shared" si="22"/>
        <v/>
      </c>
      <c r="AB294" s="428" t="str">
        <f t="shared" si="23"/>
        <v/>
      </c>
      <c r="AC294" s="427" t="str">
        <f t="shared" si="24"/>
        <v/>
      </c>
      <c r="AD294" s="227"/>
    </row>
    <row r="295" spans="1:30" customFormat="1" ht="15">
      <c r="A295" s="227"/>
      <c r="B295" s="276">
        <v>257</v>
      </c>
      <c r="C295" s="254"/>
      <c r="D295" s="255"/>
      <c r="E295" s="247"/>
      <c r="F295" s="232"/>
      <c r="G295" s="239"/>
      <c r="H295" s="386">
        <v>281</v>
      </c>
      <c r="I295" s="404"/>
      <c r="J295" s="404"/>
      <c r="K295" s="413"/>
      <c r="L295" s="413"/>
      <c r="M295" s="413"/>
      <c r="N295" s="413"/>
      <c r="O295" s="413"/>
      <c r="P295" s="413"/>
      <c r="Q295" s="413"/>
      <c r="R295" s="452"/>
      <c r="S295" s="443"/>
      <c r="T295" s="422" t="str" cm="1">
        <f t="array" ref="T295">IF(AND($U$12,B319&lt;=$C$17,C319&lt;&gt;""),TRANSPOSE(INDEX(getcds(C319,$C$6,G319/10000,F319,D319,$C$13,$C$14,$C$15,$C$8,,,TRUE,TRUE,FALSE,$C$29:$C$31,$C$33),{1;2;3;4;5})),"")</f>
        <v/>
      </c>
      <c r="U295" s="423"/>
      <c r="V295" s="423"/>
      <c r="W295" s="424"/>
      <c r="X295" s="425"/>
      <c r="Y295" s="426" t="str">
        <f t="shared" si="20"/>
        <v/>
      </c>
      <c r="Z295" s="427" t="str">
        <f t="shared" si="21"/>
        <v/>
      </c>
      <c r="AA295" s="426" t="str">
        <f t="shared" si="22"/>
        <v/>
      </c>
      <c r="AB295" s="428" t="str">
        <f t="shared" si="23"/>
        <v/>
      </c>
      <c r="AC295" s="427" t="str">
        <f t="shared" si="24"/>
        <v/>
      </c>
      <c r="AD295" s="227"/>
    </row>
    <row r="296" spans="1:30" customFormat="1" ht="15">
      <c r="A296" s="227"/>
      <c r="B296" s="276">
        <v>258</v>
      </c>
      <c r="C296" s="254"/>
      <c r="D296" s="255"/>
      <c r="E296" s="247"/>
      <c r="F296" s="232"/>
      <c r="G296" s="239"/>
      <c r="H296" s="386">
        <v>282</v>
      </c>
      <c r="I296" s="404"/>
      <c r="J296" s="404"/>
      <c r="K296" s="413"/>
      <c r="L296" s="413"/>
      <c r="M296" s="413"/>
      <c r="N296" s="413"/>
      <c r="O296" s="413"/>
      <c r="P296" s="413"/>
      <c r="Q296" s="413"/>
      <c r="R296" s="452"/>
      <c r="S296" s="443"/>
      <c r="T296" s="422" t="str" cm="1">
        <f t="array" ref="T296">IF(AND($U$12,B320&lt;=$C$17,C320&lt;&gt;""),TRANSPOSE(INDEX(getcds(C320,$C$6,G320/10000,F320,D320,$C$13,$C$14,$C$15,$C$8,,,TRUE,TRUE,FALSE,$C$29:$C$31,$C$33),{1;2;3;4;5})),"")</f>
        <v/>
      </c>
      <c r="U296" s="423"/>
      <c r="V296" s="423"/>
      <c r="W296" s="424"/>
      <c r="X296" s="425"/>
      <c r="Y296" s="426" t="str">
        <f t="shared" si="20"/>
        <v/>
      </c>
      <c r="Z296" s="427" t="str">
        <f t="shared" si="21"/>
        <v/>
      </c>
      <c r="AA296" s="426" t="str">
        <f t="shared" si="22"/>
        <v/>
      </c>
      <c r="AB296" s="428" t="str">
        <f t="shared" si="23"/>
        <v/>
      </c>
      <c r="AC296" s="427" t="str">
        <f t="shared" si="24"/>
        <v/>
      </c>
      <c r="AD296" s="227"/>
    </row>
    <row r="297" spans="1:30" customFormat="1" ht="15">
      <c r="A297" s="227"/>
      <c r="B297" s="276">
        <v>259</v>
      </c>
      <c r="C297" s="254"/>
      <c r="D297" s="255"/>
      <c r="E297" s="247"/>
      <c r="F297" s="232"/>
      <c r="G297" s="239"/>
      <c r="H297" s="386">
        <v>283</v>
      </c>
      <c r="I297" s="404"/>
      <c r="J297" s="404"/>
      <c r="K297" s="413"/>
      <c r="L297" s="413"/>
      <c r="M297" s="413"/>
      <c r="N297" s="413"/>
      <c r="O297" s="413"/>
      <c r="P297" s="413"/>
      <c r="Q297" s="413"/>
      <c r="R297" s="452"/>
      <c r="S297" s="443"/>
      <c r="T297" s="422" t="str" cm="1">
        <f t="array" ref="T297">IF(AND($U$12,B321&lt;=$C$17,C321&lt;&gt;""),TRANSPOSE(INDEX(getcds(C321,$C$6,G321/10000,F321,D321,$C$13,$C$14,$C$15,$C$8,,,TRUE,TRUE,FALSE,$C$29:$C$31,$C$33),{1;2;3;4;5})),"")</f>
        <v/>
      </c>
      <c r="U297" s="423"/>
      <c r="V297" s="423"/>
      <c r="W297" s="424"/>
      <c r="X297" s="425"/>
      <c r="Y297" s="426" t="str">
        <f t="shared" si="20"/>
        <v/>
      </c>
      <c r="Z297" s="427" t="str">
        <f t="shared" si="21"/>
        <v/>
      </c>
      <c r="AA297" s="426" t="str">
        <f t="shared" si="22"/>
        <v/>
      </c>
      <c r="AB297" s="428" t="str">
        <f t="shared" si="23"/>
        <v/>
      </c>
      <c r="AC297" s="427" t="str">
        <f t="shared" si="24"/>
        <v/>
      </c>
      <c r="AD297" s="227"/>
    </row>
    <row r="298" spans="1:30" customFormat="1" ht="15">
      <c r="A298" s="227"/>
      <c r="B298" s="276">
        <v>260</v>
      </c>
      <c r="C298" s="254"/>
      <c r="D298" s="255"/>
      <c r="E298" s="247"/>
      <c r="F298" s="232"/>
      <c r="G298" s="239"/>
      <c r="H298" s="386">
        <v>284</v>
      </c>
      <c r="I298" s="404"/>
      <c r="J298" s="404"/>
      <c r="K298" s="413"/>
      <c r="L298" s="413"/>
      <c r="M298" s="413"/>
      <c r="N298" s="413"/>
      <c r="O298" s="413"/>
      <c r="P298" s="413"/>
      <c r="Q298" s="413"/>
      <c r="R298" s="452"/>
      <c r="S298" s="443"/>
      <c r="T298" s="422" t="str" cm="1">
        <f t="array" ref="T298">IF(AND($U$12,B322&lt;=$C$17,C322&lt;&gt;""),TRANSPOSE(INDEX(getcds(C322,$C$6,G322/10000,F322,D322,$C$13,$C$14,$C$15,$C$8,,,TRUE,TRUE,FALSE,$C$29:$C$31,$C$33),{1;2;3;4;5})),"")</f>
        <v/>
      </c>
      <c r="U298" s="423"/>
      <c r="V298" s="423"/>
      <c r="W298" s="424"/>
      <c r="X298" s="425"/>
      <c r="Y298" s="426" t="str">
        <f t="shared" si="20"/>
        <v/>
      </c>
      <c r="Z298" s="427" t="str">
        <f t="shared" si="21"/>
        <v/>
      </c>
      <c r="AA298" s="426" t="str">
        <f t="shared" si="22"/>
        <v/>
      </c>
      <c r="AB298" s="428" t="str">
        <f t="shared" si="23"/>
        <v/>
      </c>
      <c r="AC298" s="427" t="str">
        <f t="shared" si="24"/>
        <v/>
      </c>
      <c r="AD298" s="227"/>
    </row>
    <row r="299" spans="1:30" customFormat="1" ht="15">
      <c r="A299" s="227"/>
      <c r="B299" s="276">
        <v>261</v>
      </c>
      <c r="C299" s="254"/>
      <c r="D299" s="255"/>
      <c r="E299" s="247"/>
      <c r="F299" s="232"/>
      <c r="G299" s="239"/>
      <c r="H299" s="386">
        <v>285</v>
      </c>
      <c r="I299" s="404"/>
      <c r="J299" s="404"/>
      <c r="K299" s="413"/>
      <c r="L299" s="413"/>
      <c r="M299" s="413"/>
      <c r="N299" s="413"/>
      <c r="O299" s="413"/>
      <c r="P299" s="413"/>
      <c r="Q299" s="413"/>
      <c r="R299" s="452"/>
      <c r="S299" s="443"/>
      <c r="T299" s="422" t="str" cm="1">
        <f t="array" ref="T299">IF(AND($U$12,B323&lt;=$C$17,C323&lt;&gt;""),TRANSPOSE(INDEX(getcds(C323,$C$6,G323/10000,F323,D323,$C$13,$C$14,$C$15,$C$8,,,TRUE,TRUE,FALSE,$C$29:$C$31,$C$33),{1;2;3;4;5})),"")</f>
        <v/>
      </c>
      <c r="U299" s="423"/>
      <c r="V299" s="423"/>
      <c r="W299" s="424"/>
      <c r="X299" s="425"/>
      <c r="Y299" s="426" t="str">
        <f t="shared" si="20"/>
        <v/>
      </c>
      <c r="Z299" s="427" t="str">
        <f t="shared" si="21"/>
        <v/>
      </c>
      <c r="AA299" s="426" t="str">
        <f t="shared" si="22"/>
        <v/>
      </c>
      <c r="AB299" s="428" t="str">
        <f t="shared" si="23"/>
        <v/>
      </c>
      <c r="AC299" s="427" t="str">
        <f t="shared" si="24"/>
        <v/>
      </c>
      <c r="AD299" s="227"/>
    </row>
    <row r="300" spans="1:30" customFormat="1" ht="15">
      <c r="A300" s="227"/>
      <c r="B300" s="276">
        <v>262</v>
      </c>
      <c r="C300" s="254"/>
      <c r="D300" s="255"/>
      <c r="E300" s="247"/>
      <c r="F300" s="232"/>
      <c r="G300" s="239"/>
      <c r="H300" s="386">
        <v>286</v>
      </c>
      <c r="I300" s="404"/>
      <c r="J300" s="404"/>
      <c r="K300" s="413"/>
      <c r="L300" s="413"/>
      <c r="M300" s="413"/>
      <c r="N300" s="413"/>
      <c r="O300" s="413"/>
      <c r="P300" s="413"/>
      <c r="Q300" s="413"/>
      <c r="R300" s="452"/>
      <c r="S300" s="443"/>
      <c r="T300" s="422" t="str" cm="1">
        <f t="array" ref="T300">IF(AND($U$12,B324&lt;=$C$17,C324&lt;&gt;""),TRANSPOSE(INDEX(getcds(C324,$C$6,G324/10000,F324,D324,$C$13,$C$14,$C$15,$C$8,,,TRUE,TRUE,FALSE,$C$29:$C$31,$C$33),{1;2;3;4;5})),"")</f>
        <v/>
      </c>
      <c r="U300" s="423"/>
      <c r="V300" s="423"/>
      <c r="W300" s="424"/>
      <c r="X300" s="425"/>
      <c r="Y300" s="426" t="str">
        <f t="shared" si="20"/>
        <v/>
      </c>
      <c r="Z300" s="427" t="str">
        <f t="shared" si="21"/>
        <v/>
      </c>
      <c r="AA300" s="426" t="str">
        <f t="shared" si="22"/>
        <v/>
      </c>
      <c r="AB300" s="428" t="str">
        <f t="shared" si="23"/>
        <v/>
      </c>
      <c r="AC300" s="427" t="str">
        <f t="shared" si="24"/>
        <v/>
      </c>
      <c r="AD300" s="227"/>
    </row>
    <row r="301" spans="1:30" customFormat="1" ht="15">
      <c r="A301" s="227"/>
      <c r="B301" s="276">
        <v>263</v>
      </c>
      <c r="C301" s="254"/>
      <c r="D301" s="255"/>
      <c r="E301" s="247"/>
      <c r="F301" s="232"/>
      <c r="G301" s="239"/>
      <c r="H301" s="386">
        <v>287</v>
      </c>
      <c r="I301" s="404"/>
      <c r="J301" s="404"/>
      <c r="K301" s="413"/>
      <c r="L301" s="413"/>
      <c r="M301" s="413"/>
      <c r="N301" s="413"/>
      <c r="O301" s="413"/>
      <c r="P301" s="413"/>
      <c r="Q301" s="413"/>
      <c r="R301" s="452"/>
      <c r="S301" s="443"/>
      <c r="T301" s="422" t="str" cm="1">
        <f t="array" ref="T301">IF(AND($U$12,B325&lt;=$C$17,C325&lt;&gt;""),TRANSPOSE(INDEX(getcds(C325,$C$6,G325/10000,F325,D325,$C$13,$C$14,$C$15,$C$8,,,TRUE,TRUE,FALSE,$C$29:$C$31,$C$33),{1;2;3;4;5})),"")</f>
        <v/>
      </c>
      <c r="U301" s="423"/>
      <c r="V301" s="423"/>
      <c r="W301" s="424"/>
      <c r="X301" s="425"/>
      <c r="Y301" s="426" t="str">
        <f t="shared" si="20"/>
        <v/>
      </c>
      <c r="Z301" s="427" t="str">
        <f t="shared" si="21"/>
        <v/>
      </c>
      <c r="AA301" s="426" t="str">
        <f t="shared" si="22"/>
        <v/>
      </c>
      <c r="AB301" s="428" t="str">
        <f t="shared" si="23"/>
        <v/>
      </c>
      <c r="AC301" s="427" t="str">
        <f t="shared" si="24"/>
        <v/>
      </c>
      <c r="AD301" s="227"/>
    </row>
    <row r="302" spans="1:30" customFormat="1" ht="15">
      <c r="A302" s="227"/>
      <c r="B302" s="276">
        <v>264</v>
      </c>
      <c r="C302" s="254"/>
      <c r="D302" s="255"/>
      <c r="E302" s="247"/>
      <c r="F302" s="232"/>
      <c r="G302" s="239"/>
      <c r="H302" s="386">
        <v>288</v>
      </c>
      <c r="I302" s="404"/>
      <c r="J302" s="404"/>
      <c r="K302" s="413"/>
      <c r="L302" s="413"/>
      <c r="M302" s="413"/>
      <c r="N302" s="413"/>
      <c r="O302" s="413"/>
      <c r="P302" s="413"/>
      <c r="Q302" s="413"/>
      <c r="R302" s="452"/>
      <c r="S302" s="443"/>
      <c r="T302" s="422" t="str" cm="1">
        <f t="array" ref="T302">IF(AND($U$12,B326&lt;=$C$17,C326&lt;&gt;""),TRANSPOSE(INDEX(getcds(C326,$C$6,G326/10000,F326,D326,$C$13,$C$14,$C$15,$C$8,,,TRUE,TRUE,FALSE,$C$29:$C$31,$C$33),{1;2;3;4;5})),"")</f>
        <v/>
      </c>
      <c r="U302" s="423"/>
      <c r="V302" s="423"/>
      <c r="W302" s="424"/>
      <c r="X302" s="425"/>
      <c r="Y302" s="426" t="str">
        <f t="shared" si="20"/>
        <v/>
      </c>
      <c r="Z302" s="427" t="str">
        <f t="shared" si="21"/>
        <v/>
      </c>
      <c r="AA302" s="426" t="str">
        <f t="shared" si="22"/>
        <v/>
      </c>
      <c r="AB302" s="428" t="str">
        <f t="shared" si="23"/>
        <v/>
      </c>
      <c r="AC302" s="427" t="str">
        <f t="shared" si="24"/>
        <v/>
      </c>
      <c r="AD302" s="227"/>
    </row>
    <row r="303" spans="1:30" customFormat="1" ht="15">
      <c r="A303" s="227"/>
      <c r="B303" s="276">
        <v>265</v>
      </c>
      <c r="C303" s="254"/>
      <c r="D303" s="255"/>
      <c r="E303" s="247"/>
      <c r="F303" s="232"/>
      <c r="G303" s="239"/>
      <c r="H303" s="386">
        <v>289</v>
      </c>
      <c r="I303" s="404"/>
      <c r="J303" s="404"/>
      <c r="K303" s="413"/>
      <c r="L303" s="413"/>
      <c r="M303" s="413"/>
      <c r="N303" s="413"/>
      <c r="O303" s="413"/>
      <c r="P303" s="413"/>
      <c r="Q303" s="413"/>
      <c r="R303" s="452"/>
      <c r="S303" s="443"/>
      <c r="T303" s="422" t="str" cm="1">
        <f t="array" ref="T303">IF(AND($U$12,B327&lt;=$C$17,C327&lt;&gt;""),TRANSPOSE(INDEX(getcds(C327,$C$6,G327/10000,F327,D327,$C$13,$C$14,$C$15,$C$8,,,TRUE,TRUE,FALSE,$C$29:$C$31,$C$33),{1;2;3;4;5})),"")</f>
        <v/>
      </c>
      <c r="U303" s="423"/>
      <c r="V303" s="423"/>
      <c r="W303" s="424"/>
      <c r="X303" s="425"/>
      <c r="Y303" s="426" t="str">
        <f t="shared" si="20"/>
        <v/>
      </c>
      <c r="Z303" s="427" t="str">
        <f t="shared" si="21"/>
        <v/>
      </c>
      <c r="AA303" s="426" t="str">
        <f t="shared" si="22"/>
        <v/>
      </c>
      <c r="AB303" s="428" t="str">
        <f t="shared" si="23"/>
        <v/>
      </c>
      <c r="AC303" s="427" t="str">
        <f t="shared" si="24"/>
        <v/>
      </c>
      <c r="AD303" s="227"/>
    </row>
    <row r="304" spans="1:30" customFormat="1" ht="15">
      <c r="A304" s="227"/>
      <c r="B304" s="276">
        <v>266</v>
      </c>
      <c r="C304" s="254"/>
      <c r="D304" s="255"/>
      <c r="E304" s="247"/>
      <c r="F304" s="232"/>
      <c r="G304" s="239"/>
      <c r="H304" s="386">
        <v>290</v>
      </c>
      <c r="I304" s="404"/>
      <c r="J304" s="404"/>
      <c r="K304" s="413"/>
      <c r="L304" s="413"/>
      <c r="M304" s="413"/>
      <c r="N304" s="413"/>
      <c r="O304" s="413"/>
      <c r="P304" s="413"/>
      <c r="Q304" s="413"/>
      <c r="R304" s="452"/>
      <c r="S304" s="443"/>
      <c r="T304" s="422" t="str" cm="1">
        <f t="array" ref="T304">IF(AND($U$12,B328&lt;=$C$17,C328&lt;&gt;""),TRANSPOSE(INDEX(getcds(C328,$C$6,G328/10000,F328,D328,$C$13,$C$14,$C$15,$C$8,,,TRUE,TRUE,FALSE,$C$29:$C$31,$C$33),{1;2;3;4;5})),"")</f>
        <v/>
      </c>
      <c r="U304" s="423"/>
      <c r="V304" s="423"/>
      <c r="W304" s="424"/>
      <c r="X304" s="425"/>
      <c r="Y304" s="426" t="str">
        <f t="shared" si="20"/>
        <v/>
      </c>
      <c r="Z304" s="427" t="str">
        <f t="shared" si="21"/>
        <v/>
      </c>
      <c r="AA304" s="426" t="str">
        <f t="shared" si="22"/>
        <v/>
      </c>
      <c r="AB304" s="428" t="str">
        <f t="shared" si="23"/>
        <v/>
      </c>
      <c r="AC304" s="427" t="str">
        <f t="shared" si="24"/>
        <v/>
      </c>
      <c r="AD304" s="227"/>
    </row>
    <row r="305" spans="1:30" customFormat="1" ht="15">
      <c r="A305" s="227"/>
      <c r="B305" s="276">
        <v>267</v>
      </c>
      <c r="C305" s="254"/>
      <c r="D305" s="255"/>
      <c r="E305" s="247"/>
      <c r="F305" s="232"/>
      <c r="G305" s="239"/>
      <c r="H305" s="386">
        <v>291</v>
      </c>
      <c r="I305" s="404"/>
      <c r="J305" s="404"/>
      <c r="K305" s="413"/>
      <c r="L305" s="413"/>
      <c r="M305" s="413"/>
      <c r="N305" s="413"/>
      <c r="O305" s="413"/>
      <c r="P305" s="413"/>
      <c r="Q305" s="413"/>
      <c r="R305" s="452"/>
      <c r="S305" s="443"/>
      <c r="T305" s="422" t="str" cm="1">
        <f t="array" ref="T305">IF(AND($U$12,B329&lt;=$C$17,C329&lt;&gt;""),TRANSPOSE(INDEX(getcds(C329,$C$6,G329/10000,F329,D329,$C$13,$C$14,$C$15,$C$8,,,TRUE,TRUE,FALSE,$C$29:$C$31,$C$33),{1;2;3;4;5})),"")</f>
        <v/>
      </c>
      <c r="U305" s="423"/>
      <c r="V305" s="423"/>
      <c r="W305" s="424"/>
      <c r="X305" s="425"/>
      <c r="Y305" s="426" t="str">
        <f t="shared" si="20"/>
        <v/>
      </c>
      <c r="Z305" s="427" t="str">
        <f t="shared" si="21"/>
        <v/>
      </c>
      <c r="AA305" s="426" t="str">
        <f t="shared" si="22"/>
        <v/>
      </c>
      <c r="AB305" s="428" t="str">
        <f t="shared" si="23"/>
        <v/>
      </c>
      <c r="AC305" s="427" t="str">
        <f t="shared" si="24"/>
        <v/>
      </c>
      <c r="AD305" s="227"/>
    </row>
    <row r="306" spans="1:30" customFormat="1" ht="15">
      <c r="A306" s="227"/>
      <c r="B306" s="276">
        <v>268</v>
      </c>
      <c r="C306" s="254"/>
      <c r="D306" s="255"/>
      <c r="E306" s="247"/>
      <c r="F306" s="232"/>
      <c r="G306" s="239"/>
      <c r="H306" s="386">
        <v>292</v>
      </c>
      <c r="I306" s="404"/>
      <c r="J306" s="404"/>
      <c r="K306" s="413"/>
      <c r="L306" s="413"/>
      <c r="M306" s="413"/>
      <c r="N306" s="413"/>
      <c r="O306" s="413"/>
      <c r="P306" s="413"/>
      <c r="Q306" s="413"/>
      <c r="R306" s="452"/>
      <c r="S306" s="443"/>
      <c r="T306" s="422" t="str" cm="1">
        <f t="array" ref="T306">IF(AND($U$12,B330&lt;=$C$17,C330&lt;&gt;""),TRANSPOSE(INDEX(getcds(C330,$C$6,G330/10000,F330,D330,$C$13,$C$14,$C$15,$C$8,,,TRUE,TRUE,FALSE,$C$29:$C$31,$C$33),{1;2;3;4;5})),"")</f>
        <v/>
      </c>
      <c r="U306" s="423"/>
      <c r="V306" s="423"/>
      <c r="W306" s="424"/>
      <c r="X306" s="425"/>
      <c r="Y306" s="426" t="str">
        <f t="shared" si="20"/>
        <v/>
      </c>
      <c r="Z306" s="427" t="str">
        <f t="shared" si="21"/>
        <v/>
      </c>
      <c r="AA306" s="426" t="str">
        <f t="shared" si="22"/>
        <v/>
      </c>
      <c r="AB306" s="428" t="str">
        <f t="shared" si="23"/>
        <v/>
      </c>
      <c r="AC306" s="427" t="str">
        <f t="shared" si="24"/>
        <v/>
      </c>
      <c r="AD306" s="227"/>
    </row>
    <row r="307" spans="1:30" customFormat="1" ht="15">
      <c r="A307" s="227"/>
      <c r="B307" s="276">
        <v>269</v>
      </c>
      <c r="C307" s="254"/>
      <c r="D307" s="255"/>
      <c r="E307" s="247"/>
      <c r="F307" s="232"/>
      <c r="G307" s="239"/>
      <c r="H307" s="386">
        <v>293</v>
      </c>
      <c r="I307" s="404"/>
      <c r="J307" s="404"/>
      <c r="K307" s="413"/>
      <c r="L307" s="413"/>
      <c r="M307" s="413"/>
      <c r="N307" s="413"/>
      <c r="O307" s="413"/>
      <c r="P307" s="413"/>
      <c r="Q307" s="413"/>
      <c r="R307" s="452"/>
      <c r="S307" s="443"/>
      <c r="T307" s="422" t="str" cm="1">
        <f t="array" ref="T307">IF(AND($U$12,B331&lt;=$C$17,C331&lt;&gt;""),TRANSPOSE(INDEX(getcds(C331,$C$6,G331/10000,F331,D331,$C$13,$C$14,$C$15,$C$8,,,TRUE,TRUE,FALSE,$C$29:$C$31,$C$33),{1;2;3;4;5})),"")</f>
        <v/>
      </c>
      <c r="U307" s="423"/>
      <c r="V307" s="423"/>
      <c r="W307" s="424"/>
      <c r="X307" s="425"/>
      <c r="Y307" s="426" t="str">
        <f t="shared" si="20"/>
        <v/>
      </c>
      <c r="Z307" s="427" t="str">
        <f t="shared" si="21"/>
        <v/>
      </c>
      <c r="AA307" s="426" t="str">
        <f t="shared" si="22"/>
        <v/>
      </c>
      <c r="AB307" s="428" t="str">
        <f t="shared" si="23"/>
        <v/>
      </c>
      <c r="AC307" s="427" t="str">
        <f t="shared" si="24"/>
        <v/>
      </c>
      <c r="AD307" s="227"/>
    </row>
    <row r="308" spans="1:30" customFormat="1" ht="15">
      <c r="A308" s="227"/>
      <c r="B308" s="276">
        <v>270</v>
      </c>
      <c r="C308" s="254"/>
      <c r="D308" s="255"/>
      <c r="E308" s="247"/>
      <c r="F308" s="232"/>
      <c r="G308" s="239"/>
      <c r="H308" s="386">
        <v>294</v>
      </c>
      <c r="I308" s="404"/>
      <c r="J308" s="404"/>
      <c r="K308" s="413"/>
      <c r="L308" s="413"/>
      <c r="M308" s="413"/>
      <c r="N308" s="413"/>
      <c r="O308" s="413"/>
      <c r="P308" s="413"/>
      <c r="Q308" s="413"/>
      <c r="R308" s="452"/>
      <c r="S308" s="443"/>
      <c r="T308" s="422" t="str" cm="1">
        <f t="array" ref="T308">IF(AND($U$12,B332&lt;=$C$17,C332&lt;&gt;""),TRANSPOSE(INDEX(getcds(C332,$C$6,G332/10000,F332,D332,$C$13,$C$14,$C$15,$C$8,,,TRUE,TRUE,FALSE,$C$29:$C$31,$C$33),{1;2;3;4;5})),"")</f>
        <v/>
      </c>
      <c r="U308" s="423"/>
      <c r="V308" s="423"/>
      <c r="W308" s="424"/>
      <c r="X308" s="425"/>
      <c r="Y308" s="426" t="str">
        <f t="shared" si="20"/>
        <v/>
      </c>
      <c r="Z308" s="427" t="str">
        <f t="shared" si="21"/>
        <v/>
      </c>
      <c r="AA308" s="426" t="str">
        <f t="shared" si="22"/>
        <v/>
      </c>
      <c r="AB308" s="428" t="str">
        <f t="shared" si="23"/>
        <v/>
      </c>
      <c r="AC308" s="427" t="str">
        <f t="shared" si="24"/>
        <v/>
      </c>
      <c r="AD308" s="227"/>
    </row>
    <row r="309" spans="1:30" customFormat="1" ht="15">
      <c r="A309" s="227"/>
      <c r="B309" s="276">
        <v>271</v>
      </c>
      <c r="C309" s="254"/>
      <c r="D309" s="255"/>
      <c r="E309" s="247"/>
      <c r="F309" s="232"/>
      <c r="G309" s="239"/>
      <c r="H309" s="386">
        <v>295</v>
      </c>
      <c r="I309" s="404"/>
      <c r="J309" s="404"/>
      <c r="K309" s="413"/>
      <c r="L309" s="413"/>
      <c r="M309" s="413"/>
      <c r="N309" s="413"/>
      <c r="O309" s="413"/>
      <c r="P309" s="413"/>
      <c r="Q309" s="413"/>
      <c r="R309" s="452"/>
      <c r="S309" s="443"/>
      <c r="T309" s="422" t="str" cm="1">
        <f t="array" ref="T309">IF(AND($U$12,B333&lt;=$C$17,C333&lt;&gt;""),TRANSPOSE(INDEX(getcds(C333,$C$6,G333/10000,F333,D333,$C$13,$C$14,$C$15,$C$8,,,TRUE,TRUE,FALSE,$C$29:$C$31,$C$33),{1;2;3;4;5})),"")</f>
        <v/>
      </c>
      <c r="U309" s="423"/>
      <c r="V309" s="423"/>
      <c r="W309" s="424"/>
      <c r="X309" s="425"/>
      <c r="Y309" s="426" t="str">
        <f t="shared" si="20"/>
        <v/>
      </c>
      <c r="Z309" s="427" t="str">
        <f t="shared" si="21"/>
        <v/>
      </c>
      <c r="AA309" s="426" t="str">
        <f t="shared" si="22"/>
        <v/>
      </c>
      <c r="AB309" s="428" t="str">
        <f t="shared" si="23"/>
        <v/>
      </c>
      <c r="AC309" s="427" t="str">
        <f t="shared" si="24"/>
        <v/>
      </c>
      <c r="AD309" s="227"/>
    </row>
    <row r="310" spans="1:30" customFormat="1" ht="15">
      <c r="A310" s="227"/>
      <c r="B310" s="276">
        <v>272</v>
      </c>
      <c r="C310" s="254"/>
      <c r="D310" s="255"/>
      <c r="E310" s="247"/>
      <c r="F310" s="232"/>
      <c r="G310" s="239"/>
      <c r="H310" s="386">
        <v>296</v>
      </c>
      <c r="I310" s="404"/>
      <c r="J310" s="404"/>
      <c r="K310" s="413"/>
      <c r="L310" s="413"/>
      <c r="M310" s="413"/>
      <c r="N310" s="413"/>
      <c r="O310" s="413"/>
      <c r="P310" s="413"/>
      <c r="Q310" s="413"/>
      <c r="R310" s="452"/>
      <c r="S310" s="443"/>
      <c r="T310" s="422" t="str" cm="1">
        <f t="array" ref="T310">IF(AND($U$12,B334&lt;=$C$17,C334&lt;&gt;""),TRANSPOSE(INDEX(getcds(C334,$C$6,G334/10000,F334,D334,$C$13,$C$14,$C$15,$C$8,,,TRUE,TRUE,FALSE,$C$29:$C$31,$C$33),{1;2;3;4;5})),"")</f>
        <v/>
      </c>
      <c r="U310" s="423"/>
      <c r="V310" s="423"/>
      <c r="W310" s="424"/>
      <c r="X310" s="425"/>
      <c r="Y310" s="426" t="str">
        <f t="shared" si="20"/>
        <v/>
      </c>
      <c r="Z310" s="427" t="str">
        <f t="shared" si="21"/>
        <v/>
      </c>
      <c r="AA310" s="426" t="str">
        <f t="shared" si="22"/>
        <v/>
      </c>
      <c r="AB310" s="428" t="str">
        <f t="shared" si="23"/>
        <v/>
      </c>
      <c r="AC310" s="427" t="str">
        <f t="shared" si="24"/>
        <v/>
      </c>
      <c r="AD310" s="227"/>
    </row>
    <row r="311" spans="1:30" customFormat="1" ht="15">
      <c r="A311" s="227"/>
      <c r="B311" s="276">
        <v>273</v>
      </c>
      <c r="C311" s="254"/>
      <c r="D311" s="255"/>
      <c r="E311" s="247"/>
      <c r="F311" s="232"/>
      <c r="G311" s="239"/>
      <c r="H311" s="386">
        <v>297</v>
      </c>
      <c r="I311" s="404"/>
      <c r="J311" s="404"/>
      <c r="K311" s="413"/>
      <c r="L311" s="413"/>
      <c r="M311" s="413"/>
      <c r="N311" s="413"/>
      <c r="O311" s="413"/>
      <c r="P311" s="413"/>
      <c r="Q311" s="413"/>
      <c r="R311" s="452"/>
      <c r="S311" s="443"/>
      <c r="T311" s="422" t="str" cm="1">
        <f t="array" ref="T311">IF(AND($U$12,B335&lt;=$C$17,C335&lt;&gt;""),TRANSPOSE(INDEX(getcds(C335,$C$6,G335/10000,F335,D335,$C$13,$C$14,$C$15,$C$8,,,TRUE,TRUE,FALSE,$C$29:$C$31,$C$33),{1;2;3;4;5})),"")</f>
        <v/>
      </c>
      <c r="U311" s="423"/>
      <c r="V311" s="423"/>
      <c r="W311" s="424"/>
      <c r="X311" s="425"/>
      <c r="Y311" s="426" t="str">
        <f t="shared" si="20"/>
        <v/>
      </c>
      <c r="Z311" s="427" t="str">
        <f t="shared" si="21"/>
        <v/>
      </c>
      <c r="AA311" s="426" t="str">
        <f t="shared" si="22"/>
        <v/>
      </c>
      <c r="AB311" s="428" t="str">
        <f t="shared" si="23"/>
        <v/>
      </c>
      <c r="AC311" s="427" t="str">
        <f t="shared" si="24"/>
        <v/>
      </c>
      <c r="AD311" s="227"/>
    </row>
    <row r="312" spans="1:30" customFormat="1" ht="15">
      <c r="A312" s="227"/>
      <c r="B312" s="276">
        <v>274</v>
      </c>
      <c r="C312" s="254"/>
      <c r="D312" s="255"/>
      <c r="E312" s="247"/>
      <c r="F312" s="232"/>
      <c r="G312" s="239"/>
      <c r="H312" s="386">
        <v>298</v>
      </c>
      <c r="I312" s="404"/>
      <c r="J312" s="404"/>
      <c r="K312" s="413"/>
      <c r="L312" s="413"/>
      <c r="M312" s="413"/>
      <c r="N312" s="413"/>
      <c r="O312" s="413"/>
      <c r="P312" s="413"/>
      <c r="Q312" s="413"/>
      <c r="R312" s="452"/>
      <c r="S312" s="443"/>
      <c r="T312" s="422" t="str" cm="1">
        <f t="array" ref="T312">IF(AND($U$12,B336&lt;=$C$17,C336&lt;&gt;""),TRANSPOSE(INDEX(getcds(C336,$C$6,G336/10000,F336,D336,$C$13,$C$14,$C$15,$C$8,,,TRUE,TRUE,FALSE,$C$29:$C$31,$C$33),{1;2;3;4;5})),"")</f>
        <v/>
      </c>
      <c r="U312" s="423"/>
      <c r="V312" s="423"/>
      <c r="W312" s="424"/>
      <c r="X312" s="425"/>
      <c r="Y312" s="426" t="str">
        <f t="shared" si="20"/>
        <v/>
      </c>
      <c r="Z312" s="427" t="str">
        <f t="shared" si="21"/>
        <v/>
      </c>
      <c r="AA312" s="426" t="str">
        <f t="shared" si="22"/>
        <v/>
      </c>
      <c r="AB312" s="428" t="str">
        <f t="shared" si="23"/>
        <v/>
      </c>
      <c r="AC312" s="427" t="str">
        <f t="shared" si="24"/>
        <v/>
      </c>
      <c r="AD312" s="227"/>
    </row>
    <row r="313" spans="1:30" customFormat="1" ht="15">
      <c r="A313" s="227"/>
      <c r="B313" s="276">
        <v>275</v>
      </c>
      <c r="C313" s="254"/>
      <c r="D313" s="255"/>
      <c r="E313" s="247"/>
      <c r="F313" s="232"/>
      <c r="G313" s="239"/>
      <c r="H313" s="386">
        <v>299</v>
      </c>
      <c r="I313" s="404"/>
      <c r="J313" s="404"/>
      <c r="K313" s="413"/>
      <c r="L313" s="413"/>
      <c r="M313" s="413"/>
      <c r="N313" s="413"/>
      <c r="O313" s="413"/>
      <c r="P313" s="413"/>
      <c r="Q313" s="413"/>
      <c r="R313" s="452"/>
      <c r="S313" s="443"/>
      <c r="T313" s="422" t="str" cm="1">
        <f t="array" ref="T313">IF(AND($U$12,B337&lt;=$C$17,C337&lt;&gt;""),TRANSPOSE(INDEX(getcds(C337,$C$6,G337/10000,F337,D337,$C$13,$C$14,$C$15,$C$8,,,TRUE,TRUE,FALSE,$C$29:$C$31,$C$33),{1;2;3;4;5})),"")</f>
        <v/>
      </c>
      <c r="U313" s="423"/>
      <c r="V313" s="423"/>
      <c r="W313" s="424"/>
      <c r="X313" s="425"/>
      <c r="Y313" s="426" t="str">
        <f t="shared" si="20"/>
        <v/>
      </c>
      <c r="Z313" s="427" t="str">
        <f t="shared" si="21"/>
        <v/>
      </c>
      <c r="AA313" s="426" t="str">
        <f t="shared" si="22"/>
        <v/>
      </c>
      <c r="AB313" s="428" t="str">
        <f t="shared" si="23"/>
        <v/>
      </c>
      <c r="AC313" s="427" t="str">
        <f t="shared" si="24"/>
        <v/>
      </c>
      <c r="AD313" s="227"/>
    </row>
    <row r="314" spans="1:30" customFormat="1" ht="15.75" thickBot="1">
      <c r="A314" s="227"/>
      <c r="B314" s="276">
        <v>276</v>
      </c>
      <c r="C314" s="254"/>
      <c r="D314" s="255"/>
      <c r="E314" s="247"/>
      <c r="F314" s="232"/>
      <c r="G314" s="239"/>
      <c r="H314" s="389">
        <v>300</v>
      </c>
      <c r="I314" s="414"/>
      <c r="J314" s="414"/>
      <c r="K314" s="415"/>
      <c r="L314" s="415"/>
      <c r="M314" s="415"/>
      <c r="N314" s="415"/>
      <c r="O314" s="415"/>
      <c r="P314" s="415"/>
      <c r="Q314" s="415"/>
      <c r="R314" s="416"/>
      <c r="S314" s="454"/>
      <c r="T314" s="430" t="str" cm="1">
        <f t="array" ref="T314">IF(AND($U$12,B338&lt;=$C$17,C338&lt;&gt;""),TRANSPOSE(INDEX(getcds(C338,$C$6,G338/10000,F338,D338,$C$13,$C$14,$C$15,$C$8,,,TRUE,TRUE,FALSE,$C$29:$C$31,$C$33),{1;2;3;4;5})),"")</f>
        <v/>
      </c>
      <c r="U314" s="429"/>
      <c r="V314" s="429"/>
      <c r="W314" s="430"/>
      <c r="X314" s="431"/>
      <c r="Y314" s="426" t="str">
        <f t="shared" si="20"/>
        <v/>
      </c>
      <c r="Z314" s="427" t="str">
        <f t="shared" si="21"/>
        <v/>
      </c>
      <c r="AA314" s="430"/>
      <c r="AB314" s="430"/>
      <c r="AC314" s="416"/>
      <c r="AD314" s="227"/>
    </row>
    <row r="315" spans="1:30" customFormat="1" ht="15">
      <c r="A315" s="227"/>
      <c r="B315" s="276">
        <v>277</v>
      </c>
      <c r="C315" s="254"/>
      <c r="D315" s="255"/>
      <c r="E315" s="247"/>
      <c r="F315" s="232"/>
      <c r="G315" s="239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7"/>
      <c r="B316" s="276">
        <v>278</v>
      </c>
      <c r="C316" s="254"/>
      <c r="D316" s="255"/>
      <c r="E316" s="247"/>
      <c r="F316" s="232"/>
      <c r="G316" s="239"/>
      <c r="S316" s="44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7"/>
      <c r="B317" s="276">
        <v>279</v>
      </c>
      <c r="C317" s="254"/>
      <c r="D317" s="255"/>
      <c r="E317" s="247"/>
      <c r="F317" s="232"/>
      <c r="G317" s="239"/>
      <c r="S317" s="444"/>
    </row>
    <row r="318" spans="1:30" customFormat="1" ht="15">
      <c r="A318" s="227"/>
      <c r="B318" s="276">
        <v>280</v>
      </c>
      <c r="C318" s="254"/>
      <c r="D318" s="255"/>
      <c r="E318" s="247"/>
      <c r="F318" s="232"/>
      <c r="G318" s="239"/>
      <c r="S318" s="444"/>
    </row>
    <row r="319" spans="1:30" customFormat="1" ht="15">
      <c r="A319" s="227"/>
      <c r="B319" s="276">
        <v>281</v>
      </c>
      <c r="C319" s="254"/>
      <c r="D319" s="255"/>
      <c r="E319" s="247"/>
      <c r="F319" s="232"/>
      <c r="G319" s="239"/>
      <c r="S319" s="444"/>
    </row>
    <row r="320" spans="1:30" customFormat="1" ht="15">
      <c r="A320" s="227"/>
      <c r="B320" s="276">
        <v>282</v>
      </c>
      <c r="C320" s="254"/>
      <c r="D320" s="255"/>
      <c r="E320" s="247"/>
      <c r="F320" s="232"/>
      <c r="G320" s="239"/>
      <c r="S320" s="444"/>
    </row>
    <row r="321" spans="1:19" customFormat="1" ht="15">
      <c r="A321" s="227"/>
      <c r="B321" s="276">
        <v>283</v>
      </c>
      <c r="C321" s="254"/>
      <c r="D321" s="255"/>
      <c r="E321" s="247"/>
      <c r="F321" s="232"/>
      <c r="G321" s="239"/>
      <c r="S321" s="444"/>
    </row>
    <row r="322" spans="1:19" customFormat="1" ht="15">
      <c r="A322" s="227"/>
      <c r="B322" s="276">
        <v>284</v>
      </c>
      <c r="C322" s="254"/>
      <c r="D322" s="255"/>
      <c r="E322" s="247"/>
      <c r="F322" s="232"/>
      <c r="G322" s="239"/>
      <c r="S322" s="444"/>
    </row>
    <row r="323" spans="1:19" customFormat="1" ht="15">
      <c r="A323" s="227"/>
      <c r="B323" s="276">
        <v>285</v>
      </c>
      <c r="C323" s="254"/>
      <c r="D323" s="255"/>
      <c r="E323" s="247"/>
      <c r="F323" s="232"/>
      <c r="G323" s="239"/>
      <c r="S323" s="444"/>
    </row>
    <row r="324" spans="1:19" customFormat="1" ht="15">
      <c r="A324" s="227"/>
      <c r="B324" s="276">
        <v>286</v>
      </c>
      <c r="C324" s="254"/>
      <c r="D324" s="255"/>
      <c r="E324" s="247"/>
      <c r="F324" s="232"/>
      <c r="G324" s="239"/>
      <c r="S324" s="444"/>
    </row>
    <row r="325" spans="1:19" customFormat="1" ht="15">
      <c r="A325" s="227"/>
      <c r="B325" s="276">
        <v>287</v>
      </c>
      <c r="C325" s="254"/>
      <c r="D325" s="255"/>
      <c r="E325" s="247"/>
      <c r="F325" s="232"/>
      <c r="G325" s="239"/>
      <c r="S325" s="444"/>
    </row>
    <row r="326" spans="1:19" customFormat="1" ht="15">
      <c r="A326" s="227"/>
      <c r="B326" s="276">
        <v>288</v>
      </c>
      <c r="C326" s="254"/>
      <c r="D326" s="255"/>
      <c r="E326" s="247"/>
      <c r="F326" s="232"/>
      <c r="G326" s="239"/>
      <c r="S326" s="444"/>
    </row>
    <row r="327" spans="1:19" customFormat="1" ht="15">
      <c r="A327" s="227"/>
      <c r="B327" s="276">
        <v>289</v>
      </c>
      <c r="C327" s="254"/>
      <c r="D327" s="255"/>
      <c r="E327" s="247"/>
      <c r="F327" s="232"/>
      <c r="G327" s="239"/>
      <c r="S327" s="444"/>
    </row>
    <row r="328" spans="1:19" customFormat="1" ht="15">
      <c r="A328" s="227"/>
      <c r="B328" s="276">
        <v>290</v>
      </c>
      <c r="C328" s="254"/>
      <c r="D328" s="255"/>
      <c r="E328" s="247"/>
      <c r="F328" s="232"/>
      <c r="G328" s="239"/>
    </row>
    <row r="329" spans="1:19" customFormat="1" ht="15">
      <c r="A329" s="227"/>
      <c r="B329" s="276">
        <v>291</v>
      </c>
      <c r="C329" s="254"/>
      <c r="D329" s="255"/>
      <c r="E329" s="247"/>
      <c r="F329" s="232"/>
      <c r="G329" s="239"/>
    </row>
    <row r="330" spans="1:19" customFormat="1" ht="15">
      <c r="A330" s="227"/>
      <c r="B330" s="276">
        <v>292</v>
      </c>
      <c r="C330" s="254"/>
      <c r="D330" s="255"/>
      <c r="E330" s="247"/>
      <c r="F330" s="232"/>
      <c r="G330" s="239"/>
    </row>
    <row r="331" spans="1:19" customFormat="1" ht="15">
      <c r="A331" s="227"/>
      <c r="B331" s="276">
        <v>293</v>
      </c>
      <c r="C331" s="254"/>
      <c r="D331" s="255"/>
      <c r="E331" s="247"/>
      <c r="F331" s="232"/>
      <c r="G331" s="239"/>
    </row>
    <row r="332" spans="1:19" customFormat="1" ht="15">
      <c r="A332" s="227"/>
      <c r="B332" s="276">
        <v>294</v>
      </c>
      <c r="C332" s="254"/>
      <c r="D332" s="255"/>
      <c r="E332" s="247"/>
      <c r="F332" s="232"/>
      <c r="G332" s="239"/>
    </row>
    <row r="333" spans="1:19" customFormat="1" ht="15">
      <c r="A333" s="227"/>
      <c r="B333" s="276">
        <v>295</v>
      </c>
      <c r="C333" s="254"/>
      <c r="D333" s="255"/>
      <c r="E333" s="247"/>
      <c r="F333" s="232"/>
      <c r="G333" s="239"/>
    </row>
    <row r="334" spans="1:19" customFormat="1" ht="15">
      <c r="A334" s="227"/>
      <c r="B334" s="276">
        <v>296</v>
      </c>
      <c r="C334" s="254"/>
      <c r="D334" s="255"/>
      <c r="E334" s="247"/>
      <c r="F334" s="232"/>
      <c r="G334" s="239"/>
    </row>
    <row r="335" spans="1:19" customFormat="1" ht="15">
      <c r="A335" s="227"/>
      <c r="B335" s="276">
        <v>297</v>
      </c>
      <c r="C335" s="254"/>
      <c r="D335" s="255"/>
      <c r="E335" s="247"/>
      <c r="F335" s="232"/>
      <c r="G335" s="239"/>
    </row>
    <row r="336" spans="1:19" customFormat="1" ht="15">
      <c r="A336" s="227"/>
      <c r="B336" s="276">
        <v>298</v>
      </c>
      <c r="C336" s="254"/>
      <c r="D336" s="255"/>
      <c r="E336" s="247"/>
      <c r="F336" s="232"/>
      <c r="G336" s="239"/>
    </row>
    <row r="337" spans="1:7" customFormat="1" ht="15">
      <c r="A337" s="227"/>
      <c r="B337" s="276">
        <v>299</v>
      </c>
      <c r="C337" s="254"/>
      <c r="D337" s="255"/>
      <c r="E337" s="247"/>
      <c r="F337" s="232"/>
      <c r="G337" s="239"/>
    </row>
    <row r="338" spans="1:7" customFormat="1" ht="15.75" thickBot="1">
      <c r="A338" s="227"/>
      <c r="B338" s="439">
        <v>300</v>
      </c>
      <c r="C338" s="440"/>
      <c r="D338" s="440"/>
      <c r="E338" s="440"/>
      <c r="F338" s="440"/>
      <c r="G338" s="44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T808"/>
  <sheetViews>
    <sheetView tabSelected="1" topLeftCell="Q2" zoomScale="130" zoomScaleNormal="130" workbookViewId="0">
      <selection activeCell="W124" sqref="W124"/>
    </sheetView>
  </sheetViews>
  <sheetFormatPr defaultColWidth="9.140625" defaultRowHeight="11.25"/>
  <cols>
    <col min="1" max="1" width="2.85546875" style="281" customWidth="1"/>
    <col min="2" max="2" width="17" style="281" bestFit="1" customWidth="1"/>
    <col min="3" max="3" width="26.5703125" style="281" bestFit="1" customWidth="1"/>
    <col min="4" max="4" width="10.5703125" style="282" customWidth="1"/>
    <col min="5" max="5" width="9.85546875" style="282" customWidth="1"/>
    <col min="6" max="13" width="12.42578125" style="282" customWidth="1"/>
    <col min="14" max="14" width="9.85546875" style="282" customWidth="1"/>
    <col min="15" max="15" width="26.7109375" style="79" customWidth="1"/>
    <col min="16" max="16" width="9.140625" style="79"/>
    <col min="17" max="17" width="9.7109375" style="79" bestFit="1" customWidth="1"/>
    <col min="18" max="20" width="9.140625" style="79"/>
    <col min="21" max="21" width="21.28515625" style="79" customWidth="1"/>
    <col min="22" max="22" width="11.140625" style="79" bestFit="1" customWidth="1"/>
    <col min="23" max="31" width="9.140625" style="79"/>
    <col min="32" max="16384" width="9.140625" style="281"/>
  </cols>
  <sheetData>
    <row r="1" spans="1:228" s="495" customFormat="1" ht="29.25" customHeight="1">
      <c r="A1" s="494"/>
      <c r="B1" s="494"/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  <c r="O1" s="494"/>
      <c r="P1" s="494"/>
      <c r="Q1" s="494"/>
      <c r="R1" s="494"/>
      <c r="S1" s="494"/>
      <c r="T1" s="494"/>
      <c r="U1" s="494"/>
      <c r="V1" s="494"/>
      <c r="W1" s="494"/>
      <c r="X1" s="494"/>
      <c r="Y1" s="494"/>
      <c r="Z1" s="494"/>
      <c r="AA1" s="494"/>
      <c r="AB1" s="494"/>
      <c r="AC1" s="494"/>
      <c r="AD1" s="494"/>
      <c r="AE1" s="494"/>
      <c r="AF1" s="494"/>
      <c r="AG1" s="494"/>
      <c r="AH1" s="494"/>
      <c r="AI1" s="494"/>
      <c r="AJ1" s="494"/>
      <c r="AK1" s="494"/>
      <c r="AL1" s="494"/>
      <c r="AM1" s="494"/>
      <c r="AN1" s="494"/>
      <c r="AO1" s="494"/>
      <c r="AP1" s="494"/>
      <c r="AQ1" s="494"/>
      <c r="AR1" s="494"/>
      <c r="AS1" s="494"/>
      <c r="AT1" s="494"/>
      <c r="AU1" s="494"/>
      <c r="AV1" s="494"/>
      <c r="AW1" s="494"/>
      <c r="AX1" s="494"/>
      <c r="AY1" s="494"/>
      <c r="AZ1" s="494"/>
      <c r="BA1" s="494"/>
      <c r="BB1" s="494"/>
      <c r="BC1" s="494"/>
      <c r="BD1" s="494"/>
      <c r="BE1" s="494"/>
      <c r="BF1" s="494"/>
      <c r="BG1" s="494"/>
      <c r="BH1" s="494"/>
      <c r="BI1" s="494"/>
      <c r="BJ1" s="494"/>
      <c r="BK1" s="494"/>
      <c r="BL1" s="494"/>
      <c r="BM1" s="494"/>
      <c r="BN1" s="494"/>
      <c r="BO1" s="494"/>
      <c r="BP1" s="494"/>
      <c r="BQ1" s="494"/>
      <c r="BR1" s="494"/>
      <c r="BS1" s="494"/>
      <c r="BT1" s="494"/>
      <c r="BU1" s="494"/>
      <c r="BV1" s="494"/>
      <c r="BW1" s="494"/>
      <c r="BX1" s="494"/>
      <c r="BY1" s="494"/>
      <c r="BZ1" s="494"/>
      <c r="CA1" s="494"/>
      <c r="CB1" s="494"/>
      <c r="CC1" s="494"/>
      <c r="CD1" s="494"/>
      <c r="CE1" s="494"/>
      <c r="CF1" s="494"/>
      <c r="CG1" s="494"/>
      <c r="CH1" s="494"/>
      <c r="CI1" s="494"/>
      <c r="CJ1" s="494"/>
      <c r="CK1" s="494"/>
      <c r="CL1" s="494"/>
      <c r="CM1" s="494"/>
      <c r="CN1" s="494"/>
      <c r="CO1" s="494"/>
      <c r="CP1" s="494"/>
      <c r="CQ1" s="494"/>
      <c r="CR1" s="494"/>
      <c r="CS1" s="494"/>
      <c r="CT1" s="494"/>
      <c r="CU1" s="494"/>
      <c r="CV1" s="494"/>
      <c r="CW1" s="494"/>
      <c r="CX1" s="494"/>
      <c r="CY1" s="494"/>
      <c r="CZ1" s="494"/>
      <c r="DA1" s="494"/>
      <c r="DB1" s="494"/>
      <c r="DC1" s="494"/>
      <c r="DD1" s="494"/>
      <c r="DE1" s="494"/>
      <c r="DF1" s="494"/>
      <c r="DG1" s="494"/>
      <c r="DH1" s="494"/>
      <c r="DI1" s="494"/>
      <c r="DJ1" s="494"/>
      <c r="DK1" s="494"/>
      <c r="DL1" s="494"/>
      <c r="DM1" s="494"/>
      <c r="DN1" s="494"/>
      <c r="DO1" s="494"/>
      <c r="DP1" s="494"/>
      <c r="DQ1" s="494"/>
      <c r="DR1" s="494"/>
      <c r="DS1" s="494"/>
      <c r="DT1" s="494"/>
      <c r="DU1" s="494"/>
      <c r="DV1" s="494"/>
      <c r="DW1" s="494"/>
      <c r="DX1" s="494"/>
      <c r="DY1" s="494"/>
      <c r="DZ1" s="494"/>
      <c r="EA1" s="494"/>
      <c r="EB1" s="494"/>
      <c r="EC1" s="494"/>
      <c r="ED1" s="494"/>
      <c r="EE1" s="494"/>
      <c r="EF1" s="494"/>
      <c r="EG1" s="494"/>
      <c r="EH1" s="494"/>
      <c r="EI1" s="494"/>
      <c r="EJ1" s="494"/>
      <c r="EK1" s="494"/>
      <c r="EL1" s="494"/>
      <c r="EM1" s="494"/>
      <c r="EN1" s="494"/>
      <c r="EO1" s="494"/>
      <c r="EP1" s="494"/>
      <c r="EQ1" s="494"/>
      <c r="ER1" s="494"/>
      <c r="ES1" s="494"/>
      <c r="ET1" s="494"/>
      <c r="EU1" s="494"/>
      <c r="EV1" s="494"/>
      <c r="EW1" s="494"/>
      <c r="EX1" s="494"/>
      <c r="EY1" s="494"/>
      <c r="EZ1" s="494"/>
      <c r="FA1" s="494"/>
      <c r="FB1" s="494"/>
      <c r="FC1" s="494"/>
      <c r="FD1" s="494"/>
      <c r="FE1" s="494"/>
      <c r="FF1" s="494"/>
      <c r="FG1" s="494"/>
      <c r="FH1" s="494"/>
      <c r="FI1" s="494"/>
      <c r="FJ1" s="494"/>
      <c r="FK1" s="494"/>
      <c r="FL1" s="494"/>
      <c r="FM1" s="494"/>
      <c r="FN1" s="494"/>
      <c r="FO1" s="494"/>
      <c r="FP1" s="494"/>
      <c r="FQ1" s="494"/>
      <c r="FR1" s="494"/>
      <c r="FS1" s="494"/>
      <c r="FT1" s="494"/>
      <c r="FU1" s="494"/>
      <c r="FV1" s="494"/>
      <c r="FW1" s="494"/>
      <c r="FX1" s="494"/>
      <c r="FY1" s="494"/>
      <c r="FZ1" s="494"/>
      <c r="GA1" s="494"/>
      <c r="GB1" s="494"/>
      <c r="GC1" s="494"/>
      <c r="GD1" s="494"/>
      <c r="GE1" s="494"/>
      <c r="GF1" s="494"/>
      <c r="GG1" s="494"/>
      <c r="GH1" s="494"/>
      <c r="GI1" s="494"/>
      <c r="GJ1" s="494"/>
      <c r="GK1" s="494"/>
      <c r="GL1" s="494"/>
      <c r="GM1" s="494"/>
      <c r="GN1" s="494"/>
      <c r="GO1" s="494"/>
      <c r="GP1" s="494"/>
      <c r="GQ1" s="494"/>
      <c r="GR1" s="494"/>
      <c r="GS1" s="494"/>
      <c r="GT1" s="494"/>
      <c r="GU1" s="494"/>
      <c r="GV1" s="494"/>
      <c r="GW1" s="494"/>
      <c r="GX1" s="494"/>
      <c r="GY1" s="494"/>
      <c r="GZ1" s="494"/>
      <c r="HA1" s="494"/>
      <c r="HB1" s="494"/>
      <c r="HC1" s="494"/>
      <c r="HD1" s="494"/>
      <c r="HE1" s="494"/>
      <c r="HF1" s="494"/>
      <c r="HG1" s="494"/>
      <c r="HH1" s="494"/>
      <c r="HI1" s="494"/>
      <c r="HJ1" s="494"/>
      <c r="HK1" s="494"/>
      <c r="HL1" s="494"/>
      <c r="HM1" s="494"/>
      <c r="HN1" s="494"/>
      <c r="HO1" s="494"/>
      <c r="HP1" s="494"/>
      <c r="HQ1" s="494"/>
      <c r="HR1" s="494"/>
      <c r="HS1" s="494"/>
      <c r="HT1" s="494"/>
    </row>
    <row r="2" spans="1:228" s="495" customFormat="1" ht="54.75" customHeight="1">
      <c r="A2" s="494"/>
      <c r="B2" s="494"/>
      <c r="C2" s="496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  <c r="O2" s="494"/>
      <c r="P2" s="494"/>
      <c r="Q2" s="494"/>
      <c r="R2" s="494"/>
      <c r="S2" s="494"/>
      <c r="T2" s="494"/>
      <c r="U2" s="494"/>
      <c r="V2" s="494"/>
      <c r="W2" s="494"/>
      <c r="X2" s="494"/>
      <c r="Y2" s="494"/>
      <c r="Z2" s="494"/>
      <c r="AA2" s="494"/>
      <c r="AB2" s="494"/>
      <c r="AC2" s="494"/>
      <c r="AD2" s="494"/>
      <c r="AE2" s="494"/>
      <c r="AF2" s="494"/>
      <c r="AG2" s="494"/>
      <c r="AH2" s="494"/>
      <c r="AI2" s="494"/>
      <c r="AJ2" s="494"/>
      <c r="AK2" s="494"/>
      <c r="AL2" s="494"/>
      <c r="AM2" s="494"/>
      <c r="AN2" s="494"/>
      <c r="AO2" s="494"/>
      <c r="AP2" s="494"/>
      <c r="AQ2" s="494"/>
      <c r="AR2" s="494"/>
      <c r="AS2" s="494"/>
      <c r="AT2" s="494"/>
      <c r="AU2" s="494"/>
      <c r="AV2" s="494"/>
      <c r="AW2" s="494"/>
      <c r="AX2" s="494"/>
      <c r="AY2" s="494"/>
      <c r="AZ2" s="494"/>
      <c r="BA2" s="494"/>
      <c r="BB2" s="494"/>
      <c r="BC2" s="494"/>
      <c r="BD2" s="494"/>
      <c r="BE2" s="494"/>
      <c r="BF2" s="494"/>
      <c r="BG2" s="494"/>
      <c r="BH2" s="494"/>
      <c r="BI2" s="494"/>
      <c r="BJ2" s="494"/>
      <c r="BK2" s="494"/>
      <c r="BL2" s="494"/>
      <c r="BM2" s="494"/>
      <c r="BN2" s="494"/>
      <c r="BO2" s="494"/>
      <c r="BP2" s="494"/>
      <c r="BQ2" s="494"/>
      <c r="BR2" s="494"/>
      <c r="BS2" s="494"/>
      <c r="BT2" s="494"/>
      <c r="BU2" s="494"/>
      <c r="BV2" s="494"/>
      <c r="BW2" s="494"/>
      <c r="BX2" s="494"/>
      <c r="BY2" s="494"/>
      <c r="BZ2" s="494"/>
      <c r="CA2" s="494"/>
      <c r="CB2" s="494"/>
      <c r="CC2" s="494"/>
      <c r="CD2" s="494"/>
      <c r="CE2" s="494"/>
      <c r="CF2" s="494"/>
      <c r="CG2" s="494"/>
      <c r="CH2" s="494"/>
      <c r="CI2" s="494"/>
      <c r="CJ2" s="494"/>
      <c r="CK2" s="494"/>
      <c r="CL2" s="494"/>
      <c r="CM2" s="494"/>
      <c r="CN2" s="494"/>
      <c r="CO2" s="494"/>
      <c r="CP2" s="494"/>
      <c r="CQ2" s="494"/>
      <c r="CR2" s="494"/>
      <c r="CS2" s="494"/>
      <c r="CT2" s="494"/>
      <c r="CU2" s="494"/>
      <c r="CV2" s="494"/>
      <c r="CW2" s="494"/>
      <c r="CX2" s="494"/>
      <c r="CY2" s="494"/>
      <c r="CZ2" s="494"/>
      <c r="DA2" s="494"/>
      <c r="DB2" s="494"/>
      <c r="DC2" s="494"/>
      <c r="DD2" s="494"/>
      <c r="DE2" s="494"/>
      <c r="DF2" s="494"/>
      <c r="DG2" s="494"/>
      <c r="DH2" s="494"/>
      <c r="DI2" s="494"/>
      <c r="DJ2" s="494"/>
      <c r="DK2" s="494"/>
      <c r="DL2" s="494"/>
      <c r="DM2" s="494"/>
      <c r="DN2" s="494"/>
      <c r="DO2" s="494"/>
      <c r="DP2" s="494"/>
      <c r="DQ2" s="494"/>
      <c r="DR2" s="494"/>
      <c r="DS2" s="494"/>
      <c r="DT2" s="494"/>
      <c r="DU2" s="494"/>
      <c r="DV2" s="494"/>
      <c r="DW2" s="494"/>
      <c r="DX2" s="494"/>
      <c r="DY2" s="494"/>
      <c r="DZ2" s="494"/>
      <c r="EA2" s="494"/>
      <c r="EB2" s="494"/>
      <c r="EC2" s="494"/>
      <c r="ED2" s="494"/>
      <c r="EE2" s="494"/>
      <c r="EF2" s="494"/>
      <c r="EG2" s="494"/>
      <c r="EH2" s="494"/>
      <c r="EI2" s="494"/>
      <c r="EJ2" s="494"/>
      <c r="EK2" s="494"/>
      <c r="EL2" s="494"/>
      <c r="EM2" s="494"/>
      <c r="EN2" s="494"/>
      <c r="EO2" s="494"/>
      <c r="EP2" s="494"/>
      <c r="EQ2" s="494"/>
      <c r="ER2" s="494"/>
      <c r="ES2" s="494"/>
      <c r="ET2" s="494"/>
      <c r="EU2" s="494"/>
      <c r="EV2" s="494"/>
      <c r="EW2" s="494"/>
      <c r="EX2" s="494"/>
      <c r="EY2" s="494"/>
      <c r="EZ2" s="494"/>
      <c r="FA2" s="494"/>
      <c r="FB2" s="494"/>
      <c r="FC2" s="494"/>
      <c r="FD2" s="494"/>
      <c r="FE2" s="494"/>
      <c r="FF2" s="494"/>
      <c r="FG2" s="494"/>
      <c r="FH2" s="494"/>
      <c r="FI2" s="494"/>
      <c r="FJ2" s="494"/>
      <c r="FK2" s="494"/>
      <c r="FL2" s="494"/>
      <c r="FM2" s="494"/>
      <c r="FN2" s="494"/>
      <c r="FO2" s="494"/>
      <c r="FP2" s="494"/>
      <c r="FQ2" s="494"/>
      <c r="FR2" s="494"/>
      <c r="FS2" s="494"/>
      <c r="FT2" s="494"/>
      <c r="FU2" s="494"/>
      <c r="FV2" s="494"/>
      <c r="FW2" s="494"/>
      <c r="FX2" s="494"/>
      <c r="FY2" s="494"/>
      <c r="FZ2" s="494"/>
      <c r="GA2" s="494"/>
      <c r="GB2" s="494"/>
      <c r="GC2" s="494"/>
      <c r="GD2" s="494"/>
      <c r="GE2" s="494"/>
      <c r="GF2" s="494"/>
      <c r="GG2" s="494"/>
      <c r="GH2" s="494"/>
      <c r="GI2" s="494"/>
      <c r="GJ2" s="494"/>
      <c r="GK2" s="494"/>
      <c r="GL2" s="494"/>
      <c r="GM2" s="494"/>
      <c r="GN2" s="494"/>
      <c r="GO2" s="494"/>
      <c r="GP2" s="494"/>
      <c r="GQ2" s="494"/>
      <c r="GR2" s="494"/>
      <c r="GS2" s="494"/>
      <c r="GT2" s="494"/>
      <c r="GU2" s="494"/>
      <c r="GV2" s="494"/>
      <c r="GW2" s="494"/>
      <c r="GX2" s="494"/>
      <c r="GY2" s="494"/>
      <c r="GZ2" s="494"/>
      <c r="HA2" s="494"/>
      <c r="HB2" s="494"/>
      <c r="HC2" s="494"/>
      <c r="HD2" s="494"/>
      <c r="HE2" s="494"/>
      <c r="HF2" s="494"/>
      <c r="HG2" s="494"/>
      <c r="HH2" s="494"/>
      <c r="HI2" s="494"/>
      <c r="HJ2" s="494"/>
      <c r="HK2" s="494"/>
      <c r="HL2" s="494"/>
      <c r="HM2" s="494"/>
      <c r="HN2" s="494"/>
      <c r="HO2" s="494"/>
      <c r="HP2" s="494"/>
      <c r="HQ2" s="494"/>
      <c r="HR2" s="494"/>
      <c r="HS2" s="494"/>
      <c r="HT2" s="494"/>
    </row>
    <row r="3" spans="1:228" s="495" customFormat="1" ht="36.75" customHeight="1">
      <c r="A3" s="494"/>
      <c r="B3" s="494"/>
      <c r="C3" s="494"/>
      <c r="D3" s="494"/>
      <c r="E3" s="494"/>
      <c r="F3" s="494"/>
      <c r="G3" s="494"/>
      <c r="H3" s="494"/>
      <c r="I3" s="497"/>
      <c r="J3" s="497"/>
      <c r="K3" s="497"/>
      <c r="L3" s="497"/>
      <c r="M3" s="497"/>
      <c r="N3" s="497"/>
      <c r="O3" s="497"/>
      <c r="P3" s="497"/>
      <c r="Q3" s="494"/>
      <c r="R3" s="494"/>
      <c r="S3" s="494"/>
      <c r="T3" s="494"/>
      <c r="U3" s="494"/>
      <c r="V3" s="494"/>
      <c r="W3" s="494"/>
      <c r="X3" s="494"/>
      <c r="Y3" s="494"/>
      <c r="Z3" s="494"/>
      <c r="AA3" s="494"/>
      <c r="AB3" s="497"/>
      <c r="AC3" s="494"/>
      <c r="AD3" s="494"/>
      <c r="AE3" s="494"/>
      <c r="AF3" s="494"/>
      <c r="AG3" s="494"/>
      <c r="AH3" s="494"/>
      <c r="AI3" s="494"/>
      <c r="AJ3" s="494"/>
      <c r="AK3" s="494"/>
      <c r="AL3" s="494"/>
      <c r="AM3" s="494"/>
      <c r="AN3" s="494"/>
      <c r="AO3" s="494"/>
      <c r="AP3" s="494"/>
      <c r="AQ3" s="494"/>
      <c r="AR3" s="494"/>
      <c r="AS3" s="494"/>
      <c r="AT3" s="494"/>
      <c r="AU3" s="494"/>
      <c r="AV3" s="494"/>
      <c r="AW3" s="494"/>
      <c r="AX3" s="494"/>
      <c r="AY3" s="494"/>
      <c r="AZ3" s="494"/>
      <c r="BA3" s="494"/>
      <c r="BB3" s="494"/>
      <c r="BC3" s="494"/>
      <c r="BD3" s="494"/>
      <c r="BE3" s="494"/>
      <c r="BF3" s="494"/>
      <c r="BG3" s="494"/>
      <c r="BH3" s="494"/>
      <c r="BI3" s="494"/>
      <c r="BJ3" s="494"/>
      <c r="BK3" s="494"/>
      <c r="BL3" s="494"/>
      <c r="BM3" s="494"/>
      <c r="BN3" s="494"/>
      <c r="BO3" s="494"/>
      <c r="BP3" s="494"/>
      <c r="BQ3" s="494"/>
      <c r="BR3" s="494"/>
      <c r="BS3" s="494"/>
      <c r="BT3" s="494"/>
      <c r="BU3" s="494"/>
      <c r="BV3" s="494"/>
      <c r="BW3" s="494"/>
      <c r="BX3" s="494"/>
      <c r="BY3" s="494"/>
      <c r="BZ3" s="494"/>
      <c r="CA3" s="494"/>
      <c r="CB3" s="494"/>
      <c r="CC3" s="494"/>
      <c r="CD3" s="494"/>
      <c r="CE3" s="494"/>
      <c r="CF3" s="494"/>
      <c r="CG3" s="494"/>
      <c r="CH3" s="494"/>
      <c r="CI3" s="494"/>
      <c r="CJ3" s="494"/>
      <c r="CK3" s="494"/>
      <c r="CL3" s="494"/>
      <c r="CM3" s="494"/>
      <c r="CN3" s="494"/>
      <c r="CO3" s="494"/>
      <c r="CP3" s="494"/>
      <c r="CQ3" s="494"/>
      <c r="CR3" s="494"/>
      <c r="CS3" s="494"/>
      <c r="CT3" s="494"/>
      <c r="CU3" s="494"/>
      <c r="CV3" s="494"/>
      <c r="CW3" s="494"/>
      <c r="CX3" s="494"/>
      <c r="CY3" s="494"/>
      <c r="CZ3" s="494"/>
      <c r="DA3" s="494"/>
      <c r="DB3" s="494"/>
      <c r="DC3" s="494"/>
      <c r="DD3" s="494"/>
      <c r="DE3" s="494"/>
      <c r="DF3" s="494"/>
      <c r="DG3" s="494"/>
      <c r="DH3" s="494"/>
      <c r="DI3" s="494"/>
      <c r="DJ3" s="494"/>
      <c r="DK3" s="494"/>
      <c r="DL3" s="494"/>
      <c r="DM3" s="494"/>
      <c r="DN3" s="494"/>
      <c r="DO3" s="494"/>
      <c r="DP3" s="494"/>
      <c r="DQ3" s="494"/>
      <c r="DR3" s="494"/>
      <c r="DS3" s="494"/>
      <c r="DT3" s="494"/>
      <c r="DU3" s="494"/>
      <c r="DV3" s="494"/>
      <c r="DW3" s="494"/>
      <c r="DX3" s="494"/>
      <c r="DY3" s="494"/>
      <c r="DZ3" s="494"/>
      <c r="EA3" s="494"/>
      <c r="EB3" s="494"/>
      <c r="EC3" s="494"/>
      <c r="ED3" s="494"/>
      <c r="EE3" s="494"/>
      <c r="EF3" s="494"/>
      <c r="EG3" s="494"/>
      <c r="EH3" s="494"/>
      <c r="EI3" s="494"/>
      <c r="EJ3" s="494"/>
      <c r="EK3" s="494"/>
      <c r="EL3" s="494"/>
      <c r="EM3" s="494"/>
      <c r="EN3" s="494"/>
      <c r="EO3" s="494"/>
      <c r="EP3" s="494"/>
      <c r="EQ3" s="494"/>
      <c r="ER3" s="494"/>
      <c r="ES3" s="494"/>
      <c r="ET3" s="494"/>
      <c r="EU3" s="494"/>
      <c r="EV3" s="494"/>
      <c r="EW3" s="494"/>
      <c r="EX3" s="494"/>
      <c r="EY3" s="494"/>
      <c r="EZ3" s="494"/>
      <c r="FA3" s="494"/>
      <c r="FB3" s="494"/>
      <c r="FC3" s="494"/>
      <c r="FD3" s="494"/>
      <c r="FE3" s="494"/>
      <c r="FF3" s="494"/>
      <c r="FG3" s="494"/>
      <c r="FH3" s="494"/>
      <c r="FI3" s="494"/>
      <c r="FJ3" s="494"/>
      <c r="FK3" s="494"/>
      <c r="FL3" s="494"/>
      <c r="FM3" s="494"/>
      <c r="FN3" s="494"/>
      <c r="FO3" s="494"/>
      <c r="FP3" s="494"/>
      <c r="FQ3" s="494"/>
      <c r="FR3" s="494"/>
      <c r="FS3" s="494"/>
      <c r="FT3" s="494"/>
      <c r="FU3" s="494"/>
      <c r="FV3" s="494"/>
      <c r="FW3" s="494"/>
      <c r="FX3" s="494"/>
      <c r="FY3" s="494"/>
      <c r="FZ3" s="494"/>
      <c r="GA3" s="494"/>
      <c r="GB3" s="494"/>
      <c r="GC3" s="494"/>
      <c r="GD3" s="494"/>
      <c r="GE3" s="494"/>
      <c r="GF3" s="494"/>
      <c r="GG3" s="494"/>
      <c r="GH3" s="494"/>
      <c r="GI3" s="494"/>
      <c r="GJ3" s="494"/>
      <c r="GK3" s="494"/>
      <c r="GL3" s="494"/>
      <c r="GM3" s="494"/>
      <c r="GN3" s="494"/>
      <c r="GO3" s="494"/>
      <c r="GP3" s="494"/>
      <c r="GQ3" s="494"/>
      <c r="GR3" s="494"/>
      <c r="GS3" s="494"/>
      <c r="GT3" s="494"/>
      <c r="GU3" s="494"/>
      <c r="GV3" s="494"/>
      <c r="GW3" s="494"/>
      <c r="GX3" s="494"/>
      <c r="GY3" s="494"/>
      <c r="GZ3" s="494"/>
      <c r="HA3" s="494"/>
      <c r="HB3" s="494"/>
      <c r="HC3" s="494"/>
      <c r="HD3" s="494"/>
      <c r="HE3" s="494"/>
      <c r="HF3" s="494"/>
      <c r="HG3" s="494"/>
      <c r="HH3" s="494"/>
      <c r="HI3" s="494"/>
      <c r="HJ3" s="494"/>
      <c r="HK3" s="494"/>
      <c r="HL3" s="494"/>
      <c r="HM3" s="494"/>
      <c r="HN3" s="494"/>
      <c r="HO3" s="494"/>
      <c r="HP3" s="494"/>
      <c r="HQ3" s="494"/>
      <c r="HR3" s="494"/>
      <c r="HS3" s="494"/>
      <c r="HT3" s="494"/>
    </row>
    <row r="4" spans="1:228">
      <c r="D4" s="281"/>
      <c r="E4" s="281"/>
      <c r="F4" s="281"/>
      <c r="G4" s="281"/>
      <c r="H4" s="281"/>
      <c r="I4" s="281"/>
      <c r="J4" s="281"/>
      <c r="K4" s="281"/>
      <c r="L4" s="281"/>
      <c r="M4" s="281"/>
      <c r="N4" s="281"/>
      <c r="O4" s="281"/>
      <c r="P4" s="281"/>
      <c r="Q4" s="281"/>
      <c r="R4" s="281"/>
      <c r="S4" s="281"/>
      <c r="T4" s="281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1"/>
    </row>
    <row r="5" spans="1:228">
      <c r="D5" s="281"/>
      <c r="E5" s="281"/>
      <c r="F5" s="281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  <c r="V5" s="281"/>
      <c r="W5" s="281"/>
      <c r="X5" s="281"/>
      <c r="Y5" s="281"/>
      <c r="Z5" s="281"/>
      <c r="AA5" s="281"/>
      <c r="AB5" s="281"/>
      <c r="AC5" s="281"/>
      <c r="AD5" s="281"/>
      <c r="AE5" s="281"/>
    </row>
    <row r="6" spans="1:228">
      <c r="D6" s="281"/>
      <c r="E6" s="281"/>
      <c r="F6" s="281"/>
      <c r="G6" s="281"/>
      <c r="H6" s="281"/>
      <c r="I6" s="281"/>
      <c r="J6" s="281"/>
      <c r="K6" s="281"/>
      <c r="L6" s="281"/>
      <c r="M6" s="281"/>
      <c r="N6" s="281"/>
      <c r="O6" s="281"/>
      <c r="P6" s="281"/>
      <c r="Q6" s="281"/>
      <c r="R6" s="281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1"/>
    </row>
    <row r="7" spans="1:228" ht="12" thickBot="1"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1"/>
      <c r="P7" s="281"/>
      <c r="Q7" s="281"/>
      <c r="R7" s="281"/>
      <c r="S7" s="281"/>
      <c r="T7" s="281"/>
      <c r="U7" s="281"/>
      <c r="V7" s="281"/>
      <c r="W7" s="281"/>
      <c r="X7" s="281"/>
      <c r="Y7" s="281"/>
      <c r="Z7" s="281"/>
      <c r="AA7" s="281"/>
      <c r="AB7" s="281"/>
      <c r="AC7" s="281"/>
      <c r="AD7" s="281"/>
      <c r="AE7" s="281"/>
    </row>
    <row r="8" spans="1:228" ht="12" thickBot="1">
      <c r="D8" s="281"/>
      <c r="E8" s="281"/>
      <c r="F8" s="484" t="s">
        <v>618</v>
      </c>
      <c r="G8" s="145" t="b">
        <v>1</v>
      </c>
      <c r="H8" s="281"/>
      <c r="I8" s="281"/>
      <c r="J8" s="281"/>
      <c r="K8" s="281"/>
      <c r="L8" s="281"/>
      <c r="M8" s="281"/>
      <c r="N8" s="281"/>
      <c r="O8" s="281"/>
      <c r="P8" s="281"/>
      <c r="Q8" s="281"/>
      <c r="R8" s="281"/>
      <c r="S8" s="281"/>
      <c r="T8" s="281"/>
      <c r="V8" s="281"/>
      <c r="W8" s="281"/>
      <c r="X8" s="281"/>
      <c r="Y8" s="281"/>
      <c r="Z8" s="281"/>
      <c r="AA8" s="281"/>
      <c r="AB8" s="281"/>
      <c r="AC8" s="281"/>
      <c r="AD8" s="281"/>
      <c r="AE8" s="281"/>
    </row>
    <row r="9" spans="1:228">
      <c r="D9" s="281"/>
      <c r="E9" s="281"/>
      <c r="F9" s="481" t="s">
        <v>612</v>
      </c>
      <c r="G9" s="498"/>
      <c r="H9" s="281"/>
      <c r="I9" s="281"/>
      <c r="J9" s="481" t="s">
        <v>613</v>
      </c>
      <c r="K9" s="500"/>
      <c r="L9" s="281"/>
      <c r="M9" s="281"/>
      <c r="N9" s="281"/>
      <c r="O9" s="281"/>
      <c r="P9" s="281"/>
      <c r="Q9" s="281"/>
      <c r="R9" s="281"/>
      <c r="S9" s="281"/>
      <c r="T9" s="281"/>
      <c r="U9" s="281"/>
      <c r="V9" s="281"/>
      <c r="W9" s="281"/>
      <c r="X9" s="281"/>
      <c r="Y9" s="281"/>
      <c r="Z9" s="281"/>
      <c r="AA9" s="281"/>
      <c r="AB9" s="281"/>
      <c r="AC9" s="281"/>
      <c r="AD9" s="281"/>
      <c r="AE9" s="281"/>
    </row>
    <row r="10" spans="1:228">
      <c r="D10" s="281"/>
      <c r="E10" s="281"/>
      <c r="F10" s="482" t="s">
        <v>615</v>
      </c>
      <c r="G10" s="510" t="e">
        <f>MAX(MAX(G11,0)+0.5*MIN(G11,0),0)</f>
        <v>#DIV/0!</v>
      </c>
      <c r="H10" s="281"/>
      <c r="I10" s="281"/>
      <c r="J10" s="482" t="s">
        <v>615</v>
      </c>
      <c r="K10" s="510" t="e">
        <f>MAX(MAX(K11,0)+0.5*MIN(K11,0),0)</f>
        <v>#DIV/0!</v>
      </c>
      <c r="L10" s="281"/>
      <c r="M10" s="281"/>
      <c r="N10" s="281"/>
      <c r="P10" s="281"/>
      <c r="Q10" s="281"/>
      <c r="R10" s="281"/>
      <c r="S10" s="281"/>
      <c r="T10" s="281"/>
      <c r="U10" s="281"/>
      <c r="V10" s="281"/>
      <c r="W10" s="281"/>
      <c r="X10" s="281"/>
      <c r="Y10" s="281"/>
      <c r="Z10" s="281"/>
      <c r="AA10" s="281"/>
      <c r="AB10" s="281"/>
      <c r="AC10" s="281"/>
      <c r="AD10" s="281"/>
      <c r="AE10" s="281"/>
    </row>
    <row r="11" spans="1:228" ht="12" thickBot="1">
      <c r="D11" s="281"/>
      <c r="E11" s="281"/>
      <c r="F11" s="482" t="s">
        <v>614</v>
      </c>
      <c r="G11" s="510" t="e">
        <f>15%*SUM(H14:H313)-G12*15%*SUM(I14:I313)</f>
        <v>#DIV/0!</v>
      </c>
      <c r="H11" s="281"/>
      <c r="I11" s="281"/>
      <c r="J11" s="482" t="s">
        <v>614</v>
      </c>
      <c r="K11" s="510" t="e">
        <f>15%*SUM(L14:L313)-K12*15%*SUM(M14:M313)</f>
        <v>#DIV/0!</v>
      </c>
      <c r="L11" s="281"/>
      <c r="M11" s="281"/>
      <c r="N11" s="281"/>
      <c r="O11" s="281"/>
      <c r="P11" s="281"/>
      <c r="Q11" s="281"/>
      <c r="R11" s="281"/>
      <c r="S11" s="281"/>
      <c r="T11" s="281"/>
      <c r="U11" s="281"/>
      <c r="V11" s="281"/>
      <c r="W11" s="281"/>
      <c r="X11" s="281"/>
      <c r="Y11" s="281"/>
      <c r="Z11" s="281"/>
      <c r="AA11" s="281"/>
      <c r="AB11" s="281"/>
      <c r="AC11" s="281"/>
      <c r="AD11" s="281"/>
      <c r="AE11" s="281"/>
    </row>
    <row r="12" spans="1:228" ht="12" thickBot="1">
      <c r="D12" s="281"/>
      <c r="E12" s="281"/>
      <c r="F12" s="482" t="s">
        <v>611</v>
      </c>
      <c r="G12" s="510" t="e">
        <f>SUM(H14:H313)/(SUM(H14:H313)+SUM(I14:I313))</f>
        <v>#DIV/0!</v>
      </c>
      <c r="H12" s="281"/>
      <c r="I12" s="281"/>
      <c r="J12" s="482" t="s">
        <v>611</v>
      </c>
      <c r="K12" s="510" t="e">
        <f>SUM(L14:L313)/(SUM(L14:L313)+SUM(M14:M313))</f>
        <v>#DIV/0!</v>
      </c>
      <c r="L12" s="281"/>
      <c r="M12" s="281"/>
      <c r="N12" s="281"/>
      <c r="O12" s="493" t="s">
        <v>622</v>
      </c>
      <c r="P12" s="521" t="e">
        <f>-('CDO Bespoke'!$C$20-'CDO Bespoke'!$C$19)*INDEX(GETCDO(P13,'CDO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#REF!</v>
      </c>
      <c r="Q12" s="522" t="e">
        <f>-('CDO Bespoke'!$C$20-'CDO Bespoke'!$C$19)*INDEX(GETCDO(Q13,'CDO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#REF!</v>
      </c>
      <c r="R12" s="522" t="e">
        <f>-('CDO Bespoke'!$C$20-'CDO Bespoke'!$C$19)*INDEX(GETCDO(R13,'CDO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#REF!</v>
      </c>
      <c r="S12" s="522" t="e">
        <f>-('CDO Bespoke'!$C$20-'CDO Bespoke'!$C$19)*INDEX(GETCDO(S13,'CDO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#REF!</v>
      </c>
      <c r="T12" s="522" t="e">
        <f>-('CDO Bespoke'!$C$20-'CDO Bespoke'!$C$19)*INDEX(GETCDO(T13,'CDO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#REF!</v>
      </c>
      <c r="U12" s="493" t="s">
        <v>623</v>
      </c>
      <c r="V12" s="535" t="e" cm="1">
        <f t="array" ref="V12">GetCDODeltaGIRR('CDO Bespoke'!C6,'CDO Bespoke'!C19:'CDO Bespoke'!C20,'CDO Bespoke'!C21:'CDO Bespoke'!C22,'CDO Bespoke'!G39:'CDO Bespoke'!G338,'CDO Bespoke'!C8,'CDO Bespoke'!C17,'CDO Bespoke'!C39:'CDO Bespoke'!C338,'CDO Bespoke'!D39:'CDO Bespoke'!D338,'CDO Bespoke'!C12,'CDO Bespoke'!C13,'CDO Bespoke'!C14,'CDO Bespoke'!C15,'CDO Bespoke'!C9,'CDO Bespoke'!C10,'CDO Bespoke'!E39:'CDO Bespoke'!E338,'CDO Bespoke'!F39:'CDO Bespoke'!F338,'CDO Bespoke'!C24,'CDO Bespoke'!C25,FALSE,FALSE,'CDO Bespoke'!L6,'CDO Bespoke'!C29:'CDO Bespoke'!C31,'CDO Bespoke'!C36,'CDO Bespoke'!C33,,'CDO Bespoke'!C34)</f>
        <v>#VALUE!</v>
      </c>
      <c r="W12" s="536"/>
      <c r="X12" s="536"/>
      <c r="Y12" s="536"/>
      <c r="Z12" s="536"/>
      <c r="AA12" s="536"/>
      <c r="AB12" s="536"/>
      <c r="AC12" s="536"/>
      <c r="AD12" s="536"/>
      <c r="AE12" s="537"/>
      <c r="AF12" s="541"/>
    </row>
    <row r="13" spans="1:228" ht="12" thickBot="1">
      <c r="D13" s="281"/>
      <c r="E13" s="281"/>
      <c r="F13" s="484" t="s">
        <v>609</v>
      </c>
      <c r="G13" s="493" t="s">
        <v>610</v>
      </c>
      <c r="H13" s="499" t="s">
        <v>616</v>
      </c>
      <c r="I13" s="493" t="s">
        <v>617</v>
      </c>
      <c r="J13" s="499" t="s">
        <v>609</v>
      </c>
      <c r="K13" s="493" t="s">
        <v>610</v>
      </c>
      <c r="L13" s="499" t="s">
        <v>616</v>
      </c>
      <c r="M13" s="485" t="s">
        <v>617</v>
      </c>
      <c r="N13" s="281"/>
      <c r="O13" s="493" t="s">
        <v>620</v>
      </c>
      <c r="P13" s="491" t="s">
        <v>84</v>
      </c>
      <c r="Q13" s="518" t="s">
        <v>53</v>
      </c>
      <c r="R13" s="518" t="s">
        <v>55</v>
      </c>
      <c r="S13" s="518" t="s">
        <v>57</v>
      </c>
      <c r="T13" s="519" t="s">
        <v>62</v>
      </c>
      <c r="U13" s="493" t="s">
        <v>624</v>
      </c>
      <c r="V13" s="479" t="s">
        <v>83</v>
      </c>
      <c r="W13" s="479" t="s">
        <v>84</v>
      </c>
      <c r="X13" s="479" t="s">
        <v>53</v>
      </c>
      <c r="Y13" s="479" t="s">
        <v>54</v>
      </c>
      <c r="Z13" s="479" t="s">
        <v>55</v>
      </c>
      <c r="AA13" s="479" t="s">
        <v>57</v>
      </c>
      <c r="AB13" s="479" t="s">
        <v>62</v>
      </c>
      <c r="AC13" s="479" t="s">
        <v>63</v>
      </c>
      <c r="AD13" s="479" t="s">
        <v>64</v>
      </c>
      <c r="AE13" s="492" t="s">
        <v>619</v>
      </c>
      <c r="AF13" s="493" t="s">
        <v>625</v>
      </c>
    </row>
    <row r="14" spans="1:228" ht="12" thickBot="1">
      <c r="D14" s="281"/>
      <c r="E14" s="281"/>
      <c r="F14" s="503" t="str">
        <f>IF('CDO Bespoke'!O15&lt;&gt;"",'CDO Bespoke'!O15,"")</f>
        <v/>
      </c>
      <c r="G14" s="504" t="str">
        <f>IF(F14&lt;&gt;"",ABS(MIN(-0.75*('CDO Bespoke'!Q15+'CDO Bespoke'!T15)+'CDO Bespoke'!T15,0)),"")</f>
        <v/>
      </c>
      <c r="H14" s="504" t="str">
        <f>IF(F14&lt;&gt;"",IF($G$8,MAX(F14-G14,0),F14),"")</f>
        <v/>
      </c>
      <c r="I14" s="504" t="str">
        <f>IF(F14&lt;&gt;"",IF($G$8,0,G14),"")</f>
        <v/>
      </c>
      <c r="J14" s="503" t="str">
        <f>IF('CDO Bespoke'!O15&lt;&gt;"",'CDO Bespoke'!O15,"")</f>
        <v/>
      </c>
      <c r="K14" s="504" t="str">
        <f>IF(J14&lt;&gt;"",ABS(MIN(-0.75*('CDO Bespoke'!K15+'CDO Bespoke'!T15)+'CDO Bespoke'!T15,0)),"")</f>
        <v/>
      </c>
      <c r="L14" s="504" t="str">
        <f>IF(J14&lt;&gt;"",IF($G$8,MAX(J14-K14,0),J14),"")</f>
        <v/>
      </c>
      <c r="M14" s="505" t="str">
        <f>IF(J14&lt;&gt;"",IF($G$8,0,K14),"")</f>
        <v/>
      </c>
      <c r="N14" s="281"/>
      <c r="O14" s="488" t="str">
        <f>IF('CDO Bespoke'!C39&lt;&gt;"",'CDO Bespoke'!C39,"")</f>
        <v>ABNAMRO_MMR.EUR.SU</v>
      </c>
      <c r="P14" s="523" t="e" cm="1">
        <f t="array" ref="P14">IF($O14&lt;&gt;"",-TRANSPOSE(INDEX(getcds('CDO Bespoke'!$C39,P$13,'CDO Bespoke'!$G39/10000,'CDO Bespoke'!F39,'CDO Bespoke'!$L15,'CDO Bespoke'!$C$13,'CDO Bespoke'!$C$14,'CDO Bespoke'!$C$15,'CDO Bespoke'!$C$8,,,TRUE,TRUE,FALSE,'CDO Bespoke'!$C$29:'CDO Bespoke'!$C$31,'CDO Bespoke'!$C$33),{5})),"")</f>
        <v>#VALUE!</v>
      </c>
      <c r="Q14" s="524" t="e" cm="1">
        <f t="array" ref="Q14">IF($O14&lt;&gt;"",-TRANSPOSE(INDEX(getcds('CDO Bespoke'!$C39,Q$13,'CDO Bespoke'!$G39/10000,'CDO Bespoke'!G39,'CDO Bespoke'!$L15,'CDO Bespoke'!$C$13,'CDO Bespoke'!$C$14,'CDO Bespoke'!$C$15,'CDO Bespoke'!$C$8,,,TRUE,TRUE,FALSE,'CDO Bespoke'!$C$29:'CDO Bespoke'!$C$31,'CDO Bespoke'!$C$33),{5})),"")</f>
        <v>#VALUE!</v>
      </c>
      <c r="R14" s="524" t="e" cm="1">
        <f t="array" ref="R14">IF($O14&lt;&gt;"",-TRANSPOSE(INDEX(getcds('CDO Bespoke'!$C39,R$13,'CDO Bespoke'!$G39/10000,'CDO Bespoke'!H39,'CDO Bespoke'!$L15,'CDO Bespoke'!$C$13,'CDO Bespoke'!$C$14,'CDO Bespoke'!$C$15,'CDO Bespoke'!$C$8,,,TRUE,TRUE,FALSE,'CDO Bespoke'!$C$29:'CDO Bespoke'!$C$31,'CDO Bespoke'!$C$33),{5})),"")</f>
        <v>#VALUE!</v>
      </c>
      <c r="S14" s="524" t="e" cm="1">
        <f t="array" ref="S14">IF($O14&lt;&gt;"",-TRANSPOSE(INDEX(getcds('CDO Bespoke'!$C39,S$13,'CDO Bespoke'!$G39/10000,'CDO Bespoke'!I39,'CDO Bespoke'!$L15,'CDO Bespoke'!$C$13,'CDO Bespoke'!$C$14,'CDO Bespoke'!$C$15,'CDO Bespoke'!$C$8,,,TRUE,TRUE,FALSE,'CDO Bespoke'!$C$29:'CDO Bespoke'!$C$31,'CDO Bespoke'!$C$33),{5})),"")</f>
        <v>#VALUE!</v>
      </c>
      <c r="T14" s="525" t="e" cm="1">
        <f t="array" ref="T14">IF($O14&lt;&gt;"",-TRANSPOSE(INDEX(getcds('CDO Bespoke'!$C39,T$13,'CDO Bespoke'!$G39/10000,'CDO Bespoke'!J39,'CDO Bespoke'!$L15,'CDO Bespoke'!$C$13,'CDO Bespoke'!$C$14,'CDO Bespoke'!$C$15,'CDO Bespoke'!$C$8,,,TRUE,TRUE,FALSE,'CDO Bespoke'!$C$29:'CDO Bespoke'!$C$31,'CDO Bespoke'!$C$33),{5})),"")</f>
        <v>#VALUE!</v>
      </c>
      <c r="U14" s="493"/>
      <c r="V14" s="526" cm="1">
        <f t="array" ref="V14">GetCDSDeltaGIRR('CDO Bespoke'!C39:'CDO Bespoke'!C138,'CDO Bespoke'!G39:'CDO Bespoke'!G138,'CDO Bespoke'!F39:'CDO Bespoke'!F138,'CDO Bespoke'!L15:'CDO Bespoke'!L114,'CDO Bespoke'!C13,'CDO Bespoke'!C14,'CDO Bespoke'!C15,'CDO Bespoke'!C8,'CDO Bespoke'!C29:'CDO Bespoke'!C31,'CDO Bespoke'!C33)</f>
        <v>0</v>
      </c>
      <c r="W14" s="527"/>
      <c r="X14" s="527"/>
      <c r="Y14" s="527"/>
      <c r="Z14" s="527"/>
      <c r="AA14" s="527"/>
      <c r="AB14" s="527"/>
      <c r="AC14" s="527"/>
      <c r="AD14" s="527"/>
      <c r="AE14" s="528"/>
      <c r="AF14" s="538"/>
    </row>
    <row r="15" spans="1:228" ht="12" thickBot="1">
      <c r="D15" s="281"/>
      <c r="E15" s="281"/>
      <c r="F15" s="501" t="str">
        <f>IF('CDO Bespoke'!O16&lt;&gt;"",'CDO Bespoke'!O16,"")</f>
        <v/>
      </c>
      <c r="G15" s="502" t="str">
        <f>IF(F15&lt;&gt;"",ABS(MIN(-0.75*('CDO Bespoke'!Q16+'CDO Bespoke'!T16)+'CDO Bespoke'!T16,0)),"")</f>
        <v/>
      </c>
      <c r="H15" s="502" t="str">
        <f t="shared" ref="H15:H78" si="0">IF(F15&lt;&gt;"",IF($G$8,MAX(F15-G15,0),F15),"")</f>
        <v/>
      </c>
      <c r="I15" s="502" t="str">
        <f>IF(F15&lt;&gt;"",IF($G$8,0,G15),"")</f>
        <v/>
      </c>
      <c r="J15" s="501" t="str">
        <f>IF('CDO Bespoke'!O16&lt;&gt;"",'CDO Bespoke'!O16,"")</f>
        <v/>
      </c>
      <c r="K15" s="502" t="str">
        <f>IF(J15&lt;&gt;"",ABS(MIN(-0.75*('CDO Bespoke'!K16+'CDO Bespoke'!T16)+'CDO Bespoke'!T16,0)),"")</f>
        <v/>
      </c>
      <c r="L15" s="502" t="str">
        <f t="shared" ref="L15:L78" si="1">IF(J15&lt;&gt;"",IF($G$8,MAX(J15-K15,0),J15),"")</f>
        <v/>
      </c>
      <c r="M15" s="506" t="str">
        <f t="shared" ref="M15:M78" si="2">IF(J15&lt;&gt;"",IF($G$8,0,K15),"")</f>
        <v/>
      </c>
      <c r="N15" s="281"/>
      <c r="O15" s="511" t="str">
        <f>IF('CDO Bespoke'!C40&lt;&gt;"",'CDO Bespoke'!C40,"")</f>
        <v>Accor_MMR.EUR.SU</v>
      </c>
      <c r="P15" s="513" t="e" cm="1">
        <f t="array" ref="P15">IF($O15&lt;&gt;"",-TRANSPOSE(INDEX(getcds('CDO Bespoke'!$C40,P$13,'CDO Bespoke'!$G40/10000,'CDO Bespoke'!F40,'CDO Bespoke'!$L16,'CDO Bespoke'!$C$13,'CDO Bespoke'!$C$14,'CDO Bespoke'!$C$15,'CDO Bespoke'!$C$8,,,TRUE,TRUE,FALSE,'CDO Bespoke'!$C$29:'CDO Bespoke'!$C$31,'CDO Bespoke'!$C$33),{5})),"")</f>
        <v>#VALUE!</v>
      </c>
      <c r="Q15" s="542" t="e" cm="1">
        <f t="array" ref="Q15">IF($O15&lt;&gt;"",-TRANSPOSE(INDEX(getcds('CDO Bespoke'!$C40,Q$13,'CDO Bespoke'!$G40/10000,'CDO Bespoke'!G40,'CDO Bespoke'!$L16,'CDO Bespoke'!$C$13,'CDO Bespoke'!$C$14,'CDO Bespoke'!$C$15,'CDO Bespoke'!$C$8,,,TRUE,TRUE,FALSE,'CDO Bespoke'!$C$29:'CDO Bespoke'!$C$31,'CDO Bespoke'!$C$33),{5})),"")</f>
        <v>#VALUE!</v>
      </c>
      <c r="R15" s="542" t="e" cm="1">
        <f t="array" ref="R15">IF($O15&lt;&gt;"",-TRANSPOSE(INDEX(getcds('CDO Bespoke'!$C40,R$13,'CDO Bespoke'!$G40/10000,'CDO Bespoke'!H40,'CDO Bespoke'!$L16,'CDO Bespoke'!$C$13,'CDO Bespoke'!$C$14,'CDO Bespoke'!$C$15,'CDO Bespoke'!$C$8,,,TRUE,TRUE,FALSE,'CDO Bespoke'!$C$29:'CDO Bespoke'!$C$31,'CDO Bespoke'!$C$33),{5})),"")</f>
        <v>#VALUE!</v>
      </c>
      <c r="S15" s="542" t="e" cm="1">
        <f t="array" ref="S15">IF($O15&lt;&gt;"",-TRANSPOSE(INDEX(getcds('CDO Bespoke'!$C40,S$13,'CDO Bespoke'!$G40/10000,'CDO Bespoke'!I40,'CDO Bespoke'!$L16,'CDO Bespoke'!$C$13,'CDO Bespoke'!$C$14,'CDO Bespoke'!$C$15,'CDO Bespoke'!$C$8,,,TRUE,TRUE,FALSE,'CDO Bespoke'!$C$29:'CDO Bespoke'!$C$31,'CDO Bespoke'!$C$33),{5})),"")</f>
        <v>#VALUE!</v>
      </c>
      <c r="T15" s="514" t="e" cm="1">
        <f t="array" ref="T15">IF($O15&lt;&gt;"",-TRANSPOSE(INDEX(getcds('CDO Bespoke'!$C40,T$13,'CDO Bespoke'!$G40/10000,'CDO Bespoke'!J40,'CDO Bespoke'!$L16,'CDO Bespoke'!$C$13,'CDO Bespoke'!$C$14,'CDO Bespoke'!$C$15,'CDO Bespoke'!$C$8,,,TRUE,TRUE,FALSE,'CDO Bespoke'!$C$29:'CDO Bespoke'!$C$31,'CDO Bespoke'!$C$33),{5})),"")</f>
        <v>#VALUE!</v>
      </c>
      <c r="U15" s="493" t="s">
        <v>626</v>
      </c>
      <c r="V15" s="529"/>
      <c r="W15" s="530"/>
      <c r="X15" s="530"/>
      <c r="Y15" s="530"/>
      <c r="Z15" s="530"/>
      <c r="AA15" s="530"/>
      <c r="AB15" s="530"/>
      <c r="AC15" s="530"/>
      <c r="AD15" s="530"/>
      <c r="AE15" s="531"/>
      <c r="AF15" s="539"/>
    </row>
    <row r="16" spans="1:228" ht="12" thickBot="1">
      <c r="D16" s="281"/>
      <c r="E16" s="281"/>
      <c r="F16" s="501" t="str">
        <f>IF('CDO Bespoke'!O17&lt;&gt;"",'CDO Bespoke'!O17,"")</f>
        <v/>
      </c>
      <c r="G16" s="502" t="str">
        <f>IF(F16&lt;&gt;"",ABS(MIN(-0.75*('CDO Bespoke'!Q17+'CDO Bespoke'!T17)+'CDO Bespoke'!T17,0)),"")</f>
        <v/>
      </c>
      <c r="H16" s="502" t="str">
        <f t="shared" si="0"/>
        <v/>
      </c>
      <c r="I16" s="502" t="str">
        <f t="shared" ref="I16:I79" si="3">IF(F16&lt;&gt;"",IF($G$8,0,G16),"")</f>
        <v/>
      </c>
      <c r="J16" s="501" t="str">
        <f>IF('CDO Bespoke'!O17&lt;&gt;"",'CDO Bespoke'!O17,"")</f>
        <v/>
      </c>
      <c r="K16" s="502" t="str">
        <f>IF(J16&lt;&gt;"",ABS(MIN(-0.75*('CDO Bespoke'!K17+'CDO Bespoke'!T17)+'CDO Bespoke'!T17,0)),"")</f>
        <v/>
      </c>
      <c r="L16" s="502" t="str">
        <f t="shared" si="1"/>
        <v/>
      </c>
      <c r="M16" s="506" t="str">
        <f t="shared" si="2"/>
        <v/>
      </c>
      <c r="N16" s="281"/>
      <c r="O16" s="511" t="str">
        <f>IF('CDO Bespoke'!C41&lt;&gt;"",'CDO Bespoke'!C41,"")</f>
        <v>Adecco_MMR.EUR.SU</v>
      </c>
      <c r="P16" s="513" t="e" cm="1">
        <f t="array" ref="P16">IF($O16&lt;&gt;"",-TRANSPOSE(INDEX(getcds('CDO Bespoke'!$C41,P$13,'CDO Bespoke'!$G41/10000,'CDO Bespoke'!F41,'CDO Bespoke'!$L17,'CDO Bespoke'!$C$13,'CDO Bespoke'!$C$14,'CDO Bespoke'!$C$15,'CDO Bespoke'!$C$8,,,TRUE,TRUE,FALSE,'CDO Bespoke'!$C$29:'CDO Bespoke'!$C$31,'CDO Bespoke'!$C$33),{5})),"")</f>
        <v>#VALUE!</v>
      </c>
      <c r="Q16" s="542" t="e" cm="1">
        <f t="array" ref="Q16">IF($O16&lt;&gt;"",-TRANSPOSE(INDEX(getcds('CDO Bespoke'!$C41,Q$13,'CDO Bespoke'!$G41/10000,'CDO Bespoke'!G41,'CDO Bespoke'!$L17,'CDO Bespoke'!$C$13,'CDO Bespoke'!$C$14,'CDO Bespoke'!$C$15,'CDO Bespoke'!$C$8,,,TRUE,TRUE,FALSE,'CDO Bespoke'!$C$29:'CDO Bespoke'!$C$31,'CDO Bespoke'!$C$33),{5})),"")</f>
        <v>#VALUE!</v>
      </c>
      <c r="R16" s="542" t="e" cm="1">
        <f t="array" ref="R16">IF($O16&lt;&gt;"",-TRANSPOSE(INDEX(getcds('CDO Bespoke'!$C41,R$13,'CDO Bespoke'!$G41/10000,'CDO Bespoke'!H41,'CDO Bespoke'!$L17,'CDO Bespoke'!$C$13,'CDO Bespoke'!$C$14,'CDO Bespoke'!$C$15,'CDO Bespoke'!$C$8,,,TRUE,TRUE,FALSE,'CDO Bespoke'!$C$29:'CDO Bespoke'!$C$31,'CDO Bespoke'!$C$33),{5})),"")</f>
        <v>#VALUE!</v>
      </c>
      <c r="S16" s="542" t="e" cm="1">
        <f t="array" ref="S16">IF($O16&lt;&gt;"",-TRANSPOSE(INDEX(getcds('CDO Bespoke'!$C41,S$13,'CDO Bespoke'!$G41/10000,'CDO Bespoke'!I41,'CDO Bespoke'!$L17,'CDO Bespoke'!$C$13,'CDO Bespoke'!$C$14,'CDO Bespoke'!$C$15,'CDO Bespoke'!$C$8,,,TRUE,TRUE,FALSE,'CDO Bespoke'!$C$29:'CDO Bespoke'!$C$31,'CDO Bespoke'!$C$33),{5})),"")</f>
        <v>#REF!</v>
      </c>
      <c r="T16" s="514" t="e" cm="1">
        <f t="array" ref="T16">IF($O16&lt;&gt;"",-TRANSPOSE(INDEX(getcds('CDO Bespoke'!$C41,T$13,'CDO Bespoke'!$G41/10000,'CDO Bespoke'!J41,'CDO Bespoke'!$L17,'CDO Bespoke'!$C$13,'CDO Bespoke'!$C$14,'CDO Bespoke'!$C$15,'CDO Bespoke'!$C$8,,,TRUE,TRUE,FALSE,'CDO Bespoke'!$C$29:'CDO Bespoke'!$C$31,'CDO Bespoke'!$C$33),{5})),"")</f>
        <v>#VALUE!</v>
      </c>
      <c r="U16" s="543" t="str">
        <f>'CDO Bespoke'!C8</f>
        <v>EUR</v>
      </c>
      <c r="V16" s="529"/>
      <c r="W16" s="530"/>
      <c r="X16" s="530"/>
      <c r="Y16" s="530"/>
      <c r="Z16" s="530"/>
      <c r="AA16" s="530"/>
      <c r="AB16" s="530"/>
      <c r="AC16" s="530"/>
      <c r="AD16" s="530"/>
      <c r="AE16" s="531"/>
      <c r="AF16" s="539"/>
    </row>
    <row r="17" spans="6:32" s="281" customFormat="1" ht="12" thickBot="1">
      <c r="F17" s="501" t="str">
        <f>IF('CDO Bespoke'!O18&lt;&gt;"",'CDO Bespoke'!O18,"")</f>
        <v/>
      </c>
      <c r="G17" s="502" t="str">
        <f>IF(F17&lt;&gt;"",ABS(MIN(-0.75*('CDO Bespoke'!Q18+'CDO Bespoke'!T18)+'CDO Bespoke'!T18,0)),"")</f>
        <v/>
      </c>
      <c r="H17" s="502" t="str">
        <f t="shared" si="0"/>
        <v/>
      </c>
      <c r="I17" s="502" t="str">
        <f t="shared" si="3"/>
        <v/>
      </c>
      <c r="J17" s="501" t="str">
        <f>IF('CDO Bespoke'!O18&lt;&gt;"",'CDO Bespoke'!O18,"")</f>
        <v/>
      </c>
      <c r="K17" s="502" t="str">
        <f>IF(J17&lt;&gt;"",ABS(MIN(-0.75*('CDO Bespoke'!K18+'CDO Bespoke'!T18)+'CDO Bespoke'!T18,0)),"")</f>
        <v/>
      </c>
      <c r="L17" s="502" t="str">
        <f t="shared" si="1"/>
        <v/>
      </c>
      <c r="M17" s="506" t="str">
        <f t="shared" si="2"/>
        <v/>
      </c>
      <c r="O17" s="511" t="str">
        <f>IF('CDO Bespoke'!C42&lt;&gt;"",'CDO Bespoke'!C42,"")</f>
        <v>Aegon_MMR.EUR.SU</v>
      </c>
      <c r="P17" s="513" t="e" cm="1">
        <f t="array" ref="P17">IF($O17&lt;&gt;"",-TRANSPOSE(INDEX(getcds('CDO Bespoke'!$C42,P$13,'CDO Bespoke'!$G42/10000,'CDO Bespoke'!F42,'CDO Bespoke'!$L18,'CDO Bespoke'!$C$13,'CDO Bespoke'!$C$14,'CDO Bespoke'!$C$15,'CDO Bespoke'!$C$8,,,TRUE,TRUE,FALSE,'CDO Bespoke'!$C$29:'CDO Bespoke'!$C$31,'CDO Bespoke'!$C$33),{5})),"")</f>
        <v>#VALUE!</v>
      </c>
      <c r="Q17" s="542" t="e" cm="1">
        <f t="array" ref="Q17">IF($O17&lt;&gt;"",-TRANSPOSE(INDEX(getcds('CDO Bespoke'!$C42,Q$13,'CDO Bespoke'!$G42/10000,'CDO Bespoke'!G42,'CDO Bespoke'!$L18,'CDO Bespoke'!$C$13,'CDO Bespoke'!$C$14,'CDO Bespoke'!$C$15,'CDO Bespoke'!$C$8,,,TRUE,TRUE,FALSE,'CDO Bespoke'!$C$29:'CDO Bespoke'!$C$31,'CDO Bespoke'!$C$33),{5})),"")</f>
        <v>#VALUE!</v>
      </c>
      <c r="R17" s="542" t="e" cm="1">
        <f t="array" ref="R17">IF($O17&lt;&gt;"",-TRANSPOSE(INDEX(getcds('CDO Bespoke'!$C42,R$13,'CDO Bespoke'!$G42/10000,'CDO Bespoke'!H42,'CDO Bespoke'!$L18,'CDO Bespoke'!$C$13,'CDO Bespoke'!$C$14,'CDO Bespoke'!$C$15,'CDO Bespoke'!$C$8,,,TRUE,TRUE,FALSE,'CDO Bespoke'!$C$29:'CDO Bespoke'!$C$31,'CDO Bespoke'!$C$33),{5})),"")</f>
        <v>#VALUE!</v>
      </c>
      <c r="S17" s="542" t="e" cm="1">
        <f t="array" ref="S17">IF($O17&lt;&gt;"",-TRANSPOSE(INDEX(getcds('CDO Bespoke'!$C42,S$13,'CDO Bespoke'!$G42/10000,'CDO Bespoke'!I42,'CDO Bespoke'!$L18,'CDO Bespoke'!$C$13,'CDO Bespoke'!$C$14,'CDO Bespoke'!$C$15,'CDO Bespoke'!$C$8,,,TRUE,TRUE,FALSE,'CDO Bespoke'!$C$29:'CDO Bespoke'!$C$31,'CDO Bespoke'!$C$33),{5})),"")</f>
        <v>#VALUE!</v>
      </c>
      <c r="T17" s="514" t="e" cm="1">
        <f t="array" ref="T17">IF($O17&lt;&gt;"",-TRANSPOSE(INDEX(getcds('CDO Bespoke'!$C42,T$13,'CDO Bespoke'!$G42/10000,'CDO Bespoke'!J42,'CDO Bespoke'!$L18,'CDO Bespoke'!$C$13,'CDO Bespoke'!$C$14,'CDO Bespoke'!$C$15,'CDO Bespoke'!$C$8,,,TRUE,TRUE,FALSE,'CDO Bespoke'!$C$29:'CDO Bespoke'!$C$31,'CDO Bespoke'!$C$33),{5})),"")</f>
        <v>#VALUE!</v>
      </c>
      <c r="U17" s="493"/>
      <c r="V17" s="529"/>
      <c r="W17" s="530"/>
      <c r="X17" s="530"/>
      <c r="Y17" s="530"/>
      <c r="Z17" s="530"/>
      <c r="AA17" s="530"/>
      <c r="AB17" s="530"/>
      <c r="AC17" s="530"/>
      <c r="AD17" s="530"/>
      <c r="AE17" s="531"/>
      <c r="AF17" s="539"/>
    </row>
    <row r="18" spans="6:32" s="281" customFormat="1" ht="12" thickBot="1">
      <c r="F18" s="501" t="str">
        <f>IF('CDO Bespoke'!O19&lt;&gt;"",'CDO Bespoke'!O19,"")</f>
        <v/>
      </c>
      <c r="G18" s="502" t="str">
        <f>IF(F18&lt;&gt;"",ABS(MIN(-0.75*('CDO Bespoke'!Q19+'CDO Bespoke'!T19)+'CDO Bespoke'!T19,0)),"")</f>
        <v/>
      </c>
      <c r="H18" s="502" t="str">
        <f t="shared" si="0"/>
        <v/>
      </c>
      <c r="I18" s="502" t="str">
        <f t="shared" si="3"/>
        <v/>
      </c>
      <c r="J18" s="501" t="str">
        <f>IF('CDO Bespoke'!O19&lt;&gt;"",'CDO Bespoke'!O19,"")</f>
        <v/>
      </c>
      <c r="K18" s="502" t="str">
        <f>IF(J18&lt;&gt;"",ABS(MIN(-0.75*('CDO Bespoke'!K19+'CDO Bespoke'!T19)+'CDO Bespoke'!T19,0)),"")</f>
        <v/>
      </c>
      <c r="L18" s="502" t="str">
        <f t="shared" si="1"/>
        <v/>
      </c>
      <c r="M18" s="506" t="str">
        <f t="shared" si="2"/>
        <v/>
      </c>
      <c r="O18" s="511" t="str">
        <f>IF('CDO Bespoke'!C43&lt;&gt;"",'CDO Bespoke'!C43,"")</f>
        <v>AkzoNobel_MMR.EUR.SU</v>
      </c>
      <c r="P18" s="513" t="e" cm="1">
        <f t="array" ref="P18">IF($O18&lt;&gt;"",-TRANSPOSE(INDEX(getcds('CDO Bespoke'!$C43,P$13,'CDO Bespoke'!$G43/10000,'CDO Bespoke'!F43,'CDO Bespoke'!$L19,'CDO Bespoke'!$C$13,'CDO Bespoke'!$C$14,'CDO Bespoke'!$C$15,'CDO Bespoke'!$C$8,,,TRUE,TRUE,FALSE,'CDO Bespoke'!$C$29:'CDO Bespoke'!$C$31,'CDO Bespoke'!$C$33),{5})),"")</f>
        <v>#VALUE!</v>
      </c>
      <c r="Q18" s="542" t="e" cm="1">
        <f t="array" ref="Q18">IF($O18&lt;&gt;"",-TRANSPOSE(INDEX(getcds('CDO Bespoke'!$C43,Q$13,'CDO Bespoke'!$G43/10000,'CDO Bespoke'!G43,'CDO Bespoke'!$L19,'CDO Bespoke'!$C$13,'CDO Bespoke'!$C$14,'CDO Bespoke'!$C$15,'CDO Bespoke'!$C$8,,,TRUE,TRUE,FALSE,'CDO Bespoke'!$C$29:'CDO Bespoke'!$C$31,'CDO Bespoke'!$C$33),{5})),"")</f>
        <v>#VALUE!</v>
      </c>
      <c r="R18" s="542" t="e" cm="1">
        <f t="array" ref="R18">IF($O18&lt;&gt;"",-TRANSPOSE(INDEX(getcds('CDO Bespoke'!$C43,R$13,'CDO Bespoke'!$G43/10000,'CDO Bespoke'!H43,'CDO Bespoke'!$L19,'CDO Bespoke'!$C$13,'CDO Bespoke'!$C$14,'CDO Bespoke'!$C$15,'CDO Bespoke'!$C$8,,,TRUE,TRUE,FALSE,'CDO Bespoke'!$C$29:'CDO Bespoke'!$C$31,'CDO Bespoke'!$C$33),{5})),"")</f>
        <v>#VALUE!</v>
      </c>
      <c r="S18" s="542" t="e" cm="1">
        <f t="array" ref="S18">IF($O18&lt;&gt;"",-TRANSPOSE(INDEX(getcds('CDO Bespoke'!$C43,S$13,'CDO Bespoke'!$G43/10000,'CDO Bespoke'!I43,'CDO Bespoke'!$L19,'CDO Bespoke'!$C$13,'CDO Bespoke'!$C$14,'CDO Bespoke'!$C$15,'CDO Bespoke'!$C$8,,,TRUE,TRUE,FALSE,'CDO Bespoke'!$C$29:'CDO Bespoke'!$C$31,'CDO Bespoke'!$C$33),{5})),"")</f>
        <v>#REF!</v>
      </c>
      <c r="T18" s="514" t="e" cm="1">
        <f t="array" ref="T18">IF($O18&lt;&gt;"",-TRANSPOSE(INDEX(getcds('CDO Bespoke'!$C43,T$13,'CDO Bespoke'!$G43/10000,'CDO Bespoke'!J43,'CDO Bespoke'!$L19,'CDO Bespoke'!$C$13,'CDO Bespoke'!$C$14,'CDO Bespoke'!$C$15,'CDO Bespoke'!$C$8,,,TRUE,TRUE,FALSE,'CDO Bespoke'!$C$29:'CDO Bespoke'!$C$31,'CDO Bespoke'!$C$33),{5})),"")</f>
        <v>#REF!</v>
      </c>
      <c r="U18" s="493"/>
      <c r="V18" s="529"/>
      <c r="W18" s="530"/>
      <c r="X18" s="530"/>
      <c r="Y18" s="530"/>
      <c r="Z18" s="530"/>
      <c r="AA18" s="530"/>
      <c r="AB18" s="530"/>
      <c r="AC18" s="530"/>
      <c r="AD18" s="530"/>
      <c r="AE18" s="531"/>
      <c r="AF18" s="539"/>
    </row>
    <row r="19" spans="6:32" s="281" customFormat="1" ht="12" thickBot="1">
      <c r="F19" s="501" t="str">
        <f>IF('CDO Bespoke'!O20&lt;&gt;"",'CDO Bespoke'!O20,"")</f>
        <v/>
      </c>
      <c r="G19" s="502" t="str">
        <f>IF(F19&lt;&gt;"",ABS(MIN(-0.75*('CDO Bespoke'!Q20+'CDO Bespoke'!T20)+'CDO Bespoke'!T20,0)),"")</f>
        <v/>
      </c>
      <c r="H19" s="502" t="str">
        <f t="shared" si="0"/>
        <v/>
      </c>
      <c r="I19" s="502" t="str">
        <f t="shared" si="3"/>
        <v/>
      </c>
      <c r="J19" s="501" t="str">
        <f>IF('CDO Bespoke'!O20&lt;&gt;"",'CDO Bespoke'!O20,"")</f>
        <v/>
      </c>
      <c r="K19" s="502" t="str">
        <f>IF(J19&lt;&gt;"",ABS(MIN(-0.75*('CDO Bespoke'!K20+'CDO Bespoke'!T20)+'CDO Bespoke'!T20,0)),"")</f>
        <v/>
      </c>
      <c r="L19" s="502" t="str">
        <f t="shared" si="1"/>
        <v/>
      </c>
      <c r="M19" s="506" t="str">
        <f t="shared" si="2"/>
        <v/>
      </c>
      <c r="O19" s="511" t="str">
        <f>IF('CDO Bespoke'!C44&lt;&gt;"",'CDO Bespoke'!C44,"")</f>
        <v>Allianz_MMR.EUR.SU</v>
      </c>
      <c r="P19" s="513" t="e" cm="1">
        <f t="array" ref="P19">IF($O19&lt;&gt;"",-TRANSPOSE(INDEX(getcds('CDO Bespoke'!$C44,P$13,'CDO Bespoke'!$G44/10000,'CDO Bespoke'!F44,'CDO Bespoke'!$L20,'CDO Bespoke'!$C$13,'CDO Bespoke'!$C$14,'CDO Bespoke'!$C$15,'CDO Bespoke'!$C$8,,,TRUE,TRUE,FALSE,'CDO Bespoke'!$C$29:'CDO Bespoke'!$C$31,'CDO Bespoke'!$C$33),{5})),"")</f>
        <v>#VALUE!</v>
      </c>
      <c r="Q19" s="542" t="e" cm="1">
        <f t="array" ref="Q19">IF($O19&lt;&gt;"",-TRANSPOSE(INDEX(getcds('CDO Bespoke'!$C44,Q$13,'CDO Bespoke'!$G44/10000,'CDO Bespoke'!G44,'CDO Bespoke'!$L20,'CDO Bespoke'!$C$13,'CDO Bespoke'!$C$14,'CDO Bespoke'!$C$15,'CDO Bespoke'!$C$8,,,TRUE,TRUE,FALSE,'CDO Bespoke'!$C$29:'CDO Bespoke'!$C$31,'CDO Bespoke'!$C$33),{5})),"")</f>
        <v>#VALUE!</v>
      </c>
      <c r="R19" s="542" t="e" cm="1">
        <f t="array" ref="R19">IF($O19&lt;&gt;"",-TRANSPOSE(INDEX(getcds('CDO Bespoke'!$C44,R$13,'CDO Bespoke'!$G44/10000,'CDO Bespoke'!H44,'CDO Bespoke'!$L20,'CDO Bespoke'!$C$13,'CDO Bespoke'!$C$14,'CDO Bespoke'!$C$15,'CDO Bespoke'!$C$8,,,TRUE,TRUE,FALSE,'CDO Bespoke'!$C$29:'CDO Bespoke'!$C$31,'CDO Bespoke'!$C$33),{5})),"")</f>
        <v>#VALUE!</v>
      </c>
      <c r="S19" s="542" t="e" cm="1">
        <f t="array" ref="S19">IF($O19&lt;&gt;"",-TRANSPOSE(INDEX(getcds('CDO Bespoke'!$C44,S$13,'CDO Bespoke'!$G44/10000,'CDO Bespoke'!I44,'CDO Bespoke'!$L20,'CDO Bespoke'!$C$13,'CDO Bespoke'!$C$14,'CDO Bespoke'!$C$15,'CDO Bespoke'!$C$8,,,TRUE,TRUE,FALSE,'CDO Bespoke'!$C$29:'CDO Bespoke'!$C$31,'CDO Bespoke'!$C$33),{5})),"")</f>
        <v>#VALUE!</v>
      </c>
      <c r="T19" s="514" t="e" cm="1">
        <f t="array" ref="T19">IF($O19&lt;&gt;"",-TRANSPOSE(INDEX(getcds('CDO Bespoke'!$C44,T$13,'CDO Bespoke'!$G44/10000,'CDO Bespoke'!J44,'CDO Bespoke'!$L20,'CDO Bespoke'!$C$13,'CDO Bespoke'!$C$14,'CDO Bespoke'!$C$15,'CDO Bespoke'!$C$8,,,TRUE,TRUE,FALSE,'CDO Bespoke'!$C$29:'CDO Bespoke'!$C$31,'CDO Bespoke'!$C$33),{5})),"")</f>
        <v>#VALUE!</v>
      </c>
      <c r="U19" s="493"/>
      <c r="V19" s="529"/>
      <c r="W19" s="530"/>
      <c r="X19" s="530"/>
      <c r="Y19" s="530"/>
      <c r="Z19" s="530"/>
      <c r="AA19" s="530"/>
      <c r="AB19" s="530"/>
      <c r="AC19" s="530"/>
      <c r="AD19" s="530"/>
      <c r="AE19" s="531"/>
      <c r="AF19" s="539"/>
    </row>
    <row r="20" spans="6:32" s="281" customFormat="1" ht="12" thickBot="1">
      <c r="F20" s="501" t="str">
        <f>IF('CDO Bespoke'!O21&lt;&gt;"",'CDO Bespoke'!O21,"")</f>
        <v/>
      </c>
      <c r="G20" s="502" t="str">
        <f>IF(F20&lt;&gt;"",ABS(MIN(-0.75*('CDO Bespoke'!Q21+'CDO Bespoke'!T21)+'CDO Bespoke'!T21,0)),"")</f>
        <v/>
      </c>
      <c r="H20" s="502" t="str">
        <f t="shared" si="0"/>
        <v/>
      </c>
      <c r="I20" s="502" t="str">
        <f t="shared" si="3"/>
        <v/>
      </c>
      <c r="J20" s="501" t="str">
        <f>IF('CDO Bespoke'!O21&lt;&gt;"",'CDO Bespoke'!O21,"")</f>
        <v/>
      </c>
      <c r="K20" s="502" t="str">
        <f>IF(J20&lt;&gt;"",ABS(MIN(-0.75*('CDO Bespoke'!K21+'CDO Bespoke'!T21)+'CDO Bespoke'!T21,0)),"")</f>
        <v/>
      </c>
      <c r="L20" s="502" t="str">
        <f t="shared" si="1"/>
        <v/>
      </c>
      <c r="M20" s="506" t="str">
        <f t="shared" si="2"/>
        <v/>
      </c>
      <c r="O20" s="511" t="str">
        <f>IF('CDO Bespoke'!C45&lt;&gt;"",'CDO Bespoke'!C45,"")</f>
        <v>Altadis_MMR.EUR.SU</v>
      </c>
      <c r="P20" s="513" t="e" cm="1">
        <f t="array" ref="P20">IF($O20&lt;&gt;"",-TRANSPOSE(INDEX(getcds('CDO Bespoke'!$C45,P$13,'CDO Bespoke'!$G45/10000,'CDO Bespoke'!F45,'CDO Bespoke'!$L21,'CDO Bespoke'!$C$13,'CDO Bespoke'!$C$14,'CDO Bespoke'!$C$15,'CDO Bespoke'!$C$8,,,TRUE,TRUE,FALSE,'CDO Bespoke'!$C$29:'CDO Bespoke'!$C$31,'CDO Bespoke'!$C$33),{5})),"")</f>
        <v>#VALUE!</v>
      </c>
      <c r="Q20" s="542" t="e" cm="1">
        <f t="array" ref="Q20">IF($O20&lt;&gt;"",-TRANSPOSE(INDEX(getcds('CDO Bespoke'!$C45,Q$13,'CDO Bespoke'!$G45/10000,'CDO Bespoke'!G45,'CDO Bespoke'!$L21,'CDO Bespoke'!$C$13,'CDO Bespoke'!$C$14,'CDO Bespoke'!$C$15,'CDO Bespoke'!$C$8,,,TRUE,TRUE,FALSE,'CDO Bespoke'!$C$29:'CDO Bespoke'!$C$31,'CDO Bespoke'!$C$33),{5})),"")</f>
        <v>#VALUE!</v>
      </c>
      <c r="R20" s="542" t="e" cm="1">
        <f t="array" ref="R20">IF($O20&lt;&gt;"",-TRANSPOSE(INDEX(getcds('CDO Bespoke'!$C45,R$13,'CDO Bespoke'!$G45/10000,'CDO Bespoke'!H45,'CDO Bespoke'!$L21,'CDO Bespoke'!$C$13,'CDO Bespoke'!$C$14,'CDO Bespoke'!$C$15,'CDO Bespoke'!$C$8,,,TRUE,TRUE,FALSE,'CDO Bespoke'!$C$29:'CDO Bespoke'!$C$31,'CDO Bespoke'!$C$33),{5})),"")</f>
        <v>#VALUE!</v>
      </c>
      <c r="S20" s="542" t="e" cm="1">
        <f t="array" ref="S20">IF($O20&lt;&gt;"",-TRANSPOSE(INDEX(getcds('CDO Bespoke'!$C45,S$13,'CDO Bespoke'!$G45/10000,'CDO Bespoke'!I45,'CDO Bespoke'!$L21,'CDO Bespoke'!$C$13,'CDO Bespoke'!$C$14,'CDO Bespoke'!$C$15,'CDO Bespoke'!$C$8,,,TRUE,TRUE,FALSE,'CDO Bespoke'!$C$29:'CDO Bespoke'!$C$31,'CDO Bespoke'!$C$33),{5})),"")</f>
        <v>#VALUE!</v>
      </c>
      <c r="T20" s="514" t="e" cm="1">
        <f t="array" ref="T20">IF($O20&lt;&gt;"",-TRANSPOSE(INDEX(getcds('CDO Bespoke'!$C45,T$13,'CDO Bespoke'!$G45/10000,'CDO Bespoke'!J45,'CDO Bespoke'!$L21,'CDO Bespoke'!$C$13,'CDO Bespoke'!$C$14,'CDO Bespoke'!$C$15,'CDO Bespoke'!$C$8,,,TRUE,TRUE,FALSE,'CDO Bespoke'!$C$29:'CDO Bespoke'!$C$31,'CDO Bespoke'!$C$33),{5})),"")</f>
        <v>#VALUE!</v>
      </c>
      <c r="U20" s="493"/>
      <c r="V20" s="529"/>
      <c r="W20" s="530"/>
      <c r="X20" s="530"/>
      <c r="Y20" s="530"/>
      <c r="Z20" s="530"/>
      <c r="AA20" s="530"/>
      <c r="AB20" s="530"/>
      <c r="AC20" s="530"/>
      <c r="AD20" s="530"/>
      <c r="AE20" s="531"/>
      <c r="AF20" s="539"/>
    </row>
    <row r="21" spans="6:32" s="281" customFormat="1" ht="12" thickBot="1">
      <c r="F21" s="501" t="str">
        <f>IF('CDO Bespoke'!O22&lt;&gt;"",'CDO Bespoke'!O22,"")</f>
        <v/>
      </c>
      <c r="G21" s="502" t="str">
        <f>IF(F21&lt;&gt;"",ABS(MIN(-0.75*('CDO Bespoke'!Q22+'CDO Bespoke'!T22)+'CDO Bespoke'!T22,0)),"")</f>
        <v/>
      </c>
      <c r="H21" s="502" t="str">
        <f t="shared" si="0"/>
        <v/>
      </c>
      <c r="I21" s="502" t="str">
        <f t="shared" si="3"/>
        <v/>
      </c>
      <c r="J21" s="501" t="str">
        <f>IF('CDO Bespoke'!O22&lt;&gt;"",'CDO Bespoke'!O22,"")</f>
        <v/>
      </c>
      <c r="K21" s="502" t="str">
        <f>IF(J21&lt;&gt;"",ABS(MIN(-0.75*('CDO Bespoke'!K22+'CDO Bespoke'!T22)+'CDO Bespoke'!T22,0)),"")</f>
        <v/>
      </c>
      <c r="L21" s="502" t="str">
        <f t="shared" si="1"/>
        <v/>
      </c>
      <c r="M21" s="506" t="str">
        <f t="shared" si="2"/>
        <v/>
      </c>
      <c r="O21" s="511" t="str">
        <f>IF('CDO Bespoke'!C46&lt;&gt;"",'CDO Bespoke'!C46,"")</f>
        <v>ArcelorFinanceSca_MMR.EUR.SU</v>
      </c>
      <c r="P21" s="513" t="e" cm="1">
        <f t="array" ref="P21">IF($O21&lt;&gt;"",-TRANSPOSE(INDEX(getcds('CDO Bespoke'!$C46,P$13,'CDO Bespoke'!$G46/10000,'CDO Bespoke'!F46,'CDO Bespoke'!$L22,'CDO Bespoke'!$C$13,'CDO Bespoke'!$C$14,'CDO Bespoke'!$C$15,'CDO Bespoke'!$C$8,,,TRUE,TRUE,FALSE,'CDO Bespoke'!$C$29:'CDO Bespoke'!$C$31,'CDO Bespoke'!$C$33),{5})),"")</f>
        <v>#VALUE!</v>
      </c>
      <c r="Q21" s="542" t="e" cm="1">
        <f t="array" ref="Q21">IF($O21&lt;&gt;"",-TRANSPOSE(INDEX(getcds('CDO Bespoke'!$C46,Q$13,'CDO Bespoke'!$G46/10000,'CDO Bespoke'!G46,'CDO Bespoke'!$L22,'CDO Bespoke'!$C$13,'CDO Bespoke'!$C$14,'CDO Bespoke'!$C$15,'CDO Bespoke'!$C$8,,,TRUE,TRUE,FALSE,'CDO Bespoke'!$C$29:'CDO Bespoke'!$C$31,'CDO Bespoke'!$C$33),{5})),"")</f>
        <v>#VALUE!</v>
      </c>
      <c r="R21" s="542" t="e" cm="1">
        <f t="array" ref="R21">IF($O21&lt;&gt;"",-TRANSPOSE(INDEX(getcds('CDO Bespoke'!$C46,R$13,'CDO Bespoke'!$G46/10000,'CDO Bespoke'!H46,'CDO Bespoke'!$L22,'CDO Bespoke'!$C$13,'CDO Bespoke'!$C$14,'CDO Bespoke'!$C$15,'CDO Bespoke'!$C$8,,,TRUE,TRUE,FALSE,'CDO Bespoke'!$C$29:'CDO Bespoke'!$C$31,'CDO Bespoke'!$C$33),{5})),"")</f>
        <v>#VALUE!</v>
      </c>
      <c r="S21" s="542" t="e" cm="1">
        <f t="array" ref="S21">IF($O21&lt;&gt;"",-TRANSPOSE(INDEX(getcds('CDO Bespoke'!$C46,S$13,'CDO Bespoke'!$G46/10000,'CDO Bespoke'!I46,'CDO Bespoke'!$L22,'CDO Bespoke'!$C$13,'CDO Bespoke'!$C$14,'CDO Bespoke'!$C$15,'CDO Bespoke'!$C$8,,,TRUE,TRUE,FALSE,'CDO Bespoke'!$C$29:'CDO Bespoke'!$C$31,'CDO Bespoke'!$C$33),{5})),"")</f>
        <v>#VALUE!</v>
      </c>
      <c r="T21" s="514" t="e" cm="1">
        <f t="array" ref="T21">IF($O21&lt;&gt;"",-TRANSPOSE(INDEX(getcds('CDO Bespoke'!$C46,T$13,'CDO Bespoke'!$G46/10000,'CDO Bespoke'!J46,'CDO Bespoke'!$L22,'CDO Bespoke'!$C$13,'CDO Bespoke'!$C$14,'CDO Bespoke'!$C$15,'CDO Bespoke'!$C$8,,,TRUE,TRUE,FALSE,'CDO Bespoke'!$C$29:'CDO Bespoke'!$C$31,'CDO Bespoke'!$C$33),{5})),"")</f>
        <v>#VALUE!</v>
      </c>
      <c r="U21" s="493"/>
      <c r="V21" s="529"/>
      <c r="W21" s="530"/>
      <c r="X21" s="530"/>
      <c r="Y21" s="530"/>
      <c r="Z21" s="530"/>
      <c r="AA21" s="530"/>
      <c r="AB21" s="530"/>
      <c r="AC21" s="530"/>
      <c r="AD21" s="530"/>
      <c r="AE21" s="531"/>
      <c r="AF21" s="539"/>
    </row>
    <row r="22" spans="6:32" s="281" customFormat="1" ht="12" thickBot="1">
      <c r="F22" s="501" t="str">
        <f>IF('CDO Bespoke'!O23&lt;&gt;"",'CDO Bespoke'!O23,"")</f>
        <v/>
      </c>
      <c r="G22" s="502" t="str">
        <f>IF(F22&lt;&gt;"",ABS(MIN(-0.75*('CDO Bespoke'!Q23+'CDO Bespoke'!T23)+'CDO Bespoke'!T23,0)),"")</f>
        <v/>
      </c>
      <c r="H22" s="502" t="str">
        <f t="shared" si="0"/>
        <v/>
      </c>
      <c r="I22" s="502" t="str">
        <f t="shared" si="3"/>
        <v/>
      </c>
      <c r="J22" s="501" t="str">
        <f>IF('CDO Bespoke'!O23&lt;&gt;"",'CDO Bespoke'!O23,"")</f>
        <v/>
      </c>
      <c r="K22" s="502" t="str">
        <f>IF(J22&lt;&gt;"",ABS(MIN(-0.75*('CDO Bespoke'!K23+'CDO Bespoke'!T23)+'CDO Bespoke'!T23,0)),"")</f>
        <v/>
      </c>
      <c r="L22" s="502" t="str">
        <f t="shared" si="1"/>
        <v/>
      </c>
      <c r="M22" s="506" t="str">
        <f t="shared" si="2"/>
        <v/>
      </c>
      <c r="O22" s="511" t="str">
        <f>IF('CDO Bespoke'!C47&lt;&gt;"",'CDO Bespoke'!C47,"")</f>
        <v>Auchan_MMR.EUR.SU</v>
      </c>
      <c r="P22" s="513" t="e" cm="1">
        <f t="array" ref="P22">IF($O22&lt;&gt;"",-TRANSPOSE(INDEX(getcds('CDO Bespoke'!$C47,P$13,'CDO Bespoke'!$G47/10000,'CDO Bespoke'!F47,'CDO Bespoke'!$L23,'CDO Bespoke'!$C$13,'CDO Bespoke'!$C$14,'CDO Bespoke'!$C$15,'CDO Bespoke'!$C$8,,,TRUE,TRUE,FALSE,'CDO Bespoke'!$C$29:'CDO Bespoke'!$C$31,'CDO Bespoke'!$C$33),{5})),"")</f>
        <v>#VALUE!</v>
      </c>
      <c r="Q22" s="542" t="e" cm="1">
        <f t="array" ref="Q22">IF($O22&lt;&gt;"",-TRANSPOSE(INDEX(getcds('CDO Bespoke'!$C47,Q$13,'CDO Bespoke'!$G47/10000,'CDO Bespoke'!G47,'CDO Bespoke'!$L23,'CDO Bespoke'!$C$13,'CDO Bespoke'!$C$14,'CDO Bespoke'!$C$15,'CDO Bespoke'!$C$8,,,TRUE,TRUE,FALSE,'CDO Bespoke'!$C$29:'CDO Bespoke'!$C$31,'CDO Bespoke'!$C$33),{5})),"")</f>
        <v>#VALUE!</v>
      </c>
      <c r="R22" s="542" t="e" cm="1">
        <f t="array" ref="R22">IF($O22&lt;&gt;"",-TRANSPOSE(INDEX(getcds('CDO Bespoke'!$C47,R$13,'CDO Bespoke'!$G47/10000,'CDO Bespoke'!H47,'CDO Bespoke'!$L23,'CDO Bespoke'!$C$13,'CDO Bespoke'!$C$14,'CDO Bespoke'!$C$15,'CDO Bespoke'!$C$8,,,TRUE,TRUE,FALSE,'CDO Bespoke'!$C$29:'CDO Bespoke'!$C$31,'CDO Bespoke'!$C$33),{5})),"")</f>
        <v>#VALUE!</v>
      </c>
      <c r="S22" s="542" t="e" cm="1">
        <f t="array" ref="S22">IF($O22&lt;&gt;"",-TRANSPOSE(INDEX(getcds('CDO Bespoke'!$C47,S$13,'CDO Bespoke'!$G47/10000,'CDO Bespoke'!I47,'CDO Bespoke'!$L23,'CDO Bespoke'!$C$13,'CDO Bespoke'!$C$14,'CDO Bespoke'!$C$15,'CDO Bespoke'!$C$8,,,TRUE,TRUE,FALSE,'CDO Bespoke'!$C$29:'CDO Bespoke'!$C$31,'CDO Bespoke'!$C$33),{5})),"")</f>
        <v>#VALUE!</v>
      </c>
      <c r="T22" s="514" t="e" cm="1">
        <f t="array" ref="T22">IF($O22&lt;&gt;"",-TRANSPOSE(INDEX(getcds('CDO Bespoke'!$C47,T$13,'CDO Bespoke'!$G47/10000,'CDO Bespoke'!J47,'CDO Bespoke'!$L23,'CDO Bespoke'!$C$13,'CDO Bespoke'!$C$14,'CDO Bespoke'!$C$15,'CDO Bespoke'!$C$8,,,TRUE,TRUE,FALSE,'CDO Bespoke'!$C$29:'CDO Bespoke'!$C$31,'CDO Bespoke'!$C$33),{5})),"")</f>
        <v>#VALUE!</v>
      </c>
      <c r="U22" s="493"/>
      <c r="V22" s="529"/>
      <c r="W22" s="530"/>
      <c r="X22" s="530"/>
      <c r="Y22" s="530"/>
      <c r="Z22" s="530"/>
      <c r="AA22" s="530"/>
      <c r="AB22" s="530"/>
      <c r="AC22" s="530"/>
      <c r="AD22" s="530"/>
      <c r="AE22" s="531"/>
      <c r="AF22" s="539"/>
    </row>
    <row r="23" spans="6:32" s="281" customFormat="1" ht="12" thickBot="1">
      <c r="F23" s="501" t="str">
        <f>IF('CDO Bespoke'!O24&lt;&gt;"",'CDO Bespoke'!O24,"")</f>
        <v/>
      </c>
      <c r="G23" s="502" t="str">
        <f>IF(F23&lt;&gt;"",ABS(MIN(-0.75*('CDO Bespoke'!Q24+'CDO Bespoke'!T24)+'CDO Bespoke'!T24,0)),"")</f>
        <v/>
      </c>
      <c r="H23" s="502" t="str">
        <f t="shared" si="0"/>
        <v/>
      </c>
      <c r="I23" s="502" t="str">
        <f t="shared" si="3"/>
        <v/>
      </c>
      <c r="J23" s="501" t="str">
        <f>IF('CDO Bespoke'!O24&lt;&gt;"",'CDO Bespoke'!O24,"")</f>
        <v/>
      </c>
      <c r="K23" s="502" t="str">
        <f>IF(J23&lt;&gt;"",ABS(MIN(-0.75*('CDO Bespoke'!K24+'CDO Bespoke'!T24)+'CDO Bespoke'!T24,0)),"")</f>
        <v/>
      </c>
      <c r="L23" s="502" t="str">
        <f t="shared" si="1"/>
        <v/>
      </c>
      <c r="M23" s="506" t="str">
        <f t="shared" si="2"/>
        <v/>
      </c>
      <c r="O23" s="511" t="str">
        <f>IF('CDO Bespoke'!C48&lt;&gt;"",'CDO Bespoke'!C48,"")</f>
        <v>Aviva_MMR.EUR.SU</v>
      </c>
      <c r="P23" s="513" t="e" cm="1">
        <f t="array" ref="P23">IF($O23&lt;&gt;"",-TRANSPOSE(INDEX(getcds('CDO Bespoke'!$C48,P$13,'CDO Bespoke'!$G48/10000,'CDO Bespoke'!F48,'CDO Bespoke'!$L24,'CDO Bespoke'!$C$13,'CDO Bespoke'!$C$14,'CDO Bespoke'!$C$15,'CDO Bespoke'!$C$8,,,TRUE,TRUE,FALSE,'CDO Bespoke'!$C$29:'CDO Bespoke'!$C$31,'CDO Bespoke'!$C$33),{5})),"")</f>
        <v>#REF!</v>
      </c>
      <c r="Q23" s="542" t="e" cm="1">
        <f t="array" ref="Q23">IF($O23&lt;&gt;"",-TRANSPOSE(INDEX(getcds('CDO Bespoke'!$C48,Q$13,'CDO Bespoke'!$G48/10000,'CDO Bespoke'!G48,'CDO Bespoke'!$L24,'CDO Bespoke'!$C$13,'CDO Bespoke'!$C$14,'CDO Bespoke'!$C$15,'CDO Bespoke'!$C$8,,,TRUE,TRUE,FALSE,'CDO Bespoke'!$C$29:'CDO Bespoke'!$C$31,'CDO Bespoke'!$C$33),{5})),"")</f>
        <v>#VALUE!</v>
      </c>
      <c r="R23" s="542" t="e" cm="1">
        <f t="array" ref="R23">IF($O23&lt;&gt;"",-TRANSPOSE(INDEX(getcds('CDO Bespoke'!$C48,R$13,'CDO Bespoke'!$G48/10000,'CDO Bespoke'!H48,'CDO Bespoke'!$L24,'CDO Bespoke'!$C$13,'CDO Bespoke'!$C$14,'CDO Bespoke'!$C$15,'CDO Bespoke'!$C$8,,,TRUE,TRUE,FALSE,'CDO Bespoke'!$C$29:'CDO Bespoke'!$C$31,'CDO Bespoke'!$C$33),{5})),"")</f>
        <v>#VALUE!</v>
      </c>
      <c r="S23" s="542" t="e" cm="1">
        <f t="array" ref="S23">IF($O23&lt;&gt;"",-TRANSPOSE(INDEX(getcds('CDO Bespoke'!$C48,S$13,'CDO Bespoke'!$G48/10000,'CDO Bespoke'!I48,'CDO Bespoke'!$L24,'CDO Bespoke'!$C$13,'CDO Bespoke'!$C$14,'CDO Bespoke'!$C$15,'CDO Bespoke'!$C$8,,,TRUE,TRUE,FALSE,'CDO Bespoke'!$C$29:'CDO Bespoke'!$C$31,'CDO Bespoke'!$C$33),{5})),"")</f>
        <v>#VALUE!</v>
      </c>
      <c r="T23" s="514" t="e" cm="1">
        <f t="array" ref="T23">IF($O23&lt;&gt;"",-TRANSPOSE(INDEX(getcds('CDO Bespoke'!$C48,T$13,'CDO Bespoke'!$G48/10000,'CDO Bespoke'!J48,'CDO Bespoke'!$L24,'CDO Bespoke'!$C$13,'CDO Bespoke'!$C$14,'CDO Bespoke'!$C$15,'CDO Bespoke'!$C$8,,,TRUE,TRUE,FALSE,'CDO Bespoke'!$C$29:'CDO Bespoke'!$C$31,'CDO Bespoke'!$C$33),{5})),"")</f>
        <v>#REF!</v>
      </c>
      <c r="U23" s="493"/>
      <c r="V23" s="529"/>
      <c r="W23" s="530"/>
      <c r="X23" s="530"/>
      <c r="Y23" s="530"/>
      <c r="Z23" s="530"/>
      <c r="AA23" s="530"/>
      <c r="AB23" s="530"/>
      <c r="AC23" s="530"/>
      <c r="AD23" s="530"/>
      <c r="AE23" s="531"/>
      <c r="AF23" s="539"/>
    </row>
    <row r="24" spans="6:32" s="281" customFormat="1" ht="12" thickBot="1">
      <c r="F24" s="501" t="str">
        <f>IF('CDO Bespoke'!O25&lt;&gt;"",'CDO Bespoke'!O25,"")</f>
        <v/>
      </c>
      <c r="G24" s="502" t="str">
        <f>IF(F24&lt;&gt;"",ABS(MIN(-0.75*('CDO Bespoke'!Q25+'CDO Bespoke'!T25)+'CDO Bespoke'!T25,0)),"")</f>
        <v/>
      </c>
      <c r="H24" s="502" t="str">
        <f t="shared" si="0"/>
        <v/>
      </c>
      <c r="I24" s="502" t="str">
        <f t="shared" si="3"/>
        <v/>
      </c>
      <c r="J24" s="501" t="str">
        <f>IF('CDO Bespoke'!O25&lt;&gt;"",'CDO Bespoke'!O25,"")</f>
        <v/>
      </c>
      <c r="K24" s="502" t="str">
        <f>IF(J24&lt;&gt;"",ABS(MIN(-0.75*('CDO Bespoke'!K25+'CDO Bespoke'!T25)+'CDO Bespoke'!T25,0)),"")</f>
        <v/>
      </c>
      <c r="L24" s="502" t="str">
        <f t="shared" si="1"/>
        <v/>
      </c>
      <c r="M24" s="506" t="str">
        <f t="shared" si="2"/>
        <v/>
      </c>
      <c r="O24" s="511" t="str">
        <f>IF('CDO Bespoke'!C49&lt;&gt;"",'CDO Bespoke'!C49,"")</f>
        <v>AXA_MMR.EUR.SU</v>
      </c>
      <c r="P24" s="513" t="e" cm="1">
        <f t="array" ref="P24">IF($O24&lt;&gt;"",-TRANSPOSE(INDEX(getcds('CDO Bespoke'!$C49,P$13,'CDO Bespoke'!$G49/10000,'CDO Bespoke'!F49,'CDO Bespoke'!$L25,'CDO Bespoke'!$C$13,'CDO Bespoke'!$C$14,'CDO Bespoke'!$C$15,'CDO Bespoke'!$C$8,,,TRUE,TRUE,FALSE,'CDO Bespoke'!$C$29:'CDO Bespoke'!$C$31,'CDO Bespoke'!$C$33),{5})),"")</f>
        <v>#VALUE!</v>
      </c>
      <c r="Q24" s="542" t="e" cm="1">
        <f t="array" ref="Q24">IF($O24&lt;&gt;"",-TRANSPOSE(INDEX(getcds('CDO Bespoke'!$C49,Q$13,'CDO Bespoke'!$G49/10000,'CDO Bespoke'!G49,'CDO Bespoke'!$L25,'CDO Bespoke'!$C$13,'CDO Bespoke'!$C$14,'CDO Bespoke'!$C$15,'CDO Bespoke'!$C$8,,,TRUE,TRUE,FALSE,'CDO Bespoke'!$C$29:'CDO Bespoke'!$C$31,'CDO Bespoke'!$C$33),{5})),"")</f>
        <v>#REF!</v>
      </c>
      <c r="R24" s="542" t="e" cm="1">
        <f t="array" ref="R24">IF($O24&lt;&gt;"",-TRANSPOSE(INDEX(getcds('CDO Bespoke'!$C49,R$13,'CDO Bespoke'!$G49/10000,'CDO Bespoke'!H49,'CDO Bespoke'!$L25,'CDO Bespoke'!$C$13,'CDO Bespoke'!$C$14,'CDO Bespoke'!$C$15,'CDO Bespoke'!$C$8,,,TRUE,TRUE,FALSE,'CDO Bespoke'!$C$29:'CDO Bespoke'!$C$31,'CDO Bespoke'!$C$33),{5})),"")</f>
        <v>#REF!</v>
      </c>
      <c r="S24" s="542" t="e" cm="1">
        <f t="array" ref="S24">IF($O24&lt;&gt;"",-TRANSPOSE(INDEX(getcds('CDO Bespoke'!$C49,S$13,'CDO Bespoke'!$G49/10000,'CDO Bespoke'!I49,'CDO Bespoke'!$L25,'CDO Bespoke'!$C$13,'CDO Bespoke'!$C$14,'CDO Bespoke'!$C$15,'CDO Bespoke'!$C$8,,,TRUE,TRUE,FALSE,'CDO Bespoke'!$C$29:'CDO Bespoke'!$C$31,'CDO Bespoke'!$C$33),{5})),"")</f>
        <v>#REF!</v>
      </c>
      <c r="T24" s="514" t="e" cm="1">
        <f t="array" ref="T24">IF($O24&lt;&gt;"",-TRANSPOSE(INDEX(getcds('CDO Bespoke'!$C49,T$13,'CDO Bespoke'!$G49/10000,'CDO Bespoke'!J49,'CDO Bespoke'!$L25,'CDO Bespoke'!$C$13,'CDO Bespoke'!$C$14,'CDO Bespoke'!$C$15,'CDO Bespoke'!$C$8,,,TRUE,TRUE,FALSE,'CDO Bespoke'!$C$29:'CDO Bespoke'!$C$31,'CDO Bespoke'!$C$33),{5})),"")</f>
        <v>#VALUE!</v>
      </c>
      <c r="U24" s="493"/>
      <c r="V24" s="529"/>
      <c r="W24" s="530"/>
      <c r="X24" s="530"/>
      <c r="Y24" s="530"/>
      <c r="Z24" s="530"/>
      <c r="AA24" s="530"/>
      <c r="AB24" s="530"/>
      <c r="AC24" s="530"/>
      <c r="AD24" s="530"/>
      <c r="AE24" s="531"/>
      <c r="AF24" s="539"/>
    </row>
    <row r="25" spans="6:32" s="281" customFormat="1" ht="12" thickBot="1">
      <c r="F25" s="501" t="str">
        <f>IF('CDO Bespoke'!O26&lt;&gt;"",'CDO Bespoke'!O26,"")</f>
        <v/>
      </c>
      <c r="G25" s="502" t="str">
        <f>IF(F25&lt;&gt;"",ABS(MIN(-0.75*('CDO Bespoke'!Q26+'CDO Bespoke'!T26)+'CDO Bespoke'!T26,0)),"")</f>
        <v/>
      </c>
      <c r="H25" s="502" t="str">
        <f t="shared" si="0"/>
        <v/>
      </c>
      <c r="I25" s="502" t="str">
        <f t="shared" si="3"/>
        <v/>
      </c>
      <c r="J25" s="501" t="str">
        <f>IF('CDO Bespoke'!O26&lt;&gt;"",'CDO Bespoke'!O26,"")</f>
        <v/>
      </c>
      <c r="K25" s="502" t="str">
        <f>IF(J25&lt;&gt;"",ABS(MIN(-0.75*('CDO Bespoke'!K26+'CDO Bespoke'!T26)+'CDO Bespoke'!T26,0)),"")</f>
        <v/>
      </c>
      <c r="L25" s="502" t="str">
        <f t="shared" si="1"/>
        <v/>
      </c>
      <c r="M25" s="506" t="str">
        <f t="shared" si="2"/>
        <v/>
      </c>
      <c r="O25" s="511" t="str">
        <f>IF('CDO Bespoke'!C50&lt;&gt;"",'CDO Bespoke'!C50,"")</f>
        <v>BancoEspiritoSanto_MMR.EUR.SU</v>
      </c>
      <c r="P25" s="513" t="e" cm="1">
        <f t="array" ref="P25">IF($O25&lt;&gt;"",-TRANSPOSE(INDEX(getcds('CDO Bespoke'!$C50,P$13,'CDO Bespoke'!$G50/10000,'CDO Bespoke'!F50,'CDO Bespoke'!$L26,'CDO Bespoke'!$C$13,'CDO Bespoke'!$C$14,'CDO Bespoke'!$C$15,'CDO Bespoke'!$C$8,,,TRUE,TRUE,FALSE,'CDO Bespoke'!$C$29:'CDO Bespoke'!$C$31,'CDO Bespoke'!$C$33),{5})),"")</f>
        <v>#REF!</v>
      </c>
      <c r="Q25" s="542" t="e" cm="1">
        <f t="array" ref="Q25">IF($O25&lt;&gt;"",-TRANSPOSE(INDEX(getcds('CDO Bespoke'!$C50,Q$13,'CDO Bespoke'!$G50/10000,'CDO Bespoke'!G50,'CDO Bespoke'!$L26,'CDO Bespoke'!$C$13,'CDO Bespoke'!$C$14,'CDO Bespoke'!$C$15,'CDO Bespoke'!$C$8,,,TRUE,TRUE,FALSE,'CDO Bespoke'!$C$29:'CDO Bespoke'!$C$31,'CDO Bespoke'!$C$33),{5})),"")</f>
        <v>#VALUE!</v>
      </c>
      <c r="R25" s="542" t="e" cm="1">
        <f t="array" ref="R25">IF($O25&lt;&gt;"",-TRANSPOSE(INDEX(getcds('CDO Bespoke'!$C50,R$13,'CDO Bespoke'!$G50/10000,'CDO Bespoke'!H50,'CDO Bespoke'!$L26,'CDO Bespoke'!$C$13,'CDO Bespoke'!$C$14,'CDO Bespoke'!$C$15,'CDO Bespoke'!$C$8,,,TRUE,TRUE,FALSE,'CDO Bespoke'!$C$29:'CDO Bespoke'!$C$31,'CDO Bespoke'!$C$33),{5})),"")</f>
        <v>#REF!</v>
      </c>
      <c r="S25" s="542" t="e" cm="1">
        <f t="array" ref="S25">IF($O25&lt;&gt;"",-TRANSPOSE(INDEX(getcds('CDO Bespoke'!$C50,S$13,'CDO Bespoke'!$G50/10000,'CDO Bespoke'!I50,'CDO Bespoke'!$L26,'CDO Bespoke'!$C$13,'CDO Bespoke'!$C$14,'CDO Bespoke'!$C$15,'CDO Bespoke'!$C$8,,,TRUE,TRUE,FALSE,'CDO Bespoke'!$C$29:'CDO Bespoke'!$C$31,'CDO Bespoke'!$C$33),{5})),"")</f>
        <v>#VALUE!</v>
      </c>
      <c r="T25" s="514" t="e" cm="1">
        <f t="array" ref="T25">IF($O25&lt;&gt;"",-TRANSPOSE(INDEX(getcds('CDO Bespoke'!$C50,T$13,'CDO Bespoke'!$G50/10000,'CDO Bespoke'!J50,'CDO Bespoke'!$L26,'CDO Bespoke'!$C$13,'CDO Bespoke'!$C$14,'CDO Bespoke'!$C$15,'CDO Bespoke'!$C$8,,,TRUE,TRUE,FALSE,'CDO Bespoke'!$C$29:'CDO Bespoke'!$C$31,'CDO Bespoke'!$C$33),{5})),"")</f>
        <v>#VALUE!</v>
      </c>
      <c r="U25" s="493"/>
      <c r="V25" s="529"/>
      <c r="W25" s="530"/>
      <c r="X25" s="530"/>
      <c r="Y25" s="530"/>
      <c r="Z25" s="530"/>
      <c r="AA25" s="530"/>
      <c r="AB25" s="530"/>
      <c r="AC25" s="530"/>
      <c r="AD25" s="530"/>
      <c r="AE25" s="531"/>
      <c r="AF25" s="539"/>
    </row>
    <row r="26" spans="6:32" s="281" customFormat="1" ht="12" thickBot="1">
      <c r="F26" s="501" t="str">
        <f>IF('CDO Bespoke'!O27&lt;&gt;"",'CDO Bespoke'!O27,"")</f>
        <v/>
      </c>
      <c r="G26" s="502" t="str">
        <f>IF(F26&lt;&gt;"",ABS(MIN(-0.75*('CDO Bespoke'!Q27+'CDO Bespoke'!T27)+'CDO Bespoke'!T27,0)),"")</f>
        <v/>
      </c>
      <c r="H26" s="502" t="str">
        <f t="shared" si="0"/>
        <v/>
      </c>
      <c r="I26" s="502" t="str">
        <f t="shared" si="3"/>
        <v/>
      </c>
      <c r="J26" s="501" t="str">
        <f>IF('CDO Bespoke'!O27&lt;&gt;"",'CDO Bespoke'!O27,"")</f>
        <v/>
      </c>
      <c r="K26" s="502" t="str">
        <f>IF(J26&lt;&gt;"",ABS(MIN(-0.75*('CDO Bespoke'!K27+'CDO Bespoke'!T27)+'CDO Bespoke'!T27,0)),"")</f>
        <v/>
      </c>
      <c r="L26" s="502" t="str">
        <f t="shared" si="1"/>
        <v/>
      </c>
      <c r="M26" s="506" t="str">
        <f t="shared" si="2"/>
        <v/>
      </c>
      <c r="O26" s="511" t="str">
        <f>IF('CDO Bespoke'!C51&lt;&gt;"",'CDO Bespoke'!C51,"")</f>
        <v>Barclays_MMR.EUR.SU</v>
      </c>
      <c r="P26" s="513" t="e" cm="1">
        <f t="array" ref="P26">IF($O26&lt;&gt;"",-TRANSPOSE(INDEX(getcds('CDO Bespoke'!$C51,P$13,'CDO Bespoke'!$G51/10000,'CDO Bespoke'!F51,'CDO Bespoke'!$L27,'CDO Bespoke'!$C$13,'CDO Bespoke'!$C$14,'CDO Bespoke'!$C$15,'CDO Bespoke'!$C$8,,,TRUE,TRUE,FALSE,'CDO Bespoke'!$C$29:'CDO Bespoke'!$C$31,'CDO Bespoke'!$C$33),{5})),"")</f>
        <v>#VALUE!</v>
      </c>
      <c r="Q26" s="542" t="e" cm="1">
        <f t="array" ref="Q26">IF($O26&lt;&gt;"",-TRANSPOSE(INDEX(getcds('CDO Bespoke'!$C51,Q$13,'CDO Bespoke'!$G51/10000,'CDO Bespoke'!G51,'CDO Bespoke'!$L27,'CDO Bespoke'!$C$13,'CDO Bespoke'!$C$14,'CDO Bespoke'!$C$15,'CDO Bespoke'!$C$8,,,TRUE,TRUE,FALSE,'CDO Bespoke'!$C$29:'CDO Bespoke'!$C$31,'CDO Bespoke'!$C$33),{5})),"")</f>
        <v>#VALUE!</v>
      </c>
      <c r="R26" s="542" t="e" cm="1">
        <f t="array" ref="R26">IF($O26&lt;&gt;"",-TRANSPOSE(INDEX(getcds('CDO Bespoke'!$C51,R$13,'CDO Bespoke'!$G51/10000,'CDO Bespoke'!H51,'CDO Bespoke'!$L27,'CDO Bespoke'!$C$13,'CDO Bespoke'!$C$14,'CDO Bespoke'!$C$15,'CDO Bespoke'!$C$8,,,TRUE,TRUE,FALSE,'CDO Bespoke'!$C$29:'CDO Bespoke'!$C$31,'CDO Bespoke'!$C$33),{5})),"")</f>
        <v>#VALUE!</v>
      </c>
      <c r="S26" s="542" t="e" cm="1">
        <f t="array" ref="S26">IF($O26&lt;&gt;"",-TRANSPOSE(INDEX(getcds('CDO Bespoke'!$C51,S$13,'CDO Bespoke'!$G51/10000,'CDO Bespoke'!I51,'CDO Bespoke'!$L27,'CDO Bespoke'!$C$13,'CDO Bespoke'!$C$14,'CDO Bespoke'!$C$15,'CDO Bespoke'!$C$8,,,TRUE,TRUE,FALSE,'CDO Bespoke'!$C$29:'CDO Bespoke'!$C$31,'CDO Bespoke'!$C$33),{5})),"")</f>
        <v>#VALUE!</v>
      </c>
      <c r="T26" s="514" t="e" cm="1">
        <f t="array" ref="T26">IF($O26&lt;&gt;"",-TRANSPOSE(INDEX(getcds('CDO Bespoke'!$C51,T$13,'CDO Bespoke'!$G51/10000,'CDO Bespoke'!J51,'CDO Bespoke'!$L27,'CDO Bespoke'!$C$13,'CDO Bespoke'!$C$14,'CDO Bespoke'!$C$15,'CDO Bespoke'!$C$8,,,TRUE,TRUE,FALSE,'CDO Bespoke'!$C$29:'CDO Bespoke'!$C$31,'CDO Bespoke'!$C$33),{5})),"")</f>
        <v>#VALUE!</v>
      </c>
      <c r="U26" s="493"/>
      <c r="V26" s="529"/>
      <c r="W26" s="530"/>
      <c r="X26" s="530"/>
      <c r="Y26" s="530"/>
      <c r="Z26" s="530"/>
      <c r="AA26" s="530"/>
      <c r="AB26" s="530"/>
      <c r="AC26" s="530"/>
      <c r="AD26" s="530"/>
      <c r="AE26" s="531"/>
      <c r="AF26" s="539"/>
    </row>
    <row r="27" spans="6:32" s="281" customFormat="1" ht="12" thickBot="1">
      <c r="F27" s="501" t="str">
        <f>IF('CDO Bespoke'!O28&lt;&gt;"",'CDO Bespoke'!O28,"")</f>
        <v/>
      </c>
      <c r="G27" s="502" t="str">
        <f>IF(F27&lt;&gt;"",ABS(MIN(-0.75*('CDO Bespoke'!Q28+'CDO Bespoke'!T28)+'CDO Bespoke'!T28,0)),"")</f>
        <v/>
      </c>
      <c r="H27" s="502" t="str">
        <f t="shared" si="0"/>
        <v/>
      </c>
      <c r="I27" s="502" t="str">
        <f t="shared" si="3"/>
        <v/>
      </c>
      <c r="J27" s="501" t="str">
        <f>IF('CDO Bespoke'!O28&lt;&gt;"",'CDO Bespoke'!O28,"")</f>
        <v/>
      </c>
      <c r="K27" s="502" t="str">
        <f>IF(J27&lt;&gt;"",ABS(MIN(-0.75*('CDO Bespoke'!K28+'CDO Bespoke'!T28)+'CDO Bespoke'!T28,0)),"")</f>
        <v/>
      </c>
      <c r="L27" s="502" t="str">
        <f t="shared" si="1"/>
        <v/>
      </c>
      <c r="M27" s="506" t="str">
        <f t="shared" si="2"/>
        <v/>
      </c>
      <c r="O27" s="511" t="str">
        <f>IF('CDO Bespoke'!C52&lt;&gt;"",'CDO Bespoke'!C52,"")</f>
        <v>BASF_MMR.EUR.SU</v>
      </c>
      <c r="P27" s="513" t="e" cm="1">
        <f t="array" ref="P27">IF($O27&lt;&gt;"",-TRANSPOSE(INDEX(getcds('CDO Bespoke'!$C52,P$13,'CDO Bespoke'!$G52/10000,'CDO Bespoke'!F52,'CDO Bespoke'!$L28,'CDO Bespoke'!$C$13,'CDO Bespoke'!$C$14,'CDO Bespoke'!$C$15,'CDO Bespoke'!$C$8,,,TRUE,TRUE,FALSE,'CDO Bespoke'!$C$29:'CDO Bespoke'!$C$31,'CDO Bespoke'!$C$33),{5})),"")</f>
        <v>#VALUE!</v>
      </c>
      <c r="Q27" s="542" t="e" cm="1">
        <f t="array" ref="Q27">IF($O27&lt;&gt;"",-TRANSPOSE(INDEX(getcds('CDO Bespoke'!$C52,Q$13,'CDO Bespoke'!$G52/10000,'CDO Bespoke'!G52,'CDO Bespoke'!$L28,'CDO Bespoke'!$C$13,'CDO Bespoke'!$C$14,'CDO Bespoke'!$C$15,'CDO Bespoke'!$C$8,,,TRUE,TRUE,FALSE,'CDO Bespoke'!$C$29:'CDO Bespoke'!$C$31,'CDO Bespoke'!$C$33),{5})),"")</f>
        <v>#VALUE!</v>
      </c>
      <c r="R27" s="542" t="e" cm="1">
        <f t="array" ref="R27">IF($O27&lt;&gt;"",-TRANSPOSE(INDEX(getcds('CDO Bespoke'!$C52,R$13,'CDO Bespoke'!$G52/10000,'CDO Bespoke'!H52,'CDO Bespoke'!$L28,'CDO Bespoke'!$C$13,'CDO Bespoke'!$C$14,'CDO Bespoke'!$C$15,'CDO Bespoke'!$C$8,,,TRUE,TRUE,FALSE,'CDO Bespoke'!$C$29:'CDO Bespoke'!$C$31,'CDO Bespoke'!$C$33),{5})),"")</f>
        <v>#VALUE!</v>
      </c>
      <c r="S27" s="542" t="e" cm="1">
        <f t="array" ref="S27">IF($O27&lt;&gt;"",-TRANSPOSE(INDEX(getcds('CDO Bespoke'!$C52,S$13,'CDO Bespoke'!$G52/10000,'CDO Bespoke'!I52,'CDO Bespoke'!$L28,'CDO Bespoke'!$C$13,'CDO Bespoke'!$C$14,'CDO Bespoke'!$C$15,'CDO Bespoke'!$C$8,,,TRUE,TRUE,FALSE,'CDO Bespoke'!$C$29:'CDO Bespoke'!$C$31,'CDO Bespoke'!$C$33),{5})),"")</f>
        <v>#VALUE!</v>
      </c>
      <c r="T27" s="514" t="e" cm="1">
        <f t="array" ref="T27">IF($O27&lt;&gt;"",-TRANSPOSE(INDEX(getcds('CDO Bespoke'!$C52,T$13,'CDO Bespoke'!$G52/10000,'CDO Bespoke'!J52,'CDO Bespoke'!$L28,'CDO Bespoke'!$C$13,'CDO Bespoke'!$C$14,'CDO Bespoke'!$C$15,'CDO Bespoke'!$C$8,,,TRUE,TRUE,FALSE,'CDO Bespoke'!$C$29:'CDO Bespoke'!$C$31,'CDO Bespoke'!$C$33),{5})),"")</f>
        <v>#VALUE!</v>
      </c>
      <c r="U27" s="493"/>
      <c r="V27" s="529"/>
      <c r="W27" s="530"/>
      <c r="X27" s="530"/>
      <c r="Y27" s="530"/>
      <c r="Z27" s="530"/>
      <c r="AA27" s="530"/>
      <c r="AB27" s="530"/>
      <c r="AC27" s="530"/>
      <c r="AD27" s="530"/>
      <c r="AE27" s="531"/>
      <c r="AF27" s="539"/>
    </row>
    <row r="28" spans="6:32" s="281" customFormat="1" ht="12" thickBot="1">
      <c r="F28" s="501" t="str">
        <f>IF('CDO Bespoke'!O29&lt;&gt;"",'CDO Bespoke'!O29,"")</f>
        <v/>
      </c>
      <c r="G28" s="502" t="str">
        <f>IF(F28&lt;&gt;"",ABS(MIN(-0.75*('CDO Bespoke'!Q29+'CDO Bespoke'!T29)+'CDO Bespoke'!T29,0)),"")</f>
        <v/>
      </c>
      <c r="H28" s="502" t="str">
        <f t="shared" si="0"/>
        <v/>
      </c>
      <c r="I28" s="502" t="str">
        <f t="shared" si="3"/>
        <v/>
      </c>
      <c r="J28" s="501" t="str">
        <f>IF('CDO Bespoke'!O29&lt;&gt;"",'CDO Bespoke'!O29,"")</f>
        <v/>
      </c>
      <c r="K28" s="502" t="str">
        <f>IF(J28&lt;&gt;"",ABS(MIN(-0.75*('CDO Bespoke'!K29+'CDO Bespoke'!T29)+'CDO Bespoke'!T29,0)),"")</f>
        <v/>
      </c>
      <c r="L28" s="502" t="str">
        <f t="shared" si="1"/>
        <v/>
      </c>
      <c r="M28" s="506" t="str">
        <f t="shared" si="2"/>
        <v/>
      </c>
      <c r="O28" s="511" t="str">
        <f>IF('CDO Bespoke'!C53&lt;&gt;"",'CDO Bespoke'!C53,"")</f>
        <v>BAT_MMR.EUR.SU</v>
      </c>
      <c r="P28" s="513" t="e" cm="1">
        <f t="array" ref="P28">IF($O28&lt;&gt;"",-TRANSPOSE(INDEX(getcds('CDO Bespoke'!$C53,P$13,'CDO Bespoke'!$G53/10000,'CDO Bespoke'!F53,'CDO Bespoke'!$L29,'CDO Bespoke'!$C$13,'CDO Bespoke'!$C$14,'CDO Bespoke'!$C$15,'CDO Bespoke'!$C$8,,,TRUE,TRUE,FALSE,'CDO Bespoke'!$C$29:'CDO Bespoke'!$C$31,'CDO Bespoke'!$C$33),{5})),"")</f>
        <v>#VALUE!</v>
      </c>
      <c r="Q28" s="542" t="e" cm="1">
        <f t="array" ref="Q28">IF($O28&lt;&gt;"",-TRANSPOSE(INDEX(getcds('CDO Bespoke'!$C53,Q$13,'CDO Bespoke'!$G53/10000,'CDO Bespoke'!G53,'CDO Bespoke'!$L29,'CDO Bespoke'!$C$13,'CDO Bespoke'!$C$14,'CDO Bespoke'!$C$15,'CDO Bespoke'!$C$8,,,TRUE,TRUE,FALSE,'CDO Bespoke'!$C$29:'CDO Bespoke'!$C$31,'CDO Bespoke'!$C$33),{5})),"")</f>
        <v>#VALUE!</v>
      </c>
      <c r="R28" s="542" t="e" cm="1">
        <f t="array" ref="R28">IF($O28&lt;&gt;"",-TRANSPOSE(INDEX(getcds('CDO Bespoke'!$C53,R$13,'CDO Bespoke'!$G53/10000,'CDO Bespoke'!H53,'CDO Bespoke'!$L29,'CDO Bespoke'!$C$13,'CDO Bespoke'!$C$14,'CDO Bespoke'!$C$15,'CDO Bespoke'!$C$8,,,TRUE,TRUE,FALSE,'CDO Bespoke'!$C$29:'CDO Bespoke'!$C$31,'CDO Bespoke'!$C$33),{5})),"")</f>
        <v>#VALUE!</v>
      </c>
      <c r="S28" s="542" t="e" cm="1">
        <f t="array" ref="S28">IF($O28&lt;&gt;"",-TRANSPOSE(INDEX(getcds('CDO Bespoke'!$C53,S$13,'CDO Bespoke'!$G53/10000,'CDO Bespoke'!I53,'CDO Bespoke'!$L29,'CDO Bespoke'!$C$13,'CDO Bespoke'!$C$14,'CDO Bespoke'!$C$15,'CDO Bespoke'!$C$8,,,TRUE,TRUE,FALSE,'CDO Bespoke'!$C$29:'CDO Bespoke'!$C$31,'CDO Bespoke'!$C$33),{5})),"")</f>
        <v>#VALUE!</v>
      </c>
      <c r="T28" s="514" t="e" cm="1">
        <f t="array" ref="T28">IF($O28&lt;&gt;"",-TRANSPOSE(INDEX(getcds('CDO Bespoke'!$C53,T$13,'CDO Bespoke'!$G53/10000,'CDO Bespoke'!J53,'CDO Bespoke'!$L29,'CDO Bespoke'!$C$13,'CDO Bespoke'!$C$14,'CDO Bespoke'!$C$15,'CDO Bespoke'!$C$8,,,TRUE,TRUE,FALSE,'CDO Bespoke'!$C$29:'CDO Bespoke'!$C$31,'CDO Bespoke'!$C$33),{5})),"")</f>
        <v>#VALUE!</v>
      </c>
      <c r="U28" s="493"/>
      <c r="V28" s="529"/>
      <c r="W28" s="530"/>
      <c r="X28" s="530"/>
      <c r="Y28" s="530"/>
      <c r="Z28" s="530"/>
      <c r="AA28" s="530"/>
      <c r="AB28" s="530"/>
      <c r="AC28" s="530"/>
      <c r="AD28" s="530"/>
      <c r="AE28" s="531"/>
      <c r="AF28" s="539"/>
    </row>
    <row r="29" spans="6:32" s="281" customFormat="1" ht="12" thickBot="1">
      <c r="F29" s="501" t="str">
        <f>IF('CDO Bespoke'!O30&lt;&gt;"",'CDO Bespoke'!O30,"")</f>
        <v/>
      </c>
      <c r="G29" s="502" t="str">
        <f>IF(F29&lt;&gt;"",ABS(MIN(-0.75*('CDO Bespoke'!Q30+'CDO Bespoke'!T30)+'CDO Bespoke'!T30,0)),"")</f>
        <v/>
      </c>
      <c r="H29" s="502" t="str">
        <f t="shared" si="0"/>
        <v/>
      </c>
      <c r="I29" s="502" t="str">
        <f t="shared" si="3"/>
        <v/>
      </c>
      <c r="J29" s="501" t="str">
        <f>IF('CDO Bespoke'!O30&lt;&gt;"",'CDO Bespoke'!O30,"")</f>
        <v/>
      </c>
      <c r="K29" s="502" t="str">
        <f>IF(J29&lt;&gt;"",ABS(MIN(-0.75*('CDO Bespoke'!K30+'CDO Bespoke'!T30)+'CDO Bespoke'!T30,0)),"")</f>
        <v/>
      </c>
      <c r="L29" s="502" t="str">
        <f t="shared" si="1"/>
        <v/>
      </c>
      <c r="M29" s="506" t="str">
        <f t="shared" si="2"/>
        <v/>
      </c>
      <c r="O29" s="511" t="str">
        <f>IF('CDO Bespoke'!C54&lt;&gt;"",'CDO Bespoke'!C54,"")</f>
        <v>Bayer_MMR.EUR.SU</v>
      </c>
      <c r="P29" s="513" t="e" cm="1">
        <f t="array" ref="P29">IF($O29&lt;&gt;"",-TRANSPOSE(INDEX(getcds('CDO Bespoke'!$C54,P$13,'CDO Bespoke'!$G54/10000,'CDO Bespoke'!F54,'CDO Bespoke'!$L30,'CDO Bespoke'!$C$13,'CDO Bespoke'!$C$14,'CDO Bespoke'!$C$15,'CDO Bespoke'!$C$8,,,TRUE,TRUE,FALSE,'CDO Bespoke'!$C$29:'CDO Bespoke'!$C$31,'CDO Bespoke'!$C$33),{5})),"")</f>
        <v>#VALUE!</v>
      </c>
      <c r="Q29" s="542" t="e" cm="1">
        <f t="array" ref="Q29">IF($O29&lt;&gt;"",-TRANSPOSE(INDEX(getcds('CDO Bespoke'!$C54,Q$13,'CDO Bespoke'!$G54/10000,'CDO Bespoke'!G54,'CDO Bespoke'!$L30,'CDO Bespoke'!$C$13,'CDO Bespoke'!$C$14,'CDO Bespoke'!$C$15,'CDO Bespoke'!$C$8,,,TRUE,TRUE,FALSE,'CDO Bespoke'!$C$29:'CDO Bespoke'!$C$31,'CDO Bespoke'!$C$33),{5})),"")</f>
        <v>#VALUE!</v>
      </c>
      <c r="R29" s="542" t="e" cm="1">
        <f t="array" ref="R29">IF($O29&lt;&gt;"",-TRANSPOSE(INDEX(getcds('CDO Bespoke'!$C54,R$13,'CDO Bespoke'!$G54/10000,'CDO Bespoke'!H54,'CDO Bespoke'!$L30,'CDO Bespoke'!$C$13,'CDO Bespoke'!$C$14,'CDO Bespoke'!$C$15,'CDO Bespoke'!$C$8,,,TRUE,TRUE,FALSE,'CDO Bespoke'!$C$29:'CDO Bespoke'!$C$31,'CDO Bespoke'!$C$33),{5})),"")</f>
        <v>#VALUE!</v>
      </c>
      <c r="S29" s="542" t="e" cm="1">
        <f t="array" ref="S29">IF($O29&lt;&gt;"",-TRANSPOSE(INDEX(getcds('CDO Bespoke'!$C54,S$13,'CDO Bespoke'!$G54/10000,'CDO Bespoke'!I54,'CDO Bespoke'!$L30,'CDO Bespoke'!$C$13,'CDO Bespoke'!$C$14,'CDO Bespoke'!$C$15,'CDO Bespoke'!$C$8,,,TRUE,TRUE,FALSE,'CDO Bespoke'!$C$29:'CDO Bespoke'!$C$31,'CDO Bespoke'!$C$33),{5})),"")</f>
        <v>#VALUE!</v>
      </c>
      <c r="T29" s="514" t="e" cm="1">
        <f t="array" ref="T29">IF($O29&lt;&gt;"",-TRANSPOSE(INDEX(getcds('CDO Bespoke'!$C54,T$13,'CDO Bespoke'!$G54/10000,'CDO Bespoke'!J54,'CDO Bespoke'!$L30,'CDO Bespoke'!$C$13,'CDO Bespoke'!$C$14,'CDO Bespoke'!$C$15,'CDO Bespoke'!$C$8,,,TRUE,TRUE,FALSE,'CDO Bespoke'!$C$29:'CDO Bespoke'!$C$31,'CDO Bespoke'!$C$33),{5})),"")</f>
        <v>#VALUE!</v>
      </c>
      <c r="U29" s="493"/>
      <c r="V29" s="529"/>
      <c r="W29" s="530"/>
      <c r="X29" s="530"/>
      <c r="Y29" s="530"/>
      <c r="Z29" s="530"/>
      <c r="AA29" s="530"/>
      <c r="AB29" s="530"/>
      <c r="AC29" s="530"/>
      <c r="AD29" s="530"/>
      <c r="AE29" s="531"/>
      <c r="AF29" s="539"/>
    </row>
    <row r="30" spans="6:32" s="281" customFormat="1" ht="12" thickBot="1">
      <c r="F30" s="501" t="str">
        <f>IF('CDO Bespoke'!O31&lt;&gt;"",'CDO Bespoke'!O31,"")</f>
        <v/>
      </c>
      <c r="G30" s="502" t="str">
        <f>IF(F30&lt;&gt;"",ABS(MIN(-0.75*('CDO Bespoke'!Q31+'CDO Bespoke'!T31)+'CDO Bespoke'!T31,0)),"")</f>
        <v/>
      </c>
      <c r="H30" s="502" t="str">
        <f t="shared" si="0"/>
        <v/>
      </c>
      <c r="I30" s="502" t="str">
        <f t="shared" si="3"/>
        <v/>
      </c>
      <c r="J30" s="501" t="str">
        <f>IF('CDO Bespoke'!O31&lt;&gt;"",'CDO Bespoke'!O31,"")</f>
        <v/>
      </c>
      <c r="K30" s="502" t="str">
        <f>IF(J30&lt;&gt;"",ABS(MIN(-0.75*('CDO Bespoke'!K31+'CDO Bespoke'!T31)+'CDO Bespoke'!T31,0)),"")</f>
        <v/>
      </c>
      <c r="L30" s="502" t="str">
        <f t="shared" si="1"/>
        <v/>
      </c>
      <c r="M30" s="506" t="str">
        <f t="shared" si="2"/>
        <v/>
      </c>
      <c r="O30" s="511" t="str">
        <f>IF('CDO Bespoke'!C55&lt;&gt;"",'CDO Bespoke'!C55,"")</f>
        <v>BBVA_MMR.EUR.SU</v>
      </c>
      <c r="P30" s="513" t="e" cm="1">
        <f t="array" ref="P30">IF($O30&lt;&gt;"",-TRANSPOSE(INDEX(getcds('CDO Bespoke'!$C55,P$13,'CDO Bespoke'!$G55/10000,'CDO Bespoke'!F55,'CDO Bespoke'!$L31,'CDO Bespoke'!$C$13,'CDO Bespoke'!$C$14,'CDO Bespoke'!$C$15,'CDO Bespoke'!$C$8,,,TRUE,TRUE,FALSE,'CDO Bespoke'!$C$29:'CDO Bespoke'!$C$31,'CDO Bespoke'!$C$33),{5})),"")</f>
        <v>#VALUE!</v>
      </c>
      <c r="Q30" s="542" t="e" cm="1">
        <f t="array" ref="Q30">IF($O30&lt;&gt;"",-TRANSPOSE(INDEX(getcds('CDO Bespoke'!$C55,Q$13,'CDO Bespoke'!$G55/10000,'CDO Bespoke'!G55,'CDO Bespoke'!$L31,'CDO Bespoke'!$C$13,'CDO Bespoke'!$C$14,'CDO Bespoke'!$C$15,'CDO Bespoke'!$C$8,,,TRUE,TRUE,FALSE,'CDO Bespoke'!$C$29:'CDO Bespoke'!$C$31,'CDO Bespoke'!$C$33),{5})),"")</f>
        <v>#VALUE!</v>
      </c>
      <c r="R30" s="542" t="e" cm="1">
        <f t="array" ref="R30">IF($O30&lt;&gt;"",-TRANSPOSE(INDEX(getcds('CDO Bespoke'!$C55,R$13,'CDO Bespoke'!$G55/10000,'CDO Bespoke'!H55,'CDO Bespoke'!$L31,'CDO Bespoke'!$C$13,'CDO Bespoke'!$C$14,'CDO Bespoke'!$C$15,'CDO Bespoke'!$C$8,,,TRUE,TRUE,FALSE,'CDO Bespoke'!$C$29:'CDO Bespoke'!$C$31,'CDO Bespoke'!$C$33),{5})),"")</f>
        <v>#VALUE!</v>
      </c>
      <c r="S30" s="542" t="e" cm="1">
        <f t="array" ref="S30">IF($O30&lt;&gt;"",-TRANSPOSE(INDEX(getcds('CDO Bespoke'!$C55,S$13,'CDO Bespoke'!$G55/10000,'CDO Bespoke'!I55,'CDO Bespoke'!$L31,'CDO Bespoke'!$C$13,'CDO Bespoke'!$C$14,'CDO Bespoke'!$C$15,'CDO Bespoke'!$C$8,,,TRUE,TRUE,FALSE,'CDO Bespoke'!$C$29:'CDO Bespoke'!$C$31,'CDO Bespoke'!$C$33),{5})),"")</f>
        <v>#VALUE!</v>
      </c>
      <c r="T30" s="514" t="e" cm="1">
        <f t="array" ref="T30">IF($O30&lt;&gt;"",-TRANSPOSE(INDEX(getcds('CDO Bespoke'!$C55,T$13,'CDO Bespoke'!$G55/10000,'CDO Bespoke'!J55,'CDO Bespoke'!$L31,'CDO Bespoke'!$C$13,'CDO Bespoke'!$C$14,'CDO Bespoke'!$C$15,'CDO Bespoke'!$C$8,,,TRUE,TRUE,FALSE,'CDO Bespoke'!$C$29:'CDO Bespoke'!$C$31,'CDO Bespoke'!$C$33),{5})),"")</f>
        <v>#VALUE!</v>
      </c>
      <c r="U30" s="493"/>
      <c r="V30" s="529"/>
      <c r="W30" s="530"/>
      <c r="X30" s="530"/>
      <c r="Y30" s="530"/>
      <c r="Z30" s="530"/>
      <c r="AA30" s="530"/>
      <c r="AB30" s="530"/>
      <c r="AC30" s="530"/>
      <c r="AD30" s="530"/>
      <c r="AE30" s="531"/>
      <c r="AF30" s="539"/>
    </row>
    <row r="31" spans="6:32" s="281" customFormat="1" ht="12" thickBot="1">
      <c r="F31" s="501" t="str">
        <f>IF('CDO Bespoke'!O32&lt;&gt;"",'CDO Bespoke'!O32,"")</f>
        <v/>
      </c>
      <c r="G31" s="502" t="str">
        <f>IF(F31&lt;&gt;"",ABS(MIN(-0.75*('CDO Bespoke'!Q32+'CDO Bespoke'!T32)+'CDO Bespoke'!T32,0)),"")</f>
        <v/>
      </c>
      <c r="H31" s="502" t="str">
        <f t="shared" si="0"/>
        <v/>
      </c>
      <c r="I31" s="502" t="str">
        <f t="shared" si="3"/>
        <v/>
      </c>
      <c r="J31" s="501" t="str">
        <f>IF('CDO Bespoke'!O32&lt;&gt;"",'CDO Bespoke'!O32,"")</f>
        <v/>
      </c>
      <c r="K31" s="502" t="str">
        <f>IF(J31&lt;&gt;"",ABS(MIN(-0.75*('CDO Bespoke'!K32+'CDO Bespoke'!T32)+'CDO Bespoke'!T32,0)),"")</f>
        <v/>
      </c>
      <c r="L31" s="502" t="str">
        <f t="shared" si="1"/>
        <v/>
      </c>
      <c r="M31" s="506" t="str">
        <f t="shared" si="2"/>
        <v/>
      </c>
      <c r="O31" s="511" t="str">
        <f>IF('CDO Bespoke'!C56&lt;&gt;"",'CDO Bespoke'!C56,"")</f>
        <v>BertelsmannAG_MMR.EUR.SU</v>
      </c>
      <c r="P31" s="513" t="e" cm="1">
        <f t="array" ref="P31">IF($O31&lt;&gt;"",-TRANSPOSE(INDEX(getcds('CDO Bespoke'!$C56,P$13,'CDO Bespoke'!$G56/10000,'CDO Bespoke'!F56,'CDO Bespoke'!$L32,'CDO Bespoke'!$C$13,'CDO Bespoke'!$C$14,'CDO Bespoke'!$C$15,'CDO Bespoke'!$C$8,,,TRUE,TRUE,FALSE,'CDO Bespoke'!$C$29:'CDO Bespoke'!$C$31,'CDO Bespoke'!$C$33),{5})),"")</f>
        <v>#REF!</v>
      </c>
      <c r="Q31" s="542" t="e" cm="1">
        <f t="array" ref="Q31">IF($O31&lt;&gt;"",-TRANSPOSE(INDEX(getcds('CDO Bespoke'!$C56,Q$13,'CDO Bespoke'!$G56/10000,'CDO Bespoke'!G56,'CDO Bespoke'!$L32,'CDO Bespoke'!$C$13,'CDO Bespoke'!$C$14,'CDO Bespoke'!$C$15,'CDO Bespoke'!$C$8,,,TRUE,TRUE,FALSE,'CDO Bespoke'!$C$29:'CDO Bespoke'!$C$31,'CDO Bespoke'!$C$33),{5})),"")</f>
        <v>#VALUE!</v>
      </c>
      <c r="R31" s="542" t="e" cm="1">
        <f t="array" ref="R31">IF($O31&lt;&gt;"",-TRANSPOSE(INDEX(getcds('CDO Bespoke'!$C56,R$13,'CDO Bespoke'!$G56/10000,'CDO Bespoke'!H56,'CDO Bespoke'!$L32,'CDO Bespoke'!$C$13,'CDO Bespoke'!$C$14,'CDO Bespoke'!$C$15,'CDO Bespoke'!$C$8,,,TRUE,TRUE,FALSE,'CDO Bespoke'!$C$29:'CDO Bespoke'!$C$31,'CDO Bespoke'!$C$33),{5})),"")</f>
        <v>#VALUE!</v>
      </c>
      <c r="S31" s="542" t="e" cm="1">
        <f t="array" ref="S31">IF($O31&lt;&gt;"",-TRANSPOSE(INDEX(getcds('CDO Bespoke'!$C56,S$13,'CDO Bespoke'!$G56/10000,'CDO Bespoke'!I56,'CDO Bespoke'!$L32,'CDO Bespoke'!$C$13,'CDO Bespoke'!$C$14,'CDO Bespoke'!$C$15,'CDO Bespoke'!$C$8,,,TRUE,TRUE,FALSE,'CDO Bespoke'!$C$29:'CDO Bespoke'!$C$31,'CDO Bespoke'!$C$33),{5})),"")</f>
        <v>#VALUE!</v>
      </c>
      <c r="T31" s="514" t="e" cm="1">
        <f t="array" ref="T31">IF($O31&lt;&gt;"",-TRANSPOSE(INDEX(getcds('CDO Bespoke'!$C56,T$13,'CDO Bespoke'!$G56/10000,'CDO Bespoke'!J56,'CDO Bespoke'!$L32,'CDO Bespoke'!$C$13,'CDO Bespoke'!$C$14,'CDO Bespoke'!$C$15,'CDO Bespoke'!$C$8,,,TRUE,TRUE,FALSE,'CDO Bespoke'!$C$29:'CDO Bespoke'!$C$31,'CDO Bespoke'!$C$33),{5})),"")</f>
        <v>#REF!</v>
      </c>
      <c r="U31" s="493"/>
      <c r="V31" s="529"/>
      <c r="W31" s="530"/>
      <c r="X31" s="530"/>
      <c r="Y31" s="530"/>
      <c r="Z31" s="530"/>
      <c r="AA31" s="530"/>
      <c r="AB31" s="530"/>
      <c r="AC31" s="530"/>
      <c r="AD31" s="530"/>
      <c r="AE31" s="531"/>
      <c r="AF31" s="539"/>
    </row>
    <row r="32" spans="6:32" s="281" customFormat="1" ht="12" thickBot="1">
      <c r="F32" s="501" t="str">
        <f>IF('CDO Bespoke'!O33&lt;&gt;"",'CDO Bespoke'!O33,"")</f>
        <v/>
      </c>
      <c r="G32" s="502" t="str">
        <f>IF(F32&lt;&gt;"",ABS(MIN(-0.75*('CDO Bespoke'!Q33+'CDO Bespoke'!T33)+'CDO Bespoke'!T33,0)),"")</f>
        <v/>
      </c>
      <c r="H32" s="502" t="str">
        <f t="shared" si="0"/>
        <v/>
      </c>
      <c r="I32" s="502" t="str">
        <f t="shared" si="3"/>
        <v/>
      </c>
      <c r="J32" s="501" t="str">
        <f>IF('CDO Bespoke'!O33&lt;&gt;"",'CDO Bespoke'!O33,"")</f>
        <v/>
      </c>
      <c r="K32" s="502" t="str">
        <f>IF(J32&lt;&gt;"",ABS(MIN(-0.75*('CDO Bespoke'!K33+'CDO Bespoke'!T33)+'CDO Bespoke'!T33,0)),"")</f>
        <v/>
      </c>
      <c r="L32" s="502" t="str">
        <f t="shared" si="1"/>
        <v/>
      </c>
      <c r="M32" s="506" t="str">
        <f t="shared" si="2"/>
        <v/>
      </c>
      <c r="O32" s="511" t="str">
        <f>IF('CDO Bespoke'!C57&lt;&gt;"",'CDO Bespoke'!C57,"")</f>
        <v>BMW_MMR.EUR.SU</v>
      </c>
      <c r="P32" s="513" t="e" cm="1">
        <f t="array" ref="P32">IF($O32&lt;&gt;"",-TRANSPOSE(INDEX(getcds('CDO Bespoke'!$C57,P$13,'CDO Bespoke'!$G57/10000,'CDO Bespoke'!F57,'CDO Bespoke'!$L33,'CDO Bespoke'!$C$13,'CDO Bespoke'!$C$14,'CDO Bespoke'!$C$15,'CDO Bespoke'!$C$8,,,TRUE,TRUE,FALSE,'CDO Bespoke'!$C$29:'CDO Bespoke'!$C$31,'CDO Bespoke'!$C$33),{5})),"")</f>
        <v>#REF!</v>
      </c>
      <c r="Q32" s="542" t="e" cm="1">
        <f t="array" ref="Q32">IF($O32&lt;&gt;"",-TRANSPOSE(INDEX(getcds('CDO Bespoke'!$C57,Q$13,'CDO Bespoke'!$G57/10000,'CDO Bespoke'!G57,'CDO Bespoke'!$L33,'CDO Bespoke'!$C$13,'CDO Bespoke'!$C$14,'CDO Bespoke'!$C$15,'CDO Bespoke'!$C$8,,,TRUE,TRUE,FALSE,'CDO Bespoke'!$C$29:'CDO Bespoke'!$C$31,'CDO Bespoke'!$C$33),{5})),"")</f>
        <v>#REF!</v>
      </c>
      <c r="R32" s="542" t="e" cm="1">
        <f t="array" ref="R32">IF($O32&lt;&gt;"",-TRANSPOSE(INDEX(getcds('CDO Bespoke'!$C57,R$13,'CDO Bespoke'!$G57/10000,'CDO Bespoke'!H57,'CDO Bespoke'!$L33,'CDO Bespoke'!$C$13,'CDO Bespoke'!$C$14,'CDO Bespoke'!$C$15,'CDO Bespoke'!$C$8,,,TRUE,TRUE,FALSE,'CDO Bespoke'!$C$29:'CDO Bespoke'!$C$31,'CDO Bespoke'!$C$33),{5})),"")</f>
        <v>#REF!</v>
      </c>
      <c r="S32" s="542" t="e" cm="1">
        <f t="array" ref="S32">IF($O32&lt;&gt;"",-TRANSPOSE(INDEX(getcds('CDO Bespoke'!$C57,S$13,'CDO Bespoke'!$G57/10000,'CDO Bespoke'!I57,'CDO Bespoke'!$L33,'CDO Bespoke'!$C$13,'CDO Bespoke'!$C$14,'CDO Bespoke'!$C$15,'CDO Bespoke'!$C$8,,,TRUE,TRUE,FALSE,'CDO Bespoke'!$C$29:'CDO Bespoke'!$C$31,'CDO Bespoke'!$C$33),{5})),"")</f>
        <v>#VALUE!</v>
      </c>
      <c r="T32" s="514" t="e" cm="1">
        <f t="array" ref="T32">IF($O32&lt;&gt;"",-TRANSPOSE(INDEX(getcds('CDO Bespoke'!$C57,T$13,'CDO Bespoke'!$G57/10000,'CDO Bespoke'!J57,'CDO Bespoke'!$L33,'CDO Bespoke'!$C$13,'CDO Bespoke'!$C$14,'CDO Bespoke'!$C$15,'CDO Bespoke'!$C$8,,,TRUE,TRUE,FALSE,'CDO Bespoke'!$C$29:'CDO Bespoke'!$C$31,'CDO Bespoke'!$C$33),{5})),"")</f>
        <v>#VALUE!</v>
      </c>
      <c r="U32" s="493"/>
      <c r="V32" s="529"/>
      <c r="W32" s="530"/>
      <c r="X32" s="530"/>
      <c r="Y32" s="530"/>
      <c r="Z32" s="530"/>
      <c r="AA32" s="530"/>
      <c r="AB32" s="530"/>
      <c r="AC32" s="530"/>
      <c r="AD32" s="530"/>
      <c r="AE32" s="531"/>
      <c r="AF32" s="539"/>
    </row>
    <row r="33" spans="6:32" s="281" customFormat="1" ht="12" thickBot="1">
      <c r="F33" s="501" t="str">
        <f>IF('CDO Bespoke'!O34&lt;&gt;"",'CDO Bespoke'!O34,"")</f>
        <v/>
      </c>
      <c r="G33" s="502" t="str">
        <f>IF(F33&lt;&gt;"",ABS(MIN(-0.75*('CDO Bespoke'!Q34+'CDO Bespoke'!T34)+'CDO Bespoke'!T34,0)),"")</f>
        <v/>
      </c>
      <c r="H33" s="502" t="str">
        <f t="shared" si="0"/>
        <v/>
      </c>
      <c r="I33" s="502" t="str">
        <f t="shared" si="3"/>
        <v/>
      </c>
      <c r="J33" s="501" t="str">
        <f>IF('CDO Bespoke'!O34&lt;&gt;"",'CDO Bespoke'!O34,"")</f>
        <v/>
      </c>
      <c r="K33" s="502" t="str">
        <f>IF(J33&lt;&gt;"",ABS(MIN(-0.75*('CDO Bespoke'!K34+'CDO Bespoke'!T34)+'CDO Bespoke'!T34,0)),"")</f>
        <v/>
      </c>
      <c r="L33" s="502" t="str">
        <f t="shared" si="1"/>
        <v/>
      </c>
      <c r="M33" s="506" t="str">
        <f t="shared" si="2"/>
        <v/>
      </c>
      <c r="O33" s="511" t="str">
        <f>IF('CDO Bespoke'!C58&lt;&gt;"",'CDO Bespoke'!C58,"")</f>
        <v>BNPParibas_MMR.EUR.SU</v>
      </c>
      <c r="P33" s="513" t="e" cm="1">
        <f t="array" ref="P33">IF($O33&lt;&gt;"",-TRANSPOSE(INDEX(getcds('CDO Bespoke'!$C58,P$13,'CDO Bespoke'!$G58/10000,'CDO Bespoke'!F58,'CDO Bespoke'!$L34,'CDO Bespoke'!$C$13,'CDO Bespoke'!$C$14,'CDO Bespoke'!$C$15,'CDO Bespoke'!$C$8,,,TRUE,TRUE,FALSE,'CDO Bespoke'!$C$29:'CDO Bespoke'!$C$31,'CDO Bespoke'!$C$33),{5})),"")</f>
        <v>#VALUE!</v>
      </c>
      <c r="Q33" s="542" t="e" cm="1">
        <f t="array" ref="Q33">IF($O33&lt;&gt;"",-TRANSPOSE(INDEX(getcds('CDO Bespoke'!$C58,Q$13,'CDO Bespoke'!$G58/10000,'CDO Bespoke'!G58,'CDO Bespoke'!$L34,'CDO Bespoke'!$C$13,'CDO Bespoke'!$C$14,'CDO Bespoke'!$C$15,'CDO Bespoke'!$C$8,,,TRUE,TRUE,FALSE,'CDO Bespoke'!$C$29:'CDO Bespoke'!$C$31,'CDO Bespoke'!$C$33),{5})),"")</f>
        <v>#REF!</v>
      </c>
      <c r="R33" s="542" t="e" cm="1">
        <f t="array" ref="R33">IF($O33&lt;&gt;"",-TRANSPOSE(INDEX(getcds('CDO Bespoke'!$C58,R$13,'CDO Bespoke'!$G58/10000,'CDO Bespoke'!H58,'CDO Bespoke'!$L34,'CDO Bespoke'!$C$13,'CDO Bespoke'!$C$14,'CDO Bespoke'!$C$15,'CDO Bespoke'!$C$8,,,TRUE,TRUE,FALSE,'CDO Bespoke'!$C$29:'CDO Bespoke'!$C$31,'CDO Bespoke'!$C$33),{5})),"")</f>
        <v>#REF!</v>
      </c>
      <c r="S33" s="542" t="e" cm="1">
        <f t="array" ref="S33">IF($O33&lt;&gt;"",-TRANSPOSE(INDEX(getcds('CDO Bespoke'!$C58,S$13,'CDO Bespoke'!$G58/10000,'CDO Bespoke'!I58,'CDO Bespoke'!$L34,'CDO Bespoke'!$C$13,'CDO Bespoke'!$C$14,'CDO Bespoke'!$C$15,'CDO Bespoke'!$C$8,,,TRUE,TRUE,FALSE,'CDO Bespoke'!$C$29:'CDO Bespoke'!$C$31,'CDO Bespoke'!$C$33),{5})),"")</f>
        <v>#REF!</v>
      </c>
      <c r="T33" s="514" t="e" cm="1">
        <f t="array" ref="T33">IF($O33&lt;&gt;"",-TRANSPOSE(INDEX(getcds('CDO Bespoke'!$C58,T$13,'CDO Bespoke'!$G58/10000,'CDO Bespoke'!J58,'CDO Bespoke'!$L34,'CDO Bespoke'!$C$13,'CDO Bespoke'!$C$14,'CDO Bespoke'!$C$15,'CDO Bespoke'!$C$8,,,TRUE,TRUE,FALSE,'CDO Bespoke'!$C$29:'CDO Bespoke'!$C$31,'CDO Bespoke'!$C$33),{5})),"")</f>
        <v>#VALUE!</v>
      </c>
      <c r="U33" s="493"/>
      <c r="V33" s="529"/>
      <c r="W33" s="530"/>
      <c r="X33" s="530"/>
      <c r="Y33" s="530"/>
      <c r="Z33" s="530"/>
      <c r="AA33" s="530"/>
      <c r="AB33" s="530"/>
      <c r="AC33" s="530"/>
      <c r="AD33" s="530"/>
      <c r="AE33" s="531"/>
      <c r="AF33" s="539"/>
    </row>
    <row r="34" spans="6:32" s="281" customFormat="1" ht="12" thickBot="1">
      <c r="F34" s="501" t="str">
        <f>IF('CDO Bespoke'!O35&lt;&gt;"",'CDO Bespoke'!O35,"")</f>
        <v/>
      </c>
      <c r="G34" s="502" t="str">
        <f>IF(F34&lt;&gt;"",ABS(MIN(-0.75*('CDO Bespoke'!Q35+'CDO Bespoke'!T35)+'CDO Bespoke'!T35,0)),"")</f>
        <v/>
      </c>
      <c r="H34" s="502" t="str">
        <f t="shared" si="0"/>
        <v/>
      </c>
      <c r="I34" s="502" t="str">
        <f t="shared" si="3"/>
        <v/>
      </c>
      <c r="J34" s="501" t="str">
        <f>IF('CDO Bespoke'!O35&lt;&gt;"",'CDO Bespoke'!O35,"")</f>
        <v/>
      </c>
      <c r="K34" s="502" t="str">
        <f>IF(J34&lt;&gt;"",ABS(MIN(-0.75*('CDO Bespoke'!K35+'CDO Bespoke'!T35)+'CDO Bespoke'!T35,0)),"")</f>
        <v/>
      </c>
      <c r="L34" s="502" t="str">
        <f t="shared" si="1"/>
        <v/>
      </c>
      <c r="M34" s="506" t="str">
        <f t="shared" si="2"/>
        <v/>
      </c>
      <c r="O34" s="511" t="str">
        <f>IF('CDO Bespoke'!C59&lt;&gt;"",'CDO Bespoke'!C59,"")</f>
        <v>BritishTelecom_MMR.EUR.SU</v>
      </c>
      <c r="P34" s="513" t="e" cm="1">
        <f t="array" ref="P34">IF($O34&lt;&gt;"",-TRANSPOSE(INDEX(getcds('CDO Bespoke'!$C59,P$13,'CDO Bespoke'!$G59/10000,'CDO Bespoke'!F59,'CDO Bespoke'!$L35,'CDO Bespoke'!$C$13,'CDO Bespoke'!$C$14,'CDO Bespoke'!$C$15,'CDO Bespoke'!$C$8,,,TRUE,TRUE,FALSE,'CDO Bespoke'!$C$29:'CDO Bespoke'!$C$31,'CDO Bespoke'!$C$33),{5})),"")</f>
        <v>#VALUE!</v>
      </c>
      <c r="Q34" s="542" t="e" cm="1">
        <f t="array" ref="Q34">IF($O34&lt;&gt;"",-TRANSPOSE(INDEX(getcds('CDO Bespoke'!$C59,Q$13,'CDO Bespoke'!$G59/10000,'CDO Bespoke'!G59,'CDO Bespoke'!$L35,'CDO Bespoke'!$C$13,'CDO Bespoke'!$C$14,'CDO Bespoke'!$C$15,'CDO Bespoke'!$C$8,,,TRUE,TRUE,FALSE,'CDO Bespoke'!$C$29:'CDO Bespoke'!$C$31,'CDO Bespoke'!$C$33),{5})),"")</f>
        <v>#VALUE!</v>
      </c>
      <c r="R34" s="542" t="e" cm="1">
        <f t="array" ref="R34">IF($O34&lt;&gt;"",-TRANSPOSE(INDEX(getcds('CDO Bespoke'!$C59,R$13,'CDO Bespoke'!$G59/10000,'CDO Bespoke'!H59,'CDO Bespoke'!$L35,'CDO Bespoke'!$C$13,'CDO Bespoke'!$C$14,'CDO Bespoke'!$C$15,'CDO Bespoke'!$C$8,,,TRUE,TRUE,FALSE,'CDO Bespoke'!$C$29:'CDO Bespoke'!$C$31,'CDO Bespoke'!$C$33),{5})),"")</f>
        <v>#VALUE!</v>
      </c>
      <c r="S34" s="542" t="e" cm="1">
        <f t="array" ref="S34">IF($O34&lt;&gt;"",-TRANSPOSE(INDEX(getcds('CDO Bespoke'!$C59,S$13,'CDO Bespoke'!$G59/10000,'CDO Bespoke'!I59,'CDO Bespoke'!$L35,'CDO Bespoke'!$C$13,'CDO Bespoke'!$C$14,'CDO Bespoke'!$C$15,'CDO Bespoke'!$C$8,,,TRUE,TRUE,FALSE,'CDO Bespoke'!$C$29:'CDO Bespoke'!$C$31,'CDO Bespoke'!$C$33),{5})),"")</f>
        <v>#VALUE!</v>
      </c>
      <c r="T34" s="514" t="e" cm="1">
        <f t="array" ref="T34">IF($O34&lt;&gt;"",-TRANSPOSE(INDEX(getcds('CDO Bespoke'!$C59,T$13,'CDO Bespoke'!$G59/10000,'CDO Bespoke'!J59,'CDO Bespoke'!$L35,'CDO Bespoke'!$C$13,'CDO Bespoke'!$C$14,'CDO Bespoke'!$C$15,'CDO Bespoke'!$C$8,,,TRUE,TRUE,FALSE,'CDO Bespoke'!$C$29:'CDO Bespoke'!$C$31,'CDO Bespoke'!$C$33),{5})),"")</f>
        <v>#VALUE!</v>
      </c>
      <c r="U34" s="493"/>
      <c r="V34" s="529"/>
      <c r="W34" s="530"/>
      <c r="X34" s="530"/>
      <c r="Y34" s="530"/>
      <c r="Z34" s="530"/>
      <c r="AA34" s="530"/>
      <c r="AB34" s="530"/>
      <c r="AC34" s="530"/>
      <c r="AD34" s="530"/>
      <c r="AE34" s="531"/>
      <c r="AF34" s="539"/>
    </row>
    <row r="35" spans="6:32" s="281" customFormat="1" ht="12" thickBot="1">
      <c r="F35" s="501" t="str">
        <f>IF('CDO Bespoke'!O36&lt;&gt;"",'CDO Bespoke'!O36,"")</f>
        <v/>
      </c>
      <c r="G35" s="502" t="str">
        <f>IF(F35&lt;&gt;"",ABS(MIN(-0.75*('CDO Bespoke'!Q36+'CDO Bespoke'!T36)+'CDO Bespoke'!T36,0)),"")</f>
        <v/>
      </c>
      <c r="H35" s="502" t="str">
        <f t="shared" si="0"/>
        <v/>
      </c>
      <c r="I35" s="502" t="str">
        <f t="shared" si="3"/>
        <v/>
      </c>
      <c r="J35" s="501" t="str">
        <f>IF('CDO Bespoke'!O36&lt;&gt;"",'CDO Bespoke'!O36,"")</f>
        <v/>
      </c>
      <c r="K35" s="502" t="str">
        <f>IF(J35&lt;&gt;"",ABS(MIN(-0.75*('CDO Bespoke'!K36+'CDO Bespoke'!T36)+'CDO Bespoke'!T36,0)),"")</f>
        <v/>
      </c>
      <c r="L35" s="502" t="str">
        <f t="shared" si="1"/>
        <v/>
      </c>
      <c r="M35" s="506" t="str">
        <f t="shared" si="2"/>
        <v/>
      </c>
      <c r="O35" s="511" t="str">
        <f>IF('CDO Bespoke'!C60&lt;&gt;"",'CDO Bespoke'!C60,"")</f>
        <v>BSCH_MMR.EUR.SU</v>
      </c>
      <c r="P35" s="513" t="e" cm="1">
        <f t="array" ref="P35">IF($O35&lt;&gt;"",-TRANSPOSE(INDEX(getcds('CDO Bespoke'!$C60,P$13,'CDO Bespoke'!$G60/10000,'CDO Bespoke'!F60,'CDO Bespoke'!$L36,'CDO Bespoke'!$C$13,'CDO Bespoke'!$C$14,'CDO Bespoke'!$C$15,'CDO Bespoke'!$C$8,,,TRUE,TRUE,FALSE,'CDO Bespoke'!$C$29:'CDO Bespoke'!$C$31,'CDO Bespoke'!$C$33),{5})),"")</f>
        <v>#VALUE!</v>
      </c>
      <c r="Q35" s="542" t="e" cm="1">
        <f t="array" ref="Q35">IF($O35&lt;&gt;"",-TRANSPOSE(INDEX(getcds('CDO Bespoke'!$C60,Q$13,'CDO Bespoke'!$G60/10000,'CDO Bespoke'!G60,'CDO Bespoke'!$L36,'CDO Bespoke'!$C$13,'CDO Bespoke'!$C$14,'CDO Bespoke'!$C$15,'CDO Bespoke'!$C$8,,,TRUE,TRUE,FALSE,'CDO Bespoke'!$C$29:'CDO Bespoke'!$C$31,'CDO Bespoke'!$C$33),{5})),"")</f>
        <v>#VALUE!</v>
      </c>
      <c r="R35" s="542" t="e" cm="1">
        <f t="array" ref="R35">IF($O35&lt;&gt;"",-TRANSPOSE(INDEX(getcds('CDO Bespoke'!$C60,R$13,'CDO Bespoke'!$G60/10000,'CDO Bespoke'!H60,'CDO Bespoke'!$L36,'CDO Bespoke'!$C$13,'CDO Bespoke'!$C$14,'CDO Bespoke'!$C$15,'CDO Bespoke'!$C$8,,,TRUE,TRUE,FALSE,'CDO Bespoke'!$C$29:'CDO Bespoke'!$C$31,'CDO Bespoke'!$C$33),{5})),"")</f>
        <v>#VALUE!</v>
      </c>
      <c r="S35" s="542" t="e" cm="1">
        <f t="array" ref="S35">IF($O35&lt;&gt;"",-TRANSPOSE(INDEX(getcds('CDO Bespoke'!$C60,S$13,'CDO Bespoke'!$G60/10000,'CDO Bespoke'!I60,'CDO Bespoke'!$L36,'CDO Bespoke'!$C$13,'CDO Bespoke'!$C$14,'CDO Bespoke'!$C$15,'CDO Bespoke'!$C$8,,,TRUE,TRUE,FALSE,'CDO Bespoke'!$C$29:'CDO Bespoke'!$C$31,'CDO Bespoke'!$C$33),{5})),"")</f>
        <v>#VALUE!</v>
      </c>
      <c r="T35" s="514" t="e" cm="1">
        <f t="array" ref="T35">IF($O35&lt;&gt;"",-TRANSPOSE(INDEX(getcds('CDO Bespoke'!$C60,T$13,'CDO Bespoke'!$G60/10000,'CDO Bespoke'!J60,'CDO Bespoke'!$L36,'CDO Bespoke'!$C$13,'CDO Bespoke'!$C$14,'CDO Bespoke'!$C$15,'CDO Bespoke'!$C$8,,,TRUE,TRUE,FALSE,'CDO Bespoke'!$C$29:'CDO Bespoke'!$C$31,'CDO Bespoke'!$C$33),{5})),"")</f>
        <v>#VALUE!</v>
      </c>
      <c r="U35" s="493"/>
      <c r="V35" s="529"/>
      <c r="W35" s="530"/>
      <c r="X35" s="530"/>
      <c r="Y35" s="530"/>
      <c r="Z35" s="530"/>
      <c r="AA35" s="530"/>
      <c r="AB35" s="530"/>
      <c r="AC35" s="530"/>
      <c r="AD35" s="530"/>
      <c r="AE35" s="531"/>
      <c r="AF35" s="539"/>
    </row>
    <row r="36" spans="6:32" s="281" customFormat="1" ht="12" thickBot="1">
      <c r="F36" s="501" t="str">
        <f>IF('CDO Bespoke'!O37&lt;&gt;"",'CDO Bespoke'!O37,"")</f>
        <v/>
      </c>
      <c r="G36" s="502" t="str">
        <f>IF(F36&lt;&gt;"",ABS(MIN(-0.75*('CDO Bespoke'!Q37+'CDO Bespoke'!T37)+'CDO Bespoke'!T37,0)),"")</f>
        <v/>
      </c>
      <c r="H36" s="502" t="str">
        <f t="shared" si="0"/>
        <v/>
      </c>
      <c r="I36" s="502" t="str">
        <f t="shared" si="3"/>
        <v/>
      </c>
      <c r="J36" s="501" t="str">
        <f>IF('CDO Bespoke'!O37&lt;&gt;"",'CDO Bespoke'!O37,"")</f>
        <v/>
      </c>
      <c r="K36" s="502" t="str">
        <f>IF(J36&lt;&gt;"",ABS(MIN(-0.75*('CDO Bespoke'!K37+'CDO Bespoke'!T37)+'CDO Bespoke'!T37,0)),"")</f>
        <v/>
      </c>
      <c r="L36" s="502" t="str">
        <f t="shared" si="1"/>
        <v/>
      </c>
      <c r="M36" s="506" t="str">
        <f t="shared" si="2"/>
        <v/>
      </c>
      <c r="O36" s="511" t="str">
        <f>IF('CDO Bespoke'!C61&lt;&gt;"",'CDO Bespoke'!C61,"")</f>
        <v>CadburySchweppes_MMR.EUR.SU</v>
      </c>
      <c r="P36" s="513" t="e" cm="1">
        <f t="array" ref="P36">IF($O36&lt;&gt;"",-TRANSPOSE(INDEX(getcds('CDO Bespoke'!$C61,P$13,'CDO Bespoke'!$G61/10000,'CDO Bespoke'!F61,'CDO Bespoke'!$L37,'CDO Bespoke'!$C$13,'CDO Bespoke'!$C$14,'CDO Bespoke'!$C$15,'CDO Bespoke'!$C$8,,,TRUE,TRUE,FALSE,'CDO Bespoke'!$C$29:'CDO Bespoke'!$C$31,'CDO Bespoke'!$C$33),{5})),"")</f>
        <v>#VALUE!</v>
      </c>
      <c r="Q36" s="542" t="e" cm="1">
        <f t="array" ref="Q36">IF($O36&lt;&gt;"",-TRANSPOSE(INDEX(getcds('CDO Bespoke'!$C61,Q$13,'CDO Bespoke'!$G61/10000,'CDO Bespoke'!G61,'CDO Bespoke'!$L37,'CDO Bespoke'!$C$13,'CDO Bespoke'!$C$14,'CDO Bespoke'!$C$15,'CDO Bespoke'!$C$8,,,TRUE,TRUE,FALSE,'CDO Bespoke'!$C$29:'CDO Bespoke'!$C$31,'CDO Bespoke'!$C$33),{5})),"")</f>
        <v>#VALUE!</v>
      </c>
      <c r="R36" s="542" t="e" cm="1">
        <f t="array" ref="R36">IF($O36&lt;&gt;"",-TRANSPOSE(INDEX(getcds('CDO Bespoke'!$C61,R$13,'CDO Bespoke'!$G61/10000,'CDO Bespoke'!H61,'CDO Bespoke'!$L37,'CDO Bespoke'!$C$13,'CDO Bespoke'!$C$14,'CDO Bespoke'!$C$15,'CDO Bespoke'!$C$8,,,TRUE,TRUE,FALSE,'CDO Bespoke'!$C$29:'CDO Bespoke'!$C$31,'CDO Bespoke'!$C$33),{5})),"")</f>
        <v>#VALUE!</v>
      </c>
      <c r="S36" s="542" t="e" cm="1">
        <f t="array" ref="S36">IF($O36&lt;&gt;"",-TRANSPOSE(INDEX(getcds('CDO Bespoke'!$C61,S$13,'CDO Bespoke'!$G61/10000,'CDO Bespoke'!I61,'CDO Bespoke'!$L37,'CDO Bespoke'!$C$13,'CDO Bespoke'!$C$14,'CDO Bespoke'!$C$15,'CDO Bespoke'!$C$8,,,TRUE,TRUE,FALSE,'CDO Bespoke'!$C$29:'CDO Bespoke'!$C$31,'CDO Bespoke'!$C$33),{5})),"")</f>
        <v>#VALUE!</v>
      </c>
      <c r="T36" s="514" t="e" cm="1">
        <f t="array" ref="T36">IF($O36&lt;&gt;"",-TRANSPOSE(INDEX(getcds('CDO Bespoke'!$C61,T$13,'CDO Bespoke'!$G61/10000,'CDO Bespoke'!J61,'CDO Bespoke'!$L37,'CDO Bespoke'!$C$13,'CDO Bespoke'!$C$14,'CDO Bespoke'!$C$15,'CDO Bespoke'!$C$8,,,TRUE,TRUE,FALSE,'CDO Bespoke'!$C$29:'CDO Bespoke'!$C$31,'CDO Bespoke'!$C$33),{5})),"")</f>
        <v>#VALUE!</v>
      </c>
      <c r="U36" s="493"/>
      <c r="V36" s="529"/>
      <c r="W36" s="530"/>
      <c r="X36" s="530"/>
      <c r="Y36" s="530"/>
      <c r="Z36" s="530"/>
      <c r="AA36" s="530"/>
      <c r="AB36" s="530"/>
      <c r="AC36" s="530"/>
      <c r="AD36" s="530"/>
      <c r="AE36" s="531"/>
      <c r="AF36" s="539"/>
    </row>
    <row r="37" spans="6:32" s="281" customFormat="1" ht="13.5" customHeight="1" thickBot="1">
      <c r="F37" s="501" t="str">
        <f>IF('CDO Bespoke'!O38&lt;&gt;"",'CDO Bespoke'!O38,"")</f>
        <v/>
      </c>
      <c r="G37" s="502" t="str">
        <f>IF(F37&lt;&gt;"",ABS(MIN(-0.75*('CDO Bespoke'!Q38+'CDO Bespoke'!T38)+'CDO Bespoke'!T38,0)),"")</f>
        <v/>
      </c>
      <c r="H37" s="502" t="str">
        <f t="shared" si="0"/>
        <v/>
      </c>
      <c r="I37" s="502" t="str">
        <f t="shared" si="3"/>
        <v/>
      </c>
      <c r="J37" s="501" t="str">
        <f>IF('CDO Bespoke'!O38&lt;&gt;"",'CDO Bespoke'!O38,"")</f>
        <v/>
      </c>
      <c r="K37" s="502" t="str">
        <f>IF(J37&lt;&gt;"",ABS(MIN(-0.75*('CDO Bespoke'!K38+'CDO Bespoke'!T38)+'CDO Bespoke'!T38,0)),"")</f>
        <v/>
      </c>
      <c r="L37" s="502" t="str">
        <f t="shared" si="1"/>
        <v/>
      </c>
      <c r="M37" s="506" t="str">
        <f t="shared" si="2"/>
        <v/>
      </c>
      <c r="O37" s="511" t="str">
        <f>IF('CDO Bespoke'!C62&lt;&gt;"",'CDO Bespoke'!C62,"")</f>
        <v>Capitalia_MMR.EUR.SU</v>
      </c>
      <c r="P37" s="513" t="e" cm="1">
        <f t="array" ref="P37">IF($O37&lt;&gt;"",-TRANSPOSE(INDEX(getcds('CDO Bespoke'!$C62,P$13,'CDO Bespoke'!$G62/10000,'CDO Bespoke'!F62,'CDO Bespoke'!$L38,'CDO Bespoke'!$C$13,'CDO Bespoke'!$C$14,'CDO Bespoke'!$C$15,'CDO Bespoke'!$C$8,,,TRUE,TRUE,FALSE,'CDO Bespoke'!$C$29:'CDO Bespoke'!$C$31,'CDO Bespoke'!$C$33),{5})),"")</f>
        <v>#VALUE!</v>
      </c>
      <c r="Q37" s="542" t="e" cm="1">
        <f t="array" ref="Q37">IF($O37&lt;&gt;"",-TRANSPOSE(INDEX(getcds('CDO Bespoke'!$C62,Q$13,'CDO Bespoke'!$G62/10000,'CDO Bespoke'!G62,'CDO Bespoke'!$L38,'CDO Bespoke'!$C$13,'CDO Bespoke'!$C$14,'CDO Bespoke'!$C$15,'CDO Bespoke'!$C$8,,,TRUE,TRUE,FALSE,'CDO Bespoke'!$C$29:'CDO Bespoke'!$C$31,'CDO Bespoke'!$C$33),{5})),"")</f>
        <v>#VALUE!</v>
      </c>
      <c r="R37" s="542" t="e" cm="1">
        <f t="array" ref="R37">IF($O37&lt;&gt;"",-TRANSPOSE(INDEX(getcds('CDO Bespoke'!$C62,R$13,'CDO Bespoke'!$G62/10000,'CDO Bespoke'!H62,'CDO Bespoke'!$L38,'CDO Bespoke'!$C$13,'CDO Bespoke'!$C$14,'CDO Bespoke'!$C$15,'CDO Bespoke'!$C$8,,,TRUE,TRUE,FALSE,'CDO Bespoke'!$C$29:'CDO Bespoke'!$C$31,'CDO Bespoke'!$C$33),{5})),"")</f>
        <v>#VALUE!</v>
      </c>
      <c r="S37" s="542" t="e" cm="1">
        <f t="array" ref="S37">IF($O37&lt;&gt;"",-TRANSPOSE(INDEX(getcds('CDO Bespoke'!$C62,S$13,'CDO Bespoke'!$G62/10000,'CDO Bespoke'!I62,'CDO Bespoke'!$L38,'CDO Bespoke'!$C$13,'CDO Bespoke'!$C$14,'CDO Bespoke'!$C$15,'CDO Bespoke'!$C$8,,,TRUE,TRUE,FALSE,'CDO Bespoke'!$C$29:'CDO Bespoke'!$C$31,'CDO Bespoke'!$C$33),{5})),"")</f>
        <v>#VALUE!</v>
      </c>
      <c r="T37" s="514" t="e" cm="1">
        <f t="array" ref="T37">IF($O37&lt;&gt;"",-TRANSPOSE(INDEX(getcds('CDO Bespoke'!$C62,T$13,'CDO Bespoke'!$G62/10000,'CDO Bespoke'!J62,'CDO Bespoke'!$L38,'CDO Bespoke'!$C$13,'CDO Bespoke'!$C$14,'CDO Bespoke'!$C$15,'CDO Bespoke'!$C$8,,,TRUE,TRUE,FALSE,'CDO Bespoke'!$C$29:'CDO Bespoke'!$C$31,'CDO Bespoke'!$C$33),{5})),"")</f>
        <v>#VALUE!</v>
      </c>
      <c r="U37" s="493"/>
      <c r="V37" s="529"/>
      <c r="W37" s="530"/>
      <c r="X37" s="530"/>
      <c r="Y37" s="530"/>
      <c r="Z37" s="530"/>
      <c r="AA37" s="530"/>
      <c r="AB37" s="530"/>
      <c r="AC37" s="530"/>
      <c r="AD37" s="530"/>
      <c r="AE37" s="531"/>
      <c r="AF37" s="539"/>
    </row>
    <row r="38" spans="6:32" s="281" customFormat="1" ht="12" thickBot="1">
      <c r="F38" s="501" t="str">
        <f>IF('CDO Bespoke'!O39&lt;&gt;"",'CDO Bespoke'!O39,"")</f>
        <v/>
      </c>
      <c r="G38" s="502" t="str">
        <f>IF(F38&lt;&gt;"",ABS(MIN(-0.75*('CDO Bespoke'!Q39+'CDO Bespoke'!T39)+'CDO Bespoke'!T39,0)),"")</f>
        <v/>
      </c>
      <c r="H38" s="502" t="str">
        <f t="shared" si="0"/>
        <v/>
      </c>
      <c r="I38" s="502" t="str">
        <f t="shared" si="3"/>
        <v/>
      </c>
      <c r="J38" s="501" t="str">
        <f>IF('CDO Bespoke'!O39&lt;&gt;"",'CDO Bespoke'!O39,"")</f>
        <v/>
      </c>
      <c r="K38" s="502" t="str">
        <f>IF(J38&lt;&gt;"",ABS(MIN(-0.75*('CDO Bespoke'!K39+'CDO Bespoke'!T39)+'CDO Bespoke'!T39,0)),"")</f>
        <v/>
      </c>
      <c r="L38" s="502" t="str">
        <f t="shared" si="1"/>
        <v/>
      </c>
      <c r="M38" s="506" t="str">
        <f t="shared" si="2"/>
        <v/>
      </c>
      <c r="O38" s="511" t="str">
        <f>IF('CDO Bespoke'!C63&lt;&gt;"",'CDO Bespoke'!C63,"")</f>
        <v>Carrefour_MMR.EUR.SU</v>
      </c>
      <c r="P38" s="513" t="e" cm="1">
        <f t="array" ref="P38">IF($O38&lt;&gt;"",-TRANSPOSE(INDEX(getcds('CDO Bespoke'!$C63,P$13,'CDO Bespoke'!$G63/10000,'CDO Bespoke'!F63,'CDO Bespoke'!$L39,'CDO Bespoke'!$C$13,'CDO Bespoke'!$C$14,'CDO Bespoke'!$C$15,'CDO Bespoke'!$C$8,,,TRUE,TRUE,FALSE,'CDO Bespoke'!$C$29:'CDO Bespoke'!$C$31,'CDO Bespoke'!$C$33),{5})),"")</f>
        <v>#REF!</v>
      </c>
      <c r="Q38" s="542" t="e" cm="1">
        <f t="array" ref="Q38">IF($O38&lt;&gt;"",-TRANSPOSE(INDEX(getcds('CDO Bespoke'!$C63,Q$13,'CDO Bespoke'!$G63/10000,'CDO Bespoke'!G63,'CDO Bespoke'!$L39,'CDO Bespoke'!$C$13,'CDO Bespoke'!$C$14,'CDO Bespoke'!$C$15,'CDO Bespoke'!$C$8,,,TRUE,TRUE,FALSE,'CDO Bespoke'!$C$29:'CDO Bespoke'!$C$31,'CDO Bespoke'!$C$33),{5})),"")</f>
        <v>#REF!</v>
      </c>
      <c r="R38" s="542" t="e" cm="1">
        <f t="array" ref="R38">IF($O38&lt;&gt;"",-TRANSPOSE(INDEX(getcds('CDO Bespoke'!$C63,R$13,'CDO Bespoke'!$G63/10000,'CDO Bespoke'!H63,'CDO Bespoke'!$L39,'CDO Bespoke'!$C$13,'CDO Bespoke'!$C$14,'CDO Bespoke'!$C$15,'CDO Bespoke'!$C$8,,,TRUE,TRUE,FALSE,'CDO Bespoke'!$C$29:'CDO Bespoke'!$C$31,'CDO Bespoke'!$C$33),{5})),"")</f>
        <v>#REF!</v>
      </c>
      <c r="S38" s="542" t="e" cm="1">
        <f t="array" ref="S38">IF($O38&lt;&gt;"",-TRANSPOSE(INDEX(getcds('CDO Bespoke'!$C63,S$13,'CDO Bespoke'!$G63/10000,'CDO Bespoke'!I63,'CDO Bespoke'!$L39,'CDO Bespoke'!$C$13,'CDO Bespoke'!$C$14,'CDO Bespoke'!$C$15,'CDO Bespoke'!$C$8,,,TRUE,TRUE,FALSE,'CDO Bespoke'!$C$29:'CDO Bespoke'!$C$31,'CDO Bespoke'!$C$33),{5})),"")</f>
        <v>#REF!</v>
      </c>
      <c r="T38" s="514" t="e" cm="1">
        <f t="array" ref="T38">IF($O38&lt;&gt;"",-TRANSPOSE(INDEX(getcds('CDO Bespoke'!$C63,T$13,'CDO Bespoke'!$G63/10000,'CDO Bespoke'!J63,'CDO Bespoke'!$L39,'CDO Bespoke'!$C$13,'CDO Bespoke'!$C$14,'CDO Bespoke'!$C$15,'CDO Bespoke'!$C$8,,,TRUE,TRUE,FALSE,'CDO Bespoke'!$C$29:'CDO Bespoke'!$C$31,'CDO Bespoke'!$C$33),{5})),"")</f>
        <v>#VALUE!</v>
      </c>
      <c r="U38" s="493"/>
      <c r="V38" s="529"/>
      <c r="W38" s="530"/>
      <c r="X38" s="530"/>
      <c r="Y38" s="530"/>
      <c r="Z38" s="530"/>
      <c r="AA38" s="530"/>
      <c r="AB38" s="530"/>
      <c r="AC38" s="530"/>
      <c r="AD38" s="530"/>
      <c r="AE38" s="531"/>
      <c r="AF38" s="539"/>
    </row>
    <row r="39" spans="6:32" s="281" customFormat="1" ht="12" thickBot="1">
      <c r="F39" s="501" t="str">
        <f>IF('CDO Bespoke'!O40&lt;&gt;"",'CDO Bespoke'!O40,"")</f>
        <v/>
      </c>
      <c r="G39" s="502" t="str">
        <f>IF(F39&lt;&gt;"",ABS(MIN(-0.75*('CDO Bespoke'!Q40+'CDO Bespoke'!T40)+'CDO Bespoke'!T40,0)),"")</f>
        <v/>
      </c>
      <c r="H39" s="502" t="str">
        <f t="shared" si="0"/>
        <v/>
      </c>
      <c r="I39" s="502" t="str">
        <f t="shared" si="3"/>
        <v/>
      </c>
      <c r="J39" s="501" t="str">
        <f>IF('CDO Bespoke'!O40&lt;&gt;"",'CDO Bespoke'!O40,"")</f>
        <v/>
      </c>
      <c r="K39" s="502" t="str">
        <f>IF(J39&lt;&gt;"",ABS(MIN(-0.75*('CDO Bespoke'!K40+'CDO Bespoke'!T40)+'CDO Bespoke'!T40,0)),"")</f>
        <v/>
      </c>
      <c r="L39" s="502" t="str">
        <f t="shared" si="1"/>
        <v/>
      </c>
      <c r="M39" s="506" t="str">
        <f t="shared" si="2"/>
        <v/>
      </c>
      <c r="O39" s="511" t="str">
        <f>IF('CDO Bespoke'!C64&lt;&gt;"",'CDO Bespoke'!C64,"")</f>
        <v>CasinoGuichard_MMR.EUR.SU</v>
      </c>
      <c r="P39" s="513" t="e" cm="1">
        <f t="array" ref="P39">IF($O39&lt;&gt;"",-TRANSPOSE(INDEX(getcds('CDO Bespoke'!$C64,P$13,'CDO Bespoke'!$G64/10000,'CDO Bespoke'!F64,'CDO Bespoke'!$L40,'CDO Bespoke'!$C$13,'CDO Bespoke'!$C$14,'CDO Bespoke'!$C$15,'CDO Bespoke'!$C$8,,,TRUE,TRUE,FALSE,'CDO Bespoke'!$C$29:'CDO Bespoke'!$C$31,'CDO Bespoke'!$C$33),{5})),"")</f>
        <v>#REF!</v>
      </c>
      <c r="Q39" s="542" t="e" cm="1">
        <f t="array" ref="Q39">IF($O39&lt;&gt;"",-TRANSPOSE(INDEX(getcds('CDO Bespoke'!$C64,Q$13,'CDO Bespoke'!$G64/10000,'CDO Bespoke'!G64,'CDO Bespoke'!$L40,'CDO Bespoke'!$C$13,'CDO Bespoke'!$C$14,'CDO Bespoke'!$C$15,'CDO Bespoke'!$C$8,,,TRUE,TRUE,FALSE,'CDO Bespoke'!$C$29:'CDO Bespoke'!$C$31,'CDO Bespoke'!$C$33),{5})),"")</f>
        <v>#VALUE!</v>
      </c>
      <c r="R39" s="542" t="e" cm="1">
        <f t="array" ref="R39">IF($O39&lt;&gt;"",-TRANSPOSE(INDEX(getcds('CDO Bespoke'!$C64,R$13,'CDO Bespoke'!$G64/10000,'CDO Bespoke'!H64,'CDO Bespoke'!$L40,'CDO Bespoke'!$C$13,'CDO Bespoke'!$C$14,'CDO Bespoke'!$C$15,'CDO Bespoke'!$C$8,,,TRUE,TRUE,FALSE,'CDO Bespoke'!$C$29:'CDO Bespoke'!$C$31,'CDO Bespoke'!$C$33),{5})),"")</f>
        <v>#REF!</v>
      </c>
      <c r="S39" s="542" t="e" cm="1">
        <f t="array" ref="S39">IF($O39&lt;&gt;"",-TRANSPOSE(INDEX(getcds('CDO Bespoke'!$C64,S$13,'CDO Bespoke'!$G64/10000,'CDO Bespoke'!I64,'CDO Bespoke'!$L40,'CDO Bespoke'!$C$13,'CDO Bespoke'!$C$14,'CDO Bespoke'!$C$15,'CDO Bespoke'!$C$8,,,TRUE,TRUE,FALSE,'CDO Bespoke'!$C$29:'CDO Bespoke'!$C$31,'CDO Bespoke'!$C$33),{5})),"")</f>
        <v>#VALUE!</v>
      </c>
      <c r="T39" s="514" t="e" cm="1">
        <f t="array" ref="T39">IF($O39&lt;&gt;"",-TRANSPOSE(INDEX(getcds('CDO Bespoke'!$C64,T$13,'CDO Bespoke'!$G64/10000,'CDO Bespoke'!J64,'CDO Bespoke'!$L40,'CDO Bespoke'!$C$13,'CDO Bespoke'!$C$14,'CDO Bespoke'!$C$15,'CDO Bespoke'!$C$8,,,TRUE,TRUE,FALSE,'CDO Bespoke'!$C$29:'CDO Bespoke'!$C$31,'CDO Bespoke'!$C$33),{5})),"")</f>
        <v>#REF!</v>
      </c>
      <c r="U39" s="493"/>
      <c r="V39" s="529"/>
      <c r="W39" s="530"/>
      <c r="X39" s="530"/>
      <c r="Y39" s="530"/>
      <c r="Z39" s="530"/>
      <c r="AA39" s="530"/>
      <c r="AB39" s="530"/>
      <c r="AC39" s="530"/>
      <c r="AD39" s="530"/>
      <c r="AE39" s="531"/>
      <c r="AF39" s="539"/>
    </row>
    <row r="40" spans="6:32" s="281" customFormat="1" ht="12" thickBot="1">
      <c r="F40" s="501" t="str">
        <f>IF('CDO Bespoke'!O41&lt;&gt;"",'CDO Bespoke'!O41,"")</f>
        <v/>
      </c>
      <c r="G40" s="502" t="str">
        <f>IF(F40&lt;&gt;"",ABS(MIN(-0.75*('CDO Bespoke'!Q41+'CDO Bespoke'!T41)+'CDO Bespoke'!T41,0)),"")</f>
        <v/>
      </c>
      <c r="H40" s="502" t="str">
        <f t="shared" si="0"/>
        <v/>
      </c>
      <c r="I40" s="502" t="str">
        <f t="shared" si="3"/>
        <v/>
      </c>
      <c r="J40" s="501" t="str">
        <f>IF('CDO Bespoke'!O41&lt;&gt;"",'CDO Bespoke'!O41,"")</f>
        <v/>
      </c>
      <c r="K40" s="502" t="str">
        <f>IF(J40&lt;&gt;"",ABS(MIN(-0.75*('CDO Bespoke'!K41+'CDO Bespoke'!T41)+'CDO Bespoke'!T41,0)),"")</f>
        <v/>
      </c>
      <c r="L40" s="502" t="str">
        <f t="shared" si="1"/>
        <v/>
      </c>
      <c r="M40" s="506" t="str">
        <f t="shared" si="2"/>
        <v/>
      </c>
      <c r="O40" s="511" t="str">
        <f>IF('CDO Bespoke'!C65&lt;&gt;"",'CDO Bespoke'!C65,"")</f>
        <v>Centrica_MMR.EUR.SU</v>
      </c>
      <c r="P40" s="513" t="e" cm="1">
        <f t="array" ref="P40">IF($O40&lt;&gt;"",-TRANSPOSE(INDEX(getcds('CDO Bespoke'!$C65,P$13,'CDO Bespoke'!$G65/10000,'CDO Bespoke'!F65,'CDO Bespoke'!$L41,'CDO Bespoke'!$C$13,'CDO Bespoke'!$C$14,'CDO Bespoke'!$C$15,'CDO Bespoke'!$C$8,,,TRUE,TRUE,FALSE,'CDO Bespoke'!$C$29:'CDO Bespoke'!$C$31,'CDO Bespoke'!$C$33),{5})),"")</f>
        <v>#VALUE!</v>
      </c>
      <c r="Q40" s="542" t="e" cm="1">
        <f t="array" ref="Q40">IF($O40&lt;&gt;"",-TRANSPOSE(INDEX(getcds('CDO Bespoke'!$C65,Q$13,'CDO Bespoke'!$G65/10000,'CDO Bespoke'!G65,'CDO Bespoke'!$L41,'CDO Bespoke'!$C$13,'CDO Bespoke'!$C$14,'CDO Bespoke'!$C$15,'CDO Bespoke'!$C$8,,,TRUE,TRUE,FALSE,'CDO Bespoke'!$C$29:'CDO Bespoke'!$C$31,'CDO Bespoke'!$C$33),{5})),"")</f>
        <v>#VALUE!</v>
      </c>
      <c r="R40" s="542" t="e" cm="1">
        <f t="array" ref="R40">IF($O40&lt;&gt;"",-TRANSPOSE(INDEX(getcds('CDO Bespoke'!$C65,R$13,'CDO Bespoke'!$G65/10000,'CDO Bespoke'!H65,'CDO Bespoke'!$L41,'CDO Bespoke'!$C$13,'CDO Bespoke'!$C$14,'CDO Bespoke'!$C$15,'CDO Bespoke'!$C$8,,,TRUE,TRUE,FALSE,'CDO Bespoke'!$C$29:'CDO Bespoke'!$C$31,'CDO Bespoke'!$C$33),{5})),"")</f>
        <v>#VALUE!</v>
      </c>
      <c r="S40" s="542" t="e" cm="1">
        <f t="array" ref="S40">IF($O40&lt;&gt;"",-TRANSPOSE(INDEX(getcds('CDO Bespoke'!$C65,S$13,'CDO Bespoke'!$G65/10000,'CDO Bespoke'!I65,'CDO Bespoke'!$L41,'CDO Bespoke'!$C$13,'CDO Bespoke'!$C$14,'CDO Bespoke'!$C$15,'CDO Bespoke'!$C$8,,,TRUE,TRUE,FALSE,'CDO Bespoke'!$C$29:'CDO Bespoke'!$C$31,'CDO Bespoke'!$C$33),{5})),"")</f>
        <v>#VALUE!</v>
      </c>
      <c r="T40" s="514" t="e" cm="1">
        <f t="array" ref="T40">IF($O40&lt;&gt;"",-TRANSPOSE(INDEX(getcds('CDO Bespoke'!$C65,T$13,'CDO Bespoke'!$G65/10000,'CDO Bespoke'!J65,'CDO Bespoke'!$L41,'CDO Bespoke'!$C$13,'CDO Bespoke'!$C$14,'CDO Bespoke'!$C$15,'CDO Bespoke'!$C$8,,,TRUE,TRUE,FALSE,'CDO Bespoke'!$C$29:'CDO Bespoke'!$C$31,'CDO Bespoke'!$C$33),{5})),"")</f>
        <v>#VALUE!</v>
      </c>
      <c r="U40" s="493"/>
      <c r="V40" s="529"/>
      <c r="W40" s="530"/>
      <c r="X40" s="530"/>
      <c r="Y40" s="530"/>
      <c r="Z40" s="530"/>
      <c r="AA40" s="530"/>
      <c r="AB40" s="530"/>
      <c r="AC40" s="530"/>
      <c r="AD40" s="530"/>
      <c r="AE40" s="531"/>
      <c r="AF40" s="539"/>
    </row>
    <row r="41" spans="6:32" s="281" customFormat="1" ht="12" thickBot="1">
      <c r="F41" s="501" t="str">
        <f>IF('CDO Bespoke'!O42&lt;&gt;"",'CDO Bespoke'!O42,"")</f>
        <v/>
      </c>
      <c r="G41" s="502" t="str">
        <f>IF(F41&lt;&gt;"",ABS(MIN(-0.75*('CDO Bespoke'!Q42+'CDO Bespoke'!T42)+'CDO Bespoke'!T42,0)),"")</f>
        <v/>
      </c>
      <c r="H41" s="502" t="str">
        <f t="shared" si="0"/>
        <v/>
      </c>
      <c r="I41" s="502" t="str">
        <f t="shared" si="3"/>
        <v/>
      </c>
      <c r="J41" s="501" t="str">
        <f>IF('CDO Bespoke'!O42&lt;&gt;"",'CDO Bespoke'!O42,"")</f>
        <v/>
      </c>
      <c r="K41" s="502" t="str">
        <f>IF(J41&lt;&gt;"",ABS(MIN(-0.75*('CDO Bespoke'!K42+'CDO Bespoke'!T42)+'CDO Bespoke'!T42,0)),"")</f>
        <v/>
      </c>
      <c r="L41" s="502" t="str">
        <f t="shared" si="1"/>
        <v/>
      </c>
      <c r="M41" s="506" t="str">
        <f t="shared" si="2"/>
        <v/>
      </c>
      <c r="O41" s="511" t="str">
        <f>IF('CDO Bespoke'!C66&lt;&gt;"",'CDO Bespoke'!C66,"")</f>
        <v>Cibasc_MMR.EUR.SU</v>
      </c>
      <c r="P41" s="513" t="e" cm="1">
        <f t="array" ref="P41">IF($O41&lt;&gt;"",-TRANSPOSE(INDEX(getcds('CDO Bespoke'!$C66,P$13,'CDO Bespoke'!$G66/10000,'CDO Bespoke'!F66,'CDO Bespoke'!$L42,'CDO Bespoke'!$C$13,'CDO Bespoke'!$C$14,'CDO Bespoke'!$C$15,'CDO Bespoke'!$C$8,,,TRUE,TRUE,FALSE,'CDO Bespoke'!$C$29:'CDO Bespoke'!$C$31,'CDO Bespoke'!$C$33),{5})),"")</f>
        <v>#VALUE!</v>
      </c>
      <c r="Q41" s="542" t="e" cm="1">
        <f t="array" ref="Q41">IF($O41&lt;&gt;"",-TRANSPOSE(INDEX(getcds('CDO Bespoke'!$C66,Q$13,'CDO Bespoke'!$G66/10000,'CDO Bespoke'!G66,'CDO Bespoke'!$L42,'CDO Bespoke'!$C$13,'CDO Bespoke'!$C$14,'CDO Bespoke'!$C$15,'CDO Bespoke'!$C$8,,,TRUE,TRUE,FALSE,'CDO Bespoke'!$C$29:'CDO Bespoke'!$C$31,'CDO Bespoke'!$C$33),{5})),"")</f>
        <v>#VALUE!</v>
      </c>
      <c r="R41" s="542" t="e" cm="1">
        <f t="array" ref="R41">IF($O41&lt;&gt;"",-TRANSPOSE(INDEX(getcds('CDO Bespoke'!$C66,R$13,'CDO Bespoke'!$G66/10000,'CDO Bespoke'!H66,'CDO Bespoke'!$L42,'CDO Bespoke'!$C$13,'CDO Bespoke'!$C$14,'CDO Bespoke'!$C$15,'CDO Bespoke'!$C$8,,,TRUE,TRUE,FALSE,'CDO Bespoke'!$C$29:'CDO Bespoke'!$C$31,'CDO Bespoke'!$C$33),{5})),"")</f>
        <v>#VALUE!</v>
      </c>
      <c r="S41" s="542" t="e" cm="1">
        <f t="array" ref="S41">IF($O41&lt;&gt;"",-TRANSPOSE(INDEX(getcds('CDO Bespoke'!$C66,S$13,'CDO Bespoke'!$G66/10000,'CDO Bespoke'!I66,'CDO Bespoke'!$L42,'CDO Bespoke'!$C$13,'CDO Bespoke'!$C$14,'CDO Bespoke'!$C$15,'CDO Bespoke'!$C$8,,,TRUE,TRUE,FALSE,'CDO Bespoke'!$C$29:'CDO Bespoke'!$C$31,'CDO Bespoke'!$C$33),{5})),"")</f>
        <v>#VALUE!</v>
      </c>
      <c r="T41" s="514" t="e" cm="1">
        <f t="array" ref="T41">IF($O41&lt;&gt;"",-TRANSPOSE(INDEX(getcds('CDO Bespoke'!$C66,T$13,'CDO Bespoke'!$G66/10000,'CDO Bespoke'!J66,'CDO Bespoke'!$L42,'CDO Bespoke'!$C$13,'CDO Bespoke'!$C$14,'CDO Bespoke'!$C$15,'CDO Bespoke'!$C$8,,,TRUE,TRUE,FALSE,'CDO Bespoke'!$C$29:'CDO Bespoke'!$C$31,'CDO Bespoke'!$C$33),{5})),"")</f>
        <v>#VALUE!</v>
      </c>
      <c r="U41" s="493"/>
      <c r="V41" s="529"/>
      <c r="W41" s="530"/>
      <c r="X41" s="530"/>
      <c r="Y41" s="530"/>
      <c r="Z41" s="530"/>
      <c r="AA41" s="530"/>
      <c r="AB41" s="530"/>
      <c r="AC41" s="530"/>
      <c r="AD41" s="530"/>
      <c r="AE41" s="531"/>
      <c r="AF41" s="539"/>
    </row>
    <row r="42" spans="6:32" s="281" customFormat="1" ht="12" thickBot="1">
      <c r="F42" s="501" t="str">
        <f>IF('CDO Bespoke'!O43&lt;&gt;"",'CDO Bespoke'!O43,"")</f>
        <v/>
      </c>
      <c r="G42" s="502" t="str">
        <f>IF(F42&lt;&gt;"",ABS(MIN(-0.75*('CDO Bespoke'!Q43+'CDO Bespoke'!T43)+'CDO Bespoke'!T43,0)),"")</f>
        <v/>
      </c>
      <c r="H42" s="502" t="str">
        <f t="shared" si="0"/>
        <v/>
      </c>
      <c r="I42" s="502" t="str">
        <f t="shared" si="3"/>
        <v/>
      </c>
      <c r="J42" s="501" t="str">
        <f>IF('CDO Bespoke'!O43&lt;&gt;"",'CDO Bespoke'!O43,"")</f>
        <v/>
      </c>
      <c r="K42" s="502" t="str">
        <f>IF(J42&lt;&gt;"",ABS(MIN(-0.75*('CDO Bespoke'!K43+'CDO Bespoke'!T43)+'CDO Bespoke'!T43,0)),"")</f>
        <v/>
      </c>
      <c r="L42" s="502" t="str">
        <f t="shared" si="1"/>
        <v/>
      </c>
      <c r="M42" s="506" t="str">
        <f t="shared" si="2"/>
        <v/>
      </c>
      <c r="O42" s="511" t="str">
        <f>IF('CDO Bespoke'!C67&lt;&gt;"",'CDO Bespoke'!C67,"")</f>
        <v>Commerzbank_MMR.EUR.SU</v>
      </c>
      <c r="P42" s="513" t="e" cm="1">
        <f t="array" ref="P42">IF($O42&lt;&gt;"",-TRANSPOSE(INDEX(getcds('CDO Bespoke'!$C67,P$13,'CDO Bespoke'!$G67/10000,'CDO Bespoke'!F67,'CDO Bespoke'!$L43,'CDO Bespoke'!$C$13,'CDO Bespoke'!$C$14,'CDO Bespoke'!$C$15,'CDO Bespoke'!$C$8,,,TRUE,TRUE,FALSE,'CDO Bespoke'!$C$29:'CDO Bespoke'!$C$31,'CDO Bespoke'!$C$33),{5})),"")</f>
        <v>#VALUE!</v>
      </c>
      <c r="Q42" s="542" t="e" cm="1">
        <f t="array" ref="Q42">IF($O42&lt;&gt;"",-TRANSPOSE(INDEX(getcds('CDO Bespoke'!$C67,Q$13,'CDO Bespoke'!$G67/10000,'CDO Bespoke'!G67,'CDO Bespoke'!$L43,'CDO Bespoke'!$C$13,'CDO Bespoke'!$C$14,'CDO Bespoke'!$C$15,'CDO Bespoke'!$C$8,,,TRUE,TRUE,FALSE,'CDO Bespoke'!$C$29:'CDO Bespoke'!$C$31,'CDO Bespoke'!$C$33),{5})),"")</f>
        <v>#VALUE!</v>
      </c>
      <c r="R42" s="542" t="e" cm="1">
        <f t="array" ref="R42">IF($O42&lt;&gt;"",-TRANSPOSE(INDEX(getcds('CDO Bespoke'!$C67,R$13,'CDO Bespoke'!$G67/10000,'CDO Bespoke'!H67,'CDO Bespoke'!$L43,'CDO Bespoke'!$C$13,'CDO Bespoke'!$C$14,'CDO Bespoke'!$C$15,'CDO Bespoke'!$C$8,,,TRUE,TRUE,FALSE,'CDO Bespoke'!$C$29:'CDO Bespoke'!$C$31,'CDO Bespoke'!$C$33),{5})),"")</f>
        <v>#VALUE!</v>
      </c>
      <c r="S42" s="542" t="e" cm="1">
        <f t="array" ref="S42">IF($O42&lt;&gt;"",-TRANSPOSE(INDEX(getcds('CDO Bespoke'!$C67,S$13,'CDO Bespoke'!$G67/10000,'CDO Bespoke'!I67,'CDO Bespoke'!$L43,'CDO Bespoke'!$C$13,'CDO Bespoke'!$C$14,'CDO Bespoke'!$C$15,'CDO Bespoke'!$C$8,,,TRUE,TRUE,FALSE,'CDO Bespoke'!$C$29:'CDO Bespoke'!$C$31,'CDO Bespoke'!$C$33),{5})),"")</f>
        <v>#VALUE!</v>
      </c>
      <c r="T42" s="514" t="e" cm="1">
        <f t="array" ref="T42">IF($O42&lt;&gt;"",-TRANSPOSE(INDEX(getcds('CDO Bespoke'!$C67,T$13,'CDO Bespoke'!$G67/10000,'CDO Bespoke'!J67,'CDO Bespoke'!$L43,'CDO Bespoke'!$C$13,'CDO Bespoke'!$C$14,'CDO Bespoke'!$C$15,'CDO Bespoke'!$C$8,,,TRUE,TRUE,FALSE,'CDO Bespoke'!$C$29:'CDO Bespoke'!$C$31,'CDO Bespoke'!$C$33),{5})),"")</f>
        <v>#VALUE!</v>
      </c>
      <c r="U42" s="493"/>
      <c r="V42" s="529"/>
      <c r="W42" s="530"/>
      <c r="X42" s="530"/>
      <c r="Y42" s="530"/>
      <c r="Z42" s="530"/>
      <c r="AA42" s="530"/>
      <c r="AB42" s="530"/>
      <c r="AC42" s="530"/>
      <c r="AD42" s="530"/>
      <c r="AE42" s="531"/>
      <c r="AF42" s="539"/>
    </row>
    <row r="43" spans="6:32" s="281" customFormat="1" ht="12" thickBot="1">
      <c r="F43" s="501" t="str">
        <f>IF('CDO Bespoke'!O44&lt;&gt;"",'CDO Bespoke'!O44,"")</f>
        <v/>
      </c>
      <c r="G43" s="502" t="str">
        <f>IF(F43&lt;&gt;"",ABS(MIN(-0.75*('CDO Bespoke'!Q44+'CDO Bespoke'!T44)+'CDO Bespoke'!T44,0)),"")</f>
        <v/>
      </c>
      <c r="H43" s="502" t="str">
        <f t="shared" si="0"/>
        <v/>
      </c>
      <c r="I43" s="502" t="str">
        <f t="shared" si="3"/>
        <v/>
      </c>
      <c r="J43" s="501" t="str">
        <f>IF('CDO Bespoke'!O44&lt;&gt;"",'CDO Bespoke'!O44,"")</f>
        <v/>
      </c>
      <c r="K43" s="502" t="str">
        <f>IF(J43&lt;&gt;"",ABS(MIN(-0.75*('CDO Bespoke'!K44+'CDO Bespoke'!T44)+'CDO Bespoke'!T44,0)),"")</f>
        <v/>
      </c>
      <c r="L43" s="502" t="str">
        <f t="shared" si="1"/>
        <v/>
      </c>
      <c r="M43" s="506" t="str">
        <f t="shared" si="2"/>
        <v/>
      </c>
      <c r="O43" s="511" t="str">
        <f>IF('CDO Bespoke'!C68&lt;&gt;"",'CDO Bespoke'!C68,"")</f>
        <v>Compass_MMR.EUR.SU</v>
      </c>
      <c r="P43" s="513" t="e" cm="1">
        <f t="array" ref="P43">IF($O43&lt;&gt;"",-TRANSPOSE(INDEX(getcds('CDO Bespoke'!$C68,P$13,'CDO Bespoke'!$G68/10000,'CDO Bespoke'!F68,'CDO Bespoke'!$L44,'CDO Bespoke'!$C$13,'CDO Bespoke'!$C$14,'CDO Bespoke'!$C$15,'CDO Bespoke'!$C$8,,,TRUE,TRUE,FALSE,'CDO Bespoke'!$C$29:'CDO Bespoke'!$C$31,'CDO Bespoke'!$C$33),{5})),"")</f>
        <v>#VALUE!</v>
      </c>
      <c r="Q43" s="542" t="e" cm="1">
        <f t="array" ref="Q43">IF($O43&lt;&gt;"",-TRANSPOSE(INDEX(getcds('CDO Bespoke'!$C68,Q$13,'CDO Bespoke'!$G68/10000,'CDO Bespoke'!G68,'CDO Bespoke'!$L44,'CDO Bespoke'!$C$13,'CDO Bespoke'!$C$14,'CDO Bespoke'!$C$15,'CDO Bespoke'!$C$8,,,TRUE,TRUE,FALSE,'CDO Bespoke'!$C$29:'CDO Bespoke'!$C$31,'CDO Bespoke'!$C$33),{5})),"")</f>
        <v>#VALUE!</v>
      </c>
      <c r="R43" s="542" t="e" cm="1">
        <f t="array" ref="R43">IF($O43&lt;&gt;"",-TRANSPOSE(INDEX(getcds('CDO Bespoke'!$C68,R$13,'CDO Bespoke'!$G68/10000,'CDO Bespoke'!H68,'CDO Bespoke'!$L44,'CDO Bespoke'!$C$13,'CDO Bespoke'!$C$14,'CDO Bespoke'!$C$15,'CDO Bespoke'!$C$8,,,TRUE,TRUE,FALSE,'CDO Bespoke'!$C$29:'CDO Bespoke'!$C$31,'CDO Bespoke'!$C$33),{5})),"")</f>
        <v>#VALUE!</v>
      </c>
      <c r="S43" s="542" t="e" cm="1">
        <f t="array" ref="S43">IF($O43&lt;&gt;"",-TRANSPOSE(INDEX(getcds('CDO Bespoke'!$C68,S$13,'CDO Bespoke'!$G68/10000,'CDO Bespoke'!I68,'CDO Bespoke'!$L44,'CDO Bespoke'!$C$13,'CDO Bespoke'!$C$14,'CDO Bespoke'!$C$15,'CDO Bespoke'!$C$8,,,TRUE,TRUE,FALSE,'CDO Bespoke'!$C$29:'CDO Bespoke'!$C$31,'CDO Bespoke'!$C$33),{5})),"")</f>
        <v>#VALUE!</v>
      </c>
      <c r="T43" s="514" t="e" cm="1">
        <f t="array" ref="T43">IF($O43&lt;&gt;"",-TRANSPOSE(INDEX(getcds('CDO Bespoke'!$C68,T$13,'CDO Bespoke'!$G68/10000,'CDO Bespoke'!J68,'CDO Bespoke'!$L44,'CDO Bespoke'!$C$13,'CDO Bespoke'!$C$14,'CDO Bespoke'!$C$15,'CDO Bespoke'!$C$8,,,TRUE,TRUE,FALSE,'CDO Bespoke'!$C$29:'CDO Bespoke'!$C$31,'CDO Bespoke'!$C$33),{5})),"")</f>
        <v>#VALUE!</v>
      </c>
      <c r="U43" s="493"/>
      <c r="V43" s="529"/>
      <c r="W43" s="530"/>
      <c r="X43" s="530"/>
      <c r="Y43" s="530"/>
      <c r="Z43" s="530"/>
      <c r="AA43" s="530"/>
      <c r="AB43" s="530"/>
      <c r="AC43" s="530"/>
      <c r="AD43" s="530"/>
      <c r="AE43" s="531"/>
      <c r="AF43" s="539"/>
    </row>
    <row r="44" spans="6:32" s="281" customFormat="1" ht="12" thickBot="1">
      <c r="F44" s="501" t="str">
        <f>IF('CDO Bespoke'!O45&lt;&gt;"",'CDO Bespoke'!O45,"")</f>
        <v/>
      </c>
      <c r="G44" s="502" t="str">
        <f>IF(F44&lt;&gt;"",ABS(MIN(-0.75*('CDO Bespoke'!Q45+'CDO Bespoke'!T45)+'CDO Bespoke'!T45,0)),"")</f>
        <v/>
      </c>
      <c r="H44" s="502" t="str">
        <f t="shared" si="0"/>
        <v/>
      </c>
      <c r="I44" s="502" t="str">
        <f t="shared" si="3"/>
        <v/>
      </c>
      <c r="J44" s="501" t="str">
        <f>IF('CDO Bespoke'!O45&lt;&gt;"",'CDO Bespoke'!O45,"")</f>
        <v/>
      </c>
      <c r="K44" s="502" t="str">
        <f>IF(J44&lt;&gt;"",ABS(MIN(-0.75*('CDO Bespoke'!K45+'CDO Bespoke'!T45)+'CDO Bespoke'!T45,0)),"")</f>
        <v/>
      </c>
      <c r="L44" s="502" t="str">
        <f t="shared" si="1"/>
        <v/>
      </c>
      <c r="M44" s="506" t="str">
        <f t="shared" si="2"/>
        <v/>
      </c>
      <c r="O44" s="511" t="str">
        <f>IF('CDO Bespoke'!C69&lt;&gt;"",'CDO Bespoke'!C69,"")</f>
        <v>Continental_MMR.EUR.SU</v>
      </c>
      <c r="P44" s="513" t="e" cm="1">
        <f t="array" ref="P44">IF($O44&lt;&gt;"",-TRANSPOSE(INDEX(getcds('CDO Bespoke'!$C69,P$13,'CDO Bespoke'!$G69/10000,'CDO Bespoke'!F69,'CDO Bespoke'!$L45,'CDO Bespoke'!$C$13,'CDO Bespoke'!$C$14,'CDO Bespoke'!$C$15,'CDO Bespoke'!$C$8,,,TRUE,TRUE,FALSE,'CDO Bespoke'!$C$29:'CDO Bespoke'!$C$31,'CDO Bespoke'!$C$33),{5})),"")</f>
        <v>#VALUE!</v>
      </c>
      <c r="Q44" s="542" t="e" cm="1">
        <f t="array" ref="Q44">IF($O44&lt;&gt;"",-TRANSPOSE(INDEX(getcds('CDO Bespoke'!$C69,Q$13,'CDO Bespoke'!$G69/10000,'CDO Bespoke'!G69,'CDO Bespoke'!$L45,'CDO Bespoke'!$C$13,'CDO Bespoke'!$C$14,'CDO Bespoke'!$C$15,'CDO Bespoke'!$C$8,,,TRUE,TRUE,FALSE,'CDO Bespoke'!$C$29:'CDO Bespoke'!$C$31,'CDO Bespoke'!$C$33),{5})),"")</f>
        <v>#REF!</v>
      </c>
      <c r="R44" s="542" t="e" cm="1">
        <f t="array" ref="R44">IF($O44&lt;&gt;"",-TRANSPOSE(INDEX(getcds('CDO Bespoke'!$C69,R$13,'CDO Bespoke'!$G69/10000,'CDO Bespoke'!H69,'CDO Bespoke'!$L45,'CDO Bespoke'!$C$13,'CDO Bespoke'!$C$14,'CDO Bespoke'!$C$15,'CDO Bespoke'!$C$8,,,TRUE,TRUE,FALSE,'CDO Bespoke'!$C$29:'CDO Bespoke'!$C$31,'CDO Bespoke'!$C$33),{5})),"")</f>
        <v>#REF!</v>
      </c>
      <c r="S44" s="542" t="e" cm="1">
        <f t="array" ref="S44">IF($O44&lt;&gt;"",-TRANSPOSE(INDEX(getcds('CDO Bespoke'!$C69,S$13,'CDO Bespoke'!$G69/10000,'CDO Bespoke'!I69,'CDO Bespoke'!$L45,'CDO Bespoke'!$C$13,'CDO Bespoke'!$C$14,'CDO Bespoke'!$C$15,'CDO Bespoke'!$C$8,,,TRUE,TRUE,FALSE,'CDO Bespoke'!$C$29:'CDO Bespoke'!$C$31,'CDO Bespoke'!$C$33),{5})),"")</f>
        <v>#REF!</v>
      </c>
      <c r="T44" s="514" t="e" cm="1">
        <f t="array" ref="T44">IF($O44&lt;&gt;"",-TRANSPOSE(INDEX(getcds('CDO Bespoke'!$C69,T$13,'CDO Bespoke'!$G69/10000,'CDO Bespoke'!J69,'CDO Bespoke'!$L45,'CDO Bespoke'!$C$13,'CDO Bespoke'!$C$14,'CDO Bespoke'!$C$15,'CDO Bespoke'!$C$8,,,TRUE,TRUE,FALSE,'CDO Bespoke'!$C$29:'CDO Bespoke'!$C$31,'CDO Bespoke'!$C$33),{5})),"")</f>
        <v>#REF!</v>
      </c>
      <c r="U44" s="493"/>
      <c r="V44" s="529"/>
      <c r="W44" s="530"/>
      <c r="X44" s="530"/>
      <c r="Y44" s="530"/>
      <c r="Z44" s="530"/>
      <c r="AA44" s="530"/>
      <c r="AB44" s="530"/>
      <c r="AC44" s="530"/>
      <c r="AD44" s="530"/>
      <c r="AE44" s="531"/>
      <c r="AF44" s="539"/>
    </row>
    <row r="45" spans="6:32" s="281" customFormat="1" ht="12" thickBot="1">
      <c r="F45" s="501" t="str">
        <f>IF('CDO Bespoke'!O46&lt;&gt;"",'CDO Bespoke'!O46,"")</f>
        <v/>
      </c>
      <c r="G45" s="502" t="str">
        <f>IF(F45&lt;&gt;"",ABS(MIN(-0.75*('CDO Bespoke'!Q46+'CDO Bespoke'!T46)+'CDO Bespoke'!T46,0)),"")</f>
        <v/>
      </c>
      <c r="H45" s="502" t="str">
        <f t="shared" si="0"/>
        <v/>
      </c>
      <c r="I45" s="502" t="str">
        <f t="shared" si="3"/>
        <v/>
      </c>
      <c r="J45" s="501" t="str">
        <f>IF('CDO Bespoke'!O46&lt;&gt;"",'CDO Bespoke'!O46,"")</f>
        <v/>
      </c>
      <c r="K45" s="502" t="str">
        <f>IF(J45&lt;&gt;"",ABS(MIN(-0.75*('CDO Bespoke'!K46+'CDO Bespoke'!T46)+'CDO Bespoke'!T46,0)),"")</f>
        <v/>
      </c>
      <c r="L45" s="502" t="str">
        <f t="shared" si="1"/>
        <v/>
      </c>
      <c r="M45" s="506" t="str">
        <f t="shared" si="2"/>
        <v/>
      </c>
      <c r="O45" s="511" t="str">
        <f>IF('CDO Bespoke'!C70&lt;&gt;"",'CDO Bespoke'!C70,"")</f>
        <v>CreditAgricole_MMR.EUR.SU</v>
      </c>
      <c r="P45" s="513" t="e" cm="1">
        <f t="array" ref="P45">IF($O45&lt;&gt;"",-TRANSPOSE(INDEX(getcds('CDO Bespoke'!$C70,P$13,'CDO Bespoke'!$G70/10000,'CDO Bespoke'!F70,'CDO Bespoke'!$L46,'CDO Bespoke'!$C$13,'CDO Bespoke'!$C$14,'CDO Bespoke'!$C$15,'CDO Bespoke'!$C$8,,,TRUE,TRUE,FALSE,'CDO Bespoke'!$C$29:'CDO Bespoke'!$C$31,'CDO Bespoke'!$C$33),{5})),"")</f>
        <v>#VALUE!</v>
      </c>
      <c r="Q45" s="542" t="e" cm="1">
        <f t="array" ref="Q45">IF($O45&lt;&gt;"",-TRANSPOSE(INDEX(getcds('CDO Bespoke'!$C70,Q$13,'CDO Bespoke'!$G70/10000,'CDO Bespoke'!G70,'CDO Bespoke'!$L46,'CDO Bespoke'!$C$13,'CDO Bespoke'!$C$14,'CDO Bespoke'!$C$15,'CDO Bespoke'!$C$8,,,TRUE,TRUE,FALSE,'CDO Bespoke'!$C$29:'CDO Bespoke'!$C$31,'CDO Bespoke'!$C$33),{5})),"")</f>
        <v>#VALUE!</v>
      </c>
      <c r="R45" s="542" t="e" cm="1">
        <f t="array" ref="R45">IF($O45&lt;&gt;"",-TRANSPOSE(INDEX(getcds('CDO Bespoke'!$C70,R$13,'CDO Bespoke'!$G70/10000,'CDO Bespoke'!H70,'CDO Bespoke'!$L46,'CDO Bespoke'!$C$13,'CDO Bespoke'!$C$14,'CDO Bespoke'!$C$15,'CDO Bespoke'!$C$8,,,TRUE,TRUE,FALSE,'CDO Bespoke'!$C$29:'CDO Bespoke'!$C$31,'CDO Bespoke'!$C$33),{5})),"")</f>
        <v>#VALUE!</v>
      </c>
      <c r="S45" s="542" t="e" cm="1">
        <f t="array" ref="S45">IF($O45&lt;&gt;"",-TRANSPOSE(INDEX(getcds('CDO Bespoke'!$C70,S$13,'CDO Bespoke'!$G70/10000,'CDO Bespoke'!I70,'CDO Bespoke'!$L46,'CDO Bespoke'!$C$13,'CDO Bespoke'!$C$14,'CDO Bespoke'!$C$15,'CDO Bespoke'!$C$8,,,TRUE,TRUE,FALSE,'CDO Bespoke'!$C$29:'CDO Bespoke'!$C$31,'CDO Bespoke'!$C$33),{5})),"")</f>
        <v>#REF!</v>
      </c>
      <c r="T45" s="514" t="e" cm="1">
        <f t="array" ref="T45">IF($O45&lt;&gt;"",-TRANSPOSE(INDEX(getcds('CDO Bespoke'!$C70,T$13,'CDO Bespoke'!$G70/10000,'CDO Bespoke'!J70,'CDO Bespoke'!$L46,'CDO Bespoke'!$C$13,'CDO Bespoke'!$C$14,'CDO Bespoke'!$C$15,'CDO Bespoke'!$C$8,,,TRUE,TRUE,FALSE,'CDO Bespoke'!$C$29:'CDO Bespoke'!$C$31,'CDO Bespoke'!$C$33),{5})),"")</f>
        <v>#REF!</v>
      </c>
      <c r="U45" s="493"/>
      <c r="V45" s="529"/>
      <c r="W45" s="530"/>
      <c r="X45" s="530"/>
      <c r="Y45" s="530"/>
      <c r="Z45" s="530"/>
      <c r="AA45" s="530"/>
      <c r="AB45" s="530"/>
      <c r="AC45" s="530"/>
      <c r="AD45" s="530"/>
      <c r="AE45" s="531"/>
      <c r="AF45" s="539"/>
    </row>
    <row r="46" spans="6:32" s="281" customFormat="1" ht="12" thickBot="1">
      <c r="F46" s="501" t="str">
        <f>IF('CDO Bespoke'!O47&lt;&gt;"",'CDO Bespoke'!O47,"")</f>
        <v/>
      </c>
      <c r="G46" s="502" t="str">
        <f>IF(F46&lt;&gt;"",ABS(MIN(-0.75*('CDO Bespoke'!Q47+'CDO Bespoke'!T47)+'CDO Bespoke'!T47,0)),"")</f>
        <v/>
      </c>
      <c r="H46" s="502" t="str">
        <f t="shared" si="0"/>
        <v/>
      </c>
      <c r="I46" s="502" t="str">
        <f t="shared" si="3"/>
        <v/>
      </c>
      <c r="J46" s="501" t="str">
        <f>IF('CDO Bespoke'!O47&lt;&gt;"",'CDO Bespoke'!O47,"")</f>
        <v/>
      </c>
      <c r="K46" s="502" t="str">
        <f>IF(J46&lt;&gt;"",ABS(MIN(-0.75*('CDO Bespoke'!K47+'CDO Bespoke'!T47)+'CDO Bespoke'!T47,0)),"")</f>
        <v/>
      </c>
      <c r="L46" s="502" t="str">
        <f t="shared" si="1"/>
        <v/>
      </c>
      <c r="M46" s="506" t="str">
        <f t="shared" si="2"/>
        <v/>
      </c>
      <c r="O46" s="511" t="str">
        <f>IF('CDO Bespoke'!C71&lt;&gt;"",'CDO Bespoke'!C71,"")</f>
        <v>CreditSuisseGroup_MMR.EUR.SU</v>
      </c>
      <c r="P46" s="513" t="e" cm="1">
        <f t="array" ref="P46">IF($O46&lt;&gt;"",-TRANSPOSE(INDEX(getcds('CDO Bespoke'!$C71,P$13,'CDO Bespoke'!$G71/10000,'CDO Bespoke'!F71,'CDO Bespoke'!$L47,'CDO Bespoke'!$C$13,'CDO Bespoke'!$C$14,'CDO Bespoke'!$C$15,'CDO Bespoke'!$C$8,,,TRUE,TRUE,FALSE,'CDO Bespoke'!$C$29:'CDO Bespoke'!$C$31,'CDO Bespoke'!$C$33),{5})),"")</f>
        <v>#VALUE!</v>
      </c>
      <c r="Q46" s="542" t="e" cm="1">
        <f t="array" ref="Q46">IF($O46&lt;&gt;"",-TRANSPOSE(INDEX(getcds('CDO Bespoke'!$C71,Q$13,'CDO Bespoke'!$G71/10000,'CDO Bespoke'!G71,'CDO Bespoke'!$L47,'CDO Bespoke'!$C$13,'CDO Bespoke'!$C$14,'CDO Bespoke'!$C$15,'CDO Bespoke'!$C$8,,,TRUE,TRUE,FALSE,'CDO Bespoke'!$C$29:'CDO Bespoke'!$C$31,'CDO Bespoke'!$C$33),{5})),"")</f>
        <v>#VALUE!</v>
      </c>
      <c r="R46" s="542" t="e" cm="1">
        <f t="array" ref="R46">IF($O46&lt;&gt;"",-TRANSPOSE(INDEX(getcds('CDO Bespoke'!$C71,R$13,'CDO Bespoke'!$G71/10000,'CDO Bespoke'!H71,'CDO Bespoke'!$L47,'CDO Bespoke'!$C$13,'CDO Bespoke'!$C$14,'CDO Bespoke'!$C$15,'CDO Bespoke'!$C$8,,,TRUE,TRUE,FALSE,'CDO Bespoke'!$C$29:'CDO Bespoke'!$C$31,'CDO Bespoke'!$C$33),{5})),"")</f>
        <v>#VALUE!</v>
      </c>
      <c r="S46" s="542" t="e" cm="1">
        <f t="array" ref="S46">IF($O46&lt;&gt;"",-TRANSPOSE(INDEX(getcds('CDO Bespoke'!$C71,S$13,'CDO Bespoke'!$G71/10000,'CDO Bespoke'!I71,'CDO Bespoke'!$L47,'CDO Bespoke'!$C$13,'CDO Bespoke'!$C$14,'CDO Bespoke'!$C$15,'CDO Bespoke'!$C$8,,,TRUE,TRUE,FALSE,'CDO Bespoke'!$C$29:'CDO Bespoke'!$C$31,'CDO Bespoke'!$C$33),{5})),"")</f>
        <v>#VALUE!</v>
      </c>
      <c r="T46" s="514" t="e" cm="1">
        <f t="array" ref="T46">IF($O46&lt;&gt;"",-TRANSPOSE(INDEX(getcds('CDO Bespoke'!$C71,T$13,'CDO Bespoke'!$G71/10000,'CDO Bespoke'!J71,'CDO Bespoke'!$L47,'CDO Bespoke'!$C$13,'CDO Bespoke'!$C$14,'CDO Bespoke'!$C$15,'CDO Bespoke'!$C$8,,,TRUE,TRUE,FALSE,'CDO Bespoke'!$C$29:'CDO Bespoke'!$C$31,'CDO Bespoke'!$C$33),{5})),"")</f>
        <v>#VALUE!</v>
      </c>
      <c r="U46" s="493"/>
      <c r="V46" s="529"/>
      <c r="W46" s="530"/>
      <c r="X46" s="530"/>
      <c r="Y46" s="530"/>
      <c r="Z46" s="530"/>
      <c r="AA46" s="530"/>
      <c r="AB46" s="530"/>
      <c r="AC46" s="530"/>
      <c r="AD46" s="530"/>
      <c r="AE46" s="531"/>
      <c r="AF46" s="539"/>
    </row>
    <row r="47" spans="6:32" s="281" customFormat="1" ht="12" thickBot="1">
      <c r="F47" s="501" t="str">
        <f>IF('CDO Bespoke'!O48&lt;&gt;"",'CDO Bespoke'!O48,"")</f>
        <v/>
      </c>
      <c r="G47" s="502" t="str">
        <f>IF(F47&lt;&gt;"",ABS(MIN(-0.75*('CDO Bespoke'!Q48+'CDO Bespoke'!T48)+'CDO Bespoke'!T48,0)),"")</f>
        <v/>
      </c>
      <c r="H47" s="502" t="str">
        <f t="shared" si="0"/>
        <v/>
      </c>
      <c r="I47" s="502" t="str">
        <f t="shared" si="3"/>
        <v/>
      </c>
      <c r="J47" s="501" t="str">
        <f>IF('CDO Bespoke'!O48&lt;&gt;"",'CDO Bespoke'!O48,"")</f>
        <v/>
      </c>
      <c r="K47" s="502" t="str">
        <f>IF(J47&lt;&gt;"",ABS(MIN(-0.75*('CDO Bespoke'!K48+'CDO Bespoke'!T48)+'CDO Bespoke'!T48,0)),"")</f>
        <v/>
      </c>
      <c r="L47" s="502" t="str">
        <f t="shared" si="1"/>
        <v/>
      </c>
      <c r="M47" s="506" t="str">
        <f t="shared" si="2"/>
        <v/>
      </c>
      <c r="O47" s="511" t="str">
        <f>IF('CDO Bespoke'!C72&lt;&gt;"",'CDO Bespoke'!C72,"")</f>
        <v>DaimlerChrysler_MMR.EUR.SU</v>
      </c>
      <c r="P47" s="513" t="e" cm="1">
        <f t="array" ref="P47">IF($O47&lt;&gt;"",-TRANSPOSE(INDEX(getcds('CDO Bespoke'!$C72,P$13,'CDO Bespoke'!$G72/10000,'CDO Bespoke'!F72,'CDO Bespoke'!$L48,'CDO Bespoke'!$C$13,'CDO Bespoke'!$C$14,'CDO Bespoke'!$C$15,'CDO Bespoke'!$C$8,,,TRUE,TRUE,FALSE,'CDO Bespoke'!$C$29:'CDO Bespoke'!$C$31,'CDO Bespoke'!$C$33),{5})),"")</f>
        <v>#VALUE!</v>
      </c>
      <c r="Q47" s="542" t="e" cm="1">
        <f t="array" ref="Q47">IF($O47&lt;&gt;"",-TRANSPOSE(INDEX(getcds('CDO Bespoke'!$C72,Q$13,'CDO Bespoke'!$G72/10000,'CDO Bespoke'!G72,'CDO Bespoke'!$L48,'CDO Bespoke'!$C$13,'CDO Bespoke'!$C$14,'CDO Bespoke'!$C$15,'CDO Bespoke'!$C$8,,,TRUE,TRUE,FALSE,'CDO Bespoke'!$C$29:'CDO Bespoke'!$C$31,'CDO Bespoke'!$C$33),{5})),"")</f>
        <v>#VALUE!</v>
      </c>
      <c r="R47" s="542" t="e" cm="1">
        <f t="array" ref="R47">IF($O47&lt;&gt;"",-TRANSPOSE(INDEX(getcds('CDO Bespoke'!$C72,R$13,'CDO Bespoke'!$G72/10000,'CDO Bespoke'!H72,'CDO Bespoke'!$L48,'CDO Bespoke'!$C$13,'CDO Bespoke'!$C$14,'CDO Bespoke'!$C$15,'CDO Bespoke'!$C$8,,,TRUE,TRUE,FALSE,'CDO Bespoke'!$C$29:'CDO Bespoke'!$C$31,'CDO Bespoke'!$C$33),{5})),"")</f>
        <v>#VALUE!</v>
      </c>
      <c r="S47" s="542" t="e" cm="1">
        <f t="array" ref="S47">IF($O47&lt;&gt;"",-TRANSPOSE(INDEX(getcds('CDO Bespoke'!$C72,S$13,'CDO Bespoke'!$G72/10000,'CDO Bespoke'!I72,'CDO Bespoke'!$L48,'CDO Bespoke'!$C$13,'CDO Bespoke'!$C$14,'CDO Bespoke'!$C$15,'CDO Bespoke'!$C$8,,,TRUE,TRUE,FALSE,'CDO Bespoke'!$C$29:'CDO Bespoke'!$C$31,'CDO Bespoke'!$C$33),{5})),"")</f>
        <v>#VALUE!</v>
      </c>
      <c r="T47" s="514" t="e" cm="1">
        <f t="array" ref="T47">IF($O47&lt;&gt;"",-TRANSPOSE(INDEX(getcds('CDO Bespoke'!$C72,T$13,'CDO Bespoke'!$G72/10000,'CDO Bespoke'!J72,'CDO Bespoke'!$L48,'CDO Bespoke'!$C$13,'CDO Bespoke'!$C$14,'CDO Bespoke'!$C$15,'CDO Bespoke'!$C$8,,,TRUE,TRUE,FALSE,'CDO Bespoke'!$C$29:'CDO Bespoke'!$C$31,'CDO Bespoke'!$C$33),{5})),"")</f>
        <v>#VALUE!</v>
      </c>
      <c r="U47" s="493"/>
      <c r="V47" s="529"/>
      <c r="W47" s="530"/>
      <c r="X47" s="530"/>
      <c r="Y47" s="530"/>
      <c r="Z47" s="530"/>
      <c r="AA47" s="530"/>
      <c r="AB47" s="530"/>
      <c r="AC47" s="530"/>
      <c r="AD47" s="530"/>
      <c r="AE47" s="531"/>
      <c r="AF47" s="539"/>
    </row>
    <row r="48" spans="6:32" s="281" customFormat="1" ht="12" thickBot="1">
      <c r="F48" s="501" t="str">
        <f>IF('CDO Bespoke'!O49&lt;&gt;"",'CDO Bespoke'!O49,"")</f>
        <v/>
      </c>
      <c r="G48" s="502" t="str">
        <f>IF(F48&lt;&gt;"",ABS(MIN(-0.75*('CDO Bespoke'!Q49+'CDO Bespoke'!T49)+'CDO Bespoke'!T49,0)),"")</f>
        <v/>
      </c>
      <c r="H48" s="502" t="str">
        <f t="shared" si="0"/>
        <v/>
      </c>
      <c r="I48" s="502" t="str">
        <f t="shared" si="3"/>
        <v/>
      </c>
      <c r="J48" s="501" t="str">
        <f>IF('CDO Bespoke'!O49&lt;&gt;"",'CDO Bespoke'!O49,"")</f>
        <v/>
      </c>
      <c r="K48" s="502" t="str">
        <f>IF(J48&lt;&gt;"",ABS(MIN(-0.75*('CDO Bespoke'!K49+'CDO Bespoke'!T49)+'CDO Bespoke'!T49,0)),"")</f>
        <v/>
      </c>
      <c r="L48" s="502" t="str">
        <f t="shared" si="1"/>
        <v/>
      </c>
      <c r="M48" s="506" t="str">
        <f t="shared" si="2"/>
        <v/>
      </c>
      <c r="O48" s="511" t="str">
        <f>IF('CDO Bespoke'!C73&lt;&gt;"",'CDO Bespoke'!C73,"")</f>
        <v>Danone_MMR.EUR.SU</v>
      </c>
      <c r="P48" s="513" t="e" cm="1">
        <f t="array" ref="P48">IF($O48&lt;&gt;"",-TRANSPOSE(INDEX(getcds('CDO Bespoke'!$C73,P$13,'CDO Bespoke'!$G73/10000,'CDO Bespoke'!F73,'CDO Bespoke'!$L49,'CDO Bespoke'!$C$13,'CDO Bespoke'!$C$14,'CDO Bespoke'!$C$15,'CDO Bespoke'!$C$8,,,TRUE,TRUE,FALSE,'CDO Bespoke'!$C$29:'CDO Bespoke'!$C$31,'CDO Bespoke'!$C$33),{5})),"")</f>
        <v>#REF!</v>
      </c>
      <c r="Q48" s="542" t="e" cm="1">
        <f t="array" ref="Q48">IF($O48&lt;&gt;"",-TRANSPOSE(INDEX(getcds('CDO Bespoke'!$C73,Q$13,'CDO Bespoke'!$G73/10000,'CDO Bespoke'!G73,'CDO Bespoke'!$L49,'CDO Bespoke'!$C$13,'CDO Bespoke'!$C$14,'CDO Bespoke'!$C$15,'CDO Bespoke'!$C$8,,,TRUE,TRUE,FALSE,'CDO Bespoke'!$C$29:'CDO Bespoke'!$C$31,'CDO Bespoke'!$C$33),{5})),"")</f>
        <v>#REF!</v>
      </c>
      <c r="R48" s="542" t="e" cm="1">
        <f t="array" ref="R48">IF($O48&lt;&gt;"",-TRANSPOSE(INDEX(getcds('CDO Bespoke'!$C73,R$13,'CDO Bespoke'!$G73/10000,'CDO Bespoke'!H73,'CDO Bespoke'!$L49,'CDO Bespoke'!$C$13,'CDO Bespoke'!$C$14,'CDO Bespoke'!$C$15,'CDO Bespoke'!$C$8,,,TRUE,TRUE,FALSE,'CDO Bespoke'!$C$29:'CDO Bespoke'!$C$31,'CDO Bespoke'!$C$33),{5})),"")</f>
        <v>#REF!</v>
      </c>
      <c r="S48" s="542" t="e" cm="1">
        <f t="array" ref="S48">IF($O48&lt;&gt;"",-TRANSPOSE(INDEX(getcds('CDO Bespoke'!$C73,S$13,'CDO Bespoke'!$G73/10000,'CDO Bespoke'!I73,'CDO Bespoke'!$L49,'CDO Bespoke'!$C$13,'CDO Bespoke'!$C$14,'CDO Bespoke'!$C$15,'CDO Bespoke'!$C$8,,,TRUE,TRUE,FALSE,'CDO Bespoke'!$C$29:'CDO Bespoke'!$C$31,'CDO Bespoke'!$C$33),{5})),"")</f>
        <v>#REF!</v>
      </c>
      <c r="T48" s="514" t="e" cm="1">
        <f t="array" ref="T48">IF($O48&lt;&gt;"",-TRANSPOSE(INDEX(getcds('CDO Bespoke'!$C73,T$13,'CDO Bespoke'!$G73/10000,'CDO Bespoke'!J73,'CDO Bespoke'!$L49,'CDO Bespoke'!$C$13,'CDO Bespoke'!$C$14,'CDO Bespoke'!$C$15,'CDO Bespoke'!$C$8,,,TRUE,TRUE,FALSE,'CDO Bespoke'!$C$29:'CDO Bespoke'!$C$31,'CDO Bespoke'!$C$33),{5})),"")</f>
        <v>#REF!</v>
      </c>
      <c r="U48" s="493"/>
      <c r="V48" s="529"/>
      <c r="W48" s="530"/>
      <c r="X48" s="530"/>
      <c r="Y48" s="530"/>
      <c r="Z48" s="530"/>
      <c r="AA48" s="530"/>
      <c r="AB48" s="530"/>
      <c r="AC48" s="530"/>
      <c r="AD48" s="530"/>
      <c r="AE48" s="531"/>
      <c r="AF48" s="539"/>
    </row>
    <row r="49" spans="6:32" s="281" customFormat="1" ht="12" thickBot="1">
      <c r="F49" s="501" t="str">
        <f>IF('CDO Bespoke'!O50&lt;&gt;"",'CDO Bespoke'!O50,"")</f>
        <v/>
      </c>
      <c r="G49" s="502" t="str">
        <f>IF(F49&lt;&gt;"",ABS(MIN(-0.75*('CDO Bespoke'!Q50+'CDO Bespoke'!T50)+'CDO Bespoke'!T50,0)),"")</f>
        <v/>
      </c>
      <c r="H49" s="502" t="str">
        <f t="shared" si="0"/>
        <v/>
      </c>
      <c r="I49" s="502" t="str">
        <f t="shared" si="3"/>
        <v/>
      </c>
      <c r="J49" s="501" t="str">
        <f>IF('CDO Bespoke'!O50&lt;&gt;"",'CDO Bespoke'!O50,"")</f>
        <v/>
      </c>
      <c r="K49" s="502" t="str">
        <f>IF(J49&lt;&gt;"",ABS(MIN(-0.75*('CDO Bespoke'!K50+'CDO Bespoke'!T50)+'CDO Bespoke'!T50,0)),"")</f>
        <v/>
      </c>
      <c r="L49" s="502" t="str">
        <f t="shared" si="1"/>
        <v/>
      </c>
      <c r="M49" s="506" t="str">
        <f t="shared" si="2"/>
        <v/>
      </c>
      <c r="O49" s="511" t="str">
        <f>IF('CDO Bespoke'!C74&lt;&gt;"",'CDO Bespoke'!C74,"")</f>
        <v>DeutscheBank_MMR.EUR.SU</v>
      </c>
      <c r="P49" s="513" t="e" cm="1">
        <f t="array" ref="P49">IF($O49&lt;&gt;"",-TRANSPOSE(INDEX(getcds('CDO Bespoke'!$C74,P$13,'CDO Bespoke'!$G74/10000,'CDO Bespoke'!F74,'CDO Bespoke'!$L50,'CDO Bespoke'!$C$13,'CDO Bespoke'!$C$14,'CDO Bespoke'!$C$15,'CDO Bespoke'!$C$8,,,TRUE,TRUE,FALSE,'CDO Bespoke'!$C$29:'CDO Bespoke'!$C$31,'CDO Bespoke'!$C$33),{5})),"")</f>
        <v>#VALUE!</v>
      </c>
      <c r="Q49" s="542" t="e" cm="1">
        <f t="array" ref="Q49">IF($O49&lt;&gt;"",-TRANSPOSE(INDEX(getcds('CDO Bespoke'!$C74,Q$13,'CDO Bespoke'!$G74/10000,'CDO Bespoke'!G74,'CDO Bespoke'!$L50,'CDO Bespoke'!$C$13,'CDO Bespoke'!$C$14,'CDO Bespoke'!$C$15,'CDO Bespoke'!$C$8,,,TRUE,TRUE,FALSE,'CDO Bespoke'!$C$29:'CDO Bespoke'!$C$31,'CDO Bespoke'!$C$33),{5})),"")</f>
        <v>#VALUE!</v>
      </c>
      <c r="R49" s="542" t="e" cm="1">
        <f t="array" ref="R49">IF($O49&lt;&gt;"",-TRANSPOSE(INDEX(getcds('CDO Bespoke'!$C74,R$13,'CDO Bespoke'!$G74/10000,'CDO Bespoke'!H74,'CDO Bespoke'!$L50,'CDO Bespoke'!$C$13,'CDO Bespoke'!$C$14,'CDO Bespoke'!$C$15,'CDO Bespoke'!$C$8,,,TRUE,TRUE,FALSE,'CDO Bespoke'!$C$29:'CDO Bespoke'!$C$31,'CDO Bespoke'!$C$33),{5})),"")</f>
        <v>#VALUE!</v>
      </c>
      <c r="S49" s="542" t="e" cm="1">
        <f t="array" ref="S49">IF($O49&lt;&gt;"",-TRANSPOSE(INDEX(getcds('CDO Bespoke'!$C74,S$13,'CDO Bespoke'!$G74/10000,'CDO Bespoke'!I74,'CDO Bespoke'!$L50,'CDO Bespoke'!$C$13,'CDO Bespoke'!$C$14,'CDO Bespoke'!$C$15,'CDO Bespoke'!$C$8,,,TRUE,TRUE,FALSE,'CDO Bespoke'!$C$29:'CDO Bespoke'!$C$31,'CDO Bespoke'!$C$33),{5})),"")</f>
        <v>#VALUE!</v>
      </c>
      <c r="T49" s="514" t="e" cm="1">
        <f t="array" ref="T49">IF($O49&lt;&gt;"",-TRANSPOSE(INDEX(getcds('CDO Bespoke'!$C74,T$13,'CDO Bespoke'!$G74/10000,'CDO Bespoke'!J74,'CDO Bespoke'!$L50,'CDO Bespoke'!$C$13,'CDO Bespoke'!$C$14,'CDO Bespoke'!$C$15,'CDO Bespoke'!$C$8,,,TRUE,TRUE,FALSE,'CDO Bespoke'!$C$29:'CDO Bespoke'!$C$31,'CDO Bespoke'!$C$33),{5})),"")</f>
        <v>#VALUE!</v>
      </c>
      <c r="U49" s="493"/>
      <c r="V49" s="529"/>
      <c r="W49" s="530"/>
      <c r="X49" s="530"/>
      <c r="Y49" s="530"/>
      <c r="Z49" s="530"/>
      <c r="AA49" s="530"/>
      <c r="AB49" s="530"/>
      <c r="AC49" s="530"/>
      <c r="AD49" s="530"/>
      <c r="AE49" s="531"/>
      <c r="AF49" s="539"/>
    </row>
    <row r="50" spans="6:32" s="281" customFormat="1" ht="12" thickBot="1">
      <c r="F50" s="501" t="str">
        <f>IF('CDO Bespoke'!O51&lt;&gt;"",'CDO Bespoke'!O51,"")</f>
        <v/>
      </c>
      <c r="G50" s="502" t="str">
        <f>IF(F50&lt;&gt;"",ABS(MIN(-0.75*('CDO Bespoke'!Q51+'CDO Bespoke'!T51)+'CDO Bespoke'!T51,0)),"")</f>
        <v/>
      </c>
      <c r="H50" s="502" t="str">
        <f t="shared" si="0"/>
        <v/>
      </c>
      <c r="I50" s="502" t="str">
        <f t="shared" si="3"/>
        <v/>
      </c>
      <c r="J50" s="501" t="str">
        <f>IF('CDO Bespoke'!O51&lt;&gt;"",'CDO Bespoke'!O51,"")</f>
        <v/>
      </c>
      <c r="K50" s="502" t="str">
        <f>IF(J50&lt;&gt;"",ABS(MIN(-0.75*('CDO Bespoke'!K51+'CDO Bespoke'!T51)+'CDO Bespoke'!T51,0)),"")</f>
        <v/>
      </c>
      <c r="L50" s="502" t="str">
        <f t="shared" si="1"/>
        <v/>
      </c>
      <c r="M50" s="506" t="str">
        <f t="shared" si="2"/>
        <v/>
      </c>
      <c r="O50" s="511" t="str">
        <f>IF('CDO Bespoke'!C75&lt;&gt;"",'CDO Bespoke'!C75,"")</f>
        <v>DeutschePostAG_MMR.EUR.SU</v>
      </c>
      <c r="P50" s="513" t="e" cm="1">
        <f t="array" ref="P50">IF($O50&lt;&gt;"",-TRANSPOSE(INDEX(getcds('CDO Bespoke'!$C75,P$13,'CDO Bespoke'!$G75/10000,'CDO Bespoke'!F75,'CDO Bespoke'!$L51,'CDO Bespoke'!$C$13,'CDO Bespoke'!$C$14,'CDO Bespoke'!$C$15,'CDO Bespoke'!$C$8,,,TRUE,TRUE,FALSE,'CDO Bespoke'!$C$29:'CDO Bespoke'!$C$31,'CDO Bespoke'!$C$33),{5})),"")</f>
        <v>#VALUE!</v>
      </c>
      <c r="Q50" s="542" t="e" cm="1">
        <f t="array" ref="Q50">IF($O50&lt;&gt;"",-TRANSPOSE(INDEX(getcds('CDO Bespoke'!$C75,Q$13,'CDO Bespoke'!$G75/10000,'CDO Bespoke'!G75,'CDO Bespoke'!$L51,'CDO Bespoke'!$C$13,'CDO Bespoke'!$C$14,'CDO Bespoke'!$C$15,'CDO Bespoke'!$C$8,,,TRUE,TRUE,FALSE,'CDO Bespoke'!$C$29:'CDO Bespoke'!$C$31,'CDO Bespoke'!$C$33),{5})),"")</f>
        <v>#VALUE!</v>
      </c>
      <c r="R50" s="542" t="e" cm="1">
        <f t="array" ref="R50">IF($O50&lt;&gt;"",-TRANSPOSE(INDEX(getcds('CDO Bespoke'!$C75,R$13,'CDO Bespoke'!$G75/10000,'CDO Bespoke'!H75,'CDO Bespoke'!$L51,'CDO Bespoke'!$C$13,'CDO Bespoke'!$C$14,'CDO Bespoke'!$C$15,'CDO Bespoke'!$C$8,,,TRUE,TRUE,FALSE,'CDO Bespoke'!$C$29:'CDO Bespoke'!$C$31,'CDO Bespoke'!$C$33),{5})),"")</f>
        <v>#VALUE!</v>
      </c>
      <c r="S50" s="542" t="e" cm="1">
        <f t="array" ref="S50">IF($O50&lt;&gt;"",-TRANSPOSE(INDEX(getcds('CDO Bespoke'!$C75,S$13,'CDO Bespoke'!$G75/10000,'CDO Bespoke'!I75,'CDO Bespoke'!$L51,'CDO Bespoke'!$C$13,'CDO Bespoke'!$C$14,'CDO Bespoke'!$C$15,'CDO Bespoke'!$C$8,,,TRUE,TRUE,FALSE,'CDO Bespoke'!$C$29:'CDO Bespoke'!$C$31,'CDO Bespoke'!$C$33),{5})),"")</f>
        <v>#VALUE!</v>
      </c>
      <c r="T50" s="514" t="e" cm="1">
        <f t="array" ref="T50">IF($O50&lt;&gt;"",-TRANSPOSE(INDEX(getcds('CDO Bespoke'!$C75,T$13,'CDO Bespoke'!$G75/10000,'CDO Bespoke'!J75,'CDO Bespoke'!$L51,'CDO Bespoke'!$C$13,'CDO Bespoke'!$C$14,'CDO Bespoke'!$C$15,'CDO Bespoke'!$C$8,,,TRUE,TRUE,FALSE,'CDO Bespoke'!$C$29:'CDO Bespoke'!$C$31,'CDO Bespoke'!$C$33),{5})),"")</f>
        <v>#VALUE!</v>
      </c>
      <c r="U50" s="493"/>
      <c r="V50" s="529"/>
      <c r="W50" s="530"/>
      <c r="X50" s="530"/>
      <c r="Y50" s="530"/>
      <c r="Z50" s="530"/>
      <c r="AA50" s="530"/>
      <c r="AB50" s="530"/>
      <c r="AC50" s="530"/>
      <c r="AD50" s="530"/>
      <c r="AE50" s="531"/>
      <c r="AF50" s="539"/>
    </row>
    <row r="51" spans="6:32" s="281" customFormat="1" ht="12" thickBot="1">
      <c r="F51" s="501" t="str">
        <f>IF('CDO Bespoke'!O52&lt;&gt;"",'CDO Bespoke'!O52,"")</f>
        <v/>
      </c>
      <c r="G51" s="502" t="str">
        <f>IF(F51&lt;&gt;"",ABS(MIN(-0.75*('CDO Bespoke'!Q52+'CDO Bespoke'!T52)+'CDO Bespoke'!T52,0)),"")</f>
        <v/>
      </c>
      <c r="H51" s="502" t="str">
        <f t="shared" si="0"/>
        <v/>
      </c>
      <c r="I51" s="502" t="str">
        <f t="shared" si="3"/>
        <v/>
      </c>
      <c r="J51" s="501" t="str">
        <f>IF('CDO Bespoke'!O52&lt;&gt;"",'CDO Bespoke'!O52,"")</f>
        <v/>
      </c>
      <c r="K51" s="502" t="str">
        <f>IF(J51&lt;&gt;"",ABS(MIN(-0.75*('CDO Bespoke'!K52+'CDO Bespoke'!T52)+'CDO Bespoke'!T52,0)),"")</f>
        <v/>
      </c>
      <c r="L51" s="502" t="str">
        <f t="shared" si="1"/>
        <v/>
      </c>
      <c r="M51" s="506" t="str">
        <f t="shared" si="2"/>
        <v/>
      </c>
      <c r="O51" s="511" t="str">
        <f>IF('CDO Bespoke'!C76&lt;&gt;"",'CDO Bespoke'!C76,"")</f>
        <v>DeutscheTelekom_MMR.EUR.SU</v>
      </c>
      <c r="P51" s="513" t="e" cm="1">
        <f t="array" ref="P51">IF($O51&lt;&gt;"",-TRANSPOSE(INDEX(getcds('CDO Bespoke'!$C76,P$13,'CDO Bespoke'!$G76/10000,'CDO Bespoke'!F76,'CDO Bespoke'!$L52,'CDO Bespoke'!$C$13,'CDO Bespoke'!$C$14,'CDO Bespoke'!$C$15,'CDO Bespoke'!$C$8,,,TRUE,TRUE,FALSE,'CDO Bespoke'!$C$29:'CDO Bespoke'!$C$31,'CDO Bespoke'!$C$33),{5})),"")</f>
        <v>#VALUE!</v>
      </c>
      <c r="Q51" s="542" t="e" cm="1">
        <f t="array" ref="Q51">IF($O51&lt;&gt;"",-TRANSPOSE(INDEX(getcds('CDO Bespoke'!$C76,Q$13,'CDO Bespoke'!$G76/10000,'CDO Bespoke'!G76,'CDO Bespoke'!$L52,'CDO Bespoke'!$C$13,'CDO Bespoke'!$C$14,'CDO Bespoke'!$C$15,'CDO Bespoke'!$C$8,,,TRUE,TRUE,FALSE,'CDO Bespoke'!$C$29:'CDO Bespoke'!$C$31,'CDO Bespoke'!$C$33),{5})),"")</f>
        <v>#REF!</v>
      </c>
      <c r="R51" s="542" t="e" cm="1">
        <f t="array" ref="R51">IF($O51&lt;&gt;"",-TRANSPOSE(INDEX(getcds('CDO Bespoke'!$C76,R$13,'CDO Bespoke'!$G76/10000,'CDO Bespoke'!H76,'CDO Bespoke'!$L52,'CDO Bespoke'!$C$13,'CDO Bespoke'!$C$14,'CDO Bespoke'!$C$15,'CDO Bespoke'!$C$8,,,TRUE,TRUE,FALSE,'CDO Bespoke'!$C$29:'CDO Bespoke'!$C$31,'CDO Bespoke'!$C$33),{5})),"")</f>
        <v>#REF!</v>
      </c>
      <c r="S51" s="542" t="e" cm="1">
        <f t="array" ref="S51">IF($O51&lt;&gt;"",-TRANSPOSE(INDEX(getcds('CDO Bespoke'!$C76,S$13,'CDO Bespoke'!$G76/10000,'CDO Bespoke'!I76,'CDO Bespoke'!$L52,'CDO Bespoke'!$C$13,'CDO Bespoke'!$C$14,'CDO Bespoke'!$C$15,'CDO Bespoke'!$C$8,,,TRUE,TRUE,FALSE,'CDO Bespoke'!$C$29:'CDO Bespoke'!$C$31,'CDO Bespoke'!$C$33),{5})),"")</f>
        <v>#REF!</v>
      </c>
      <c r="T51" s="514" t="e" cm="1">
        <f t="array" ref="T51">IF($O51&lt;&gt;"",-TRANSPOSE(INDEX(getcds('CDO Bespoke'!$C76,T$13,'CDO Bespoke'!$G76/10000,'CDO Bespoke'!J76,'CDO Bespoke'!$L52,'CDO Bespoke'!$C$13,'CDO Bespoke'!$C$14,'CDO Bespoke'!$C$15,'CDO Bespoke'!$C$8,,,TRUE,TRUE,FALSE,'CDO Bespoke'!$C$29:'CDO Bespoke'!$C$31,'CDO Bespoke'!$C$33),{5})),"")</f>
        <v>#REF!</v>
      </c>
      <c r="U51" s="493"/>
      <c r="V51" s="529"/>
      <c r="W51" s="530"/>
      <c r="X51" s="530"/>
      <c r="Y51" s="530"/>
      <c r="Z51" s="530"/>
      <c r="AA51" s="530"/>
      <c r="AB51" s="530"/>
      <c r="AC51" s="530"/>
      <c r="AD51" s="530"/>
      <c r="AE51" s="531"/>
      <c r="AF51" s="539"/>
    </row>
    <row r="52" spans="6:32" s="281" customFormat="1" ht="12" thickBot="1">
      <c r="F52" s="501" t="str">
        <f>IF('CDO Bespoke'!O53&lt;&gt;"",'CDO Bespoke'!O53,"")</f>
        <v/>
      </c>
      <c r="G52" s="502" t="str">
        <f>IF(F52&lt;&gt;"",ABS(MIN(-0.75*('CDO Bespoke'!Q53+'CDO Bespoke'!T53)+'CDO Bespoke'!T53,0)),"")</f>
        <v/>
      </c>
      <c r="H52" s="502" t="str">
        <f t="shared" si="0"/>
        <v/>
      </c>
      <c r="I52" s="502" t="str">
        <f t="shared" si="3"/>
        <v/>
      </c>
      <c r="J52" s="501" t="str">
        <f>IF('CDO Bespoke'!O53&lt;&gt;"",'CDO Bespoke'!O53,"")</f>
        <v/>
      </c>
      <c r="K52" s="502" t="str">
        <f>IF(J52&lt;&gt;"",ABS(MIN(-0.75*('CDO Bespoke'!K53+'CDO Bespoke'!T53)+'CDO Bespoke'!T53,0)),"")</f>
        <v/>
      </c>
      <c r="L52" s="502" t="str">
        <f t="shared" si="1"/>
        <v/>
      </c>
      <c r="M52" s="506" t="str">
        <f t="shared" si="2"/>
        <v/>
      </c>
      <c r="O52" s="511" t="str">
        <f>IF('CDO Bespoke'!C77&lt;&gt;"",'CDO Bespoke'!C77,"")</f>
        <v>Diageo_MMR.EUR.SU</v>
      </c>
      <c r="P52" s="513" t="e" cm="1">
        <f t="array" ref="P52">IF($O52&lt;&gt;"",-TRANSPOSE(INDEX(getcds('CDO Bespoke'!$C77,P$13,'CDO Bespoke'!$G77/10000,'CDO Bespoke'!F77,'CDO Bespoke'!$L53,'CDO Bespoke'!$C$13,'CDO Bespoke'!$C$14,'CDO Bespoke'!$C$15,'CDO Bespoke'!$C$8,,,TRUE,TRUE,FALSE,'CDO Bespoke'!$C$29:'CDO Bespoke'!$C$31,'CDO Bespoke'!$C$33),{5})),"")</f>
        <v>#REF!</v>
      </c>
      <c r="Q52" s="542" t="e" cm="1">
        <f t="array" ref="Q52">IF($O52&lt;&gt;"",-TRANSPOSE(INDEX(getcds('CDO Bespoke'!$C77,Q$13,'CDO Bespoke'!$G77/10000,'CDO Bespoke'!G77,'CDO Bespoke'!$L53,'CDO Bespoke'!$C$13,'CDO Bespoke'!$C$14,'CDO Bespoke'!$C$15,'CDO Bespoke'!$C$8,,,TRUE,TRUE,FALSE,'CDO Bespoke'!$C$29:'CDO Bespoke'!$C$31,'CDO Bespoke'!$C$33),{5})),"")</f>
        <v>#REF!</v>
      </c>
      <c r="R52" s="542" t="e" cm="1">
        <f t="array" ref="R52">IF($O52&lt;&gt;"",-TRANSPOSE(INDEX(getcds('CDO Bespoke'!$C77,R$13,'CDO Bespoke'!$G77/10000,'CDO Bespoke'!H77,'CDO Bespoke'!$L53,'CDO Bespoke'!$C$13,'CDO Bespoke'!$C$14,'CDO Bespoke'!$C$15,'CDO Bespoke'!$C$8,,,TRUE,TRUE,FALSE,'CDO Bespoke'!$C$29:'CDO Bespoke'!$C$31,'CDO Bespoke'!$C$33),{5})),"")</f>
        <v>#REF!</v>
      </c>
      <c r="S52" s="542" t="e" cm="1">
        <f t="array" ref="S52">IF($O52&lt;&gt;"",-TRANSPOSE(INDEX(getcds('CDO Bespoke'!$C77,S$13,'CDO Bespoke'!$G77/10000,'CDO Bespoke'!I77,'CDO Bespoke'!$L53,'CDO Bespoke'!$C$13,'CDO Bespoke'!$C$14,'CDO Bespoke'!$C$15,'CDO Bespoke'!$C$8,,,TRUE,TRUE,FALSE,'CDO Bespoke'!$C$29:'CDO Bespoke'!$C$31,'CDO Bespoke'!$C$33),{5})),"")</f>
        <v>#REF!</v>
      </c>
      <c r="T52" s="514" t="e" cm="1">
        <f t="array" ref="T52">IF($O52&lt;&gt;"",-TRANSPOSE(INDEX(getcds('CDO Bespoke'!$C77,T$13,'CDO Bespoke'!$G77/10000,'CDO Bespoke'!J77,'CDO Bespoke'!$L53,'CDO Bespoke'!$C$13,'CDO Bespoke'!$C$14,'CDO Bespoke'!$C$15,'CDO Bespoke'!$C$8,,,TRUE,TRUE,FALSE,'CDO Bespoke'!$C$29:'CDO Bespoke'!$C$31,'CDO Bespoke'!$C$33),{5})),"")</f>
        <v>#REF!</v>
      </c>
      <c r="U52" s="493"/>
      <c r="V52" s="529"/>
      <c r="W52" s="530"/>
      <c r="X52" s="530"/>
      <c r="Y52" s="530"/>
      <c r="Z52" s="530"/>
      <c r="AA52" s="530"/>
      <c r="AB52" s="530"/>
      <c r="AC52" s="530"/>
      <c r="AD52" s="530"/>
      <c r="AE52" s="531"/>
      <c r="AF52" s="539"/>
    </row>
    <row r="53" spans="6:32" s="281" customFormat="1" ht="12" thickBot="1">
      <c r="F53" s="501" t="str">
        <f>IF('CDO Bespoke'!O54&lt;&gt;"",'CDO Bespoke'!O54,"")</f>
        <v/>
      </c>
      <c r="G53" s="502" t="str">
        <f>IF(F53&lt;&gt;"",ABS(MIN(-0.75*('CDO Bespoke'!Q54+'CDO Bespoke'!T54)+'CDO Bespoke'!T54,0)),"")</f>
        <v/>
      </c>
      <c r="H53" s="502" t="str">
        <f t="shared" si="0"/>
        <v/>
      </c>
      <c r="I53" s="502" t="str">
        <f t="shared" si="3"/>
        <v/>
      </c>
      <c r="J53" s="501" t="str">
        <f>IF('CDO Bespoke'!O54&lt;&gt;"",'CDO Bespoke'!O54,"")</f>
        <v/>
      </c>
      <c r="K53" s="502" t="str">
        <f>IF(J53&lt;&gt;"",ABS(MIN(-0.75*('CDO Bespoke'!K54+'CDO Bespoke'!T54)+'CDO Bespoke'!T54,0)),"")</f>
        <v/>
      </c>
      <c r="L53" s="502" t="str">
        <f t="shared" si="1"/>
        <v/>
      </c>
      <c r="M53" s="506" t="str">
        <f t="shared" si="2"/>
        <v/>
      </c>
      <c r="O53" s="511" t="str">
        <f>IF('CDO Bespoke'!C78&lt;&gt;"",'CDO Bespoke'!C78,"")</f>
        <v>DixonsGroupPlc_MMR.EUR.SU</v>
      </c>
      <c r="P53" s="513" t="e" cm="1">
        <f t="array" ref="P53">IF($O53&lt;&gt;"",-TRANSPOSE(INDEX(getcds('CDO Bespoke'!$C78,P$13,'CDO Bespoke'!$G78/10000,'CDO Bespoke'!F78,'CDO Bespoke'!$L54,'CDO Bespoke'!$C$13,'CDO Bespoke'!$C$14,'CDO Bespoke'!$C$15,'CDO Bespoke'!$C$8,,,TRUE,TRUE,FALSE,'CDO Bespoke'!$C$29:'CDO Bespoke'!$C$31,'CDO Bespoke'!$C$33),{5})),"")</f>
        <v>#VALUE!</v>
      </c>
      <c r="Q53" s="542" t="e" cm="1">
        <f t="array" ref="Q53">IF($O53&lt;&gt;"",-TRANSPOSE(INDEX(getcds('CDO Bespoke'!$C78,Q$13,'CDO Bespoke'!$G78/10000,'CDO Bespoke'!G78,'CDO Bespoke'!$L54,'CDO Bespoke'!$C$13,'CDO Bespoke'!$C$14,'CDO Bespoke'!$C$15,'CDO Bespoke'!$C$8,,,TRUE,TRUE,FALSE,'CDO Bespoke'!$C$29:'CDO Bespoke'!$C$31,'CDO Bespoke'!$C$33),{5})),"")</f>
        <v>#VALUE!</v>
      </c>
      <c r="R53" s="542" t="e" cm="1">
        <f t="array" ref="R53">IF($O53&lt;&gt;"",-TRANSPOSE(INDEX(getcds('CDO Bespoke'!$C78,R$13,'CDO Bespoke'!$G78/10000,'CDO Bespoke'!H78,'CDO Bespoke'!$L54,'CDO Bespoke'!$C$13,'CDO Bespoke'!$C$14,'CDO Bespoke'!$C$15,'CDO Bespoke'!$C$8,,,TRUE,TRUE,FALSE,'CDO Bespoke'!$C$29:'CDO Bespoke'!$C$31,'CDO Bespoke'!$C$33),{5})),"")</f>
        <v>#VALUE!</v>
      </c>
      <c r="S53" s="542" t="e" cm="1">
        <f t="array" ref="S53">IF($O53&lt;&gt;"",-TRANSPOSE(INDEX(getcds('CDO Bespoke'!$C78,S$13,'CDO Bespoke'!$G78/10000,'CDO Bespoke'!I78,'CDO Bespoke'!$L54,'CDO Bespoke'!$C$13,'CDO Bespoke'!$C$14,'CDO Bespoke'!$C$15,'CDO Bespoke'!$C$8,,,TRUE,TRUE,FALSE,'CDO Bespoke'!$C$29:'CDO Bespoke'!$C$31,'CDO Bespoke'!$C$33),{5})),"")</f>
        <v>#VALUE!</v>
      </c>
      <c r="T53" s="514" t="e" cm="1">
        <f t="array" ref="T53">IF($O53&lt;&gt;"",-TRANSPOSE(INDEX(getcds('CDO Bespoke'!$C78,T$13,'CDO Bespoke'!$G78/10000,'CDO Bespoke'!J78,'CDO Bespoke'!$L54,'CDO Bespoke'!$C$13,'CDO Bespoke'!$C$14,'CDO Bespoke'!$C$15,'CDO Bespoke'!$C$8,,,TRUE,TRUE,FALSE,'CDO Bespoke'!$C$29:'CDO Bespoke'!$C$31,'CDO Bespoke'!$C$33),{5})),"")</f>
        <v>#VALUE!</v>
      </c>
      <c r="U53" s="493"/>
      <c r="V53" s="529"/>
      <c r="W53" s="530"/>
      <c r="X53" s="530"/>
      <c r="Y53" s="530"/>
      <c r="Z53" s="530"/>
      <c r="AA53" s="530"/>
      <c r="AB53" s="530"/>
      <c r="AC53" s="530"/>
      <c r="AD53" s="530"/>
      <c r="AE53" s="531"/>
      <c r="AF53" s="539"/>
    </row>
    <row r="54" spans="6:32" s="281" customFormat="1" ht="12" thickBot="1">
      <c r="F54" s="501" t="str">
        <f>IF('CDO Bespoke'!O55&lt;&gt;"",'CDO Bespoke'!O55,"")</f>
        <v/>
      </c>
      <c r="G54" s="502" t="str">
        <f>IF(F54&lt;&gt;"",ABS(MIN(-0.75*('CDO Bespoke'!Q55+'CDO Bespoke'!T55)+'CDO Bespoke'!T55,0)),"")</f>
        <v/>
      </c>
      <c r="H54" s="502" t="str">
        <f t="shared" si="0"/>
        <v/>
      </c>
      <c r="I54" s="502" t="str">
        <f t="shared" si="3"/>
        <v/>
      </c>
      <c r="J54" s="501" t="str">
        <f>IF('CDO Bespoke'!O55&lt;&gt;"",'CDO Bespoke'!O55,"")</f>
        <v/>
      </c>
      <c r="K54" s="502" t="str">
        <f>IF(J54&lt;&gt;"",ABS(MIN(-0.75*('CDO Bespoke'!K55+'CDO Bespoke'!T55)+'CDO Bespoke'!T55,0)),"")</f>
        <v/>
      </c>
      <c r="L54" s="502" t="str">
        <f t="shared" si="1"/>
        <v/>
      </c>
      <c r="M54" s="506" t="str">
        <f t="shared" si="2"/>
        <v/>
      </c>
      <c r="O54" s="511" t="str">
        <f>IF('CDO Bespoke'!C79&lt;&gt;"",'CDO Bespoke'!C79,"")</f>
        <v>DSM_MMR.EUR.SU</v>
      </c>
      <c r="P54" s="513" t="e" cm="1">
        <f t="array" ref="P54">IF($O54&lt;&gt;"",-TRANSPOSE(INDEX(getcds('CDO Bespoke'!$C79,P$13,'CDO Bespoke'!$G79/10000,'CDO Bespoke'!F79,'CDO Bespoke'!$L55,'CDO Bespoke'!$C$13,'CDO Bespoke'!$C$14,'CDO Bespoke'!$C$15,'CDO Bespoke'!$C$8,,,TRUE,TRUE,FALSE,'CDO Bespoke'!$C$29:'CDO Bespoke'!$C$31,'CDO Bespoke'!$C$33),{5})),"")</f>
        <v>#VALUE!</v>
      </c>
      <c r="Q54" s="542" t="e" cm="1">
        <f t="array" ref="Q54">IF($O54&lt;&gt;"",-TRANSPOSE(INDEX(getcds('CDO Bespoke'!$C79,Q$13,'CDO Bespoke'!$G79/10000,'CDO Bespoke'!G79,'CDO Bespoke'!$L55,'CDO Bespoke'!$C$13,'CDO Bespoke'!$C$14,'CDO Bespoke'!$C$15,'CDO Bespoke'!$C$8,,,TRUE,TRUE,FALSE,'CDO Bespoke'!$C$29:'CDO Bespoke'!$C$31,'CDO Bespoke'!$C$33),{5})),"")</f>
        <v>#VALUE!</v>
      </c>
      <c r="R54" s="542" t="e" cm="1">
        <f t="array" ref="R54">IF($O54&lt;&gt;"",-TRANSPOSE(INDEX(getcds('CDO Bespoke'!$C79,R$13,'CDO Bespoke'!$G79/10000,'CDO Bespoke'!H79,'CDO Bespoke'!$L55,'CDO Bespoke'!$C$13,'CDO Bespoke'!$C$14,'CDO Bespoke'!$C$15,'CDO Bespoke'!$C$8,,,TRUE,TRUE,FALSE,'CDO Bespoke'!$C$29:'CDO Bespoke'!$C$31,'CDO Bespoke'!$C$33),{5})),"")</f>
        <v>#VALUE!</v>
      </c>
      <c r="S54" s="542" t="e" cm="1">
        <f t="array" ref="S54">IF($O54&lt;&gt;"",-TRANSPOSE(INDEX(getcds('CDO Bespoke'!$C79,S$13,'CDO Bespoke'!$G79/10000,'CDO Bespoke'!I79,'CDO Bespoke'!$L55,'CDO Bespoke'!$C$13,'CDO Bespoke'!$C$14,'CDO Bespoke'!$C$15,'CDO Bespoke'!$C$8,,,TRUE,TRUE,FALSE,'CDO Bespoke'!$C$29:'CDO Bespoke'!$C$31,'CDO Bespoke'!$C$33),{5})),"")</f>
        <v>#REF!</v>
      </c>
      <c r="T54" s="514" t="e" cm="1">
        <f t="array" ref="T54">IF($O54&lt;&gt;"",-TRANSPOSE(INDEX(getcds('CDO Bespoke'!$C79,T$13,'CDO Bespoke'!$G79/10000,'CDO Bespoke'!J79,'CDO Bespoke'!$L55,'CDO Bespoke'!$C$13,'CDO Bespoke'!$C$14,'CDO Bespoke'!$C$15,'CDO Bespoke'!$C$8,,,TRUE,TRUE,FALSE,'CDO Bespoke'!$C$29:'CDO Bespoke'!$C$31,'CDO Bespoke'!$C$33),{5})),"")</f>
        <v>#VALUE!</v>
      </c>
      <c r="U54" s="493"/>
      <c r="V54" s="529"/>
      <c r="W54" s="530"/>
      <c r="X54" s="530"/>
      <c r="Y54" s="530"/>
      <c r="Z54" s="530"/>
      <c r="AA54" s="530"/>
      <c r="AB54" s="530"/>
      <c r="AC54" s="530"/>
      <c r="AD54" s="530"/>
      <c r="AE54" s="531"/>
      <c r="AF54" s="539"/>
    </row>
    <row r="55" spans="6:32" s="281" customFormat="1" ht="12" thickBot="1">
      <c r="F55" s="501" t="str">
        <f>IF('CDO Bespoke'!O56&lt;&gt;"",'CDO Bespoke'!O56,"")</f>
        <v/>
      </c>
      <c r="G55" s="502" t="str">
        <f>IF(F55&lt;&gt;"",ABS(MIN(-0.75*('CDO Bespoke'!Q56+'CDO Bespoke'!T56)+'CDO Bespoke'!T56,0)),"")</f>
        <v/>
      </c>
      <c r="H55" s="502" t="str">
        <f t="shared" si="0"/>
        <v/>
      </c>
      <c r="I55" s="502" t="str">
        <f t="shared" si="3"/>
        <v/>
      </c>
      <c r="J55" s="501" t="str">
        <f>IF('CDO Bespoke'!O56&lt;&gt;"",'CDO Bespoke'!O56,"")</f>
        <v/>
      </c>
      <c r="K55" s="502" t="str">
        <f>IF(J55&lt;&gt;"",ABS(MIN(-0.75*('CDO Bespoke'!K56+'CDO Bespoke'!T56)+'CDO Bespoke'!T56,0)),"")</f>
        <v/>
      </c>
      <c r="L55" s="502" t="str">
        <f t="shared" si="1"/>
        <v/>
      </c>
      <c r="M55" s="506" t="str">
        <f t="shared" si="2"/>
        <v/>
      </c>
      <c r="O55" s="511" t="str">
        <f>IF('CDO Bespoke'!C80&lt;&gt;"",'CDO Bespoke'!C80,"")</f>
        <v>EADS_MMR.EUR.SU</v>
      </c>
      <c r="P55" s="513" t="e" cm="1">
        <f t="array" ref="P55">IF($O55&lt;&gt;"",-TRANSPOSE(INDEX(getcds('CDO Bespoke'!$C80,P$13,'CDO Bespoke'!$G80/10000,'CDO Bespoke'!F80,'CDO Bespoke'!$L56,'CDO Bespoke'!$C$13,'CDO Bespoke'!$C$14,'CDO Bespoke'!$C$15,'CDO Bespoke'!$C$8,,,TRUE,TRUE,FALSE,'CDO Bespoke'!$C$29:'CDO Bespoke'!$C$31,'CDO Bespoke'!$C$33),{5})),"")</f>
        <v>#REF!</v>
      </c>
      <c r="Q55" s="542" t="e" cm="1">
        <f t="array" ref="Q55">IF($O55&lt;&gt;"",-TRANSPOSE(INDEX(getcds('CDO Bespoke'!$C80,Q$13,'CDO Bespoke'!$G80/10000,'CDO Bespoke'!G80,'CDO Bespoke'!$L56,'CDO Bespoke'!$C$13,'CDO Bespoke'!$C$14,'CDO Bespoke'!$C$15,'CDO Bespoke'!$C$8,,,TRUE,TRUE,FALSE,'CDO Bespoke'!$C$29:'CDO Bespoke'!$C$31,'CDO Bespoke'!$C$33),{5})),"")</f>
        <v>#VALUE!</v>
      </c>
      <c r="R55" s="542" t="e" cm="1">
        <f t="array" ref="R55">IF($O55&lt;&gt;"",-TRANSPOSE(INDEX(getcds('CDO Bespoke'!$C80,R$13,'CDO Bespoke'!$G80/10000,'CDO Bespoke'!H80,'CDO Bespoke'!$L56,'CDO Bespoke'!$C$13,'CDO Bespoke'!$C$14,'CDO Bespoke'!$C$15,'CDO Bespoke'!$C$8,,,TRUE,TRUE,FALSE,'CDO Bespoke'!$C$29:'CDO Bespoke'!$C$31,'CDO Bespoke'!$C$33),{5})),"")</f>
        <v>#REF!</v>
      </c>
      <c r="S55" s="542" t="e" cm="1">
        <f t="array" ref="S55">IF($O55&lt;&gt;"",-TRANSPOSE(INDEX(getcds('CDO Bespoke'!$C80,S$13,'CDO Bespoke'!$G80/10000,'CDO Bespoke'!I80,'CDO Bespoke'!$L56,'CDO Bespoke'!$C$13,'CDO Bespoke'!$C$14,'CDO Bespoke'!$C$15,'CDO Bespoke'!$C$8,,,TRUE,TRUE,FALSE,'CDO Bespoke'!$C$29:'CDO Bespoke'!$C$31,'CDO Bespoke'!$C$33),{5})),"")</f>
        <v>#REF!</v>
      </c>
      <c r="T55" s="514" t="e" cm="1">
        <f t="array" ref="T55">IF($O55&lt;&gt;"",-TRANSPOSE(INDEX(getcds('CDO Bespoke'!$C80,T$13,'CDO Bespoke'!$G80/10000,'CDO Bespoke'!J80,'CDO Bespoke'!$L56,'CDO Bespoke'!$C$13,'CDO Bespoke'!$C$14,'CDO Bespoke'!$C$15,'CDO Bespoke'!$C$8,,,TRUE,TRUE,FALSE,'CDO Bespoke'!$C$29:'CDO Bespoke'!$C$31,'CDO Bespoke'!$C$33),{5})),"")</f>
        <v>#REF!</v>
      </c>
      <c r="U55" s="493"/>
      <c r="V55" s="529"/>
      <c r="W55" s="530"/>
      <c r="X55" s="530"/>
      <c r="Y55" s="530"/>
      <c r="Z55" s="530"/>
      <c r="AA55" s="530"/>
      <c r="AB55" s="530"/>
      <c r="AC55" s="530"/>
      <c r="AD55" s="530"/>
      <c r="AE55" s="531"/>
      <c r="AF55" s="539"/>
    </row>
    <row r="56" spans="6:32" s="281" customFormat="1" ht="12" thickBot="1">
      <c r="F56" s="501" t="str">
        <f>IF('CDO Bespoke'!O57&lt;&gt;"",'CDO Bespoke'!O57,"")</f>
        <v/>
      </c>
      <c r="G56" s="502" t="str">
        <f>IF(F56&lt;&gt;"",ABS(MIN(-0.75*('CDO Bespoke'!Q57+'CDO Bespoke'!T57)+'CDO Bespoke'!T57,0)),"")</f>
        <v/>
      </c>
      <c r="H56" s="502" t="str">
        <f t="shared" si="0"/>
        <v/>
      </c>
      <c r="I56" s="502" t="str">
        <f t="shared" si="3"/>
        <v/>
      </c>
      <c r="J56" s="501" t="str">
        <f>IF('CDO Bespoke'!O57&lt;&gt;"",'CDO Bespoke'!O57,"")</f>
        <v/>
      </c>
      <c r="K56" s="502" t="str">
        <f>IF(J56&lt;&gt;"",ABS(MIN(-0.75*('CDO Bespoke'!K57+'CDO Bespoke'!T57)+'CDO Bespoke'!T57,0)),"")</f>
        <v/>
      </c>
      <c r="L56" s="502" t="str">
        <f t="shared" si="1"/>
        <v/>
      </c>
      <c r="M56" s="506" t="str">
        <f t="shared" si="2"/>
        <v/>
      </c>
      <c r="O56" s="511" t="str">
        <f>IF('CDO Bespoke'!C81&lt;&gt;"",'CDO Bespoke'!C81,"")</f>
        <v>EDF_MMR.EUR.SU</v>
      </c>
      <c r="P56" s="513" t="e" cm="1">
        <f t="array" ref="P56">IF($O56&lt;&gt;"",-TRANSPOSE(INDEX(getcds('CDO Bespoke'!$C81,P$13,'CDO Bespoke'!$G81/10000,'CDO Bespoke'!F81,'CDO Bespoke'!$L57,'CDO Bespoke'!$C$13,'CDO Bespoke'!$C$14,'CDO Bespoke'!$C$15,'CDO Bespoke'!$C$8,,,TRUE,TRUE,FALSE,'CDO Bespoke'!$C$29:'CDO Bespoke'!$C$31,'CDO Bespoke'!$C$33),{5})),"")</f>
        <v>#VALUE!</v>
      </c>
      <c r="Q56" s="542" t="e" cm="1">
        <f t="array" ref="Q56">IF($O56&lt;&gt;"",-TRANSPOSE(INDEX(getcds('CDO Bespoke'!$C81,Q$13,'CDO Bespoke'!$G81/10000,'CDO Bespoke'!G81,'CDO Bespoke'!$L57,'CDO Bespoke'!$C$13,'CDO Bespoke'!$C$14,'CDO Bespoke'!$C$15,'CDO Bespoke'!$C$8,,,TRUE,TRUE,FALSE,'CDO Bespoke'!$C$29:'CDO Bespoke'!$C$31,'CDO Bespoke'!$C$33),{5})),"")</f>
        <v>#VALUE!</v>
      </c>
      <c r="R56" s="542" t="e" cm="1">
        <f t="array" ref="R56">IF($O56&lt;&gt;"",-TRANSPOSE(INDEX(getcds('CDO Bespoke'!$C81,R$13,'CDO Bespoke'!$G81/10000,'CDO Bespoke'!H81,'CDO Bespoke'!$L57,'CDO Bespoke'!$C$13,'CDO Bespoke'!$C$14,'CDO Bespoke'!$C$15,'CDO Bespoke'!$C$8,,,TRUE,TRUE,FALSE,'CDO Bespoke'!$C$29:'CDO Bespoke'!$C$31,'CDO Bespoke'!$C$33),{5})),"")</f>
        <v>#VALUE!</v>
      </c>
      <c r="S56" s="542" t="e" cm="1">
        <f t="array" ref="S56">IF($O56&lt;&gt;"",-TRANSPOSE(INDEX(getcds('CDO Bespoke'!$C81,S$13,'CDO Bespoke'!$G81/10000,'CDO Bespoke'!I81,'CDO Bespoke'!$L57,'CDO Bespoke'!$C$13,'CDO Bespoke'!$C$14,'CDO Bespoke'!$C$15,'CDO Bespoke'!$C$8,,,TRUE,TRUE,FALSE,'CDO Bespoke'!$C$29:'CDO Bespoke'!$C$31,'CDO Bespoke'!$C$33),{5})),"")</f>
        <v>#VALUE!</v>
      </c>
      <c r="T56" s="514" t="e" cm="1">
        <f t="array" ref="T56">IF($O56&lt;&gt;"",-TRANSPOSE(INDEX(getcds('CDO Bespoke'!$C81,T$13,'CDO Bespoke'!$G81/10000,'CDO Bespoke'!J81,'CDO Bespoke'!$L57,'CDO Bespoke'!$C$13,'CDO Bespoke'!$C$14,'CDO Bespoke'!$C$15,'CDO Bespoke'!$C$8,,,TRUE,TRUE,FALSE,'CDO Bespoke'!$C$29:'CDO Bespoke'!$C$31,'CDO Bespoke'!$C$33),{5})),"")</f>
        <v>#VALUE!</v>
      </c>
      <c r="U56" s="493"/>
      <c r="V56" s="529"/>
      <c r="W56" s="530"/>
      <c r="X56" s="530"/>
      <c r="Y56" s="530"/>
      <c r="Z56" s="530"/>
      <c r="AA56" s="530"/>
      <c r="AB56" s="530"/>
      <c r="AC56" s="530"/>
      <c r="AD56" s="530"/>
      <c r="AE56" s="531"/>
      <c r="AF56" s="539"/>
    </row>
    <row r="57" spans="6:32" s="281" customFormat="1" ht="12" thickBot="1">
      <c r="F57" s="501" t="str">
        <f>IF('CDO Bespoke'!O58&lt;&gt;"",'CDO Bespoke'!O58,"")</f>
        <v/>
      </c>
      <c r="G57" s="502" t="str">
        <f>IF(F57&lt;&gt;"",ABS(MIN(-0.75*('CDO Bespoke'!Q58+'CDO Bespoke'!T58)+'CDO Bespoke'!T58,0)),"")</f>
        <v/>
      </c>
      <c r="H57" s="502" t="str">
        <f t="shared" si="0"/>
        <v/>
      </c>
      <c r="I57" s="502" t="str">
        <f t="shared" si="3"/>
        <v/>
      </c>
      <c r="J57" s="501" t="str">
        <f>IF('CDO Bespoke'!O58&lt;&gt;"",'CDO Bespoke'!O58,"")</f>
        <v/>
      </c>
      <c r="K57" s="502" t="str">
        <f>IF(J57&lt;&gt;"",ABS(MIN(-0.75*('CDO Bespoke'!K58+'CDO Bespoke'!T58)+'CDO Bespoke'!T58,0)),"")</f>
        <v/>
      </c>
      <c r="L57" s="502" t="str">
        <f t="shared" si="1"/>
        <v/>
      </c>
      <c r="M57" s="506" t="str">
        <f t="shared" si="2"/>
        <v/>
      </c>
      <c r="O57" s="511" t="str">
        <f>IF('CDO Bespoke'!C82&lt;&gt;"",'CDO Bespoke'!C82,"")</f>
        <v>Edison_MMR.EUR.SU</v>
      </c>
      <c r="P57" s="513" t="e" cm="1">
        <f t="array" ref="P57">IF($O57&lt;&gt;"",-TRANSPOSE(INDEX(getcds('CDO Bespoke'!$C82,P$13,'CDO Bespoke'!$G82/10000,'CDO Bespoke'!F82,'CDO Bespoke'!$L58,'CDO Bespoke'!$C$13,'CDO Bespoke'!$C$14,'CDO Bespoke'!$C$15,'CDO Bespoke'!$C$8,,,TRUE,TRUE,FALSE,'CDO Bespoke'!$C$29:'CDO Bespoke'!$C$31,'CDO Bespoke'!$C$33),{5})),"")</f>
        <v>#VALUE!</v>
      </c>
      <c r="Q57" s="542" t="e" cm="1">
        <f t="array" ref="Q57">IF($O57&lt;&gt;"",-TRANSPOSE(INDEX(getcds('CDO Bespoke'!$C82,Q$13,'CDO Bespoke'!$G82/10000,'CDO Bespoke'!G82,'CDO Bespoke'!$L58,'CDO Bespoke'!$C$13,'CDO Bespoke'!$C$14,'CDO Bespoke'!$C$15,'CDO Bespoke'!$C$8,,,TRUE,TRUE,FALSE,'CDO Bespoke'!$C$29:'CDO Bespoke'!$C$31,'CDO Bespoke'!$C$33),{5})),"")</f>
        <v>#VALUE!</v>
      </c>
      <c r="R57" s="542" t="e" cm="1">
        <f t="array" ref="R57">IF($O57&lt;&gt;"",-TRANSPOSE(INDEX(getcds('CDO Bespoke'!$C82,R$13,'CDO Bespoke'!$G82/10000,'CDO Bespoke'!H82,'CDO Bespoke'!$L58,'CDO Bespoke'!$C$13,'CDO Bespoke'!$C$14,'CDO Bespoke'!$C$15,'CDO Bespoke'!$C$8,,,TRUE,TRUE,FALSE,'CDO Bespoke'!$C$29:'CDO Bespoke'!$C$31,'CDO Bespoke'!$C$33),{5})),"")</f>
        <v>#VALUE!</v>
      </c>
      <c r="S57" s="542" t="e" cm="1">
        <f t="array" ref="S57">IF($O57&lt;&gt;"",-TRANSPOSE(INDEX(getcds('CDO Bespoke'!$C82,S$13,'CDO Bespoke'!$G82/10000,'CDO Bespoke'!I82,'CDO Bespoke'!$L58,'CDO Bespoke'!$C$13,'CDO Bespoke'!$C$14,'CDO Bespoke'!$C$15,'CDO Bespoke'!$C$8,,,TRUE,TRUE,FALSE,'CDO Bespoke'!$C$29:'CDO Bespoke'!$C$31,'CDO Bespoke'!$C$33),{5})),"")</f>
        <v>#VALUE!</v>
      </c>
      <c r="T57" s="514" t="e" cm="1">
        <f t="array" ref="T57">IF($O57&lt;&gt;"",-TRANSPOSE(INDEX(getcds('CDO Bespoke'!$C82,T$13,'CDO Bespoke'!$G82/10000,'CDO Bespoke'!J82,'CDO Bespoke'!$L58,'CDO Bespoke'!$C$13,'CDO Bespoke'!$C$14,'CDO Bespoke'!$C$15,'CDO Bespoke'!$C$8,,,TRUE,TRUE,FALSE,'CDO Bespoke'!$C$29:'CDO Bespoke'!$C$31,'CDO Bespoke'!$C$33),{5})),"")</f>
        <v>#VALUE!</v>
      </c>
      <c r="U57" s="493"/>
      <c r="V57" s="529"/>
      <c r="W57" s="530"/>
      <c r="X57" s="530"/>
      <c r="Y57" s="530"/>
      <c r="Z57" s="530"/>
      <c r="AA57" s="530"/>
      <c r="AB57" s="530"/>
      <c r="AC57" s="530"/>
      <c r="AD57" s="530"/>
      <c r="AE57" s="531"/>
      <c r="AF57" s="539"/>
    </row>
    <row r="58" spans="6:32" s="281" customFormat="1" ht="12" thickBot="1">
      <c r="F58" s="501" t="str">
        <f>IF('CDO Bespoke'!O59&lt;&gt;"",'CDO Bespoke'!O59,"")</f>
        <v/>
      </c>
      <c r="G58" s="502" t="str">
        <f>IF(F58&lt;&gt;"",ABS(MIN(-0.75*('CDO Bespoke'!Q59+'CDO Bespoke'!T59)+'CDO Bespoke'!T59,0)),"")</f>
        <v/>
      </c>
      <c r="H58" s="502" t="str">
        <f t="shared" si="0"/>
        <v/>
      </c>
      <c r="I58" s="502" t="str">
        <f t="shared" si="3"/>
        <v/>
      </c>
      <c r="J58" s="501" t="str">
        <f>IF('CDO Bespoke'!O59&lt;&gt;"",'CDO Bespoke'!O59,"")</f>
        <v/>
      </c>
      <c r="K58" s="502" t="str">
        <f>IF(J58&lt;&gt;"",ABS(MIN(-0.75*('CDO Bespoke'!K59+'CDO Bespoke'!T59)+'CDO Bespoke'!T59,0)),"")</f>
        <v/>
      </c>
      <c r="L58" s="502" t="str">
        <f t="shared" si="1"/>
        <v/>
      </c>
      <c r="M58" s="506" t="str">
        <f t="shared" si="2"/>
        <v/>
      </c>
      <c r="O58" s="511" t="str">
        <f>IF('CDO Bespoke'!C83&lt;&gt;"",'CDO Bespoke'!C83,"")</f>
        <v>ElectricitedePortugal_MMR.EUR.SU</v>
      </c>
      <c r="P58" s="513" t="e" cm="1">
        <f t="array" ref="P58">IF($O58&lt;&gt;"",-TRANSPOSE(INDEX(getcds('CDO Bespoke'!$C83,P$13,'CDO Bespoke'!$G83/10000,'CDO Bespoke'!F83,'CDO Bespoke'!$L59,'CDO Bespoke'!$C$13,'CDO Bespoke'!$C$14,'CDO Bespoke'!$C$15,'CDO Bespoke'!$C$8,,,TRUE,TRUE,FALSE,'CDO Bespoke'!$C$29:'CDO Bespoke'!$C$31,'CDO Bespoke'!$C$33),{5})),"")</f>
        <v>#VALUE!</v>
      </c>
      <c r="Q58" s="542" t="e" cm="1">
        <f t="array" ref="Q58">IF($O58&lt;&gt;"",-TRANSPOSE(INDEX(getcds('CDO Bespoke'!$C83,Q$13,'CDO Bespoke'!$G83/10000,'CDO Bespoke'!G83,'CDO Bespoke'!$L59,'CDO Bespoke'!$C$13,'CDO Bespoke'!$C$14,'CDO Bespoke'!$C$15,'CDO Bespoke'!$C$8,,,TRUE,TRUE,FALSE,'CDO Bespoke'!$C$29:'CDO Bespoke'!$C$31,'CDO Bespoke'!$C$33),{5})),"")</f>
        <v>#VALUE!</v>
      </c>
      <c r="R58" s="542" t="e" cm="1">
        <f t="array" ref="R58">IF($O58&lt;&gt;"",-TRANSPOSE(INDEX(getcds('CDO Bespoke'!$C83,R$13,'CDO Bespoke'!$G83/10000,'CDO Bespoke'!H83,'CDO Bespoke'!$L59,'CDO Bespoke'!$C$13,'CDO Bespoke'!$C$14,'CDO Bespoke'!$C$15,'CDO Bespoke'!$C$8,,,TRUE,TRUE,FALSE,'CDO Bespoke'!$C$29:'CDO Bespoke'!$C$31,'CDO Bespoke'!$C$33),{5})),"")</f>
        <v>#VALUE!</v>
      </c>
      <c r="S58" s="542" t="e" cm="1">
        <f t="array" ref="S58">IF($O58&lt;&gt;"",-TRANSPOSE(INDEX(getcds('CDO Bespoke'!$C83,S$13,'CDO Bespoke'!$G83/10000,'CDO Bespoke'!I83,'CDO Bespoke'!$L59,'CDO Bespoke'!$C$13,'CDO Bespoke'!$C$14,'CDO Bespoke'!$C$15,'CDO Bespoke'!$C$8,,,TRUE,TRUE,FALSE,'CDO Bespoke'!$C$29:'CDO Bespoke'!$C$31,'CDO Bespoke'!$C$33),{5})),"")</f>
        <v>#VALUE!</v>
      </c>
      <c r="T58" s="514" t="e" cm="1">
        <f t="array" ref="T58">IF($O58&lt;&gt;"",-TRANSPOSE(INDEX(getcds('CDO Bespoke'!$C83,T$13,'CDO Bespoke'!$G83/10000,'CDO Bespoke'!J83,'CDO Bespoke'!$L59,'CDO Bespoke'!$C$13,'CDO Bespoke'!$C$14,'CDO Bespoke'!$C$15,'CDO Bespoke'!$C$8,,,TRUE,TRUE,FALSE,'CDO Bespoke'!$C$29:'CDO Bespoke'!$C$31,'CDO Bespoke'!$C$33),{5})),"")</f>
        <v>#VALUE!</v>
      </c>
      <c r="U58" s="493"/>
      <c r="V58" s="529"/>
      <c r="W58" s="530"/>
      <c r="X58" s="530"/>
      <c r="Y58" s="530"/>
      <c r="Z58" s="530"/>
      <c r="AA58" s="530"/>
      <c r="AB58" s="530"/>
      <c r="AC58" s="530"/>
      <c r="AD58" s="530"/>
      <c r="AE58" s="531"/>
      <c r="AF58" s="539"/>
    </row>
    <row r="59" spans="6:32" s="281" customFormat="1" ht="12" thickBot="1">
      <c r="F59" s="501" t="str">
        <f>IF('CDO Bespoke'!O60&lt;&gt;"",'CDO Bespoke'!O60,"")</f>
        <v/>
      </c>
      <c r="G59" s="502" t="str">
        <f>IF(F59&lt;&gt;"",ABS(MIN(-0.75*('CDO Bespoke'!Q60+'CDO Bespoke'!T60)+'CDO Bespoke'!T60,0)),"")</f>
        <v/>
      </c>
      <c r="H59" s="502" t="str">
        <f t="shared" si="0"/>
        <v/>
      </c>
      <c r="I59" s="502" t="str">
        <f t="shared" si="3"/>
        <v/>
      </c>
      <c r="J59" s="501" t="str">
        <f>IF('CDO Bespoke'!O60&lt;&gt;"",'CDO Bespoke'!O60,"")</f>
        <v/>
      </c>
      <c r="K59" s="502" t="str">
        <f>IF(J59&lt;&gt;"",ABS(MIN(-0.75*('CDO Bespoke'!K60+'CDO Bespoke'!T60)+'CDO Bespoke'!T60,0)),"")</f>
        <v/>
      </c>
      <c r="L59" s="502" t="str">
        <f t="shared" si="1"/>
        <v/>
      </c>
      <c r="M59" s="506" t="str">
        <f t="shared" si="2"/>
        <v/>
      </c>
      <c r="O59" s="511" t="str">
        <f>IF('CDO Bespoke'!C84&lt;&gt;"",'CDO Bespoke'!C84,"")</f>
        <v>Electrolux_MMR.EUR.SU</v>
      </c>
      <c r="P59" s="513" t="e" cm="1">
        <f t="array" ref="P59">IF($O59&lt;&gt;"",-TRANSPOSE(INDEX(getcds('CDO Bespoke'!$C84,P$13,'CDO Bespoke'!$G84/10000,'CDO Bespoke'!F84,'CDO Bespoke'!$L60,'CDO Bespoke'!$C$13,'CDO Bespoke'!$C$14,'CDO Bespoke'!$C$15,'CDO Bespoke'!$C$8,,,TRUE,TRUE,FALSE,'CDO Bespoke'!$C$29:'CDO Bespoke'!$C$31,'CDO Bespoke'!$C$33),{5})),"")</f>
        <v>#REF!</v>
      </c>
      <c r="Q59" s="542" t="e" cm="1">
        <f t="array" ref="Q59">IF($O59&lt;&gt;"",-TRANSPOSE(INDEX(getcds('CDO Bespoke'!$C84,Q$13,'CDO Bespoke'!$G84/10000,'CDO Bespoke'!G84,'CDO Bespoke'!$L60,'CDO Bespoke'!$C$13,'CDO Bespoke'!$C$14,'CDO Bespoke'!$C$15,'CDO Bespoke'!$C$8,,,TRUE,TRUE,FALSE,'CDO Bespoke'!$C$29:'CDO Bespoke'!$C$31,'CDO Bespoke'!$C$33),{5})),"")</f>
        <v>#REF!</v>
      </c>
      <c r="R59" s="542" t="e" cm="1">
        <f t="array" ref="R59">IF($O59&lt;&gt;"",-TRANSPOSE(INDEX(getcds('CDO Bespoke'!$C84,R$13,'CDO Bespoke'!$G84/10000,'CDO Bespoke'!H84,'CDO Bespoke'!$L60,'CDO Bespoke'!$C$13,'CDO Bespoke'!$C$14,'CDO Bespoke'!$C$15,'CDO Bespoke'!$C$8,,,TRUE,TRUE,FALSE,'CDO Bespoke'!$C$29:'CDO Bespoke'!$C$31,'CDO Bespoke'!$C$33),{5})),"")</f>
        <v>#VALUE!</v>
      </c>
      <c r="S59" s="542" t="e" cm="1">
        <f t="array" ref="S59">IF($O59&lt;&gt;"",-TRANSPOSE(INDEX(getcds('CDO Bespoke'!$C84,S$13,'CDO Bespoke'!$G84/10000,'CDO Bespoke'!I84,'CDO Bespoke'!$L60,'CDO Bespoke'!$C$13,'CDO Bespoke'!$C$14,'CDO Bespoke'!$C$15,'CDO Bespoke'!$C$8,,,TRUE,TRUE,FALSE,'CDO Bespoke'!$C$29:'CDO Bespoke'!$C$31,'CDO Bespoke'!$C$33),{5})),"")</f>
        <v>#REF!</v>
      </c>
      <c r="T59" s="514" t="e" cm="1">
        <f t="array" ref="T59">IF($O59&lt;&gt;"",-TRANSPOSE(INDEX(getcds('CDO Bespoke'!$C84,T$13,'CDO Bespoke'!$G84/10000,'CDO Bespoke'!J84,'CDO Bespoke'!$L60,'CDO Bespoke'!$C$13,'CDO Bespoke'!$C$14,'CDO Bespoke'!$C$15,'CDO Bespoke'!$C$8,,,TRUE,TRUE,FALSE,'CDO Bespoke'!$C$29:'CDO Bespoke'!$C$31,'CDO Bespoke'!$C$33),{5})),"")</f>
        <v>#VALUE!</v>
      </c>
      <c r="U59" s="493"/>
      <c r="V59" s="529"/>
      <c r="W59" s="530"/>
      <c r="X59" s="530"/>
      <c r="Y59" s="530"/>
      <c r="Z59" s="530"/>
      <c r="AA59" s="530"/>
      <c r="AB59" s="530"/>
      <c r="AC59" s="530"/>
      <c r="AD59" s="530"/>
      <c r="AE59" s="531"/>
      <c r="AF59" s="539"/>
    </row>
    <row r="60" spans="6:32" s="281" customFormat="1" ht="12" thickBot="1">
      <c r="F60" s="501" t="str">
        <f>IF('CDO Bespoke'!O61&lt;&gt;"",'CDO Bespoke'!O61,"")</f>
        <v/>
      </c>
      <c r="G60" s="502" t="str">
        <f>IF(F60&lt;&gt;"",ABS(MIN(-0.75*('CDO Bespoke'!Q61+'CDO Bespoke'!T61)+'CDO Bespoke'!T61,0)),"")</f>
        <v/>
      </c>
      <c r="H60" s="502" t="str">
        <f t="shared" si="0"/>
        <v/>
      </c>
      <c r="I60" s="502" t="str">
        <f t="shared" si="3"/>
        <v/>
      </c>
      <c r="J60" s="501" t="str">
        <f>IF('CDO Bespoke'!O61&lt;&gt;"",'CDO Bespoke'!O61,"")</f>
        <v/>
      </c>
      <c r="K60" s="502" t="str">
        <f>IF(J60&lt;&gt;"",ABS(MIN(-0.75*('CDO Bespoke'!K61+'CDO Bespoke'!T61)+'CDO Bespoke'!T61,0)),"")</f>
        <v/>
      </c>
      <c r="L60" s="502" t="str">
        <f t="shared" si="1"/>
        <v/>
      </c>
      <c r="M60" s="506" t="str">
        <f t="shared" si="2"/>
        <v/>
      </c>
      <c r="O60" s="511" t="str">
        <f>IF('CDO Bespoke'!C85&lt;&gt;"",'CDO Bespoke'!C85,"")</f>
        <v>Endesa_MMR.EUR.SU</v>
      </c>
      <c r="P60" s="513" t="e" cm="1">
        <f t="array" ref="P60">IF($O60&lt;&gt;"",-TRANSPOSE(INDEX(getcds('CDO Bespoke'!$C85,P$13,'CDO Bespoke'!$G85/10000,'CDO Bespoke'!F85,'CDO Bespoke'!$L61,'CDO Bespoke'!$C$13,'CDO Bespoke'!$C$14,'CDO Bespoke'!$C$15,'CDO Bespoke'!$C$8,,,TRUE,TRUE,FALSE,'CDO Bespoke'!$C$29:'CDO Bespoke'!$C$31,'CDO Bespoke'!$C$33),{5})),"")</f>
        <v>#VALUE!</v>
      </c>
      <c r="Q60" s="542" t="e" cm="1">
        <f t="array" ref="Q60">IF($O60&lt;&gt;"",-TRANSPOSE(INDEX(getcds('CDO Bespoke'!$C85,Q$13,'CDO Bespoke'!$G85/10000,'CDO Bespoke'!G85,'CDO Bespoke'!$L61,'CDO Bespoke'!$C$13,'CDO Bespoke'!$C$14,'CDO Bespoke'!$C$15,'CDO Bespoke'!$C$8,,,TRUE,TRUE,FALSE,'CDO Bespoke'!$C$29:'CDO Bespoke'!$C$31,'CDO Bespoke'!$C$33),{5})),"")</f>
        <v>#VALUE!</v>
      </c>
      <c r="R60" s="542" t="e" cm="1">
        <f t="array" ref="R60">IF($O60&lt;&gt;"",-TRANSPOSE(INDEX(getcds('CDO Bespoke'!$C85,R$13,'CDO Bespoke'!$G85/10000,'CDO Bespoke'!H85,'CDO Bespoke'!$L61,'CDO Bespoke'!$C$13,'CDO Bespoke'!$C$14,'CDO Bespoke'!$C$15,'CDO Bespoke'!$C$8,,,TRUE,TRUE,FALSE,'CDO Bespoke'!$C$29:'CDO Bespoke'!$C$31,'CDO Bespoke'!$C$33),{5})),"")</f>
        <v>#REF!</v>
      </c>
      <c r="S60" s="542" t="e" cm="1">
        <f t="array" ref="S60">IF($O60&lt;&gt;"",-TRANSPOSE(INDEX(getcds('CDO Bespoke'!$C85,S$13,'CDO Bespoke'!$G85/10000,'CDO Bespoke'!I85,'CDO Bespoke'!$L61,'CDO Bespoke'!$C$13,'CDO Bespoke'!$C$14,'CDO Bespoke'!$C$15,'CDO Bespoke'!$C$8,,,TRUE,TRUE,FALSE,'CDO Bespoke'!$C$29:'CDO Bespoke'!$C$31,'CDO Bespoke'!$C$33),{5})),"")</f>
        <v>#REF!</v>
      </c>
      <c r="T60" s="514" t="e" cm="1">
        <f t="array" ref="T60">IF($O60&lt;&gt;"",-TRANSPOSE(INDEX(getcds('CDO Bespoke'!$C85,T$13,'CDO Bespoke'!$G85/10000,'CDO Bespoke'!J85,'CDO Bespoke'!$L61,'CDO Bespoke'!$C$13,'CDO Bespoke'!$C$14,'CDO Bespoke'!$C$15,'CDO Bespoke'!$C$8,,,TRUE,TRUE,FALSE,'CDO Bespoke'!$C$29:'CDO Bespoke'!$C$31,'CDO Bespoke'!$C$33),{5})),"")</f>
        <v>#REF!</v>
      </c>
      <c r="U60" s="493"/>
      <c r="V60" s="529"/>
      <c r="W60" s="530"/>
      <c r="X60" s="530"/>
      <c r="Y60" s="530"/>
      <c r="Z60" s="530"/>
      <c r="AA60" s="530"/>
      <c r="AB60" s="530"/>
      <c r="AC60" s="530"/>
      <c r="AD60" s="530"/>
      <c r="AE60" s="531"/>
      <c r="AF60" s="539"/>
    </row>
    <row r="61" spans="6:32" s="281" customFormat="1" ht="12" thickBot="1">
      <c r="F61" s="501" t="str">
        <f>IF('CDO Bespoke'!O62&lt;&gt;"",'CDO Bespoke'!O62,"")</f>
        <v/>
      </c>
      <c r="G61" s="502" t="str">
        <f>IF(F61&lt;&gt;"",ABS(MIN(-0.75*('CDO Bespoke'!Q62+'CDO Bespoke'!T62)+'CDO Bespoke'!T62,0)),"")</f>
        <v/>
      </c>
      <c r="H61" s="502" t="str">
        <f t="shared" si="0"/>
        <v/>
      </c>
      <c r="I61" s="502" t="str">
        <f t="shared" si="3"/>
        <v/>
      </c>
      <c r="J61" s="501" t="str">
        <f>IF('CDO Bespoke'!O62&lt;&gt;"",'CDO Bespoke'!O62,"")</f>
        <v/>
      </c>
      <c r="K61" s="502" t="str">
        <f>IF(J61&lt;&gt;"",ABS(MIN(-0.75*('CDO Bespoke'!K62+'CDO Bespoke'!T62)+'CDO Bespoke'!T62,0)),"")</f>
        <v/>
      </c>
      <c r="L61" s="502" t="str">
        <f t="shared" si="1"/>
        <v/>
      </c>
      <c r="M61" s="506" t="str">
        <f t="shared" si="2"/>
        <v/>
      </c>
      <c r="O61" s="511" t="str">
        <f>IF('CDO Bespoke'!C86&lt;&gt;"",'CDO Bespoke'!C86,"")</f>
        <v>ENEL_MMR.EUR.SU</v>
      </c>
      <c r="P61" s="513" t="e" cm="1">
        <f t="array" ref="P61">IF($O61&lt;&gt;"",-TRANSPOSE(INDEX(getcds('CDO Bespoke'!$C86,P$13,'CDO Bespoke'!$G86/10000,'CDO Bespoke'!F86,'CDO Bespoke'!$L62,'CDO Bespoke'!$C$13,'CDO Bespoke'!$C$14,'CDO Bespoke'!$C$15,'CDO Bespoke'!$C$8,,,TRUE,TRUE,FALSE,'CDO Bespoke'!$C$29:'CDO Bespoke'!$C$31,'CDO Bespoke'!$C$33),{5})),"")</f>
        <v>#VALUE!</v>
      </c>
      <c r="Q61" s="542" t="e" cm="1">
        <f t="array" ref="Q61">IF($O61&lt;&gt;"",-TRANSPOSE(INDEX(getcds('CDO Bespoke'!$C86,Q$13,'CDO Bespoke'!$G86/10000,'CDO Bespoke'!G86,'CDO Bespoke'!$L62,'CDO Bespoke'!$C$13,'CDO Bespoke'!$C$14,'CDO Bespoke'!$C$15,'CDO Bespoke'!$C$8,,,TRUE,TRUE,FALSE,'CDO Bespoke'!$C$29:'CDO Bespoke'!$C$31,'CDO Bespoke'!$C$33),{5})),"")</f>
        <v>#REF!</v>
      </c>
      <c r="R61" s="542" t="e" cm="1">
        <f t="array" ref="R61">IF($O61&lt;&gt;"",-TRANSPOSE(INDEX(getcds('CDO Bespoke'!$C86,R$13,'CDO Bespoke'!$G86/10000,'CDO Bespoke'!H86,'CDO Bespoke'!$L62,'CDO Bespoke'!$C$13,'CDO Bespoke'!$C$14,'CDO Bespoke'!$C$15,'CDO Bespoke'!$C$8,,,TRUE,TRUE,FALSE,'CDO Bespoke'!$C$29:'CDO Bespoke'!$C$31,'CDO Bespoke'!$C$33),{5})),"")</f>
        <v>#REF!</v>
      </c>
      <c r="S61" s="542" t="e" cm="1">
        <f t="array" ref="S61">IF($O61&lt;&gt;"",-TRANSPOSE(INDEX(getcds('CDO Bespoke'!$C86,S$13,'CDO Bespoke'!$G86/10000,'CDO Bespoke'!I86,'CDO Bespoke'!$L62,'CDO Bespoke'!$C$13,'CDO Bespoke'!$C$14,'CDO Bespoke'!$C$15,'CDO Bespoke'!$C$8,,,TRUE,TRUE,FALSE,'CDO Bespoke'!$C$29:'CDO Bespoke'!$C$31,'CDO Bespoke'!$C$33),{5})),"")</f>
        <v>#REF!</v>
      </c>
      <c r="T61" s="514" t="e" cm="1">
        <f t="array" ref="T61">IF($O61&lt;&gt;"",-TRANSPOSE(INDEX(getcds('CDO Bespoke'!$C86,T$13,'CDO Bespoke'!$G86/10000,'CDO Bespoke'!J86,'CDO Bespoke'!$L62,'CDO Bespoke'!$C$13,'CDO Bespoke'!$C$14,'CDO Bespoke'!$C$15,'CDO Bespoke'!$C$8,,,TRUE,TRUE,FALSE,'CDO Bespoke'!$C$29:'CDO Bespoke'!$C$31,'CDO Bespoke'!$C$33),{5})),"")</f>
        <v>#VALUE!</v>
      </c>
      <c r="U61" s="493"/>
      <c r="V61" s="529"/>
      <c r="W61" s="530"/>
      <c r="X61" s="530"/>
      <c r="Y61" s="530"/>
      <c r="Z61" s="530"/>
      <c r="AA61" s="530"/>
      <c r="AB61" s="530"/>
      <c r="AC61" s="530"/>
      <c r="AD61" s="530"/>
      <c r="AE61" s="531"/>
      <c r="AF61" s="539"/>
    </row>
    <row r="62" spans="6:32" s="281" customFormat="1" ht="12" thickBot="1">
      <c r="F62" s="501" t="str">
        <f>IF('CDO Bespoke'!O63&lt;&gt;"",'CDO Bespoke'!O63,"")</f>
        <v/>
      </c>
      <c r="G62" s="502" t="str">
        <f>IF(F62&lt;&gt;"",ABS(MIN(-0.75*('CDO Bespoke'!Q63+'CDO Bespoke'!T63)+'CDO Bespoke'!T63,0)),"")</f>
        <v/>
      </c>
      <c r="H62" s="502" t="str">
        <f t="shared" si="0"/>
        <v/>
      </c>
      <c r="I62" s="502" t="str">
        <f t="shared" si="3"/>
        <v/>
      </c>
      <c r="J62" s="501" t="str">
        <f>IF('CDO Bespoke'!O63&lt;&gt;"",'CDO Bespoke'!O63,"")</f>
        <v/>
      </c>
      <c r="K62" s="502" t="str">
        <f>IF(J62&lt;&gt;"",ABS(MIN(-0.75*('CDO Bespoke'!K63+'CDO Bespoke'!T63)+'CDO Bespoke'!T63,0)),"")</f>
        <v/>
      </c>
      <c r="L62" s="502" t="str">
        <f t="shared" si="1"/>
        <v/>
      </c>
      <c r="M62" s="506" t="str">
        <f t="shared" si="2"/>
        <v/>
      </c>
      <c r="O62" s="511" t="str">
        <f>IF('CDO Bespoke'!C87&lt;&gt;"",'CDO Bespoke'!C87,"")</f>
        <v>EnergieBadenWuerttemberg_MMR.EUR.SU</v>
      </c>
      <c r="P62" s="513" t="e" cm="1">
        <f t="array" ref="P62">IF($O62&lt;&gt;"",-TRANSPOSE(INDEX(getcds('CDO Bespoke'!$C87,P$13,'CDO Bespoke'!$G87/10000,'CDO Bespoke'!F87,'CDO Bespoke'!$L63,'CDO Bespoke'!$C$13,'CDO Bespoke'!$C$14,'CDO Bespoke'!$C$15,'CDO Bespoke'!$C$8,,,TRUE,TRUE,FALSE,'CDO Bespoke'!$C$29:'CDO Bespoke'!$C$31,'CDO Bespoke'!$C$33),{5})),"")</f>
        <v>#VALUE!</v>
      </c>
      <c r="Q62" s="542" t="e" cm="1">
        <f t="array" ref="Q62">IF($O62&lt;&gt;"",-TRANSPOSE(INDEX(getcds('CDO Bespoke'!$C87,Q$13,'CDO Bespoke'!$G87/10000,'CDO Bespoke'!G87,'CDO Bespoke'!$L63,'CDO Bespoke'!$C$13,'CDO Bespoke'!$C$14,'CDO Bespoke'!$C$15,'CDO Bespoke'!$C$8,,,TRUE,TRUE,FALSE,'CDO Bespoke'!$C$29:'CDO Bespoke'!$C$31,'CDO Bespoke'!$C$33),{5})),"")</f>
        <v>#VALUE!</v>
      </c>
      <c r="R62" s="542" t="e" cm="1">
        <f t="array" ref="R62">IF($O62&lt;&gt;"",-TRANSPOSE(INDEX(getcds('CDO Bespoke'!$C87,R$13,'CDO Bespoke'!$G87/10000,'CDO Bespoke'!H87,'CDO Bespoke'!$L63,'CDO Bespoke'!$C$13,'CDO Bespoke'!$C$14,'CDO Bespoke'!$C$15,'CDO Bespoke'!$C$8,,,TRUE,TRUE,FALSE,'CDO Bespoke'!$C$29:'CDO Bespoke'!$C$31,'CDO Bespoke'!$C$33),{5})),"")</f>
        <v>#VALUE!</v>
      </c>
      <c r="S62" s="542" t="e" cm="1">
        <f t="array" ref="S62">IF($O62&lt;&gt;"",-TRANSPOSE(INDEX(getcds('CDO Bespoke'!$C87,S$13,'CDO Bespoke'!$G87/10000,'CDO Bespoke'!I87,'CDO Bespoke'!$L63,'CDO Bespoke'!$C$13,'CDO Bespoke'!$C$14,'CDO Bespoke'!$C$15,'CDO Bespoke'!$C$8,,,TRUE,TRUE,FALSE,'CDO Bespoke'!$C$29:'CDO Bespoke'!$C$31,'CDO Bespoke'!$C$33),{5})),"")</f>
        <v>#VALUE!</v>
      </c>
      <c r="T62" s="514" t="e" cm="1">
        <f t="array" ref="T62">IF($O62&lt;&gt;"",-TRANSPOSE(INDEX(getcds('CDO Bespoke'!$C87,T$13,'CDO Bespoke'!$G87/10000,'CDO Bespoke'!J87,'CDO Bespoke'!$L63,'CDO Bespoke'!$C$13,'CDO Bespoke'!$C$14,'CDO Bespoke'!$C$15,'CDO Bespoke'!$C$8,,,TRUE,TRUE,FALSE,'CDO Bespoke'!$C$29:'CDO Bespoke'!$C$31,'CDO Bespoke'!$C$33),{5})),"")</f>
        <v>#VALUE!</v>
      </c>
      <c r="U62" s="493"/>
      <c r="V62" s="529"/>
      <c r="W62" s="530"/>
      <c r="X62" s="530"/>
      <c r="Y62" s="530"/>
      <c r="Z62" s="530"/>
      <c r="AA62" s="530"/>
      <c r="AB62" s="530"/>
      <c r="AC62" s="530"/>
      <c r="AD62" s="530"/>
      <c r="AE62" s="531"/>
      <c r="AF62" s="539"/>
    </row>
    <row r="63" spans="6:32" s="281" customFormat="1" ht="12" thickBot="1">
      <c r="F63" s="501" t="str">
        <f>IF('CDO Bespoke'!O64&lt;&gt;"",'CDO Bespoke'!O64,"")</f>
        <v/>
      </c>
      <c r="G63" s="502" t="str">
        <f>IF(F63&lt;&gt;"",ABS(MIN(-0.75*('CDO Bespoke'!Q64+'CDO Bespoke'!T64)+'CDO Bespoke'!T64,0)),"")</f>
        <v/>
      </c>
      <c r="H63" s="502" t="str">
        <f t="shared" si="0"/>
        <v/>
      </c>
      <c r="I63" s="502" t="str">
        <f t="shared" si="3"/>
        <v/>
      </c>
      <c r="J63" s="501" t="str">
        <f>IF('CDO Bespoke'!O64&lt;&gt;"",'CDO Bespoke'!O64,"")</f>
        <v/>
      </c>
      <c r="K63" s="502" t="str">
        <f>IF(J63&lt;&gt;"",ABS(MIN(-0.75*('CDO Bespoke'!K64+'CDO Bespoke'!T64)+'CDO Bespoke'!T64,0)),"")</f>
        <v/>
      </c>
      <c r="L63" s="502" t="str">
        <f t="shared" si="1"/>
        <v/>
      </c>
      <c r="M63" s="506" t="str">
        <f t="shared" si="2"/>
        <v/>
      </c>
      <c r="O63" s="511" t="str">
        <f>IF('CDO Bespoke'!C88&lt;&gt;"",'CDO Bespoke'!C88,"")</f>
        <v>Eon_MMR.EUR.SU</v>
      </c>
      <c r="P63" s="513" t="e" cm="1">
        <f t="array" ref="P63">IF($O63&lt;&gt;"",-TRANSPOSE(INDEX(getcds('CDO Bespoke'!$C88,P$13,'CDO Bespoke'!$G88/10000,'CDO Bespoke'!F88,'CDO Bespoke'!$L64,'CDO Bespoke'!$C$13,'CDO Bespoke'!$C$14,'CDO Bespoke'!$C$15,'CDO Bespoke'!$C$8,,,TRUE,TRUE,FALSE,'CDO Bespoke'!$C$29:'CDO Bespoke'!$C$31,'CDO Bespoke'!$C$33),{5})),"")</f>
        <v>#VALUE!</v>
      </c>
      <c r="Q63" s="542" t="e" cm="1">
        <f t="array" ref="Q63">IF($O63&lt;&gt;"",-TRANSPOSE(INDEX(getcds('CDO Bespoke'!$C88,Q$13,'CDO Bespoke'!$G88/10000,'CDO Bespoke'!G88,'CDO Bespoke'!$L64,'CDO Bespoke'!$C$13,'CDO Bespoke'!$C$14,'CDO Bespoke'!$C$15,'CDO Bespoke'!$C$8,,,TRUE,TRUE,FALSE,'CDO Bespoke'!$C$29:'CDO Bespoke'!$C$31,'CDO Bespoke'!$C$33),{5})),"")</f>
        <v>#VALUE!</v>
      </c>
      <c r="R63" s="542" t="e" cm="1">
        <f t="array" ref="R63">IF($O63&lt;&gt;"",-TRANSPOSE(INDEX(getcds('CDO Bespoke'!$C88,R$13,'CDO Bespoke'!$G88/10000,'CDO Bespoke'!H88,'CDO Bespoke'!$L64,'CDO Bespoke'!$C$13,'CDO Bespoke'!$C$14,'CDO Bespoke'!$C$15,'CDO Bespoke'!$C$8,,,TRUE,TRUE,FALSE,'CDO Bespoke'!$C$29:'CDO Bespoke'!$C$31,'CDO Bespoke'!$C$33),{5})),"")</f>
        <v>#VALUE!</v>
      </c>
      <c r="S63" s="542" t="e" cm="1">
        <f t="array" ref="S63">IF($O63&lt;&gt;"",-TRANSPOSE(INDEX(getcds('CDO Bespoke'!$C88,S$13,'CDO Bespoke'!$G88/10000,'CDO Bespoke'!I88,'CDO Bespoke'!$L64,'CDO Bespoke'!$C$13,'CDO Bespoke'!$C$14,'CDO Bespoke'!$C$15,'CDO Bespoke'!$C$8,,,TRUE,TRUE,FALSE,'CDO Bespoke'!$C$29:'CDO Bespoke'!$C$31,'CDO Bespoke'!$C$33),{5})),"")</f>
        <v>#VALUE!</v>
      </c>
      <c r="T63" s="514" t="e" cm="1">
        <f t="array" ref="T63">IF($O63&lt;&gt;"",-TRANSPOSE(INDEX(getcds('CDO Bespoke'!$C88,T$13,'CDO Bespoke'!$G88/10000,'CDO Bespoke'!J88,'CDO Bespoke'!$L64,'CDO Bespoke'!$C$13,'CDO Bespoke'!$C$14,'CDO Bespoke'!$C$15,'CDO Bespoke'!$C$8,,,TRUE,TRUE,FALSE,'CDO Bespoke'!$C$29:'CDO Bespoke'!$C$31,'CDO Bespoke'!$C$33),{5})),"")</f>
        <v>#VALUE!</v>
      </c>
      <c r="U63" s="493"/>
      <c r="V63" s="529"/>
      <c r="W63" s="530"/>
      <c r="X63" s="530"/>
      <c r="Y63" s="530"/>
      <c r="Z63" s="530"/>
      <c r="AA63" s="530"/>
      <c r="AB63" s="530"/>
      <c r="AC63" s="530"/>
      <c r="AD63" s="530"/>
      <c r="AE63" s="531"/>
      <c r="AF63" s="539"/>
    </row>
    <row r="64" spans="6:32" s="281" customFormat="1" ht="12" thickBot="1">
      <c r="F64" s="501" t="str">
        <f>IF('CDO Bespoke'!O65&lt;&gt;"",'CDO Bespoke'!O65,"")</f>
        <v/>
      </c>
      <c r="G64" s="502" t="str">
        <f>IF(F64&lt;&gt;"",ABS(MIN(-0.75*('CDO Bespoke'!Q65+'CDO Bespoke'!T65)+'CDO Bespoke'!T65,0)),"")</f>
        <v/>
      </c>
      <c r="H64" s="502" t="str">
        <f t="shared" si="0"/>
        <v/>
      </c>
      <c r="I64" s="502" t="str">
        <f t="shared" si="3"/>
        <v/>
      </c>
      <c r="J64" s="501" t="str">
        <f>IF('CDO Bespoke'!O65&lt;&gt;"",'CDO Bespoke'!O65,"")</f>
        <v/>
      </c>
      <c r="K64" s="502" t="str">
        <f>IF(J64&lt;&gt;"",ABS(MIN(-0.75*('CDO Bespoke'!K65+'CDO Bespoke'!T65)+'CDO Bespoke'!T65,0)),"")</f>
        <v/>
      </c>
      <c r="L64" s="502" t="str">
        <f t="shared" si="1"/>
        <v/>
      </c>
      <c r="M64" s="506" t="str">
        <f t="shared" si="2"/>
        <v/>
      </c>
      <c r="O64" s="511" t="str">
        <f>IF('CDO Bespoke'!C89&lt;&gt;"",'CDO Bespoke'!C89,"")</f>
        <v>FortumOyj_MMR.EUR.SU</v>
      </c>
      <c r="P64" s="513" t="e" cm="1">
        <f t="array" ref="P64">IF($O64&lt;&gt;"",-TRANSPOSE(INDEX(getcds('CDO Bespoke'!$C89,P$13,'CDO Bespoke'!$G89/10000,'CDO Bespoke'!F89,'CDO Bespoke'!$L65,'CDO Bespoke'!$C$13,'CDO Bespoke'!$C$14,'CDO Bespoke'!$C$15,'CDO Bespoke'!$C$8,,,TRUE,TRUE,FALSE,'CDO Bespoke'!$C$29:'CDO Bespoke'!$C$31,'CDO Bespoke'!$C$33),{5})),"")</f>
        <v>#VALUE!</v>
      </c>
      <c r="Q64" s="542" t="e" cm="1">
        <f t="array" ref="Q64">IF($O64&lt;&gt;"",-TRANSPOSE(INDEX(getcds('CDO Bespoke'!$C89,Q$13,'CDO Bespoke'!$G89/10000,'CDO Bespoke'!G89,'CDO Bespoke'!$L65,'CDO Bespoke'!$C$13,'CDO Bespoke'!$C$14,'CDO Bespoke'!$C$15,'CDO Bespoke'!$C$8,,,TRUE,TRUE,FALSE,'CDO Bespoke'!$C$29:'CDO Bespoke'!$C$31,'CDO Bespoke'!$C$33),{5})),"")</f>
        <v>#VALUE!</v>
      </c>
      <c r="R64" s="542" t="e" cm="1">
        <f t="array" ref="R64">IF($O64&lt;&gt;"",-TRANSPOSE(INDEX(getcds('CDO Bespoke'!$C89,R$13,'CDO Bespoke'!$G89/10000,'CDO Bespoke'!H89,'CDO Bespoke'!$L65,'CDO Bespoke'!$C$13,'CDO Bespoke'!$C$14,'CDO Bespoke'!$C$15,'CDO Bespoke'!$C$8,,,TRUE,TRUE,FALSE,'CDO Bespoke'!$C$29:'CDO Bespoke'!$C$31,'CDO Bespoke'!$C$33),{5})),"")</f>
        <v>#VALUE!</v>
      </c>
      <c r="S64" s="542" t="e" cm="1">
        <f t="array" ref="S64">IF($O64&lt;&gt;"",-TRANSPOSE(INDEX(getcds('CDO Bespoke'!$C89,S$13,'CDO Bespoke'!$G89/10000,'CDO Bespoke'!I89,'CDO Bespoke'!$L65,'CDO Bespoke'!$C$13,'CDO Bespoke'!$C$14,'CDO Bespoke'!$C$15,'CDO Bespoke'!$C$8,,,TRUE,TRUE,FALSE,'CDO Bespoke'!$C$29:'CDO Bespoke'!$C$31,'CDO Bespoke'!$C$33),{5})),"")</f>
        <v>#VALUE!</v>
      </c>
      <c r="T64" s="514" t="e" cm="1">
        <f t="array" ref="T64">IF($O64&lt;&gt;"",-TRANSPOSE(INDEX(getcds('CDO Bespoke'!$C89,T$13,'CDO Bespoke'!$G89/10000,'CDO Bespoke'!J89,'CDO Bespoke'!$L65,'CDO Bespoke'!$C$13,'CDO Bespoke'!$C$14,'CDO Bespoke'!$C$15,'CDO Bespoke'!$C$8,,,TRUE,TRUE,FALSE,'CDO Bespoke'!$C$29:'CDO Bespoke'!$C$31,'CDO Bespoke'!$C$33),{5})),"")</f>
        <v>#VALUE!</v>
      </c>
      <c r="U64" s="493"/>
      <c r="V64" s="529"/>
      <c r="W64" s="530"/>
      <c r="X64" s="530"/>
      <c r="Y64" s="530"/>
      <c r="Z64" s="530"/>
      <c r="AA64" s="530"/>
      <c r="AB64" s="530"/>
      <c r="AC64" s="530"/>
      <c r="AD64" s="530"/>
      <c r="AE64" s="531"/>
      <c r="AF64" s="539"/>
    </row>
    <row r="65" spans="6:32" s="281" customFormat="1" ht="12" thickBot="1">
      <c r="F65" s="501" t="str">
        <f>IF('CDO Bespoke'!O66&lt;&gt;"",'CDO Bespoke'!O66,"")</f>
        <v/>
      </c>
      <c r="G65" s="502" t="str">
        <f>IF(F65&lt;&gt;"",ABS(MIN(-0.75*('CDO Bespoke'!Q66+'CDO Bespoke'!T66)+'CDO Bespoke'!T66,0)),"")</f>
        <v/>
      </c>
      <c r="H65" s="502" t="str">
        <f t="shared" si="0"/>
        <v/>
      </c>
      <c r="I65" s="502" t="str">
        <f t="shared" si="3"/>
        <v/>
      </c>
      <c r="J65" s="501" t="str">
        <f>IF('CDO Bespoke'!O66&lt;&gt;"",'CDO Bespoke'!O66,"")</f>
        <v/>
      </c>
      <c r="K65" s="502" t="str">
        <f>IF(J65&lt;&gt;"",ABS(MIN(-0.75*('CDO Bespoke'!K66+'CDO Bespoke'!T66)+'CDO Bespoke'!T66,0)),"")</f>
        <v/>
      </c>
      <c r="L65" s="502" t="str">
        <f t="shared" si="1"/>
        <v/>
      </c>
      <c r="M65" s="506" t="str">
        <f t="shared" si="2"/>
        <v/>
      </c>
      <c r="O65" s="511" t="str">
        <f>IF('CDO Bespoke'!C90&lt;&gt;"",'CDO Bespoke'!C90,"")</f>
        <v>FranceTelecom_MMR.EUR.SU</v>
      </c>
      <c r="P65" s="513" t="e" cm="1">
        <f t="array" ref="P65">IF($O65&lt;&gt;"",-TRANSPOSE(INDEX(getcds('CDO Bespoke'!$C90,P$13,'CDO Bespoke'!$G90/10000,'CDO Bespoke'!F90,'CDO Bespoke'!$L66,'CDO Bespoke'!$C$13,'CDO Bespoke'!$C$14,'CDO Bespoke'!$C$15,'CDO Bespoke'!$C$8,,,TRUE,TRUE,FALSE,'CDO Bespoke'!$C$29:'CDO Bespoke'!$C$31,'CDO Bespoke'!$C$33),{5})),"")</f>
        <v>#VALUE!</v>
      </c>
      <c r="Q65" s="542" t="e" cm="1">
        <f t="array" ref="Q65">IF($O65&lt;&gt;"",-TRANSPOSE(INDEX(getcds('CDO Bespoke'!$C90,Q$13,'CDO Bespoke'!$G90/10000,'CDO Bespoke'!G90,'CDO Bespoke'!$L66,'CDO Bespoke'!$C$13,'CDO Bespoke'!$C$14,'CDO Bespoke'!$C$15,'CDO Bespoke'!$C$8,,,TRUE,TRUE,FALSE,'CDO Bespoke'!$C$29:'CDO Bespoke'!$C$31,'CDO Bespoke'!$C$33),{5})),"")</f>
        <v>#VALUE!</v>
      </c>
      <c r="R65" s="542" t="e" cm="1">
        <f t="array" ref="R65">IF($O65&lt;&gt;"",-TRANSPOSE(INDEX(getcds('CDO Bespoke'!$C90,R$13,'CDO Bespoke'!$G90/10000,'CDO Bespoke'!H90,'CDO Bespoke'!$L66,'CDO Bespoke'!$C$13,'CDO Bespoke'!$C$14,'CDO Bespoke'!$C$15,'CDO Bespoke'!$C$8,,,TRUE,TRUE,FALSE,'CDO Bespoke'!$C$29:'CDO Bespoke'!$C$31,'CDO Bespoke'!$C$33),{5})),"")</f>
        <v>#VALUE!</v>
      </c>
      <c r="S65" s="542" t="e" cm="1">
        <f t="array" ref="S65">IF($O65&lt;&gt;"",-TRANSPOSE(INDEX(getcds('CDO Bespoke'!$C90,S$13,'CDO Bespoke'!$G90/10000,'CDO Bespoke'!I90,'CDO Bespoke'!$L66,'CDO Bespoke'!$C$13,'CDO Bespoke'!$C$14,'CDO Bespoke'!$C$15,'CDO Bespoke'!$C$8,,,TRUE,TRUE,FALSE,'CDO Bespoke'!$C$29:'CDO Bespoke'!$C$31,'CDO Bespoke'!$C$33),{5})),"")</f>
        <v>#VALUE!</v>
      </c>
      <c r="T65" s="514" t="e" cm="1">
        <f t="array" ref="T65">IF($O65&lt;&gt;"",-TRANSPOSE(INDEX(getcds('CDO Bespoke'!$C90,T$13,'CDO Bespoke'!$G90/10000,'CDO Bespoke'!J90,'CDO Bespoke'!$L66,'CDO Bespoke'!$C$13,'CDO Bespoke'!$C$14,'CDO Bespoke'!$C$15,'CDO Bespoke'!$C$8,,,TRUE,TRUE,FALSE,'CDO Bespoke'!$C$29:'CDO Bespoke'!$C$31,'CDO Bespoke'!$C$33),{5})),"")</f>
        <v>#VALUE!</v>
      </c>
      <c r="U65" s="493"/>
      <c r="V65" s="529"/>
      <c r="W65" s="530"/>
      <c r="X65" s="530"/>
      <c r="Y65" s="530"/>
      <c r="Z65" s="530"/>
      <c r="AA65" s="530"/>
      <c r="AB65" s="530"/>
      <c r="AC65" s="530"/>
      <c r="AD65" s="530"/>
      <c r="AE65" s="531"/>
      <c r="AF65" s="539"/>
    </row>
    <row r="66" spans="6:32" s="281" customFormat="1" ht="12" thickBot="1">
      <c r="F66" s="501" t="str">
        <f>IF('CDO Bespoke'!O67&lt;&gt;"",'CDO Bespoke'!O67,"")</f>
        <v/>
      </c>
      <c r="G66" s="502" t="str">
        <f>IF(F66&lt;&gt;"",ABS(MIN(-0.75*('CDO Bespoke'!Q67+'CDO Bespoke'!T67)+'CDO Bespoke'!T67,0)),"")</f>
        <v/>
      </c>
      <c r="H66" s="502" t="str">
        <f t="shared" si="0"/>
        <v/>
      </c>
      <c r="I66" s="502" t="str">
        <f t="shared" si="3"/>
        <v/>
      </c>
      <c r="J66" s="501" t="str">
        <f>IF('CDO Bespoke'!O67&lt;&gt;"",'CDO Bespoke'!O67,"")</f>
        <v/>
      </c>
      <c r="K66" s="502" t="str">
        <f>IF(J66&lt;&gt;"",ABS(MIN(-0.75*('CDO Bespoke'!K67+'CDO Bespoke'!T67)+'CDO Bespoke'!T67,0)),"")</f>
        <v/>
      </c>
      <c r="L66" s="502" t="str">
        <f t="shared" si="1"/>
        <v/>
      </c>
      <c r="M66" s="506" t="str">
        <f t="shared" si="2"/>
        <v/>
      </c>
      <c r="O66" s="511" t="str">
        <f>IF('CDO Bespoke'!C91&lt;&gt;"",'CDO Bespoke'!C91,"")</f>
        <v>GallaherGroupPlc_MMR.EUR.SU</v>
      </c>
      <c r="P66" s="513" t="e" cm="1">
        <f t="array" ref="P66">IF($O66&lt;&gt;"",-TRANSPOSE(INDEX(getcds('CDO Bespoke'!$C91,P$13,'CDO Bespoke'!$G91/10000,'CDO Bespoke'!F91,'CDO Bespoke'!$L67,'CDO Bespoke'!$C$13,'CDO Bespoke'!$C$14,'CDO Bespoke'!$C$15,'CDO Bespoke'!$C$8,,,TRUE,TRUE,FALSE,'CDO Bespoke'!$C$29:'CDO Bespoke'!$C$31,'CDO Bespoke'!$C$33),{5})),"")</f>
        <v>#VALUE!</v>
      </c>
      <c r="Q66" s="542" t="e" cm="1">
        <f t="array" ref="Q66">IF($O66&lt;&gt;"",-TRANSPOSE(INDEX(getcds('CDO Bespoke'!$C91,Q$13,'CDO Bespoke'!$G91/10000,'CDO Bespoke'!G91,'CDO Bespoke'!$L67,'CDO Bespoke'!$C$13,'CDO Bespoke'!$C$14,'CDO Bespoke'!$C$15,'CDO Bespoke'!$C$8,,,TRUE,TRUE,FALSE,'CDO Bespoke'!$C$29:'CDO Bespoke'!$C$31,'CDO Bespoke'!$C$33),{5})),"")</f>
        <v>#VALUE!</v>
      </c>
      <c r="R66" s="542" t="e" cm="1">
        <f t="array" ref="R66">IF($O66&lt;&gt;"",-TRANSPOSE(INDEX(getcds('CDO Bespoke'!$C91,R$13,'CDO Bespoke'!$G91/10000,'CDO Bespoke'!H91,'CDO Bespoke'!$L67,'CDO Bespoke'!$C$13,'CDO Bespoke'!$C$14,'CDO Bespoke'!$C$15,'CDO Bespoke'!$C$8,,,TRUE,TRUE,FALSE,'CDO Bespoke'!$C$29:'CDO Bespoke'!$C$31,'CDO Bespoke'!$C$33),{5})),"")</f>
        <v>#VALUE!</v>
      </c>
      <c r="S66" s="542" t="e" cm="1">
        <f t="array" ref="S66">IF($O66&lt;&gt;"",-TRANSPOSE(INDEX(getcds('CDO Bespoke'!$C91,S$13,'CDO Bespoke'!$G91/10000,'CDO Bespoke'!I91,'CDO Bespoke'!$L67,'CDO Bespoke'!$C$13,'CDO Bespoke'!$C$14,'CDO Bespoke'!$C$15,'CDO Bespoke'!$C$8,,,TRUE,TRUE,FALSE,'CDO Bespoke'!$C$29:'CDO Bespoke'!$C$31,'CDO Bespoke'!$C$33),{5})),"")</f>
        <v>#VALUE!</v>
      </c>
      <c r="T66" s="514" t="e" cm="1">
        <f t="array" ref="T66">IF($O66&lt;&gt;"",-TRANSPOSE(INDEX(getcds('CDO Bespoke'!$C91,T$13,'CDO Bespoke'!$G91/10000,'CDO Bespoke'!J91,'CDO Bespoke'!$L67,'CDO Bespoke'!$C$13,'CDO Bespoke'!$C$14,'CDO Bespoke'!$C$15,'CDO Bespoke'!$C$8,,,TRUE,TRUE,FALSE,'CDO Bespoke'!$C$29:'CDO Bespoke'!$C$31,'CDO Bespoke'!$C$33),{5})),"")</f>
        <v>#VALUE!</v>
      </c>
      <c r="U66" s="493"/>
      <c r="V66" s="529"/>
      <c r="W66" s="530"/>
      <c r="X66" s="530"/>
      <c r="Y66" s="530"/>
      <c r="Z66" s="530"/>
      <c r="AA66" s="530"/>
      <c r="AB66" s="530"/>
      <c r="AC66" s="530"/>
      <c r="AD66" s="530"/>
      <c r="AE66" s="531"/>
      <c r="AF66" s="539"/>
    </row>
    <row r="67" spans="6:32" s="281" customFormat="1" ht="12" thickBot="1">
      <c r="F67" s="501" t="str">
        <f>IF('CDO Bespoke'!O68&lt;&gt;"",'CDO Bespoke'!O68,"")</f>
        <v/>
      </c>
      <c r="G67" s="502" t="str">
        <f>IF(F67&lt;&gt;"",ABS(MIN(-0.75*('CDO Bespoke'!Q68+'CDO Bespoke'!T68)+'CDO Bespoke'!T68,0)),"")</f>
        <v/>
      </c>
      <c r="H67" s="502" t="str">
        <f t="shared" si="0"/>
        <v/>
      </c>
      <c r="I67" s="502" t="str">
        <f t="shared" si="3"/>
        <v/>
      </c>
      <c r="J67" s="501" t="str">
        <f>IF('CDO Bespoke'!O68&lt;&gt;"",'CDO Bespoke'!O68,"")</f>
        <v/>
      </c>
      <c r="K67" s="502" t="str">
        <f>IF(J67&lt;&gt;"",ABS(MIN(-0.75*('CDO Bespoke'!K68+'CDO Bespoke'!T68)+'CDO Bespoke'!T68,0)),"")</f>
        <v/>
      </c>
      <c r="L67" s="502" t="str">
        <f t="shared" si="1"/>
        <v/>
      </c>
      <c r="M67" s="506" t="str">
        <f t="shared" si="2"/>
        <v/>
      </c>
      <c r="O67" s="511" t="str">
        <f>IF('CDO Bespoke'!C92&lt;&gt;"",'CDO Bespoke'!C92,"")</f>
        <v>GasNaturalSdgSa_MMR.EUR.SU</v>
      </c>
      <c r="P67" s="513" t="e" cm="1">
        <f t="array" ref="P67">IF($O67&lt;&gt;"",-TRANSPOSE(INDEX(getcds('CDO Bespoke'!$C92,P$13,'CDO Bespoke'!$G92/10000,'CDO Bespoke'!F92,'CDO Bespoke'!$L68,'CDO Bespoke'!$C$13,'CDO Bespoke'!$C$14,'CDO Bespoke'!$C$15,'CDO Bespoke'!$C$8,,,TRUE,TRUE,FALSE,'CDO Bespoke'!$C$29:'CDO Bespoke'!$C$31,'CDO Bespoke'!$C$33),{5})),"")</f>
        <v>#REF!</v>
      </c>
      <c r="Q67" s="542" t="e" cm="1">
        <f t="array" ref="Q67">IF($O67&lt;&gt;"",-TRANSPOSE(INDEX(getcds('CDO Bespoke'!$C92,Q$13,'CDO Bespoke'!$G92/10000,'CDO Bespoke'!G92,'CDO Bespoke'!$L68,'CDO Bespoke'!$C$13,'CDO Bespoke'!$C$14,'CDO Bespoke'!$C$15,'CDO Bespoke'!$C$8,,,TRUE,TRUE,FALSE,'CDO Bespoke'!$C$29:'CDO Bespoke'!$C$31,'CDO Bespoke'!$C$33),{5})),"")</f>
        <v>#REF!</v>
      </c>
      <c r="R67" s="542" t="e" cm="1">
        <f t="array" ref="R67">IF($O67&lt;&gt;"",-TRANSPOSE(INDEX(getcds('CDO Bespoke'!$C92,R$13,'CDO Bespoke'!$G92/10000,'CDO Bespoke'!H92,'CDO Bespoke'!$L68,'CDO Bespoke'!$C$13,'CDO Bespoke'!$C$14,'CDO Bespoke'!$C$15,'CDO Bespoke'!$C$8,,,TRUE,TRUE,FALSE,'CDO Bespoke'!$C$29:'CDO Bespoke'!$C$31,'CDO Bespoke'!$C$33),{5})),"")</f>
        <v>#REF!</v>
      </c>
      <c r="S67" s="542" t="e" cm="1">
        <f t="array" ref="S67">IF($O67&lt;&gt;"",-TRANSPOSE(INDEX(getcds('CDO Bespoke'!$C92,S$13,'CDO Bespoke'!$G92/10000,'CDO Bespoke'!I92,'CDO Bespoke'!$L68,'CDO Bespoke'!$C$13,'CDO Bespoke'!$C$14,'CDO Bespoke'!$C$15,'CDO Bespoke'!$C$8,,,TRUE,TRUE,FALSE,'CDO Bespoke'!$C$29:'CDO Bespoke'!$C$31,'CDO Bespoke'!$C$33),{5})),"")</f>
        <v>#REF!</v>
      </c>
      <c r="T67" s="514" t="e" cm="1">
        <f t="array" ref="T67">IF($O67&lt;&gt;"",-TRANSPOSE(INDEX(getcds('CDO Bespoke'!$C92,T$13,'CDO Bespoke'!$G92/10000,'CDO Bespoke'!J92,'CDO Bespoke'!$L68,'CDO Bespoke'!$C$13,'CDO Bespoke'!$C$14,'CDO Bespoke'!$C$15,'CDO Bespoke'!$C$8,,,TRUE,TRUE,FALSE,'CDO Bespoke'!$C$29:'CDO Bespoke'!$C$31,'CDO Bespoke'!$C$33),{5})),"")</f>
        <v>#VALUE!</v>
      </c>
      <c r="U67" s="493"/>
      <c r="V67" s="529"/>
      <c r="W67" s="530"/>
      <c r="X67" s="530"/>
      <c r="Y67" s="530"/>
      <c r="Z67" s="530"/>
      <c r="AA67" s="530"/>
      <c r="AB67" s="530"/>
      <c r="AC67" s="530"/>
      <c r="AD67" s="530"/>
      <c r="AE67" s="531"/>
      <c r="AF67" s="539"/>
    </row>
    <row r="68" spans="6:32" s="281" customFormat="1" ht="12" thickBot="1">
      <c r="F68" s="501" t="str">
        <f>IF('CDO Bespoke'!O69&lt;&gt;"",'CDO Bespoke'!O69,"")</f>
        <v/>
      </c>
      <c r="G68" s="502" t="str">
        <f>IF(F68&lt;&gt;"",ABS(MIN(-0.75*('CDO Bespoke'!Q69+'CDO Bespoke'!T69)+'CDO Bespoke'!T69,0)),"")</f>
        <v/>
      </c>
      <c r="H68" s="502" t="str">
        <f t="shared" si="0"/>
        <v/>
      </c>
      <c r="I68" s="502" t="str">
        <f t="shared" si="3"/>
        <v/>
      </c>
      <c r="J68" s="501" t="str">
        <f>IF('CDO Bespoke'!O69&lt;&gt;"",'CDO Bespoke'!O69,"")</f>
        <v/>
      </c>
      <c r="K68" s="502" t="str">
        <f>IF(J68&lt;&gt;"",ABS(MIN(-0.75*('CDO Bespoke'!K69+'CDO Bespoke'!T69)+'CDO Bespoke'!T69,0)),"")</f>
        <v/>
      </c>
      <c r="L68" s="502" t="str">
        <f t="shared" si="1"/>
        <v/>
      </c>
      <c r="M68" s="506" t="str">
        <f t="shared" si="2"/>
        <v/>
      </c>
      <c r="O68" s="511" t="str">
        <f>IF('CDO Bespoke'!C93&lt;&gt;"",'CDO Bespoke'!C93,"")</f>
        <v>GazdeFrance_MMR.EUR.SU</v>
      </c>
      <c r="P68" s="513" t="e" cm="1">
        <f t="array" ref="P68">IF($O68&lt;&gt;"",-TRANSPOSE(INDEX(getcds('CDO Bespoke'!$C93,P$13,'CDO Bespoke'!$G93/10000,'CDO Bespoke'!F93,'CDO Bespoke'!$L69,'CDO Bespoke'!$C$13,'CDO Bespoke'!$C$14,'CDO Bespoke'!$C$15,'CDO Bespoke'!$C$8,,,TRUE,TRUE,FALSE,'CDO Bespoke'!$C$29:'CDO Bespoke'!$C$31,'CDO Bespoke'!$C$33),{5})),"")</f>
        <v>#VALUE!</v>
      </c>
      <c r="Q68" s="542" t="e" cm="1">
        <f t="array" ref="Q68">IF($O68&lt;&gt;"",-TRANSPOSE(INDEX(getcds('CDO Bespoke'!$C93,Q$13,'CDO Bespoke'!$G93/10000,'CDO Bespoke'!G93,'CDO Bespoke'!$L69,'CDO Bespoke'!$C$13,'CDO Bespoke'!$C$14,'CDO Bespoke'!$C$15,'CDO Bespoke'!$C$8,,,TRUE,TRUE,FALSE,'CDO Bespoke'!$C$29:'CDO Bespoke'!$C$31,'CDO Bespoke'!$C$33),{5})),"")</f>
        <v>#VALUE!</v>
      </c>
      <c r="R68" s="542" t="e" cm="1">
        <f t="array" ref="R68">IF($O68&lt;&gt;"",-TRANSPOSE(INDEX(getcds('CDO Bespoke'!$C93,R$13,'CDO Bespoke'!$G93/10000,'CDO Bespoke'!H93,'CDO Bespoke'!$L69,'CDO Bespoke'!$C$13,'CDO Bespoke'!$C$14,'CDO Bespoke'!$C$15,'CDO Bespoke'!$C$8,,,TRUE,TRUE,FALSE,'CDO Bespoke'!$C$29:'CDO Bespoke'!$C$31,'CDO Bespoke'!$C$33),{5})),"")</f>
        <v>#VALUE!</v>
      </c>
      <c r="S68" s="542" t="e" cm="1">
        <f t="array" ref="S68">IF($O68&lt;&gt;"",-TRANSPOSE(INDEX(getcds('CDO Bespoke'!$C93,S$13,'CDO Bespoke'!$G93/10000,'CDO Bespoke'!I93,'CDO Bespoke'!$L69,'CDO Bespoke'!$C$13,'CDO Bespoke'!$C$14,'CDO Bespoke'!$C$15,'CDO Bespoke'!$C$8,,,TRUE,TRUE,FALSE,'CDO Bespoke'!$C$29:'CDO Bespoke'!$C$31,'CDO Bespoke'!$C$33),{5})),"")</f>
        <v>#REF!</v>
      </c>
      <c r="T68" s="514" t="e" cm="1">
        <f t="array" ref="T68">IF($O68&lt;&gt;"",-TRANSPOSE(INDEX(getcds('CDO Bespoke'!$C93,T$13,'CDO Bespoke'!$G93/10000,'CDO Bespoke'!J93,'CDO Bespoke'!$L69,'CDO Bespoke'!$C$13,'CDO Bespoke'!$C$14,'CDO Bespoke'!$C$15,'CDO Bespoke'!$C$8,,,TRUE,TRUE,FALSE,'CDO Bespoke'!$C$29:'CDO Bespoke'!$C$31,'CDO Bespoke'!$C$33),{5})),"")</f>
        <v>#REF!</v>
      </c>
      <c r="U68" s="493"/>
      <c r="V68" s="529"/>
      <c r="W68" s="530"/>
      <c r="X68" s="530"/>
      <c r="Y68" s="530"/>
      <c r="Z68" s="530"/>
      <c r="AA68" s="530"/>
      <c r="AB68" s="530"/>
      <c r="AC68" s="530"/>
      <c r="AD68" s="530"/>
      <c r="AE68" s="531"/>
      <c r="AF68" s="539"/>
    </row>
    <row r="69" spans="6:32" s="281" customFormat="1" ht="12" thickBot="1">
      <c r="F69" s="501" t="str">
        <f>IF('CDO Bespoke'!O70&lt;&gt;"",'CDO Bespoke'!O70,"")</f>
        <v/>
      </c>
      <c r="G69" s="502" t="str">
        <f>IF(F69&lt;&gt;"",ABS(MIN(-0.75*('CDO Bespoke'!Q70+'CDO Bespoke'!T70)+'CDO Bespoke'!T70,0)),"")</f>
        <v/>
      </c>
      <c r="H69" s="502" t="str">
        <f t="shared" si="0"/>
        <v/>
      </c>
      <c r="I69" s="502" t="str">
        <f t="shared" si="3"/>
        <v/>
      </c>
      <c r="J69" s="501" t="str">
        <f>IF('CDO Bespoke'!O70&lt;&gt;"",'CDO Bespoke'!O70,"")</f>
        <v/>
      </c>
      <c r="K69" s="502" t="str">
        <f>IF(J69&lt;&gt;"",ABS(MIN(-0.75*('CDO Bespoke'!K70+'CDO Bespoke'!T70)+'CDO Bespoke'!T70,0)),"")</f>
        <v/>
      </c>
      <c r="L69" s="502" t="str">
        <f t="shared" si="1"/>
        <v/>
      </c>
      <c r="M69" s="506" t="str">
        <f t="shared" si="2"/>
        <v/>
      </c>
      <c r="O69" s="511" t="str">
        <f>IF('CDO Bespoke'!C94&lt;&gt;"",'CDO Bespoke'!C94,"")</f>
        <v>Generali_MMR.EUR.SU</v>
      </c>
      <c r="P69" s="513" t="e" cm="1">
        <f t="array" ref="P69">IF($O69&lt;&gt;"",-TRANSPOSE(INDEX(getcds('CDO Bespoke'!$C94,P$13,'CDO Bespoke'!$G94/10000,'CDO Bespoke'!F94,'CDO Bespoke'!$L70,'CDO Bespoke'!$C$13,'CDO Bespoke'!$C$14,'CDO Bespoke'!$C$15,'CDO Bespoke'!$C$8,,,TRUE,TRUE,FALSE,'CDO Bespoke'!$C$29:'CDO Bespoke'!$C$31,'CDO Bespoke'!$C$33),{5})),"")</f>
        <v>#VALUE!</v>
      </c>
      <c r="Q69" s="542" t="e" cm="1">
        <f t="array" ref="Q69">IF($O69&lt;&gt;"",-TRANSPOSE(INDEX(getcds('CDO Bespoke'!$C94,Q$13,'CDO Bespoke'!$G94/10000,'CDO Bespoke'!G94,'CDO Bespoke'!$L70,'CDO Bespoke'!$C$13,'CDO Bespoke'!$C$14,'CDO Bespoke'!$C$15,'CDO Bespoke'!$C$8,,,TRUE,TRUE,FALSE,'CDO Bespoke'!$C$29:'CDO Bespoke'!$C$31,'CDO Bespoke'!$C$33),{5})),"")</f>
        <v>#REF!</v>
      </c>
      <c r="R69" s="542" t="e" cm="1">
        <f t="array" ref="R69">IF($O69&lt;&gt;"",-TRANSPOSE(INDEX(getcds('CDO Bespoke'!$C94,R$13,'CDO Bespoke'!$G94/10000,'CDO Bespoke'!H94,'CDO Bespoke'!$L70,'CDO Bespoke'!$C$13,'CDO Bespoke'!$C$14,'CDO Bespoke'!$C$15,'CDO Bespoke'!$C$8,,,TRUE,TRUE,FALSE,'CDO Bespoke'!$C$29:'CDO Bespoke'!$C$31,'CDO Bespoke'!$C$33),{5})),"")</f>
        <v>#REF!</v>
      </c>
      <c r="S69" s="542" t="e" cm="1">
        <f t="array" ref="S69">IF($O69&lt;&gt;"",-TRANSPOSE(INDEX(getcds('CDO Bespoke'!$C94,S$13,'CDO Bespoke'!$G94/10000,'CDO Bespoke'!I94,'CDO Bespoke'!$L70,'CDO Bespoke'!$C$13,'CDO Bespoke'!$C$14,'CDO Bespoke'!$C$15,'CDO Bespoke'!$C$8,,,TRUE,TRUE,FALSE,'CDO Bespoke'!$C$29:'CDO Bespoke'!$C$31,'CDO Bespoke'!$C$33),{5})),"")</f>
        <v>#REF!</v>
      </c>
      <c r="T69" s="514" t="e" cm="1">
        <f t="array" ref="T69">IF($O69&lt;&gt;"",-TRANSPOSE(INDEX(getcds('CDO Bespoke'!$C94,T$13,'CDO Bespoke'!$G94/10000,'CDO Bespoke'!J94,'CDO Bespoke'!$L70,'CDO Bespoke'!$C$13,'CDO Bespoke'!$C$14,'CDO Bespoke'!$C$15,'CDO Bespoke'!$C$8,,,TRUE,TRUE,FALSE,'CDO Bespoke'!$C$29:'CDO Bespoke'!$C$31,'CDO Bespoke'!$C$33),{5})),"")</f>
        <v>#REF!</v>
      </c>
      <c r="U69" s="493"/>
      <c r="V69" s="529"/>
      <c r="W69" s="530"/>
      <c r="X69" s="530"/>
      <c r="Y69" s="530"/>
      <c r="Z69" s="530"/>
      <c r="AA69" s="530"/>
      <c r="AB69" s="530"/>
      <c r="AC69" s="530"/>
      <c r="AD69" s="530"/>
      <c r="AE69" s="531"/>
      <c r="AF69" s="539"/>
    </row>
    <row r="70" spans="6:32" s="281" customFormat="1" ht="12" thickBot="1">
      <c r="F70" s="501" t="str">
        <f>IF('CDO Bespoke'!O71&lt;&gt;"",'CDO Bespoke'!O71,"")</f>
        <v/>
      </c>
      <c r="G70" s="502" t="str">
        <f>IF(F70&lt;&gt;"",ABS(MIN(-0.75*('CDO Bespoke'!Q71+'CDO Bespoke'!T71)+'CDO Bespoke'!T71,0)),"")</f>
        <v/>
      </c>
      <c r="H70" s="502" t="str">
        <f t="shared" si="0"/>
        <v/>
      </c>
      <c r="I70" s="502" t="str">
        <f t="shared" si="3"/>
        <v/>
      </c>
      <c r="J70" s="501" t="str">
        <f>IF('CDO Bespoke'!O71&lt;&gt;"",'CDO Bespoke'!O71,"")</f>
        <v/>
      </c>
      <c r="K70" s="502" t="str">
        <f>IF(J70&lt;&gt;"",ABS(MIN(-0.75*('CDO Bespoke'!K71+'CDO Bespoke'!T71)+'CDO Bespoke'!T71,0)),"")</f>
        <v/>
      </c>
      <c r="L70" s="502" t="str">
        <f t="shared" si="1"/>
        <v/>
      </c>
      <c r="M70" s="506" t="str">
        <f t="shared" si="2"/>
        <v/>
      </c>
      <c r="O70" s="511" t="str">
        <f>IF('CDO Bespoke'!C95&lt;&gt;"",'CDO Bespoke'!C95,"")</f>
        <v>GKN Holdings  Plc_MMR.EUR.SU</v>
      </c>
      <c r="P70" s="513" t="e" cm="1">
        <f t="array" ref="P70">IF($O70&lt;&gt;"",-TRANSPOSE(INDEX(getcds('CDO Bespoke'!$C95,P$13,'CDO Bespoke'!$G95/10000,'CDO Bespoke'!F95,'CDO Bespoke'!$L71,'CDO Bespoke'!$C$13,'CDO Bespoke'!$C$14,'CDO Bespoke'!$C$15,'CDO Bespoke'!$C$8,,,TRUE,TRUE,FALSE,'CDO Bespoke'!$C$29:'CDO Bespoke'!$C$31,'CDO Bespoke'!$C$33),{5})),"")</f>
        <v>#REF!</v>
      </c>
      <c r="Q70" s="542" t="e" cm="1">
        <f t="array" ref="Q70">IF($O70&lt;&gt;"",-TRANSPOSE(INDEX(getcds('CDO Bespoke'!$C95,Q$13,'CDO Bespoke'!$G95/10000,'CDO Bespoke'!G95,'CDO Bespoke'!$L71,'CDO Bespoke'!$C$13,'CDO Bespoke'!$C$14,'CDO Bespoke'!$C$15,'CDO Bespoke'!$C$8,,,TRUE,TRUE,FALSE,'CDO Bespoke'!$C$29:'CDO Bespoke'!$C$31,'CDO Bespoke'!$C$33),{5})),"")</f>
        <v>#REF!</v>
      </c>
      <c r="R70" s="542" t="e" cm="1">
        <f t="array" ref="R70">IF($O70&lt;&gt;"",-TRANSPOSE(INDEX(getcds('CDO Bespoke'!$C95,R$13,'CDO Bespoke'!$G95/10000,'CDO Bespoke'!H95,'CDO Bespoke'!$L71,'CDO Bespoke'!$C$13,'CDO Bespoke'!$C$14,'CDO Bespoke'!$C$15,'CDO Bespoke'!$C$8,,,TRUE,TRUE,FALSE,'CDO Bespoke'!$C$29:'CDO Bespoke'!$C$31,'CDO Bespoke'!$C$33),{5})),"")</f>
        <v>#REF!</v>
      </c>
      <c r="S70" s="542" t="e" cm="1">
        <f t="array" ref="S70">IF($O70&lt;&gt;"",-TRANSPOSE(INDEX(getcds('CDO Bespoke'!$C95,S$13,'CDO Bespoke'!$G95/10000,'CDO Bespoke'!I95,'CDO Bespoke'!$L71,'CDO Bespoke'!$C$13,'CDO Bespoke'!$C$14,'CDO Bespoke'!$C$15,'CDO Bespoke'!$C$8,,,TRUE,TRUE,FALSE,'CDO Bespoke'!$C$29:'CDO Bespoke'!$C$31,'CDO Bespoke'!$C$33),{5})),"")</f>
        <v>#REF!</v>
      </c>
      <c r="T70" s="514" t="e" cm="1">
        <f t="array" ref="T70">IF($O70&lt;&gt;"",-TRANSPOSE(INDEX(getcds('CDO Bespoke'!$C95,T$13,'CDO Bespoke'!$G95/10000,'CDO Bespoke'!J95,'CDO Bespoke'!$L71,'CDO Bespoke'!$C$13,'CDO Bespoke'!$C$14,'CDO Bespoke'!$C$15,'CDO Bespoke'!$C$8,,,TRUE,TRUE,FALSE,'CDO Bespoke'!$C$29:'CDO Bespoke'!$C$31,'CDO Bespoke'!$C$33),{5})),"")</f>
        <v>#REF!</v>
      </c>
      <c r="U70" s="493"/>
      <c r="V70" s="529"/>
      <c r="W70" s="530"/>
      <c r="X70" s="530"/>
      <c r="Y70" s="530"/>
      <c r="Z70" s="530"/>
      <c r="AA70" s="530"/>
      <c r="AB70" s="530"/>
      <c r="AC70" s="530"/>
      <c r="AD70" s="530"/>
      <c r="AE70" s="531"/>
      <c r="AF70" s="539"/>
    </row>
    <row r="71" spans="6:32" s="281" customFormat="1" ht="12" thickBot="1">
      <c r="F71" s="501" t="str">
        <f>IF('CDO Bespoke'!O72&lt;&gt;"",'CDO Bespoke'!O72,"")</f>
        <v/>
      </c>
      <c r="G71" s="502" t="str">
        <f>IF(F71&lt;&gt;"",ABS(MIN(-0.75*('CDO Bespoke'!Q72+'CDO Bespoke'!T72)+'CDO Bespoke'!T72,0)),"")</f>
        <v/>
      </c>
      <c r="H71" s="502" t="str">
        <f t="shared" si="0"/>
        <v/>
      </c>
      <c r="I71" s="502" t="str">
        <f t="shared" si="3"/>
        <v/>
      </c>
      <c r="J71" s="501" t="str">
        <f>IF('CDO Bespoke'!O72&lt;&gt;"",'CDO Bespoke'!O72,"")</f>
        <v/>
      </c>
      <c r="K71" s="502" t="str">
        <f>IF(J71&lt;&gt;"",ABS(MIN(-0.75*('CDO Bespoke'!K72+'CDO Bespoke'!T72)+'CDO Bespoke'!T72,0)),"")</f>
        <v/>
      </c>
      <c r="L71" s="502" t="str">
        <f t="shared" si="1"/>
        <v/>
      </c>
      <c r="M71" s="506" t="str">
        <f t="shared" si="2"/>
        <v/>
      </c>
      <c r="O71" s="511" t="str">
        <f>IF('CDO Bespoke'!C96&lt;&gt;"",'CDO Bespoke'!C96,"")</f>
        <v>GlencoreIntAG_MMR.EUR.SU</v>
      </c>
      <c r="P71" s="513" t="e" cm="1">
        <f t="array" ref="P71">IF($O71&lt;&gt;"",-TRANSPOSE(INDEX(getcds('CDO Bespoke'!$C96,P$13,'CDO Bespoke'!$G96/10000,'CDO Bespoke'!F96,'CDO Bespoke'!$L72,'CDO Bespoke'!$C$13,'CDO Bespoke'!$C$14,'CDO Bespoke'!$C$15,'CDO Bespoke'!$C$8,,,TRUE,TRUE,FALSE,'CDO Bespoke'!$C$29:'CDO Bespoke'!$C$31,'CDO Bespoke'!$C$33),{5})),"")</f>
        <v>#VALUE!</v>
      </c>
      <c r="Q71" s="542" t="e" cm="1">
        <f t="array" ref="Q71">IF($O71&lt;&gt;"",-TRANSPOSE(INDEX(getcds('CDO Bespoke'!$C96,Q$13,'CDO Bespoke'!$G96/10000,'CDO Bespoke'!G96,'CDO Bespoke'!$L72,'CDO Bespoke'!$C$13,'CDO Bespoke'!$C$14,'CDO Bespoke'!$C$15,'CDO Bespoke'!$C$8,,,TRUE,TRUE,FALSE,'CDO Bespoke'!$C$29:'CDO Bespoke'!$C$31,'CDO Bespoke'!$C$33),{5})),"")</f>
        <v>#VALUE!</v>
      </c>
      <c r="R71" s="542" t="e" cm="1">
        <f t="array" ref="R71">IF($O71&lt;&gt;"",-TRANSPOSE(INDEX(getcds('CDO Bespoke'!$C96,R$13,'CDO Bespoke'!$G96/10000,'CDO Bespoke'!H96,'CDO Bespoke'!$L72,'CDO Bespoke'!$C$13,'CDO Bespoke'!$C$14,'CDO Bespoke'!$C$15,'CDO Bespoke'!$C$8,,,TRUE,TRUE,FALSE,'CDO Bespoke'!$C$29:'CDO Bespoke'!$C$31,'CDO Bespoke'!$C$33),{5})),"")</f>
        <v>#VALUE!</v>
      </c>
      <c r="S71" s="542" t="e" cm="1">
        <f t="array" ref="S71">IF($O71&lt;&gt;"",-TRANSPOSE(INDEX(getcds('CDO Bespoke'!$C96,S$13,'CDO Bespoke'!$G96/10000,'CDO Bespoke'!I96,'CDO Bespoke'!$L72,'CDO Bespoke'!$C$13,'CDO Bespoke'!$C$14,'CDO Bespoke'!$C$15,'CDO Bespoke'!$C$8,,,TRUE,TRUE,FALSE,'CDO Bespoke'!$C$29:'CDO Bespoke'!$C$31,'CDO Bespoke'!$C$33),{5})),"")</f>
        <v>#VALUE!</v>
      </c>
      <c r="T71" s="514" t="e" cm="1">
        <f t="array" ref="T71">IF($O71&lt;&gt;"",-TRANSPOSE(INDEX(getcds('CDO Bespoke'!$C96,T$13,'CDO Bespoke'!$G96/10000,'CDO Bespoke'!J96,'CDO Bespoke'!$L72,'CDO Bespoke'!$C$13,'CDO Bespoke'!$C$14,'CDO Bespoke'!$C$15,'CDO Bespoke'!$C$8,,,TRUE,TRUE,FALSE,'CDO Bespoke'!$C$29:'CDO Bespoke'!$C$31,'CDO Bespoke'!$C$33),{5})),"")</f>
        <v>#VALUE!</v>
      </c>
      <c r="U71" s="493"/>
      <c r="V71" s="529"/>
      <c r="W71" s="530"/>
      <c r="X71" s="530"/>
      <c r="Y71" s="530"/>
      <c r="Z71" s="530"/>
      <c r="AA71" s="530"/>
      <c r="AB71" s="530"/>
      <c r="AC71" s="530"/>
      <c r="AD71" s="530"/>
      <c r="AE71" s="531"/>
      <c r="AF71" s="539"/>
    </row>
    <row r="72" spans="6:32" s="281" customFormat="1" ht="12" thickBot="1">
      <c r="F72" s="501" t="str">
        <f>IF('CDO Bespoke'!O73&lt;&gt;"",'CDO Bespoke'!O73,"")</f>
        <v/>
      </c>
      <c r="G72" s="502" t="str">
        <f>IF(F72&lt;&gt;"",ABS(MIN(-0.75*('CDO Bespoke'!Q73+'CDO Bespoke'!T73)+'CDO Bespoke'!T73,0)),"")</f>
        <v/>
      </c>
      <c r="H72" s="502" t="str">
        <f t="shared" si="0"/>
        <v/>
      </c>
      <c r="I72" s="502" t="str">
        <f t="shared" si="3"/>
        <v/>
      </c>
      <c r="J72" s="501" t="str">
        <f>IF('CDO Bespoke'!O73&lt;&gt;"",'CDO Bespoke'!O73,"")</f>
        <v/>
      </c>
      <c r="K72" s="502" t="str">
        <f>IF(J72&lt;&gt;"",ABS(MIN(-0.75*('CDO Bespoke'!K73+'CDO Bespoke'!T73)+'CDO Bespoke'!T73,0)),"")</f>
        <v/>
      </c>
      <c r="L72" s="502" t="str">
        <f t="shared" si="1"/>
        <v/>
      </c>
      <c r="M72" s="506" t="str">
        <f t="shared" si="2"/>
        <v/>
      </c>
      <c r="O72" s="511" t="str">
        <f>IF('CDO Bespoke'!C97&lt;&gt;"",'CDO Bespoke'!C97,"")</f>
        <v>GreatUniversalStores_MMR.EUR.SU</v>
      </c>
      <c r="P72" s="513" t="e" cm="1">
        <f t="array" ref="P72">IF($O72&lt;&gt;"",-TRANSPOSE(INDEX(getcds('CDO Bespoke'!$C97,P$13,'CDO Bespoke'!$G97/10000,'CDO Bespoke'!F97,'CDO Bespoke'!$L73,'CDO Bespoke'!$C$13,'CDO Bespoke'!$C$14,'CDO Bespoke'!$C$15,'CDO Bespoke'!$C$8,,,TRUE,TRUE,FALSE,'CDO Bespoke'!$C$29:'CDO Bespoke'!$C$31,'CDO Bespoke'!$C$33),{5})),"")</f>
        <v>#VALUE!</v>
      </c>
      <c r="Q72" s="542" t="e" cm="1">
        <f t="array" ref="Q72">IF($O72&lt;&gt;"",-TRANSPOSE(INDEX(getcds('CDO Bespoke'!$C97,Q$13,'CDO Bespoke'!$G97/10000,'CDO Bespoke'!G97,'CDO Bespoke'!$L73,'CDO Bespoke'!$C$13,'CDO Bespoke'!$C$14,'CDO Bespoke'!$C$15,'CDO Bespoke'!$C$8,,,TRUE,TRUE,FALSE,'CDO Bespoke'!$C$29:'CDO Bespoke'!$C$31,'CDO Bespoke'!$C$33),{5})),"")</f>
        <v>#VALUE!</v>
      </c>
      <c r="R72" s="542" t="e" cm="1">
        <f t="array" ref="R72">IF($O72&lt;&gt;"",-TRANSPOSE(INDEX(getcds('CDO Bespoke'!$C97,R$13,'CDO Bespoke'!$G97/10000,'CDO Bespoke'!H97,'CDO Bespoke'!$L73,'CDO Bespoke'!$C$13,'CDO Bespoke'!$C$14,'CDO Bespoke'!$C$15,'CDO Bespoke'!$C$8,,,TRUE,TRUE,FALSE,'CDO Bespoke'!$C$29:'CDO Bespoke'!$C$31,'CDO Bespoke'!$C$33),{5})),"")</f>
        <v>#VALUE!</v>
      </c>
      <c r="S72" s="542" t="e" cm="1">
        <f t="array" ref="S72">IF($O72&lt;&gt;"",-TRANSPOSE(INDEX(getcds('CDO Bespoke'!$C97,S$13,'CDO Bespoke'!$G97/10000,'CDO Bespoke'!I97,'CDO Bespoke'!$L73,'CDO Bespoke'!$C$13,'CDO Bespoke'!$C$14,'CDO Bespoke'!$C$15,'CDO Bespoke'!$C$8,,,TRUE,TRUE,FALSE,'CDO Bespoke'!$C$29:'CDO Bespoke'!$C$31,'CDO Bespoke'!$C$33),{5})),"")</f>
        <v>#VALUE!</v>
      </c>
      <c r="T72" s="514" t="e" cm="1">
        <f t="array" ref="T72">IF($O72&lt;&gt;"",-TRANSPOSE(INDEX(getcds('CDO Bespoke'!$C97,T$13,'CDO Bespoke'!$G97/10000,'CDO Bespoke'!J97,'CDO Bespoke'!$L73,'CDO Bespoke'!$C$13,'CDO Bespoke'!$C$14,'CDO Bespoke'!$C$15,'CDO Bespoke'!$C$8,,,TRUE,TRUE,FALSE,'CDO Bespoke'!$C$29:'CDO Bespoke'!$C$31,'CDO Bespoke'!$C$33),{5})),"")</f>
        <v>#VALUE!</v>
      </c>
      <c r="U72" s="493"/>
      <c r="V72" s="529"/>
      <c r="W72" s="530"/>
      <c r="X72" s="530"/>
      <c r="Y72" s="530"/>
      <c r="Z72" s="530"/>
      <c r="AA72" s="530"/>
      <c r="AB72" s="530"/>
      <c r="AC72" s="530"/>
      <c r="AD72" s="530"/>
      <c r="AE72" s="531"/>
      <c r="AF72" s="539"/>
    </row>
    <row r="73" spans="6:32" s="281" customFormat="1" ht="12" thickBot="1">
      <c r="F73" s="501" t="str">
        <f>IF('CDO Bespoke'!O74&lt;&gt;"",'CDO Bespoke'!O74,"")</f>
        <v/>
      </c>
      <c r="G73" s="502" t="str">
        <f>IF(F73&lt;&gt;"",ABS(MIN(-0.75*('CDO Bespoke'!Q74+'CDO Bespoke'!T74)+'CDO Bespoke'!T74,0)),"")</f>
        <v/>
      </c>
      <c r="H73" s="502" t="str">
        <f t="shared" si="0"/>
        <v/>
      </c>
      <c r="I73" s="502" t="str">
        <f t="shared" si="3"/>
        <v/>
      </c>
      <c r="J73" s="501" t="str">
        <f>IF('CDO Bespoke'!O74&lt;&gt;"",'CDO Bespoke'!O74,"")</f>
        <v/>
      </c>
      <c r="K73" s="502" t="str">
        <f>IF(J73&lt;&gt;"",ABS(MIN(-0.75*('CDO Bespoke'!K74+'CDO Bespoke'!T74)+'CDO Bespoke'!T74,0)),"")</f>
        <v/>
      </c>
      <c r="L73" s="502" t="str">
        <f t="shared" si="1"/>
        <v/>
      </c>
      <c r="M73" s="506" t="str">
        <f t="shared" si="2"/>
        <v/>
      </c>
      <c r="O73" s="511" t="str">
        <f>IF('CDO Bespoke'!C98&lt;&gt;"",'CDO Bespoke'!C98,"")</f>
        <v>HannoverRueck_MMR.EUR.SU</v>
      </c>
      <c r="P73" s="513" t="e" cm="1">
        <f t="array" ref="P73">IF($O73&lt;&gt;"",-TRANSPOSE(INDEX(getcds('CDO Bespoke'!$C98,P$13,'CDO Bespoke'!$G98/10000,'CDO Bespoke'!F98,'CDO Bespoke'!$L74,'CDO Bespoke'!$C$13,'CDO Bespoke'!$C$14,'CDO Bespoke'!$C$15,'CDO Bespoke'!$C$8,,,TRUE,TRUE,FALSE,'CDO Bespoke'!$C$29:'CDO Bespoke'!$C$31,'CDO Bespoke'!$C$33),{5})),"")</f>
        <v>#VALUE!</v>
      </c>
      <c r="Q73" s="542" t="e" cm="1">
        <f t="array" ref="Q73">IF($O73&lt;&gt;"",-TRANSPOSE(INDEX(getcds('CDO Bespoke'!$C98,Q$13,'CDO Bespoke'!$G98/10000,'CDO Bespoke'!G98,'CDO Bespoke'!$L74,'CDO Bespoke'!$C$13,'CDO Bespoke'!$C$14,'CDO Bespoke'!$C$15,'CDO Bespoke'!$C$8,,,TRUE,TRUE,FALSE,'CDO Bespoke'!$C$29:'CDO Bespoke'!$C$31,'CDO Bespoke'!$C$33),{5})),"")</f>
        <v>#VALUE!</v>
      </c>
      <c r="R73" s="542" t="e" cm="1">
        <f t="array" ref="R73">IF($O73&lt;&gt;"",-TRANSPOSE(INDEX(getcds('CDO Bespoke'!$C98,R$13,'CDO Bespoke'!$G98/10000,'CDO Bespoke'!H98,'CDO Bespoke'!$L74,'CDO Bespoke'!$C$13,'CDO Bespoke'!$C$14,'CDO Bespoke'!$C$15,'CDO Bespoke'!$C$8,,,TRUE,TRUE,FALSE,'CDO Bespoke'!$C$29:'CDO Bespoke'!$C$31,'CDO Bespoke'!$C$33),{5})),"")</f>
        <v>#VALUE!</v>
      </c>
      <c r="S73" s="542" t="e" cm="1">
        <f t="array" ref="S73">IF($O73&lt;&gt;"",-TRANSPOSE(INDEX(getcds('CDO Bespoke'!$C98,S$13,'CDO Bespoke'!$G98/10000,'CDO Bespoke'!I98,'CDO Bespoke'!$L74,'CDO Bespoke'!$C$13,'CDO Bespoke'!$C$14,'CDO Bespoke'!$C$15,'CDO Bespoke'!$C$8,,,TRUE,TRUE,FALSE,'CDO Bespoke'!$C$29:'CDO Bespoke'!$C$31,'CDO Bespoke'!$C$33),{5})),"")</f>
        <v>#VALUE!</v>
      </c>
      <c r="T73" s="514" t="e" cm="1">
        <f t="array" ref="T73">IF($O73&lt;&gt;"",-TRANSPOSE(INDEX(getcds('CDO Bespoke'!$C98,T$13,'CDO Bespoke'!$G98/10000,'CDO Bespoke'!J98,'CDO Bespoke'!$L74,'CDO Bespoke'!$C$13,'CDO Bespoke'!$C$14,'CDO Bespoke'!$C$15,'CDO Bespoke'!$C$8,,,TRUE,TRUE,FALSE,'CDO Bespoke'!$C$29:'CDO Bespoke'!$C$31,'CDO Bespoke'!$C$33),{5})),"")</f>
        <v>#VALUE!</v>
      </c>
      <c r="U73" s="493"/>
      <c r="V73" s="529"/>
      <c r="W73" s="530"/>
      <c r="X73" s="530"/>
      <c r="Y73" s="530"/>
      <c r="Z73" s="530"/>
      <c r="AA73" s="530"/>
      <c r="AB73" s="530"/>
      <c r="AC73" s="530"/>
      <c r="AD73" s="530"/>
      <c r="AE73" s="531"/>
      <c r="AF73" s="539"/>
    </row>
    <row r="74" spans="6:32" s="281" customFormat="1" ht="12" thickBot="1">
      <c r="F74" s="501" t="str">
        <f>IF('CDO Bespoke'!O75&lt;&gt;"",'CDO Bespoke'!O75,"")</f>
        <v/>
      </c>
      <c r="G74" s="502" t="str">
        <f>IF(F74&lt;&gt;"",ABS(MIN(-0.75*('CDO Bespoke'!Q75+'CDO Bespoke'!T75)+'CDO Bespoke'!T75,0)),"")</f>
        <v/>
      </c>
      <c r="H74" s="502" t="str">
        <f t="shared" si="0"/>
        <v/>
      </c>
      <c r="I74" s="502" t="str">
        <f t="shared" si="3"/>
        <v/>
      </c>
      <c r="J74" s="501" t="str">
        <f>IF('CDO Bespoke'!O75&lt;&gt;"",'CDO Bespoke'!O75,"")</f>
        <v/>
      </c>
      <c r="K74" s="502" t="str">
        <f>IF(J74&lt;&gt;"",ABS(MIN(-0.75*('CDO Bespoke'!K75+'CDO Bespoke'!T75)+'CDO Bespoke'!T75,0)),"")</f>
        <v/>
      </c>
      <c r="L74" s="502" t="str">
        <f t="shared" si="1"/>
        <v/>
      </c>
      <c r="M74" s="506" t="str">
        <f t="shared" si="2"/>
        <v/>
      </c>
      <c r="O74" s="511" t="str">
        <f>IF('CDO Bespoke'!C99&lt;&gt;"",'CDO Bespoke'!C99,"")</f>
        <v>Hellenic Telcom_MMR.EUR.SU</v>
      </c>
      <c r="P74" s="513" t="e" cm="1">
        <f t="array" ref="P74">IF($O74&lt;&gt;"",-TRANSPOSE(INDEX(getcds('CDO Bespoke'!$C99,P$13,'CDO Bespoke'!$G99/10000,'CDO Bespoke'!F99,'CDO Bespoke'!$L75,'CDO Bespoke'!$C$13,'CDO Bespoke'!$C$14,'CDO Bespoke'!$C$15,'CDO Bespoke'!$C$8,,,TRUE,TRUE,FALSE,'CDO Bespoke'!$C$29:'CDO Bespoke'!$C$31,'CDO Bespoke'!$C$33),{5})),"")</f>
        <v>#VALUE!</v>
      </c>
      <c r="Q74" s="542" t="e" cm="1">
        <f t="array" ref="Q74">IF($O74&lt;&gt;"",-TRANSPOSE(INDEX(getcds('CDO Bespoke'!$C99,Q$13,'CDO Bespoke'!$G99/10000,'CDO Bespoke'!G99,'CDO Bespoke'!$L75,'CDO Bespoke'!$C$13,'CDO Bespoke'!$C$14,'CDO Bespoke'!$C$15,'CDO Bespoke'!$C$8,,,TRUE,TRUE,FALSE,'CDO Bespoke'!$C$29:'CDO Bespoke'!$C$31,'CDO Bespoke'!$C$33),{5})),"")</f>
        <v>#VALUE!</v>
      </c>
      <c r="R74" s="542" t="e" cm="1">
        <f t="array" ref="R74">IF($O74&lt;&gt;"",-TRANSPOSE(INDEX(getcds('CDO Bespoke'!$C99,R$13,'CDO Bespoke'!$G99/10000,'CDO Bespoke'!H99,'CDO Bespoke'!$L75,'CDO Bespoke'!$C$13,'CDO Bespoke'!$C$14,'CDO Bespoke'!$C$15,'CDO Bespoke'!$C$8,,,TRUE,TRUE,FALSE,'CDO Bespoke'!$C$29:'CDO Bespoke'!$C$31,'CDO Bespoke'!$C$33),{5})),"")</f>
        <v>#VALUE!</v>
      </c>
      <c r="S74" s="542" t="e" cm="1">
        <f t="array" ref="S74">IF($O74&lt;&gt;"",-TRANSPOSE(INDEX(getcds('CDO Bespoke'!$C99,S$13,'CDO Bespoke'!$G99/10000,'CDO Bespoke'!I99,'CDO Bespoke'!$L75,'CDO Bespoke'!$C$13,'CDO Bespoke'!$C$14,'CDO Bespoke'!$C$15,'CDO Bespoke'!$C$8,,,TRUE,TRUE,FALSE,'CDO Bespoke'!$C$29:'CDO Bespoke'!$C$31,'CDO Bespoke'!$C$33),{5})),"")</f>
        <v>#REF!</v>
      </c>
      <c r="T74" s="514" t="e" cm="1">
        <f t="array" ref="T74">IF($O74&lt;&gt;"",-TRANSPOSE(INDEX(getcds('CDO Bespoke'!$C99,T$13,'CDO Bespoke'!$G99/10000,'CDO Bespoke'!J99,'CDO Bespoke'!$L75,'CDO Bespoke'!$C$13,'CDO Bespoke'!$C$14,'CDO Bespoke'!$C$15,'CDO Bespoke'!$C$8,,,TRUE,TRUE,FALSE,'CDO Bespoke'!$C$29:'CDO Bespoke'!$C$31,'CDO Bespoke'!$C$33),{5})),"")</f>
        <v>#VALUE!</v>
      </c>
      <c r="U74" s="493"/>
      <c r="V74" s="529"/>
      <c r="W74" s="530"/>
      <c r="X74" s="530"/>
      <c r="Y74" s="530"/>
      <c r="Z74" s="530"/>
      <c r="AA74" s="530"/>
      <c r="AB74" s="530"/>
      <c r="AC74" s="530"/>
      <c r="AD74" s="530"/>
      <c r="AE74" s="531"/>
      <c r="AF74" s="539"/>
    </row>
    <row r="75" spans="6:32" s="281" customFormat="1" ht="12" thickBot="1">
      <c r="F75" s="501" t="str">
        <f>IF('CDO Bespoke'!O76&lt;&gt;"",'CDO Bespoke'!O76,"")</f>
        <v/>
      </c>
      <c r="G75" s="502" t="str">
        <f>IF(F75&lt;&gt;"",ABS(MIN(-0.75*('CDO Bespoke'!Q76+'CDO Bespoke'!T76)+'CDO Bespoke'!T76,0)),"")</f>
        <v/>
      </c>
      <c r="H75" s="502" t="str">
        <f t="shared" si="0"/>
        <v/>
      </c>
      <c r="I75" s="502" t="str">
        <f t="shared" si="3"/>
        <v/>
      </c>
      <c r="J75" s="501" t="str">
        <f>IF('CDO Bespoke'!O76&lt;&gt;"",'CDO Bespoke'!O76,"")</f>
        <v/>
      </c>
      <c r="K75" s="502" t="str">
        <f>IF(J75&lt;&gt;"",ABS(MIN(-0.75*('CDO Bespoke'!K76+'CDO Bespoke'!T76)+'CDO Bespoke'!T76,0)),"")</f>
        <v/>
      </c>
      <c r="L75" s="502" t="str">
        <f t="shared" si="1"/>
        <v/>
      </c>
      <c r="M75" s="506" t="str">
        <f t="shared" si="2"/>
        <v/>
      </c>
      <c r="O75" s="511" t="str">
        <f>IF('CDO Bespoke'!C100&lt;&gt;"",'CDO Bespoke'!C100,"")</f>
        <v>HenkelKG_MMR.EUR.SU</v>
      </c>
      <c r="P75" s="513" t="e" cm="1">
        <f t="array" ref="P75">IF($O75&lt;&gt;"",-TRANSPOSE(INDEX(getcds('CDO Bespoke'!$C100,P$13,'CDO Bespoke'!$G100/10000,'CDO Bespoke'!F100,'CDO Bespoke'!$L76,'CDO Bespoke'!$C$13,'CDO Bespoke'!$C$14,'CDO Bespoke'!$C$15,'CDO Bespoke'!$C$8,,,TRUE,TRUE,FALSE,'CDO Bespoke'!$C$29:'CDO Bespoke'!$C$31,'CDO Bespoke'!$C$33),{5})),"")</f>
        <v>#VALUE!</v>
      </c>
      <c r="Q75" s="542" t="e" cm="1">
        <f t="array" ref="Q75">IF($O75&lt;&gt;"",-TRANSPOSE(INDEX(getcds('CDO Bespoke'!$C100,Q$13,'CDO Bespoke'!$G100/10000,'CDO Bespoke'!G100,'CDO Bespoke'!$L76,'CDO Bespoke'!$C$13,'CDO Bespoke'!$C$14,'CDO Bespoke'!$C$15,'CDO Bespoke'!$C$8,,,TRUE,TRUE,FALSE,'CDO Bespoke'!$C$29:'CDO Bespoke'!$C$31,'CDO Bespoke'!$C$33),{5})),"")</f>
        <v>#REF!</v>
      </c>
      <c r="R75" s="542" t="e" cm="1">
        <f t="array" ref="R75">IF($O75&lt;&gt;"",-TRANSPOSE(INDEX(getcds('CDO Bespoke'!$C100,R$13,'CDO Bespoke'!$G100/10000,'CDO Bespoke'!H100,'CDO Bespoke'!$L76,'CDO Bespoke'!$C$13,'CDO Bespoke'!$C$14,'CDO Bespoke'!$C$15,'CDO Bespoke'!$C$8,,,TRUE,TRUE,FALSE,'CDO Bespoke'!$C$29:'CDO Bespoke'!$C$31,'CDO Bespoke'!$C$33),{5})),"")</f>
        <v>#REF!</v>
      </c>
      <c r="S75" s="542" t="e" cm="1">
        <f t="array" ref="S75">IF($O75&lt;&gt;"",-TRANSPOSE(INDEX(getcds('CDO Bespoke'!$C100,S$13,'CDO Bespoke'!$G100/10000,'CDO Bespoke'!I100,'CDO Bespoke'!$L76,'CDO Bespoke'!$C$13,'CDO Bespoke'!$C$14,'CDO Bespoke'!$C$15,'CDO Bespoke'!$C$8,,,TRUE,TRUE,FALSE,'CDO Bespoke'!$C$29:'CDO Bespoke'!$C$31,'CDO Bespoke'!$C$33),{5})),"")</f>
        <v>#VALUE!</v>
      </c>
      <c r="T75" s="514" t="e" cm="1">
        <f t="array" ref="T75">IF($O75&lt;&gt;"",-TRANSPOSE(INDEX(getcds('CDO Bespoke'!$C100,T$13,'CDO Bespoke'!$G100/10000,'CDO Bespoke'!J100,'CDO Bespoke'!$L76,'CDO Bespoke'!$C$13,'CDO Bespoke'!$C$14,'CDO Bespoke'!$C$15,'CDO Bespoke'!$C$8,,,TRUE,TRUE,FALSE,'CDO Bespoke'!$C$29:'CDO Bespoke'!$C$31,'CDO Bespoke'!$C$33),{5})),"")</f>
        <v>#VALUE!</v>
      </c>
      <c r="U75" s="493"/>
      <c r="V75" s="529"/>
      <c r="W75" s="530"/>
      <c r="X75" s="530"/>
      <c r="Y75" s="530"/>
      <c r="Z75" s="530"/>
      <c r="AA75" s="530"/>
      <c r="AB75" s="530"/>
      <c r="AC75" s="530"/>
      <c r="AD75" s="530"/>
      <c r="AE75" s="531"/>
      <c r="AF75" s="539"/>
    </row>
    <row r="76" spans="6:32" s="281" customFormat="1" ht="12" thickBot="1">
      <c r="F76" s="501" t="str">
        <f>IF('CDO Bespoke'!O77&lt;&gt;"",'CDO Bespoke'!O77,"")</f>
        <v/>
      </c>
      <c r="G76" s="502" t="str">
        <f>IF(F76&lt;&gt;"",ABS(MIN(-0.75*('CDO Bespoke'!Q77+'CDO Bespoke'!T77)+'CDO Bespoke'!T77,0)),"")</f>
        <v/>
      </c>
      <c r="H76" s="502" t="str">
        <f t="shared" si="0"/>
        <v/>
      </c>
      <c r="I76" s="502" t="str">
        <f t="shared" si="3"/>
        <v/>
      </c>
      <c r="J76" s="501" t="str">
        <f>IF('CDO Bespoke'!O77&lt;&gt;"",'CDO Bespoke'!O77,"")</f>
        <v/>
      </c>
      <c r="K76" s="502" t="str">
        <f>IF(J76&lt;&gt;"",ABS(MIN(-0.75*('CDO Bespoke'!K77+'CDO Bespoke'!T77)+'CDO Bespoke'!T77,0)),"")</f>
        <v/>
      </c>
      <c r="L76" s="502" t="str">
        <f t="shared" si="1"/>
        <v/>
      </c>
      <c r="M76" s="506" t="str">
        <f t="shared" si="2"/>
        <v/>
      </c>
      <c r="O76" s="511" t="str">
        <f>IF('CDO Bespoke'!C101&lt;&gt;"",'CDO Bespoke'!C101,"")</f>
        <v>Iberdrola_MMR.EUR.SU</v>
      </c>
      <c r="P76" s="513" t="e" cm="1">
        <f t="array" ref="P76">IF($O76&lt;&gt;"",-TRANSPOSE(INDEX(getcds('CDO Bespoke'!$C101,P$13,'CDO Bespoke'!$G101/10000,'CDO Bespoke'!F101,'CDO Bespoke'!$L77,'CDO Bespoke'!$C$13,'CDO Bespoke'!$C$14,'CDO Bespoke'!$C$15,'CDO Bespoke'!$C$8,,,TRUE,TRUE,FALSE,'CDO Bespoke'!$C$29:'CDO Bespoke'!$C$31,'CDO Bespoke'!$C$33),{5})),"")</f>
        <v>#VALUE!</v>
      </c>
      <c r="Q76" s="542" t="e" cm="1">
        <f t="array" ref="Q76">IF($O76&lt;&gt;"",-TRANSPOSE(INDEX(getcds('CDO Bespoke'!$C101,Q$13,'CDO Bespoke'!$G101/10000,'CDO Bespoke'!G101,'CDO Bespoke'!$L77,'CDO Bespoke'!$C$13,'CDO Bespoke'!$C$14,'CDO Bespoke'!$C$15,'CDO Bespoke'!$C$8,,,TRUE,TRUE,FALSE,'CDO Bespoke'!$C$29:'CDO Bespoke'!$C$31,'CDO Bespoke'!$C$33),{5})),"")</f>
        <v>#VALUE!</v>
      </c>
      <c r="R76" s="542" t="e" cm="1">
        <f t="array" ref="R76">IF($O76&lt;&gt;"",-TRANSPOSE(INDEX(getcds('CDO Bespoke'!$C101,R$13,'CDO Bespoke'!$G101/10000,'CDO Bespoke'!H101,'CDO Bespoke'!$L77,'CDO Bespoke'!$C$13,'CDO Bespoke'!$C$14,'CDO Bespoke'!$C$15,'CDO Bespoke'!$C$8,,,TRUE,TRUE,FALSE,'CDO Bespoke'!$C$29:'CDO Bespoke'!$C$31,'CDO Bespoke'!$C$33),{5})),"")</f>
        <v>#VALUE!</v>
      </c>
      <c r="S76" s="542" t="e" cm="1">
        <f t="array" ref="S76">IF($O76&lt;&gt;"",-TRANSPOSE(INDEX(getcds('CDO Bespoke'!$C101,S$13,'CDO Bespoke'!$G101/10000,'CDO Bespoke'!I101,'CDO Bespoke'!$L77,'CDO Bespoke'!$C$13,'CDO Bespoke'!$C$14,'CDO Bespoke'!$C$15,'CDO Bespoke'!$C$8,,,TRUE,TRUE,FALSE,'CDO Bespoke'!$C$29:'CDO Bespoke'!$C$31,'CDO Bespoke'!$C$33),{5})),"")</f>
        <v>#VALUE!</v>
      </c>
      <c r="T76" s="514" t="e" cm="1">
        <f t="array" ref="T76">IF($O76&lt;&gt;"",-TRANSPOSE(INDEX(getcds('CDO Bespoke'!$C101,T$13,'CDO Bespoke'!$G101/10000,'CDO Bespoke'!J101,'CDO Bespoke'!$L77,'CDO Bespoke'!$C$13,'CDO Bespoke'!$C$14,'CDO Bespoke'!$C$15,'CDO Bespoke'!$C$8,,,TRUE,TRUE,FALSE,'CDO Bespoke'!$C$29:'CDO Bespoke'!$C$31,'CDO Bespoke'!$C$33),{5})),"")</f>
        <v>#VALUE!</v>
      </c>
      <c r="U76" s="493"/>
      <c r="V76" s="529"/>
      <c r="W76" s="530"/>
      <c r="X76" s="530"/>
      <c r="Y76" s="530"/>
      <c r="Z76" s="530"/>
      <c r="AA76" s="530"/>
      <c r="AB76" s="530"/>
      <c r="AC76" s="530"/>
      <c r="AD76" s="530"/>
      <c r="AE76" s="531"/>
      <c r="AF76" s="539"/>
    </row>
    <row r="77" spans="6:32" s="281" customFormat="1" ht="12" thickBot="1">
      <c r="F77" s="501" t="str">
        <f>IF('CDO Bespoke'!O78&lt;&gt;"",'CDO Bespoke'!O78,"")</f>
        <v/>
      </c>
      <c r="G77" s="502" t="str">
        <f>IF(F77&lt;&gt;"",ABS(MIN(-0.75*('CDO Bespoke'!Q78+'CDO Bespoke'!T78)+'CDO Bespoke'!T78,0)),"")</f>
        <v/>
      </c>
      <c r="H77" s="502" t="str">
        <f t="shared" si="0"/>
        <v/>
      </c>
      <c r="I77" s="502" t="str">
        <f t="shared" si="3"/>
        <v/>
      </c>
      <c r="J77" s="501" t="str">
        <f>IF('CDO Bespoke'!O78&lt;&gt;"",'CDO Bespoke'!O78,"")</f>
        <v/>
      </c>
      <c r="K77" s="502" t="str">
        <f>IF(J77&lt;&gt;"",ABS(MIN(-0.75*('CDO Bespoke'!K78+'CDO Bespoke'!T78)+'CDO Bespoke'!T78,0)),"")</f>
        <v/>
      </c>
      <c r="L77" s="502" t="str">
        <f t="shared" si="1"/>
        <v/>
      </c>
      <c r="M77" s="506" t="str">
        <f t="shared" si="2"/>
        <v/>
      </c>
      <c r="O77" s="511" t="str">
        <f>IF('CDO Bespoke'!C102&lt;&gt;"",'CDO Bespoke'!C102,"")</f>
        <v>ICI_MMR.EUR.SU</v>
      </c>
      <c r="P77" s="513" t="e" cm="1">
        <f t="array" ref="P77">IF($O77&lt;&gt;"",-TRANSPOSE(INDEX(getcds('CDO Bespoke'!$C102,P$13,'CDO Bespoke'!$G102/10000,'CDO Bespoke'!F102,'CDO Bespoke'!$L78,'CDO Bespoke'!$C$13,'CDO Bespoke'!$C$14,'CDO Bespoke'!$C$15,'CDO Bespoke'!$C$8,,,TRUE,TRUE,FALSE,'CDO Bespoke'!$C$29:'CDO Bespoke'!$C$31,'CDO Bespoke'!$C$33),{5})),"")</f>
        <v>#VALUE!</v>
      </c>
      <c r="Q77" s="542" t="e" cm="1">
        <f t="array" ref="Q77">IF($O77&lt;&gt;"",-TRANSPOSE(INDEX(getcds('CDO Bespoke'!$C102,Q$13,'CDO Bespoke'!$G102/10000,'CDO Bespoke'!G102,'CDO Bespoke'!$L78,'CDO Bespoke'!$C$13,'CDO Bespoke'!$C$14,'CDO Bespoke'!$C$15,'CDO Bespoke'!$C$8,,,TRUE,TRUE,FALSE,'CDO Bespoke'!$C$29:'CDO Bespoke'!$C$31,'CDO Bespoke'!$C$33),{5})),"")</f>
        <v>#VALUE!</v>
      </c>
      <c r="R77" s="542" t="e" cm="1">
        <f t="array" ref="R77">IF($O77&lt;&gt;"",-TRANSPOSE(INDEX(getcds('CDO Bespoke'!$C102,R$13,'CDO Bespoke'!$G102/10000,'CDO Bespoke'!H102,'CDO Bespoke'!$L78,'CDO Bespoke'!$C$13,'CDO Bespoke'!$C$14,'CDO Bespoke'!$C$15,'CDO Bespoke'!$C$8,,,TRUE,TRUE,FALSE,'CDO Bespoke'!$C$29:'CDO Bespoke'!$C$31,'CDO Bespoke'!$C$33),{5})),"")</f>
        <v>#VALUE!</v>
      </c>
      <c r="S77" s="542" t="e" cm="1">
        <f t="array" ref="S77">IF($O77&lt;&gt;"",-TRANSPOSE(INDEX(getcds('CDO Bespoke'!$C102,S$13,'CDO Bespoke'!$G102/10000,'CDO Bespoke'!I102,'CDO Bespoke'!$L78,'CDO Bespoke'!$C$13,'CDO Bespoke'!$C$14,'CDO Bespoke'!$C$15,'CDO Bespoke'!$C$8,,,TRUE,TRUE,FALSE,'CDO Bespoke'!$C$29:'CDO Bespoke'!$C$31,'CDO Bespoke'!$C$33),{5})),"")</f>
        <v>#VALUE!</v>
      </c>
      <c r="T77" s="514" t="e" cm="1">
        <f t="array" ref="T77">IF($O77&lt;&gt;"",-TRANSPOSE(INDEX(getcds('CDO Bespoke'!$C102,T$13,'CDO Bespoke'!$G102/10000,'CDO Bespoke'!J102,'CDO Bespoke'!$L78,'CDO Bespoke'!$C$13,'CDO Bespoke'!$C$14,'CDO Bespoke'!$C$15,'CDO Bespoke'!$C$8,,,TRUE,TRUE,FALSE,'CDO Bespoke'!$C$29:'CDO Bespoke'!$C$31,'CDO Bespoke'!$C$33),{5})),"")</f>
        <v>#VALUE!</v>
      </c>
      <c r="U77" s="493"/>
      <c r="V77" s="529"/>
      <c r="W77" s="530"/>
      <c r="X77" s="530"/>
      <c r="Y77" s="530"/>
      <c r="Z77" s="530"/>
      <c r="AA77" s="530"/>
      <c r="AB77" s="530"/>
      <c r="AC77" s="530"/>
      <c r="AD77" s="530"/>
      <c r="AE77" s="531"/>
      <c r="AF77" s="539"/>
    </row>
    <row r="78" spans="6:32" s="281" customFormat="1" ht="12" thickBot="1">
      <c r="F78" s="501" t="str">
        <f>IF('CDO Bespoke'!O79&lt;&gt;"",'CDO Bespoke'!O79,"")</f>
        <v/>
      </c>
      <c r="G78" s="502" t="str">
        <f>IF(F78&lt;&gt;"",ABS(MIN(-0.75*('CDO Bespoke'!Q79+'CDO Bespoke'!T79)+'CDO Bespoke'!T79,0)),"")</f>
        <v/>
      </c>
      <c r="H78" s="502" t="str">
        <f t="shared" si="0"/>
        <v/>
      </c>
      <c r="I78" s="502" t="str">
        <f t="shared" si="3"/>
        <v/>
      </c>
      <c r="J78" s="501" t="str">
        <f>IF('CDO Bespoke'!O79&lt;&gt;"",'CDO Bespoke'!O79,"")</f>
        <v/>
      </c>
      <c r="K78" s="502" t="str">
        <f>IF(J78&lt;&gt;"",ABS(MIN(-0.75*('CDO Bespoke'!K79+'CDO Bespoke'!T79)+'CDO Bespoke'!T79,0)),"")</f>
        <v/>
      </c>
      <c r="L78" s="502" t="str">
        <f t="shared" si="1"/>
        <v/>
      </c>
      <c r="M78" s="506" t="str">
        <f t="shared" si="2"/>
        <v/>
      </c>
      <c r="O78" s="511" t="str">
        <f>IF('CDO Bespoke'!C103&lt;&gt;"",'CDO Bespoke'!C103,"")</f>
        <v>Intesa_MMR.EUR.SU</v>
      </c>
      <c r="P78" s="513" t="e" cm="1">
        <f t="array" ref="P78">IF($O78&lt;&gt;"",-TRANSPOSE(INDEX(getcds('CDO Bespoke'!$C103,P$13,'CDO Bespoke'!$G103/10000,'CDO Bespoke'!F103,'CDO Bespoke'!$L79,'CDO Bespoke'!$C$13,'CDO Bespoke'!$C$14,'CDO Bespoke'!$C$15,'CDO Bespoke'!$C$8,,,TRUE,TRUE,FALSE,'CDO Bespoke'!$C$29:'CDO Bespoke'!$C$31,'CDO Bespoke'!$C$33),{5})),"")</f>
        <v>#REF!</v>
      </c>
      <c r="Q78" s="542" t="e" cm="1">
        <f t="array" ref="Q78">IF($O78&lt;&gt;"",-TRANSPOSE(INDEX(getcds('CDO Bespoke'!$C103,Q$13,'CDO Bespoke'!$G103/10000,'CDO Bespoke'!G103,'CDO Bespoke'!$L79,'CDO Bespoke'!$C$13,'CDO Bespoke'!$C$14,'CDO Bespoke'!$C$15,'CDO Bespoke'!$C$8,,,TRUE,TRUE,FALSE,'CDO Bespoke'!$C$29:'CDO Bespoke'!$C$31,'CDO Bespoke'!$C$33),{5})),"")</f>
        <v>#REF!</v>
      </c>
      <c r="R78" s="542" t="e" cm="1">
        <f t="array" ref="R78">IF($O78&lt;&gt;"",-TRANSPOSE(INDEX(getcds('CDO Bespoke'!$C103,R$13,'CDO Bespoke'!$G103/10000,'CDO Bespoke'!H103,'CDO Bespoke'!$L79,'CDO Bespoke'!$C$13,'CDO Bespoke'!$C$14,'CDO Bespoke'!$C$15,'CDO Bespoke'!$C$8,,,TRUE,TRUE,FALSE,'CDO Bespoke'!$C$29:'CDO Bespoke'!$C$31,'CDO Bespoke'!$C$33),{5})),"")</f>
        <v>#VALUE!</v>
      </c>
      <c r="S78" s="542" t="e" cm="1">
        <f t="array" ref="S78">IF($O78&lt;&gt;"",-TRANSPOSE(INDEX(getcds('CDO Bespoke'!$C103,S$13,'CDO Bespoke'!$G103/10000,'CDO Bespoke'!I103,'CDO Bespoke'!$L79,'CDO Bespoke'!$C$13,'CDO Bespoke'!$C$14,'CDO Bespoke'!$C$15,'CDO Bespoke'!$C$8,,,TRUE,TRUE,FALSE,'CDO Bespoke'!$C$29:'CDO Bespoke'!$C$31,'CDO Bespoke'!$C$33),{5})),"")</f>
        <v>#VALUE!</v>
      </c>
      <c r="T78" s="514" t="e" cm="1">
        <f t="array" ref="T78">IF($O78&lt;&gt;"",-TRANSPOSE(INDEX(getcds('CDO Bespoke'!$C103,T$13,'CDO Bespoke'!$G103/10000,'CDO Bespoke'!J103,'CDO Bespoke'!$L79,'CDO Bespoke'!$C$13,'CDO Bespoke'!$C$14,'CDO Bespoke'!$C$15,'CDO Bespoke'!$C$8,,,TRUE,TRUE,FALSE,'CDO Bespoke'!$C$29:'CDO Bespoke'!$C$31,'CDO Bespoke'!$C$33),{5})),"")</f>
        <v>#VALUE!</v>
      </c>
      <c r="U78" s="493"/>
      <c r="V78" s="529"/>
      <c r="W78" s="530"/>
      <c r="X78" s="530"/>
      <c r="Y78" s="530"/>
      <c r="Z78" s="530"/>
      <c r="AA78" s="530"/>
      <c r="AB78" s="530"/>
      <c r="AC78" s="530"/>
      <c r="AD78" s="530"/>
      <c r="AE78" s="531"/>
      <c r="AF78" s="539"/>
    </row>
    <row r="79" spans="6:32" s="281" customFormat="1" ht="12" thickBot="1">
      <c r="F79" s="501" t="str">
        <f>IF('CDO Bespoke'!O80&lt;&gt;"",'CDO Bespoke'!O80,"")</f>
        <v/>
      </c>
      <c r="G79" s="502" t="str">
        <f>IF(F79&lt;&gt;"",ABS(MIN(-0.75*('CDO Bespoke'!Q80+'CDO Bespoke'!T80)+'CDO Bespoke'!T80,0)),"")</f>
        <v/>
      </c>
      <c r="H79" s="502" t="str">
        <f t="shared" ref="H79:H142" si="4">IF(F79&lt;&gt;"",IF($G$8,MAX(F79-G79,0),F79),"")</f>
        <v/>
      </c>
      <c r="I79" s="502" t="str">
        <f t="shared" si="3"/>
        <v/>
      </c>
      <c r="J79" s="501" t="str">
        <f>IF('CDO Bespoke'!O80&lt;&gt;"",'CDO Bespoke'!O80,"")</f>
        <v/>
      </c>
      <c r="K79" s="502" t="str">
        <f>IF(J79&lt;&gt;"",ABS(MIN(-0.75*('CDO Bespoke'!K80+'CDO Bespoke'!T80)+'CDO Bespoke'!T80,0)),"")</f>
        <v/>
      </c>
      <c r="L79" s="502" t="str">
        <f t="shared" ref="L79:L142" si="5">IF(J79&lt;&gt;"",IF($G$8,MAX(J79-K79,0),J79),"")</f>
        <v/>
      </c>
      <c r="M79" s="506" t="str">
        <f t="shared" ref="M79:M142" si="6">IF(J79&lt;&gt;"",IF($G$8,0,K79),"")</f>
        <v/>
      </c>
      <c r="O79" s="511" t="str">
        <f>IF('CDO Bespoke'!C104&lt;&gt;"",'CDO Bespoke'!C104,"")</f>
        <v>Kingfisher_MMR.EUR.SU</v>
      </c>
      <c r="P79" s="513" t="e" cm="1">
        <f t="array" ref="P79">IF($O79&lt;&gt;"",-TRANSPOSE(INDEX(getcds('CDO Bespoke'!$C104,P$13,'CDO Bespoke'!$G104/10000,'CDO Bespoke'!F104,'CDO Bespoke'!$L80,'CDO Bespoke'!$C$13,'CDO Bespoke'!$C$14,'CDO Bespoke'!$C$15,'CDO Bespoke'!$C$8,,,TRUE,TRUE,FALSE,'CDO Bespoke'!$C$29:'CDO Bespoke'!$C$31,'CDO Bespoke'!$C$33),{5})),"")</f>
        <v>#VALUE!</v>
      </c>
      <c r="Q79" s="542" t="e" cm="1">
        <f t="array" ref="Q79">IF($O79&lt;&gt;"",-TRANSPOSE(INDEX(getcds('CDO Bespoke'!$C104,Q$13,'CDO Bespoke'!$G104/10000,'CDO Bespoke'!G104,'CDO Bespoke'!$L80,'CDO Bespoke'!$C$13,'CDO Bespoke'!$C$14,'CDO Bespoke'!$C$15,'CDO Bespoke'!$C$8,,,TRUE,TRUE,FALSE,'CDO Bespoke'!$C$29:'CDO Bespoke'!$C$31,'CDO Bespoke'!$C$33),{5})),"")</f>
        <v>#VALUE!</v>
      </c>
      <c r="R79" s="542" t="e" cm="1">
        <f t="array" ref="R79">IF($O79&lt;&gt;"",-TRANSPOSE(INDEX(getcds('CDO Bespoke'!$C104,R$13,'CDO Bespoke'!$G104/10000,'CDO Bespoke'!H104,'CDO Bespoke'!$L80,'CDO Bespoke'!$C$13,'CDO Bespoke'!$C$14,'CDO Bespoke'!$C$15,'CDO Bespoke'!$C$8,,,TRUE,TRUE,FALSE,'CDO Bespoke'!$C$29:'CDO Bespoke'!$C$31,'CDO Bespoke'!$C$33),{5})),"")</f>
        <v>#VALUE!</v>
      </c>
      <c r="S79" s="542" t="e" cm="1">
        <f t="array" ref="S79">IF($O79&lt;&gt;"",-TRANSPOSE(INDEX(getcds('CDO Bespoke'!$C104,S$13,'CDO Bespoke'!$G104/10000,'CDO Bespoke'!I104,'CDO Bespoke'!$L80,'CDO Bespoke'!$C$13,'CDO Bespoke'!$C$14,'CDO Bespoke'!$C$15,'CDO Bespoke'!$C$8,,,TRUE,TRUE,FALSE,'CDO Bespoke'!$C$29:'CDO Bespoke'!$C$31,'CDO Bespoke'!$C$33),{5})),"")</f>
        <v>#VALUE!</v>
      </c>
      <c r="T79" s="514" t="e" cm="1">
        <f t="array" ref="T79">IF($O79&lt;&gt;"",-TRANSPOSE(INDEX(getcds('CDO Bespoke'!$C104,T$13,'CDO Bespoke'!$G104/10000,'CDO Bespoke'!J104,'CDO Bespoke'!$L80,'CDO Bespoke'!$C$13,'CDO Bespoke'!$C$14,'CDO Bespoke'!$C$15,'CDO Bespoke'!$C$8,,,TRUE,TRUE,FALSE,'CDO Bespoke'!$C$29:'CDO Bespoke'!$C$31,'CDO Bespoke'!$C$33),{5})),"")</f>
        <v>#VALUE!</v>
      </c>
      <c r="U79" s="493"/>
      <c r="V79" s="529"/>
      <c r="W79" s="530"/>
      <c r="X79" s="530"/>
      <c r="Y79" s="530"/>
      <c r="Z79" s="530"/>
      <c r="AA79" s="530"/>
      <c r="AB79" s="530"/>
      <c r="AC79" s="530"/>
      <c r="AD79" s="530"/>
      <c r="AE79" s="531"/>
      <c r="AF79" s="539"/>
    </row>
    <row r="80" spans="6:32" s="281" customFormat="1" ht="12" thickBot="1">
      <c r="F80" s="501" t="str">
        <f>IF('CDO Bespoke'!O81&lt;&gt;"",'CDO Bespoke'!O81,"")</f>
        <v/>
      </c>
      <c r="G80" s="502" t="str">
        <f>IF(F80&lt;&gt;"",ABS(MIN(-0.75*('CDO Bespoke'!Q81+'CDO Bespoke'!T81)+'CDO Bespoke'!T81,0)),"")</f>
        <v/>
      </c>
      <c r="H80" s="502" t="str">
        <f t="shared" si="4"/>
        <v/>
      </c>
      <c r="I80" s="502" t="str">
        <f t="shared" ref="I80:I143" si="7">IF(F80&lt;&gt;"",IF($G$8,0,G80),"")</f>
        <v/>
      </c>
      <c r="J80" s="501" t="str">
        <f>IF('CDO Bespoke'!O81&lt;&gt;"",'CDO Bespoke'!O81,"")</f>
        <v/>
      </c>
      <c r="K80" s="502" t="str">
        <f>IF(J80&lt;&gt;"",ABS(MIN(-0.75*('CDO Bespoke'!K81+'CDO Bespoke'!T81)+'CDO Bespoke'!T81,0)),"")</f>
        <v/>
      </c>
      <c r="L80" s="502" t="str">
        <f t="shared" si="5"/>
        <v/>
      </c>
      <c r="M80" s="506" t="str">
        <f t="shared" si="6"/>
        <v/>
      </c>
      <c r="O80" s="511" t="str">
        <f>IF('CDO Bespoke'!C105&lt;&gt;"",'CDO Bespoke'!C105,"")</f>
        <v>Kpn_MMR.EUR.SU</v>
      </c>
      <c r="P80" s="513" t="e" cm="1">
        <f t="array" ref="P80">IF($O80&lt;&gt;"",-TRANSPOSE(INDEX(getcds('CDO Bespoke'!$C105,P$13,'CDO Bespoke'!$G105/10000,'CDO Bespoke'!F105,'CDO Bespoke'!$L81,'CDO Bespoke'!$C$13,'CDO Bespoke'!$C$14,'CDO Bespoke'!$C$15,'CDO Bespoke'!$C$8,,,TRUE,TRUE,FALSE,'CDO Bespoke'!$C$29:'CDO Bespoke'!$C$31,'CDO Bespoke'!$C$33),{5})),"")</f>
        <v>#VALUE!</v>
      </c>
      <c r="Q80" s="542" t="e" cm="1">
        <f t="array" ref="Q80">IF($O80&lt;&gt;"",-TRANSPOSE(INDEX(getcds('CDO Bespoke'!$C105,Q$13,'CDO Bespoke'!$G105/10000,'CDO Bespoke'!G105,'CDO Bespoke'!$L81,'CDO Bespoke'!$C$13,'CDO Bespoke'!$C$14,'CDO Bespoke'!$C$15,'CDO Bespoke'!$C$8,,,TRUE,TRUE,FALSE,'CDO Bespoke'!$C$29:'CDO Bespoke'!$C$31,'CDO Bespoke'!$C$33),{5})),"")</f>
        <v>#VALUE!</v>
      </c>
      <c r="R80" s="542" t="e" cm="1">
        <f t="array" ref="R80">IF($O80&lt;&gt;"",-TRANSPOSE(INDEX(getcds('CDO Bespoke'!$C105,R$13,'CDO Bespoke'!$G105/10000,'CDO Bespoke'!H105,'CDO Bespoke'!$L81,'CDO Bespoke'!$C$13,'CDO Bespoke'!$C$14,'CDO Bespoke'!$C$15,'CDO Bespoke'!$C$8,,,TRUE,TRUE,FALSE,'CDO Bespoke'!$C$29:'CDO Bespoke'!$C$31,'CDO Bespoke'!$C$33),{5})),"")</f>
        <v>#VALUE!</v>
      </c>
      <c r="S80" s="542" t="e" cm="1">
        <f t="array" ref="S80">IF($O80&lt;&gt;"",-TRANSPOSE(INDEX(getcds('CDO Bespoke'!$C105,S$13,'CDO Bespoke'!$G105/10000,'CDO Bespoke'!I105,'CDO Bespoke'!$L81,'CDO Bespoke'!$C$13,'CDO Bespoke'!$C$14,'CDO Bespoke'!$C$15,'CDO Bespoke'!$C$8,,,TRUE,TRUE,FALSE,'CDO Bespoke'!$C$29:'CDO Bespoke'!$C$31,'CDO Bespoke'!$C$33),{5})),"")</f>
        <v>#VALUE!</v>
      </c>
      <c r="T80" s="514" t="e" cm="1">
        <f t="array" ref="T80">IF($O80&lt;&gt;"",-TRANSPOSE(INDEX(getcds('CDO Bespoke'!$C105,T$13,'CDO Bespoke'!$G105/10000,'CDO Bespoke'!J105,'CDO Bespoke'!$L81,'CDO Bespoke'!$C$13,'CDO Bespoke'!$C$14,'CDO Bespoke'!$C$15,'CDO Bespoke'!$C$8,,,TRUE,TRUE,FALSE,'CDO Bespoke'!$C$29:'CDO Bespoke'!$C$31,'CDO Bespoke'!$C$33),{5})),"")</f>
        <v>#VALUE!</v>
      </c>
      <c r="U80" s="493"/>
      <c r="V80" s="529"/>
      <c r="W80" s="530"/>
      <c r="X80" s="530"/>
      <c r="Y80" s="530"/>
      <c r="Z80" s="530"/>
      <c r="AA80" s="530"/>
      <c r="AB80" s="530"/>
      <c r="AC80" s="530"/>
      <c r="AD80" s="530"/>
      <c r="AE80" s="531"/>
      <c r="AF80" s="539"/>
    </row>
    <row r="81" spans="6:32" s="281" customFormat="1" ht="12" thickBot="1">
      <c r="F81" s="501" t="str">
        <f>IF('CDO Bespoke'!O82&lt;&gt;"",'CDO Bespoke'!O82,"")</f>
        <v/>
      </c>
      <c r="G81" s="502" t="str">
        <f>IF(F81&lt;&gt;"",ABS(MIN(-0.75*('CDO Bespoke'!Q82+'CDO Bespoke'!T82)+'CDO Bespoke'!T82,0)),"")</f>
        <v/>
      </c>
      <c r="H81" s="502" t="str">
        <f t="shared" si="4"/>
        <v/>
      </c>
      <c r="I81" s="502" t="str">
        <f t="shared" si="7"/>
        <v/>
      </c>
      <c r="J81" s="501" t="str">
        <f>IF('CDO Bespoke'!O82&lt;&gt;"",'CDO Bespoke'!O82,"")</f>
        <v/>
      </c>
      <c r="K81" s="502" t="str">
        <f>IF(J81&lt;&gt;"",ABS(MIN(-0.75*('CDO Bespoke'!K82+'CDO Bespoke'!T82)+'CDO Bespoke'!T82,0)),"")</f>
        <v/>
      </c>
      <c r="L81" s="502" t="str">
        <f t="shared" si="5"/>
        <v/>
      </c>
      <c r="M81" s="506" t="str">
        <f t="shared" si="6"/>
        <v/>
      </c>
      <c r="O81" s="511" t="str">
        <f>IF('CDO Bespoke'!C106&lt;&gt;"",'CDO Bespoke'!C106,"")</f>
        <v>Lafarge_MMR.EUR.SU</v>
      </c>
      <c r="P81" s="513" t="e" cm="1">
        <f t="array" ref="P81">IF($O81&lt;&gt;"",-TRANSPOSE(INDEX(getcds('CDO Bespoke'!$C106,P$13,'CDO Bespoke'!$G106/10000,'CDO Bespoke'!F106,'CDO Bespoke'!$L82,'CDO Bespoke'!$C$13,'CDO Bespoke'!$C$14,'CDO Bespoke'!$C$15,'CDO Bespoke'!$C$8,,,TRUE,TRUE,FALSE,'CDO Bespoke'!$C$29:'CDO Bespoke'!$C$31,'CDO Bespoke'!$C$33),{5})),"")</f>
        <v>#VALUE!</v>
      </c>
      <c r="Q81" s="542" t="e" cm="1">
        <f t="array" ref="Q81">IF($O81&lt;&gt;"",-TRANSPOSE(INDEX(getcds('CDO Bespoke'!$C106,Q$13,'CDO Bespoke'!$G106/10000,'CDO Bespoke'!G106,'CDO Bespoke'!$L82,'CDO Bespoke'!$C$13,'CDO Bespoke'!$C$14,'CDO Bespoke'!$C$15,'CDO Bespoke'!$C$8,,,TRUE,TRUE,FALSE,'CDO Bespoke'!$C$29:'CDO Bespoke'!$C$31,'CDO Bespoke'!$C$33),{5})),"")</f>
        <v>#VALUE!</v>
      </c>
      <c r="R81" s="542" t="e" cm="1">
        <f t="array" ref="R81">IF($O81&lt;&gt;"",-TRANSPOSE(INDEX(getcds('CDO Bespoke'!$C106,R$13,'CDO Bespoke'!$G106/10000,'CDO Bespoke'!H106,'CDO Bespoke'!$L82,'CDO Bespoke'!$C$13,'CDO Bespoke'!$C$14,'CDO Bespoke'!$C$15,'CDO Bespoke'!$C$8,,,TRUE,TRUE,FALSE,'CDO Bespoke'!$C$29:'CDO Bespoke'!$C$31,'CDO Bespoke'!$C$33),{5})),"")</f>
        <v>#VALUE!</v>
      </c>
      <c r="S81" s="542" t="e" cm="1">
        <f t="array" ref="S81">IF($O81&lt;&gt;"",-TRANSPOSE(INDEX(getcds('CDO Bespoke'!$C106,S$13,'CDO Bespoke'!$G106/10000,'CDO Bespoke'!I106,'CDO Bespoke'!$L82,'CDO Bespoke'!$C$13,'CDO Bespoke'!$C$14,'CDO Bespoke'!$C$15,'CDO Bespoke'!$C$8,,,TRUE,TRUE,FALSE,'CDO Bespoke'!$C$29:'CDO Bespoke'!$C$31,'CDO Bespoke'!$C$33),{5})),"")</f>
        <v>#VALUE!</v>
      </c>
      <c r="T81" s="514" t="e" cm="1">
        <f t="array" ref="T81">IF($O81&lt;&gt;"",-TRANSPOSE(INDEX(getcds('CDO Bespoke'!$C106,T$13,'CDO Bespoke'!$G106/10000,'CDO Bespoke'!J106,'CDO Bespoke'!$L82,'CDO Bespoke'!$C$13,'CDO Bespoke'!$C$14,'CDO Bespoke'!$C$15,'CDO Bespoke'!$C$8,,,TRUE,TRUE,FALSE,'CDO Bespoke'!$C$29:'CDO Bespoke'!$C$31,'CDO Bespoke'!$C$33),{5})),"")</f>
        <v>#VALUE!</v>
      </c>
      <c r="U81" s="493"/>
      <c r="V81" s="529"/>
      <c r="W81" s="530"/>
      <c r="X81" s="530"/>
      <c r="Y81" s="530"/>
      <c r="Z81" s="530"/>
      <c r="AA81" s="530"/>
      <c r="AB81" s="530"/>
      <c r="AC81" s="530"/>
      <c r="AD81" s="530"/>
      <c r="AE81" s="531"/>
      <c r="AF81" s="539"/>
    </row>
    <row r="82" spans="6:32" s="281" customFormat="1" ht="12" thickBot="1">
      <c r="F82" s="501" t="str">
        <f>IF('CDO Bespoke'!O83&lt;&gt;"",'CDO Bespoke'!O83,"")</f>
        <v/>
      </c>
      <c r="G82" s="502" t="str">
        <f>IF(F82&lt;&gt;"",ABS(MIN(-0.75*('CDO Bespoke'!Q83+'CDO Bespoke'!T83)+'CDO Bespoke'!T83,0)),"")</f>
        <v/>
      </c>
      <c r="H82" s="502" t="str">
        <f t="shared" si="4"/>
        <v/>
      </c>
      <c r="I82" s="502" t="str">
        <f t="shared" si="7"/>
        <v/>
      </c>
      <c r="J82" s="501" t="str">
        <f>IF('CDO Bespoke'!O83&lt;&gt;"",'CDO Bespoke'!O83,"")</f>
        <v/>
      </c>
      <c r="K82" s="502" t="str">
        <f>IF(J82&lt;&gt;"",ABS(MIN(-0.75*('CDO Bespoke'!K83+'CDO Bespoke'!T83)+'CDO Bespoke'!T83,0)),"")</f>
        <v/>
      </c>
      <c r="L82" s="502" t="str">
        <f t="shared" si="5"/>
        <v/>
      </c>
      <c r="M82" s="506" t="str">
        <f t="shared" si="6"/>
        <v/>
      </c>
      <c r="O82" s="511" t="str">
        <f>IF('CDO Bespoke'!C107&lt;&gt;"",'CDO Bespoke'!C107,"")</f>
        <v>Linde_MMR.EUR.SU</v>
      </c>
      <c r="P82" s="513" t="e" cm="1">
        <f t="array" ref="P82">IF($O82&lt;&gt;"",-TRANSPOSE(INDEX(getcds('CDO Bespoke'!$C107,P$13,'CDO Bespoke'!$G107/10000,'CDO Bespoke'!F107,'CDO Bespoke'!$L83,'CDO Bespoke'!$C$13,'CDO Bespoke'!$C$14,'CDO Bespoke'!$C$15,'CDO Bespoke'!$C$8,,,TRUE,TRUE,FALSE,'CDO Bespoke'!$C$29:'CDO Bespoke'!$C$31,'CDO Bespoke'!$C$33),{5})),"")</f>
        <v>#VALUE!</v>
      </c>
      <c r="Q82" s="542" t="e" cm="1">
        <f t="array" ref="Q82">IF($O82&lt;&gt;"",-TRANSPOSE(INDEX(getcds('CDO Bespoke'!$C107,Q$13,'CDO Bespoke'!$G107/10000,'CDO Bespoke'!G107,'CDO Bespoke'!$L83,'CDO Bespoke'!$C$13,'CDO Bespoke'!$C$14,'CDO Bespoke'!$C$15,'CDO Bespoke'!$C$8,,,TRUE,TRUE,FALSE,'CDO Bespoke'!$C$29:'CDO Bespoke'!$C$31,'CDO Bespoke'!$C$33),{5})),"")</f>
        <v>#REF!</v>
      </c>
      <c r="R82" s="542" t="e" cm="1">
        <f t="array" ref="R82">IF($O82&lt;&gt;"",-TRANSPOSE(INDEX(getcds('CDO Bespoke'!$C107,R$13,'CDO Bespoke'!$G107/10000,'CDO Bespoke'!H107,'CDO Bespoke'!$L83,'CDO Bespoke'!$C$13,'CDO Bespoke'!$C$14,'CDO Bespoke'!$C$15,'CDO Bespoke'!$C$8,,,TRUE,TRUE,FALSE,'CDO Bespoke'!$C$29:'CDO Bespoke'!$C$31,'CDO Bespoke'!$C$33),{5})),"")</f>
        <v>#REF!</v>
      </c>
      <c r="S82" s="542" t="e" cm="1">
        <f t="array" ref="S82">IF($O82&lt;&gt;"",-TRANSPOSE(INDEX(getcds('CDO Bespoke'!$C107,S$13,'CDO Bespoke'!$G107/10000,'CDO Bespoke'!I107,'CDO Bespoke'!$L83,'CDO Bespoke'!$C$13,'CDO Bespoke'!$C$14,'CDO Bespoke'!$C$15,'CDO Bespoke'!$C$8,,,TRUE,TRUE,FALSE,'CDO Bespoke'!$C$29:'CDO Bespoke'!$C$31,'CDO Bespoke'!$C$33),{5})),"")</f>
        <v>#REF!</v>
      </c>
      <c r="T82" s="514" t="e" cm="1">
        <f t="array" ref="T82">IF($O82&lt;&gt;"",-TRANSPOSE(INDEX(getcds('CDO Bespoke'!$C107,T$13,'CDO Bespoke'!$G107/10000,'CDO Bespoke'!J107,'CDO Bespoke'!$L83,'CDO Bespoke'!$C$13,'CDO Bespoke'!$C$14,'CDO Bespoke'!$C$15,'CDO Bespoke'!$C$8,,,TRUE,TRUE,FALSE,'CDO Bespoke'!$C$29:'CDO Bespoke'!$C$31,'CDO Bespoke'!$C$33),{5})),"")</f>
        <v>#REF!</v>
      </c>
      <c r="U82" s="493"/>
      <c r="V82" s="529"/>
      <c r="W82" s="530"/>
      <c r="X82" s="530"/>
      <c r="Y82" s="530"/>
      <c r="Z82" s="530"/>
      <c r="AA82" s="530"/>
      <c r="AB82" s="530"/>
      <c r="AC82" s="530"/>
      <c r="AD82" s="530"/>
      <c r="AE82" s="531"/>
      <c r="AF82" s="539"/>
    </row>
    <row r="83" spans="6:32" s="281" customFormat="1" ht="12" thickBot="1">
      <c r="F83" s="501" t="str">
        <f>IF('CDO Bespoke'!O84&lt;&gt;"",'CDO Bespoke'!O84,"")</f>
        <v/>
      </c>
      <c r="G83" s="502" t="str">
        <f>IF(F83&lt;&gt;"",ABS(MIN(-0.75*('CDO Bespoke'!Q84+'CDO Bespoke'!T84)+'CDO Bespoke'!T84,0)),"")</f>
        <v/>
      </c>
      <c r="H83" s="502" t="str">
        <f t="shared" si="4"/>
        <v/>
      </c>
      <c r="I83" s="502" t="str">
        <f t="shared" si="7"/>
        <v/>
      </c>
      <c r="J83" s="501" t="str">
        <f>IF('CDO Bespoke'!O84&lt;&gt;"",'CDO Bespoke'!O84,"")</f>
        <v/>
      </c>
      <c r="K83" s="502" t="str">
        <f>IF(J83&lt;&gt;"",ABS(MIN(-0.75*('CDO Bespoke'!K84+'CDO Bespoke'!T84)+'CDO Bespoke'!T84,0)),"")</f>
        <v/>
      </c>
      <c r="L83" s="502" t="str">
        <f t="shared" si="5"/>
        <v/>
      </c>
      <c r="M83" s="506" t="str">
        <f t="shared" si="6"/>
        <v/>
      </c>
      <c r="O83" s="511" t="str">
        <f>IF('CDO Bespoke'!C108&lt;&gt;"",'CDO Bespoke'!C108,"")</f>
        <v>Lufthansa_MMR.EUR.SU</v>
      </c>
      <c r="P83" s="513" t="e" cm="1">
        <f t="array" ref="P83">IF($O83&lt;&gt;"",-TRANSPOSE(INDEX(getcds('CDO Bespoke'!$C108,P$13,'CDO Bespoke'!$G108/10000,'CDO Bespoke'!F108,'CDO Bespoke'!$L84,'CDO Bespoke'!$C$13,'CDO Bespoke'!$C$14,'CDO Bespoke'!$C$15,'CDO Bespoke'!$C$8,,,TRUE,TRUE,FALSE,'CDO Bespoke'!$C$29:'CDO Bespoke'!$C$31,'CDO Bespoke'!$C$33),{5})),"")</f>
        <v>#REF!</v>
      </c>
      <c r="Q83" s="542" t="e" cm="1">
        <f t="array" ref="Q83">IF($O83&lt;&gt;"",-TRANSPOSE(INDEX(getcds('CDO Bespoke'!$C108,Q$13,'CDO Bespoke'!$G108/10000,'CDO Bespoke'!G108,'CDO Bespoke'!$L84,'CDO Bespoke'!$C$13,'CDO Bespoke'!$C$14,'CDO Bespoke'!$C$15,'CDO Bespoke'!$C$8,,,TRUE,TRUE,FALSE,'CDO Bespoke'!$C$29:'CDO Bespoke'!$C$31,'CDO Bespoke'!$C$33),{5})),"")</f>
        <v>#REF!</v>
      </c>
      <c r="R83" s="542" t="e" cm="1">
        <f t="array" ref="R83">IF($O83&lt;&gt;"",-TRANSPOSE(INDEX(getcds('CDO Bespoke'!$C108,R$13,'CDO Bespoke'!$G108/10000,'CDO Bespoke'!H108,'CDO Bespoke'!$L84,'CDO Bespoke'!$C$13,'CDO Bespoke'!$C$14,'CDO Bespoke'!$C$15,'CDO Bespoke'!$C$8,,,TRUE,TRUE,FALSE,'CDO Bespoke'!$C$29:'CDO Bespoke'!$C$31,'CDO Bespoke'!$C$33),{5})),"")</f>
        <v>#REF!</v>
      </c>
      <c r="S83" s="542" t="e" cm="1">
        <f t="array" ref="S83">IF($O83&lt;&gt;"",-TRANSPOSE(INDEX(getcds('CDO Bespoke'!$C108,S$13,'CDO Bespoke'!$G108/10000,'CDO Bespoke'!I108,'CDO Bespoke'!$L84,'CDO Bespoke'!$C$13,'CDO Bespoke'!$C$14,'CDO Bespoke'!$C$15,'CDO Bespoke'!$C$8,,,TRUE,TRUE,FALSE,'CDO Bespoke'!$C$29:'CDO Bespoke'!$C$31,'CDO Bespoke'!$C$33),{5})),"")</f>
        <v>#REF!</v>
      </c>
      <c r="T83" s="514" t="e" cm="1">
        <f t="array" ref="T83">IF($O83&lt;&gt;"",-TRANSPOSE(INDEX(getcds('CDO Bespoke'!$C108,T$13,'CDO Bespoke'!$G108/10000,'CDO Bespoke'!J108,'CDO Bespoke'!$L84,'CDO Bespoke'!$C$13,'CDO Bespoke'!$C$14,'CDO Bespoke'!$C$15,'CDO Bespoke'!$C$8,,,TRUE,TRUE,FALSE,'CDO Bespoke'!$C$29:'CDO Bespoke'!$C$31,'CDO Bespoke'!$C$33),{5})),"")</f>
        <v>#VALUE!</v>
      </c>
      <c r="U83" s="493"/>
      <c r="V83" s="529"/>
      <c r="W83" s="530"/>
      <c r="X83" s="530"/>
      <c r="Y83" s="530"/>
      <c r="Z83" s="530"/>
      <c r="AA83" s="530"/>
      <c r="AB83" s="530"/>
      <c r="AC83" s="530"/>
      <c r="AD83" s="530"/>
      <c r="AE83" s="531"/>
      <c r="AF83" s="539"/>
    </row>
    <row r="84" spans="6:32" s="281" customFormat="1" ht="12" thickBot="1">
      <c r="F84" s="501" t="str">
        <f>IF('CDO Bespoke'!O85&lt;&gt;"",'CDO Bespoke'!O85,"")</f>
        <v/>
      </c>
      <c r="G84" s="502" t="str">
        <f>IF(F84&lt;&gt;"",ABS(MIN(-0.75*('CDO Bespoke'!Q85+'CDO Bespoke'!T85)+'CDO Bespoke'!T85,0)),"")</f>
        <v/>
      </c>
      <c r="H84" s="502" t="str">
        <f t="shared" si="4"/>
        <v/>
      </c>
      <c r="I84" s="502" t="str">
        <f t="shared" si="7"/>
        <v/>
      </c>
      <c r="J84" s="501" t="str">
        <f>IF('CDO Bespoke'!O85&lt;&gt;"",'CDO Bespoke'!O85,"")</f>
        <v/>
      </c>
      <c r="K84" s="502" t="str">
        <f>IF(J84&lt;&gt;"",ABS(MIN(-0.75*('CDO Bespoke'!K85+'CDO Bespoke'!T85)+'CDO Bespoke'!T85,0)),"")</f>
        <v/>
      </c>
      <c r="L84" s="502" t="str">
        <f t="shared" si="5"/>
        <v/>
      </c>
      <c r="M84" s="506" t="str">
        <f t="shared" si="6"/>
        <v/>
      </c>
      <c r="O84" s="511" t="str">
        <f>IF('CDO Bespoke'!C109&lt;&gt;"",'CDO Bespoke'!C109,"")</f>
        <v>LVMH_MMR.EUR.SU</v>
      </c>
      <c r="P84" s="513" t="e" cm="1">
        <f t="array" ref="P84">IF($O84&lt;&gt;"",-TRANSPOSE(INDEX(getcds('CDO Bespoke'!$C109,P$13,'CDO Bespoke'!$G109/10000,'CDO Bespoke'!F109,'CDO Bespoke'!$L85,'CDO Bespoke'!$C$13,'CDO Bespoke'!$C$14,'CDO Bespoke'!$C$15,'CDO Bespoke'!$C$8,,,TRUE,TRUE,FALSE,'CDO Bespoke'!$C$29:'CDO Bespoke'!$C$31,'CDO Bespoke'!$C$33),{5})),"")</f>
        <v>#VALUE!</v>
      </c>
      <c r="Q84" s="542" t="e" cm="1">
        <f t="array" ref="Q84">IF($O84&lt;&gt;"",-TRANSPOSE(INDEX(getcds('CDO Bespoke'!$C109,Q$13,'CDO Bespoke'!$G109/10000,'CDO Bespoke'!G109,'CDO Bespoke'!$L85,'CDO Bespoke'!$C$13,'CDO Bespoke'!$C$14,'CDO Bespoke'!$C$15,'CDO Bespoke'!$C$8,,,TRUE,TRUE,FALSE,'CDO Bespoke'!$C$29:'CDO Bespoke'!$C$31,'CDO Bespoke'!$C$33),{5})),"")</f>
        <v>#VALUE!</v>
      </c>
      <c r="R84" s="542" t="e" cm="1">
        <f t="array" ref="R84">IF($O84&lt;&gt;"",-TRANSPOSE(INDEX(getcds('CDO Bespoke'!$C109,R$13,'CDO Bespoke'!$G109/10000,'CDO Bespoke'!H109,'CDO Bespoke'!$L85,'CDO Bespoke'!$C$13,'CDO Bespoke'!$C$14,'CDO Bespoke'!$C$15,'CDO Bespoke'!$C$8,,,TRUE,TRUE,FALSE,'CDO Bespoke'!$C$29:'CDO Bespoke'!$C$31,'CDO Bespoke'!$C$33),{5})),"")</f>
        <v>#VALUE!</v>
      </c>
      <c r="S84" s="542" t="e" cm="1">
        <f t="array" ref="S84">IF($O84&lt;&gt;"",-TRANSPOSE(INDEX(getcds('CDO Bespoke'!$C109,S$13,'CDO Bespoke'!$G109/10000,'CDO Bespoke'!I109,'CDO Bespoke'!$L85,'CDO Bespoke'!$C$13,'CDO Bespoke'!$C$14,'CDO Bespoke'!$C$15,'CDO Bespoke'!$C$8,,,TRUE,TRUE,FALSE,'CDO Bespoke'!$C$29:'CDO Bespoke'!$C$31,'CDO Bespoke'!$C$33),{5})),"")</f>
        <v>#REF!</v>
      </c>
      <c r="T84" s="514" t="e" cm="1">
        <f t="array" ref="T84">IF($O84&lt;&gt;"",-TRANSPOSE(INDEX(getcds('CDO Bespoke'!$C109,T$13,'CDO Bespoke'!$G109/10000,'CDO Bespoke'!J109,'CDO Bespoke'!$L85,'CDO Bespoke'!$C$13,'CDO Bespoke'!$C$14,'CDO Bespoke'!$C$15,'CDO Bespoke'!$C$8,,,TRUE,TRUE,FALSE,'CDO Bespoke'!$C$29:'CDO Bespoke'!$C$31,'CDO Bespoke'!$C$33),{5})),"")</f>
        <v>#VALUE!</v>
      </c>
      <c r="U84" s="493"/>
      <c r="V84" s="529"/>
      <c r="W84" s="530"/>
      <c r="X84" s="530"/>
      <c r="Y84" s="530"/>
      <c r="Z84" s="530"/>
      <c r="AA84" s="530"/>
      <c r="AB84" s="530"/>
      <c r="AC84" s="530"/>
      <c r="AD84" s="530"/>
      <c r="AE84" s="531"/>
      <c r="AF84" s="539"/>
    </row>
    <row r="85" spans="6:32" s="281" customFormat="1" ht="12" thickBot="1">
      <c r="F85" s="501" t="str">
        <f>IF('CDO Bespoke'!O86&lt;&gt;"",'CDO Bespoke'!O86,"")</f>
        <v/>
      </c>
      <c r="G85" s="502" t="str">
        <f>IF(F85&lt;&gt;"",ABS(MIN(-0.75*('CDO Bespoke'!Q86+'CDO Bespoke'!T86)+'CDO Bespoke'!T86,0)),"")</f>
        <v/>
      </c>
      <c r="H85" s="502" t="str">
        <f t="shared" si="4"/>
        <v/>
      </c>
      <c r="I85" s="502" t="str">
        <f t="shared" si="7"/>
        <v/>
      </c>
      <c r="J85" s="501" t="str">
        <f>IF('CDO Bespoke'!O86&lt;&gt;"",'CDO Bespoke'!O86,"")</f>
        <v/>
      </c>
      <c r="K85" s="502" t="str">
        <f>IF(J85&lt;&gt;"",ABS(MIN(-0.75*('CDO Bespoke'!K86+'CDO Bespoke'!T86)+'CDO Bespoke'!T86,0)),"")</f>
        <v/>
      </c>
      <c r="L85" s="502" t="str">
        <f t="shared" si="5"/>
        <v/>
      </c>
      <c r="M85" s="506" t="str">
        <f t="shared" si="6"/>
        <v/>
      </c>
      <c r="O85" s="511" t="str">
        <f>IF('CDO Bespoke'!C110&lt;&gt;"",'CDO Bespoke'!C110,"")</f>
        <v>MarksandSpencerPLC_MMR.EUR.SU</v>
      </c>
      <c r="P85" s="513" t="e" cm="1">
        <f t="array" ref="P85">IF($O85&lt;&gt;"",-TRANSPOSE(INDEX(getcds('CDO Bespoke'!$C110,P$13,'CDO Bespoke'!$G110/10000,'CDO Bespoke'!F110,'CDO Bespoke'!$L86,'CDO Bespoke'!$C$13,'CDO Bespoke'!$C$14,'CDO Bespoke'!$C$15,'CDO Bespoke'!$C$8,,,TRUE,TRUE,FALSE,'CDO Bespoke'!$C$29:'CDO Bespoke'!$C$31,'CDO Bespoke'!$C$33),{5})),"")</f>
        <v>#REF!</v>
      </c>
      <c r="Q85" s="542" t="e" cm="1">
        <f t="array" ref="Q85">IF($O85&lt;&gt;"",-TRANSPOSE(INDEX(getcds('CDO Bespoke'!$C110,Q$13,'CDO Bespoke'!$G110/10000,'CDO Bespoke'!G110,'CDO Bespoke'!$L86,'CDO Bespoke'!$C$13,'CDO Bespoke'!$C$14,'CDO Bespoke'!$C$15,'CDO Bespoke'!$C$8,,,TRUE,TRUE,FALSE,'CDO Bespoke'!$C$29:'CDO Bespoke'!$C$31,'CDO Bespoke'!$C$33),{5})),"")</f>
        <v>#REF!</v>
      </c>
      <c r="R85" s="542" t="e" cm="1">
        <f t="array" ref="R85">IF($O85&lt;&gt;"",-TRANSPOSE(INDEX(getcds('CDO Bespoke'!$C110,R$13,'CDO Bespoke'!$G110/10000,'CDO Bespoke'!H110,'CDO Bespoke'!$L86,'CDO Bespoke'!$C$13,'CDO Bespoke'!$C$14,'CDO Bespoke'!$C$15,'CDO Bespoke'!$C$8,,,TRUE,TRUE,FALSE,'CDO Bespoke'!$C$29:'CDO Bespoke'!$C$31,'CDO Bespoke'!$C$33),{5})),"")</f>
        <v>#REF!</v>
      </c>
      <c r="S85" s="542" t="e" cm="1">
        <f t="array" ref="S85">IF($O85&lt;&gt;"",-TRANSPOSE(INDEX(getcds('CDO Bespoke'!$C110,S$13,'CDO Bespoke'!$G110/10000,'CDO Bespoke'!I110,'CDO Bespoke'!$L86,'CDO Bespoke'!$C$13,'CDO Bespoke'!$C$14,'CDO Bespoke'!$C$15,'CDO Bespoke'!$C$8,,,TRUE,TRUE,FALSE,'CDO Bespoke'!$C$29:'CDO Bespoke'!$C$31,'CDO Bespoke'!$C$33),{5})),"")</f>
        <v>#REF!</v>
      </c>
      <c r="T85" s="514" t="e" cm="1">
        <f t="array" ref="T85">IF($O85&lt;&gt;"",-TRANSPOSE(INDEX(getcds('CDO Bespoke'!$C110,T$13,'CDO Bespoke'!$G110/10000,'CDO Bespoke'!J110,'CDO Bespoke'!$L86,'CDO Bespoke'!$C$13,'CDO Bespoke'!$C$14,'CDO Bespoke'!$C$15,'CDO Bespoke'!$C$8,,,TRUE,TRUE,FALSE,'CDO Bespoke'!$C$29:'CDO Bespoke'!$C$31,'CDO Bespoke'!$C$33),{5})),"")</f>
        <v>#REF!</v>
      </c>
      <c r="U85" s="493"/>
      <c r="V85" s="529"/>
      <c r="W85" s="530"/>
      <c r="X85" s="530"/>
      <c r="Y85" s="530"/>
      <c r="Z85" s="530"/>
      <c r="AA85" s="530"/>
      <c r="AB85" s="530"/>
      <c r="AC85" s="530"/>
      <c r="AD85" s="530"/>
      <c r="AE85" s="531"/>
      <c r="AF85" s="539"/>
    </row>
    <row r="86" spans="6:32" s="281" customFormat="1" ht="12" thickBot="1">
      <c r="F86" s="501" t="str">
        <f>IF('CDO Bespoke'!O87&lt;&gt;"",'CDO Bespoke'!O87,"")</f>
        <v/>
      </c>
      <c r="G86" s="502" t="str">
        <f>IF(F86&lt;&gt;"",ABS(MIN(-0.75*('CDO Bespoke'!Q87+'CDO Bespoke'!T87)+'CDO Bespoke'!T87,0)),"")</f>
        <v/>
      </c>
      <c r="H86" s="502" t="str">
        <f t="shared" si="4"/>
        <v/>
      </c>
      <c r="I86" s="502" t="str">
        <f t="shared" si="7"/>
        <v/>
      </c>
      <c r="J86" s="501" t="str">
        <f>IF('CDO Bespoke'!O87&lt;&gt;"",'CDO Bespoke'!O87,"")</f>
        <v/>
      </c>
      <c r="K86" s="502" t="str">
        <f>IF(J86&lt;&gt;"",ABS(MIN(-0.75*('CDO Bespoke'!K87+'CDO Bespoke'!T87)+'CDO Bespoke'!T87,0)),"")</f>
        <v/>
      </c>
      <c r="L86" s="502" t="str">
        <f t="shared" si="5"/>
        <v/>
      </c>
      <c r="M86" s="506" t="str">
        <f t="shared" si="6"/>
        <v/>
      </c>
      <c r="O86" s="511" t="str">
        <f>IF('CDO Bespoke'!C111&lt;&gt;"",'CDO Bespoke'!C111,"")</f>
        <v>Metro_MMR.EUR.SU</v>
      </c>
      <c r="P86" s="513" t="e" cm="1">
        <f t="array" ref="P86">IF($O86&lt;&gt;"",-TRANSPOSE(INDEX(getcds('CDO Bespoke'!$C111,P$13,'CDO Bespoke'!$G111/10000,'CDO Bespoke'!F111,'CDO Bespoke'!$L87,'CDO Bespoke'!$C$13,'CDO Bespoke'!$C$14,'CDO Bespoke'!$C$15,'CDO Bespoke'!$C$8,,,TRUE,TRUE,FALSE,'CDO Bespoke'!$C$29:'CDO Bespoke'!$C$31,'CDO Bespoke'!$C$33),{5})),"")</f>
        <v>#VALUE!</v>
      </c>
      <c r="Q86" s="542" t="e" cm="1">
        <f t="array" ref="Q86">IF($O86&lt;&gt;"",-TRANSPOSE(INDEX(getcds('CDO Bespoke'!$C111,Q$13,'CDO Bespoke'!$G111/10000,'CDO Bespoke'!G111,'CDO Bespoke'!$L87,'CDO Bespoke'!$C$13,'CDO Bespoke'!$C$14,'CDO Bespoke'!$C$15,'CDO Bespoke'!$C$8,,,TRUE,TRUE,FALSE,'CDO Bespoke'!$C$29:'CDO Bespoke'!$C$31,'CDO Bespoke'!$C$33),{5})),"")</f>
        <v>#VALUE!</v>
      </c>
      <c r="R86" s="542" t="e" cm="1">
        <f t="array" ref="R86">IF($O86&lt;&gt;"",-TRANSPOSE(INDEX(getcds('CDO Bespoke'!$C111,R$13,'CDO Bespoke'!$G111/10000,'CDO Bespoke'!H111,'CDO Bespoke'!$L87,'CDO Bespoke'!$C$13,'CDO Bespoke'!$C$14,'CDO Bespoke'!$C$15,'CDO Bespoke'!$C$8,,,TRUE,TRUE,FALSE,'CDO Bespoke'!$C$29:'CDO Bespoke'!$C$31,'CDO Bespoke'!$C$33),{5})),"")</f>
        <v>#VALUE!</v>
      </c>
      <c r="S86" s="542" t="e" cm="1">
        <f t="array" ref="S86">IF($O86&lt;&gt;"",-TRANSPOSE(INDEX(getcds('CDO Bespoke'!$C111,S$13,'CDO Bespoke'!$G111/10000,'CDO Bespoke'!I111,'CDO Bespoke'!$L87,'CDO Bespoke'!$C$13,'CDO Bespoke'!$C$14,'CDO Bespoke'!$C$15,'CDO Bespoke'!$C$8,,,TRUE,TRUE,FALSE,'CDO Bespoke'!$C$29:'CDO Bespoke'!$C$31,'CDO Bespoke'!$C$33),{5})),"")</f>
        <v>#VALUE!</v>
      </c>
      <c r="T86" s="514" t="e" cm="1">
        <f t="array" ref="T86">IF($O86&lt;&gt;"",-TRANSPOSE(INDEX(getcds('CDO Bespoke'!$C111,T$13,'CDO Bespoke'!$G111/10000,'CDO Bespoke'!J111,'CDO Bespoke'!$L87,'CDO Bespoke'!$C$13,'CDO Bespoke'!$C$14,'CDO Bespoke'!$C$15,'CDO Bespoke'!$C$8,,,TRUE,TRUE,FALSE,'CDO Bespoke'!$C$29:'CDO Bespoke'!$C$31,'CDO Bespoke'!$C$33),{5})),"")</f>
        <v>#VALUE!</v>
      </c>
      <c r="U86" s="493"/>
      <c r="V86" s="529"/>
      <c r="W86" s="530"/>
      <c r="X86" s="530"/>
      <c r="Y86" s="530"/>
      <c r="Z86" s="530"/>
      <c r="AA86" s="530"/>
      <c r="AB86" s="530"/>
      <c r="AC86" s="530"/>
      <c r="AD86" s="530"/>
      <c r="AE86" s="531"/>
      <c r="AF86" s="539"/>
    </row>
    <row r="87" spans="6:32" s="281" customFormat="1" ht="12" thickBot="1">
      <c r="F87" s="501" t="str">
        <f>IF('CDO Bespoke'!O88&lt;&gt;"",'CDO Bespoke'!O88,"")</f>
        <v/>
      </c>
      <c r="G87" s="502" t="str">
        <f>IF(F87&lt;&gt;"",ABS(MIN(-0.75*('CDO Bespoke'!Q88+'CDO Bespoke'!T88)+'CDO Bespoke'!T88,0)),"")</f>
        <v/>
      </c>
      <c r="H87" s="502" t="str">
        <f t="shared" si="4"/>
        <v/>
      </c>
      <c r="I87" s="502" t="str">
        <f t="shared" si="7"/>
        <v/>
      </c>
      <c r="J87" s="501" t="str">
        <f>IF('CDO Bespoke'!O88&lt;&gt;"",'CDO Bespoke'!O88,"")</f>
        <v/>
      </c>
      <c r="K87" s="502" t="str">
        <f>IF(J87&lt;&gt;"",ABS(MIN(-0.75*('CDO Bespoke'!K88+'CDO Bespoke'!T88)+'CDO Bespoke'!T88,0)),"")</f>
        <v/>
      </c>
      <c r="L87" s="502" t="str">
        <f t="shared" si="5"/>
        <v/>
      </c>
      <c r="M87" s="506" t="str">
        <f t="shared" si="6"/>
        <v/>
      </c>
      <c r="O87" s="511" t="str">
        <f>IF('CDO Bespoke'!C112&lt;&gt;"",'CDO Bespoke'!C112,"")</f>
        <v>Michelin_MMR.EUR.SU</v>
      </c>
      <c r="P87" s="513" t="e" cm="1">
        <f t="array" ref="P87">IF($O87&lt;&gt;"",-TRANSPOSE(INDEX(getcds('CDO Bespoke'!$C112,P$13,'CDO Bespoke'!$G112/10000,'CDO Bespoke'!F112,'CDO Bespoke'!$L88,'CDO Bespoke'!$C$13,'CDO Bespoke'!$C$14,'CDO Bespoke'!$C$15,'CDO Bespoke'!$C$8,,,TRUE,TRUE,FALSE,'CDO Bespoke'!$C$29:'CDO Bespoke'!$C$31,'CDO Bespoke'!$C$33),{5})),"")</f>
        <v>#VALUE!</v>
      </c>
      <c r="Q87" s="542" t="e" cm="1">
        <f t="array" ref="Q87">IF($O87&lt;&gt;"",-TRANSPOSE(INDEX(getcds('CDO Bespoke'!$C112,Q$13,'CDO Bespoke'!$G112/10000,'CDO Bespoke'!G112,'CDO Bespoke'!$L88,'CDO Bespoke'!$C$13,'CDO Bespoke'!$C$14,'CDO Bespoke'!$C$15,'CDO Bespoke'!$C$8,,,TRUE,TRUE,FALSE,'CDO Bespoke'!$C$29:'CDO Bespoke'!$C$31,'CDO Bespoke'!$C$33),{5})),"")</f>
        <v>#VALUE!</v>
      </c>
      <c r="R87" s="542" t="e" cm="1">
        <f t="array" ref="R87">IF($O87&lt;&gt;"",-TRANSPOSE(INDEX(getcds('CDO Bespoke'!$C112,R$13,'CDO Bespoke'!$G112/10000,'CDO Bespoke'!H112,'CDO Bespoke'!$L88,'CDO Bespoke'!$C$13,'CDO Bespoke'!$C$14,'CDO Bespoke'!$C$15,'CDO Bespoke'!$C$8,,,TRUE,TRUE,FALSE,'CDO Bespoke'!$C$29:'CDO Bespoke'!$C$31,'CDO Bespoke'!$C$33),{5})),"")</f>
        <v>#VALUE!</v>
      </c>
      <c r="S87" s="542" t="e" cm="1">
        <f t="array" ref="S87">IF($O87&lt;&gt;"",-TRANSPOSE(INDEX(getcds('CDO Bespoke'!$C112,S$13,'CDO Bespoke'!$G112/10000,'CDO Bespoke'!I112,'CDO Bespoke'!$L88,'CDO Bespoke'!$C$13,'CDO Bespoke'!$C$14,'CDO Bespoke'!$C$15,'CDO Bespoke'!$C$8,,,TRUE,TRUE,FALSE,'CDO Bespoke'!$C$29:'CDO Bespoke'!$C$31,'CDO Bespoke'!$C$33),{5})),"")</f>
        <v>#VALUE!</v>
      </c>
      <c r="T87" s="514" t="e" cm="1">
        <f t="array" ref="T87">IF($O87&lt;&gt;"",-TRANSPOSE(INDEX(getcds('CDO Bespoke'!$C112,T$13,'CDO Bespoke'!$G112/10000,'CDO Bespoke'!J112,'CDO Bespoke'!$L88,'CDO Bespoke'!$C$13,'CDO Bespoke'!$C$14,'CDO Bespoke'!$C$15,'CDO Bespoke'!$C$8,,,TRUE,TRUE,FALSE,'CDO Bespoke'!$C$29:'CDO Bespoke'!$C$31,'CDO Bespoke'!$C$33),{5})),"")</f>
        <v>#VALUE!</v>
      </c>
      <c r="U87" s="493"/>
      <c r="V87" s="529"/>
      <c r="W87" s="530"/>
      <c r="X87" s="530"/>
      <c r="Y87" s="530"/>
      <c r="Z87" s="530"/>
      <c r="AA87" s="530"/>
      <c r="AB87" s="530"/>
      <c r="AC87" s="530"/>
      <c r="AD87" s="530"/>
      <c r="AE87" s="531"/>
      <c r="AF87" s="539"/>
    </row>
    <row r="88" spans="6:32" s="281" customFormat="1" ht="12" thickBot="1">
      <c r="F88" s="501" t="str">
        <f>IF('CDO Bespoke'!O89&lt;&gt;"",'CDO Bespoke'!O89,"")</f>
        <v/>
      </c>
      <c r="G88" s="502" t="str">
        <f>IF(F88&lt;&gt;"",ABS(MIN(-0.75*('CDO Bespoke'!Q89+'CDO Bespoke'!T89)+'CDO Bespoke'!T89,0)),"")</f>
        <v/>
      </c>
      <c r="H88" s="502" t="str">
        <f t="shared" si="4"/>
        <v/>
      </c>
      <c r="I88" s="502" t="str">
        <f t="shared" si="7"/>
        <v/>
      </c>
      <c r="J88" s="501" t="str">
        <f>IF('CDO Bespoke'!O89&lt;&gt;"",'CDO Bespoke'!O89,"")</f>
        <v/>
      </c>
      <c r="K88" s="502" t="str">
        <f>IF(J88&lt;&gt;"",ABS(MIN(-0.75*('CDO Bespoke'!K89+'CDO Bespoke'!T89)+'CDO Bespoke'!T89,0)),"")</f>
        <v/>
      </c>
      <c r="L88" s="502" t="str">
        <f t="shared" si="5"/>
        <v/>
      </c>
      <c r="M88" s="506" t="str">
        <f t="shared" si="6"/>
        <v/>
      </c>
      <c r="O88" s="511" t="str">
        <f>IF('CDO Bespoke'!C113&lt;&gt;"",'CDO Bespoke'!C113,"")</f>
        <v>MonteDeiPaschi_MMR.EUR.SU</v>
      </c>
      <c r="P88" s="513" t="e" cm="1">
        <f t="array" ref="P88">IF($O88&lt;&gt;"",-TRANSPOSE(INDEX(getcds('CDO Bespoke'!$C113,P$13,'CDO Bespoke'!$G113/10000,'CDO Bespoke'!F113,'CDO Bespoke'!$L89,'CDO Bespoke'!$C$13,'CDO Bespoke'!$C$14,'CDO Bespoke'!$C$15,'CDO Bespoke'!$C$8,,,TRUE,TRUE,FALSE,'CDO Bespoke'!$C$29:'CDO Bespoke'!$C$31,'CDO Bespoke'!$C$33),{5})),"")</f>
        <v>#VALUE!</v>
      </c>
      <c r="Q88" s="542" t="e" cm="1">
        <f t="array" ref="Q88">IF($O88&lt;&gt;"",-TRANSPOSE(INDEX(getcds('CDO Bespoke'!$C113,Q$13,'CDO Bespoke'!$G113/10000,'CDO Bespoke'!G113,'CDO Bespoke'!$L89,'CDO Bespoke'!$C$13,'CDO Bespoke'!$C$14,'CDO Bespoke'!$C$15,'CDO Bespoke'!$C$8,,,TRUE,TRUE,FALSE,'CDO Bespoke'!$C$29:'CDO Bespoke'!$C$31,'CDO Bespoke'!$C$33),{5})),"")</f>
        <v>#VALUE!</v>
      </c>
      <c r="R88" s="542" t="e" cm="1">
        <f t="array" ref="R88">IF($O88&lt;&gt;"",-TRANSPOSE(INDEX(getcds('CDO Bespoke'!$C113,R$13,'CDO Bespoke'!$G113/10000,'CDO Bespoke'!H113,'CDO Bespoke'!$L89,'CDO Bespoke'!$C$13,'CDO Bespoke'!$C$14,'CDO Bespoke'!$C$15,'CDO Bespoke'!$C$8,,,TRUE,TRUE,FALSE,'CDO Bespoke'!$C$29:'CDO Bespoke'!$C$31,'CDO Bespoke'!$C$33),{5})),"")</f>
        <v>#VALUE!</v>
      </c>
      <c r="S88" s="542" t="e" cm="1">
        <f t="array" ref="S88">IF($O88&lt;&gt;"",-TRANSPOSE(INDEX(getcds('CDO Bespoke'!$C113,S$13,'CDO Bespoke'!$G113/10000,'CDO Bespoke'!I113,'CDO Bespoke'!$L89,'CDO Bespoke'!$C$13,'CDO Bespoke'!$C$14,'CDO Bespoke'!$C$15,'CDO Bespoke'!$C$8,,,TRUE,TRUE,FALSE,'CDO Bespoke'!$C$29:'CDO Bespoke'!$C$31,'CDO Bespoke'!$C$33),{5})),"")</f>
        <v>#VALUE!</v>
      </c>
      <c r="T88" s="514" t="e" cm="1">
        <f t="array" ref="T88">IF($O88&lt;&gt;"",-TRANSPOSE(INDEX(getcds('CDO Bespoke'!$C113,T$13,'CDO Bespoke'!$G113/10000,'CDO Bespoke'!J113,'CDO Bespoke'!$L89,'CDO Bespoke'!$C$13,'CDO Bespoke'!$C$14,'CDO Bespoke'!$C$15,'CDO Bespoke'!$C$8,,,TRUE,TRUE,FALSE,'CDO Bespoke'!$C$29:'CDO Bespoke'!$C$31,'CDO Bespoke'!$C$33),{5})),"")</f>
        <v>#VALUE!</v>
      </c>
      <c r="U88" s="493"/>
      <c r="V88" s="529"/>
      <c r="W88" s="530"/>
      <c r="X88" s="530"/>
      <c r="Y88" s="530"/>
      <c r="Z88" s="530"/>
      <c r="AA88" s="530"/>
      <c r="AB88" s="530"/>
      <c r="AC88" s="530"/>
      <c r="AD88" s="530"/>
      <c r="AE88" s="531"/>
      <c r="AF88" s="539"/>
    </row>
    <row r="89" spans="6:32" s="281" customFormat="1" ht="12" thickBot="1">
      <c r="F89" s="501" t="str">
        <f>IF('CDO Bespoke'!O90&lt;&gt;"",'CDO Bespoke'!O90,"")</f>
        <v/>
      </c>
      <c r="G89" s="502" t="str">
        <f>IF(F89&lt;&gt;"",ABS(MIN(-0.75*('CDO Bespoke'!Q90+'CDO Bespoke'!T90)+'CDO Bespoke'!T90,0)),"")</f>
        <v/>
      </c>
      <c r="H89" s="502" t="str">
        <f t="shared" si="4"/>
        <v/>
      </c>
      <c r="I89" s="502" t="str">
        <f t="shared" si="7"/>
        <v/>
      </c>
      <c r="J89" s="501" t="str">
        <f>IF('CDO Bespoke'!O90&lt;&gt;"",'CDO Bespoke'!O90,"")</f>
        <v/>
      </c>
      <c r="K89" s="502" t="str">
        <f>IF(J89&lt;&gt;"",ABS(MIN(-0.75*('CDO Bespoke'!K90+'CDO Bespoke'!T90)+'CDO Bespoke'!T90,0)),"")</f>
        <v/>
      </c>
      <c r="L89" s="502" t="str">
        <f t="shared" si="5"/>
        <v/>
      </c>
      <c r="M89" s="506" t="str">
        <f t="shared" si="6"/>
        <v/>
      </c>
      <c r="O89" s="511" t="str">
        <f>IF('CDO Bespoke'!C114&lt;&gt;"",'CDO Bespoke'!C114,"")</f>
        <v>MunichRe_MMR.EUR.SU</v>
      </c>
      <c r="P89" s="513" t="e" cm="1">
        <f t="array" ref="P89">IF($O89&lt;&gt;"",-TRANSPOSE(INDEX(getcds('CDO Bespoke'!$C114,P$13,'CDO Bespoke'!$G114/10000,'CDO Bespoke'!F114,'CDO Bespoke'!$L90,'CDO Bespoke'!$C$13,'CDO Bespoke'!$C$14,'CDO Bespoke'!$C$15,'CDO Bespoke'!$C$8,,,TRUE,TRUE,FALSE,'CDO Bespoke'!$C$29:'CDO Bespoke'!$C$31,'CDO Bespoke'!$C$33),{5})),"")</f>
        <v>#VALUE!</v>
      </c>
      <c r="Q89" s="542" t="e" cm="1">
        <f t="array" ref="Q89">IF($O89&lt;&gt;"",-TRANSPOSE(INDEX(getcds('CDO Bespoke'!$C114,Q$13,'CDO Bespoke'!$G114/10000,'CDO Bespoke'!G114,'CDO Bespoke'!$L90,'CDO Bespoke'!$C$13,'CDO Bespoke'!$C$14,'CDO Bespoke'!$C$15,'CDO Bespoke'!$C$8,,,TRUE,TRUE,FALSE,'CDO Bespoke'!$C$29:'CDO Bespoke'!$C$31,'CDO Bespoke'!$C$33),{5})),"")</f>
        <v>#VALUE!</v>
      </c>
      <c r="R89" s="542" t="e" cm="1">
        <f t="array" ref="R89">IF($O89&lt;&gt;"",-TRANSPOSE(INDEX(getcds('CDO Bespoke'!$C114,R$13,'CDO Bespoke'!$G114/10000,'CDO Bespoke'!H114,'CDO Bespoke'!$L90,'CDO Bespoke'!$C$13,'CDO Bespoke'!$C$14,'CDO Bespoke'!$C$15,'CDO Bespoke'!$C$8,,,TRUE,TRUE,FALSE,'CDO Bespoke'!$C$29:'CDO Bespoke'!$C$31,'CDO Bespoke'!$C$33),{5})),"")</f>
        <v>#VALUE!</v>
      </c>
      <c r="S89" s="542" t="e" cm="1">
        <f t="array" ref="S89">IF($O89&lt;&gt;"",-TRANSPOSE(INDEX(getcds('CDO Bespoke'!$C114,S$13,'CDO Bespoke'!$G114/10000,'CDO Bespoke'!I114,'CDO Bespoke'!$L90,'CDO Bespoke'!$C$13,'CDO Bespoke'!$C$14,'CDO Bespoke'!$C$15,'CDO Bespoke'!$C$8,,,TRUE,TRUE,FALSE,'CDO Bespoke'!$C$29:'CDO Bespoke'!$C$31,'CDO Bespoke'!$C$33),{5})),"")</f>
        <v>#VALUE!</v>
      </c>
      <c r="T89" s="514" t="e" cm="1">
        <f t="array" ref="T89">IF($O89&lt;&gt;"",-TRANSPOSE(INDEX(getcds('CDO Bespoke'!$C114,T$13,'CDO Bespoke'!$G114/10000,'CDO Bespoke'!J114,'CDO Bespoke'!$L90,'CDO Bespoke'!$C$13,'CDO Bespoke'!$C$14,'CDO Bespoke'!$C$15,'CDO Bespoke'!$C$8,,,TRUE,TRUE,FALSE,'CDO Bespoke'!$C$29:'CDO Bespoke'!$C$31,'CDO Bespoke'!$C$33),{5})),"")</f>
        <v>#VALUE!</v>
      </c>
      <c r="U89" s="493"/>
      <c r="V89" s="529"/>
      <c r="W89" s="530"/>
      <c r="X89" s="530"/>
      <c r="Y89" s="530"/>
      <c r="Z89" s="530"/>
      <c r="AA89" s="530"/>
      <c r="AB89" s="530"/>
      <c r="AC89" s="530"/>
      <c r="AD89" s="530"/>
      <c r="AE89" s="531"/>
      <c r="AF89" s="539"/>
    </row>
    <row r="90" spans="6:32" s="281" customFormat="1" ht="12" thickBot="1">
      <c r="F90" s="501" t="str">
        <f>IF('CDO Bespoke'!O91&lt;&gt;"",'CDO Bespoke'!O91,"")</f>
        <v/>
      </c>
      <c r="G90" s="502" t="str">
        <f>IF(F90&lt;&gt;"",ABS(MIN(-0.75*('CDO Bespoke'!Q91+'CDO Bespoke'!T91)+'CDO Bespoke'!T91,0)),"")</f>
        <v/>
      </c>
      <c r="H90" s="502" t="str">
        <f t="shared" si="4"/>
        <v/>
      </c>
      <c r="I90" s="502" t="str">
        <f t="shared" si="7"/>
        <v/>
      </c>
      <c r="J90" s="501" t="str">
        <f>IF('CDO Bespoke'!O91&lt;&gt;"",'CDO Bespoke'!O91,"")</f>
        <v/>
      </c>
      <c r="K90" s="502" t="str">
        <f>IF(J90&lt;&gt;"",ABS(MIN(-0.75*('CDO Bespoke'!K91+'CDO Bespoke'!T91)+'CDO Bespoke'!T91,0)),"")</f>
        <v/>
      </c>
      <c r="L90" s="502" t="str">
        <f t="shared" si="5"/>
        <v/>
      </c>
      <c r="M90" s="506" t="str">
        <f t="shared" si="6"/>
        <v/>
      </c>
      <c r="O90" s="511" t="str">
        <f>IF('CDO Bespoke'!C115&lt;&gt;"",'CDO Bespoke'!C115,"")</f>
        <v>NationalGridTranscoPlc_MMR.EUR.SU</v>
      </c>
      <c r="P90" s="513" t="e" cm="1">
        <f t="array" ref="P90">IF($O90&lt;&gt;"",-TRANSPOSE(INDEX(getcds('CDO Bespoke'!$C115,P$13,'CDO Bespoke'!$G115/10000,'CDO Bespoke'!F115,'CDO Bespoke'!$L91,'CDO Bespoke'!$C$13,'CDO Bespoke'!$C$14,'CDO Bespoke'!$C$15,'CDO Bespoke'!$C$8,,,TRUE,TRUE,FALSE,'CDO Bespoke'!$C$29:'CDO Bespoke'!$C$31,'CDO Bespoke'!$C$33),{5})),"")</f>
        <v>#VALUE!</v>
      </c>
      <c r="Q90" s="542" t="e" cm="1">
        <f t="array" ref="Q90">IF($O90&lt;&gt;"",-TRANSPOSE(INDEX(getcds('CDO Bespoke'!$C115,Q$13,'CDO Bespoke'!$G115/10000,'CDO Bespoke'!G115,'CDO Bespoke'!$L91,'CDO Bespoke'!$C$13,'CDO Bespoke'!$C$14,'CDO Bespoke'!$C$15,'CDO Bespoke'!$C$8,,,TRUE,TRUE,FALSE,'CDO Bespoke'!$C$29:'CDO Bespoke'!$C$31,'CDO Bespoke'!$C$33),{5})),"")</f>
        <v>#VALUE!</v>
      </c>
      <c r="R90" s="542" t="e" cm="1">
        <f t="array" ref="R90">IF($O90&lt;&gt;"",-TRANSPOSE(INDEX(getcds('CDO Bespoke'!$C115,R$13,'CDO Bespoke'!$G115/10000,'CDO Bespoke'!H115,'CDO Bespoke'!$L91,'CDO Bespoke'!$C$13,'CDO Bespoke'!$C$14,'CDO Bespoke'!$C$15,'CDO Bespoke'!$C$8,,,TRUE,TRUE,FALSE,'CDO Bespoke'!$C$29:'CDO Bespoke'!$C$31,'CDO Bespoke'!$C$33),{5})),"")</f>
        <v>#VALUE!</v>
      </c>
      <c r="S90" s="542" t="e" cm="1">
        <f t="array" ref="S90">IF($O90&lt;&gt;"",-TRANSPOSE(INDEX(getcds('CDO Bespoke'!$C115,S$13,'CDO Bespoke'!$G115/10000,'CDO Bespoke'!I115,'CDO Bespoke'!$L91,'CDO Bespoke'!$C$13,'CDO Bespoke'!$C$14,'CDO Bespoke'!$C$15,'CDO Bespoke'!$C$8,,,TRUE,TRUE,FALSE,'CDO Bespoke'!$C$29:'CDO Bespoke'!$C$31,'CDO Bespoke'!$C$33),{5})),"")</f>
        <v>#VALUE!</v>
      </c>
      <c r="T90" s="514" t="e" cm="1">
        <f t="array" ref="T90">IF($O90&lt;&gt;"",-TRANSPOSE(INDEX(getcds('CDO Bespoke'!$C115,T$13,'CDO Bespoke'!$G115/10000,'CDO Bespoke'!J115,'CDO Bespoke'!$L91,'CDO Bespoke'!$C$13,'CDO Bespoke'!$C$14,'CDO Bespoke'!$C$15,'CDO Bespoke'!$C$8,,,TRUE,TRUE,FALSE,'CDO Bespoke'!$C$29:'CDO Bespoke'!$C$31,'CDO Bespoke'!$C$33),{5})),"")</f>
        <v>#VALUE!</v>
      </c>
      <c r="U90" s="493"/>
      <c r="V90" s="529"/>
      <c r="W90" s="530"/>
      <c r="X90" s="530"/>
      <c r="Y90" s="530"/>
      <c r="Z90" s="530"/>
      <c r="AA90" s="530"/>
      <c r="AB90" s="530"/>
      <c r="AC90" s="530"/>
      <c r="AD90" s="530"/>
      <c r="AE90" s="531"/>
      <c r="AF90" s="539"/>
    </row>
    <row r="91" spans="6:32" s="281" customFormat="1" ht="12" thickBot="1">
      <c r="F91" s="501" t="str">
        <f>IF('CDO Bespoke'!O92&lt;&gt;"",'CDO Bespoke'!O92,"")</f>
        <v/>
      </c>
      <c r="G91" s="502" t="str">
        <f>IF(F91&lt;&gt;"",ABS(MIN(-0.75*('CDO Bespoke'!Q92+'CDO Bespoke'!T92)+'CDO Bespoke'!T92,0)),"")</f>
        <v/>
      </c>
      <c r="H91" s="502" t="str">
        <f t="shared" si="4"/>
        <v/>
      </c>
      <c r="I91" s="502" t="str">
        <f t="shared" si="7"/>
        <v/>
      </c>
      <c r="J91" s="501" t="str">
        <f>IF('CDO Bespoke'!O92&lt;&gt;"",'CDO Bespoke'!O92,"")</f>
        <v/>
      </c>
      <c r="K91" s="502" t="str">
        <f>IF(J91&lt;&gt;"",ABS(MIN(-0.75*('CDO Bespoke'!K92+'CDO Bespoke'!T92)+'CDO Bespoke'!T92,0)),"")</f>
        <v/>
      </c>
      <c r="L91" s="502" t="str">
        <f t="shared" si="5"/>
        <v/>
      </c>
      <c r="M91" s="506" t="str">
        <f t="shared" si="6"/>
        <v/>
      </c>
      <c r="O91" s="511" t="str">
        <f>IF('CDO Bespoke'!C116&lt;&gt;"",'CDO Bespoke'!C116,"")</f>
        <v>NextPlc_MMR.EUR.SU</v>
      </c>
      <c r="P91" s="513" t="e" cm="1">
        <f t="array" ref="P91">IF($O91&lt;&gt;"",-TRANSPOSE(INDEX(getcds('CDO Bespoke'!$C116,P$13,'CDO Bespoke'!$G116/10000,'CDO Bespoke'!F116,'CDO Bespoke'!$L92,'CDO Bespoke'!$C$13,'CDO Bespoke'!$C$14,'CDO Bespoke'!$C$15,'CDO Bespoke'!$C$8,,,TRUE,TRUE,FALSE,'CDO Bespoke'!$C$29:'CDO Bespoke'!$C$31,'CDO Bespoke'!$C$33),{5})),"")</f>
        <v>#REF!</v>
      </c>
      <c r="Q91" s="542" t="e" cm="1">
        <f t="array" ref="Q91">IF($O91&lt;&gt;"",-TRANSPOSE(INDEX(getcds('CDO Bespoke'!$C116,Q$13,'CDO Bespoke'!$G116/10000,'CDO Bespoke'!G116,'CDO Bespoke'!$L92,'CDO Bespoke'!$C$13,'CDO Bespoke'!$C$14,'CDO Bespoke'!$C$15,'CDO Bespoke'!$C$8,,,TRUE,TRUE,FALSE,'CDO Bespoke'!$C$29:'CDO Bespoke'!$C$31,'CDO Bespoke'!$C$33),{5})),"")</f>
        <v>#REF!</v>
      </c>
      <c r="R91" s="542" t="e" cm="1">
        <f t="array" ref="R91">IF($O91&lt;&gt;"",-TRANSPOSE(INDEX(getcds('CDO Bespoke'!$C116,R$13,'CDO Bespoke'!$G116/10000,'CDO Bespoke'!H116,'CDO Bespoke'!$L92,'CDO Bespoke'!$C$13,'CDO Bespoke'!$C$14,'CDO Bespoke'!$C$15,'CDO Bespoke'!$C$8,,,TRUE,TRUE,FALSE,'CDO Bespoke'!$C$29:'CDO Bespoke'!$C$31,'CDO Bespoke'!$C$33),{5})),"")</f>
        <v>#REF!</v>
      </c>
      <c r="S91" s="542" t="e" cm="1">
        <f t="array" ref="S91">IF($O91&lt;&gt;"",-TRANSPOSE(INDEX(getcds('CDO Bespoke'!$C116,S$13,'CDO Bespoke'!$G116/10000,'CDO Bespoke'!I116,'CDO Bespoke'!$L92,'CDO Bespoke'!$C$13,'CDO Bespoke'!$C$14,'CDO Bespoke'!$C$15,'CDO Bespoke'!$C$8,,,TRUE,TRUE,FALSE,'CDO Bespoke'!$C$29:'CDO Bespoke'!$C$31,'CDO Bespoke'!$C$33),{5})),"")</f>
        <v>#REF!</v>
      </c>
      <c r="T91" s="514" t="e" cm="1">
        <f t="array" ref="T91">IF($O91&lt;&gt;"",-TRANSPOSE(INDEX(getcds('CDO Bespoke'!$C116,T$13,'CDO Bespoke'!$G116/10000,'CDO Bespoke'!J116,'CDO Bespoke'!$L92,'CDO Bespoke'!$C$13,'CDO Bespoke'!$C$14,'CDO Bespoke'!$C$15,'CDO Bespoke'!$C$8,,,TRUE,TRUE,FALSE,'CDO Bespoke'!$C$29:'CDO Bespoke'!$C$31,'CDO Bespoke'!$C$33),{5})),"")</f>
        <v>#REF!</v>
      </c>
      <c r="U91" s="493"/>
      <c r="V91" s="529"/>
      <c r="W91" s="530"/>
      <c r="X91" s="530"/>
      <c r="Y91" s="530"/>
      <c r="Z91" s="530"/>
      <c r="AA91" s="530"/>
      <c r="AB91" s="530"/>
      <c r="AC91" s="530"/>
      <c r="AD91" s="530"/>
      <c r="AE91" s="531"/>
      <c r="AF91" s="539"/>
    </row>
    <row r="92" spans="6:32" s="281" customFormat="1" ht="12" thickBot="1">
      <c r="F92" s="501" t="str">
        <f>IF('CDO Bespoke'!O93&lt;&gt;"",'CDO Bespoke'!O93,"")</f>
        <v/>
      </c>
      <c r="G92" s="502" t="str">
        <f>IF(F92&lt;&gt;"",ABS(MIN(-0.75*('CDO Bespoke'!Q93+'CDO Bespoke'!T93)+'CDO Bespoke'!T93,0)),"")</f>
        <v/>
      </c>
      <c r="H92" s="502" t="str">
        <f t="shared" si="4"/>
        <v/>
      </c>
      <c r="I92" s="502" t="str">
        <f t="shared" si="7"/>
        <v/>
      </c>
      <c r="J92" s="501" t="str">
        <f>IF('CDO Bespoke'!O93&lt;&gt;"",'CDO Bespoke'!O93,"")</f>
        <v/>
      </c>
      <c r="K92" s="502" t="str">
        <f>IF(J92&lt;&gt;"",ABS(MIN(-0.75*('CDO Bespoke'!K93+'CDO Bespoke'!T93)+'CDO Bespoke'!T93,0)),"")</f>
        <v/>
      </c>
      <c r="L92" s="502" t="str">
        <f t="shared" si="5"/>
        <v/>
      </c>
      <c r="M92" s="506" t="str">
        <f t="shared" si="6"/>
        <v/>
      </c>
      <c r="O92" s="511" t="str">
        <f>IF('CDO Bespoke'!C117&lt;&gt;"",'CDO Bespoke'!C117,"")</f>
        <v>Pearson_MMR.EUR.SU</v>
      </c>
      <c r="P92" s="513" t="e" cm="1">
        <f t="array" ref="P92">IF($O92&lt;&gt;"",-TRANSPOSE(INDEX(getcds('CDO Bespoke'!$C117,P$13,'CDO Bespoke'!$G117/10000,'CDO Bespoke'!F117,'CDO Bespoke'!$L93,'CDO Bespoke'!$C$13,'CDO Bespoke'!$C$14,'CDO Bespoke'!$C$15,'CDO Bespoke'!$C$8,,,TRUE,TRUE,FALSE,'CDO Bespoke'!$C$29:'CDO Bespoke'!$C$31,'CDO Bespoke'!$C$33),{5})),"")</f>
        <v>#VALUE!</v>
      </c>
      <c r="Q92" s="542" t="e" cm="1">
        <f t="array" ref="Q92">IF($O92&lt;&gt;"",-TRANSPOSE(INDEX(getcds('CDO Bespoke'!$C117,Q$13,'CDO Bespoke'!$G117/10000,'CDO Bespoke'!G117,'CDO Bespoke'!$L93,'CDO Bespoke'!$C$13,'CDO Bespoke'!$C$14,'CDO Bespoke'!$C$15,'CDO Bespoke'!$C$8,,,TRUE,TRUE,FALSE,'CDO Bespoke'!$C$29:'CDO Bespoke'!$C$31,'CDO Bespoke'!$C$33),{5})),"")</f>
        <v>#REF!</v>
      </c>
      <c r="R92" s="542" t="e" cm="1">
        <f t="array" ref="R92">IF($O92&lt;&gt;"",-TRANSPOSE(INDEX(getcds('CDO Bespoke'!$C117,R$13,'CDO Bespoke'!$G117/10000,'CDO Bespoke'!H117,'CDO Bespoke'!$L93,'CDO Bespoke'!$C$13,'CDO Bespoke'!$C$14,'CDO Bespoke'!$C$15,'CDO Bespoke'!$C$8,,,TRUE,TRUE,FALSE,'CDO Bespoke'!$C$29:'CDO Bespoke'!$C$31,'CDO Bespoke'!$C$33),{5})),"")</f>
        <v>#REF!</v>
      </c>
      <c r="S92" s="542" t="e" cm="1">
        <f t="array" ref="S92">IF($O92&lt;&gt;"",-TRANSPOSE(INDEX(getcds('CDO Bespoke'!$C117,S$13,'CDO Bespoke'!$G117/10000,'CDO Bespoke'!I117,'CDO Bespoke'!$L93,'CDO Bespoke'!$C$13,'CDO Bespoke'!$C$14,'CDO Bespoke'!$C$15,'CDO Bespoke'!$C$8,,,TRUE,TRUE,FALSE,'CDO Bespoke'!$C$29:'CDO Bespoke'!$C$31,'CDO Bespoke'!$C$33),{5})),"")</f>
        <v>#REF!</v>
      </c>
      <c r="T92" s="514" t="e" cm="1">
        <f t="array" ref="T92">IF($O92&lt;&gt;"",-TRANSPOSE(INDEX(getcds('CDO Bespoke'!$C117,T$13,'CDO Bespoke'!$G117/10000,'CDO Bespoke'!J117,'CDO Bespoke'!$L93,'CDO Bespoke'!$C$13,'CDO Bespoke'!$C$14,'CDO Bespoke'!$C$15,'CDO Bespoke'!$C$8,,,TRUE,TRUE,FALSE,'CDO Bespoke'!$C$29:'CDO Bespoke'!$C$31,'CDO Bespoke'!$C$33),{5})),"")</f>
        <v>#REF!</v>
      </c>
      <c r="U92" s="493"/>
      <c r="V92" s="529"/>
      <c r="W92" s="530"/>
      <c r="X92" s="530"/>
      <c r="Y92" s="530"/>
      <c r="Z92" s="530"/>
      <c r="AA92" s="530"/>
      <c r="AB92" s="530"/>
      <c r="AC92" s="530"/>
      <c r="AD92" s="530"/>
      <c r="AE92" s="531"/>
      <c r="AF92" s="539"/>
    </row>
    <row r="93" spans="6:32" s="281" customFormat="1" ht="12" thickBot="1">
      <c r="F93" s="501" t="str">
        <f>IF('CDO Bespoke'!O94&lt;&gt;"",'CDO Bespoke'!O94,"")</f>
        <v/>
      </c>
      <c r="G93" s="502" t="str">
        <f>IF(F93&lt;&gt;"",ABS(MIN(-0.75*('CDO Bespoke'!Q94+'CDO Bespoke'!T94)+'CDO Bespoke'!T94,0)),"")</f>
        <v/>
      </c>
      <c r="H93" s="502" t="str">
        <f t="shared" si="4"/>
        <v/>
      </c>
      <c r="I93" s="502" t="str">
        <f t="shared" si="7"/>
        <v/>
      </c>
      <c r="J93" s="501" t="str">
        <f>IF('CDO Bespoke'!O94&lt;&gt;"",'CDO Bespoke'!O94,"")</f>
        <v/>
      </c>
      <c r="K93" s="502" t="str">
        <f>IF(J93&lt;&gt;"",ABS(MIN(-0.75*('CDO Bespoke'!K94+'CDO Bespoke'!T94)+'CDO Bespoke'!T94,0)),"")</f>
        <v/>
      </c>
      <c r="L93" s="502" t="str">
        <f t="shared" si="5"/>
        <v/>
      </c>
      <c r="M93" s="506" t="str">
        <f t="shared" si="6"/>
        <v/>
      </c>
      <c r="O93" s="511" t="str">
        <f>IF('CDO Bespoke'!C118&lt;&gt;"",'CDO Bespoke'!C118,"")</f>
        <v>Peugeot_MMR.EUR.SU</v>
      </c>
      <c r="P93" s="513" t="e" cm="1">
        <f t="array" ref="P93">IF($O93&lt;&gt;"",-TRANSPOSE(INDEX(getcds('CDO Bespoke'!$C118,P$13,'CDO Bespoke'!$G118/10000,'CDO Bespoke'!F118,'CDO Bespoke'!$L94,'CDO Bespoke'!$C$13,'CDO Bespoke'!$C$14,'CDO Bespoke'!$C$15,'CDO Bespoke'!$C$8,,,TRUE,TRUE,FALSE,'CDO Bespoke'!$C$29:'CDO Bespoke'!$C$31,'CDO Bespoke'!$C$33),{5})),"")</f>
        <v>#VALUE!</v>
      </c>
      <c r="Q93" s="542" t="e" cm="1">
        <f t="array" ref="Q93">IF($O93&lt;&gt;"",-TRANSPOSE(INDEX(getcds('CDO Bespoke'!$C118,Q$13,'CDO Bespoke'!$G118/10000,'CDO Bespoke'!G118,'CDO Bespoke'!$L94,'CDO Bespoke'!$C$13,'CDO Bespoke'!$C$14,'CDO Bespoke'!$C$15,'CDO Bespoke'!$C$8,,,TRUE,TRUE,FALSE,'CDO Bespoke'!$C$29:'CDO Bespoke'!$C$31,'CDO Bespoke'!$C$33),{5})),"")</f>
        <v>#VALUE!</v>
      </c>
      <c r="R93" s="542" t="e" cm="1">
        <f t="array" ref="R93">IF($O93&lt;&gt;"",-TRANSPOSE(INDEX(getcds('CDO Bespoke'!$C118,R$13,'CDO Bespoke'!$G118/10000,'CDO Bespoke'!H118,'CDO Bespoke'!$L94,'CDO Bespoke'!$C$13,'CDO Bespoke'!$C$14,'CDO Bespoke'!$C$15,'CDO Bespoke'!$C$8,,,TRUE,TRUE,FALSE,'CDO Bespoke'!$C$29:'CDO Bespoke'!$C$31,'CDO Bespoke'!$C$33),{5})),"")</f>
        <v>#VALUE!</v>
      </c>
      <c r="S93" s="542" t="e" cm="1">
        <f t="array" ref="S93">IF($O93&lt;&gt;"",-TRANSPOSE(INDEX(getcds('CDO Bespoke'!$C118,S$13,'CDO Bespoke'!$G118/10000,'CDO Bespoke'!I118,'CDO Bespoke'!$L94,'CDO Bespoke'!$C$13,'CDO Bespoke'!$C$14,'CDO Bespoke'!$C$15,'CDO Bespoke'!$C$8,,,TRUE,TRUE,FALSE,'CDO Bespoke'!$C$29:'CDO Bespoke'!$C$31,'CDO Bespoke'!$C$33),{5})),"")</f>
        <v>#VALUE!</v>
      </c>
      <c r="T93" s="514" t="e" cm="1">
        <f t="array" ref="T93">IF($O93&lt;&gt;"",-TRANSPOSE(INDEX(getcds('CDO Bespoke'!$C118,T$13,'CDO Bespoke'!$G118/10000,'CDO Bespoke'!J118,'CDO Bespoke'!$L94,'CDO Bespoke'!$C$13,'CDO Bespoke'!$C$14,'CDO Bespoke'!$C$15,'CDO Bespoke'!$C$8,,,TRUE,TRUE,FALSE,'CDO Bespoke'!$C$29:'CDO Bespoke'!$C$31,'CDO Bespoke'!$C$33),{5})),"")</f>
        <v>#VALUE!</v>
      </c>
      <c r="U93" s="493"/>
      <c r="V93" s="529"/>
      <c r="W93" s="530"/>
      <c r="X93" s="530"/>
      <c r="Y93" s="530"/>
      <c r="Z93" s="530"/>
      <c r="AA93" s="530"/>
      <c r="AB93" s="530"/>
      <c r="AC93" s="530"/>
      <c r="AD93" s="530"/>
      <c r="AE93" s="531"/>
      <c r="AF93" s="539"/>
    </row>
    <row r="94" spans="6:32" s="281" customFormat="1" ht="12" thickBot="1">
      <c r="F94" s="501" t="str">
        <f>IF('CDO Bespoke'!O95&lt;&gt;"",'CDO Bespoke'!O95,"")</f>
        <v/>
      </c>
      <c r="G94" s="502" t="str">
        <f>IF(F94&lt;&gt;"",ABS(MIN(-0.75*('CDO Bespoke'!Q95+'CDO Bespoke'!T95)+'CDO Bespoke'!T95,0)),"")</f>
        <v/>
      </c>
      <c r="H94" s="502" t="str">
        <f t="shared" si="4"/>
        <v/>
      </c>
      <c r="I94" s="502" t="str">
        <f t="shared" si="7"/>
        <v/>
      </c>
      <c r="J94" s="501" t="str">
        <f>IF('CDO Bespoke'!O95&lt;&gt;"",'CDO Bespoke'!O95,"")</f>
        <v/>
      </c>
      <c r="K94" s="502" t="str">
        <f>IF(J94&lt;&gt;"",ABS(MIN(-0.75*('CDO Bespoke'!K95+'CDO Bespoke'!T95)+'CDO Bespoke'!T95,0)),"")</f>
        <v/>
      </c>
      <c r="L94" s="502" t="str">
        <f t="shared" si="5"/>
        <v/>
      </c>
      <c r="M94" s="506" t="str">
        <f t="shared" si="6"/>
        <v/>
      </c>
      <c r="O94" s="511" t="str">
        <f>IF('CDO Bespoke'!C119&lt;&gt;"",'CDO Bespoke'!C119,"")</f>
        <v>PhilipsElec_MMR.EUR.SU</v>
      </c>
      <c r="P94" s="513" t="e" cm="1">
        <f t="array" ref="P94">IF($O94&lt;&gt;"",-TRANSPOSE(INDEX(getcds('CDO Bespoke'!$C119,P$13,'CDO Bespoke'!$G119/10000,'CDO Bespoke'!F119,'CDO Bespoke'!$L95,'CDO Bespoke'!$C$13,'CDO Bespoke'!$C$14,'CDO Bespoke'!$C$15,'CDO Bespoke'!$C$8,,,TRUE,TRUE,FALSE,'CDO Bespoke'!$C$29:'CDO Bespoke'!$C$31,'CDO Bespoke'!$C$33),{5})),"")</f>
        <v>#VALUE!</v>
      </c>
      <c r="Q94" s="542" t="e" cm="1">
        <f t="array" ref="Q94">IF($O94&lt;&gt;"",-TRANSPOSE(INDEX(getcds('CDO Bespoke'!$C119,Q$13,'CDO Bespoke'!$G119/10000,'CDO Bespoke'!G119,'CDO Bespoke'!$L95,'CDO Bespoke'!$C$13,'CDO Bespoke'!$C$14,'CDO Bespoke'!$C$15,'CDO Bespoke'!$C$8,,,TRUE,TRUE,FALSE,'CDO Bespoke'!$C$29:'CDO Bespoke'!$C$31,'CDO Bespoke'!$C$33),{5})),"")</f>
        <v>#VALUE!</v>
      </c>
      <c r="R94" s="542" t="e" cm="1">
        <f t="array" ref="R94">IF($O94&lt;&gt;"",-TRANSPOSE(INDEX(getcds('CDO Bespoke'!$C119,R$13,'CDO Bespoke'!$G119/10000,'CDO Bespoke'!H119,'CDO Bespoke'!$L95,'CDO Bespoke'!$C$13,'CDO Bespoke'!$C$14,'CDO Bespoke'!$C$15,'CDO Bespoke'!$C$8,,,TRUE,TRUE,FALSE,'CDO Bespoke'!$C$29:'CDO Bespoke'!$C$31,'CDO Bespoke'!$C$33),{5})),"")</f>
        <v>#VALUE!</v>
      </c>
      <c r="S94" s="542" t="e" cm="1">
        <f t="array" ref="S94">IF($O94&lt;&gt;"",-TRANSPOSE(INDEX(getcds('CDO Bespoke'!$C119,S$13,'CDO Bespoke'!$G119/10000,'CDO Bespoke'!I119,'CDO Bespoke'!$L95,'CDO Bespoke'!$C$13,'CDO Bespoke'!$C$14,'CDO Bespoke'!$C$15,'CDO Bespoke'!$C$8,,,TRUE,TRUE,FALSE,'CDO Bespoke'!$C$29:'CDO Bespoke'!$C$31,'CDO Bespoke'!$C$33),{5})),"")</f>
        <v>#VALUE!</v>
      </c>
      <c r="T94" s="514" t="e" cm="1">
        <f t="array" ref="T94">IF($O94&lt;&gt;"",-TRANSPOSE(INDEX(getcds('CDO Bespoke'!$C119,T$13,'CDO Bespoke'!$G119/10000,'CDO Bespoke'!J119,'CDO Bespoke'!$L95,'CDO Bespoke'!$C$13,'CDO Bespoke'!$C$14,'CDO Bespoke'!$C$15,'CDO Bespoke'!$C$8,,,TRUE,TRUE,FALSE,'CDO Bespoke'!$C$29:'CDO Bespoke'!$C$31,'CDO Bespoke'!$C$33),{5})),"")</f>
        <v>#VALUE!</v>
      </c>
      <c r="U94" s="493"/>
      <c r="V94" s="529"/>
      <c r="W94" s="530"/>
      <c r="X94" s="530"/>
      <c r="Y94" s="530"/>
      <c r="Z94" s="530"/>
      <c r="AA94" s="530"/>
      <c r="AB94" s="530"/>
      <c r="AC94" s="530"/>
      <c r="AD94" s="530"/>
      <c r="AE94" s="531"/>
      <c r="AF94" s="539"/>
    </row>
    <row r="95" spans="6:32" s="281" customFormat="1" ht="12" thickBot="1">
      <c r="F95" s="501" t="str">
        <f>IF('CDO Bespoke'!O96&lt;&gt;"",'CDO Bespoke'!O96,"")</f>
        <v/>
      </c>
      <c r="G95" s="502" t="str">
        <f>IF(F95&lt;&gt;"",ABS(MIN(-0.75*('CDO Bespoke'!Q96+'CDO Bespoke'!T96)+'CDO Bespoke'!T96,0)),"")</f>
        <v/>
      </c>
      <c r="H95" s="502" t="str">
        <f t="shared" si="4"/>
        <v/>
      </c>
      <c r="I95" s="502" t="str">
        <f t="shared" si="7"/>
        <v/>
      </c>
      <c r="J95" s="501" t="str">
        <f>IF('CDO Bespoke'!O96&lt;&gt;"",'CDO Bespoke'!O96,"")</f>
        <v/>
      </c>
      <c r="K95" s="502" t="str">
        <f>IF(J95&lt;&gt;"",ABS(MIN(-0.75*('CDO Bespoke'!K96+'CDO Bespoke'!T96)+'CDO Bespoke'!T96,0)),"")</f>
        <v/>
      </c>
      <c r="L95" s="502" t="str">
        <f t="shared" si="5"/>
        <v/>
      </c>
      <c r="M95" s="506" t="str">
        <f t="shared" si="6"/>
        <v/>
      </c>
      <c r="O95" s="511" t="str">
        <f>IF('CDO Bespoke'!C120&lt;&gt;"",'CDO Bespoke'!C120,"")</f>
        <v>PinaultPrintemps_MMR.EUR.SU</v>
      </c>
      <c r="P95" s="513" t="e" cm="1">
        <f t="array" ref="P95">IF($O95&lt;&gt;"",-TRANSPOSE(INDEX(getcds('CDO Bespoke'!$C120,P$13,'CDO Bespoke'!$G120/10000,'CDO Bespoke'!F120,'CDO Bespoke'!$L96,'CDO Bespoke'!$C$13,'CDO Bespoke'!$C$14,'CDO Bespoke'!$C$15,'CDO Bespoke'!$C$8,,,TRUE,TRUE,FALSE,'CDO Bespoke'!$C$29:'CDO Bespoke'!$C$31,'CDO Bespoke'!$C$33),{5})),"")</f>
        <v>#VALUE!</v>
      </c>
      <c r="Q95" s="542" t="e" cm="1">
        <f t="array" ref="Q95">IF($O95&lt;&gt;"",-TRANSPOSE(INDEX(getcds('CDO Bespoke'!$C120,Q$13,'CDO Bespoke'!$G120/10000,'CDO Bespoke'!G120,'CDO Bespoke'!$L96,'CDO Bespoke'!$C$13,'CDO Bespoke'!$C$14,'CDO Bespoke'!$C$15,'CDO Bespoke'!$C$8,,,TRUE,TRUE,FALSE,'CDO Bespoke'!$C$29:'CDO Bespoke'!$C$31,'CDO Bespoke'!$C$33),{5})),"")</f>
        <v>#VALUE!</v>
      </c>
      <c r="R95" s="542" t="e" cm="1">
        <f t="array" ref="R95">IF($O95&lt;&gt;"",-TRANSPOSE(INDEX(getcds('CDO Bespoke'!$C120,R$13,'CDO Bespoke'!$G120/10000,'CDO Bespoke'!H120,'CDO Bespoke'!$L96,'CDO Bespoke'!$C$13,'CDO Bespoke'!$C$14,'CDO Bespoke'!$C$15,'CDO Bespoke'!$C$8,,,TRUE,TRUE,FALSE,'CDO Bespoke'!$C$29:'CDO Bespoke'!$C$31,'CDO Bespoke'!$C$33),{5})),"")</f>
        <v>#VALUE!</v>
      </c>
      <c r="S95" s="542" t="e" cm="1">
        <f t="array" ref="S95">IF($O95&lt;&gt;"",-TRANSPOSE(INDEX(getcds('CDO Bespoke'!$C120,S$13,'CDO Bespoke'!$G120/10000,'CDO Bespoke'!I120,'CDO Bespoke'!$L96,'CDO Bespoke'!$C$13,'CDO Bespoke'!$C$14,'CDO Bespoke'!$C$15,'CDO Bespoke'!$C$8,,,TRUE,TRUE,FALSE,'CDO Bespoke'!$C$29:'CDO Bespoke'!$C$31,'CDO Bespoke'!$C$33),{5})),"")</f>
        <v>#VALUE!</v>
      </c>
      <c r="T95" s="514" t="e" cm="1">
        <f t="array" ref="T95">IF($O95&lt;&gt;"",-TRANSPOSE(INDEX(getcds('CDO Bespoke'!$C120,T$13,'CDO Bespoke'!$G120/10000,'CDO Bespoke'!J120,'CDO Bespoke'!$L96,'CDO Bespoke'!$C$13,'CDO Bespoke'!$C$14,'CDO Bespoke'!$C$15,'CDO Bespoke'!$C$8,,,TRUE,TRUE,FALSE,'CDO Bespoke'!$C$29:'CDO Bespoke'!$C$31,'CDO Bespoke'!$C$33),{5})),"")</f>
        <v>#VALUE!</v>
      </c>
      <c r="U95" s="493"/>
      <c r="V95" s="529"/>
      <c r="W95" s="530"/>
      <c r="X95" s="530"/>
      <c r="Y95" s="530"/>
      <c r="Z95" s="530"/>
      <c r="AA95" s="530"/>
      <c r="AB95" s="530"/>
      <c r="AC95" s="530"/>
      <c r="AD95" s="530"/>
      <c r="AE95" s="531"/>
      <c r="AF95" s="539"/>
    </row>
    <row r="96" spans="6:32" s="281" customFormat="1" ht="12" thickBot="1">
      <c r="F96" s="501" t="str">
        <f>IF('CDO Bespoke'!O97&lt;&gt;"",'CDO Bespoke'!O97,"")</f>
        <v/>
      </c>
      <c r="G96" s="502" t="str">
        <f>IF(F96&lt;&gt;"",ABS(MIN(-0.75*('CDO Bespoke'!Q97+'CDO Bespoke'!T97)+'CDO Bespoke'!T97,0)),"")</f>
        <v/>
      </c>
      <c r="H96" s="502" t="str">
        <f t="shared" si="4"/>
        <v/>
      </c>
      <c r="I96" s="502" t="str">
        <f t="shared" si="7"/>
        <v/>
      </c>
      <c r="J96" s="501" t="str">
        <f>IF('CDO Bespoke'!O97&lt;&gt;"",'CDO Bespoke'!O97,"")</f>
        <v/>
      </c>
      <c r="K96" s="502" t="str">
        <f>IF(J96&lt;&gt;"",ABS(MIN(-0.75*('CDO Bespoke'!K97+'CDO Bespoke'!T97)+'CDO Bespoke'!T97,0)),"")</f>
        <v/>
      </c>
      <c r="L96" s="502" t="str">
        <f t="shared" si="5"/>
        <v/>
      </c>
      <c r="M96" s="506" t="str">
        <f t="shared" si="6"/>
        <v/>
      </c>
      <c r="O96" s="511" t="str">
        <f>IF('CDO Bespoke'!C121&lt;&gt;"",'CDO Bespoke'!C121,"")</f>
        <v>PortugalTelecom_MMR.EUR.SU</v>
      </c>
      <c r="P96" s="513" t="e" cm="1">
        <f t="array" ref="P96">IF($O96&lt;&gt;"",-TRANSPOSE(INDEX(getcds('CDO Bespoke'!$C121,P$13,'CDO Bespoke'!$G121/10000,'CDO Bespoke'!F121,'CDO Bespoke'!$L97,'CDO Bespoke'!$C$13,'CDO Bespoke'!$C$14,'CDO Bespoke'!$C$15,'CDO Bespoke'!$C$8,,,TRUE,TRUE,FALSE,'CDO Bespoke'!$C$29:'CDO Bespoke'!$C$31,'CDO Bespoke'!$C$33),{5})),"")</f>
        <v>#VALUE!</v>
      </c>
      <c r="Q96" s="542" t="e" cm="1">
        <f t="array" ref="Q96">IF($O96&lt;&gt;"",-TRANSPOSE(INDEX(getcds('CDO Bespoke'!$C121,Q$13,'CDO Bespoke'!$G121/10000,'CDO Bespoke'!G121,'CDO Bespoke'!$L97,'CDO Bespoke'!$C$13,'CDO Bespoke'!$C$14,'CDO Bespoke'!$C$15,'CDO Bespoke'!$C$8,,,TRUE,TRUE,FALSE,'CDO Bespoke'!$C$29:'CDO Bespoke'!$C$31,'CDO Bespoke'!$C$33),{5})),"")</f>
        <v>#VALUE!</v>
      </c>
      <c r="R96" s="542" t="e" cm="1">
        <f t="array" ref="R96">IF($O96&lt;&gt;"",-TRANSPOSE(INDEX(getcds('CDO Bespoke'!$C121,R$13,'CDO Bespoke'!$G121/10000,'CDO Bespoke'!H121,'CDO Bespoke'!$L97,'CDO Bespoke'!$C$13,'CDO Bespoke'!$C$14,'CDO Bespoke'!$C$15,'CDO Bespoke'!$C$8,,,TRUE,TRUE,FALSE,'CDO Bespoke'!$C$29:'CDO Bespoke'!$C$31,'CDO Bespoke'!$C$33),{5})),"")</f>
        <v>#VALUE!</v>
      </c>
      <c r="S96" s="542" t="e" cm="1">
        <f t="array" ref="S96">IF($O96&lt;&gt;"",-TRANSPOSE(INDEX(getcds('CDO Bespoke'!$C121,S$13,'CDO Bespoke'!$G121/10000,'CDO Bespoke'!I121,'CDO Bespoke'!$L97,'CDO Bespoke'!$C$13,'CDO Bespoke'!$C$14,'CDO Bespoke'!$C$15,'CDO Bespoke'!$C$8,,,TRUE,TRUE,FALSE,'CDO Bespoke'!$C$29:'CDO Bespoke'!$C$31,'CDO Bespoke'!$C$33),{5})),"")</f>
        <v>#VALUE!</v>
      </c>
      <c r="T96" s="514" t="e" cm="1">
        <f t="array" ref="T96">IF($O96&lt;&gt;"",-TRANSPOSE(INDEX(getcds('CDO Bespoke'!$C121,T$13,'CDO Bespoke'!$G121/10000,'CDO Bespoke'!J121,'CDO Bespoke'!$L97,'CDO Bespoke'!$C$13,'CDO Bespoke'!$C$14,'CDO Bespoke'!$C$15,'CDO Bespoke'!$C$8,,,TRUE,TRUE,FALSE,'CDO Bespoke'!$C$29:'CDO Bespoke'!$C$31,'CDO Bespoke'!$C$33),{5})),"")</f>
        <v>#VALUE!</v>
      </c>
      <c r="U96" s="493"/>
      <c r="V96" s="529"/>
      <c r="W96" s="530"/>
      <c r="X96" s="530"/>
      <c r="Y96" s="530"/>
      <c r="Z96" s="530"/>
      <c r="AA96" s="530"/>
      <c r="AB96" s="530"/>
      <c r="AC96" s="530"/>
      <c r="AD96" s="530"/>
      <c r="AE96" s="531"/>
      <c r="AF96" s="539"/>
    </row>
    <row r="97" spans="6:32" s="281" customFormat="1" ht="12" thickBot="1">
      <c r="F97" s="501" t="str">
        <f>IF('CDO Bespoke'!O98&lt;&gt;"",'CDO Bespoke'!O98,"")</f>
        <v/>
      </c>
      <c r="G97" s="502" t="str">
        <f>IF(F97&lt;&gt;"",ABS(MIN(-0.75*('CDO Bespoke'!Q98+'CDO Bespoke'!T98)+'CDO Bespoke'!T98,0)),"")</f>
        <v/>
      </c>
      <c r="H97" s="502" t="str">
        <f t="shared" si="4"/>
        <v/>
      </c>
      <c r="I97" s="502" t="str">
        <f t="shared" si="7"/>
        <v/>
      </c>
      <c r="J97" s="501" t="str">
        <f>IF('CDO Bespoke'!O98&lt;&gt;"",'CDO Bespoke'!O98,"")</f>
        <v/>
      </c>
      <c r="K97" s="502" t="str">
        <f>IF(J97&lt;&gt;"",ABS(MIN(-0.75*('CDO Bespoke'!K98+'CDO Bespoke'!T98)+'CDO Bespoke'!T98,0)),"")</f>
        <v/>
      </c>
      <c r="L97" s="502" t="str">
        <f t="shared" si="5"/>
        <v/>
      </c>
      <c r="M97" s="506" t="str">
        <f t="shared" si="6"/>
        <v/>
      </c>
      <c r="O97" s="511" t="str">
        <f>IF('CDO Bespoke'!C122&lt;&gt;"",'CDO Bespoke'!C122,"")</f>
        <v>ReedElsevier_MMR.EUR.SU</v>
      </c>
      <c r="P97" s="513" t="e" cm="1">
        <f t="array" ref="P97">IF($O97&lt;&gt;"",-TRANSPOSE(INDEX(getcds('CDO Bespoke'!$C122,P$13,'CDO Bespoke'!$G122/10000,'CDO Bespoke'!F122,'CDO Bespoke'!$L98,'CDO Bespoke'!$C$13,'CDO Bespoke'!$C$14,'CDO Bespoke'!$C$15,'CDO Bespoke'!$C$8,,,TRUE,TRUE,FALSE,'CDO Bespoke'!$C$29:'CDO Bespoke'!$C$31,'CDO Bespoke'!$C$33),{5})),"")</f>
        <v>#VALUE!</v>
      </c>
      <c r="Q97" s="542" t="e" cm="1">
        <f t="array" ref="Q97">IF($O97&lt;&gt;"",-TRANSPOSE(INDEX(getcds('CDO Bespoke'!$C122,Q$13,'CDO Bespoke'!$G122/10000,'CDO Bespoke'!G122,'CDO Bespoke'!$L98,'CDO Bespoke'!$C$13,'CDO Bespoke'!$C$14,'CDO Bespoke'!$C$15,'CDO Bespoke'!$C$8,,,TRUE,TRUE,FALSE,'CDO Bespoke'!$C$29:'CDO Bespoke'!$C$31,'CDO Bespoke'!$C$33),{5})),"")</f>
        <v>#REF!</v>
      </c>
      <c r="R97" s="542" t="e" cm="1">
        <f t="array" ref="R97">IF($O97&lt;&gt;"",-TRANSPOSE(INDEX(getcds('CDO Bespoke'!$C122,R$13,'CDO Bespoke'!$G122/10000,'CDO Bespoke'!H122,'CDO Bespoke'!$L98,'CDO Bespoke'!$C$13,'CDO Bespoke'!$C$14,'CDO Bespoke'!$C$15,'CDO Bespoke'!$C$8,,,TRUE,TRUE,FALSE,'CDO Bespoke'!$C$29:'CDO Bespoke'!$C$31,'CDO Bespoke'!$C$33),{5})),"")</f>
        <v>#VALUE!</v>
      </c>
      <c r="S97" s="542" t="e" cm="1">
        <f t="array" ref="S97">IF($O97&lt;&gt;"",-TRANSPOSE(INDEX(getcds('CDO Bespoke'!$C122,S$13,'CDO Bespoke'!$G122/10000,'CDO Bespoke'!I122,'CDO Bespoke'!$L98,'CDO Bespoke'!$C$13,'CDO Bespoke'!$C$14,'CDO Bespoke'!$C$15,'CDO Bespoke'!$C$8,,,TRUE,TRUE,FALSE,'CDO Bespoke'!$C$29:'CDO Bespoke'!$C$31,'CDO Bespoke'!$C$33),{5})),"")</f>
        <v>#VALUE!</v>
      </c>
      <c r="T97" s="514" t="e" cm="1">
        <f t="array" ref="T97">IF($O97&lt;&gt;"",-TRANSPOSE(INDEX(getcds('CDO Bespoke'!$C122,T$13,'CDO Bespoke'!$G122/10000,'CDO Bespoke'!J122,'CDO Bespoke'!$L98,'CDO Bespoke'!$C$13,'CDO Bespoke'!$C$14,'CDO Bespoke'!$C$15,'CDO Bespoke'!$C$8,,,TRUE,TRUE,FALSE,'CDO Bespoke'!$C$29:'CDO Bespoke'!$C$31,'CDO Bespoke'!$C$33),{5})),"")</f>
        <v>#REF!</v>
      </c>
      <c r="U97" s="493"/>
      <c r="V97" s="529"/>
      <c r="W97" s="530"/>
      <c r="X97" s="530"/>
      <c r="Y97" s="530"/>
      <c r="Z97" s="530"/>
      <c r="AA97" s="530"/>
      <c r="AB97" s="530"/>
      <c r="AC97" s="530"/>
      <c r="AD97" s="530"/>
      <c r="AE97" s="531"/>
      <c r="AF97" s="539"/>
    </row>
    <row r="98" spans="6:32" s="281" customFormat="1" ht="12" thickBot="1">
      <c r="F98" s="501" t="str">
        <f>IF('CDO Bespoke'!O99&lt;&gt;"",'CDO Bespoke'!O99,"")</f>
        <v/>
      </c>
      <c r="G98" s="502" t="str">
        <f>IF(F98&lt;&gt;"",ABS(MIN(-0.75*('CDO Bespoke'!Q99+'CDO Bespoke'!T99)+'CDO Bespoke'!T99,0)),"")</f>
        <v/>
      </c>
      <c r="H98" s="502" t="str">
        <f t="shared" si="4"/>
        <v/>
      </c>
      <c r="I98" s="502" t="str">
        <f t="shared" si="7"/>
        <v/>
      </c>
      <c r="J98" s="501" t="str">
        <f>IF('CDO Bespoke'!O99&lt;&gt;"",'CDO Bespoke'!O99,"")</f>
        <v/>
      </c>
      <c r="K98" s="502" t="str">
        <f>IF(J98&lt;&gt;"",ABS(MIN(-0.75*('CDO Bespoke'!K99+'CDO Bespoke'!T99)+'CDO Bespoke'!T99,0)),"")</f>
        <v/>
      </c>
      <c r="L98" s="502" t="str">
        <f t="shared" si="5"/>
        <v/>
      </c>
      <c r="M98" s="506" t="str">
        <f t="shared" si="6"/>
        <v/>
      </c>
      <c r="O98" s="511" t="str">
        <f>IF('CDO Bespoke'!C123&lt;&gt;"",'CDO Bespoke'!C123,"")</f>
        <v>Renault_MMR.EUR.SU</v>
      </c>
      <c r="P98" s="513" t="e" cm="1">
        <f t="array" ref="P98">IF($O98&lt;&gt;"",-TRANSPOSE(INDEX(getcds('CDO Bespoke'!$C123,P$13,'CDO Bespoke'!$G123/10000,'CDO Bespoke'!F123,'CDO Bespoke'!$L99,'CDO Bespoke'!$C$13,'CDO Bespoke'!$C$14,'CDO Bespoke'!$C$15,'CDO Bespoke'!$C$8,,,TRUE,TRUE,FALSE,'CDO Bespoke'!$C$29:'CDO Bespoke'!$C$31,'CDO Bespoke'!$C$33),{5})),"")</f>
        <v>#VALUE!</v>
      </c>
      <c r="Q98" s="542" t="e" cm="1">
        <f t="array" ref="Q98">IF($O98&lt;&gt;"",-TRANSPOSE(INDEX(getcds('CDO Bespoke'!$C123,Q$13,'CDO Bespoke'!$G123/10000,'CDO Bespoke'!G123,'CDO Bespoke'!$L99,'CDO Bespoke'!$C$13,'CDO Bespoke'!$C$14,'CDO Bespoke'!$C$15,'CDO Bespoke'!$C$8,,,TRUE,TRUE,FALSE,'CDO Bespoke'!$C$29:'CDO Bespoke'!$C$31,'CDO Bespoke'!$C$33),{5})),"")</f>
        <v>#REF!</v>
      </c>
      <c r="R98" s="542" t="e" cm="1">
        <f t="array" ref="R98">IF($O98&lt;&gt;"",-TRANSPOSE(INDEX(getcds('CDO Bespoke'!$C123,R$13,'CDO Bespoke'!$G123/10000,'CDO Bespoke'!H123,'CDO Bespoke'!$L99,'CDO Bespoke'!$C$13,'CDO Bespoke'!$C$14,'CDO Bespoke'!$C$15,'CDO Bespoke'!$C$8,,,TRUE,TRUE,FALSE,'CDO Bespoke'!$C$29:'CDO Bespoke'!$C$31,'CDO Bespoke'!$C$33),{5})),"")</f>
        <v>#REF!</v>
      </c>
      <c r="S98" s="542" t="e" cm="1">
        <f t="array" ref="S98">IF($O98&lt;&gt;"",-TRANSPOSE(INDEX(getcds('CDO Bespoke'!$C123,S$13,'CDO Bespoke'!$G123/10000,'CDO Bespoke'!I123,'CDO Bespoke'!$L99,'CDO Bespoke'!$C$13,'CDO Bespoke'!$C$14,'CDO Bespoke'!$C$15,'CDO Bespoke'!$C$8,,,TRUE,TRUE,FALSE,'CDO Bespoke'!$C$29:'CDO Bespoke'!$C$31,'CDO Bespoke'!$C$33),{5})),"")</f>
        <v>#REF!</v>
      </c>
      <c r="T98" s="514" t="e" cm="1">
        <f t="array" ref="T98">IF($O98&lt;&gt;"",-TRANSPOSE(INDEX(getcds('CDO Bespoke'!$C123,T$13,'CDO Bespoke'!$G123/10000,'CDO Bespoke'!J123,'CDO Bespoke'!$L99,'CDO Bespoke'!$C$13,'CDO Bespoke'!$C$14,'CDO Bespoke'!$C$15,'CDO Bespoke'!$C$8,,,TRUE,TRUE,FALSE,'CDO Bespoke'!$C$29:'CDO Bespoke'!$C$31,'CDO Bespoke'!$C$33),{5})),"")</f>
        <v>#VALUE!</v>
      </c>
      <c r="U98" s="493"/>
      <c r="V98" s="529"/>
      <c r="W98" s="530"/>
      <c r="X98" s="530"/>
      <c r="Y98" s="530"/>
      <c r="Z98" s="530"/>
      <c r="AA98" s="530"/>
      <c r="AB98" s="530"/>
      <c r="AC98" s="530"/>
      <c r="AD98" s="530"/>
      <c r="AE98" s="531"/>
      <c r="AF98" s="539"/>
    </row>
    <row r="99" spans="6:32" s="281" customFormat="1" ht="12" thickBot="1">
      <c r="F99" s="501" t="str">
        <f>IF('CDO Bespoke'!O100&lt;&gt;"",'CDO Bespoke'!O100,"")</f>
        <v/>
      </c>
      <c r="G99" s="502" t="str">
        <f>IF(F99&lt;&gt;"",ABS(MIN(-0.75*('CDO Bespoke'!Q100+'CDO Bespoke'!T100)+'CDO Bespoke'!T100,0)),"")</f>
        <v/>
      </c>
      <c r="H99" s="502" t="str">
        <f t="shared" si="4"/>
        <v/>
      </c>
      <c r="I99" s="502" t="str">
        <f t="shared" si="7"/>
        <v/>
      </c>
      <c r="J99" s="501" t="str">
        <f>IF('CDO Bespoke'!O100&lt;&gt;"",'CDO Bespoke'!O100,"")</f>
        <v/>
      </c>
      <c r="K99" s="502" t="str">
        <f>IF(J99&lt;&gt;"",ABS(MIN(-0.75*('CDO Bespoke'!K100+'CDO Bespoke'!T100)+'CDO Bespoke'!T100,0)),"")</f>
        <v/>
      </c>
      <c r="L99" s="502" t="str">
        <f t="shared" si="5"/>
        <v/>
      </c>
      <c r="M99" s="506" t="str">
        <f t="shared" si="6"/>
        <v/>
      </c>
      <c r="O99" s="511" t="str">
        <f>IF('CDO Bespoke'!C124&lt;&gt;"",'CDO Bespoke'!C124,"")</f>
        <v>Repsol_MMR.EUR.SU</v>
      </c>
      <c r="P99" s="513" t="e" cm="1">
        <f t="array" ref="P99">IF($O99&lt;&gt;"",-TRANSPOSE(INDEX(getcds('CDO Bespoke'!$C124,P$13,'CDO Bespoke'!$G124/10000,'CDO Bespoke'!F124,'CDO Bespoke'!$L100,'CDO Bespoke'!$C$13,'CDO Bespoke'!$C$14,'CDO Bespoke'!$C$15,'CDO Bespoke'!$C$8,,,TRUE,TRUE,FALSE,'CDO Bespoke'!$C$29:'CDO Bespoke'!$C$31,'CDO Bespoke'!$C$33),{5})),"")</f>
        <v>#REF!</v>
      </c>
      <c r="Q99" s="542" t="e" cm="1">
        <f t="array" ref="Q99">IF($O99&lt;&gt;"",-TRANSPOSE(INDEX(getcds('CDO Bespoke'!$C124,Q$13,'CDO Bespoke'!$G124/10000,'CDO Bespoke'!G124,'CDO Bespoke'!$L100,'CDO Bespoke'!$C$13,'CDO Bespoke'!$C$14,'CDO Bespoke'!$C$15,'CDO Bespoke'!$C$8,,,TRUE,TRUE,FALSE,'CDO Bespoke'!$C$29:'CDO Bespoke'!$C$31,'CDO Bespoke'!$C$33),{5})),"")</f>
        <v>#REF!</v>
      </c>
      <c r="R99" s="542" t="e" cm="1">
        <f t="array" ref="R99">IF($O99&lt;&gt;"",-TRANSPOSE(INDEX(getcds('CDO Bespoke'!$C124,R$13,'CDO Bespoke'!$G124/10000,'CDO Bespoke'!H124,'CDO Bespoke'!$L100,'CDO Bespoke'!$C$13,'CDO Bespoke'!$C$14,'CDO Bespoke'!$C$15,'CDO Bespoke'!$C$8,,,TRUE,TRUE,FALSE,'CDO Bespoke'!$C$29:'CDO Bespoke'!$C$31,'CDO Bespoke'!$C$33),{5})),"")</f>
        <v>#REF!</v>
      </c>
      <c r="S99" s="542" t="e" cm="1">
        <f t="array" ref="S99">IF($O99&lt;&gt;"",-TRANSPOSE(INDEX(getcds('CDO Bespoke'!$C124,S$13,'CDO Bespoke'!$G124/10000,'CDO Bespoke'!I124,'CDO Bespoke'!$L100,'CDO Bespoke'!$C$13,'CDO Bespoke'!$C$14,'CDO Bespoke'!$C$15,'CDO Bespoke'!$C$8,,,TRUE,TRUE,FALSE,'CDO Bespoke'!$C$29:'CDO Bespoke'!$C$31,'CDO Bespoke'!$C$33),{5})),"")</f>
        <v>#REF!</v>
      </c>
      <c r="T99" s="514" t="e" cm="1">
        <f t="array" ref="T99">IF($O99&lt;&gt;"",-TRANSPOSE(INDEX(getcds('CDO Bespoke'!$C124,T$13,'CDO Bespoke'!$G124/10000,'CDO Bespoke'!J124,'CDO Bespoke'!$L100,'CDO Bespoke'!$C$13,'CDO Bespoke'!$C$14,'CDO Bespoke'!$C$15,'CDO Bespoke'!$C$8,,,TRUE,TRUE,FALSE,'CDO Bespoke'!$C$29:'CDO Bespoke'!$C$31,'CDO Bespoke'!$C$33),{5})),"")</f>
        <v>#REF!</v>
      </c>
      <c r="U99" s="493"/>
      <c r="V99" s="529"/>
      <c r="W99" s="530"/>
      <c r="X99" s="530"/>
      <c r="Y99" s="530"/>
      <c r="Z99" s="530"/>
      <c r="AA99" s="530"/>
      <c r="AB99" s="530"/>
      <c r="AC99" s="530"/>
      <c r="AD99" s="530"/>
      <c r="AE99" s="531"/>
      <c r="AF99" s="539"/>
    </row>
    <row r="100" spans="6:32" s="281" customFormat="1" ht="12" thickBot="1">
      <c r="F100" s="501" t="str">
        <f>IF('CDO Bespoke'!O101&lt;&gt;"",'CDO Bespoke'!O101,"")</f>
        <v/>
      </c>
      <c r="G100" s="502" t="str">
        <f>IF(F100&lt;&gt;"",ABS(MIN(-0.75*('CDO Bespoke'!Q101+'CDO Bespoke'!T101)+'CDO Bespoke'!T101,0)),"")</f>
        <v/>
      </c>
      <c r="H100" s="502" t="str">
        <f t="shared" si="4"/>
        <v/>
      </c>
      <c r="I100" s="502" t="str">
        <f t="shared" si="7"/>
        <v/>
      </c>
      <c r="J100" s="501" t="str">
        <f>IF('CDO Bespoke'!O101&lt;&gt;"",'CDO Bespoke'!O101,"")</f>
        <v/>
      </c>
      <c r="K100" s="502" t="str">
        <f>IF(J100&lt;&gt;"",ABS(MIN(-0.75*('CDO Bespoke'!K101+'CDO Bespoke'!T101)+'CDO Bespoke'!T101,0)),"")</f>
        <v/>
      </c>
      <c r="L100" s="502" t="str">
        <f t="shared" si="5"/>
        <v/>
      </c>
      <c r="M100" s="506" t="str">
        <f t="shared" si="6"/>
        <v/>
      </c>
      <c r="O100" s="511" t="str">
        <f>IF('CDO Bespoke'!C125&lt;&gt;"",'CDO Bespoke'!C125,"")</f>
        <v>Reuters_MMR.EUR.SU</v>
      </c>
      <c r="P100" s="513" t="e" cm="1">
        <f t="array" ref="P100">IF($O100&lt;&gt;"",-TRANSPOSE(INDEX(getcds('CDO Bespoke'!$C125,P$13,'CDO Bespoke'!$G125/10000,'CDO Bespoke'!F125,'CDO Bespoke'!$L101,'CDO Bespoke'!$C$13,'CDO Bespoke'!$C$14,'CDO Bespoke'!$C$15,'CDO Bespoke'!$C$8,,,TRUE,TRUE,FALSE,'CDO Bespoke'!$C$29:'CDO Bespoke'!$C$31,'CDO Bespoke'!$C$33),{5})),"")</f>
        <v>#VALUE!</v>
      </c>
      <c r="Q100" s="542" t="e" cm="1">
        <f t="array" ref="Q100">IF($O100&lt;&gt;"",-TRANSPOSE(INDEX(getcds('CDO Bespoke'!$C125,Q$13,'CDO Bespoke'!$G125/10000,'CDO Bespoke'!G125,'CDO Bespoke'!$L101,'CDO Bespoke'!$C$13,'CDO Bespoke'!$C$14,'CDO Bespoke'!$C$15,'CDO Bespoke'!$C$8,,,TRUE,TRUE,FALSE,'CDO Bespoke'!$C$29:'CDO Bespoke'!$C$31,'CDO Bespoke'!$C$33),{5})),"")</f>
        <v>#VALUE!</v>
      </c>
      <c r="R100" s="542" t="e" cm="1">
        <f t="array" ref="R100">IF($O100&lt;&gt;"",-TRANSPOSE(INDEX(getcds('CDO Bespoke'!$C125,R$13,'CDO Bespoke'!$G125/10000,'CDO Bespoke'!H125,'CDO Bespoke'!$L101,'CDO Bespoke'!$C$13,'CDO Bespoke'!$C$14,'CDO Bespoke'!$C$15,'CDO Bespoke'!$C$8,,,TRUE,TRUE,FALSE,'CDO Bespoke'!$C$29:'CDO Bespoke'!$C$31,'CDO Bespoke'!$C$33),{5})),"")</f>
        <v>#VALUE!</v>
      </c>
      <c r="S100" s="542" t="e" cm="1">
        <f t="array" ref="S100">IF($O100&lt;&gt;"",-TRANSPOSE(INDEX(getcds('CDO Bespoke'!$C125,S$13,'CDO Bespoke'!$G125/10000,'CDO Bespoke'!I125,'CDO Bespoke'!$L101,'CDO Bespoke'!$C$13,'CDO Bespoke'!$C$14,'CDO Bespoke'!$C$15,'CDO Bespoke'!$C$8,,,TRUE,TRUE,FALSE,'CDO Bespoke'!$C$29:'CDO Bespoke'!$C$31,'CDO Bespoke'!$C$33),{5})),"")</f>
        <v>#VALUE!</v>
      </c>
      <c r="T100" s="514" t="e" cm="1">
        <f t="array" ref="T100">IF($O100&lt;&gt;"",-TRANSPOSE(INDEX(getcds('CDO Bespoke'!$C125,T$13,'CDO Bespoke'!$G125/10000,'CDO Bespoke'!J125,'CDO Bespoke'!$L101,'CDO Bespoke'!$C$13,'CDO Bespoke'!$C$14,'CDO Bespoke'!$C$15,'CDO Bespoke'!$C$8,,,TRUE,TRUE,FALSE,'CDO Bespoke'!$C$29:'CDO Bespoke'!$C$31,'CDO Bespoke'!$C$33),{5})),"")</f>
        <v>#VALUE!</v>
      </c>
      <c r="U100" s="493"/>
      <c r="V100" s="529"/>
      <c r="W100" s="530"/>
      <c r="X100" s="530"/>
      <c r="Y100" s="530"/>
      <c r="Z100" s="530"/>
      <c r="AA100" s="530"/>
      <c r="AB100" s="530"/>
      <c r="AC100" s="530"/>
      <c r="AD100" s="530"/>
      <c r="AE100" s="531"/>
      <c r="AF100" s="539"/>
    </row>
    <row r="101" spans="6:32" s="281" customFormat="1" ht="12" thickBot="1">
      <c r="F101" s="501" t="str">
        <f>IF('CDO Bespoke'!O102&lt;&gt;"",'CDO Bespoke'!O102,"")</f>
        <v/>
      </c>
      <c r="G101" s="502" t="str">
        <f>IF(F101&lt;&gt;"",ABS(MIN(-0.75*('CDO Bespoke'!Q102+'CDO Bespoke'!T102)+'CDO Bespoke'!T102,0)),"")</f>
        <v/>
      </c>
      <c r="H101" s="502" t="str">
        <f t="shared" si="4"/>
        <v/>
      </c>
      <c r="I101" s="502" t="str">
        <f t="shared" si="7"/>
        <v/>
      </c>
      <c r="J101" s="501" t="str">
        <f>IF('CDO Bespoke'!O102&lt;&gt;"",'CDO Bespoke'!O102,"")</f>
        <v/>
      </c>
      <c r="K101" s="502" t="str">
        <f>IF(J101&lt;&gt;"",ABS(MIN(-0.75*('CDO Bespoke'!K102+'CDO Bespoke'!T102)+'CDO Bespoke'!T102,0)),"")</f>
        <v/>
      </c>
      <c r="L101" s="502" t="str">
        <f t="shared" si="5"/>
        <v/>
      </c>
      <c r="M101" s="506" t="str">
        <f t="shared" si="6"/>
        <v/>
      </c>
      <c r="O101" s="511" t="str">
        <f>IF('CDO Bespoke'!C126&lt;&gt;"",'CDO Bespoke'!C126,"")</f>
        <v>RoyalBankScotland_MMR.EUR.SU</v>
      </c>
      <c r="P101" s="513" t="e" cm="1">
        <f t="array" ref="P101">IF($O101&lt;&gt;"",-TRANSPOSE(INDEX(getcds('CDO Bespoke'!$C126,P$13,'CDO Bespoke'!$G126/10000,'CDO Bespoke'!F126,'CDO Bespoke'!$L102,'CDO Bespoke'!$C$13,'CDO Bespoke'!$C$14,'CDO Bespoke'!$C$15,'CDO Bespoke'!$C$8,,,TRUE,TRUE,FALSE,'CDO Bespoke'!$C$29:'CDO Bespoke'!$C$31,'CDO Bespoke'!$C$33),{5})),"")</f>
        <v>#VALUE!</v>
      </c>
      <c r="Q101" s="542" t="e" cm="1">
        <f t="array" ref="Q101">IF($O101&lt;&gt;"",-TRANSPOSE(INDEX(getcds('CDO Bespoke'!$C126,Q$13,'CDO Bespoke'!$G126/10000,'CDO Bespoke'!G126,'CDO Bespoke'!$L102,'CDO Bespoke'!$C$13,'CDO Bespoke'!$C$14,'CDO Bespoke'!$C$15,'CDO Bespoke'!$C$8,,,TRUE,TRUE,FALSE,'CDO Bespoke'!$C$29:'CDO Bespoke'!$C$31,'CDO Bespoke'!$C$33),{5})),"")</f>
        <v>#VALUE!</v>
      </c>
      <c r="R101" s="542" t="e" cm="1">
        <f t="array" ref="R101">IF($O101&lt;&gt;"",-TRANSPOSE(INDEX(getcds('CDO Bespoke'!$C126,R$13,'CDO Bespoke'!$G126/10000,'CDO Bespoke'!H126,'CDO Bespoke'!$L102,'CDO Bespoke'!$C$13,'CDO Bespoke'!$C$14,'CDO Bespoke'!$C$15,'CDO Bespoke'!$C$8,,,TRUE,TRUE,FALSE,'CDO Bespoke'!$C$29:'CDO Bespoke'!$C$31,'CDO Bespoke'!$C$33),{5})),"")</f>
        <v>#VALUE!</v>
      </c>
      <c r="S101" s="542" t="e" cm="1">
        <f t="array" ref="S101">IF($O101&lt;&gt;"",-TRANSPOSE(INDEX(getcds('CDO Bespoke'!$C126,S$13,'CDO Bespoke'!$G126/10000,'CDO Bespoke'!I126,'CDO Bespoke'!$L102,'CDO Bespoke'!$C$13,'CDO Bespoke'!$C$14,'CDO Bespoke'!$C$15,'CDO Bespoke'!$C$8,,,TRUE,TRUE,FALSE,'CDO Bespoke'!$C$29:'CDO Bespoke'!$C$31,'CDO Bespoke'!$C$33),{5})),"")</f>
        <v>#VALUE!</v>
      </c>
      <c r="T101" s="514" t="e" cm="1">
        <f t="array" ref="T101">IF($O101&lt;&gt;"",-TRANSPOSE(INDEX(getcds('CDO Bespoke'!$C126,T$13,'CDO Bespoke'!$G126/10000,'CDO Bespoke'!J126,'CDO Bespoke'!$L102,'CDO Bespoke'!$C$13,'CDO Bespoke'!$C$14,'CDO Bespoke'!$C$15,'CDO Bespoke'!$C$8,,,TRUE,TRUE,FALSE,'CDO Bespoke'!$C$29:'CDO Bespoke'!$C$31,'CDO Bespoke'!$C$33),{5})),"")</f>
        <v>#VALUE!</v>
      </c>
      <c r="U101" s="493"/>
      <c r="V101" s="529"/>
      <c r="W101" s="530"/>
      <c r="X101" s="530"/>
      <c r="Y101" s="530"/>
      <c r="Z101" s="530"/>
      <c r="AA101" s="530"/>
      <c r="AB101" s="530"/>
      <c r="AC101" s="530"/>
      <c r="AD101" s="530"/>
      <c r="AE101" s="531"/>
      <c r="AF101" s="539"/>
    </row>
    <row r="102" spans="6:32" s="281" customFormat="1" ht="12" thickBot="1">
      <c r="F102" s="501" t="str">
        <f>IF('CDO Bespoke'!O103&lt;&gt;"",'CDO Bespoke'!O103,"")</f>
        <v/>
      </c>
      <c r="G102" s="502" t="str">
        <f>IF(F102&lt;&gt;"",ABS(MIN(-0.75*('CDO Bespoke'!Q103+'CDO Bespoke'!T103)+'CDO Bespoke'!T103,0)),"")</f>
        <v/>
      </c>
      <c r="H102" s="502" t="str">
        <f t="shared" si="4"/>
        <v/>
      </c>
      <c r="I102" s="502" t="str">
        <f t="shared" si="7"/>
        <v/>
      </c>
      <c r="J102" s="501" t="str">
        <f>IF('CDO Bespoke'!O103&lt;&gt;"",'CDO Bespoke'!O103,"")</f>
        <v/>
      </c>
      <c r="K102" s="502" t="str">
        <f>IF(J102&lt;&gt;"",ABS(MIN(-0.75*('CDO Bespoke'!K103+'CDO Bespoke'!T103)+'CDO Bespoke'!T103,0)),"")</f>
        <v/>
      </c>
      <c r="L102" s="502" t="str">
        <f t="shared" si="5"/>
        <v/>
      </c>
      <c r="M102" s="506" t="str">
        <f t="shared" si="6"/>
        <v/>
      </c>
      <c r="O102" s="511" t="str">
        <f>IF('CDO Bespoke'!C127&lt;&gt;"",'CDO Bespoke'!C127,"")</f>
        <v>Rwe_MMR.EUR.SU</v>
      </c>
      <c r="P102" s="513" t="e" cm="1">
        <f t="array" ref="P102">IF($O102&lt;&gt;"",-TRANSPOSE(INDEX(getcds('CDO Bespoke'!$C127,P$13,'CDO Bespoke'!$G127/10000,'CDO Bespoke'!F127,'CDO Bespoke'!$L103,'CDO Bespoke'!$C$13,'CDO Bespoke'!$C$14,'CDO Bespoke'!$C$15,'CDO Bespoke'!$C$8,,,TRUE,TRUE,FALSE,'CDO Bespoke'!$C$29:'CDO Bespoke'!$C$31,'CDO Bespoke'!$C$33),{5})),"")</f>
        <v>#VALUE!</v>
      </c>
      <c r="Q102" s="542" t="e" cm="1">
        <f t="array" ref="Q102">IF($O102&lt;&gt;"",-TRANSPOSE(INDEX(getcds('CDO Bespoke'!$C127,Q$13,'CDO Bespoke'!$G127/10000,'CDO Bespoke'!G127,'CDO Bespoke'!$L103,'CDO Bespoke'!$C$13,'CDO Bespoke'!$C$14,'CDO Bespoke'!$C$15,'CDO Bespoke'!$C$8,,,TRUE,TRUE,FALSE,'CDO Bespoke'!$C$29:'CDO Bespoke'!$C$31,'CDO Bespoke'!$C$33),{5})),"")</f>
        <v>#VALUE!</v>
      </c>
      <c r="R102" s="542" t="e" cm="1">
        <f t="array" ref="R102">IF($O102&lt;&gt;"",-TRANSPOSE(INDEX(getcds('CDO Bespoke'!$C127,R$13,'CDO Bespoke'!$G127/10000,'CDO Bespoke'!H127,'CDO Bespoke'!$L103,'CDO Bespoke'!$C$13,'CDO Bespoke'!$C$14,'CDO Bespoke'!$C$15,'CDO Bespoke'!$C$8,,,TRUE,TRUE,FALSE,'CDO Bespoke'!$C$29:'CDO Bespoke'!$C$31,'CDO Bespoke'!$C$33),{5})),"")</f>
        <v>#VALUE!</v>
      </c>
      <c r="S102" s="542" t="e" cm="1">
        <f t="array" ref="S102">IF($O102&lt;&gt;"",-TRANSPOSE(INDEX(getcds('CDO Bespoke'!$C127,S$13,'CDO Bespoke'!$G127/10000,'CDO Bespoke'!I127,'CDO Bespoke'!$L103,'CDO Bespoke'!$C$13,'CDO Bespoke'!$C$14,'CDO Bespoke'!$C$15,'CDO Bespoke'!$C$8,,,TRUE,TRUE,FALSE,'CDO Bespoke'!$C$29:'CDO Bespoke'!$C$31,'CDO Bespoke'!$C$33),{5})),"")</f>
        <v>#VALUE!</v>
      </c>
      <c r="T102" s="514" t="e" cm="1">
        <f t="array" ref="T102">IF($O102&lt;&gt;"",-TRANSPOSE(INDEX(getcds('CDO Bespoke'!$C127,T$13,'CDO Bespoke'!$G127/10000,'CDO Bespoke'!J127,'CDO Bespoke'!$L103,'CDO Bespoke'!$C$13,'CDO Bespoke'!$C$14,'CDO Bespoke'!$C$15,'CDO Bespoke'!$C$8,,,TRUE,TRUE,FALSE,'CDO Bespoke'!$C$29:'CDO Bespoke'!$C$31,'CDO Bespoke'!$C$33),{5})),"")</f>
        <v>#VALUE!</v>
      </c>
      <c r="U102" s="493"/>
      <c r="V102" s="529"/>
      <c r="W102" s="530"/>
      <c r="X102" s="530"/>
      <c r="Y102" s="530"/>
      <c r="Z102" s="530"/>
      <c r="AA102" s="530"/>
      <c r="AB102" s="530"/>
      <c r="AC102" s="530"/>
      <c r="AD102" s="530"/>
      <c r="AE102" s="531"/>
      <c r="AF102" s="539"/>
    </row>
    <row r="103" spans="6:32" s="281" customFormat="1" ht="12" thickBot="1">
      <c r="F103" s="501" t="str">
        <f>IF('CDO Bespoke'!O104&lt;&gt;"",'CDO Bespoke'!O104,"")</f>
        <v/>
      </c>
      <c r="G103" s="502" t="str">
        <f>IF(F103&lt;&gt;"",ABS(MIN(-0.75*('CDO Bespoke'!Q104+'CDO Bespoke'!T104)+'CDO Bespoke'!T104,0)),"")</f>
        <v/>
      </c>
      <c r="H103" s="502" t="str">
        <f t="shared" si="4"/>
        <v/>
      </c>
      <c r="I103" s="502" t="str">
        <f t="shared" si="7"/>
        <v/>
      </c>
      <c r="J103" s="501" t="str">
        <f>IF('CDO Bespoke'!O104&lt;&gt;"",'CDO Bespoke'!O104,"")</f>
        <v/>
      </c>
      <c r="K103" s="502" t="str">
        <f>IF(J103&lt;&gt;"",ABS(MIN(-0.75*('CDO Bespoke'!K104+'CDO Bespoke'!T104)+'CDO Bespoke'!T104,0)),"")</f>
        <v/>
      </c>
      <c r="L103" s="502" t="str">
        <f t="shared" si="5"/>
        <v/>
      </c>
      <c r="M103" s="506" t="str">
        <f t="shared" si="6"/>
        <v/>
      </c>
      <c r="O103" s="511" t="str">
        <f>IF('CDO Bespoke'!C128&lt;&gt;"",'CDO Bespoke'!C128,"")</f>
        <v>SafewayPlc_MMR.EUR.SU</v>
      </c>
      <c r="P103" s="513" t="e" cm="1">
        <f t="array" ref="P103">IF($O103&lt;&gt;"",-TRANSPOSE(INDEX(getcds('CDO Bespoke'!$C128,P$13,'CDO Bespoke'!$G128/10000,'CDO Bespoke'!F128,'CDO Bespoke'!$L104,'CDO Bespoke'!$C$13,'CDO Bespoke'!$C$14,'CDO Bespoke'!$C$15,'CDO Bespoke'!$C$8,,,TRUE,TRUE,FALSE,'CDO Bespoke'!$C$29:'CDO Bespoke'!$C$31,'CDO Bespoke'!$C$33),{5})),"")</f>
        <v>#VALUE!</v>
      </c>
      <c r="Q103" s="542" t="e" cm="1">
        <f t="array" ref="Q103">IF($O103&lt;&gt;"",-TRANSPOSE(INDEX(getcds('CDO Bespoke'!$C128,Q$13,'CDO Bespoke'!$G128/10000,'CDO Bespoke'!G128,'CDO Bespoke'!$L104,'CDO Bespoke'!$C$13,'CDO Bespoke'!$C$14,'CDO Bespoke'!$C$15,'CDO Bespoke'!$C$8,,,TRUE,TRUE,FALSE,'CDO Bespoke'!$C$29:'CDO Bespoke'!$C$31,'CDO Bespoke'!$C$33),{5})),"")</f>
        <v>#VALUE!</v>
      </c>
      <c r="R103" s="542" t="e" cm="1">
        <f t="array" ref="R103">IF($O103&lt;&gt;"",-TRANSPOSE(INDEX(getcds('CDO Bespoke'!$C128,R$13,'CDO Bespoke'!$G128/10000,'CDO Bespoke'!H128,'CDO Bespoke'!$L104,'CDO Bespoke'!$C$13,'CDO Bespoke'!$C$14,'CDO Bespoke'!$C$15,'CDO Bespoke'!$C$8,,,TRUE,TRUE,FALSE,'CDO Bespoke'!$C$29:'CDO Bespoke'!$C$31,'CDO Bespoke'!$C$33),{5})),"")</f>
        <v>#VALUE!</v>
      </c>
      <c r="S103" s="542" t="e" cm="1">
        <f t="array" ref="S103">IF($O103&lt;&gt;"",-TRANSPOSE(INDEX(getcds('CDO Bespoke'!$C128,S$13,'CDO Bespoke'!$G128/10000,'CDO Bespoke'!I128,'CDO Bespoke'!$L104,'CDO Bespoke'!$C$13,'CDO Bespoke'!$C$14,'CDO Bespoke'!$C$15,'CDO Bespoke'!$C$8,,,TRUE,TRUE,FALSE,'CDO Bespoke'!$C$29:'CDO Bespoke'!$C$31,'CDO Bespoke'!$C$33),{5})),"")</f>
        <v>#VALUE!</v>
      </c>
      <c r="T103" s="514" t="e" cm="1">
        <f t="array" ref="T103">IF($O103&lt;&gt;"",-TRANSPOSE(INDEX(getcds('CDO Bespoke'!$C128,T$13,'CDO Bespoke'!$G128/10000,'CDO Bespoke'!J128,'CDO Bespoke'!$L104,'CDO Bespoke'!$C$13,'CDO Bespoke'!$C$14,'CDO Bespoke'!$C$15,'CDO Bespoke'!$C$8,,,TRUE,TRUE,FALSE,'CDO Bespoke'!$C$29:'CDO Bespoke'!$C$31,'CDO Bespoke'!$C$33),{5})),"")</f>
        <v>#VALUE!</v>
      </c>
      <c r="U103" s="493"/>
      <c r="V103" s="529"/>
      <c r="W103" s="530"/>
      <c r="X103" s="530"/>
      <c r="Y103" s="530"/>
      <c r="Z103" s="530"/>
      <c r="AA103" s="530"/>
      <c r="AB103" s="530"/>
      <c r="AC103" s="530"/>
      <c r="AD103" s="530"/>
      <c r="AE103" s="531"/>
      <c r="AF103" s="539"/>
    </row>
    <row r="104" spans="6:32" s="281" customFormat="1" ht="12" thickBot="1">
      <c r="F104" s="501" t="str">
        <f>IF('CDO Bespoke'!O105&lt;&gt;"",'CDO Bespoke'!O105,"")</f>
        <v/>
      </c>
      <c r="G104" s="502" t="str">
        <f>IF(F104&lt;&gt;"",ABS(MIN(-0.75*('CDO Bespoke'!Q105+'CDO Bespoke'!T105)+'CDO Bespoke'!T105,0)),"")</f>
        <v/>
      </c>
      <c r="H104" s="502" t="str">
        <f t="shared" si="4"/>
        <v/>
      </c>
      <c r="I104" s="502" t="str">
        <f t="shared" si="7"/>
        <v/>
      </c>
      <c r="J104" s="501" t="str">
        <f>IF('CDO Bespoke'!O105&lt;&gt;"",'CDO Bespoke'!O105,"")</f>
        <v/>
      </c>
      <c r="K104" s="502" t="str">
        <f>IF(J104&lt;&gt;"",ABS(MIN(-0.75*('CDO Bespoke'!K105+'CDO Bespoke'!T105)+'CDO Bespoke'!T105,0)),"")</f>
        <v/>
      </c>
      <c r="L104" s="502" t="str">
        <f t="shared" si="5"/>
        <v/>
      </c>
      <c r="M104" s="506" t="str">
        <f t="shared" si="6"/>
        <v/>
      </c>
      <c r="O104" s="511" t="str">
        <f>IF('CDO Bespoke'!C129&lt;&gt;"",'CDO Bespoke'!C129,"")</f>
        <v>SanofiAventis_MMR.EUR.SU</v>
      </c>
      <c r="P104" s="513" t="e" cm="1">
        <f t="array" ref="P104">IF($O104&lt;&gt;"",-TRANSPOSE(INDEX(getcds('CDO Bespoke'!$C129,P$13,'CDO Bespoke'!$G129/10000,'CDO Bespoke'!F129,'CDO Bespoke'!$L105,'CDO Bespoke'!$C$13,'CDO Bespoke'!$C$14,'CDO Bespoke'!$C$15,'CDO Bespoke'!$C$8,,,TRUE,TRUE,FALSE,'CDO Bespoke'!$C$29:'CDO Bespoke'!$C$31,'CDO Bespoke'!$C$33),{5})),"")</f>
        <v>#VALUE!</v>
      </c>
      <c r="Q104" s="542" t="e" cm="1">
        <f t="array" ref="Q104">IF($O104&lt;&gt;"",-TRANSPOSE(INDEX(getcds('CDO Bespoke'!$C129,Q$13,'CDO Bespoke'!$G129/10000,'CDO Bespoke'!G129,'CDO Bespoke'!$L105,'CDO Bespoke'!$C$13,'CDO Bespoke'!$C$14,'CDO Bespoke'!$C$15,'CDO Bespoke'!$C$8,,,TRUE,TRUE,FALSE,'CDO Bespoke'!$C$29:'CDO Bespoke'!$C$31,'CDO Bespoke'!$C$33),{5})),"")</f>
        <v>#VALUE!</v>
      </c>
      <c r="R104" s="542" t="e" cm="1">
        <f t="array" ref="R104">IF($O104&lt;&gt;"",-TRANSPOSE(INDEX(getcds('CDO Bespoke'!$C129,R$13,'CDO Bespoke'!$G129/10000,'CDO Bespoke'!H129,'CDO Bespoke'!$L105,'CDO Bespoke'!$C$13,'CDO Bespoke'!$C$14,'CDO Bespoke'!$C$15,'CDO Bespoke'!$C$8,,,TRUE,TRUE,FALSE,'CDO Bespoke'!$C$29:'CDO Bespoke'!$C$31,'CDO Bespoke'!$C$33),{5})),"")</f>
        <v>#VALUE!</v>
      </c>
      <c r="S104" s="542" t="e" cm="1">
        <f t="array" ref="S104">IF($O104&lt;&gt;"",-TRANSPOSE(INDEX(getcds('CDO Bespoke'!$C129,S$13,'CDO Bespoke'!$G129/10000,'CDO Bespoke'!I129,'CDO Bespoke'!$L105,'CDO Bespoke'!$C$13,'CDO Bespoke'!$C$14,'CDO Bespoke'!$C$15,'CDO Bespoke'!$C$8,,,TRUE,TRUE,FALSE,'CDO Bespoke'!$C$29:'CDO Bespoke'!$C$31,'CDO Bespoke'!$C$33),{5})),"")</f>
        <v>#VALUE!</v>
      </c>
      <c r="T104" s="514" t="e" cm="1">
        <f t="array" ref="T104">IF($O104&lt;&gt;"",-TRANSPOSE(INDEX(getcds('CDO Bespoke'!$C129,T$13,'CDO Bespoke'!$G129/10000,'CDO Bespoke'!J129,'CDO Bespoke'!$L105,'CDO Bespoke'!$C$13,'CDO Bespoke'!$C$14,'CDO Bespoke'!$C$15,'CDO Bespoke'!$C$8,,,TRUE,TRUE,FALSE,'CDO Bespoke'!$C$29:'CDO Bespoke'!$C$31,'CDO Bespoke'!$C$33),{5})),"")</f>
        <v>#VALUE!</v>
      </c>
      <c r="U104" s="493"/>
      <c r="V104" s="529"/>
      <c r="W104" s="530"/>
      <c r="X104" s="530"/>
      <c r="Y104" s="530"/>
      <c r="Z104" s="530"/>
      <c r="AA104" s="530"/>
      <c r="AB104" s="530"/>
      <c r="AC104" s="530"/>
      <c r="AD104" s="530"/>
      <c r="AE104" s="531"/>
      <c r="AF104" s="539"/>
    </row>
    <row r="105" spans="6:32" s="281" customFormat="1" ht="12" thickBot="1">
      <c r="F105" s="501" t="str">
        <f>IF('CDO Bespoke'!O106&lt;&gt;"",'CDO Bespoke'!O106,"")</f>
        <v/>
      </c>
      <c r="G105" s="502" t="str">
        <f>IF(F105&lt;&gt;"",ABS(MIN(-0.75*('CDO Bespoke'!Q106+'CDO Bespoke'!T106)+'CDO Bespoke'!T106,0)),"")</f>
        <v/>
      </c>
      <c r="H105" s="502" t="str">
        <f t="shared" si="4"/>
        <v/>
      </c>
      <c r="I105" s="502" t="str">
        <f t="shared" si="7"/>
        <v/>
      </c>
      <c r="J105" s="501" t="str">
        <f>IF('CDO Bespoke'!O106&lt;&gt;"",'CDO Bespoke'!O106,"")</f>
        <v/>
      </c>
      <c r="K105" s="502" t="str">
        <f>IF(J105&lt;&gt;"",ABS(MIN(-0.75*('CDO Bespoke'!K106+'CDO Bespoke'!T106)+'CDO Bespoke'!T106,0)),"")</f>
        <v/>
      </c>
      <c r="L105" s="502" t="str">
        <f t="shared" si="5"/>
        <v/>
      </c>
      <c r="M105" s="506" t="str">
        <f t="shared" si="6"/>
        <v/>
      </c>
      <c r="O105" s="511" t="str">
        <f>IF('CDO Bespoke'!C130&lt;&gt;"",'CDO Bespoke'!C130,"")</f>
        <v>Siemens_MMR.EUR.SU</v>
      </c>
      <c r="P105" s="513" t="e" cm="1">
        <f t="array" ref="P105">IF($O105&lt;&gt;"",-TRANSPOSE(INDEX(getcds('CDO Bespoke'!$C130,P$13,'CDO Bespoke'!$G130/10000,'CDO Bespoke'!F130,'CDO Bespoke'!$L106,'CDO Bespoke'!$C$13,'CDO Bespoke'!$C$14,'CDO Bespoke'!$C$15,'CDO Bespoke'!$C$8,,,TRUE,TRUE,FALSE,'CDO Bespoke'!$C$29:'CDO Bespoke'!$C$31,'CDO Bespoke'!$C$33),{5})),"")</f>
        <v>#REF!</v>
      </c>
      <c r="Q105" s="542" t="e" cm="1">
        <f t="array" ref="Q105">IF($O105&lt;&gt;"",-TRANSPOSE(INDEX(getcds('CDO Bespoke'!$C130,Q$13,'CDO Bespoke'!$G130/10000,'CDO Bespoke'!G130,'CDO Bespoke'!$L106,'CDO Bespoke'!$C$13,'CDO Bespoke'!$C$14,'CDO Bespoke'!$C$15,'CDO Bespoke'!$C$8,,,TRUE,TRUE,FALSE,'CDO Bespoke'!$C$29:'CDO Bespoke'!$C$31,'CDO Bespoke'!$C$33),{5})),"")</f>
        <v>#VALUE!</v>
      </c>
      <c r="R105" s="542" t="e" cm="1">
        <f t="array" ref="R105">IF($O105&lt;&gt;"",-TRANSPOSE(INDEX(getcds('CDO Bespoke'!$C130,R$13,'CDO Bespoke'!$G130/10000,'CDO Bespoke'!H130,'CDO Bespoke'!$L106,'CDO Bespoke'!$C$13,'CDO Bespoke'!$C$14,'CDO Bespoke'!$C$15,'CDO Bespoke'!$C$8,,,TRUE,TRUE,FALSE,'CDO Bespoke'!$C$29:'CDO Bespoke'!$C$31,'CDO Bespoke'!$C$33),{5})),"")</f>
        <v>#REF!</v>
      </c>
      <c r="S105" s="542" t="e" cm="1">
        <f t="array" ref="S105">IF($O105&lt;&gt;"",-TRANSPOSE(INDEX(getcds('CDO Bespoke'!$C130,S$13,'CDO Bespoke'!$G130/10000,'CDO Bespoke'!I130,'CDO Bespoke'!$L106,'CDO Bespoke'!$C$13,'CDO Bespoke'!$C$14,'CDO Bespoke'!$C$15,'CDO Bespoke'!$C$8,,,TRUE,TRUE,FALSE,'CDO Bespoke'!$C$29:'CDO Bespoke'!$C$31,'CDO Bespoke'!$C$33),{5})),"")</f>
        <v>#REF!</v>
      </c>
      <c r="T105" s="514" t="e" cm="1">
        <f t="array" ref="T105">IF($O105&lt;&gt;"",-TRANSPOSE(INDEX(getcds('CDO Bespoke'!$C130,T$13,'CDO Bespoke'!$G130/10000,'CDO Bespoke'!J130,'CDO Bespoke'!$L106,'CDO Bespoke'!$C$13,'CDO Bespoke'!$C$14,'CDO Bespoke'!$C$15,'CDO Bespoke'!$C$8,,,TRUE,TRUE,FALSE,'CDO Bespoke'!$C$29:'CDO Bespoke'!$C$31,'CDO Bespoke'!$C$33),{5})),"")</f>
        <v>#VALUE!</v>
      </c>
      <c r="U105" s="493"/>
      <c r="V105" s="529"/>
      <c r="W105" s="530"/>
      <c r="X105" s="530"/>
      <c r="Y105" s="530"/>
      <c r="Z105" s="530"/>
      <c r="AA105" s="530"/>
      <c r="AB105" s="530"/>
      <c r="AC105" s="530"/>
      <c r="AD105" s="530"/>
      <c r="AE105" s="531"/>
      <c r="AF105" s="539"/>
    </row>
    <row r="106" spans="6:32" s="281" customFormat="1" ht="12" thickBot="1">
      <c r="F106" s="501" t="str">
        <f>IF('CDO Bespoke'!O107&lt;&gt;"",'CDO Bespoke'!O107,"")</f>
        <v/>
      </c>
      <c r="G106" s="502" t="str">
        <f>IF(F106&lt;&gt;"",ABS(MIN(-0.75*('CDO Bespoke'!Q107+'CDO Bespoke'!T107)+'CDO Bespoke'!T107,0)),"")</f>
        <v/>
      </c>
      <c r="H106" s="502" t="str">
        <f t="shared" si="4"/>
        <v/>
      </c>
      <c r="I106" s="502" t="str">
        <f t="shared" si="7"/>
        <v/>
      </c>
      <c r="J106" s="501" t="str">
        <f>IF('CDO Bespoke'!O107&lt;&gt;"",'CDO Bespoke'!O107,"")</f>
        <v/>
      </c>
      <c r="K106" s="502" t="str">
        <f>IF(J106&lt;&gt;"",ABS(MIN(-0.75*('CDO Bespoke'!K107+'CDO Bespoke'!T107)+'CDO Bespoke'!T107,0)),"")</f>
        <v/>
      </c>
      <c r="L106" s="502" t="str">
        <f t="shared" si="5"/>
        <v/>
      </c>
      <c r="M106" s="506" t="str">
        <f t="shared" si="6"/>
        <v/>
      </c>
      <c r="O106" s="511" t="str">
        <f>IF('CDO Bespoke'!C131&lt;&gt;"",'CDO Bespoke'!C131,"")</f>
        <v>SodexhoAlliance_MMR.EUR.SU</v>
      </c>
      <c r="P106" s="513" t="e" cm="1">
        <f t="array" ref="P106">IF($O106&lt;&gt;"",-TRANSPOSE(INDEX(getcds('CDO Bespoke'!$C131,P$13,'CDO Bespoke'!$G131/10000,'CDO Bespoke'!F131,'CDO Bespoke'!$L107,'CDO Bespoke'!$C$13,'CDO Bespoke'!$C$14,'CDO Bespoke'!$C$15,'CDO Bespoke'!$C$8,,,TRUE,TRUE,FALSE,'CDO Bespoke'!$C$29:'CDO Bespoke'!$C$31,'CDO Bespoke'!$C$33),{5})),"")</f>
        <v>#VALUE!</v>
      </c>
      <c r="Q106" s="542" t="e" cm="1">
        <f t="array" ref="Q106">IF($O106&lt;&gt;"",-TRANSPOSE(INDEX(getcds('CDO Bespoke'!$C131,Q$13,'CDO Bespoke'!$G131/10000,'CDO Bespoke'!G131,'CDO Bespoke'!$L107,'CDO Bespoke'!$C$13,'CDO Bespoke'!$C$14,'CDO Bespoke'!$C$15,'CDO Bespoke'!$C$8,,,TRUE,TRUE,FALSE,'CDO Bespoke'!$C$29:'CDO Bespoke'!$C$31,'CDO Bespoke'!$C$33),{5})),"")</f>
        <v>#VALUE!</v>
      </c>
      <c r="R106" s="542" t="e" cm="1">
        <f t="array" ref="R106">IF($O106&lt;&gt;"",-TRANSPOSE(INDEX(getcds('CDO Bespoke'!$C131,R$13,'CDO Bespoke'!$G131/10000,'CDO Bespoke'!H131,'CDO Bespoke'!$L107,'CDO Bespoke'!$C$13,'CDO Bespoke'!$C$14,'CDO Bespoke'!$C$15,'CDO Bespoke'!$C$8,,,TRUE,TRUE,FALSE,'CDO Bespoke'!$C$29:'CDO Bespoke'!$C$31,'CDO Bespoke'!$C$33),{5})),"")</f>
        <v>#VALUE!</v>
      </c>
      <c r="S106" s="542" t="e" cm="1">
        <f t="array" ref="S106">IF($O106&lt;&gt;"",-TRANSPOSE(INDEX(getcds('CDO Bespoke'!$C131,S$13,'CDO Bespoke'!$G131/10000,'CDO Bespoke'!I131,'CDO Bespoke'!$L107,'CDO Bespoke'!$C$13,'CDO Bespoke'!$C$14,'CDO Bespoke'!$C$15,'CDO Bespoke'!$C$8,,,TRUE,TRUE,FALSE,'CDO Bespoke'!$C$29:'CDO Bespoke'!$C$31,'CDO Bespoke'!$C$33),{5})),"")</f>
        <v>#VALUE!</v>
      </c>
      <c r="T106" s="514" t="e" cm="1">
        <f t="array" ref="T106">IF($O106&lt;&gt;"",-TRANSPOSE(INDEX(getcds('CDO Bespoke'!$C131,T$13,'CDO Bespoke'!$G131/10000,'CDO Bespoke'!J131,'CDO Bespoke'!$L107,'CDO Bespoke'!$C$13,'CDO Bespoke'!$C$14,'CDO Bespoke'!$C$15,'CDO Bespoke'!$C$8,,,TRUE,TRUE,FALSE,'CDO Bespoke'!$C$29:'CDO Bespoke'!$C$31,'CDO Bespoke'!$C$33),{5})),"")</f>
        <v>#VALUE!</v>
      </c>
      <c r="U106" s="493"/>
      <c r="V106" s="529"/>
      <c r="W106" s="530"/>
      <c r="X106" s="530"/>
      <c r="Y106" s="530"/>
      <c r="Z106" s="530"/>
      <c r="AA106" s="530"/>
      <c r="AB106" s="530"/>
      <c r="AC106" s="530"/>
      <c r="AD106" s="530"/>
      <c r="AE106" s="531"/>
      <c r="AF106" s="539"/>
    </row>
    <row r="107" spans="6:32" s="281" customFormat="1" ht="12" thickBot="1">
      <c r="F107" s="501" t="str">
        <f>IF('CDO Bespoke'!O108&lt;&gt;"",'CDO Bespoke'!O108,"")</f>
        <v/>
      </c>
      <c r="G107" s="502" t="str">
        <f>IF(F107&lt;&gt;"",ABS(MIN(-0.75*('CDO Bespoke'!Q108+'CDO Bespoke'!T108)+'CDO Bespoke'!T108,0)),"")</f>
        <v/>
      </c>
      <c r="H107" s="502" t="str">
        <f t="shared" si="4"/>
        <v/>
      </c>
      <c r="I107" s="502" t="str">
        <f t="shared" si="7"/>
        <v/>
      </c>
      <c r="J107" s="501" t="str">
        <f>IF('CDO Bespoke'!O108&lt;&gt;"",'CDO Bespoke'!O108,"")</f>
        <v/>
      </c>
      <c r="K107" s="502" t="str">
        <f>IF(J107&lt;&gt;"",ABS(MIN(-0.75*('CDO Bespoke'!K108+'CDO Bespoke'!T108)+'CDO Bespoke'!T108,0)),"")</f>
        <v/>
      </c>
      <c r="L107" s="502" t="str">
        <f t="shared" si="5"/>
        <v/>
      </c>
      <c r="M107" s="506" t="str">
        <f t="shared" si="6"/>
        <v/>
      </c>
      <c r="O107" s="511" t="str">
        <f>IF('CDO Bespoke'!C132&lt;&gt;"",'CDO Bespoke'!C132,"")</f>
        <v>Solvay_MMR.EUR.SU</v>
      </c>
      <c r="P107" s="513" t="e" cm="1">
        <f t="array" ref="P107">IF($O107&lt;&gt;"",-TRANSPOSE(INDEX(getcds('CDO Bespoke'!$C132,P$13,'CDO Bespoke'!$G132/10000,'CDO Bespoke'!F132,'CDO Bespoke'!$L108,'CDO Bespoke'!$C$13,'CDO Bespoke'!$C$14,'CDO Bespoke'!$C$15,'CDO Bespoke'!$C$8,,,TRUE,TRUE,FALSE,'CDO Bespoke'!$C$29:'CDO Bespoke'!$C$31,'CDO Bespoke'!$C$33),{5})),"")</f>
        <v>#REF!</v>
      </c>
      <c r="Q107" s="542" t="e" cm="1">
        <f t="array" ref="Q107">IF($O107&lt;&gt;"",-TRANSPOSE(INDEX(getcds('CDO Bespoke'!$C132,Q$13,'CDO Bespoke'!$G132/10000,'CDO Bespoke'!G132,'CDO Bespoke'!$L108,'CDO Bespoke'!$C$13,'CDO Bespoke'!$C$14,'CDO Bespoke'!$C$15,'CDO Bespoke'!$C$8,,,TRUE,TRUE,FALSE,'CDO Bespoke'!$C$29:'CDO Bespoke'!$C$31,'CDO Bespoke'!$C$33),{5})),"")</f>
        <v>#REF!</v>
      </c>
      <c r="R107" s="542" t="e" cm="1">
        <f t="array" ref="R107">IF($O107&lt;&gt;"",-TRANSPOSE(INDEX(getcds('CDO Bespoke'!$C132,R$13,'CDO Bespoke'!$G132/10000,'CDO Bespoke'!H132,'CDO Bespoke'!$L108,'CDO Bespoke'!$C$13,'CDO Bespoke'!$C$14,'CDO Bespoke'!$C$15,'CDO Bespoke'!$C$8,,,TRUE,TRUE,FALSE,'CDO Bespoke'!$C$29:'CDO Bespoke'!$C$31,'CDO Bespoke'!$C$33),{5})),"")</f>
        <v>#VALUE!</v>
      </c>
      <c r="S107" s="542" t="e" cm="1">
        <f t="array" ref="S107">IF($O107&lt;&gt;"",-TRANSPOSE(INDEX(getcds('CDO Bespoke'!$C132,S$13,'CDO Bespoke'!$G132/10000,'CDO Bespoke'!I132,'CDO Bespoke'!$L108,'CDO Bespoke'!$C$13,'CDO Bespoke'!$C$14,'CDO Bespoke'!$C$15,'CDO Bespoke'!$C$8,,,TRUE,TRUE,FALSE,'CDO Bespoke'!$C$29:'CDO Bespoke'!$C$31,'CDO Bespoke'!$C$33),{5})),"")</f>
        <v>#VALUE!</v>
      </c>
      <c r="T107" s="514" t="e" cm="1">
        <f t="array" ref="T107">IF($O107&lt;&gt;"",-TRANSPOSE(INDEX(getcds('CDO Bespoke'!$C132,T$13,'CDO Bespoke'!$G132/10000,'CDO Bespoke'!J132,'CDO Bespoke'!$L108,'CDO Bespoke'!$C$13,'CDO Bespoke'!$C$14,'CDO Bespoke'!$C$15,'CDO Bespoke'!$C$8,,,TRUE,TRUE,FALSE,'CDO Bespoke'!$C$29:'CDO Bespoke'!$C$31,'CDO Bespoke'!$C$33),{5})),"")</f>
        <v>#VALUE!</v>
      </c>
      <c r="U107" s="493"/>
      <c r="V107" s="529"/>
      <c r="W107" s="530"/>
      <c r="X107" s="530"/>
      <c r="Y107" s="530"/>
      <c r="Z107" s="530"/>
      <c r="AA107" s="530"/>
      <c r="AB107" s="530"/>
      <c r="AC107" s="530"/>
      <c r="AD107" s="530"/>
      <c r="AE107" s="531"/>
      <c r="AF107" s="539"/>
    </row>
    <row r="108" spans="6:32" s="281" customFormat="1" ht="12" thickBot="1">
      <c r="F108" s="501" t="str">
        <f>IF('CDO Bespoke'!O109&lt;&gt;"",'CDO Bespoke'!O109,"")</f>
        <v/>
      </c>
      <c r="G108" s="502" t="str">
        <f>IF(F108&lt;&gt;"",ABS(MIN(-0.75*('CDO Bespoke'!Q109+'CDO Bespoke'!T109)+'CDO Bespoke'!T109,0)),"")</f>
        <v/>
      </c>
      <c r="H108" s="502" t="str">
        <f t="shared" si="4"/>
        <v/>
      </c>
      <c r="I108" s="502" t="str">
        <f t="shared" si="7"/>
        <v/>
      </c>
      <c r="J108" s="501" t="str">
        <f>IF('CDO Bespoke'!O109&lt;&gt;"",'CDO Bespoke'!O109,"")</f>
        <v/>
      </c>
      <c r="K108" s="502" t="str">
        <f>IF(J108&lt;&gt;"",ABS(MIN(-0.75*('CDO Bespoke'!K109+'CDO Bespoke'!T109)+'CDO Bespoke'!T109,0)),"")</f>
        <v/>
      </c>
      <c r="L108" s="502" t="str">
        <f t="shared" si="5"/>
        <v/>
      </c>
      <c r="M108" s="506" t="str">
        <f t="shared" si="6"/>
        <v/>
      </c>
      <c r="O108" s="511" t="str">
        <f>IF('CDO Bespoke'!C133&lt;&gt;"",'CDO Bespoke'!C133,"")</f>
        <v>StGobain_MMR.EUR.SU</v>
      </c>
      <c r="P108" s="513" t="e" cm="1">
        <f t="array" ref="P108">IF($O108&lt;&gt;"",-TRANSPOSE(INDEX(getcds('CDO Bespoke'!$C133,P$13,'CDO Bespoke'!$G133/10000,'CDO Bespoke'!F133,'CDO Bespoke'!$L109,'CDO Bespoke'!$C$13,'CDO Bespoke'!$C$14,'CDO Bespoke'!$C$15,'CDO Bespoke'!$C$8,,,TRUE,TRUE,FALSE,'CDO Bespoke'!$C$29:'CDO Bespoke'!$C$31,'CDO Bespoke'!$C$33),{5})),"")</f>
        <v>#REF!</v>
      </c>
      <c r="Q108" s="542" t="e" cm="1">
        <f t="array" ref="Q108">IF($O108&lt;&gt;"",-TRANSPOSE(INDEX(getcds('CDO Bespoke'!$C133,Q$13,'CDO Bespoke'!$G133/10000,'CDO Bespoke'!G133,'CDO Bespoke'!$L109,'CDO Bespoke'!$C$13,'CDO Bespoke'!$C$14,'CDO Bespoke'!$C$15,'CDO Bespoke'!$C$8,,,TRUE,TRUE,FALSE,'CDO Bespoke'!$C$29:'CDO Bespoke'!$C$31,'CDO Bespoke'!$C$33),{5})),"")</f>
        <v>#VALUE!</v>
      </c>
      <c r="R108" s="542" t="e" cm="1">
        <f t="array" ref="R108">IF($O108&lt;&gt;"",-TRANSPOSE(INDEX(getcds('CDO Bespoke'!$C133,R$13,'CDO Bespoke'!$G133/10000,'CDO Bespoke'!H133,'CDO Bespoke'!$L109,'CDO Bespoke'!$C$13,'CDO Bespoke'!$C$14,'CDO Bespoke'!$C$15,'CDO Bespoke'!$C$8,,,TRUE,TRUE,FALSE,'CDO Bespoke'!$C$29:'CDO Bespoke'!$C$31,'CDO Bespoke'!$C$33),{5})),"")</f>
        <v>#REF!</v>
      </c>
      <c r="S108" s="542" t="e" cm="1">
        <f t="array" ref="S108">IF($O108&lt;&gt;"",-TRANSPOSE(INDEX(getcds('CDO Bespoke'!$C133,S$13,'CDO Bespoke'!$G133/10000,'CDO Bespoke'!I133,'CDO Bespoke'!$L109,'CDO Bespoke'!$C$13,'CDO Bespoke'!$C$14,'CDO Bespoke'!$C$15,'CDO Bespoke'!$C$8,,,TRUE,TRUE,FALSE,'CDO Bespoke'!$C$29:'CDO Bespoke'!$C$31,'CDO Bespoke'!$C$33),{5})),"")</f>
        <v>#VALUE!</v>
      </c>
      <c r="T108" s="514" t="e" cm="1">
        <f t="array" ref="T108">IF($O108&lt;&gt;"",-TRANSPOSE(INDEX(getcds('CDO Bespoke'!$C133,T$13,'CDO Bespoke'!$G133/10000,'CDO Bespoke'!J133,'CDO Bespoke'!$L109,'CDO Bespoke'!$C$13,'CDO Bespoke'!$C$14,'CDO Bespoke'!$C$15,'CDO Bespoke'!$C$8,,,TRUE,TRUE,FALSE,'CDO Bespoke'!$C$29:'CDO Bespoke'!$C$31,'CDO Bespoke'!$C$33),{5})),"")</f>
        <v>#VALUE!</v>
      </c>
      <c r="U108" s="493"/>
      <c r="V108" s="529"/>
      <c r="W108" s="530"/>
      <c r="X108" s="530"/>
      <c r="Y108" s="530"/>
      <c r="Z108" s="530"/>
      <c r="AA108" s="530"/>
      <c r="AB108" s="530"/>
      <c r="AC108" s="530"/>
      <c r="AD108" s="530"/>
      <c r="AE108" s="531"/>
      <c r="AF108" s="539"/>
    </row>
    <row r="109" spans="6:32" s="281" customFormat="1" ht="12" thickBot="1">
      <c r="F109" s="501" t="str">
        <f>IF('CDO Bespoke'!O110&lt;&gt;"",'CDO Bespoke'!O110,"")</f>
        <v/>
      </c>
      <c r="G109" s="502" t="str">
        <f>IF(F109&lt;&gt;"",ABS(MIN(-0.75*('CDO Bespoke'!Q110+'CDO Bespoke'!T110)+'CDO Bespoke'!T110,0)),"")</f>
        <v/>
      </c>
      <c r="H109" s="502" t="str">
        <f t="shared" si="4"/>
        <v/>
      </c>
      <c r="I109" s="502" t="str">
        <f t="shared" si="7"/>
        <v/>
      </c>
      <c r="J109" s="501" t="str">
        <f>IF('CDO Bespoke'!O110&lt;&gt;"",'CDO Bespoke'!O110,"")</f>
        <v/>
      </c>
      <c r="K109" s="502" t="str">
        <f>IF(J109&lt;&gt;"",ABS(MIN(-0.75*('CDO Bespoke'!K110+'CDO Bespoke'!T110)+'CDO Bespoke'!T110,0)),"")</f>
        <v/>
      </c>
      <c r="L109" s="502" t="str">
        <f t="shared" si="5"/>
        <v/>
      </c>
      <c r="M109" s="506" t="str">
        <f t="shared" si="6"/>
        <v/>
      </c>
      <c r="O109" s="511" t="str">
        <f>IF('CDO Bespoke'!C134&lt;&gt;"",'CDO Bespoke'!C134,"")</f>
        <v>StMicro_MMR.EUR.SU</v>
      </c>
      <c r="P109" s="513" t="e" cm="1">
        <f t="array" ref="P109">IF($O109&lt;&gt;"",-TRANSPOSE(INDEX(getcds('CDO Bespoke'!$C134,P$13,'CDO Bespoke'!$G134/10000,'CDO Bespoke'!F134,'CDO Bespoke'!$L110,'CDO Bespoke'!$C$13,'CDO Bespoke'!$C$14,'CDO Bespoke'!$C$15,'CDO Bespoke'!$C$8,,,TRUE,TRUE,FALSE,'CDO Bespoke'!$C$29:'CDO Bespoke'!$C$31,'CDO Bespoke'!$C$33),{5})),"")</f>
        <v>#VALUE!</v>
      </c>
      <c r="Q109" s="542" t="e" cm="1">
        <f t="array" ref="Q109">IF($O109&lt;&gt;"",-TRANSPOSE(INDEX(getcds('CDO Bespoke'!$C134,Q$13,'CDO Bespoke'!$G134/10000,'CDO Bespoke'!G134,'CDO Bespoke'!$L110,'CDO Bespoke'!$C$13,'CDO Bespoke'!$C$14,'CDO Bespoke'!$C$15,'CDO Bespoke'!$C$8,,,TRUE,TRUE,FALSE,'CDO Bespoke'!$C$29:'CDO Bespoke'!$C$31,'CDO Bespoke'!$C$33),{5})),"")</f>
        <v>#VALUE!</v>
      </c>
      <c r="R109" s="542" t="e" cm="1">
        <f t="array" ref="R109">IF($O109&lt;&gt;"",-TRANSPOSE(INDEX(getcds('CDO Bespoke'!$C134,R$13,'CDO Bespoke'!$G134/10000,'CDO Bespoke'!H134,'CDO Bespoke'!$L110,'CDO Bespoke'!$C$13,'CDO Bespoke'!$C$14,'CDO Bespoke'!$C$15,'CDO Bespoke'!$C$8,,,TRUE,TRUE,FALSE,'CDO Bespoke'!$C$29:'CDO Bespoke'!$C$31,'CDO Bespoke'!$C$33),{5})),"")</f>
        <v>#VALUE!</v>
      </c>
      <c r="S109" s="542" t="e" cm="1">
        <f t="array" ref="S109">IF($O109&lt;&gt;"",-TRANSPOSE(INDEX(getcds('CDO Bespoke'!$C134,S$13,'CDO Bespoke'!$G134/10000,'CDO Bespoke'!I134,'CDO Bespoke'!$L110,'CDO Bespoke'!$C$13,'CDO Bespoke'!$C$14,'CDO Bespoke'!$C$15,'CDO Bespoke'!$C$8,,,TRUE,TRUE,FALSE,'CDO Bespoke'!$C$29:'CDO Bespoke'!$C$31,'CDO Bespoke'!$C$33),{5})),"")</f>
        <v>#VALUE!</v>
      </c>
      <c r="T109" s="514" t="e" cm="1">
        <f t="array" ref="T109">IF($O109&lt;&gt;"",-TRANSPOSE(INDEX(getcds('CDO Bespoke'!$C134,T$13,'CDO Bespoke'!$G134/10000,'CDO Bespoke'!J134,'CDO Bespoke'!$L110,'CDO Bespoke'!$C$13,'CDO Bespoke'!$C$14,'CDO Bespoke'!$C$15,'CDO Bespoke'!$C$8,,,TRUE,TRUE,FALSE,'CDO Bespoke'!$C$29:'CDO Bespoke'!$C$31,'CDO Bespoke'!$C$33),{5})),"")</f>
        <v>#VALUE!</v>
      </c>
      <c r="U109" s="493"/>
      <c r="V109" s="529"/>
      <c r="W109" s="530"/>
      <c r="X109" s="530"/>
      <c r="Y109" s="530"/>
      <c r="Z109" s="530"/>
      <c r="AA109" s="530"/>
      <c r="AB109" s="530"/>
      <c r="AC109" s="530"/>
      <c r="AD109" s="530"/>
      <c r="AE109" s="531"/>
      <c r="AF109" s="539"/>
    </row>
    <row r="110" spans="6:32" s="281" customFormat="1" ht="12" thickBot="1">
      <c r="F110" s="501" t="str">
        <f>IF('CDO Bespoke'!O111&lt;&gt;"",'CDO Bespoke'!O111,"")</f>
        <v/>
      </c>
      <c r="G110" s="502" t="str">
        <f>IF(F110&lt;&gt;"",ABS(MIN(-0.75*('CDO Bespoke'!Q111+'CDO Bespoke'!T111)+'CDO Bespoke'!T111,0)),"")</f>
        <v/>
      </c>
      <c r="H110" s="502" t="str">
        <f t="shared" si="4"/>
        <v/>
      </c>
      <c r="I110" s="502" t="str">
        <f t="shared" si="7"/>
        <v/>
      </c>
      <c r="J110" s="501" t="str">
        <f>IF('CDO Bespoke'!O111&lt;&gt;"",'CDO Bespoke'!O111,"")</f>
        <v/>
      </c>
      <c r="K110" s="502" t="str">
        <f>IF(J110&lt;&gt;"",ABS(MIN(-0.75*('CDO Bespoke'!K111+'CDO Bespoke'!T111)+'CDO Bespoke'!T111,0)),"")</f>
        <v/>
      </c>
      <c r="L110" s="502" t="str">
        <f t="shared" si="5"/>
        <v/>
      </c>
      <c r="M110" s="506" t="str">
        <f t="shared" si="6"/>
        <v/>
      </c>
      <c r="O110" s="511" t="str">
        <f>IF('CDO Bespoke'!C135&lt;&gt;"",'CDO Bespoke'!C135,"")</f>
        <v>SuedzuckerAg_MMR.EUR.SU</v>
      </c>
      <c r="P110" s="513" t="e" cm="1">
        <f t="array" ref="P110">IF($O110&lt;&gt;"",-TRANSPOSE(INDEX(getcds('CDO Bespoke'!$C135,P$13,'CDO Bespoke'!$G135/10000,'CDO Bespoke'!F135,'CDO Bespoke'!$L111,'CDO Bespoke'!$C$13,'CDO Bespoke'!$C$14,'CDO Bespoke'!$C$15,'CDO Bespoke'!$C$8,,,TRUE,TRUE,FALSE,'CDO Bespoke'!$C$29:'CDO Bespoke'!$C$31,'CDO Bespoke'!$C$33),{5})),"")</f>
        <v>#VALUE!</v>
      </c>
      <c r="Q110" s="542" t="e" cm="1">
        <f t="array" ref="Q110">IF($O110&lt;&gt;"",-TRANSPOSE(INDEX(getcds('CDO Bespoke'!$C135,Q$13,'CDO Bespoke'!$G135/10000,'CDO Bespoke'!G135,'CDO Bespoke'!$L111,'CDO Bespoke'!$C$13,'CDO Bespoke'!$C$14,'CDO Bespoke'!$C$15,'CDO Bespoke'!$C$8,,,TRUE,TRUE,FALSE,'CDO Bespoke'!$C$29:'CDO Bespoke'!$C$31,'CDO Bespoke'!$C$33),{5})),"")</f>
        <v>#VALUE!</v>
      </c>
      <c r="R110" s="542" t="e" cm="1">
        <f t="array" ref="R110">IF($O110&lt;&gt;"",-TRANSPOSE(INDEX(getcds('CDO Bespoke'!$C135,R$13,'CDO Bespoke'!$G135/10000,'CDO Bespoke'!H135,'CDO Bespoke'!$L111,'CDO Bespoke'!$C$13,'CDO Bespoke'!$C$14,'CDO Bespoke'!$C$15,'CDO Bespoke'!$C$8,,,TRUE,TRUE,FALSE,'CDO Bespoke'!$C$29:'CDO Bespoke'!$C$31,'CDO Bespoke'!$C$33),{5})),"")</f>
        <v>#VALUE!</v>
      </c>
      <c r="S110" s="542" t="e" cm="1">
        <f t="array" ref="S110">IF($O110&lt;&gt;"",-TRANSPOSE(INDEX(getcds('CDO Bespoke'!$C135,S$13,'CDO Bespoke'!$G135/10000,'CDO Bespoke'!I135,'CDO Bespoke'!$L111,'CDO Bespoke'!$C$13,'CDO Bespoke'!$C$14,'CDO Bespoke'!$C$15,'CDO Bespoke'!$C$8,,,TRUE,TRUE,FALSE,'CDO Bespoke'!$C$29:'CDO Bespoke'!$C$31,'CDO Bespoke'!$C$33),{5})),"")</f>
        <v>#VALUE!</v>
      </c>
      <c r="T110" s="514" t="e" cm="1">
        <f t="array" ref="T110">IF($O110&lt;&gt;"",-TRANSPOSE(INDEX(getcds('CDO Bespoke'!$C135,T$13,'CDO Bespoke'!$G135/10000,'CDO Bespoke'!J135,'CDO Bespoke'!$L111,'CDO Bespoke'!$C$13,'CDO Bespoke'!$C$14,'CDO Bespoke'!$C$15,'CDO Bespoke'!$C$8,,,TRUE,TRUE,FALSE,'CDO Bespoke'!$C$29:'CDO Bespoke'!$C$31,'CDO Bespoke'!$C$33),{5})),"")</f>
        <v>#VALUE!</v>
      </c>
      <c r="U110" s="493"/>
      <c r="V110" s="529"/>
      <c r="W110" s="530"/>
      <c r="X110" s="530"/>
      <c r="Y110" s="530"/>
      <c r="Z110" s="530"/>
      <c r="AA110" s="530"/>
      <c r="AB110" s="530"/>
      <c r="AC110" s="530"/>
      <c r="AD110" s="530"/>
      <c r="AE110" s="531"/>
      <c r="AF110" s="539"/>
    </row>
    <row r="111" spans="6:32" s="281" customFormat="1" ht="12" thickBot="1">
      <c r="F111" s="501" t="str">
        <f>IF('CDO Bespoke'!O112&lt;&gt;"",'CDO Bespoke'!O112,"")</f>
        <v/>
      </c>
      <c r="G111" s="502" t="str">
        <f>IF(F111&lt;&gt;"",ABS(MIN(-0.75*('CDO Bespoke'!Q112+'CDO Bespoke'!T112)+'CDO Bespoke'!T112,0)),"")</f>
        <v/>
      </c>
      <c r="H111" s="502" t="str">
        <f t="shared" si="4"/>
        <v/>
      </c>
      <c r="I111" s="502" t="str">
        <f t="shared" si="7"/>
        <v/>
      </c>
      <c r="J111" s="501" t="str">
        <f>IF('CDO Bespoke'!O112&lt;&gt;"",'CDO Bespoke'!O112,"")</f>
        <v/>
      </c>
      <c r="K111" s="502" t="str">
        <f>IF(J111&lt;&gt;"",ABS(MIN(-0.75*('CDO Bespoke'!K112+'CDO Bespoke'!T112)+'CDO Bespoke'!T112,0)),"")</f>
        <v/>
      </c>
      <c r="L111" s="502" t="str">
        <f t="shared" si="5"/>
        <v/>
      </c>
      <c r="M111" s="506" t="str">
        <f t="shared" si="6"/>
        <v/>
      </c>
      <c r="O111" s="511" t="str">
        <f>IF('CDO Bespoke'!C136&lt;&gt;"",'CDO Bespoke'!C136,"")</f>
        <v>SuezLyonnaise_MMR.EUR.SU</v>
      </c>
      <c r="P111" s="513" t="e" cm="1">
        <f t="array" ref="P111">IF($O111&lt;&gt;"",-TRANSPOSE(INDEX(getcds('CDO Bespoke'!$C136,P$13,'CDO Bespoke'!$G136/10000,'CDO Bespoke'!F136,'CDO Bespoke'!$L112,'CDO Bespoke'!$C$13,'CDO Bespoke'!$C$14,'CDO Bespoke'!$C$15,'CDO Bespoke'!$C$8,,,TRUE,TRUE,FALSE,'CDO Bespoke'!$C$29:'CDO Bespoke'!$C$31,'CDO Bespoke'!$C$33),{5})),"")</f>
        <v>#VALUE!</v>
      </c>
      <c r="Q111" s="542" t="e" cm="1">
        <f t="array" ref="Q111">IF($O111&lt;&gt;"",-TRANSPOSE(INDEX(getcds('CDO Bespoke'!$C136,Q$13,'CDO Bespoke'!$G136/10000,'CDO Bespoke'!G136,'CDO Bespoke'!$L112,'CDO Bespoke'!$C$13,'CDO Bespoke'!$C$14,'CDO Bespoke'!$C$15,'CDO Bespoke'!$C$8,,,TRUE,TRUE,FALSE,'CDO Bespoke'!$C$29:'CDO Bespoke'!$C$31,'CDO Bespoke'!$C$33),{5})),"")</f>
        <v>#VALUE!</v>
      </c>
      <c r="R111" s="542" t="e" cm="1">
        <f t="array" ref="R111">IF($O111&lt;&gt;"",-TRANSPOSE(INDEX(getcds('CDO Bespoke'!$C136,R$13,'CDO Bespoke'!$G136/10000,'CDO Bespoke'!H136,'CDO Bespoke'!$L112,'CDO Bespoke'!$C$13,'CDO Bespoke'!$C$14,'CDO Bespoke'!$C$15,'CDO Bespoke'!$C$8,,,TRUE,TRUE,FALSE,'CDO Bespoke'!$C$29:'CDO Bespoke'!$C$31,'CDO Bespoke'!$C$33),{5})),"")</f>
        <v>#VALUE!</v>
      </c>
      <c r="S111" s="542" t="e" cm="1">
        <f t="array" ref="S111">IF($O111&lt;&gt;"",-TRANSPOSE(INDEX(getcds('CDO Bespoke'!$C136,S$13,'CDO Bespoke'!$G136/10000,'CDO Bespoke'!I136,'CDO Bespoke'!$L112,'CDO Bespoke'!$C$13,'CDO Bespoke'!$C$14,'CDO Bespoke'!$C$15,'CDO Bespoke'!$C$8,,,TRUE,TRUE,FALSE,'CDO Bespoke'!$C$29:'CDO Bespoke'!$C$31,'CDO Bespoke'!$C$33),{5})),"")</f>
        <v>#VALUE!</v>
      </c>
      <c r="T111" s="514" t="e" cm="1">
        <f t="array" ref="T111">IF($O111&lt;&gt;"",-TRANSPOSE(INDEX(getcds('CDO Bespoke'!$C136,T$13,'CDO Bespoke'!$G136/10000,'CDO Bespoke'!J136,'CDO Bespoke'!$L112,'CDO Bespoke'!$C$13,'CDO Bespoke'!$C$14,'CDO Bespoke'!$C$15,'CDO Bespoke'!$C$8,,,TRUE,TRUE,FALSE,'CDO Bespoke'!$C$29:'CDO Bespoke'!$C$31,'CDO Bespoke'!$C$33),{5})),"")</f>
        <v>#VALUE!</v>
      </c>
      <c r="U111" s="493"/>
      <c r="V111" s="529"/>
      <c r="W111" s="530"/>
      <c r="X111" s="530"/>
      <c r="Y111" s="530"/>
      <c r="Z111" s="530"/>
      <c r="AA111" s="530"/>
      <c r="AB111" s="530"/>
      <c r="AC111" s="530"/>
      <c r="AD111" s="530"/>
      <c r="AE111" s="531"/>
      <c r="AF111" s="539"/>
    </row>
    <row r="112" spans="6:32" s="281" customFormat="1" ht="12" thickBot="1">
      <c r="F112" s="501" t="str">
        <f>IF('CDO Bespoke'!O113&lt;&gt;"",'CDO Bespoke'!O113,"")</f>
        <v/>
      </c>
      <c r="G112" s="502" t="str">
        <f>IF(F112&lt;&gt;"",ABS(MIN(-0.75*('CDO Bespoke'!Q113+'CDO Bespoke'!T113)+'CDO Bespoke'!T113,0)),"")</f>
        <v/>
      </c>
      <c r="H112" s="502" t="str">
        <f t="shared" si="4"/>
        <v/>
      </c>
      <c r="I112" s="502" t="str">
        <f t="shared" si="7"/>
        <v/>
      </c>
      <c r="J112" s="501" t="str">
        <f>IF('CDO Bespoke'!O113&lt;&gt;"",'CDO Bespoke'!O113,"")</f>
        <v/>
      </c>
      <c r="K112" s="502" t="str">
        <f>IF(J112&lt;&gt;"",ABS(MIN(-0.75*('CDO Bespoke'!K113+'CDO Bespoke'!T113)+'CDO Bespoke'!T113,0)),"")</f>
        <v/>
      </c>
      <c r="L112" s="502" t="str">
        <f t="shared" si="5"/>
        <v/>
      </c>
      <c r="M112" s="506" t="str">
        <f t="shared" si="6"/>
        <v/>
      </c>
      <c r="O112" s="511" t="str">
        <f>IF('CDO Bespoke'!C137&lt;&gt;"",'CDO Bespoke'!C137,"")</f>
        <v>SvenskaCellulosaAB_MMR.EUR.SU</v>
      </c>
      <c r="P112" s="513" t="e" cm="1">
        <f t="array" ref="P112">IF($O112&lt;&gt;"",-TRANSPOSE(INDEX(getcds('CDO Bespoke'!$C137,P$13,'CDO Bespoke'!$G137/10000,'CDO Bespoke'!F137,'CDO Bespoke'!$L113,'CDO Bespoke'!$C$13,'CDO Bespoke'!$C$14,'CDO Bespoke'!$C$15,'CDO Bespoke'!$C$8,,,TRUE,TRUE,FALSE,'CDO Bespoke'!$C$29:'CDO Bespoke'!$C$31,'CDO Bespoke'!$C$33),{5})),"")</f>
        <v>#REF!</v>
      </c>
      <c r="Q112" s="542" t="e" cm="1">
        <f t="array" ref="Q112">IF($O112&lt;&gt;"",-TRANSPOSE(INDEX(getcds('CDO Bespoke'!$C137,Q$13,'CDO Bespoke'!$G137/10000,'CDO Bespoke'!G137,'CDO Bespoke'!$L113,'CDO Bespoke'!$C$13,'CDO Bespoke'!$C$14,'CDO Bespoke'!$C$15,'CDO Bespoke'!$C$8,,,TRUE,TRUE,FALSE,'CDO Bespoke'!$C$29:'CDO Bespoke'!$C$31,'CDO Bespoke'!$C$33),{5})),"")</f>
        <v>#REF!</v>
      </c>
      <c r="R112" s="542" t="e" cm="1">
        <f t="array" ref="R112">IF($O112&lt;&gt;"",-TRANSPOSE(INDEX(getcds('CDO Bespoke'!$C137,R$13,'CDO Bespoke'!$G137/10000,'CDO Bespoke'!H137,'CDO Bespoke'!$L113,'CDO Bespoke'!$C$13,'CDO Bespoke'!$C$14,'CDO Bespoke'!$C$15,'CDO Bespoke'!$C$8,,,TRUE,TRUE,FALSE,'CDO Bespoke'!$C$29:'CDO Bespoke'!$C$31,'CDO Bespoke'!$C$33),{5})),"")</f>
        <v>#REF!</v>
      </c>
      <c r="S112" s="542" t="e" cm="1">
        <f t="array" ref="S112">IF($O112&lt;&gt;"",-TRANSPOSE(INDEX(getcds('CDO Bespoke'!$C137,S$13,'CDO Bespoke'!$G137/10000,'CDO Bespoke'!I137,'CDO Bespoke'!$L113,'CDO Bespoke'!$C$13,'CDO Bespoke'!$C$14,'CDO Bespoke'!$C$15,'CDO Bespoke'!$C$8,,,TRUE,TRUE,FALSE,'CDO Bespoke'!$C$29:'CDO Bespoke'!$C$31,'CDO Bespoke'!$C$33),{5})),"")</f>
        <v>#REF!</v>
      </c>
      <c r="T112" s="514" t="e" cm="1">
        <f t="array" ref="T112">IF($O112&lt;&gt;"",-TRANSPOSE(INDEX(getcds('CDO Bespoke'!$C137,T$13,'CDO Bespoke'!$G137/10000,'CDO Bespoke'!J137,'CDO Bespoke'!$L113,'CDO Bespoke'!$C$13,'CDO Bespoke'!$C$14,'CDO Bespoke'!$C$15,'CDO Bespoke'!$C$8,,,TRUE,TRUE,FALSE,'CDO Bespoke'!$C$29:'CDO Bespoke'!$C$31,'CDO Bespoke'!$C$33),{5})),"")</f>
        <v>#REF!</v>
      </c>
      <c r="U112" s="493"/>
      <c r="V112" s="529"/>
      <c r="W112" s="530"/>
      <c r="X112" s="530"/>
      <c r="Y112" s="530"/>
      <c r="Z112" s="530"/>
      <c r="AA112" s="530"/>
      <c r="AB112" s="530"/>
      <c r="AC112" s="530"/>
      <c r="AD112" s="530"/>
      <c r="AE112" s="531"/>
      <c r="AF112" s="539"/>
    </row>
    <row r="113" spans="6:32" s="281" customFormat="1" ht="12" thickBot="1">
      <c r="F113" s="501" t="str">
        <f>IF('CDO Bespoke'!O114&lt;&gt;"",'CDO Bespoke'!O114,"")</f>
        <v/>
      </c>
      <c r="G113" s="502" t="str">
        <f>IF(F113&lt;&gt;"",ABS(MIN(-0.75*('CDO Bespoke'!Q114+'CDO Bespoke'!T114)+'CDO Bespoke'!T114,0)),"")</f>
        <v/>
      </c>
      <c r="H113" s="502" t="str">
        <f t="shared" si="4"/>
        <v/>
      </c>
      <c r="I113" s="502" t="str">
        <f t="shared" si="7"/>
        <v/>
      </c>
      <c r="J113" s="501" t="str">
        <f>IF('CDO Bespoke'!O114&lt;&gt;"",'CDO Bespoke'!O114,"")</f>
        <v/>
      </c>
      <c r="K113" s="502" t="str">
        <f>IF(J113&lt;&gt;"",ABS(MIN(-0.75*('CDO Bespoke'!K114+'CDO Bespoke'!T114)+'CDO Bespoke'!T114,0)),"")</f>
        <v/>
      </c>
      <c r="L113" s="502" t="str">
        <f t="shared" si="5"/>
        <v/>
      </c>
      <c r="M113" s="506" t="str">
        <f t="shared" si="6"/>
        <v/>
      </c>
      <c r="O113" s="511" t="str">
        <f>IF('CDO Bespoke'!C138&lt;&gt;"",'CDO Bespoke'!C138,"")</f>
        <v>SWISSRE_MMR.EUR.SU</v>
      </c>
      <c r="P113" s="513" t="e" cm="1">
        <f t="array" ref="P113">IF($O113&lt;&gt;"",-TRANSPOSE(INDEX(getcds('CDO Bespoke'!$C138,P$13,'CDO Bespoke'!$G138/10000,'CDO Bespoke'!F138,'CDO Bespoke'!$L114,'CDO Bespoke'!$C$13,'CDO Bespoke'!$C$14,'CDO Bespoke'!$C$15,'CDO Bespoke'!$C$8,,,TRUE,TRUE,FALSE,'CDO Bespoke'!$C$29:'CDO Bespoke'!$C$31,'CDO Bespoke'!$C$33),{5})),"")</f>
        <v>#VALUE!</v>
      </c>
      <c r="Q113" s="542" t="e" cm="1">
        <f t="array" ref="Q113">IF($O113&lt;&gt;"",-TRANSPOSE(INDEX(getcds('CDO Bespoke'!$C138,Q$13,'CDO Bespoke'!$G138/10000,'CDO Bespoke'!G138,'CDO Bespoke'!$L114,'CDO Bespoke'!$C$13,'CDO Bespoke'!$C$14,'CDO Bespoke'!$C$15,'CDO Bespoke'!$C$8,,,TRUE,TRUE,FALSE,'CDO Bespoke'!$C$29:'CDO Bespoke'!$C$31,'CDO Bespoke'!$C$33),{5})),"")</f>
        <v>#VALUE!</v>
      </c>
      <c r="R113" s="542" t="e" cm="1">
        <f t="array" ref="R113">IF($O113&lt;&gt;"",-TRANSPOSE(INDEX(getcds('CDO Bespoke'!$C138,R$13,'CDO Bespoke'!$G138/10000,'CDO Bespoke'!H138,'CDO Bespoke'!$L114,'CDO Bespoke'!$C$13,'CDO Bespoke'!$C$14,'CDO Bespoke'!$C$15,'CDO Bespoke'!$C$8,,,TRUE,TRUE,FALSE,'CDO Bespoke'!$C$29:'CDO Bespoke'!$C$31,'CDO Bespoke'!$C$33),{5})),"")</f>
        <v>#VALUE!</v>
      </c>
      <c r="S113" s="542" t="e" cm="1">
        <f t="array" ref="S113">IF($O113&lt;&gt;"",-TRANSPOSE(INDEX(getcds('CDO Bespoke'!$C138,S$13,'CDO Bespoke'!$G138/10000,'CDO Bespoke'!I138,'CDO Bespoke'!$L114,'CDO Bespoke'!$C$13,'CDO Bespoke'!$C$14,'CDO Bespoke'!$C$15,'CDO Bespoke'!$C$8,,,TRUE,TRUE,FALSE,'CDO Bespoke'!$C$29:'CDO Bespoke'!$C$31,'CDO Bespoke'!$C$33),{5})),"")</f>
        <v>#VALUE!</v>
      </c>
      <c r="T113" s="514" t="e" cm="1">
        <f t="array" ref="T113">IF($O113&lt;&gt;"",-TRANSPOSE(INDEX(getcds('CDO Bespoke'!$C138,T$13,'CDO Bespoke'!$G138/10000,'CDO Bespoke'!J138,'CDO Bespoke'!$L114,'CDO Bespoke'!$C$13,'CDO Bespoke'!$C$14,'CDO Bespoke'!$C$15,'CDO Bespoke'!$C$8,,,TRUE,TRUE,FALSE,'CDO Bespoke'!$C$29:'CDO Bespoke'!$C$31,'CDO Bespoke'!$C$33),{5})),"")</f>
        <v>#VALUE!</v>
      </c>
      <c r="U113" s="493"/>
      <c r="V113" s="529"/>
      <c r="W113" s="530"/>
      <c r="X113" s="530"/>
      <c r="Y113" s="530"/>
      <c r="Z113" s="530"/>
      <c r="AA113" s="530"/>
      <c r="AB113" s="530"/>
      <c r="AC113" s="530"/>
      <c r="AD113" s="530"/>
      <c r="AE113" s="531"/>
      <c r="AF113" s="539"/>
    </row>
    <row r="114" spans="6:32" s="281" customFormat="1" ht="12" thickBot="1">
      <c r="F114" s="501" t="str">
        <f>IF('CDO Bespoke'!O115&lt;&gt;"",'CDO Bespoke'!O115,"")</f>
        <v/>
      </c>
      <c r="G114" s="502" t="str">
        <f>IF(F114&lt;&gt;"",ABS(MIN(-0.75*('CDO Bespoke'!Q115+'CDO Bespoke'!T115)+'CDO Bespoke'!T115,0)),"")</f>
        <v/>
      </c>
      <c r="H114" s="502" t="str">
        <f t="shared" si="4"/>
        <v/>
      </c>
      <c r="I114" s="502" t="str">
        <f t="shared" si="7"/>
        <v/>
      </c>
      <c r="J114" s="501" t="str">
        <f>IF('CDO Bespoke'!O115&lt;&gt;"",'CDO Bespoke'!O115,"")</f>
        <v/>
      </c>
      <c r="K114" s="502" t="str">
        <f>IF(J114&lt;&gt;"",ABS(MIN(-0.75*('CDO Bespoke'!K115+'CDO Bespoke'!T115)+'CDO Bespoke'!T115,0)),"")</f>
        <v/>
      </c>
      <c r="L114" s="502" t="str">
        <f t="shared" si="5"/>
        <v/>
      </c>
      <c r="M114" s="506" t="str">
        <f t="shared" si="6"/>
        <v/>
      </c>
      <c r="O114" s="511" t="str">
        <f>IF('CDO Bespoke'!C139&lt;&gt;"",'CDO Bespoke'!C139,"")</f>
        <v/>
      </c>
      <c r="P114" s="513" t="str" cm="1">
        <f t="array" ref="P114">IF($O114&lt;&gt;"",-TRANSPOSE(INDEX(getcds('CDO Bespoke'!$C139,P$13,'CDO Bespoke'!$G139/10000,'CDO Bespoke'!F139,'CDO Bespoke'!$L115,'CDO Bespoke'!$C$13,'CDO Bespoke'!$C$14,'CDO Bespoke'!$C$15,'CDO Bespoke'!$C$8,,,TRUE,TRUE,FALSE,'CDO Bespoke'!$C$29:'CDO Bespoke'!$C$31,'CDO Bespoke'!$C$33),{5})),"")</f>
        <v/>
      </c>
      <c r="Q114" s="542" t="str" cm="1">
        <f t="array" ref="Q114">IF($O114&lt;&gt;"",-TRANSPOSE(INDEX(getcds('CDO Bespoke'!$C139,Q$13,'CDO Bespoke'!$G139/10000,'CDO Bespoke'!G139,'CDO Bespoke'!$L115,'CDO Bespoke'!$C$13,'CDO Bespoke'!$C$14,'CDO Bespoke'!$C$15,'CDO Bespoke'!$C$8,,,TRUE,TRUE,FALSE,'CDO Bespoke'!$C$29:'CDO Bespoke'!$C$31,'CDO Bespoke'!$C$33),{5})),"")</f>
        <v/>
      </c>
      <c r="R114" s="542" t="str" cm="1">
        <f t="array" ref="R114">IF($O114&lt;&gt;"",-TRANSPOSE(INDEX(getcds('CDO Bespoke'!$C139,R$13,'CDO Bespoke'!$G139/10000,'CDO Bespoke'!H139,'CDO Bespoke'!$L115,'CDO Bespoke'!$C$13,'CDO Bespoke'!$C$14,'CDO Bespoke'!$C$15,'CDO Bespoke'!$C$8,,,TRUE,TRUE,FALSE,'CDO Bespoke'!$C$29:'CDO Bespoke'!$C$31,'CDO Bespoke'!$C$33),{5})),"")</f>
        <v/>
      </c>
      <c r="S114" s="542" t="str" cm="1">
        <f t="array" ref="S114">IF($O114&lt;&gt;"",-TRANSPOSE(INDEX(getcds('CDO Bespoke'!$C139,S$13,'CDO Bespoke'!$G139/10000,'CDO Bespoke'!I139,'CDO Bespoke'!$L115,'CDO Bespoke'!$C$13,'CDO Bespoke'!$C$14,'CDO Bespoke'!$C$15,'CDO Bespoke'!$C$8,,,TRUE,TRUE,FALSE,'CDO Bespoke'!$C$29:'CDO Bespoke'!$C$31,'CDO Bespoke'!$C$33),{5})),"")</f>
        <v/>
      </c>
      <c r="T114" s="514" t="str" cm="1">
        <f t="array" ref="T114">IF($O114&lt;&gt;"",-TRANSPOSE(INDEX(getcds('CDO Bespoke'!$C139,T$13,'CDO Bespoke'!$G139/10000,'CDO Bespoke'!J139,'CDO Bespoke'!$L115,'CDO Bespoke'!$C$13,'CDO Bespoke'!$C$14,'CDO Bespoke'!$C$15,'CDO Bespoke'!$C$8,,,TRUE,TRUE,FALSE,'CDO Bespoke'!$C$29:'CDO Bespoke'!$C$31,'CDO Bespoke'!$C$33),{5})),"")</f>
        <v/>
      </c>
      <c r="U114" s="493"/>
      <c r="V114" s="529"/>
      <c r="W114" s="530"/>
      <c r="X114" s="530"/>
      <c r="Y114" s="530"/>
      <c r="Z114" s="530"/>
      <c r="AA114" s="530"/>
      <c r="AB114" s="530"/>
      <c r="AC114" s="530"/>
      <c r="AD114" s="530"/>
      <c r="AE114" s="531"/>
      <c r="AF114" s="539"/>
    </row>
    <row r="115" spans="6:32" s="281" customFormat="1" ht="12" thickBot="1">
      <c r="F115" s="501" t="str">
        <f>IF('CDO Bespoke'!O116&lt;&gt;"",'CDO Bespoke'!O116,"")</f>
        <v/>
      </c>
      <c r="G115" s="502" t="str">
        <f>IF(F115&lt;&gt;"",ABS(MIN(-0.75*('CDO Bespoke'!Q116+'CDO Bespoke'!T116)+'CDO Bespoke'!T116,0)),"")</f>
        <v/>
      </c>
      <c r="H115" s="502" t="str">
        <f t="shared" si="4"/>
        <v/>
      </c>
      <c r="I115" s="502" t="str">
        <f t="shared" si="7"/>
        <v/>
      </c>
      <c r="J115" s="501" t="str">
        <f>IF('CDO Bespoke'!O116&lt;&gt;"",'CDO Bespoke'!O116,"")</f>
        <v/>
      </c>
      <c r="K115" s="502" t="str">
        <f>IF(J115&lt;&gt;"",ABS(MIN(-0.75*('CDO Bespoke'!K116+'CDO Bespoke'!T116)+'CDO Bespoke'!T116,0)),"")</f>
        <v/>
      </c>
      <c r="L115" s="502" t="str">
        <f t="shared" si="5"/>
        <v/>
      </c>
      <c r="M115" s="506" t="str">
        <f t="shared" si="6"/>
        <v/>
      </c>
      <c r="O115" s="511" t="str">
        <f>IF('CDO Bespoke'!C140&lt;&gt;"",'CDO Bespoke'!C140,"")</f>
        <v/>
      </c>
      <c r="P115" s="513" t="str" cm="1">
        <f t="array" ref="P115">IF($O115&lt;&gt;"",-TRANSPOSE(INDEX(getcds('CDO Bespoke'!$C140,P$13,'CDO Bespoke'!$G140/10000,'CDO Bespoke'!F140,'CDO Bespoke'!$L116,'CDO Bespoke'!$C$13,'CDO Bespoke'!$C$14,'CDO Bespoke'!$C$15,'CDO Bespoke'!$C$8,,,TRUE,TRUE,FALSE,'CDO Bespoke'!$C$29:'CDO Bespoke'!$C$31,'CDO Bespoke'!$C$33),{5})),"")</f>
        <v/>
      </c>
      <c r="Q115" s="542" t="str" cm="1">
        <f t="array" ref="Q115">IF($O115&lt;&gt;"",-TRANSPOSE(INDEX(getcds('CDO Bespoke'!$C140,Q$13,'CDO Bespoke'!$G140/10000,'CDO Bespoke'!G140,'CDO Bespoke'!$L116,'CDO Bespoke'!$C$13,'CDO Bespoke'!$C$14,'CDO Bespoke'!$C$15,'CDO Bespoke'!$C$8,,,TRUE,TRUE,FALSE,'CDO Bespoke'!$C$29:'CDO Bespoke'!$C$31,'CDO Bespoke'!$C$33),{5})),"")</f>
        <v/>
      </c>
      <c r="R115" s="542" t="str" cm="1">
        <f t="array" ref="R115">IF($O115&lt;&gt;"",-TRANSPOSE(INDEX(getcds('CDO Bespoke'!$C140,R$13,'CDO Bespoke'!$G140/10000,'CDO Bespoke'!H140,'CDO Bespoke'!$L116,'CDO Bespoke'!$C$13,'CDO Bespoke'!$C$14,'CDO Bespoke'!$C$15,'CDO Bespoke'!$C$8,,,TRUE,TRUE,FALSE,'CDO Bespoke'!$C$29:'CDO Bespoke'!$C$31,'CDO Bespoke'!$C$33),{5})),"")</f>
        <v/>
      </c>
      <c r="S115" s="542" t="str" cm="1">
        <f t="array" ref="S115">IF($O115&lt;&gt;"",-TRANSPOSE(INDEX(getcds('CDO Bespoke'!$C140,S$13,'CDO Bespoke'!$G140/10000,'CDO Bespoke'!I140,'CDO Bespoke'!$L116,'CDO Bespoke'!$C$13,'CDO Bespoke'!$C$14,'CDO Bespoke'!$C$15,'CDO Bespoke'!$C$8,,,TRUE,TRUE,FALSE,'CDO Bespoke'!$C$29:'CDO Bespoke'!$C$31,'CDO Bespoke'!$C$33),{5})),"")</f>
        <v/>
      </c>
      <c r="T115" s="514" t="str" cm="1">
        <f t="array" ref="T115">IF($O115&lt;&gt;"",-TRANSPOSE(INDEX(getcds('CDO Bespoke'!$C140,T$13,'CDO Bespoke'!$G140/10000,'CDO Bespoke'!J140,'CDO Bespoke'!$L116,'CDO Bespoke'!$C$13,'CDO Bespoke'!$C$14,'CDO Bespoke'!$C$15,'CDO Bespoke'!$C$8,,,TRUE,TRUE,FALSE,'CDO Bespoke'!$C$29:'CDO Bespoke'!$C$31,'CDO Bespoke'!$C$33),{5})),"")</f>
        <v/>
      </c>
      <c r="U115" s="493"/>
      <c r="V115" s="529"/>
      <c r="W115" s="530"/>
      <c r="X115" s="530"/>
      <c r="Y115" s="530"/>
      <c r="Z115" s="530"/>
      <c r="AA115" s="530"/>
      <c r="AB115" s="530"/>
      <c r="AC115" s="530"/>
      <c r="AD115" s="530"/>
      <c r="AE115" s="531"/>
      <c r="AF115" s="539"/>
    </row>
    <row r="116" spans="6:32" s="281" customFormat="1" ht="12" thickBot="1">
      <c r="F116" s="501" t="str">
        <f>IF('CDO Bespoke'!O117&lt;&gt;"",'CDO Bespoke'!O117,"")</f>
        <v/>
      </c>
      <c r="G116" s="502" t="str">
        <f>IF(F116&lt;&gt;"",ABS(MIN(-0.75*('CDO Bespoke'!Q117+'CDO Bespoke'!T117)+'CDO Bespoke'!T117,0)),"")</f>
        <v/>
      </c>
      <c r="H116" s="502" t="str">
        <f t="shared" si="4"/>
        <v/>
      </c>
      <c r="I116" s="502" t="str">
        <f t="shared" si="7"/>
        <v/>
      </c>
      <c r="J116" s="501" t="str">
        <f>IF('CDO Bespoke'!O117&lt;&gt;"",'CDO Bespoke'!O117,"")</f>
        <v/>
      </c>
      <c r="K116" s="502" t="str">
        <f>IF(J116&lt;&gt;"",ABS(MIN(-0.75*('CDO Bespoke'!K117+'CDO Bespoke'!T117)+'CDO Bespoke'!T117,0)),"")</f>
        <v/>
      </c>
      <c r="L116" s="502" t="str">
        <f t="shared" si="5"/>
        <v/>
      </c>
      <c r="M116" s="506" t="str">
        <f t="shared" si="6"/>
        <v/>
      </c>
      <c r="O116" s="511" t="str">
        <f>IF('CDO Bespoke'!C141&lt;&gt;"",'CDO Bespoke'!C141,"")</f>
        <v/>
      </c>
      <c r="P116" s="513" t="str" cm="1">
        <f t="array" ref="P116">IF($O116&lt;&gt;"",-TRANSPOSE(INDEX(getcds('CDO Bespoke'!$C141,P$13,'CDO Bespoke'!$G141/10000,'CDO Bespoke'!F141,'CDO Bespoke'!$L117,'CDO Bespoke'!$C$13,'CDO Bespoke'!$C$14,'CDO Bespoke'!$C$15,'CDO Bespoke'!$C$8,,,TRUE,TRUE,FALSE,'CDO Bespoke'!$C$29:'CDO Bespoke'!$C$31,'CDO Bespoke'!$C$33),{5})),"")</f>
        <v/>
      </c>
      <c r="Q116" s="542" t="str" cm="1">
        <f t="array" ref="Q116">IF($O116&lt;&gt;"",-TRANSPOSE(INDEX(getcds('CDO Bespoke'!$C141,Q$13,'CDO Bespoke'!$G141/10000,'CDO Bespoke'!G141,'CDO Bespoke'!$L117,'CDO Bespoke'!$C$13,'CDO Bespoke'!$C$14,'CDO Bespoke'!$C$15,'CDO Bespoke'!$C$8,,,TRUE,TRUE,FALSE,'CDO Bespoke'!$C$29:'CDO Bespoke'!$C$31,'CDO Bespoke'!$C$33),{5})),"")</f>
        <v/>
      </c>
      <c r="R116" s="542" t="str" cm="1">
        <f t="array" ref="R116">IF($O116&lt;&gt;"",-TRANSPOSE(INDEX(getcds('CDO Bespoke'!$C141,R$13,'CDO Bespoke'!$G141/10000,'CDO Bespoke'!H141,'CDO Bespoke'!$L117,'CDO Bespoke'!$C$13,'CDO Bespoke'!$C$14,'CDO Bespoke'!$C$15,'CDO Bespoke'!$C$8,,,TRUE,TRUE,FALSE,'CDO Bespoke'!$C$29:'CDO Bespoke'!$C$31,'CDO Bespoke'!$C$33),{5})),"")</f>
        <v/>
      </c>
      <c r="S116" s="542" t="str" cm="1">
        <f t="array" ref="S116">IF($O116&lt;&gt;"",-TRANSPOSE(INDEX(getcds('CDO Bespoke'!$C141,S$13,'CDO Bespoke'!$G141/10000,'CDO Bespoke'!I141,'CDO Bespoke'!$L117,'CDO Bespoke'!$C$13,'CDO Bespoke'!$C$14,'CDO Bespoke'!$C$15,'CDO Bespoke'!$C$8,,,TRUE,TRUE,FALSE,'CDO Bespoke'!$C$29:'CDO Bespoke'!$C$31,'CDO Bespoke'!$C$33),{5})),"")</f>
        <v/>
      </c>
      <c r="T116" s="514" t="str" cm="1">
        <f t="array" ref="T116">IF($O116&lt;&gt;"",-TRANSPOSE(INDEX(getcds('CDO Bespoke'!$C141,T$13,'CDO Bespoke'!$G141/10000,'CDO Bespoke'!J141,'CDO Bespoke'!$L117,'CDO Bespoke'!$C$13,'CDO Bespoke'!$C$14,'CDO Bespoke'!$C$15,'CDO Bespoke'!$C$8,,,TRUE,TRUE,FALSE,'CDO Bespoke'!$C$29:'CDO Bespoke'!$C$31,'CDO Bespoke'!$C$33),{5})),"")</f>
        <v/>
      </c>
      <c r="U116" s="493"/>
      <c r="V116" s="529"/>
      <c r="W116" s="530"/>
      <c r="X116" s="530"/>
      <c r="Y116" s="530"/>
      <c r="Z116" s="530"/>
      <c r="AA116" s="530"/>
      <c r="AB116" s="530"/>
      <c r="AC116" s="530"/>
      <c r="AD116" s="530"/>
      <c r="AE116" s="531"/>
      <c r="AF116" s="539"/>
    </row>
    <row r="117" spans="6:32" s="281" customFormat="1" ht="12" thickBot="1">
      <c r="F117" s="501" t="str">
        <f>IF('CDO Bespoke'!O118&lt;&gt;"",'CDO Bespoke'!O118,"")</f>
        <v/>
      </c>
      <c r="G117" s="502" t="str">
        <f>IF(F117&lt;&gt;"",ABS(MIN(-0.75*('CDO Bespoke'!Q118+'CDO Bespoke'!T118)+'CDO Bespoke'!T118,0)),"")</f>
        <v/>
      </c>
      <c r="H117" s="502" t="str">
        <f t="shared" si="4"/>
        <v/>
      </c>
      <c r="I117" s="502" t="str">
        <f t="shared" si="7"/>
        <v/>
      </c>
      <c r="J117" s="501" t="str">
        <f>IF('CDO Bespoke'!O118&lt;&gt;"",'CDO Bespoke'!O118,"")</f>
        <v/>
      </c>
      <c r="K117" s="502" t="str">
        <f>IF(J117&lt;&gt;"",ABS(MIN(-0.75*('CDO Bespoke'!K118+'CDO Bespoke'!T118)+'CDO Bespoke'!T118,0)),"")</f>
        <v/>
      </c>
      <c r="L117" s="502" t="str">
        <f t="shared" si="5"/>
        <v/>
      </c>
      <c r="M117" s="506" t="str">
        <f t="shared" si="6"/>
        <v/>
      </c>
      <c r="O117" s="511" t="str">
        <f>IF('CDO Bespoke'!C142&lt;&gt;"",'CDO Bespoke'!C142,"")</f>
        <v/>
      </c>
      <c r="P117" s="513" t="str" cm="1">
        <f t="array" ref="P117">IF($O117&lt;&gt;"",-TRANSPOSE(INDEX(getcds('CDO Bespoke'!$C142,P$13,'CDO Bespoke'!$G142/10000,'CDO Bespoke'!F142,'CDO Bespoke'!$L118,'CDO Bespoke'!$C$13,'CDO Bespoke'!$C$14,'CDO Bespoke'!$C$15,'CDO Bespoke'!$C$8,,,TRUE,TRUE,FALSE,'CDO Bespoke'!$C$29:'CDO Bespoke'!$C$31,'CDO Bespoke'!$C$33),{5})),"")</f>
        <v/>
      </c>
      <c r="Q117" s="542" t="str" cm="1">
        <f t="array" ref="Q117">IF($O117&lt;&gt;"",-TRANSPOSE(INDEX(getcds('CDO Bespoke'!$C142,Q$13,'CDO Bespoke'!$G142/10000,'CDO Bespoke'!G142,'CDO Bespoke'!$L118,'CDO Bespoke'!$C$13,'CDO Bespoke'!$C$14,'CDO Bespoke'!$C$15,'CDO Bespoke'!$C$8,,,TRUE,TRUE,FALSE,'CDO Bespoke'!$C$29:'CDO Bespoke'!$C$31,'CDO Bespoke'!$C$33),{5})),"")</f>
        <v/>
      </c>
      <c r="R117" s="542" t="str" cm="1">
        <f t="array" ref="R117">IF($O117&lt;&gt;"",-TRANSPOSE(INDEX(getcds('CDO Bespoke'!$C142,R$13,'CDO Bespoke'!$G142/10000,'CDO Bespoke'!H142,'CDO Bespoke'!$L118,'CDO Bespoke'!$C$13,'CDO Bespoke'!$C$14,'CDO Bespoke'!$C$15,'CDO Bespoke'!$C$8,,,TRUE,TRUE,FALSE,'CDO Bespoke'!$C$29:'CDO Bespoke'!$C$31,'CDO Bespoke'!$C$33),{5})),"")</f>
        <v/>
      </c>
      <c r="S117" s="542" t="str" cm="1">
        <f t="array" ref="S117">IF($O117&lt;&gt;"",-TRANSPOSE(INDEX(getcds('CDO Bespoke'!$C142,S$13,'CDO Bespoke'!$G142/10000,'CDO Bespoke'!I142,'CDO Bespoke'!$L118,'CDO Bespoke'!$C$13,'CDO Bespoke'!$C$14,'CDO Bespoke'!$C$15,'CDO Bespoke'!$C$8,,,TRUE,TRUE,FALSE,'CDO Bespoke'!$C$29:'CDO Bespoke'!$C$31,'CDO Bespoke'!$C$33),{5})),"")</f>
        <v/>
      </c>
      <c r="T117" s="514" t="str" cm="1">
        <f t="array" ref="T117">IF($O117&lt;&gt;"",-TRANSPOSE(INDEX(getcds('CDO Bespoke'!$C142,T$13,'CDO Bespoke'!$G142/10000,'CDO Bespoke'!J142,'CDO Bespoke'!$L118,'CDO Bespoke'!$C$13,'CDO Bespoke'!$C$14,'CDO Bespoke'!$C$15,'CDO Bespoke'!$C$8,,,TRUE,TRUE,FALSE,'CDO Bespoke'!$C$29:'CDO Bespoke'!$C$31,'CDO Bespoke'!$C$33),{5})),"")</f>
        <v/>
      </c>
      <c r="U117" s="493"/>
      <c r="V117" s="529"/>
      <c r="W117" s="530"/>
      <c r="X117" s="530"/>
      <c r="Y117" s="530"/>
      <c r="Z117" s="530"/>
      <c r="AA117" s="530"/>
      <c r="AB117" s="530"/>
      <c r="AC117" s="530"/>
      <c r="AD117" s="530"/>
      <c r="AE117" s="531"/>
      <c r="AF117" s="539"/>
    </row>
    <row r="118" spans="6:32" s="281" customFormat="1" ht="12" thickBot="1">
      <c r="F118" s="501" t="str">
        <f>IF('CDO Bespoke'!O119&lt;&gt;"",'CDO Bespoke'!O119,"")</f>
        <v/>
      </c>
      <c r="G118" s="502" t="str">
        <f>IF(F118&lt;&gt;"",ABS(MIN(-0.75*('CDO Bespoke'!Q119+'CDO Bespoke'!T119)+'CDO Bespoke'!T119,0)),"")</f>
        <v/>
      </c>
      <c r="H118" s="502" t="str">
        <f t="shared" si="4"/>
        <v/>
      </c>
      <c r="I118" s="502" t="str">
        <f t="shared" si="7"/>
        <v/>
      </c>
      <c r="J118" s="501" t="str">
        <f>IF('CDO Bespoke'!O119&lt;&gt;"",'CDO Bespoke'!O119,"")</f>
        <v/>
      </c>
      <c r="K118" s="502" t="str">
        <f>IF(J118&lt;&gt;"",ABS(MIN(-0.75*('CDO Bespoke'!K119+'CDO Bespoke'!T119)+'CDO Bespoke'!T119,0)),"")</f>
        <v/>
      </c>
      <c r="L118" s="502" t="str">
        <f t="shared" si="5"/>
        <v/>
      </c>
      <c r="M118" s="506" t="str">
        <f t="shared" si="6"/>
        <v/>
      </c>
      <c r="O118" s="511" t="str">
        <f>IF('CDO Bespoke'!C143&lt;&gt;"",'CDO Bespoke'!C143,"")</f>
        <v/>
      </c>
      <c r="P118" s="513" t="str" cm="1">
        <f t="array" ref="P118">IF($O118&lt;&gt;"",-TRANSPOSE(INDEX(getcds('CDO Bespoke'!$C143,P$13,'CDO Bespoke'!$G143/10000,'CDO Bespoke'!F143,'CDO Bespoke'!$L119,'CDO Bespoke'!$C$13,'CDO Bespoke'!$C$14,'CDO Bespoke'!$C$15,'CDO Bespoke'!$C$8,,,TRUE,TRUE,FALSE,'CDO Bespoke'!$C$29:'CDO Bespoke'!$C$31,'CDO Bespoke'!$C$33),{5})),"")</f>
        <v/>
      </c>
      <c r="Q118" s="542" t="str" cm="1">
        <f t="array" ref="Q118">IF($O118&lt;&gt;"",-TRANSPOSE(INDEX(getcds('CDO Bespoke'!$C143,Q$13,'CDO Bespoke'!$G143/10000,'CDO Bespoke'!G143,'CDO Bespoke'!$L119,'CDO Bespoke'!$C$13,'CDO Bespoke'!$C$14,'CDO Bespoke'!$C$15,'CDO Bespoke'!$C$8,,,TRUE,TRUE,FALSE,'CDO Bespoke'!$C$29:'CDO Bespoke'!$C$31,'CDO Bespoke'!$C$33),{5})),"")</f>
        <v/>
      </c>
      <c r="R118" s="542" t="str" cm="1">
        <f t="array" ref="R118">IF($O118&lt;&gt;"",-TRANSPOSE(INDEX(getcds('CDO Bespoke'!$C143,R$13,'CDO Bespoke'!$G143/10000,'CDO Bespoke'!H143,'CDO Bespoke'!$L119,'CDO Bespoke'!$C$13,'CDO Bespoke'!$C$14,'CDO Bespoke'!$C$15,'CDO Bespoke'!$C$8,,,TRUE,TRUE,FALSE,'CDO Bespoke'!$C$29:'CDO Bespoke'!$C$31,'CDO Bespoke'!$C$33),{5})),"")</f>
        <v/>
      </c>
      <c r="S118" s="542" t="str" cm="1">
        <f t="array" ref="S118">IF($O118&lt;&gt;"",-TRANSPOSE(INDEX(getcds('CDO Bespoke'!$C143,S$13,'CDO Bespoke'!$G143/10000,'CDO Bespoke'!I143,'CDO Bespoke'!$L119,'CDO Bespoke'!$C$13,'CDO Bespoke'!$C$14,'CDO Bespoke'!$C$15,'CDO Bespoke'!$C$8,,,TRUE,TRUE,FALSE,'CDO Bespoke'!$C$29:'CDO Bespoke'!$C$31,'CDO Bespoke'!$C$33),{5})),"")</f>
        <v/>
      </c>
      <c r="T118" s="514" t="str" cm="1">
        <f t="array" ref="T118">IF($O118&lt;&gt;"",-TRANSPOSE(INDEX(getcds('CDO Bespoke'!$C143,T$13,'CDO Bespoke'!$G143/10000,'CDO Bespoke'!J143,'CDO Bespoke'!$L119,'CDO Bespoke'!$C$13,'CDO Bespoke'!$C$14,'CDO Bespoke'!$C$15,'CDO Bespoke'!$C$8,,,TRUE,TRUE,FALSE,'CDO Bespoke'!$C$29:'CDO Bespoke'!$C$31,'CDO Bespoke'!$C$33),{5})),"")</f>
        <v/>
      </c>
      <c r="U118" s="493"/>
      <c r="V118" s="529"/>
      <c r="W118" s="530"/>
      <c r="X118" s="530"/>
      <c r="Y118" s="530"/>
      <c r="Z118" s="530"/>
      <c r="AA118" s="530"/>
      <c r="AB118" s="530"/>
      <c r="AC118" s="530"/>
      <c r="AD118" s="530"/>
      <c r="AE118" s="531"/>
      <c r="AF118" s="539"/>
    </row>
    <row r="119" spans="6:32" s="281" customFormat="1" ht="12" thickBot="1">
      <c r="F119" s="501" t="str">
        <f>IF('CDO Bespoke'!O120&lt;&gt;"",'CDO Bespoke'!O120,"")</f>
        <v/>
      </c>
      <c r="G119" s="502" t="str">
        <f>IF(F119&lt;&gt;"",ABS(MIN(-0.75*('CDO Bespoke'!Q120+'CDO Bespoke'!T120)+'CDO Bespoke'!T120,0)),"")</f>
        <v/>
      </c>
      <c r="H119" s="502" t="str">
        <f t="shared" si="4"/>
        <v/>
      </c>
      <c r="I119" s="502" t="str">
        <f t="shared" si="7"/>
        <v/>
      </c>
      <c r="J119" s="501" t="str">
        <f>IF('CDO Bespoke'!O120&lt;&gt;"",'CDO Bespoke'!O120,"")</f>
        <v/>
      </c>
      <c r="K119" s="502" t="str">
        <f>IF(J119&lt;&gt;"",ABS(MIN(-0.75*('CDO Bespoke'!K120+'CDO Bespoke'!T120)+'CDO Bespoke'!T120,0)),"")</f>
        <v/>
      </c>
      <c r="L119" s="502" t="str">
        <f t="shared" si="5"/>
        <v/>
      </c>
      <c r="M119" s="506" t="str">
        <f t="shared" si="6"/>
        <v/>
      </c>
      <c r="O119" s="511" t="str">
        <f>IF('CDO Bespoke'!C144&lt;&gt;"",'CDO Bespoke'!C144,"")</f>
        <v/>
      </c>
      <c r="P119" s="513" t="str" cm="1">
        <f t="array" ref="P119">IF($O119&lt;&gt;"",-TRANSPOSE(INDEX(getcds('CDO Bespoke'!$C144,P$13,'CDO Bespoke'!$G144/10000,'CDO Bespoke'!F144,'CDO Bespoke'!$L120,'CDO Bespoke'!$C$13,'CDO Bespoke'!$C$14,'CDO Bespoke'!$C$15,'CDO Bespoke'!$C$8,,,TRUE,TRUE,FALSE,'CDO Bespoke'!$C$29:'CDO Bespoke'!$C$31,'CDO Bespoke'!$C$33),{5})),"")</f>
        <v/>
      </c>
      <c r="Q119" s="542" t="str" cm="1">
        <f t="array" ref="Q119">IF($O119&lt;&gt;"",-TRANSPOSE(INDEX(getcds('CDO Bespoke'!$C144,Q$13,'CDO Bespoke'!$G144/10000,'CDO Bespoke'!G144,'CDO Bespoke'!$L120,'CDO Bespoke'!$C$13,'CDO Bespoke'!$C$14,'CDO Bespoke'!$C$15,'CDO Bespoke'!$C$8,,,TRUE,TRUE,FALSE,'CDO Bespoke'!$C$29:'CDO Bespoke'!$C$31,'CDO Bespoke'!$C$33),{5})),"")</f>
        <v/>
      </c>
      <c r="R119" s="542" t="str" cm="1">
        <f t="array" ref="R119">IF($O119&lt;&gt;"",-TRANSPOSE(INDEX(getcds('CDO Bespoke'!$C144,R$13,'CDO Bespoke'!$G144/10000,'CDO Bespoke'!H144,'CDO Bespoke'!$L120,'CDO Bespoke'!$C$13,'CDO Bespoke'!$C$14,'CDO Bespoke'!$C$15,'CDO Bespoke'!$C$8,,,TRUE,TRUE,FALSE,'CDO Bespoke'!$C$29:'CDO Bespoke'!$C$31,'CDO Bespoke'!$C$33),{5})),"")</f>
        <v/>
      </c>
      <c r="S119" s="542" t="str" cm="1">
        <f t="array" ref="S119">IF($O119&lt;&gt;"",-TRANSPOSE(INDEX(getcds('CDO Bespoke'!$C144,S$13,'CDO Bespoke'!$G144/10000,'CDO Bespoke'!I144,'CDO Bespoke'!$L120,'CDO Bespoke'!$C$13,'CDO Bespoke'!$C$14,'CDO Bespoke'!$C$15,'CDO Bespoke'!$C$8,,,TRUE,TRUE,FALSE,'CDO Bespoke'!$C$29:'CDO Bespoke'!$C$31,'CDO Bespoke'!$C$33),{5})),"")</f>
        <v/>
      </c>
      <c r="T119" s="514" t="str" cm="1">
        <f t="array" ref="T119">IF($O119&lt;&gt;"",-TRANSPOSE(INDEX(getcds('CDO Bespoke'!$C144,T$13,'CDO Bespoke'!$G144/10000,'CDO Bespoke'!J144,'CDO Bespoke'!$L120,'CDO Bespoke'!$C$13,'CDO Bespoke'!$C$14,'CDO Bespoke'!$C$15,'CDO Bespoke'!$C$8,,,TRUE,TRUE,FALSE,'CDO Bespoke'!$C$29:'CDO Bespoke'!$C$31,'CDO Bespoke'!$C$33),{5})),"")</f>
        <v/>
      </c>
      <c r="U119" s="493"/>
      <c r="V119" s="529"/>
      <c r="W119" s="530"/>
      <c r="X119" s="530"/>
      <c r="Y119" s="530"/>
      <c r="Z119" s="530"/>
      <c r="AA119" s="530"/>
      <c r="AB119" s="530"/>
      <c r="AC119" s="530"/>
      <c r="AD119" s="530"/>
      <c r="AE119" s="531"/>
      <c r="AF119" s="539"/>
    </row>
    <row r="120" spans="6:32" s="281" customFormat="1" ht="12" thickBot="1">
      <c r="F120" s="501" t="str">
        <f>IF('CDO Bespoke'!O121&lt;&gt;"",'CDO Bespoke'!O121,"")</f>
        <v/>
      </c>
      <c r="G120" s="502" t="str">
        <f>IF(F120&lt;&gt;"",ABS(MIN(-0.75*('CDO Bespoke'!Q121+'CDO Bespoke'!T121)+'CDO Bespoke'!T121,0)),"")</f>
        <v/>
      </c>
      <c r="H120" s="502" t="str">
        <f t="shared" si="4"/>
        <v/>
      </c>
      <c r="I120" s="502" t="str">
        <f t="shared" si="7"/>
        <v/>
      </c>
      <c r="J120" s="501" t="str">
        <f>IF('CDO Bespoke'!O121&lt;&gt;"",'CDO Bespoke'!O121,"")</f>
        <v/>
      </c>
      <c r="K120" s="502" t="str">
        <f>IF(J120&lt;&gt;"",ABS(MIN(-0.75*('CDO Bespoke'!K121+'CDO Bespoke'!T121)+'CDO Bespoke'!T121,0)),"")</f>
        <v/>
      </c>
      <c r="L120" s="502" t="str">
        <f t="shared" si="5"/>
        <v/>
      </c>
      <c r="M120" s="506" t="str">
        <f t="shared" si="6"/>
        <v/>
      </c>
      <c r="O120" s="511" t="str">
        <f>IF('CDO Bespoke'!C145&lt;&gt;"",'CDO Bespoke'!C145,"")</f>
        <v/>
      </c>
      <c r="P120" s="513" t="str" cm="1">
        <f t="array" ref="P120">IF($O120&lt;&gt;"",-TRANSPOSE(INDEX(getcds('CDO Bespoke'!$C145,P$13,'CDO Bespoke'!$G145/10000,'CDO Bespoke'!F145,'CDO Bespoke'!$L121,'CDO Bespoke'!$C$13,'CDO Bespoke'!$C$14,'CDO Bespoke'!$C$15,'CDO Bespoke'!$C$8,,,TRUE,TRUE,FALSE,'CDO Bespoke'!$C$29:'CDO Bespoke'!$C$31,'CDO Bespoke'!$C$33),{5})),"")</f>
        <v/>
      </c>
      <c r="Q120" s="542" t="str" cm="1">
        <f t="array" ref="Q120">IF($O120&lt;&gt;"",-TRANSPOSE(INDEX(getcds('CDO Bespoke'!$C145,Q$13,'CDO Bespoke'!$G145/10000,'CDO Bespoke'!G145,'CDO Bespoke'!$L121,'CDO Bespoke'!$C$13,'CDO Bespoke'!$C$14,'CDO Bespoke'!$C$15,'CDO Bespoke'!$C$8,,,TRUE,TRUE,FALSE,'CDO Bespoke'!$C$29:'CDO Bespoke'!$C$31,'CDO Bespoke'!$C$33),{5})),"")</f>
        <v/>
      </c>
      <c r="R120" s="542" t="str" cm="1">
        <f t="array" ref="R120">IF($O120&lt;&gt;"",-TRANSPOSE(INDEX(getcds('CDO Bespoke'!$C145,R$13,'CDO Bespoke'!$G145/10000,'CDO Bespoke'!H145,'CDO Bespoke'!$L121,'CDO Bespoke'!$C$13,'CDO Bespoke'!$C$14,'CDO Bespoke'!$C$15,'CDO Bespoke'!$C$8,,,TRUE,TRUE,FALSE,'CDO Bespoke'!$C$29:'CDO Bespoke'!$C$31,'CDO Bespoke'!$C$33),{5})),"")</f>
        <v/>
      </c>
      <c r="S120" s="542" t="str" cm="1">
        <f t="array" ref="S120">IF($O120&lt;&gt;"",-TRANSPOSE(INDEX(getcds('CDO Bespoke'!$C145,S$13,'CDO Bespoke'!$G145/10000,'CDO Bespoke'!I145,'CDO Bespoke'!$L121,'CDO Bespoke'!$C$13,'CDO Bespoke'!$C$14,'CDO Bespoke'!$C$15,'CDO Bespoke'!$C$8,,,TRUE,TRUE,FALSE,'CDO Bespoke'!$C$29:'CDO Bespoke'!$C$31,'CDO Bespoke'!$C$33),{5})),"")</f>
        <v/>
      </c>
      <c r="T120" s="514" t="str" cm="1">
        <f t="array" ref="T120">IF($O120&lt;&gt;"",-TRANSPOSE(INDEX(getcds('CDO Bespoke'!$C145,T$13,'CDO Bespoke'!$G145/10000,'CDO Bespoke'!J145,'CDO Bespoke'!$L121,'CDO Bespoke'!$C$13,'CDO Bespoke'!$C$14,'CDO Bespoke'!$C$15,'CDO Bespoke'!$C$8,,,TRUE,TRUE,FALSE,'CDO Bespoke'!$C$29:'CDO Bespoke'!$C$31,'CDO Bespoke'!$C$33),{5})),"")</f>
        <v/>
      </c>
      <c r="U120" s="493"/>
      <c r="V120" s="529"/>
      <c r="W120" s="530"/>
      <c r="X120" s="530"/>
      <c r="Y120" s="530"/>
      <c r="Z120" s="530"/>
      <c r="AA120" s="530"/>
      <c r="AB120" s="530"/>
      <c r="AC120" s="530"/>
      <c r="AD120" s="530"/>
      <c r="AE120" s="531"/>
      <c r="AF120" s="539"/>
    </row>
    <row r="121" spans="6:32" s="281" customFormat="1" ht="12" thickBot="1">
      <c r="F121" s="501" t="str">
        <f>IF('CDO Bespoke'!O122&lt;&gt;"",'CDO Bespoke'!O122,"")</f>
        <v/>
      </c>
      <c r="G121" s="502" t="str">
        <f>IF(F121&lt;&gt;"",ABS(MIN(-0.75*('CDO Bespoke'!Q122+'CDO Bespoke'!T122)+'CDO Bespoke'!T122,0)),"")</f>
        <v/>
      </c>
      <c r="H121" s="502" t="str">
        <f t="shared" si="4"/>
        <v/>
      </c>
      <c r="I121" s="502" t="str">
        <f t="shared" si="7"/>
        <v/>
      </c>
      <c r="J121" s="501" t="str">
        <f>IF('CDO Bespoke'!O122&lt;&gt;"",'CDO Bespoke'!O122,"")</f>
        <v/>
      </c>
      <c r="K121" s="502" t="str">
        <f>IF(J121&lt;&gt;"",ABS(MIN(-0.75*('CDO Bespoke'!K122+'CDO Bespoke'!T122)+'CDO Bespoke'!T122,0)),"")</f>
        <v/>
      </c>
      <c r="L121" s="502" t="str">
        <f t="shared" si="5"/>
        <v/>
      </c>
      <c r="M121" s="506" t="str">
        <f t="shared" si="6"/>
        <v/>
      </c>
      <c r="O121" s="511" t="str">
        <f>IF('CDO Bespoke'!C146&lt;&gt;"",'CDO Bespoke'!C146,"")</f>
        <v/>
      </c>
      <c r="P121" s="513" t="str" cm="1">
        <f t="array" ref="P121">IF($O121&lt;&gt;"",-TRANSPOSE(INDEX(getcds('CDO Bespoke'!$C146,P$13,'CDO Bespoke'!$G146/10000,'CDO Bespoke'!F146,'CDO Bespoke'!$L122,'CDO Bespoke'!$C$13,'CDO Bespoke'!$C$14,'CDO Bespoke'!$C$15,'CDO Bespoke'!$C$8,,,TRUE,TRUE,FALSE,'CDO Bespoke'!$C$29:'CDO Bespoke'!$C$31,'CDO Bespoke'!$C$33),{5})),"")</f>
        <v/>
      </c>
      <c r="Q121" s="542" t="str" cm="1">
        <f t="array" ref="Q121">IF($O121&lt;&gt;"",-TRANSPOSE(INDEX(getcds('CDO Bespoke'!$C146,Q$13,'CDO Bespoke'!$G146/10000,'CDO Bespoke'!G146,'CDO Bespoke'!$L122,'CDO Bespoke'!$C$13,'CDO Bespoke'!$C$14,'CDO Bespoke'!$C$15,'CDO Bespoke'!$C$8,,,TRUE,TRUE,FALSE,'CDO Bespoke'!$C$29:'CDO Bespoke'!$C$31,'CDO Bespoke'!$C$33),{5})),"")</f>
        <v/>
      </c>
      <c r="R121" s="542" t="str" cm="1">
        <f t="array" ref="R121">IF($O121&lt;&gt;"",-TRANSPOSE(INDEX(getcds('CDO Bespoke'!$C146,R$13,'CDO Bespoke'!$G146/10000,'CDO Bespoke'!H146,'CDO Bespoke'!$L122,'CDO Bespoke'!$C$13,'CDO Bespoke'!$C$14,'CDO Bespoke'!$C$15,'CDO Bespoke'!$C$8,,,TRUE,TRUE,FALSE,'CDO Bespoke'!$C$29:'CDO Bespoke'!$C$31,'CDO Bespoke'!$C$33),{5})),"")</f>
        <v/>
      </c>
      <c r="S121" s="542" t="str" cm="1">
        <f t="array" ref="S121">IF($O121&lt;&gt;"",-TRANSPOSE(INDEX(getcds('CDO Bespoke'!$C146,S$13,'CDO Bespoke'!$G146/10000,'CDO Bespoke'!I146,'CDO Bespoke'!$L122,'CDO Bespoke'!$C$13,'CDO Bespoke'!$C$14,'CDO Bespoke'!$C$15,'CDO Bespoke'!$C$8,,,TRUE,TRUE,FALSE,'CDO Bespoke'!$C$29:'CDO Bespoke'!$C$31,'CDO Bespoke'!$C$33),{5})),"")</f>
        <v/>
      </c>
      <c r="T121" s="514" t="str" cm="1">
        <f t="array" ref="T121">IF($O121&lt;&gt;"",-TRANSPOSE(INDEX(getcds('CDO Bespoke'!$C146,T$13,'CDO Bespoke'!$G146/10000,'CDO Bespoke'!J146,'CDO Bespoke'!$L122,'CDO Bespoke'!$C$13,'CDO Bespoke'!$C$14,'CDO Bespoke'!$C$15,'CDO Bespoke'!$C$8,,,TRUE,TRUE,FALSE,'CDO Bespoke'!$C$29:'CDO Bespoke'!$C$31,'CDO Bespoke'!$C$33),{5})),"")</f>
        <v/>
      </c>
      <c r="U121" s="493"/>
      <c r="V121" s="529"/>
      <c r="W121" s="530"/>
      <c r="X121" s="530"/>
      <c r="Y121" s="530"/>
      <c r="Z121" s="530"/>
      <c r="AA121" s="530"/>
      <c r="AB121" s="530"/>
      <c r="AC121" s="530"/>
      <c r="AD121" s="530"/>
      <c r="AE121" s="531"/>
      <c r="AF121" s="539"/>
    </row>
    <row r="122" spans="6:32" s="281" customFormat="1" ht="12" thickBot="1">
      <c r="F122" s="501" t="str">
        <f>IF('CDO Bespoke'!O123&lt;&gt;"",'CDO Bespoke'!O123,"")</f>
        <v/>
      </c>
      <c r="G122" s="502" t="str">
        <f>IF(F122&lt;&gt;"",ABS(MIN(-0.75*('CDO Bespoke'!Q123+'CDO Bespoke'!T123)+'CDO Bespoke'!T123,0)),"")</f>
        <v/>
      </c>
      <c r="H122" s="502" t="str">
        <f t="shared" si="4"/>
        <v/>
      </c>
      <c r="I122" s="502" t="str">
        <f t="shared" si="7"/>
        <v/>
      </c>
      <c r="J122" s="501" t="str">
        <f>IF('CDO Bespoke'!O123&lt;&gt;"",'CDO Bespoke'!O123,"")</f>
        <v/>
      </c>
      <c r="K122" s="502" t="str">
        <f>IF(J122&lt;&gt;"",ABS(MIN(-0.75*('CDO Bespoke'!K123+'CDO Bespoke'!T123)+'CDO Bespoke'!T123,0)),"")</f>
        <v/>
      </c>
      <c r="L122" s="502" t="str">
        <f t="shared" si="5"/>
        <v/>
      </c>
      <c r="M122" s="506" t="str">
        <f t="shared" si="6"/>
        <v/>
      </c>
      <c r="O122" s="511" t="str">
        <f>IF('CDO Bespoke'!C147&lt;&gt;"",'CDO Bespoke'!C147,"")</f>
        <v/>
      </c>
      <c r="P122" s="513" t="str" cm="1">
        <f t="array" ref="P122">IF($O122&lt;&gt;"",-TRANSPOSE(INDEX(getcds('CDO Bespoke'!$C147,P$13,'CDO Bespoke'!$G147/10000,'CDO Bespoke'!F147,'CDO Bespoke'!$L123,'CDO Bespoke'!$C$13,'CDO Bespoke'!$C$14,'CDO Bespoke'!$C$15,'CDO Bespoke'!$C$8,,,TRUE,TRUE,FALSE,'CDO Bespoke'!$C$29:'CDO Bespoke'!$C$31,'CDO Bespoke'!$C$33),{5})),"")</f>
        <v/>
      </c>
      <c r="Q122" s="542" t="str" cm="1">
        <f t="array" ref="Q122">IF($O122&lt;&gt;"",-TRANSPOSE(INDEX(getcds('CDO Bespoke'!$C147,Q$13,'CDO Bespoke'!$G147/10000,'CDO Bespoke'!G147,'CDO Bespoke'!$L123,'CDO Bespoke'!$C$13,'CDO Bespoke'!$C$14,'CDO Bespoke'!$C$15,'CDO Bespoke'!$C$8,,,TRUE,TRUE,FALSE,'CDO Bespoke'!$C$29:'CDO Bespoke'!$C$31,'CDO Bespoke'!$C$33),{5})),"")</f>
        <v/>
      </c>
      <c r="R122" s="542" t="str" cm="1">
        <f t="array" ref="R122">IF($O122&lt;&gt;"",-TRANSPOSE(INDEX(getcds('CDO Bespoke'!$C147,R$13,'CDO Bespoke'!$G147/10000,'CDO Bespoke'!H147,'CDO Bespoke'!$L123,'CDO Bespoke'!$C$13,'CDO Bespoke'!$C$14,'CDO Bespoke'!$C$15,'CDO Bespoke'!$C$8,,,TRUE,TRUE,FALSE,'CDO Bespoke'!$C$29:'CDO Bespoke'!$C$31,'CDO Bespoke'!$C$33),{5})),"")</f>
        <v/>
      </c>
      <c r="S122" s="542" t="str" cm="1">
        <f t="array" ref="S122">IF($O122&lt;&gt;"",-TRANSPOSE(INDEX(getcds('CDO Bespoke'!$C147,S$13,'CDO Bespoke'!$G147/10000,'CDO Bespoke'!I147,'CDO Bespoke'!$L123,'CDO Bespoke'!$C$13,'CDO Bespoke'!$C$14,'CDO Bespoke'!$C$15,'CDO Bespoke'!$C$8,,,TRUE,TRUE,FALSE,'CDO Bespoke'!$C$29:'CDO Bespoke'!$C$31,'CDO Bespoke'!$C$33),{5})),"")</f>
        <v/>
      </c>
      <c r="T122" s="514" t="str" cm="1">
        <f t="array" ref="T122">IF($O122&lt;&gt;"",-TRANSPOSE(INDEX(getcds('CDO Bespoke'!$C147,T$13,'CDO Bespoke'!$G147/10000,'CDO Bespoke'!J147,'CDO Bespoke'!$L123,'CDO Bespoke'!$C$13,'CDO Bespoke'!$C$14,'CDO Bespoke'!$C$15,'CDO Bespoke'!$C$8,,,TRUE,TRUE,FALSE,'CDO Bespoke'!$C$29:'CDO Bespoke'!$C$31,'CDO Bespoke'!$C$33),{5})),"")</f>
        <v/>
      </c>
      <c r="U122" s="493"/>
      <c r="V122" s="529"/>
      <c r="W122" s="530"/>
      <c r="X122" s="530"/>
      <c r="Y122" s="530"/>
      <c r="Z122" s="530"/>
      <c r="AA122" s="530"/>
      <c r="AB122" s="530"/>
      <c r="AC122" s="530"/>
      <c r="AD122" s="530"/>
      <c r="AE122" s="531"/>
      <c r="AF122" s="539"/>
    </row>
    <row r="123" spans="6:32" s="281" customFormat="1" ht="12" thickBot="1">
      <c r="F123" s="501" t="str">
        <f>IF('CDO Bespoke'!O124&lt;&gt;"",'CDO Bespoke'!O124,"")</f>
        <v/>
      </c>
      <c r="G123" s="502" t="str">
        <f>IF(F123&lt;&gt;"",ABS(MIN(-0.75*('CDO Bespoke'!Q124+'CDO Bespoke'!T124)+'CDO Bespoke'!T124,0)),"")</f>
        <v/>
      </c>
      <c r="H123" s="502" t="str">
        <f t="shared" si="4"/>
        <v/>
      </c>
      <c r="I123" s="502" t="str">
        <f t="shared" si="7"/>
        <v/>
      </c>
      <c r="J123" s="501" t="str">
        <f>IF('CDO Bespoke'!O124&lt;&gt;"",'CDO Bespoke'!O124,"")</f>
        <v/>
      </c>
      <c r="K123" s="502" t="str">
        <f>IF(J123&lt;&gt;"",ABS(MIN(-0.75*('CDO Bespoke'!K124+'CDO Bespoke'!T124)+'CDO Bespoke'!T124,0)),"")</f>
        <v/>
      </c>
      <c r="L123" s="502" t="str">
        <f t="shared" si="5"/>
        <v/>
      </c>
      <c r="M123" s="506" t="str">
        <f t="shared" si="6"/>
        <v/>
      </c>
      <c r="O123" s="511" t="str">
        <f>IF('CDO Bespoke'!C148&lt;&gt;"",'CDO Bespoke'!C148,"")</f>
        <v/>
      </c>
      <c r="P123" s="513" t="str" cm="1">
        <f t="array" ref="P123">IF($O123&lt;&gt;"",-TRANSPOSE(INDEX(getcds('CDO Bespoke'!$C148,P$13,'CDO Bespoke'!$G148/10000,'CDO Bespoke'!F148,'CDO Bespoke'!$L124,'CDO Bespoke'!$C$13,'CDO Bespoke'!$C$14,'CDO Bespoke'!$C$15,'CDO Bespoke'!$C$8,,,TRUE,TRUE,FALSE,'CDO Bespoke'!$C$29:'CDO Bespoke'!$C$31,'CDO Bespoke'!$C$33),{5})),"")</f>
        <v/>
      </c>
      <c r="Q123" s="542" t="str" cm="1">
        <f t="array" ref="Q123">IF($O123&lt;&gt;"",-TRANSPOSE(INDEX(getcds('CDO Bespoke'!$C148,Q$13,'CDO Bespoke'!$G148/10000,'CDO Bespoke'!G148,'CDO Bespoke'!$L124,'CDO Bespoke'!$C$13,'CDO Bespoke'!$C$14,'CDO Bespoke'!$C$15,'CDO Bespoke'!$C$8,,,TRUE,TRUE,FALSE,'CDO Bespoke'!$C$29:'CDO Bespoke'!$C$31,'CDO Bespoke'!$C$33),{5})),"")</f>
        <v/>
      </c>
      <c r="R123" s="542" t="str" cm="1">
        <f t="array" ref="R123">IF($O123&lt;&gt;"",-TRANSPOSE(INDEX(getcds('CDO Bespoke'!$C148,R$13,'CDO Bespoke'!$G148/10000,'CDO Bespoke'!H148,'CDO Bespoke'!$L124,'CDO Bespoke'!$C$13,'CDO Bespoke'!$C$14,'CDO Bespoke'!$C$15,'CDO Bespoke'!$C$8,,,TRUE,TRUE,FALSE,'CDO Bespoke'!$C$29:'CDO Bespoke'!$C$31,'CDO Bespoke'!$C$33),{5})),"")</f>
        <v/>
      </c>
      <c r="S123" s="542" t="str" cm="1">
        <f t="array" ref="S123">IF($O123&lt;&gt;"",-TRANSPOSE(INDEX(getcds('CDO Bespoke'!$C148,S$13,'CDO Bespoke'!$G148/10000,'CDO Bespoke'!I148,'CDO Bespoke'!$L124,'CDO Bespoke'!$C$13,'CDO Bespoke'!$C$14,'CDO Bespoke'!$C$15,'CDO Bespoke'!$C$8,,,TRUE,TRUE,FALSE,'CDO Bespoke'!$C$29:'CDO Bespoke'!$C$31,'CDO Bespoke'!$C$33),{5})),"")</f>
        <v/>
      </c>
      <c r="T123" s="514" t="str" cm="1">
        <f t="array" ref="T123">IF($O123&lt;&gt;"",-TRANSPOSE(INDEX(getcds('CDO Bespoke'!$C148,T$13,'CDO Bespoke'!$G148/10000,'CDO Bespoke'!J148,'CDO Bespoke'!$L124,'CDO Bespoke'!$C$13,'CDO Bespoke'!$C$14,'CDO Bespoke'!$C$15,'CDO Bespoke'!$C$8,,,TRUE,TRUE,FALSE,'CDO Bespoke'!$C$29:'CDO Bespoke'!$C$31,'CDO Bespoke'!$C$33),{5})),"")</f>
        <v/>
      </c>
      <c r="U123" s="493"/>
      <c r="V123" s="529"/>
      <c r="W123" s="530"/>
      <c r="X123" s="530"/>
      <c r="Y123" s="530"/>
      <c r="Z123" s="530"/>
      <c r="AA123" s="530"/>
      <c r="AB123" s="530"/>
      <c r="AC123" s="530"/>
      <c r="AD123" s="530"/>
      <c r="AE123" s="531"/>
      <c r="AF123" s="539"/>
    </row>
    <row r="124" spans="6:32" s="281" customFormat="1" ht="12" thickBot="1">
      <c r="F124" s="501" t="str">
        <f>IF('CDO Bespoke'!O125&lt;&gt;"",'CDO Bespoke'!O125,"")</f>
        <v/>
      </c>
      <c r="G124" s="502" t="str">
        <f>IF(F124&lt;&gt;"",ABS(MIN(-0.75*('CDO Bespoke'!Q125+'CDO Bespoke'!T125)+'CDO Bespoke'!T125,0)),"")</f>
        <v/>
      </c>
      <c r="H124" s="502" t="str">
        <f t="shared" si="4"/>
        <v/>
      </c>
      <c r="I124" s="502" t="str">
        <f t="shared" si="7"/>
        <v/>
      </c>
      <c r="J124" s="501" t="str">
        <f>IF('CDO Bespoke'!O125&lt;&gt;"",'CDO Bespoke'!O125,"")</f>
        <v/>
      </c>
      <c r="K124" s="502" t="str">
        <f>IF(J124&lt;&gt;"",ABS(MIN(-0.75*('CDO Bespoke'!K125+'CDO Bespoke'!T125)+'CDO Bespoke'!T125,0)),"")</f>
        <v/>
      </c>
      <c r="L124" s="502" t="str">
        <f t="shared" si="5"/>
        <v/>
      </c>
      <c r="M124" s="506" t="str">
        <f t="shared" si="6"/>
        <v/>
      </c>
      <c r="O124" s="511" t="str">
        <f>IF('CDO Bespoke'!C149&lt;&gt;"",'CDO Bespoke'!C149,"")</f>
        <v/>
      </c>
      <c r="P124" s="513" t="str" cm="1">
        <f t="array" ref="P124">IF($O124&lt;&gt;"",-TRANSPOSE(INDEX(getcds('CDO Bespoke'!$C149,P$13,'CDO Bespoke'!$G149/10000,'CDO Bespoke'!F149,'CDO Bespoke'!$L125,'CDO Bespoke'!$C$13,'CDO Bespoke'!$C$14,'CDO Bespoke'!$C$15,'CDO Bespoke'!$C$8,,,TRUE,TRUE,FALSE,'CDO Bespoke'!$C$29:'CDO Bespoke'!$C$31,'CDO Bespoke'!$C$33),{5})),"")</f>
        <v/>
      </c>
      <c r="Q124" s="542" t="str" cm="1">
        <f t="array" ref="Q124">IF($O124&lt;&gt;"",-TRANSPOSE(INDEX(getcds('CDO Bespoke'!$C149,Q$13,'CDO Bespoke'!$G149/10000,'CDO Bespoke'!G149,'CDO Bespoke'!$L125,'CDO Bespoke'!$C$13,'CDO Bespoke'!$C$14,'CDO Bespoke'!$C$15,'CDO Bespoke'!$C$8,,,TRUE,TRUE,FALSE,'CDO Bespoke'!$C$29:'CDO Bespoke'!$C$31,'CDO Bespoke'!$C$33),{5})),"")</f>
        <v/>
      </c>
      <c r="R124" s="542" t="str" cm="1">
        <f t="array" ref="R124">IF($O124&lt;&gt;"",-TRANSPOSE(INDEX(getcds('CDO Bespoke'!$C149,R$13,'CDO Bespoke'!$G149/10000,'CDO Bespoke'!H149,'CDO Bespoke'!$L125,'CDO Bespoke'!$C$13,'CDO Bespoke'!$C$14,'CDO Bespoke'!$C$15,'CDO Bespoke'!$C$8,,,TRUE,TRUE,FALSE,'CDO Bespoke'!$C$29:'CDO Bespoke'!$C$31,'CDO Bespoke'!$C$33),{5})),"")</f>
        <v/>
      </c>
      <c r="S124" s="542" t="str" cm="1">
        <f t="array" ref="S124">IF($O124&lt;&gt;"",-TRANSPOSE(INDEX(getcds('CDO Bespoke'!$C149,S$13,'CDO Bespoke'!$G149/10000,'CDO Bespoke'!I149,'CDO Bespoke'!$L125,'CDO Bespoke'!$C$13,'CDO Bespoke'!$C$14,'CDO Bespoke'!$C$15,'CDO Bespoke'!$C$8,,,TRUE,TRUE,FALSE,'CDO Bespoke'!$C$29:'CDO Bespoke'!$C$31,'CDO Bespoke'!$C$33),{5})),"")</f>
        <v/>
      </c>
      <c r="T124" s="514" t="str" cm="1">
        <f t="array" ref="T124">IF($O124&lt;&gt;"",-TRANSPOSE(INDEX(getcds('CDO Bespoke'!$C149,T$13,'CDO Bespoke'!$G149/10000,'CDO Bespoke'!J149,'CDO Bespoke'!$L125,'CDO Bespoke'!$C$13,'CDO Bespoke'!$C$14,'CDO Bespoke'!$C$15,'CDO Bespoke'!$C$8,,,TRUE,TRUE,FALSE,'CDO Bespoke'!$C$29:'CDO Bespoke'!$C$31,'CDO Bespoke'!$C$33),{5})),"")</f>
        <v/>
      </c>
      <c r="U124" s="493"/>
      <c r="V124" s="529"/>
      <c r="W124" s="530"/>
      <c r="X124" s="530"/>
      <c r="Y124" s="530"/>
      <c r="Z124" s="530"/>
      <c r="AA124" s="530"/>
      <c r="AB124" s="530"/>
      <c r="AC124" s="530"/>
      <c r="AD124" s="530"/>
      <c r="AE124" s="531"/>
      <c r="AF124" s="539"/>
    </row>
    <row r="125" spans="6:32" s="281" customFormat="1" ht="12" thickBot="1">
      <c r="F125" s="501" t="str">
        <f>IF('CDO Bespoke'!O126&lt;&gt;"",'CDO Bespoke'!O126,"")</f>
        <v/>
      </c>
      <c r="G125" s="502" t="str">
        <f>IF(F125&lt;&gt;"",ABS(MIN(-0.75*('CDO Bespoke'!Q126+'CDO Bespoke'!T126)+'CDO Bespoke'!T126,0)),"")</f>
        <v/>
      </c>
      <c r="H125" s="502" t="str">
        <f t="shared" si="4"/>
        <v/>
      </c>
      <c r="I125" s="502" t="str">
        <f t="shared" si="7"/>
        <v/>
      </c>
      <c r="J125" s="501" t="str">
        <f>IF('CDO Bespoke'!O126&lt;&gt;"",'CDO Bespoke'!O126,"")</f>
        <v/>
      </c>
      <c r="K125" s="502" t="str">
        <f>IF(J125&lt;&gt;"",ABS(MIN(-0.75*('CDO Bespoke'!K126+'CDO Bespoke'!T126)+'CDO Bespoke'!T126,0)),"")</f>
        <v/>
      </c>
      <c r="L125" s="502" t="str">
        <f t="shared" si="5"/>
        <v/>
      </c>
      <c r="M125" s="506" t="str">
        <f t="shared" si="6"/>
        <v/>
      </c>
      <c r="O125" s="511" t="str">
        <f>IF('CDO Bespoke'!C150&lt;&gt;"",'CDO Bespoke'!C150,"")</f>
        <v/>
      </c>
      <c r="P125" s="513" t="str" cm="1">
        <f t="array" ref="P125">IF($O125&lt;&gt;"",-TRANSPOSE(INDEX(getcds('CDO Bespoke'!$C150,P$13,'CDO Bespoke'!$G150/10000,'CDO Bespoke'!F150,'CDO Bespoke'!$L126,'CDO Bespoke'!$C$13,'CDO Bespoke'!$C$14,'CDO Bespoke'!$C$15,'CDO Bespoke'!$C$8,,,TRUE,TRUE,FALSE,'CDO Bespoke'!$C$29:'CDO Bespoke'!$C$31,'CDO Bespoke'!$C$33),{5})),"")</f>
        <v/>
      </c>
      <c r="Q125" s="542" t="str" cm="1">
        <f t="array" ref="Q125">IF($O125&lt;&gt;"",-TRANSPOSE(INDEX(getcds('CDO Bespoke'!$C150,Q$13,'CDO Bespoke'!$G150/10000,'CDO Bespoke'!G150,'CDO Bespoke'!$L126,'CDO Bespoke'!$C$13,'CDO Bespoke'!$C$14,'CDO Bespoke'!$C$15,'CDO Bespoke'!$C$8,,,TRUE,TRUE,FALSE,'CDO Bespoke'!$C$29:'CDO Bespoke'!$C$31,'CDO Bespoke'!$C$33),{5})),"")</f>
        <v/>
      </c>
      <c r="R125" s="542" t="str" cm="1">
        <f t="array" ref="R125">IF($O125&lt;&gt;"",-TRANSPOSE(INDEX(getcds('CDO Bespoke'!$C150,R$13,'CDO Bespoke'!$G150/10000,'CDO Bespoke'!H150,'CDO Bespoke'!$L126,'CDO Bespoke'!$C$13,'CDO Bespoke'!$C$14,'CDO Bespoke'!$C$15,'CDO Bespoke'!$C$8,,,TRUE,TRUE,FALSE,'CDO Bespoke'!$C$29:'CDO Bespoke'!$C$31,'CDO Bespoke'!$C$33),{5})),"")</f>
        <v/>
      </c>
      <c r="S125" s="542" t="str" cm="1">
        <f t="array" ref="S125">IF($O125&lt;&gt;"",-TRANSPOSE(INDEX(getcds('CDO Bespoke'!$C150,S$13,'CDO Bespoke'!$G150/10000,'CDO Bespoke'!I150,'CDO Bespoke'!$L126,'CDO Bespoke'!$C$13,'CDO Bespoke'!$C$14,'CDO Bespoke'!$C$15,'CDO Bespoke'!$C$8,,,TRUE,TRUE,FALSE,'CDO Bespoke'!$C$29:'CDO Bespoke'!$C$31,'CDO Bespoke'!$C$33),{5})),"")</f>
        <v/>
      </c>
      <c r="T125" s="514" t="str" cm="1">
        <f t="array" ref="T125">IF($O125&lt;&gt;"",-TRANSPOSE(INDEX(getcds('CDO Bespoke'!$C150,T$13,'CDO Bespoke'!$G150/10000,'CDO Bespoke'!J150,'CDO Bespoke'!$L126,'CDO Bespoke'!$C$13,'CDO Bespoke'!$C$14,'CDO Bespoke'!$C$15,'CDO Bespoke'!$C$8,,,TRUE,TRUE,FALSE,'CDO Bespoke'!$C$29:'CDO Bespoke'!$C$31,'CDO Bespoke'!$C$33),{5})),"")</f>
        <v/>
      </c>
      <c r="U125" s="493"/>
      <c r="V125" s="529"/>
      <c r="W125" s="530"/>
      <c r="X125" s="530"/>
      <c r="Y125" s="530"/>
      <c r="Z125" s="530"/>
      <c r="AA125" s="530"/>
      <c r="AB125" s="530"/>
      <c r="AC125" s="530"/>
      <c r="AD125" s="530"/>
      <c r="AE125" s="531"/>
      <c r="AF125" s="539"/>
    </row>
    <row r="126" spans="6:32" s="281" customFormat="1" ht="12" thickBot="1">
      <c r="F126" s="501" t="str">
        <f>IF('CDO Bespoke'!O127&lt;&gt;"",'CDO Bespoke'!O127,"")</f>
        <v/>
      </c>
      <c r="G126" s="502" t="str">
        <f>IF(F126&lt;&gt;"",ABS(MIN(-0.75*('CDO Bespoke'!Q127+'CDO Bespoke'!T127)+'CDO Bespoke'!T127,0)),"")</f>
        <v/>
      </c>
      <c r="H126" s="502" t="str">
        <f t="shared" si="4"/>
        <v/>
      </c>
      <c r="I126" s="502" t="str">
        <f t="shared" si="7"/>
        <v/>
      </c>
      <c r="J126" s="501" t="str">
        <f>IF('CDO Bespoke'!O127&lt;&gt;"",'CDO Bespoke'!O127,"")</f>
        <v/>
      </c>
      <c r="K126" s="502" t="str">
        <f>IF(J126&lt;&gt;"",ABS(MIN(-0.75*('CDO Bespoke'!K127+'CDO Bespoke'!T127)+'CDO Bespoke'!T127,0)),"")</f>
        <v/>
      </c>
      <c r="L126" s="502" t="str">
        <f t="shared" si="5"/>
        <v/>
      </c>
      <c r="M126" s="506" t="str">
        <f t="shared" si="6"/>
        <v/>
      </c>
      <c r="O126" s="511" t="str">
        <f>IF('CDO Bespoke'!C151&lt;&gt;"",'CDO Bespoke'!C151,"")</f>
        <v/>
      </c>
      <c r="P126" s="513" t="str" cm="1">
        <f t="array" ref="P126">IF($O126&lt;&gt;"",-TRANSPOSE(INDEX(getcds('CDO Bespoke'!$C151,P$13,'CDO Bespoke'!$G151/10000,'CDO Bespoke'!F151,'CDO Bespoke'!$L127,'CDO Bespoke'!$C$13,'CDO Bespoke'!$C$14,'CDO Bespoke'!$C$15,'CDO Bespoke'!$C$8,,,TRUE,TRUE,FALSE,'CDO Bespoke'!$C$29:'CDO Bespoke'!$C$31,'CDO Bespoke'!$C$33),{5})),"")</f>
        <v/>
      </c>
      <c r="Q126" s="542" t="str" cm="1">
        <f t="array" ref="Q126">IF($O126&lt;&gt;"",-TRANSPOSE(INDEX(getcds('CDO Bespoke'!$C151,Q$13,'CDO Bespoke'!$G151/10000,'CDO Bespoke'!G151,'CDO Bespoke'!$L127,'CDO Bespoke'!$C$13,'CDO Bespoke'!$C$14,'CDO Bespoke'!$C$15,'CDO Bespoke'!$C$8,,,TRUE,TRUE,FALSE,'CDO Bespoke'!$C$29:'CDO Bespoke'!$C$31,'CDO Bespoke'!$C$33),{5})),"")</f>
        <v/>
      </c>
      <c r="R126" s="542" t="str" cm="1">
        <f t="array" ref="R126">IF($O126&lt;&gt;"",-TRANSPOSE(INDEX(getcds('CDO Bespoke'!$C151,R$13,'CDO Bespoke'!$G151/10000,'CDO Bespoke'!H151,'CDO Bespoke'!$L127,'CDO Bespoke'!$C$13,'CDO Bespoke'!$C$14,'CDO Bespoke'!$C$15,'CDO Bespoke'!$C$8,,,TRUE,TRUE,FALSE,'CDO Bespoke'!$C$29:'CDO Bespoke'!$C$31,'CDO Bespoke'!$C$33),{5})),"")</f>
        <v/>
      </c>
      <c r="S126" s="542" t="str" cm="1">
        <f t="array" ref="S126">IF($O126&lt;&gt;"",-TRANSPOSE(INDEX(getcds('CDO Bespoke'!$C151,S$13,'CDO Bespoke'!$G151/10000,'CDO Bespoke'!I151,'CDO Bespoke'!$L127,'CDO Bespoke'!$C$13,'CDO Bespoke'!$C$14,'CDO Bespoke'!$C$15,'CDO Bespoke'!$C$8,,,TRUE,TRUE,FALSE,'CDO Bespoke'!$C$29:'CDO Bespoke'!$C$31,'CDO Bespoke'!$C$33),{5})),"")</f>
        <v/>
      </c>
      <c r="T126" s="514" t="str" cm="1">
        <f t="array" ref="T126">IF($O126&lt;&gt;"",-TRANSPOSE(INDEX(getcds('CDO Bespoke'!$C151,T$13,'CDO Bespoke'!$G151/10000,'CDO Bespoke'!J151,'CDO Bespoke'!$L127,'CDO Bespoke'!$C$13,'CDO Bespoke'!$C$14,'CDO Bespoke'!$C$15,'CDO Bespoke'!$C$8,,,TRUE,TRUE,FALSE,'CDO Bespoke'!$C$29:'CDO Bespoke'!$C$31,'CDO Bespoke'!$C$33),{5})),"")</f>
        <v/>
      </c>
      <c r="U126" s="493"/>
      <c r="V126" s="529"/>
      <c r="W126" s="530"/>
      <c r="X126" s="530"/>
      <c r="Y126" s="530"/>
      <c r="Z126" s="530"/>
      <c r="AA126" s="530"/>
      <c r="AB126" s="530"/>
      <c r="AC126" s="530"/>
      <c r="AD126" s="530"/>
      <c r="AE126" s="531"/>
      <c r="AF126" s="539"/>
    </row>
    <row r="127" spans="6:32" s="281" customFormat="1" ht="12" thickBot="1">
      <c r="F127" s="501" t="str">
        <f>IF('CDO Bespoke'!O128&lt;&gt;"",'CDO Bespoke'!O128,"")</f>
        <v/>
      </c>
      <c r="G127" s="502" t="str">
        <f>IF(F127&lt;&gt;"",ABS(MIN(-0.75*('CDO Bespoke'!Q128+'CDO Bespoke'!T128)+'CDO Bespoke'!T128,0)),"")</f>
        <v/>
      </c>
      <c r="H127" s="502" t="str">
        <f t="shared" si="4"/>
        <v/>
      </c>
      <c r="I127" s="502" t="str">
        <f t="shared" si="7"/>
        <v/>
      </c>
      <c r="J127" s="501" t="str">
        <f>IF('CDO Bespoke'!O128&lt;&gt;"",'CDO Bespoke'!O128,"")</f>
        <v/>
      </c>
      <c r="K127" s="502" t="str">
        <f>IF(J127&lt;&gt;"",ABS(MIN(-0.75*('CDO Bespoke'!K128+'CDO Bespoke'!T128)+'CDO Bespoke'!T128,0)),"")</f>
        <v/>
      </c>
      <c r="L127" s="502" t="str">
        <f t="shared" si="5"/>
        <v/>
      </c>
      <c r="M127" s="506" t="str">
        <f t="shared" si="6"/>
        <v/>
      </c>
      <c r="O127" s="511" t="str">
        <f>IF('CDO Bespoke'!C152&lt;&gt;"",'CDO Bespoke'!C152,"")</f>
        <v/>
      </c>
      <c r="P127" s="513" t="str" cm="1">
        <f t="array" ref="P127">IF($O127&lt;&gt;"",-TRANSPOSE(INDEX(getcds('CDO Bespoke'!$C152,P$13,'CDO Bespoke'!$G152/10000,'CDO Bespoke'!F152,'CDO Bespoke'!$L128,'CDO Bespoke'!$C$13,'CDO Bespoke'!$C$14,'CDO Bespoke'!$C$15,'CDO Bespoke'!$C$8,,,TRUE,TRUE,FALSE,'CDO Bespoke'!$C$29:'CDO Bespoke'!$C$31,'CDO Bespoke'!$C$33),{5})),"")</f>
        <v/>
      </c>
      <c r="Q127" s="542" t="str" cm="1">
        <f t="array" ref="Q127">IF($O127&lt;&gt;"",-TRANSPOSE(INDEX(getcds('CDO Bespoke'!$C152,Q$13,'CDO Bespoke'!$G152/10000,'CDO Bespoke'!G152,'CDO Bespoke'!$L128,'CDO Bespoke'!$C$13,'CDO Bespoke'!$C$14,'CDO Bespoke'!$C$15,'CDO Bespoke'!$C$8,,,TRUE,TRUE,FALSE,'CDO Bespoke'!$C$29:'CDO Bespoke'!$C$31,'CDO Bespoke'!$C$33),{5})),"")</f>
        <v/>
      </c>
      <c r="R127" s="542" t="str" cm="1">
        <f t="array" ref="R127">IF($O127&lt;&gt;"",-TRANSPOSE(INDEX(getcds('CDO Bespoke'!$C152,R$13,'CDO Bespoke'!$G152/10000,'CDO Bespoke'!H152,'CDO Bespoke'!$L128,'CDO Bespoke'!$C$13,'CDO Bespoke'!$C$14,'CDO Bespoke'!$C$15,'CDO Bespoke'!$C$8,,,TRUE,TRUE,FALSE,'CDO Bespoke'!$C$29:'CDO Bespoke'!$C$31,'CDO Bespoke'!$C$33),{5})),"")</f>
        <v/>
      </c>
      <c r="S127" s="542" t="str" cm="1">
        <f t="array" ref="S127">IF($O127&lt;&gt;"",-TRANSPOSE(INDEX(getcds('CDO Bespoke'!$C152,S$13,'CDO Bespoke'!$G152/10000,'CDO Bespoke'!I152,'CDO Bespoke'!$L128,'CDO Bespoke'!$C$13,'CDO Bespoke'!$C$14,'CDO Bespoke'!$C$15,'CDO Bespoke'!$C$8,,,TRUE,TRUE,FALSE,'CDO Bespoke'!$C$29:'CDO Bespoke'!$C$31,'CDO Bespoke'!$C$33),{5})),"")</f>
        <v/>
      </c>
      <c r="T127" s="514" t="str" cm="1">
        <f t="array" ref="T127">IF($O127&lt;&gt;"",-TRANSPOSE(INDEX(getcds('CDO Bespoke'!$C152,T$13,'CDO Bespoke'!$G152/10000,'CDO Bespoke'!J152,'CDO Bespoke'!$L128,'CDO Bespoke'!$C$13,'CDO Bespoke'!$C$14,'CDO Bespoke'!$C$15,'CDO Bespoke'!$C$8,,,TRUE,TRUE,FALSE,'CDO Bespoke'!$C$29:'CDO Bespoke'!$C$31,'CDO Bespoke'!$C$33),{5})),"")</f>
        <v/>
      </c>
      <c r="U127" s="493"/>
      <c r="V127" s="529"/>
      <c r="W127" s="530"/>
      <c r="X127" s="530"/>
      <c r="Y127" s="530"/>
      <c r="Z127" s="530"/>
      <c r="AA127" s="530"/>
      <c r="AB127" s="530"/>
      <c r="AC127" s="530"/>
      <c r="AD127" s="530"/>
      <c r="AE127" s="531"/>
      <c r="AF127" s="539"/>
    </row>
    <row r="128" spans="6:32" s="281" customFormat="1" ht="12" thickBot="1">
      <c r="F128" s="501" t="str">
        <f>IF('CDO Bespoke'!O129&lt;&gt;"",'CDO Bespoke'!O129,"")</f>
        <v/>
      </c>
      <c r="G128" s="502" t="str">
        <f>IF(F128&lt;&gt;"",ABS(MIN(-0.75*('CDO Bespoke'!Q129+'CDO Bespoke'!T129)+'CDO Bespoke'!T129,0)),"")</f>
        <v/>
      </c>
      <c r="H128" s="502" t="str">
        <f t="shared" si="4"/>
        <v/>
      </c>
      <c r="I128" s="502" t="str">
        <f t="shared" si="7"/>
        <v/>
      </c>
      <c r="J128" s="501" t="str">
        <f>IF('CDO Bespoke'!O129&lt;&gt;"",'CDO Bespoke'!O129,"")</f>
        <v/>
      </c>
      <c r="K128" s="502" t="str">
        <f>IF(J128&lt;&gt;"",ABS(MIN(-0.75*('CDO Bespoke'!K129+'CDO Bespoke'!T129)+'CDO Bespoke'!T129,0)),"")</f>
        <v/>
      </c>
      <c r="L128" s="502" t="str">
        <f t="shared" si="5"/>
        <v/>
      </c>
      <c r="M128" s="506" t="str">
        <f t="shared" si="6"/>
        <v/>
      </c>
      <c r="O128" s="511" t="str">
        <f>IF('CDO Bespoke'!C153&lt;&gt;"",'CDO Bespoke'!C153,"")</f>
        <v/>
      </c>
      <c r="P128" s="513" t="str" cm="1">
        <f t="array" ref="P128">IF($O128&lt;&gt;"",-TRANSPOSE(INDEX(getcds('CDO Bespoke'!$C153,P$13,'CDO Bespoke'!$G153/10000,'CDO Bespoke'!F153,'CDO Bespoke'!$L129,'CDO Bespoke'!$C$13,'CDO Bespoke'!$C$14,'CDO Bespoke'!$C$15,'CDO Bespoke'!$C$8,,,TRUE,TRUE,FALSE,'CDO Bespoke'!$C$29:'CDO Bespoke'!$C$31,'CDO Bespoke'!$C$33),{5})),"")</f>
        <v/>
      </c>
      <c r="Q128" s="542" t="str" cm="1">
        <f t="array" ref="Q128">IF($O128&lt;&gt;"",-TRANSPOSE(INDEX(getcds('CDO Bespoke'!$C153,Q$13,'CDO Bespoke'!$G153/10000,'CDO Bespoke'!G153,'CDO Bespoke'!$L129,'CDO Bespoke'!$C$13,'CDO Bespoke'!$C$14,'CDO Bespoke'!$C$15,'CDO Bespoke'!$C$8,,,TRUE,TRUE,FALSE,'CDO Bespoke'!$C$29:'CDO Bespoke'!$C$31,'CDO Bespoke'!$C$33),{5})),"")</f>
        <v/>
      </c>
      <c r="R128" s="542" t="str" cm="1">
        <f t="array" ref="R128">IF($O128&lt;&gt;"",-TRANSPOSE(INDEX(getcds('CDO Bespoke'!$C153,R$13,'CDO Bespoke'!$G153/10000,'CDO Bespoke'!H153,'CDO Bespoke'!$L129,'CDO Bespoke'!$C$13,'CDO Bespoke'!$C$14,'CDO Bespoke'!$C$15,'CDO Bespoke'!$C$8,,,TRUE,TRUE,FALSE,'CDO Bespoke'!$C$29:'CDO Bespoke'!$C$31,'CDO Bespoke'!$C$33),{5})),"")</f>
        <v/>
      </c>
      <c r="S128" s="542" t="str" cm="1">
        <f t="array" ref="S128">IF($O128&lt;&gt;"",-TRANSPOSE(INDEX(getcds('CDO Bespoke'!$C153,S$13,'CDO Bespoke'!$G153/10000,'CDO Bespoke'!I153,'CDO Bespoke'!$L129,'CDO Bespoke'!$C$13,'CDO Bespoke'!$C$14,'CDO Bespoke'!$C$15,'CDO Bespoke'!$C$8,,,TRUE,TRUE,FALSE,'CDO Bespoke'!$C$29:'CDO Bespoke'!$C$31,'CDO Bespoke'!$C$33),{5})),"")</f>
        <v/>
      </c>
      <c r="T128" s="514" t="str" cm="1">
        <f t="array" ref="T128">IF($O128&lt;&gt;"",-TRANSPOSE(INDEX(getcds('CDO Bespoke'!$C153,T$13,'CDO Bespoke'!$G153/10000,'CDO Bespoke'!J153,'CDO Bespoke'!$L129,'CDO Bespoke'!$C$13,'CDO Bespoke'!$C$14,'CDO Bespoke'!$C$15,'CDO Bespoke'!$C$8,,,TRUE,TRUE,FALSE,'CDO Bespoke'!$C$29:'CDO Bespoke'!$C$31,'CDO Bespoke'!$C$33),{5})),"")</f>
        <v/>
      </c>
      <c r="U128" s="493"/>
      <c r="V128" s="529"/>
      <c r="W128" s="530"/>
      <c r="X128" s="530"/>
      <c r="Y128" s="530"/>
      <c r="Z128" s="530"/>
      <c r="AA128" s="530"/>
      <c r="AB128" s="530"/>
      <c r="AC128" s="530"/>
      <c r="AD128" s="530"/>
      <c r="AE128" s="531"/>
      <c r="AF128" s="539"/>
    </row>
    <row r="129" spans="6:32" s="281" customFormat="1" ht="12" thickBot="1">
      <c r="F129" s="501" t="str">
        <f>IF('CDO Bespoke'!O130&lt;&gt;"",'CDO Bespoke'!O130,"")</f>
        <v/>
      </c>
      <c r="G129" s="502" t="str">
        <f>IF(F129&lt;&gt;"",ABS(MIN(-0.75*('CDO Bespoke'!Q130+'CDO Bespoke'!T130)+'CDO Bespoke'!T130,0)),"")</f>
        <v/>
      </c>
      <c r="H129" s="502" t="str">
        <f t="shared" si="4"/>
        <v/>
      </c>
      <c r="I129" s="502" t="str">
        <f t="shared" si="7"/>
        <v/>
      </c>
      <c r="J129" s="501" t="str">
        <f>IF('CDO Bespoke'!O130&lt;&gt;"",'CDO Bespoke'!O130,"")</f>
        <v/>
      </c>
      <c r="K129" s="502" t="str">
        <f>IF(J129&lt;&gt;"",ABS(MIN(-0.75*('CDO Bespoke'!K130+'CDO Bespoke'!T130)+'CDO Bespoke'!T130,0)),"")</f>
        <v/>
      </c>
      <c r="L129" s="502" t="str">
        <f t="shared" si="5"/>
        <v/>
      </c>
      <c r="M129" s="506" t="str">
        <f t="shared" si="6"/>
        <v/>
      </c>
      <c r="O129" s="511" t="str">
        <f>IF('CDO Bespoke'!C154&lt;&gt;"",'CDO Bespoke'!C154,"")</f>
        <v/>
      </c>
      <c r="P129" s="513" t="str" cm="1">
        <f t="array" ref="P129">IF($O129&lt;&gt;"",-TRANSPOSE(INDEX(getcds('CDO Bespoke'!$C154,P$13,'CDO Bespoke'!$G154/10000,'CDO Bespoke'!F154,'CDO Bespoke'!$L130,'CDO Bespoke'!$C$13,'CDO Bespoke'!$C$14,'CDO Bespoke'!$C$15,'CDO Bespoke'!$C$8,,,TRUE,TRUE,FALSE,'CDO Bespoke'!$C$29:'CDO Bespoke'!$C$31,'CDO Bespoke'!$C$33),{5})),"")</f>
        <v/>
      </c>
      <c r="Q129" s="542" t="str" cm="1">
        <f t="array" ref="Q129">IF($O129&lt;&gt;"",-TRANSPOSE(INDEX(getcds('CDO Bespoke'!$C154,Q$13,'CDO Bespoke'!$G154/10000,'CDO Bespoke'!G154,'CDO Bespoke'!$L130,'CDO Bespoke'!$C$13,'CDO Bespoke'!$C$14,'CDO Bespoke'!$C$15,'CDO Bespoke'!$C$8,,,TRUE,TRUE,FALSE,'CDO Bespoke'!$C$29:'CDO Bespoke'!$C$31,'CDO Bespoke'!$C$33),{5})),"")</f>
        <v/>
      </c>
      <c r="R129" s="542" t="str" cm="1">
        <f t="array" ref="R129">IF($O129&lt;&gt;"",-TRANSPOSE(INDEX(getcds('CDO Bespoke'!$C154,R$13,'CDO Bespoke'!$G154/10000,'CDO Bespoke'!H154,'CDO Bespoke'!$L130,'CDO Bespoke'!$C$13,'CDO Bespoke'!$C$14,'CDO Bespoke'!$C$15,'CDO Bespoke'!$C$8,,,TRUE,TRUE,FALSE,'CDO Bespoke'!$C$29:'CDO Bespoke'!$C$31,'CDO Bespoke'!$C$33),{5})),"")</f>
        <v/>
      </c>
      <c r="S129" s="542" t="str" cm="1">
        <f t="array" ref="S129">IF($O129&lt;&gt;"",-TRANSPOSE(INDEX(getcds('CDO Bespoke'!$C154,S$13,'CDO Bespoke'!$G154/10000,'CDO Bespoke'!I154,'CDO Bespoke'!$L130,'CDO Bespoke'!$C$13,'CDO Bespoke'!$C$14,'CDO Bespoke'!$C$15,'CDO Bespoke'!$C$8,,,TRUE,TRUE,FALSE,'CDO Bespoke'!$C$29:'CDO Bespoke'!$C$31,'CDO Bespoke'!$C$33),{5})),"")</f>
        <v/>
      </c>
      <c r="T129" s="514" t="str" cm="1">
        <f t="array" ref="T129">IF($O129&lt;&gt;"",-TRANSPOSE(INDEX(getcds('CDO Bespoke'!$C154,T$13,'CDO Bespoke'!$G154/10000,'CDO Bespoke'!J154,'CDO Bespoke'!$L130,'CDO Bespoke'!$C$13,'CDO Bespoke'!$C$14,'CDO Bespoke'!$C$15,'CDO Bespoke'!$C$8,,,TRUE,TRUE,FALSE,'CDO Bespoke'!$C$29:'CDO Bespoke'!$C$31,'CDO Bespoke'!$C$33),{5})),"")</f>
        <v/>
      </c>
      <c r="U129" s="493"/>
      <c r="V129" s="529"/>
      <c r="W129" s="530"/>
      <c r="X129" s="530"/>
      <c r="Y129" s="530"/>
      <c r="Z129" s="530"/>
      <c r="AA129" s="530"/>
      <c r="AB129" s="530"/>
      <c r="AC129" s="530"/>
      <c r="AD129" s="530"/>
      <c r="AE129" s="531"/>
      <c r="AF129" s="539"/>
    </row>
    <row r="130" spans="6:32" s="281" customFormat="1" ht="12" thickBot="1">
      <c r="F130" s="501" t="str">
        <f>IF('CDO Bespoke'!O131&lt;&gt;"",'CDO Bespoke'!O131,"")</f>
        <v/>
      </c>
      <c r="G130" s="502" t="str">
        <f>IF(F130&lt;&gt;"",ABS(MIN(-0.75*('CDO Bespoke'!Q131+'CDO Bespoke'!T131)+'CDO Bespoke'!T131,0)),"")</f>
        <v/>
      </c>
      <c r="H130" s="502" t="str">
        <f t="shared" si="4"/>
        <v/>
      </c>
      <c r="I130" s="502" t="str">
        <f t="shared" si="7"/>
        <v/>
      </c>
      <c r="J130" s="501" t="str">
        <f>IF('CDO Bespoke'!O131&lt;&gt;"",'CDO Bespoke'!O131,"")</f>
        <v/>
      </c>
      <c r="K130" s="502" t="str">
        <f>IF(J130&lt;&gt;"",ABS(MIN(-0.75*('CDO Bespoke'!K131+'CDO Bespoke'!T131)+'CDO Bespoke'!T131,0)),"")</f>
        <v/>
      </c>
      <c r="L130" s="502" t="str">
        <f t="shared" si="5"/>
        <v/>
      </c>
      <c r="M130" s="506" t="str">
        <f t="shared" si="6"/>
        <v/>
      </c>
      <c r="O130" s="511" t="str">
        <f>IF('CDO Bespoke'!C155&lt;&gt;"",'CDO Bespoke'!C155,"")</f>
        <v/>
      </c>
      <c r="P130" s="513" t="str" cm="1">
        <f t="array" ref="P130">IF($O130&lt;&gt;"",-TRANSPOSE(INDEX(getcds('CDO Bespoke'!$C155,P$13,'CDO Bespoke'!$G155/10000,'CDO Bespoke'!F155,'CDO Bespoke'!$L131,'CDO Bespoke'!$C$13,'CDO Bespoke'!$C$14,'CDO Bespoke'!$C$15,'CDO Bespoke'!$C$8,,,TRUE,TRUE,FALSE,'CDO Bespoke'!$C$29:'CDO Bespoke'!$C$31,'CDO Bespoke'!$C$33),{5})),"")</f>
        <v/>
      </c>
      <c r="Q130" s="542" t="str" cm="1">
        <f t="array" ref="Q130">IF($O130&lt;&gt;"",-TRANSPOSE(INDEX(getcds('CDO Bespoke'!$C155,Q$13,'CDO Bespoke'!$G155/10000,'CDO Bespoke'!G155,'CDO Bespoke'!$L131,'CDO Bespoke'!$C$13,'CDO Bespoke'!$C$14,'CDO Bespoke'!$C$15,'CDO Bespoke'!$C$8,,,TRUE,TRUE,FALSE,'CDO Bespoke'!$C$29:'CDO Bespoke'!$C$31,'CDO Bespoke'!$C$33),{5})),"")</f>
        <v/>
      </c>
      <c r="R130" s="542" t="str" cm="1">
        <f t="array" ref="R130">IF($O130&lt;&gt;"",-TRANSPOSE(INDEX(getcds('CDO Bespoke'!$C155,R$13,'CDO Bespoke'!$G155/10000,'CDO Bespoke'!H155,'CDO Bespoke'!$L131,'CDO Bespoke'!$C$13,'CDO Bespoke'!$C$14,'CDO Bespoke'!$C$15,'CDO Bespoke'!$C$8,,,TRUE,TRUE,FALSE,'CDO Bespoke'!$C$29:'CDO Bespoke'!$C$31,'CDO Bespoke'!$C$33),{5})),"")</f>
        <v/>
      </c>
      <c r="S130" s="542" t="str" cm="1">
        <f t="array" ref="S130">IF($O130&lt;&gt;"",-TRANSPOSE(INDEX(getcds('CDO Bespoke'!$C155,S$13,'CDO Bespoke'!$G155/10000,'CDO Bespoke'!I155,'CDO Bespoke'!$L131,'CDO Bespoke'!$C$13,'CDO Bespoke'!$C$14,'CDO Bespoke'!$C$15,'CDO Bespoke'!$C$8,,,TRUE,TRUE,FALSE,'CDO Bespoke'!$C$29:'CDO Bespoke'!$C$31,'CDO Bespoke'!$C$33),{5})),"")</f>
        <v/>
      </c>
      <c r="T130" s="514" t="str" cm="1">
        <f t="array" ref="T130">IF($O130&lt;&gt;"",-TRANSPOSE(INDEX(getcds('CDO Bespoke'!$C155,T$13,'CDO Bespoke'!$G155/10000,'CDO Bespoke'!J155,'CDO Bespoke'!$L131,'CDO Bespoke'!$C$13,'CDO Bespoke'!$C$14,'CDO Bespoke'!$C$15,'CDO Bespoke'!$C$8,,,TRUE,TRUE,FALSE,'CDO Bespoke'!$C$29:'CDO Bespoke'!$C$31,'CDO Bespoke'!$C$33),{5})),"")</f>
        <v/>
      </c>
      <c r="U130" s="493"/>
      <c r="V130" s="529"/>
      <c r="W130" s="530"/>
      <c r="X130" s="530"/>
      <c r="Y130" s="530"/>
      <c r="Z130" s="530"/>
      <c r="AA130" s="530"/>
      <c r="AB130" s="530"/>
      <c r="AC130" s="530"/>
      <c r="AD130" s="530"/>
      <c r="AE130" s="531"/>
      <c r="AF130" s="539"/>
    </row>
    <row r="131" spans="6:32" s="281" customFormat="1" ht="12" thickBot="1">
      <c r="F131" s="501" t="str">
        <f>IF('CDO Bespoke'!O132&lt;&gt;"",'CDO Bespoke'!O132,"")</f>
        <v/>
      </c>
      <c r="G131" s="502" t="str">
        <f>IF(F131&lt;&gt;"",ABS(MIN(-0.75*('CDO Bespoke'!Q132+'CDO Bespoke'!T132)+'CDO Bespoke'!T132,0)),"")</f>
        <v/>
      </c>
      <c r="H131" s="502" t="str">
        <f t="shared" si="4"/>
        <v/>
      </c>
      <c r="I131" s="502" t="str">
        <f t="shared" si="7"/>
        <v/>
      </c>
      <c r="J131" s="501" t="str">
        <f>IF('CDO Bespoke'!O132&lt;&gt;"",'CDO Bespoke'!O132,"")</f>
        <v/>
      </c>
      <c r="K131" s="502" t="str">
        <f>IF(J131&lt;&gt;"",ABS(MIN(-0.75*('CDO Bespoke'!K132+'CDO Bespoke'!T132)+'CDO Bespoke'!T132,0)),"")</f>
        <v/>
      </c>
      <c r="L131" s="502" t="str">
        <f t="shared" si="5"/>
        <v/>
      </c>
      <c r="M131" s="506" t="str">
        <f t="shared" si="6"/>
        <v/>
      </c>
      <c r="O131" s="511" t="str">
        <f>IF('CDO Bespoke'!C156&lt;&gt;"",'CDO Bespoke'!C156,"")</f>
        <v/>
      </c>
      <c r="P131" s="513" t="str" cm="1">
        <f t="array" ref="P131">IF($O131&lt;&gt;"",-TRANSPOSE(INDEX(getcds('CDO Bespoke'!$C156,P$13,'CDO Bespoke'!$G156/10000,'CDO Bespoke'!F156,'CDO Bespoke'!$L132,'CDO Bespoke'!$C$13,'CDO Bespoke'!$C$14,'CDO Bespoke'!$C$15,'CDO Bespoke'!$C$8,,,TRUE,TRUE,FALSE,'CDO Bespoke'!$C$29:'CDO Bespoke'!$C$31,'CDO Bespoke'!$C$33),{5})),"")</f>
        <v/>
      </c>
      <c r="Q131" s="542" t="str" cm="1">
        <f t="array" ref="Q131">IF($O131&lt;&gt;"",-TRANSPOSE(INDEX(getcds('CDO Bespoke'!$C156,Q$13,'CDO Bespoke'!$G156/10000,'CDO Bespoke'!G156,'CDO Bespoke'!$L132,'CDO Bespoke'!$C$13,'CDO Bespoke'!$C$14,'CDO Bespoke'!$C$15,'CDO Bespoke'!$C$8,,,TRUE,TRUE,FALSE,'CDO Bespoke'!$C$29:'CDO Bespoke'!$C$31,'CDO Bespoke'!$C$33),{5})),"")</f>
        <v/>
      </c>
      <c r="R131" s="542" t="str" cm="1">
        <f t="array" ref="R131">IF($O131&lt;&gt;"",-TRANSPOSE(INDEX(getcds('CDO Bespoke'!$C156,R$13,'CDO Bespoke'!$G156/10000,'CDO Bespoke'!H156,'CDO Bespoke'!$L132,'CDO Bespoke'!$C$13,'CDO Bespoke'!$C$14,'CDO Bespoke'!$C$15,'CDO Bespoke'!$C$8,,,TRUE,TRUE,FALSE,'CDO Bespoke'!$C$29:'CDO Bespoke'!$C$31,'CDO Bespoke'!$C$33),{5})),"")</f>
        <v/>
      </c>
      <c r="S131" s="542" t="str" cm="1">
        <f t="array" ref="S131">IF($O131&lt;&gt;"",-TRANSPOSE(INDEX(getcds('CDO Bespoke'!$C156,S$13,'CDO Bespoke'!$G156/10000,'CDO Bespoke'!I156,'CDO Bespoke'!$L132,'CDO Bespoke'!$C$13,'CDO Bespoke'!$C$14,'CDO Bespoke'!$C$15,'CDO Bespoke'!$C$8,,,TRUE,TRUE,FALSE,'CDO Bespoke'!$C$29:'CDO Bespoke'!$C$31,'CDO Bespoke'!$C$33),{5})),"")</f>
        <v/>
      </c>
      <c r="T131" s="514" t="str" cm="1">
        <f t="array" ref="T131">IF($O131&lt;&gt;"",-TRANSPOSE(INDEX(getcds('CDO Bespoke'!$C156,T$13,'CDO Bespoke'!$G156/10000,'CDO Bespoke'!J156,'CDO Bespoke'!$L132,'CDO Bespoke'!$C$13,'CDO Bespoke'!$C$14,'CDO Bespoke'!$C$15,'CDO Bespoke'!$C$8,,,TRUE,TRUE,FALSE,'CDO Bespoke'!$C$29:'CDO Bespoke'!$C$31,'CDO Bespoke'!$C$33),{5})),"")</f>
        <v/>
      </c>
      <c r="U131" s="493"/>
      <c r="V131" s="529"/>
      <c r="W131" s="530"/>
      <c r="X131" s="530"/>
      <c r="Y131" s="530"/>
      <c r="Z131" s="530"/>
      <c r="AA131" s="530"/>
      <c r="AB131" s="530"/>
      <c r="AC131" s="530"/>
      <c r="AD131" s="530"/>
      <c r="AE131" s="531"/>
      <c r="AF131" s="539"/>
    </row>
    <row r="132" spans="6:32" s="281" customFormat="1" ht="12" thickBot="1">
      <c r="F132" s="501" t="str">
        <f>IF('CDO Bespoke'!O133&lt;&gt;"",'CDO Bespoke'!O133,"")</f>
        <v/>
      </c>
      <c r="G132" s="502" t="str">
        <f>IF(F132&lt;&gt;"",ABS(MIN(-0.75*('CDO Bespoke'!Q133+'CDO Bespoke'!T133)+'CDO Bespoke'!T133,0)),"")</f>
        <v/>
      </c>
      <c r="H132" s="502" t="str">
        <f t="shared" si="4"/>
        <v/>
      </c>
      <c r="I132" s="502" t="str">
        <f t="shared" si="7"/>
        <v/>
      </c>
      <c r="J132" s="501" t="str">
        <f>IF('CDO Bespoke'!O133&lt;&gt;"",'CDO Bespoke'!O133,"")</f>
        <v/>
      </c>
      <c r="K132" s="502" t="str">
        <f>IF(J132&lt;&gt;"",ABS(MIN(-0.75*('CDO Bespoke'!K133+'CDO Bespoke'!T133)+'CDO Bespoke'!T133,0)),"")</f>
        <v/>
      </c>
      <c r="L132" s="502" t="str">
        <f t="shared" si="5"/>
        <v/>
      </c>
      <c r="M132" s="506" t="str">
        <f t="shared" si="6"/>
        <v/>
      </c>
      <c r="O132" s="511" t="str">
        <f>IF('CDO Bespoke'!C157&lt;&gt;"",'CDO Bespoke'!C157,"")</f>
        <v/>
      </c>
      <c r="P132" s="513" t="str" cm="1">
        <f t="array" ref="P132">IF($O132&lt;&gt;"",-TRANSPOSE(INDEX(getcds('CDO Bespoke'!$C157,P$13,'CDO Bespoke'!$G157/10000,'CDO Bespoke'!F157,'CDO Bespoke'!$L133,'CDO Bespoke'!$C$13,'CDO Bespoke'!$C$14,'CDO Bespoke'!$C$15,'CDO Bespoke'!$C$8,,,TRUE,TRUE,FALSE,'CDO Bespoke'!$C$29:'CDO Bespoke'!$C$31,'CDO Bespoke'!$C$33),{5})),"")</f>
        <v/>
      </c>
      <c r="Q132" s="542" t="str" cm="1">
        <f t="array" ref="Q132">IF($O132&lt;&gt;"",-TRANSPOSE(INDEX(getcds('CDO Bespoke'!$C157,Q$13,'CDO Bespoke'!$G157/10000,'CDO Bespoke'!G157,'CDO Bespoke'!$L133,'CDO Bespoke'!$C$13,'CDO Bespoke'!$C$14,'CDO Bespoke'!$C$15,'CDO Bespoke'!$C$8,,,TRUE,TRUE,FALSE,'CDO Bespoke'!$C$29:'CDO Bespoke'!$C$31,'CDO Bespoke'!$C$33),{5})),"")</f>
        <v/>
      </c>
      <c r="R132" s="542" t="str" cm="1">
        <f t="array" ref="R132">IF($O132&lt;&gt;"",-TRANSPOSE(INDEX(getcds('CDO Bespoke'!$C157,R$13,'CDO Bespoke'!$G157/10000,'CDO Bespoke'!H157,'CDO Bespoke'!$L133,'CDO Bespoke'!$C$13,'CDO Bespoke'!$C$14,'CDO Bespoke'!$C$15,'CDO Bespoke'!$C$8,,,TRUE,TRUE,FALSE,'CDO Bespoke'!$C$29:'CDO Bespoke'!$C$31,'CDO Bespoke'!$C$33),{5})),"")</f>
        <v/>
      </c>
      <c r="S132" s="542" t="str" cm="1">
        <f t="array" ref="S132">IF($O132&lt;&gt;"",-TRANSPOSE(INDEX(getcds('CDO Bespoke'!$C157,S$13,'CDO Bespoke'!$G157/10000,'CDO Bespoke'!I157,'CDO Bespoke'!$L133,'CDO Bespoke'!$C$13,'CDO Bespoke'!$C$14,'CDO Bespoke'!$C$15,'CDO Bespoke'!$C$8,,,TRUE,TRUE,FALSE,'CDO Bespoke'!$C$29:'CDO Bespoke'!$C$31,'CDO Bespoke'!$C$33),{5})),"")</f>
        <v/>
      </c>
      <c r="T132" s="514" t="str" cm="1">
        <f t="array" ref="T132">IF($O132&lt;&gt;"",-TRANSPOSE(INDEX(getcds('CDO Bespoke'!$C157,T$13,'CDO Bespoke'!$G157/10000,'CDO Bespoke'!J157,'CDO Bespoke'!$L133,'CDO Bespoke'!$C$13,'CDO Bespoke'!$C$14,'CDO Bespoke'!$C$15,'CDO Bespoke'!$C$8,,,TRUE,TRUE,FALSE,'CDO Bespoke'!$C$29:'CDO Bespoke'!$C$31,'CDO Bespoke'!$C$33),{5})),"")</f>
        <v/>
      </c>
      <c r="U132" s="493"/>
      <c r="V132" s="529"/>
      <c r="W132" s="530"/>
      <c r="X132" s="530"/>
      <c r="Y132" s="530"/>
      <c r="Z132" s="530"/>
      <c r="AA132" s="530"/>
      <c r="AB132" s="530"/>
      <c r="AC132" s="530"/>
      <c r="AD132" s="530"/>
      <c r="AE132" s="531"/>
      <c r="AF132" s="539"/>
    </row>
    <row r="133" spans="6:32" s="281" customFormat="1" ht="12" thickBot="1">
      <c r="F133" s="501" t="str">
        <f>IF('CDO Bespoke'!O134&lt;&gt;"",'CDO Bespoke'!O134,"")</f>
        <v/>
      </c>
      <c r="G133" s="502" t="str">
        <f>IF(F133&lt;&gt;"",ABS(MIN(-0.75*('CDO Bespoke'!Q134+'CDO Bespoke'!T134)+'CDO Bespoke'!T134,0)),"")</f>
        <v/>
      </c>
      <c r="H133" s="502" t="str">
        <f t="shared" si="4"/>
        <v/>
      </c>
      <c r="I133" s="502" t="str">
        <f t="shared" si="7"/>
        <v/>
      </c>
      <c r="J133" s="501" t="str">
        <f>IF('CDO Bespoke'!O134&lt;&gt;"",'CDO Bespoke'!O134,"")</f>
        <v/>
      </c>
      <c r="K133" s="502" t="str">
        <f>IF(J133&lt;&gt;"",ABS(MIN(-0.75*('CDO Bespoke'!K134+'CDO Bespoke'!T134)+'CDO Bespoke'!T134,0)),"")</f>
        <v/>
      </c>
      <c r="L133" s="502" t="str">
        <f t="shared" si="5"/>
        <v/>
      </c>
      <c r="M133" s="506" t="str">
        <f t="shared" si="6"/>
        <v/>
      </c>
      <c r="O133" s="511" t="str">
        <f>IF('CDO Bespoke'!C158&lt;&gt;"",'CDO Bespoke'!C158,"")</f>
        <v/>
      </c>
      <c r="P133" s="513" t="str" cm="1">
        <f t="array" ref="P133">IF($O133&lt;&gt;"",-TRANSPOSE(INDEX(getcds('CDO Bespoke'!$C158,P$13,'CDO Bespoke'!$G158/10000,'CDO Bespoke'!F158,'CDO Bespoke'!$L134,'CDO Bespoke'!$C$13,'CDO Bespoke'!$C$14,'CDO Bespoke'!$C$15,'CDO Bespoke'!$C$8,,,TRUE,TRUE,FALSE,'CDO Bespoke'!$C$29:'CDO Bespoke'!$C$31,'CDO Bespoke'!$C$33),{5})),"")</f>
        <v/>
      </c>
      <c r="Q133" s="542" t="str" cm="1">
        <f t="array" ref="Q133">IF($O133&lt;&gt;"",-TRANSPOSE(INDEX(getcds('CDO Bespoke'!$C158,Q$13,'CDO Bespoke'!$G158/10000,'CDO Bespoke'!G158,'CDO Bespoke'!$L134,'CDO Bespoke'!$C$13,'CDO Bespoke'!$C$14,'CDO Bespoke'!$C$15,'CDO Bespoke'!$C$8,,,TRUE,TRUE,FALSE,'CDO Bespoke'!$C$29:'CDO Bespoke'!$C$31,'CDO Bespoke'!$C$33),{5})),"")</f>
        <v/>
      </c>
      <c r="R133" s="542" t="str" cm="1">
        <f t="array" ref="R133">IF($O133&lt;&gt;"",-TRANSPOSE(INDEX(getcds('CDO Bespoke'!$C158,R$13,'CDO Bespoke'!$G158/10000,'CDO Bespoke'!H158,'CDO Bespoke'!$L134,'CDO Bespoke'!$C$13,'CDO Bespoke'!$C$14,'CDO Bespoke'!$C$15,'CDO Bespoke'!$C$8,,,TRUE,TRUE,FALSE,'CDO Bespoke'!$C$29:'CDO Bespoke'!$C$31,'CDO Bespoke'!$C$33),{5})),"")</f>
        <v/>
      </c>
      <c r="S133" s="542" t="str" cm="1">
        <f t="array" ref="S133">IF($O133&lt;&gt;"",-TRANSPOSE(INDEX(getcds('CDO Bespoke'!$C158,S$13,'CDO Bespoke'!$G158/10000,'CDO Bespoke'!I158,'CDO Bespoke'!$L134,'CDO Bespoke'!$C$13,'CDO Bespoke'!$C$14,'CDO Bespoke'!$C$15,'CDO Bespoke'!$C$8,,,TRUE,TRUE,FALSE,'CDO Bespoke'!$C$29:'CDO Bespoke'!$C$31,'CDO Bespoke'!$C$33),{5})),"")</f>
        <v/>
      </c>
      <c r="T133" s="514" t="str" cm="1">
        <f t="array" ref="T133">IF($O133&lt;&gt;"",-TRANSPOSE(INDEX(getcds('CDO Bespoke'!$C158,T$13,'CDO Bespoke'!$G158/10000,'CDO Bespoke'!J158,'CDO Bespoke'!$L134,'CDO Bespoke'!$C$13,'CDO Bespoke'!$C$14,'CDO Bespoke'!$C$15,'CDO Bespoke'!$C$8,,,TRUE,TRUE,FALSE,'CDO Bespoke'!$C$29:'CDO Bespoke'!$C$31,'CDO Bespoke'!$C$33),{5})),"")</f>
        <v/>
      </c>
      <c r="U133" s="493"/>
      <c r="V133" s="529"/>
      <c r="W133" s="530"/>
      <c r="X133" s="530"/>
      <c r="Y133" s="530"/>
      <c r="Z133" s="530"/>
      <c r="AA133" s="530"/>
      <c r="AB133" s="530"/>
      <c r="AC133" s="530"/>
      <c r="AD133" s="530"/>
      <c r="AE133" s="531"/>
      <c r="AF133" s="539"/>
    </row>
    <row r="134" spans="6:32" s="281" customFormat="1" ht="12" thickBot="1">
      <c r="F134" s="501" t="str">
        <f>IF('CDO Bespoke'!O135&lt;&gt;"",'CDO Bespoke'!O135,"")</f>
        <v/>
      </c>
      <c r="G134" s="502" t="str">
        <f>IF(F134&lt;&gt;"",ABS(MIN(-0.75*('CDO Bespoke'!Q135+'CDO Bespoke'!T135)+'CDO Bespoke'!T135,0)),"")</f>
        <v/>
      </c>
      <c r="H134" s="502" t="str">
        <f t="shared" si="4"/>
        <v/>
      </c>
      <c r="I134" s="502" t="str">
        <f t="shared" si="7"/>
        <v/>
      </c>
      <c r="J134" s="501" t="str">
        <f>IF('CDO Bespoke'!O135&lt;&gt;"",'CDO Bespoke'!O135,"")</f>
        <v/>
      </c>
      <c r="K134" s="502" t="str">
        <f>IF(J134&lt;&gt;"",ABS(MIN(-0.75*('CDO Bespoke'!K135+'CDO Bespoke'!T135)+'CDO Bespoke'!T135,0)),"")</f>
        <v/>
      </c>
      <c r="L134" s="502" t="str">
        <f t="shared" si="5"/>
        <v/>
      </c>
      <c r="M134" s="506" t="str">
        <f t="shared" si="6"/>
        <v/>
      </c>
      <c r="O134" s="511" t="str">
        <f>IF('CDO Bespoke'!C159&lt;&gt;"",'CDO Bespoke'!C159,"")</f>
        <v/>
      </c>
      <c r="P134" s="513" t="str" cm="1">
        <f t="array" ref="P134">IF($O134&lt;&gt;"",-TRANSPOSE(INDEX(getcds('CDO Bespoke'!$C159,P$13,'CDO Bespoke'!$G159/10000,'CDO Bespoke'!F159,'CDO Bespoke'!$L135,'CDO Bespoke'!$C$13,'CDO Bespoke'!$C$14,'CDO Bespoke'!$C$15,'CDO Bespoke'!$C$8,,,TRUE,TRUE,FALSE,'CDO Bespoke'!$C$29:'CDO Bespoke'!$C$31,'CDO Bespoke'!$C$33),{5})),"")</f>
        <v/>
      </c>
      <c r="Q134" s="542" t="str" cm="1">
        <f t="array" ref="Q134">IF($O134&lt;&gt;"",-TRANSPOSE(INDEX(getcds('CDO Bespoke'!$C159,Q$13,'CDO Bespoke'!$G159/10000,'CDO Bespoke'!G159,'CDO Bespoke'!$L135,'CDO Bespoke'!$C$13,'CDO Bespoke'!$C$14,'CDO Bespoke'!$C$15,'CDO Bespoke'!$C$8,,,TRUE,TRUE,FALSE,'CDO Bespoke'!$C$29:'CDO Bespoke'!$C$31,'CDO Bespoke'!$C$33),{5})),"")</f>
        <v/>
      </c>
      <c r="R134" s="542" t="str" cm="1">
        <f t="array" ref="R134">IF($O134&lt;&gt;"",-TRANSPOSE(INDEX(getcds('CDO Bespoke'!$C159,R$13,'CDO Bespoke'!$G159/10000,'CDO Bespoke'!H159,'CDO Bespoke'!$L135,'CDO Bespoke'!$C$13,'CDO Bespoke'!$C$14,'CDO Bespoke'!$C$15,'CDO Bespoke'!$C$8,,,TRUE,TRUE,FALSE,'CDO Bespoke'!$C$29:'CDO Bespoke'!$C$31,'CDO Bespoke'!$C$33),{5})),"")</f>
        <v/>
      </c>
      <c r="S134" s="542" t="str" cm="1">
        <f t="array" ref="S134">IF($O134&lt;&gt;"",-TRANSPOSE(INDEX(getcds('CDO Bespoke'!$C159,S$13,'CDO Bespoke'!$G159/10000,'CDO Bespoke'!I159,'CDO Bespoke'!$L135,'CDO Bespoke'!$C$13,'CDO Bespoke'!$C$14,'CDO Bespoke'!$C$15,'CDO Bespoke'!$C$8,,,TRUE,TRUE,FALSE,'CDO Bespoke'!$C$29:'CDO Bespoke'!$C$31,'CDO Bespoke'!$C$33),{5})),"")</f>
        <v/>
      </c>
      <c r="T134" s="514" t="str" cm="1">
        <f t="array" ref="T134">IF($O134&lt;&gt;"",-TRANSPOSE(INDEX(getcds('CDO Bespoke'!$C159,T$13,'CDO Bespoke'!$G159/10000,'CDO Bespoke'!J159,'CDO Bespoke'!$L135,'CDO Bespoke'!$C$13,'CDO Bespoke'!$C$14,'CDO Bespoke'!$C$15,'CDO Bespoke'!$C$8,,,TRUE,TRUE,FALSE,'CDO Bespoke'!$C$29:'CDO Bespoke'!$C$31,'CDO Bespoke'!$C$33),{5})),"")</f>
        <v/>
      </c>
      <c r="U134" s="493"/>
      <c r="V134" s="529"/>
      <c r="W134" s="530"/>
      <c r="X134" s="530"/>
      <c r="Y134" s="530"/>
      <c r="Z134" s="530"/>
      <c r="AA134" s="530"/>
      <c r="AB134" s="530"/>
      <c r="AC134" s="530"/>
      <c r="AD134" s="530"/>
      <c r="AE134" s="531"/>
      <c r="AF134" s="539"/>
    </row>
    <row r="135" spans="6:32" s="281" customFormat="1" ht="12" thickBot="1">
      <c r="F135" s="501" t="str">
        <f>IF('CDO Bespoke'!O136&lt;&gt;"",'CDO Bespoke'!O136,"")</f>
        <v/>
      </c>
      <c r="G135" s="502" t="str">
        <f>IF(F135&lt;&gt;"",ABS(MIN(-0.75*('CDO Bespoke'!Q136+'CDO Bespoke'!T136)+'CDO Bespoke'!T136,0)),"")</f>
        <v/>
      </c>
      <c r="H135" s="502" t="str">
        <f t="shared" si="4"/>
        <v/>
      </c>
      <c r="I135" s="502" t="str">
        <f t="shared" si="7"/>
        <v/>
      </c>
      <c r="J135" s="501" t="str">
        <f>IF('CDO Bespoke'!O136&lt;&gt;"",'CDO Bespoke'!O136,"")</f>
        <v/>
      </c>
      <c r="K135" s="502" t="str">
        <f>IF(J135&lt;&gt;"",ABS(MIN(-0.75*('CDO Bespoke'!K136+'CDO Bespoke'!T136)+'CDO Bespoke'!T136,0)),"")</f>
        <v/>
      </c>
      <c r="L135" s="502" t="str">
        <f t="shared" si="5"/>
        <v/>
      </c>
      <c r="M135" s="506" t="str">
        <f t="shared" si="6"/>
        <v/>
      </c>
      <c r="O135" s="511" t="str">
        <f>IF('CDO Bespoke'!C160&lt;&gt;"",'CDO Bespoke'!C160,"")</f>
        <v/>
      </c>
      <c r="P135" s="513" t="str" cm="1">
        <f t="array" ref="P135">IF($O135&lt;&gt;"",-TRANSPOSE(INDEX(getcds('CDO Bespoke'!$C160,P$13,'CDO Bespoke'!$G160/10000,'CDO Bespoke'!F160,'CDO Bespoke'!$L136,'CDO Bespoke'!$C$13,'CDO Bespoke'!$C$14,'CDO Bespoke'!$C$15,'CDO Bespoke'!$C$8,,,TRUE,TRUE,FALSE,'CDO Bespoke'!$C$29:'CDO Bespoke'!$C$31,'CDO Bespoke'!$C$33),{5})),"")</f>
        <v/>
      </c>
      <c r="Q135" s="542" t="str" cm="1">
        <f t="array" ref="Q135">IF($O135&lt;&gt;"",-TRANSPOSE(INDEX(getcds('CDO Bespoke'!$C160,Q$13,'CDO Bespoke'!$G160/10000,'CDO Bespoke'!G160,'CDO Bespoke'!$L136,'CDO Bespoke'!$C$13,'CDO Bespoke'!$C$14,'CDO Bespoke'!$C$15,'CDO Bespoke'!$C$8,,,TRUE,TRUE,FALSE,'CDO Bespoke'!$C$29:'CDO Bespoke'!$C$31,'CDO Bespoke'!$C$33),{5})),"")</f>
        <v/>
      </c>
      <c r="R135" s="542" t="str" cm="1">
        <f t="array" ref="R135">IF($O135&lt;&gt;"",-TRANSPOSE(INDEX(getcds('CDO Bespoke'!$C160,R$13,'CDO Bespoke'!$G160/10000,'CDO Bespoke'!H160,'CDO Bespoke'!$L136,'CDO Bespoke'!$C$13,'CDO Bespoke'!$C$14,'CDO Bespoke'!$C$15,'CDO Bespoke'!$C$8,,,TRUE,TRUE,FALSE,'CDO Bespoke'!$C$29:'CDO Bespoke'!$C$31,'CDO Bespoke'!$C$33),{5})),"")</f>
        <v/>
      </c>
      <c r="S135" s="542" t="str" cm="1">
        <f t="array" ref="S135">IF($O135&lt;&gt;"",-TRANSPOSE(INDEX(getcds('CDO Bespoke'!$C160,S$13,'CDO Bespoke'!$G160/10000,'CDO Bespoke'!I160,'CDO Bespoke'!$L136,'CDO Bespoke'!$C$13,'CDO Bespoke'!$C$14,'CDO Bespoke'!$C$15,'CDO Bespoke'!$C$8,,,TRUE,TRUE,FALSE,'CDO Bespoke'!$C$29:'CDO Bespoke'!$C$31,'CDO Bespoke'!$C$33),{5})),"")</f>
        <v/>
      </c>
      <c r="T135" s="514" t="str" cm="1">
        <f t="array" ref="T135">IF($O135&lt;&gt;"",-TRANSPOSE(INDEX(getcds('CDO Bespoke'!$C160,T$13,'CDO Bespoke'!$G160/10000,'CDO Bespoke'!J160,'CDO Bespoke'!$L136,'CDO Bespoke'!$C$13,'CDO Bespoke'!$C$14,'CDO Bespoke'!$C$15,'CDO Bespoke'!$C$8,,,TRUE,TRUE,FALSE,'CDO Bespoke'!$C$29:'CDO Bespoke'!$C$31,'CDO Bespoke'!$C$33),{5})),"")</f>
        <v/>
      </c>
      <c r="U135" s="493"/>
      <c r="V135" s="529"/>
      <c r="W135" s="530"/>
      <c r="X135" s="530"/>
      <c r="Y135" s="530"/>
      <c r="Z135" s="530"/>
      <c r="AA135" s="530"/>
      <c r="AB135" s="530"/>
      <c r="AC135" s="530"/>
      <c r="AD135" s="530"/>
      <c r="AE135" s="531"/>
      <c r="AF135" s="539"/>
    </row>
    <row r="136" spans="6:32" s="281" customFormat="1" ht="12" thickBot="1">
      <c r="F136" s="501" t="str">
        <f>IF('CDO Bespoke'!O137&lt;&gt;"",'CDO Bespoke'!O137,"")</f>
        <v/>
      </c>
      <c r="G136" s="502" t="str">
        <f>IF(F136&lt;&gt;"",ABS(MIN(-0.75*('CDO Bespoke'!Q137+'CDO Bespoke'!T137)+'CDO Bespoke'!T137,0)),"")</f>
        <v/>
      </c>
      <c r="H136" s="502" t="str">
        <f t="shared" si="4"/>
        <v/>
      </c>
      <c r="I136" s="502" t="str">
        <f t="shared" si="7"/>
        <v/>
      </c>
      <c r="J136" s="501" t="str">
        <f>IF('CDO Bespoke'!O137&lt;&gt;"",'CDO Bespoke'!O137,"")</f>
        <v/>
      </c>
      <c r="K136" s="502" t="str">
        <f>IF(J136&lt;&gt;"",ABS(MIN(-0.75*('CDO Bespoke'!K137+'CDO Bespoke'!T137)+'CDO Bespoke'!T137,0)),"")</f>
        <v/>
      </c>
      <c r="L136" s="502" t="str">
        <f t="shared" si="5"/>
        <v/>
      </c>
      <c r="M136" s="506" t="str">
        <f t="shared" si="6"/>
        <v/>
      </c>
      <c r="O136" s="511" t="str">
        <f>IF('CDO Bespoke'!C161&lt;&gt;"",'CDO Bespoke'!C161,"")</f>
        <v/>
      </c>
      <c r="P136" s="513" t="str" cm="1">
        <f t="array" ref="P136">IF($O136&lt;&gt;"",-TRANSPOSE(INDEX(getcds('CDO Bespoke'!$C161,P$13,'CDO Bespoke'!$G161/10000,'CDO Bespoke'!F161,'CDO Bespoke'!$L137,'CDO Bespoke'!$C$13,'CDO Bespoke'!$C$14,'CDO Bespoke'!$C$15,'CDO Bespoke'!$C$8,,,TRUE,TRUE,FALSE,'CDO Bespoke'!$C$29:'CDO Bespoke'!$C$31,'CDO Bespoke'!$C$33),{5})),"")</f>
        <v/>
      </c>
      <c r="Q136" s="542" t="str" cm="1">
        <f t="array" ref="Q136">IF($O136&lt;&gt;"",-TRANSPOSE(INDEX(getcds('CDO Bespoke'!$C161,Q$13,'CDO Bespoke'!$G161/10000,'CDO Bespoke'!G161,'CDO Bespoke'!$L137,'CDO Bespoke'!$C$13,'CDO Bespoke'!$C$14,'CDO Bespoke'!$C$15,'CDO Bespoke'!$C$8,,,TRUE,TRUE,FALSE,'CDO Bespoke'!$C$29:'CDO Bespoke'!$C$31,'CDO Bespoke'!$C$33),{5})),"")</f>
        <v/>
      </c>
      <c r="R136" s="542" t="str" cm="1">
        <f t="array" ref="R136">IF($O136&lt;&gt;"",-TRANSPOSE(INDEX(getcds('CDO Bespoke'!$C161,R$13,'CDO Bespoke'!$G161/10000,'CDO Bespoke'!H161,'CDO Bespoke'!$L137,'CDO Bespoke'!$C$13,'CDO Bespoke'!$C$14,'CDO Bespoke'!$C$15,'CDO Bespoke'!$C$8,,,TRUE,TRUE,FALSE,'CDO Bespoke'!$C$29:'CDO Bespoke'!$C$31,'CDO Bespoke'!$C$33),{5})),"")</f>
        <v/>
      </c>
      <c r="S136" s="542" t="str" cm="1">
        <f t="array" ref="S136">IF($O136&lt;&gt;"",-TRANSPOSE(INDEX(getcds('CDO Bespoke'!$C161,S$13,'CDO Bespoke'!$G161/10000,'CDO Bespoke'!I161,'CDO Bespoke'!$L137,'CDO Bespoke'!$C$13,'CDO Bespoke'!$C$14,'CDO Bespoke'!$C$15,'CDO Bespoke'!$C$8,,,TRUE,TRUE,FALSE,'CDO Bespoke'!$C$29:'CDO Bespoke'!$C$31,'CDO Bespoke'!$C$33),{5})),"")</f>
        <v/>
      </c>
      <c r="T136" s="514" t="str" cm="1">
        <f t="array" ref="T136">IF($O136&lt;&gt;"",-TRANSPOSE(INDEX(getcds('CDO Bespoke'!$C161,T$13,'CDO Bespoke'!$G161/10000,'CDO Bespoke'!J161,'CDO Bespoke'!$L137,'CDO Bespoke'!$C$13,'CDO Bespoke'!$C$14,'CDO Bespoke'!$C$15,'CDO Bespoke'!$C$8,,,TRUE,TRUE,FALSE,'CDO Bespoke'!$C$29:'CDO Bespoke'!$C$31,'CDO Bespoke'!$C$33),{5})),"")</f>
        <v/>
      </c>
      <c r="U136" s="493"/>
      <c r="V136" s="529"/>
      <c r="W136" s="530"/>
      <c r="X136" s="530"/>
      <c r="Y136" s="530"/>
      <c r="Z136" s="530"/>
      <c r="AA136" s="530"/>
      <c r="AB136" s="530"/>
      <c r="AC136" s="530"/>
      <c r="AD136" s="530"/>
      <c r="AE136" s="531"/>
      <c r="AF136" s="539"/>
    </row>
    <row r="137" spans="6:32" s="281" customFormat="1" ht="12" thickBot="1">
      <c r="F137" s="501" t="str">
        <f>IF('CDO Bespoke'!O138&lt;&gt;"",'CDO Bespoke'!O138,"")</f>
        <v/>
      </c>
      <c r="G137" s="502" t="str">
        <f>IF(F137&lt;&gt;"",ABS(MIN(-0.75*('CDO Bespoke'!Q138+'CDO Bespoke'!T138)+'CDO Bespoke'!T138,0)),"")</f>
        <v/>
      </c>
      <c r="H137" s="502" t="str">
        <f t="shared" si="4"/>
        <v/>
      </c>
      <c r="I137" s="502" t="str">
        <f t="shared" si="7"/>
        <v/>
      </c>
      <c r="J137" s="501" t="str">
        <f>IF('CDO Bespoke'!O138&lt;&gt;"",'CDO Bespoke'!O138,"")</f>
        <v/>
      </c>
      <c r="K137" s="502" t="str">
        <f>IF(J137&lt;&gt;"",ABS(MIN(-0.75*('CDO Bespoke'!K138+'CDO Bespoke'!T138)+'CDO Bespoke'!T138,0)),"")</f>
        <v/>
      </c>
      <c r="L137" s="502" t="str">
        <f t="shared" si="5"/>
        <v/>
      </c>
      <c r="M137" s="506" t="str">
        <f t="shared" si="6"/>
        <v/>
      </c>
      <c r="O137" s="511" t="str">
        <f>IF('CDO Bespoke'!C162&lt;&gt;"",'CDO Bespoke'!C162,"")</f>
        <v/>
      </c>
      <c r="P137" s="513" t="str" cm="1">
        <f t="array" ref="P137">IF($O137&lt;&gt;"",-TRANSPOSE(INDEX(getcds('CDO Bespoke'!$C162,P$13,'CDO Bespoke'!$G162/10000,'CDO Bespoke'!F162,'CDO Bespoke'!$L138,'CDO Bespoke'!$C$13,'CDO Bespoke'!$C$14,'CDO Bespoke'!$C$15,'CDO Bespoke'!$C$8,,,TRUE,TRUE,FALSE,'CDO Bespoke'!$C$29:'CDO Bespoke'!$C$31,'CDO Bespoke'!$C$33),{5})),"")</f>
        <v/>
      </c>
      <c r="Q137" s="542" t="str" cm="1">
        <f t="array" ref="Q137">IF($O137&lt;&gt;"",-TRANSPOSE(INDEX(getcds('CDO Bespoke'!$C162,Q$13,'CDO Bespoke'!$G162/10000,'CDO Bespoke'!G162,'CDO Bespoke'!$L138,'CDO Bespoke'!$C$13,'CDO Bespoke'!$C$14,'CDO Bespoke'!$C$15,'CDO Bespoke'!$C$8,,,TRUE,TRUE,FALSE,'CDO Bespoke'!$C$29:'CDO Bespoke'!$C$31,'CDO Bespoke'!$C$33),{5})),"")</f>
        <v/>
      </c>
      <c r="R137" s="542" t="str" cm="1">
        <f t="array" ref="R137">IF($O137&lt;&gt;"",-TRANSPOSE(INDEX(getcds('CDO Bespoke'!$C162,R$13,'CDO Bespoke'!$G162/10000,'CDO Bespoke'!H162,'CDO Bespoke'!$L138,'CDO Bespoke'!$C$13,'CDO Bespoke'!$C$14,'CDO Bespoke'!$C$15,'CDO Bespoke'!$C$8,,,TRUE,TRUE,FALSE,'CDO Bespoke'!$C$29:'CDO Bespoke'!$C$31,'CDO Bespoke'!$C$33),{5})),"")</f>
        <v/>
      </c>
      <c r="S137" s="542" t="str" cm="1">
        <f t="array" ref="S137">IF($O137&lt;&gt;"",-TRANSPOSE(INDEX(getcds('CDO Bespoke'!$C162,S$13,'CDO Bespoke'!$G162/10000,'CDO Bespoke'!I162,'CDO Bespoke'!$L138,'CDO Bespoke'!$C$13,'CDO Bespoke'!$C$14,'CDO Bespoke'!$C$15,'CDO Bespoke'!$C$8,,,TRUE,TRUE,FALSE,'CDO Bespoke'!$C$29:'CDO Bespoke'!$C$31,'CDO Bespoke'!$C$33),{5})),"")</f>
        <v/>
      </c>
      <c r="T137" s="514" t="str" cm="1">
        <f t="array" ref="T137">IF($O137&lt;&gt;"",-TRANSPOSE(INDEX(getcds('CDO Bespoke'!$C162,T$13,'CDO Bespoke'!$G162/10000,'CDO Bespoke'!J162,'CDO Bespoke'!$L138,'CDO Bespoke'!$C$13,'CDO Bespoke'!$C$14,'CDO Bespoke'!$C$15,'CDO Bespoke'!$C$8,,,TRUE,TRUE,FALSE,'CDO Bespoke'!$C$29:'CDO Bespoke'!$C$31,'CDO Bespoke'!$C$33),{5})),"")</f>
        <v/>
      </c>
      <c r="U137" s="493"/>
      <c r="V137" s="529"/>
      <c r="W137" s="530"/>
      <c r="X137" s="530"/>
      <c r="Y137" s="530"/>
      <c r="Z137" s="530"/>
      <c r="AA137" s="530"/>
      <c r="AB137" s="530"/>
      <c r="AC137" s="530"/>
      <c r="AD137" s="530"/>
      <c r="AE137" s="531"/>
      <c r="AF137" s="539"/>
    </row>
    <row r="138" spans="6:32" s="281" customFormat="1" ht="12" thickBot="1">
      <c r="F138" s="501" t="str">
        <f>IF('CDO Bespoke'!O139&lt;&gt;"",'CDO Bespoke'!O139,"")</f>
        <v/>
      </c>
      <c r="G138" s="502" t="str">
        <f>IF(F138&lt;&gt;"",ABS(MIN(-0.75*('CDO Bespoke'!Q139+'CDO Bespoke'!T139)+'CDO Bespoke'!T139,0)),"")</f>
        <v/>
      </c>
      <c r="H138" s="502" t="str">
        <f t="shared" si="4"/>
        <v/>
      </c>
      <c r="I138" s="502" t="str">
        <f t="shared" si="7"/>
        <v/>
      </c>
      <c r="J138" s="501" t="str">
        <f>IF('CDO Bespoke'!O139&lt;&gt;"",'CDO Bespoke'!O139,"")</f>
        <v/>
      </c>
      <c r="K138" s="502" t="str">
        <f>IF(J138&lt;&gt;"",ABS(MIN(-0.75*('CDO Bespoke'!K139+'CDO Bespoke'!T139)+'CDO Bespoke'!T139,0)),"")</f>
        <v/>
      </c>
      <c r="L138" s="502" t="str">
        <f t="shared" si="5"/>
        <v/>
      </c>
      <c r="M138" s="506" t="str">
        <f t="shared" si="6"/>
        <v/>
      </c>
      <c r="O138" s="511" t="str">
        <f>IF('CDO Bespoke'!C163&lt;&gt;"",'CDO Bespoke'!C163,"")</f>
        <v/>
      </c>
      <c r="P138" s="513" t="str" cm="1">
        <f t="array" ref="P138">IF($O138&lt;&gt;"",-TRANSPOSE(INDEX(getcds('CDO Bespoke'!$C163,P$13,'CDO Bespoke'!$G163/10000,'CDO Bespoke'!F163,'CDO Bespoke'!$L139,'CDO Bespoke'!$C$13,'CDO Bespoke'!$C$14,'CDO Bespoke'!$C$15,'CDO Bespoke'!$C$8,,,TRUE,TRUE,FALSE,'CDO Bespoke'!$C$29:'CDO Bespoke'!$C$31,'CDO Bespoke'!$C$33),{5})),"")</f>
        <v/>
      </c>
      <c r="Q138" s="542" t="str" cm="1">
        <f t="array" ref="Q138">IF($O138&lt;&gt;"",-TRANSPOSE(INDEX(getcds('CDO Bespoke'!$C163,Q$13,'CDO Bespoke'!$G163/10000,'CDO Bespoke'!G163,'CDO Bespoke'!$L139,'CDO Bespoke'!$C$13,'CDO Bespoke'!$C$14,'CDO Bespoke'!$C$15,'CDO Bespoke'!$C$8,,,TRUE,TRUE,FALSE,'CDO Bespoke'!$C$29:'CDO Bespoke'!$C$31,'CDO Bespoke'!$C$33),{5})),"")</f>
        <v/>
      </c>
      <c r="R138" s="542" t="str" cm="1">
        <f t="array" ref="R138">IF($O138&lt;&gt;"",-TRANSPOSE(INDEX(getcds('CDO Bespoke'!$C163,R$13,'CDO Bespoke'!$G163/10000,'CDO Bespoke'!H163,'CDO Bespoke'!$L139,'CDO Bespoke'!$C$13,'CDO Bespoke'!$C$14,'CDO Bespoke'!$C$15,'CDO Bespoke'!$C$8,,,TRUE,TRUE,FALSE,'CDO Bespoke'!$C$29:'CDO Bespoke'!$C$31,'CDO Bespoke'!$C$33),{5})),"")</f>
        <v/>
      </c>
      <c r="S138" s="542" t="str" cm="1">
        <f t="array" ref="S138">IF($O138&lt;&gt;"",-TRANSPOSE(INDEX(getcds('CDO Bespoke'!$C163,S$13,'CDO Bespoke'!$G163/10000,'CDO Bespoke'!I163,'CDO Bespoke'!$L139,'CDO Bespoke'!$C$13,'CDO Bespoke'!$C$14,'CDO Bespoke'!$C$15,'CDO Bespoke'!$C$8,,,TRUE,TRUE,FALSE,'CDO Bespoke'!$C$29:'CDO Bespoke'!$C$31,'CDO Bespoke'!$C$33),{5})),"")</f>
        <v/>
      </c>
      <c r="T138" s="514" t="str" cm="1">
        <f t="array" ref="T138">IF($O138&lt;&gt;"",-TRANSPOSE(INDEX(getcds('CDO Bespoke'!$C163,T$13,'CDO Bespoke'!$G163/10000,'CDO Bespoke'!J163,'CDO Bespoke'!$L139,'CDO Bespoke'!$C$13,'CDO Bespoke'!$C$14,'CDO Bespoke'!$C$15,'CDO Bespoke'!$C$8,,,TRUE,TRUE,FALSE,'CDO Bespoke'!$C$29:'CDO Bespoke'!$C$31,'CDO Bespoke'!$C$33),{5})),"")</f>
        <v/>
      </c>
      <c r="U138" s="493"/>
      <c r="V138" s="529"/>
      <c r="W138" s="530"/>
      <c r="X138" s="530"/>
      <c r="Y138" s="530"/>
      <c r="Z138" s="530"/>
      <c r="AA138" s="530"/>
      <c r="AB138" s="530"/>
      <c r="AC138" s="530"/>
      <c r="AD138" s="530"/>
      <c r="AE138" s="531"/>
      <c r="AF138" s="539"/>
    </row>
    <row r="139" spans="6:32" s="281" customFormat="1" ht="12" thickBot="1">
      <c r="F139" s="501" t="str">
        <f>IF('CDO Bespoke'!O140&lt;&gt;"",'CDO Bespoke'!O140,"")</f>
        <v/>
      </c>
      <c r="G139" s="502" t="str">
        <f>IF(F139&lt;&gt;"",ABS(MIN(-0.75*('CDO Bespoke'!Q140+'CDO Bespoke'!T140)+'CDO Bespoke'!T140,0)),"")</f>
        <v/>
      </c>
      <c r="H139" s="502" t="str">
        <f t="shared" si="4"/>
        <v/>
      </c>
      <c r="I139" s="502" t="str">
        <f t="shared" si="7"/>
        <v/>
      </c>
      <c r="J139" s="501" t="str">
        <f>IF('CDO Bespoke'!O140&lt;&gt;"",'CDO Bespoke'!O140,"")</f>
        <v/>
      </c>
      <c r="K139" s="502" t="str">
        <f>IF(J139&lt;&gt;"",ABS(MIN(-0.75*('CDO Bespoke'!K140+'CDO Bespoke'!T140)+'CDO Bespoke'!T140,0)),"")</f>
        <v/>
      </c>
      <c r="L139" s="502" t="str">
        <f t="shared" si="5"/>
        <v/>
      </c>
      <c r="M139" s="506" t="str">
        <f t="shared" si="6"/>
        <v/>
      </c>
      <c r="O139" s="511" t="str">
        <f>IF('CDO Bespoke'!C164&lt;&gt;"",'CDO Bespoke'!C164,"")</f>
        <v/>
      </c>
      <c r="P139" s="513" t="str" cm="1">
        <f t="array" ref="P139">IF($O139&lt;&gt;"",-TRANSPOSE(INDEX(getcds('CDO Bespoke'!$C164,P$13,'CDO Bespoke'!$G164/10000,'CDO Bespoke'!F164,'CDO Bespoke'!$L140,'CDO Bespoke'!$C$13,'CDO Bespoke'!$C$14,'CDO Bespoke'!$C$15,'CDO Bespoke'!$C$8,,,TRUE,TRUE,FALSE,'CDO Bespoke'!$C$29:'CDO Bespoke'!$C$31,'CDO Bespoke'!$C$33),{5})),"")</f>
        <v/>
      </c>
      <c r="Q139" s="542" t="str" cm="1">
        <f t="array" ref="Q139">IF($O139&lt;&gt;"",-TRANSPOSE(INDEX(getcds('CDO Bespoke'!$C164,Q$13,'CDO Bespoke'!$G164/10000,'CDO Bespoke'!G164,'CDO Bespoke'!$L140,'CDO Bespoke'!$C$13,'CDO Bespoke'!$C$14,'CDO Bespoke'!$C$15,'CDO Bespoke'!$C$8,,,TRUE,TRUE,FALSE,'CDO Bespoke'!$C$29:'CDO Bespoke'!$C$31,'CDO Bespoke'!$C$33),{5})),"")</f>
        <v/>
      </c>
      <c r="R139" s="542" t="str" cm="1">
        <f t="array" ref="R139">IF($O139&lt;&gt;"",-TRANSPOSE(INDEX(getcds('CDO Bespoke'!$C164,R$13,'CDO Bespoke'!$G164/10000,'CDO Bespoke'!H164,'CDO Bespoke'!$L140,'CDO Bespoke'!$C$13,'CDO Bespoke'!$C$14,'CDO Bespoke'!$C$15,'CDO Bespoke'!$C$8,,,TRUE,TRUE,FALSE,'CDO Bespoke'!$C$29:'CDO Bespoke'!$C$31,'CDO Bespoke'!$C$33),{5})),"")</f>
        <v/>
      </c>
      <c r="S139" s="542" t="str" cm="1">
        <f t="array" ref="S139">IF($O139&lt;&gt;"",-TRANSPOSE(INDEX(getcds('CDO Bespoke'!$C164,S$13,'CDO Bespoke'!$G164/10000,'CDO Bespoke'!I164,'CDO Bespoke'!$L140,'CDO Bespoke'!$C$13,'CDO Bespoke'!$C$14,'CDO Bespoke'!$C$15,'CDO Bespoke'!$C$8,,,TRUE,TRUE,FALSE,'CDO Bespoke'!$C$29:'CDO Bespoke'!$C$31,'CDO Bespoke'!$C$33),{5})),"")</f>
        <v/>
      </c>
      <c r="T139" s="514" t="str" cm="1">
        <f t="array" ref="T139">IF($O139&lt;&gt;"",-TRANSPOSE(INDEX(getcds('CDO Bespoke'!$C164,T$13,'CDO Bespoke'!$G164/10000,'CDO Bespoke'!J164,'CDO Bespoke'!$L140,'CDO Bespoke'!$C$13,'CDO Bespoke'!$C$14,'CDO Bespoke'!$C$15,'CDO Bespoke'!$C$8,,,TRUE,TRUE,FALSE,'CDO Bespoke'!$C$29:'CDO Bespoke'!$C$31,'CDO Bespoke'!$C$33),{5})),"")</f>
        <v/>
      </c>
      <c r="U139" s="493"/>
      <c r="V139" s="529"/>
      <c r="W139" s="530"/>
      <c r="X139" s="530"/>
      <c r="Y139" s="530"/>
      <c r="Z139" s="530"/>
      <c r="AA139" s="530"/>
      <c r="AB139" s="530"/>
      <c r="AC139" s="530"/>
      <c r="AD139" s="530"/>
      <c r="AE139" s="531"/>
      <c r="AF139" s="539"/>
    </row>
    <row r="140" spans="6:32" s="281" customFormat="1" ht="12" thickBot="1">
      <c r="F140" s="501" t="str">
        <f>IF('CDO Bespoke'!O141&lt;&gt;"",'CDO Bespoke'!O141,"")</f>
        <v/>
      </c>
      <c r="G140" s="502" t="str">
        <f>IF(F140&lt;&gt;"",ABS(MIN(-0.75*('CDO Bespoke'!Q141+'CDO Bespoke'!T141)+'CDO Bespoke'!T141,0)),"")</f>
        <v/>
      </c>
      <c r="H140" s="502" t="str">
        <f t="shared" si="4"/>
        <v/>
      </c>
      <c r="I140" s="502" t="str">
        <f t="shared" si="7"/>
        <v/>
      </c>
      <c r="J140" s="501" t="str">
        <f>IF('CDO Bespoke'!O141&lt;&gt;"",'CDO Bespoke'!O141,"")</f>
        <v/>
      </c>
      <c r="K140" s="502" t="str">
        <f>IF(J140&lt;&gt;"",ABS(MIN(-0.75*('CDO Bespoke'!K141+'CDO Bespoke'!T141)+'CDO Bespoke'!T141,0)),"")</f>
        <v/>
      </c>
      <c r="L140" s="502" t="str">
        <f t="shared" si="5"/>
        <v/>
      </c>
      <c r="M140" s="506" t="str">
        <f t="shared" si="6"/>
        <v/>
      </c>
      <c r="O140" s="511" t="str">
        <f>IF('CDO Bespoke'!C165&lt;&gt;"",'CDO Bespoke'!C165,"")</f>
        <v/>
      </c>
      <c r="P140" s="513" t="str" cm="1">
        <f t="array" ref="P140">IF($O140&lt;&gt;"",-TRANSPOSE(INDEX(getcds('CDO Bespoke'!$C165,P$13,'CDO Bespoke'!$G165/10000,'CDO Bespoke'!F165,'CDO Bespoke'!$L141,'CDO Bespoke'!$C$13,'CDO Bespoke'!$C$14,'CDO Bespoke'!$C$15,'CDO Bespoke'!$C$8,,,TRUE,TRUE,FALSE,'CDO Bespoke'!$C$29:'CDO Bespoke'!$C$31,'CDO Bespoke'!$C$33),{5})),"")</f>
        <v/>
      </c>
      <c r="Q140" s="542" t="str" cm="1">
        <f t="array" ref="Q140">IF($O140&lt;&gt;"",-TRANSPOSE(INDEX(getcds('CDO Bespoke'!$C165,Q$13,'CDO Bespoke'!$G165/10000,'CDO Bespoke'!G165,'CDO Bespoke'!$L141,'CDO Bespoke'!$C$13,'CDO Bespoke'!$C$14,'CDO Bespoke'!$C$15,'CDO Bespoke'!$C$8,,,TRUE,TRUE,FALSE,'CDO Bespoke'!$C$29:'CDO Bespoke'!$C$31,'CDO Bespoke'!$C$33),{5})),"")</f>
        <v/>
      </c>
      <c r="R140" s="542" t="str" cm="1">
        <f t="array" ref="R140">IF($O140&lt;&gt;"",-TRANSPOSE(INDEX(getcds('CDO Bespoke'!$C165,R$13,'CDO Bespoke'!$G165/10000,'CDO Bespoke'!H165,'CDO Bespoke'!$L141,'CDO Bespoke'!$C$13,'CDO Bespoke'!$C$14,'CDO Bespoke'!$C$15,'CDO Bespoke'!$C$8,,,TRUE,TRUE,FALSE,'CDO Bespoke'!$C$29:'CDO Bespoke'!$C$31,'CDO Bespoke'!$C$33),{5})),"")</f>
        <v/>
      </c>
      <c r="S140" s="542" t="str" cm="1">
        <f t="array" ref="S140">IF($O140&lt;&gt;"",-TRANSPOSE(INDEX(getcds('CDO Bespoke'!$C165,S$13,'CDO Bespoke'!$G165/10000,'CDO Bespoke'!I165,'CDO Bespoke'!$L141,'CDO Bespoke'!$C$13,'CDO Bespoke'!$C$14,'CDO Bespoke'!$C$15,'CDO Bespoke'!$C$8,,,TRUE,TRUE,FALSE,'CDO Bespoke'!$C$29:'CDO Bespoke'!$C$31,'CDO Bespoke'!$C$33),{5})),"")</f>
        <v/>
      </c>
      <c r="T140" s="514" t="str" cm="1">
        <f t="array" ref="T140">IF($O140&lt;&gt;"",-TRANSPOSE(INDEX(getcds('CDO Bespoke'!$C165,T$13,'CDO Bespoke'!$G165/10000,'CDO Bespoke'!J165,'CDO Bespoke'!$L141,'CDO Bespoke'!$C$13,'CDO Bespoke'!$C$14,'CDO Bespoke'!$C$15,'CDO Bespoke'!$C$8,,,TRUE,TRUE,FALSE,'CDO Bespoke'!$C$29:'CDO Bespoke'!$C$31,'CDO Bespoke'!$C$33),{5})),"")</f>
        <v/>
      </c>
      <c r="U140" s="493"/>
      <c r="V140" s="529"/>
      <c r="W140" s="530"/>
      <c r="X140" s="530"/>
      <c r="Y140" s="530"/>
      <c r="Z140" s="530"/>
      <c r="AA140" s="530"/>
      <c r="AB140" s="530"/>
      <c r="AC140" s="530"/>
      <c r="AD140" s="530"/>
      <c r="AE140" s="531"/>
      <c r="AF140" s="539"/>
    </row>
    <row r="141" spans="6:32" s="281" customFormat="1" ht="12" thickBot="1">
      <c r="F141" s="501" t="str">
        <f>IF('CDO Bespoke'!O142&lt;&gt;"",'CDO Bespoke'!O142,"")</f>
        <v/>
      </c>
      <c r="G141" s="502" t="str">
        <f>IF(F141&lt;&gt;"",ABS(MIN(-0.75*('CDO Bespoke'!Q142+'CDO Bespoke'!T142)+'CDO Bespoke'!T142,0)),"")</f>
        <v/>
      </c>
      <c r="H141" s="502" t="str">
        <f t="shared" si="4"/>
        <v/>
      </c>
      <c r="I141" s="502" t="str">
        <f t="shared" si="7"/>
        <v/>
      </c>
      <c r="J141" s="501" t="str">
        <f>IF('CDO Bespoke'!O142&lt;&gt;"",'CDO Bespoke'!O142,"")</f>
        <v/>
      </c>
      <c r="K141" s="502" t="str">
        <f>IF(J141&lt;&gt;"",ABS(MIN(-0.75*('CDO Bespoke'!K142+'CDO Bespoke'!T142)+'CDO Bespoke'!T142,0)),"")</f>
        <v/>
      </c>
      <c r="L141" s="502" t="str">
        <f t="shared" si="5"/>
        <v/>
      </c>
      <c r="M141" s="506" t="str">
        <f t="shared" si="6"/>
        <v/>
      </c>
      <c r="O141" s="511" t="str">
        <f>IF('CDO Bespoke'!C166&lt;&gt;"",'CDO Bespoke'!C166,"")</f>
        <v/>
      </c>
      <c r="P141" s="513" t="str" cm="1">
        <f t="array" ref="P141">IF($O141&lt;&gt;"",-TRANSPOSE(INDEX(getcds('CDO Bespoke'!$C166,P$13,'CDO Bespoke'!$G166/10000,'CDO Bespoke'!F166,'CDO Bespoke'!$L142,'CDO Bespoke'!$C$13,'CDO Bespoke'!$C$14,'CDO Bespoke'!$C$15,'CDO Bespoke'!$C$8,,,TRUE,TRUE,FALSE,'CDO Bespoke'!$C$29:'CDO Bespoke'!$C$31,'CDO Bespoke'!$C$33),{5})),"")</f>
        <v/>
      </c>
      <c r="Q141" s="542" t="str" cm="1">
        <f t="array" ref="Q141">IF($O141&lt;&gt;"",-TRANSPOSE(INDEX(getcds('CDO Bespoke'!$C166,Q$13,'CDO Bespoke'!$G166/10000,'CDO Bespoke'!G166,'CDO Bespoke'!$L142,'CDO Bespoke'!$C$13,'CDO Bespoke'!$C$14,'CDO Bespoke'!$C$15,'CDO Bespoke'!$C$8,,,TRUE,TRUE,FALSE,'CDO Bespoke'!$C$29:'CDO Bespoke'!$C$31,'CDO Bespoke'!$C$33),{5})),"")</f>
        <v/>
      </c>
      <c r="R141" s="542" t="str" cm="1">
        <f t="array" ref="R141">IF($O141&lt;&gt;"",-TRANSPOSE(INDEX(getcds('CDO Bespoke'!$C166,R$13,'CDO Bespoke'!$G166/10000,'CDO Bespoke'!H166,'CDO Bespoke'!$L142,'CDO Bespoke'!$C$13,'CDO Bespoke'!$C$14,'CDO Bespoke'!$C$15,'CDO Bespoke'!$C$8,,,TRUE,TRUE,FALSE,'CDO Bespoke'!$C$29:'CDO Bespoke'!$C$31,'CDO Bespoke'!$C$33),{5})),"")</f>
        <v/>
      </c>
      <c r="S141" s="542" t="str" cm="1">
        <f t="array" ref="S141">IF($O141&lt;&gt;"",-TRANSPOSE(INDEX(getcds('CDO Bespoke'!$C166,S$13,'CDO Bespoke'!$G166/10000,'CDO Bespoke'!I166,'CDO Bespoke'!$L142,'CDO Bespoke'!$C$13,'CDO Bespoke'!$C$14,'CDO Bespoke'!$C$15,'CDO Bespoke'!$C$8,,,TRUE,TRUE,FALSE,'CDO Bespoke'!$C$29:'CDO Bespoke'!$C$31,'CDO Bespoke'!$C$33),{5})),"")</f>
        <v/>
      </c>
      <c r="T141" s="514" t="str" cm="1">
        <f t="array" ref="T141">IF($O141&lt;&gt;"",-TRANSPOSE(INDEX(getcds('CDO Bespoke'!$C166,T$13,'CDO Bespoke'!$G166/10000,'CDO Bespoke'!J166,'CDO Bespoke'!$L142,'CDO Bespoke'!$C$13,'CDO Bespoke'!$C$14,'CDO Bespoke'!$C$15,'CDO Bespoke'!$C$8,,,TRUE,TRUE,FALSE,'CDO Bespoke'!$C$29:'CDO Bespoke'!$C$31,'CDO Bespoke'!$C$33),{5})),"")</f>
        <v/>
      </c>
      <c r="U141" s="493"/>
      <c r="V141" s="529"/>
      <c r="W141" s="530"/>
      <c r="X141" s="530"/>
      <c r="Y141" s="530"/>
      <c r="Z141" s="530"/>
      <c r="AA141" s="530"/>
      <c r="AB141" s="530"/>
      <c r="AC141" s="530"/>
      <c r="AD141" s="530"/>
      <c r="AE141" s="531"/>
      <c r="AF141" s="539"/>
    </row>
    <row r="142" spans="6:32" s="281" customFormat="1" ht="12" thickBot="1">
      <c r="F142" s="501" t="str">
        <f>IF('CDO Bespoke'!O143&lt;&gt;"",'CDO Bespoke'!O143,"")</f>
        <v/>
      </c>
      <c r="G142" s="502" t="str">
        <f>IF(F142&lt;&gt;"",ABS(MIN(-0.75*('CDO Bespoke'!Q143+'CDO Bespoke'!T143)+'CDO Bespoke'!T143,0)),"")</f>
        <v/>
      </c>
      <c r="H142" s="502" t="str">
        <f t="shared" si="4"/>
        <v/>
      </c>
      <c r="I142" s="502" t="str">
        <f t="shared" si="7"/>
        <v/>
      </c>
      <c r="J142" s="501" t="str">
        <f>IF('CDO Bespoke'!O143&lt;&gt;"",'CDO Bespoke'!O143,"")</f>
        <v/>
      </c>
      <c r="K142" s="502" t="str">
        <f>IF(J142&lt;&gt;"",ABS(MIN(-0.75*('CDO Bespoke'!K143+'CDO Bespoke'!T143)+'CDO Bespoke'!T143,0)),"")</f>
        <v/>
      </c>
      <c r="L142" s="502" t="str">
        <f t="shared" si="5"/>
        <v/>
      </c>
      <c r="M142" s="506" t="str">
        <f t="shared" si="6"/>
        <v/>
      </c>
      <c r="O142" s="511" t="str">
        <f>IF('CDO Bespoke'!C167&lt;&gt;"",'CDO Bespoke'!C167,"")</f>
        <v/>
      </c>
      <c r="P142" s="513" t="str" cm="1">
        <f t="array" ref="P142">IF($O142&lt;&gt;"",-TRANSPOSE(INDEX(getcds('CDO Bespoke'!$C167,P$13,'CDO Bespoke'!$G167/10000,'CDO Bespoke'!F167,'CDO Bespoke'!$L143,'CDO Bespoke'!$C$13,'CDO Bespoke'!$C$14,'CDO Bespoke'!$C$15,'CDO Bespoke'!$C$8,,,TRUE,TRUE,FALSE,'CDO Bespoke'!$C$29:'CDO Bespoke'!$C$31,'CDO Bespoke'!$C$33),{5})),"")</f>
        <v/>
      </c>
      <c r="Q142" s="542" t="str" cm="1">
        <f t="array" ref="Q142">IF($O142&lt;&gt;"",-TRANSPOSE(INDEX(getcds('CDO Bespoke'!$C167,Q$13,'CDO Bespoke'!$G167/10000,'CDO Bespoke'!G167,'CDO Bespoke'!$L143,'CDO Bespoke'!$C$13,'CDO Bespoke'!$C$14,'CDO Bespoke'!$C$15,'CDO Bespoke'!$C$8,,,TRUE,TRUE,FALSE,'CDO Bespoke'!$C$29:'CDO Bespoke'!$C$31,'CDO Bespoke'!$C$33),{5})),"")</f>
        <v/>
      </c>
      <c r="R142" s="542" t="str" cm="1">
        <f t="array" ref="R142">IF($O142&lt;&gt;"",-TRANSPOSE(INDEX(getcds('CDO Bespoke'!$C167,R$13,'CDO Bespoke'!$G167/10000,'CDO Bespoke'!H167,'CDO Bespoke'!$L143,'CDO Bespoke'!$C$13,'CDO Bespoke'!$C$14,'CDO Bespoke'!$C$15,'CDO Bespoke'!$C$8,,,TRUE,TRUE,FALSE,'CDO Bespoke'!$C$29:'CDO Bespoke'!$C$31,'CDO Bespoke'!$C$33),{5})),"")</f>
        <v/>
      </c>
      <c r="S142" s="542" t="str" cm="1">
        <f t="array" ref="S142">IF($O142&lt;&gt;"",-TRANSPOSE(INDEX(getcds('CDO Bespoke'!$C167,S$13,'CDO Bespoke'!$G167/10000,'CDO Bespoke'!I167,'CDO Bespoke'!$L143,'CDO Bespoke'!$C$13,'CDO Bespoke'!$C$14,'CDO Bespoke'!$C$15,'CDO Bespoke'!$C$8,,,TRUE,TRUE,FALSE,'CDO Bespoke'!$C$29:'CDO Bespoke'!$C$31,'CDO Bespoke'!$C$33),{5})),"")</f>
        <v/>
      </c>
      <c r="T142" s="514" t="str" cm="1">
        <f t="array" ref="T142">IF($O142&lt;&gt;"",-TRANSPOSE(INDEX(getcds('CDO Bespoke'!$C167,T$13,'CDO Bespoke'!$G167/10000,'CDO Bespoke'!J167,'CDO Bespoke'!$L143,'CDO Bespoke'!$C$13,'CDO Bespoke'!$C$14,'CDO Bespoke'!$C$15,'CDO Bespoke'!$C$8,,,TRUE,TRUE,FALSE,'CDO Bespoke'!$C$29:'CDO Bespoke'!$C$31,'CDO Bespoke'!$C$33),{5})),"")</f>
        <v/>
      </c>
      <c r="U142" s="493"/>
      <c r="V142" s="529"/>
      <c r="W142" s="530"/>
      <c r="X142" s="530"/>
      <c r="Y142" s="530"/>
      <c r="Z142" s="530"/>
      <c r="AA142" s="530"/>
      <c r="AB142" s="530"/>
      <c r="AC142" s="530"/>
      <c r="AD142" s="530"/>
      <c r="AE142" s="531"/>
      <c r="AF142" s="539"/>
    </row>
    <row r="143" spans="6:32" s="281" customFormat="1" ht="12" thickBot="1">
      <c r="F143" s="501" t="str">
        <f>IF('CDO Bespoke'!O144&lt;&gt;"",'CDO Bespoke'!O144,"")</f>
        <v/>
      </c>
      <c r="G143" s="502" t="str">
        <f>IF(F143&lt;&gt;"",ABS(MIN(-0.75*('CDO Bespoke'!Q144+'CDO Bespoke'!T144)+'CDO Bespoke'!T144,0)),"")</f>
        <v/>
      </c>
      <c r="H143" s="502" t="str">
        <f t="shared" ref="H143:H206" si="8">IF(F143&lt;&gt;"",IF($G$8,MAX(F143-G143,0),F143),"")</f>
        <v/>
      </c>
      <c r="I143" s="502" t="str">
        <f t="shared" si="7"/>
        <v/>
      </c>
      <c r="J143" s="501" t="str">
        <f>IF('CDO Bespoke'!O144&lt;&gt;"",'CDO Bespoke'!O144,"")</f>
        <v/>
      </c>
      <c r="K143" s="502" t="str">
        <f>IF(J143&lt;&gt;"",ABS(MIN(-0.75*('CDO Bespoke'!K144+'CDO Bespoke'!T144)+'CDO Bespoke'!T144,0)),"")</f>
        <v/>
      </c>
      <c r="L143" s="502" t="str">
        <f t="shared" ref="L143:L206" si="9">IF(J143&lt;&gt;"",IF($G$8,MAX(J143-K143,0),J143),"")</f>
        <v/>
      </c>
      <c r="M143" s="506" t="str">
        <f t="shared" ref="M143:M206" si="10">IF(J143&lt;&gt;"",IF($G$8,0,K143),"")</f>
        <v/>
      </c>
      <c r="O143" s="511" t="str">
        <f>IF('CDO Bespoke'!C168&lt;&gt;"",'CDO Bespoke'!C168,"")</f>
        <v/>
      </c>
      <c r="P143" s="513" t="str" cm="1">
        <f t="array" ref="P143">IF($O143&lt;&gt;"",-TRANSPOSE(INDEX(getcds('CDO Bespoke'!$C168,P$13,'CDO Bespoke'!$G168/10000,'CDO Bespoke'!F168,'CDO Bespoke'!$L144,'CDO Bespoke'!$C$13,'CDO Bespoke'!$C$14,'CDO Bespoke'!$C$15,'CDO Bespoke'!$C$8,,,TRUE,TRUE,FALSE,'CDO Bespoke'!$C$29:'CDO Bespoke'!$C$31,'CDO Bespoke'!$C$33),{5})),"")</f>
        <v/>
      </c>
      <c r="Q143" s="542" t="str" cm="1">
        <f t="array" ref="Q143">IF($O143&lt;&gt;"",-TRANSPOSE(INDEX(getcds('CDO Bespoke'!$C168,Q$13,'CDO Bespoke'!$G168/10000,'CDO Bespoke'!G168,'CDO Bespoke'!$L144,'CDO Bespoke'!$C$13,'CDO Bespoke'!$C$14,'CDO Bespoke'!$C$15,'CDO Bespoke'!$C$8,,,TRUE,TRUE,FALSE,'CDO Bespoke'!$C$29:'CDO Bespoke'!$C$31,'CDO Bespoke'!$C$33),{5})),"")</f>
        <v/>
      </c>
      <c r="R143" s="542" t="str" cm="1">
        <f t="array" ref="R143">IF($O143&lt;&gt;"",-TRANSPOSE(INDEX(getcds('CDO Bespoke'!$C168,R$13,'CDO Bespoke'!$G168/10000,'CDO Bespoke'!H168,'CDO Bespoke'!$L144,'CDO Bespoke'!$C$13,'CDO Bespoke'!$C$14,'CDO Bespoke'!$C$15,'CDO Bespoke'!$C$8,,,TRUE,TRUE,FALSE,'CDO Bespoke'!$C$29:'CDO Bespoke'!$C$31,'CDO Bespoke'!$C$33),{5})),"")</f>
        <v/>
      </c>
      <c r="S143" s="542" t="str" cm="1">
        <f t="array" ref="S143">IF($O143&lt;&gt;"",-TRANSPOSE(INDEX(getcds('CDO Bespoke'!$C168,S$13,'CDO Bespoke'!$G168/10000,'CDO Bespoke'!I168,'CDO Bespoke'!$L144,'CDO Bespoke'!$C$13,'CDO Bespoke'!$C$14,'CDO Bespoke'!$C$15,'CDO Bespoke'!$C$8,,,TRUE,TRUE,FALSE,'CDO Bespoke'!$C$29:'CDO Bespoke'!$C$31,'CDO Bespoke'!$C$33),{5})),"")</f>
        <v/>
      </c>
      <c r="T143" s="514" t="str" cm="1">
        <f t="array" ref="T143">IF($O143&lt;&gt;"",-TRANSPOSE(INDEX(getcds('CDO Bespoke'!$C168,T$13,'CDO Bespoke'!$G168/10000,'CDO Bespoke'!J168,'CDO Bespoke'!$L144,'CDO Bespoke'!$C$13,'CDO Bespoke'!$C$14,'CDO Bespoke'!$C$15,'CDO Bespoke'!$C$8,,,TRUE,TRUE,FALSE,'CDO Bespoke'!$C$29:'CDO Bespoke'!$C$31,'CDO Bespoke'!$C$33),{5})),"")</f>
        <v/>
      </c>
      <c r="U143" s="493"/>
      <c r="V143" s="529"/>
      <c r="W143" s="530"/>
      <c r="X143" s="530"/>
      <c r="Y143" s="530"/>
      <c r="Z143" s="530"/>
      <c r="AA143" s="530"/>
      <c r="AB143" s="530"/>
      <c r="AC143" s="530"/>
      <c r="AD143" s="530"/>
      <c r="AE143" s="531"/>
      <c r="AF143" s="539"/>
    </row>
    <row r="144" spans="6:32" s="281" customFormat="1" ht="12" thickBot="1">
      <c r="F144" s="501" t="str">
        <f>IF('CDO Bespoke'!O145&lt;&gt;"",'CDO Bespoke'!O145,"")</f>
        <v/>
      </c>
      <c r="G144" s="502" t="str">
        <f>IF(F144&lt;&gt;"",ABS(MIN(-0.75*('CDO Bespoke'!Q145+'CDO Bespoke'!T145)+'CDO Bespoke'!T145,0)),"")</f>
        <v/>
      </c>
      <c r="H144" s="502" t="str">
        <f t="shared" si="8"/>
        <v/>
      </c>
      <c r="I144" s="502" t="str">
        <f t="shared" ref="I144:I207" si="11">IF(F144&lt;&gt;"",IF($G$8,0,G144),"")</f>
        <v/>
      </c>
      <c r="J144" s="501" t="str">
        <f>IF('CDO Bespoke'!O145&lt;&gt;"",'CDO Bespoke'!O145,"")</f>
        <v/>
      </c>
      <c r="K144" s="502" t="str">
        <f>IF(J144&lt;&gt;"",ABS(MIN(-0.75*('CDO Bespoke'!K145+'CDO Bespoke'!T145)+'CDO Bespoke'!T145,0)),"")</f>
        <v/>
      </c>
      <c r="L144" s="502" t="str">
        <f t="shared" si="9"/>
        <v/>
      </c>
      <c r="M144" s="506" t="str">
        <f t="shared" si="10"/>
        <v/>
      </c>
      <c r="O144" s="511" t="str">
        <f>IF('CDO Bespoke'!C169&lt;&gt;"",'CDO Bespoke'!C169,"")</f>
        <v/>
      </c>
      <c r="P144" s="513" t="str" cm="1">
        <f t="array" ref="P144">IF($O144&lt;&gt;"",-TRANSPOSE(INDEX(getcds('CDO Bespoke'!$C169,P$13,'CDO Bespoke'!$G169/10000,'CDO Bespoke'!F169,'CDO Bespoke'!$L145,'CDO Bespoke'!$C$13,'CDO Bespoke'!$C$14,'CDO Bespoke'!$C$15,'CDO Bespoke'!$C$8,,,TRUE,TRUE,FALSE,'CDO Bespoke'!$C$29:'CDO Bespoke'!$C$31,'CDO Bespoke'!$C$33),{5})),"")</f>
        <v/>
      </c>
      <c r="Q144" s="542" t="str" cm="1">
        <f t="array" ref="Q144">IF($O144&lt;&gt;"",-TRANSPOSE(INDEX(getcds('CDO Bespoke'!$C169,Q$13,'CDO Bespoke'!$G169/10000,'CDO Bespoke'!G169,'CDO Bespoke'!$L145,'CDO Bespoke'!$C$13,'CDO Bespoke'!$C$14,'CDO Bespoke'!$C$15,'CDO Bespoke'!$C$8,,,TRUE,TRUE,FALSE,'CDO Bespoke'!$C$29:'CDO Bespoke'!$C$31,'CDO Bespoke'!$C$33),{5})),"")</f>
        <v/>
      </c>
      <c r="R144" s="542" t="str" cm="1">
        <f t="array" ref="R144">IF($O144&lt;&gt;"",-TRANSPOSE(INDEX(getcds('CDO Bespoke'!$C169,R$13,'CDO Bespoke'!$G169/10000,'CDO Bespoke'!H169,'CDO Bespoke'!$L145,'CDO Bespoke'!$C$13,'CDO Bespoke'!$C$14,'CDO Bespoke'!$C$15,'CDO Bespoke'!$C$8,,,TRUE,TRUE,FALSE,'CDO Bespoke'!$C$29:'CDO Bespoke'!$C$31,'CDO Bespoke'!$C$33),{5})),"")</f>
        <v/>
      </c>
      <c r="S144" s="542" t="str" cm="1">
        <f t="array" ref="S144">IF($O144&lt;&gt;"",-TRANSPOSE(INDEX(getcds('CDO Bespoke'!$C169,S$13,'CDO Bespoke'!$G169/10000,'CDO Bespoke'!I169,'CDO Bespoke'!$L145,'CDO Bespoke'!$C$13,'CDO Bespoke'!$C$14,'CDO Bespoke'!$C$15,'CDO Bespoke'!$C$8,,,TRUE,TRUE,FALSE,'CDO Bespoke'!$C$29:'CDO Bespoke'!$C$31,'CDO Bespoke'!$C$33),{5})),"")</f>
        <v/>
      </c>
      <c r="T144" s="514" t="str" cm="1">
        <f t="array" ref="T144">IF($O144&lt;&gt;"",-TRANSPOSE(INDEX(getcds('CDO Bespoke'!$C169,T$13,'CDO Bespoke'!$G169/10000,'CDO Bespoke'!J169,'CDO Bespoke'!$L145,'CDO Bespoke'!$C$13,'CDO Bespoke'!$C$14,'CDO Bespoke'!$C$15,'CDO Bespoke'!$C$8,,,TRUE,TRUE,FALSE,'CDO Bespoke'!$C$29:'CDO Bespoke'!$C$31,'CDO Bespoke'!$C$33),{5})),"")</f>
        <v/>
      </c>
      <c r="U144" s="493"/>
      <c r="V144" s="529"/>
      <c r="W144" s="530"/>
      <c r="X144" s="530"/>
      <c r="Y144" s="530"/>
      <c r="Z144" s="530"/>
      <c r="AA144" s="530"/>
      <c r="AB144" s="530"/>
      <c r="AC144" s="530"/>
      <c r="AD144" s="530"/>
      <c r="AE144" s="531"/>
      <c r="AF144" s="539"/>
    </row>
    <row r="145" spans="6:32" s="281" customFormat="1" ht="12" thickBot="1">
      <c r="F145" s="501" t="str">
        <f>IF('CDO Bespoke'!O146&lt;&gt;"",'CDO Bespoke'!O146,"")</f>
        <v/>
      </c>
      <c r="G145" s="502" t="str">
        <f>IF(F145&lt;&gt;"",ABS(MIN(-0.75*('CDO Bespoke'!Q146+'CDO Bespoke'!T146)+'CDO Bespoke'!T146,0)),"")</f>
        <v/>
      </c>
      <c r="H145" s="502" t="str">
        <f t="shared" si="8"/>
        <v/>
      </c>
      <c r="I145" s="502" t="str">
        <f t="shared" si="11"/>
        <v/>
      </c>
      <c r="J145" s="501" t="str">
        <f>IF('CDO Bespoke'!O146&lt;&gt;"",'CDO Bespoke'!O146,"")</f>
        <v/>
      </c>
      <c r="K145" s="502" t="str">
        <f>IF(J145&lt;&gt;"",ABS(MIN(-0.75*('CDO Bespoke'!K146+'CDO Bespoke'!T146)+'CDO Bespoke'!T146,0)),"")</f>
        <v/>
      </c>
      <c r="L145" s="502" t="str">
        <f t="shared" si="9"/>
        <v/>
      </c>
      <c r="M145" s="506" t="str">
        <f t="shared" si="10"/>
        <v/>
      </c>
      <c r="O145" s="511" t="str">
        <f>IF('CDO Bespoke'!C170&lt;&gt;"",'CDO Bespoke'!C170,"")</f>
        <v/>
      </c>
      <c r="P145" s="513" t="str" cm="1">
        <f t="array" ref="P145">IF($O145&lt;&gt;"",-TRANSPOSE(INDEX(getcds('CDO Bespoke'!$C170,P$13,'CDO Bespoke'!$G170/10000,'CDO Bespoke'!F170,'CDO Bespoke'!$L146,'CDO Bespoke'!$C$13,'CDO Bespoke'!$C$14,'CDO Bespoke'!$C$15,'CDO Bespoke'!$C$8,,,TRUE,TRUE,FALSE,'CDO Bespoke'!$C$29:'CDO Bespoke'!$C$31,'CDO Bespoke'!$C$33),{5})),"")</f>
        <v/>
      </c>
      <c r="Q145" s="542" t="str" cm="1">
        <f t="array" ref="Q145">IF($O145&lt;&gt;"",-TRANSPOSE(INDEX(getcds('CDO Bespoke'!$C170,Q$13,'CDO Bespoke'!$G170/10000,'CDO Bespoke'!G170,'CDO Bespoke'!$L146,'CDO Bespoke'!$C$13,'CDO Bespoke'!$C$14,'CDO Bespoke'!$C$15,'CDO Bespoke'!$C$8,,,TRUE,TRUE,FALSE,'CDO Bespoke'!$C$29:'CDO Bespoke'!$C$31,'CDO Bespoke'!$C$33),{5})),"")</f>
        <v/>
      </c>
      <c r="R145" s="542" t="str" cm="1">
        <f t="array" ref="R145">IF($O145&lt;&gt;"",-TRANSPOSE(INDEX(getcds('CDO Bespoke'!$C170,R$13,'CDO Bespoke'!$G170/10000,'CDO Bespoke'!H170,'CDO Bespoke'!$L146,'CDO Bespoke'!$C$13,'CDO Bespoke'!$C$14,'CDO Bespoke'!$C$15,'CDO Bespoke'!$C$8,,,TRUE,TRUE,FALSE,'CDO Bespoke'!$C$29:'CDO Bespoke'!$C$31,'CDO Bespoke'!$C$33),{5})),"")</f>
        <v/>
      </c>
      <c r="S145" s="542" t="str" cm="1">
        <f t="array" ref="S145">IF($O145&lt;&gt;"",-TRANSPOSE(INDEX(getcds('CDO Bespoke'!$C170,S$13,'CDO Bespoke'!$G170/10000,'CDO Bespoke'!I170,'CDO Bespoke'!$L146,'CDO Bespoke'!$C$13,'CDO Bespoke'!$C$14,'CDO Bespoke'!$C$15,'CDO Bespoke'!$C$8,,,TRUE,TRUE,FALSE,'CDO Bespoke'!$C$29:'CDO Bespoke'!$C$31,'CDO Bespoke'!$C$33),{5})),"")</f>
        <v/>
      </c>
      <c r="T145" s="514" t="str" cm="1">
        <f t="array" ref="T145">IF($O145&lt;&gt;"",-TRANSPOSE(INDEX(getcds('CDO Bespoke'!$C170,T$13,'CDO Bespoke'!$G170/10000,'CDO Bespoke'!J170,'CDO Bespoke'!$L146,'CDO Bespoke'!$C$13,'CDO Bespoke'!$C$14,'CDO Bespoke'!$C$15,'CDO Bespoke'!$C$8,,,TRUE,TRUE,FALSE,'CDO Bespoke'!$C$29:'CDO Bespoke'!$C$31,'CDO Bespoke'!$C$33),{5})),"")</f>
        <v/>
      </c>
      <c r="U145" s="493"/>
      <c r="V145" s="529"/>
      <c r="W145" s="530"/>
      <c r="X145" s="530"/>
      <c r="Y145" s="530"/>
      <c r="Z145" s="530"/>
      <c r="AA145" s="530"/>
      <c r="AB145" s="530"/>
      <c r="AC145" s="530"/>
      <c r="AD145" s="530"/>
      <c r="AE145" s="531"/>
      <c r="AF145" s="539"/>
    </row>
    <row r="146" spans="6:32" s="281" customFormat="1" ht="12" thickBot="1">
      <c r="F146" s="501" t="str">
        <f>IF('CDO Bespoke'!O147&lt;&gt;"",'CDO Bespoke'!O147,"")</f>
        <v/>
      </c>
      <c r="G146" s="502" t="str">
        <f>IF(F146&lt;&gt;"",ABS(MIN(-0.75*('CDO Bespoke'!Q147+'CDO Bespoke'!T147)+'CDO Bespoke'!T147,0)),"")</f>
        <v/>
      </c>
      <c r="H146" s="502" t="str">
        <f t="shared" si="8"/>
        <v/>
      </c>
      <c r="I146" s="502" t="str">
        <f t="shared" si="11"/>
        <v/>
      </c>
      <c r="J146" s="501" t="str">
        <f>IF('CDO Bespoke'!O147&lt;&gt;"",'CDO Bespoke'!O147,"")</f>
        <v/>
      </c>
      <c r="K146" s="502" t="str">
        <f>IF(J146&lt;&gt;"",ABS(MIN(-0.75*('CDO Bespoke'!K147+'CDO Bespoke'!T147)+'CDO Bespoke'!T147,0)),"")</f>
        <v/>
      </c>
      <c r="L146" s="502" t="str">
        <f t="shared" si="9"/>
        <v/>
      </c>
      <c r="M146" s="506" t="str">
        <f t="shared" si="10"/>
        <v/>
      </c>
      <c r="O146" s="511" t="str">
        <f>IF('CDO Bespoke'!C171&lt;&gt;"",'CDO Bespoke'!C171,"")</f>
        <v/>
      </c>
      <c r="P146" s="513" t="str" cm="1">
        <f t="array" ref="P146">IF($O146&lt;&gt;"",-TRANSPOSE(INDEX(getcds('CDO Bespoke'!$C171,P$13,'CDO Bespoke'!$G171/10000,'CDO Bespoke'!F171,'CDO Bespoke'!$L147,'CDO Bespoke'!$C$13,'CDO Bespoke'!$C$14,'CDO Bespoke'!$C$15,'CDO Bespoke'!$C$8,,,TRUE,TRUE,FALSE,'CDO Bespoke'!$C$29:'CDO Bespoke'!$C$31,'CDO Bespoke'!$C$33),{5})),"")</f>
        <v/>
      </c>
      <c r="Q146" s="542" t="str" cm="1">
        <f t="array" ref="Q146">IF($O146&lt;&gt;"",-TRANSPOSE(INDEX(getcds('CDO Bespoke'!$C171,Q$13,'CDO Bespoke'!$G171/10000,'CDO Bespoke'!G171,'CDO Bespoke'!$L147,'CDO Bespoke'!$C$13,'CDO Bespoke'!$C$14,'CDO Bespoke'!$C$15,'CDO Bespoke'!$C$8,,,TRUE,TRUE,FALSE,'CDO Bespoke'!$C$29:'CDO Bespoke'!$C$31,'CDO Bespoke'!$C$33),{5})),"")</f>
        <v/>
      </c>
      <c r="R146" s="542" t="str" cm="1">
        <f t="array" ref="R146">IF($O146&lt;&gt;"",-TRANSPOSE(INDEX(getcds('CDO Bespoke'!$C171,R$13,'CDO Bespoke'!$G171/10000,'CDO Bespoke'!H171,'CDO Bespoke'!$L147,'CDO Bespoke'!$C$13,'CDO Bespoke'!$C$14,'CDO Bespoke'!$C$15,'CDO Bespoke'!$C$8,,,TRUE,TRUE,FALSE,'CDO Bespoke'!$C$29:'CDO Bespoke'!$C$31,'CDO Bespoke'!$C$33),{5})),"")</f>
        <v/>
      </c>
      <c r="S146" s="542" t="str" cm="1">
        <f t="array" ref="S146">IF($O146&lt;&gt;"",-TRANSPOSE(INDEX(getcds('CDO Bespoke'!$C171,S$13,'CDO Bespoke'!$G171/10000,'CDO Bespoke'!I171,'CDO Bespoke'!$L147,'CDO Bespoke'!$C$13,'CDO Bespoke'!$C$14,'CDO Bespoke'!$C$15,'CDO Bespoke'!$C$8,,,TRUE,TRUE,FALSE,'CDO Bespoke'!$C$29:'CDO Bespoke'!$C$31,'CDO Bespoke'!$C$33),{5})),"")</f>
        <v/>
      </c>
      <c r="T146" s="514" t="str" cm="1">
        <f t="array" ref="T146">IF($O146&lt;&gt;"",-TRANSPOSE(INDEX(getcds('CDO Bespoke'!$C171,T$13,'CDO Bespoke'!$G171/10000,'CDO Bespoke'!J171,'CDO Bespoke'!$L147,'CDO Bespoke'!$C$13,'CDO Bespoke'!$C$14,'CDO Bespoke'!$C$15,'CDO Bespoke'!$C$8,,,TRUE,TRUE,FALSE,'CDO Bespoke'!$C$29:'CDO Bespoke'!$C$31,'CDO Bespoke'!$C$33),{5})),"")</f>
        <v/>
      </c>
      <c r="U146" s="493"/>
      <c r="V146" s="529"/>
      <c r="W146" s="530"/>
      <c r="X146" s="530"/>
      <c r="Y146" s="530"/>
      <c r="Z146" s="530"/>
      <c r="AA146" s="530"/>
      <c r="AB146" s="530"/>
      <c r="AC146" s="530"/>
      <c r="AD146" s="530"/>
      <c r="AE146" s="531"/>
      <c r="AF146" s="539"/>
    </row>
    <row r="147" spans="6:32" s="281" customFormat="1" ht="12" thickBot="1">
      <c r="F147" s="501" t="str">
        <f>IF('CDO Bespoke'!O148&lt;&gt;"",'CDO Bespoke'!O148,"")</f>
        <v/>
      </c>
      <c r="G147" s="502" t="str">
        <f>IF(F147&lt;&gt;"",ABS(MIN(-0.75*('CDO Bespoke'!Q148+'CDO Bespoke'!T148)+'CDO Bespoke'!T148,0)),"")</f>
        <v/>
      </c>
      <c r="H147" s="502" t="str">
        <f t="shared" si="8"/>
        <v/>
      </c>
      <c r="I147" s="502" t="str">
        <f t="shared" si="11"/>
        <v/>
      </c>
      <c r="J147" s="501" t="str">
        <f>IF('CDO Bespoke'!O148&lt;&gt;"",'CDO Bespoke'!O148,"")</f>
        <v/>
      </c>
      <c r="K147" s="502" t="str">
        <f>IF(J147&lt;&gt;"",ABS(MIN(-0.75*('CDO Bespoke'!K148+'CDO Bespoke'!T148)+'CDO Bespoke'!T148,0)),"")</f>
        <v/>
      </c>
      <c r="L147" s="502" t="str">
        <f t="shared" si="9"/>
        <v/>
      </c>
      <c r="M147" s="506" t="str">
        <f t="shared" si="10"/>
        <v/>
      </c>
      <c r="O147" s="511" t="str">
        <f>IF('CDO Bespoke'!C172&lt;&gt;"",'CDO Bespoke'!C172,"")</f>
        <v/>
      </c>
      <c r="P147" s="513" t="str" cm="1">
        <f t="array" ref="P147">IF($O147&lt;&gt;"",-TRANSPOSE(INDEX(getcds('CDO Bespoke'!$C172,P$13,'CDO Bespoke'!$G172/10000,'CDO Bespoke'!F172,'CDO Bespoke'!$L148,'CDO Bespoke'!$C$13,'CDO Bespoke'!$C$14,'CDO Bespoke'!$C$15,'CDO Bespoke'!$C$8,,,TRUE,TRUE,FALSE,'CDO Bespoke'!$C$29:'CDO Bespoke'!$C$31,'CDO Bespoke'!$C$33),{5})),"")</f>
        <v/>
      </c>
      <c r="Q147" s="542" t="str" cm="1">
        <f t="array" ref="Q147">IF($O147&lt;&gt;"",-TRANSPOSE(INDEX(getcds('CDO Bespoke'!$C172,Q$13,'CDO Bespoke'!$G172/10000,'CDO Bespoke'!G172,'CDO Bespoke'!$L148,'CDO Bespoke'!$C$13,'CDO Bespoke'!$C$14,'CDO Bespoke'!$C$15,'CDO Bespoke'!$C$8,,,TRUE,TRUE,FALSE,'CDO Bespoke'!$C$29:'CDO Bespoke'!$C$31,'CDO Bespoke'!$C$33),{5})),"")</f>
        <v/>
      </c>
      <c r="R147" s="542" t="str" cm="1">
        <f t="array" ref="R147">IF($O147&lt;&gt;"",-TRANSPOSE(INDEX(getcds('CDO Bespoke'!$C172,R$13,'CDO Bespoke'!$G172/10000,'CDO Bespoke'!H172,'CDO Bespoke'!$L148,'CDO Bespoke'!$C$13,'CDO Bespoke'!$C$14,'CDO Bespoke'!$C$15,'CDO Bespoke'!$C$8,,,TRUE,TRUE,FALSE,'CDO Bespoke'!$C$29:'CDO Bespoke'!$C$31,'CDO Bespoke'!$C$33),{5})),"")</f>
        <v/>
      </c>
      <c r="S147" s="542" t="str" cm="1">
        <f t="array" ref="S147">IF($O147&lt;&gt;"",-TRANSPOSE(INDEX(getcds('CDO Bespoke'!$C172,S$13,'CDO Bespoke'!$G172/10000,'CDO Bespoke'!I172,'CDO Bespoke'!$L148,'CDO Bespoke'!$C$13,'CDO Bespoke'!$C$14,'CDO Bespoke'!$C$15,'CDO Bespoke'!$C$8,,,TRUE,TRUE,FALSE,'CDO Bespoke'!$C$29:'CDO Bespoke'!$C$31,'CDO Bespoke'!$C$33),{5})),"")</f>
        <v/>
      </c>
      <c r="T147" s="514" t="str" cm="1">
        <f t="array" ref="T147">IF($O147&lt;&gt;"",-TRANSPOSE(INDEX(getcds('CDO Bespoke'!$C172,T$13,'CDO Bespoke'!$G172/10000,'CDO Bespoke'!J172,'CDO Bespoke'!$L148,'CDO Bespoke'!$C$13,'CDO Bespoke'!$C$14,'CDO Bespoke'!$C$15,'CDO Bespoke'!$C$8,,,TRUE,TRUE,FALSE,'CDO Bespoke'!$C$29:'CDO Bespoke'!$C$31,'CDO Bespoke'!$C$33),{5})),"")</f>
        <v/>
      </c>
      <c r="U147" s="493"/>
      <c r="V147" s="529"/>
      <c r="W147" s="530"/>
      <c r="X147" s="530"/>
      <c r="Y147" s="530"/>
      <c r="Z147" s="530"/>
      <c r="AA147" s="530"/>
      <c r="AB147" s="530"/>
      <c r="AC147" s="530"/>
      <c r="AD147" s="530"/>
      <c r="AE147" s="531"/>
      <c r="AF147" s="539"/>
    </row>
    <row r="148" spans="6:32" s="281" customFormat="1" ht="12" thickBot="1">
      <c r="F148" s="501" t="str">
        <f>IF('CDO Bespoke'!O149&lt;&gt;"",'CDO Bespoke'!O149,"")</f>
        <v/>
      </c>
      <c r="G148" s="502" t="str">
        <f>IF(F148&lt;&gt;"",ABS(MIN(-0.75*('CDO Bespoke'!Q149+'CDO Bespoke'!T149)+'CDO Bespoke'!T149,0)),"")</f>
        <v/>
      </c>
      <c r="H148" s="502" t="str">
        <f t="shared" si="8"/>
        <v/>
      </c>
      <c r="I148" s="502" t="str">
        <f t="shared" si="11"/>
        <v/>
      </c>
      <c r="J148" s="501" t="str">
        <f>IF('CDO Bespoke'!O149&lt;&gt;"",'CDO Bespoke'!O149,"")</f>
        <v/>
      </c>
      <c r="K148" s="502" t="str">
        <f>IF(J148&lt;&gt;"",ABS(MIN(-0.75*('CDO Bespoke'!K149+'CDO Bespoke'!T149)+'CDO Bespoke'!T149,0)),"")</f>
        <v/>
      </c>
      <c r="L148" s="502" t="str">
        <f t="shared" si="9"/>
        <v/>
      </c>
      <c r="M148" s="506" t="str">
        <f t="shared" si="10"/>
        <v/>
      </c>
      <c r="O148" s="511" t="str">
        <f>IF('CDO Bespoke'!C173&lt;&gt;"",'CDO Bespoke'!C173,"")</f>
        <v/>
      </c>
      <c r="P148" s="513" t="str" cm="1">
        <f t="array" ref="P148">IF($O148&lt;&gt;"",-TRANSPOSE(INDEX(getcds('CDO Bespoke'!$C173,P$13,'CDO Bespoke'!$G173/10000,'CDO Bespoke'!F173,'CDO Bespoke'!$L149,'CDO Bespoke'!$C$13,'CDO Bespoke'!$C$14,'CDO Bespoke'!$C$15,'CDO Bespoke'!$C$8,,,TRUE,TRUE,FALSE,'CDO Bespoke'!$C$29:'CDO Bespoke'!$C$31,'CDO Bespoke'!$C$33),{5})),"")</f>
        <v/>
      </c>
      <c r="Q148" s="542" t="str" cm="1">
        <f t="array" ref="Q148">IF($O148&lt;&gt;"",-TRANSPOSE(INDEX(getcds('CDO Bespoke'!$C173,Q$13,'CDO Bespoke'!$G173/10000,'CDO Bespoke'!G173,'CDO Bespoke'!$L149,'CDO Bespoke'!$C$13,'CDO Bespoke'!$C$14,'CDO Bespoke'!$C$15,'CDO Bespoke'!$C$8,,,TRUE,TRUE,FALSE,'CDO Bespoke'!$C$29:'CDO Bespoke'!$C$31,'CDO Bespoke'!$C$33),{5})),"")</f>
        <v/>
      </c>
      <c r="R148" s="542" t="str" cm="1">
        <f t="array" ref="R148">IF($O148&lt;&gt;"",-TRANSPOSE(INDEX(getcds('CDO Bespoke'!$C173,R$13,'CDO Bespoke'!$G173/10000,'CDO Bespoke'!H173,'CDO Bespoke'!$L149,'CDO Bespoke'!$C$13,'CDO Bespoke'!$C$14,'CDO Bespoke'!$C$15,'CDO Bespoke'!$C$8,,,TRUE,TRUE,FALSE,'CDO Bespoke'!$C$29:'CDO Bespoke'!$C$31,'CDO Bespoke'!$C$33),{5})),"")</f>
        <v/>
      </c>
      <c r="S148" s="542" t="str" cm="1">
        <f t="array" ref="S148">IF($O148&lt;&gt;"",-TRANSPOSE(INDEX(getcds('CDO Bespoke'!$C173,S$13,'CDO Bespoke'!$G173/10000,'CDO Bespoke'!I173,'CDO Bespoke'!$L149,'CDO Bespoke'!$C$13,'CDO Bespoke'!$C$14,'CDO Bespoke'!$C$15,'CDO Bespoke'!$C$8,,,TRUE,TRUE,FALSE,'CDO Bespoke'!$C$29:'CDO Bespoke'!$C$31,'CDO Bespoke'!$C$33),{5})),"")</f>
        <v/>
      </c>
      <c r="T148" s="514" t="str" cm="1">
        <f t="array" ref="T148">IF($O148&lt;&gt;"",-TRANSPOSE(INDEX(getcds('CDO Bespoke'!$C173,T$13,'CDO Bespoke'!$G173/10000,'CDO Bespoke'!J173,'CDO Bespoke'!$L149,'CDO Bespoke'!$C$13,'CDO Bespoke'!$C$14,'CDO Bespoke'!$C$15,'CDO Bespoke'!$C$8,,,TRUE,TRUE,FALSE,'CDO Bespoke'!$C$29:'CDO Bespoke'!$C$31,'CDO Bespoke'!$C$33),{5})),"")</f>
        <v/>
      </c>
      <c r="U148" s="493"/>
      <c r="V148" s="529"/>
      <c r="W148" s="530"/>
      <c r="X148" s="530"/>
      <c r="Y148" s="530"/>
      <c r="Z148" s="530"/>
      <c r="AA148" s="530"/>
      <c r="AB148" s="530"/>
      <c r="AC148" s="530"/>
      <c r="AD148" s="530"/>
      <c r="AE148" s="531"/>
      <c r="AF148" s="539"/>
    </row>
    <row r="149" spans="6:32" s="281" customFormat="1" ht="12" thickBot="1">
      <c r="F149" s="501" t="str">
        <f>IF('CDO Bespoke'!O150&lt;&gt;"",'CDO Bespoke'!O150,"")</f>
        <v/>
      </c>
      <c r="G149" s="502" t="str">
        <f>IF(F149&lt;&gt;"",ABS(MIN(-0.75*('CDO Bespoke'!Q150+'CDO Bespoke'!T150)+'CDO Bespoke'!T150,0)),"")</f>
        <v/>
      </c>
      <c r="H149" s="502" t="str">
        <f t="shared" si="8"/>
        <v/>
      </c>
      <c r="I149" s="502" t="str">
        <f t="shared" si="11"/>
        <v/>
      </c>
      <c r="J149" s="501" t="str">
        <f>IF('CDO Bespoke'!O150&lt;&gt;"",'CDO Bespoke'!O150,"")</f>
        <v/>
      </c>
      <c r="K149" s="502" t="str">
        <f>IF(J149&lt;&gt;"",ABS(MIN(-0.75*('CDO Bespoke'!K150+'CDO Bespoke'!T150)+'CDO Bespoke'!T150,0)),"")</f>
        <v/>
      </c>
      <c r="L149" s="502" t="str">
        <f t="shared" si="9"/>
        <v/>
      </c>
      <c r="M149" s="506" t="str">
        <f t="shared" si="10"/>
        <v/>
      </c>
      <c r="O149" s="511" t="str">
        <f>IF('CDO Bespoke'!C174&lt;&gt;"",'CDO Bespoke'!C174,"")</f>
        <v/>
      </c>
      <c r="P149" s="513" t="str" cm="1">
        <f t="array" ref="P149">IF($O149&lt;&gt;"",-TRANSPOSE(INDEX(getcds('CDO Bespoke'!$C174,P$13,'CDO Bespoke'!$G174/10000,'CDO Bespoke'!F174,'CDO Bespoke'!$L150,'CDO Bespoke'!$C$13,'CDO Bespoke'!$C$14,'CDO Bespoke'!$C$15,'CDO Bespoke'!$C$8,,,TRUE,TRUE,FALSE,'CDO Bespoke'!$C$29:'CDO Bespoke'!$C$31,'CDO Bespoke'!$C$33),{5})),"")</f>
        <v/>
      </c>
      <c r="Q149" s="542" t="str" cm="1">
        <f t="array" ref="Q149">IF($O149&lt;&gt;"",-TRANSPOSE(INDEX(getcds('CDO Bespoke'!$C174,Q$13,'CDO Bespoke'!$G174/10000,'CDO Bespoke'!G174,'CDO Bespoke'!$L150,'CDO Bespoke'!$C$13,'CDO Bespoke'!$C$14,'CDO Bespoke'!$C$15,'CDO Bespoke'!$C$8,,,TRUE,TRUE,FALSE,'CDO Bespoke'!$C$29:'CDO Bespoke'!$C$31,'CDO Bespoke'!$C$33),{5})),"")</f>
        <v/>
      </c>
      <c r="R149" s="542" t="str" cm="1">
        <f t="array" ref="R149">IF($O149&lt;&gt;"",-TRANSPOSE(INDEX(getcds('CDO Bespoke'!$C174,R$13,'CDO Bespoke'!$G174/10000,'CDO Bespoke'!H174,'CDO Bespoke'!$L150,'CDO Bespoke'!$C$13,'CDO Bespoke'!$C$14,'CDO Bespoke'!$C$15,'CDO Bespoke'!$C$8,,,TRUE,TRUE,FALSE,'CDO Bespoke'!$C$29:'CDO Bespoke'!$C$31,'CDO Bespoke'!$C$33),{5})),"")</f>
        <v/>
      </c>
      <c r="S149" s="542" t="str" cm="1">
        <f t="array" ref="S149">IF($O149&lt;&gt;"",-TRANSPOSE(INDEX(getcds('CDO Bespoke'!$C174,S$13,'CDO Bespoke'!$G174/10000,'CDO Bespoke'!I174,'CDO Bespoke'!$L150,'CDO Bespoke'!$C$13,'CDO Bespoke'!$C$14,'CDO Bespoke'!$C$15,'CDO Bespoke'!$C$8,,,TRUE,TRUE,FALSE,'CDO Bespoke'!$C$29:'CDO Bespoke'!$C$31,'CDO Bespoke'!$C$33),{5})),"")</f>
        <v/>
      </c>
      <c r="T149" s="514" t="str" cm="1">
        <f t="array" ref="T149">IF($O149&lt;&gt;"",-TRANSPOSE(INDEX(getcds('CDO Bespoke'!$C174,T$13,'CDO Bespoke'!$G174/10000,'CDO Bespoke'!J174,'CDO Bespoke'!$L150,'CDO Bespoke'!$C$13,'CDO Bespoke'!$C$14,'CDO Bespoke'!$C$15,'CDO Bespoke'!$C$8,,,TRUE,TRUE,FALSE,'CDO Bespoke'!$C$29:'CDO Bespoke'!$C$31,'CDO Bespoke'!$C$33),{5})),"")</f>
        <v/>
      </c>
      <c r="U149" s="493"/>
      <c r="V149" s="529"/>
      <c r="W149" s="530"/>
      <c r="X149" s="530"/>
      <c r="Y149" s="530"/>
      <c r="Z149" s="530"/>
      <c r="AA149" s="530"/>
      <c r="AB149" s="530"/>
      <c r="AC149" s="530"/>
      <c r="AD149" s="530"/>
      <c r="AE149" s="531"/>
      <c r="AF149" s="539"/>
    </row>
    <row r="150" spans="6:32" s="281" customFormat="1" ht="12" thickBot="1">
      <c r="F150" s="501" t="str">
        <f>IF('CDO Bespoke'!O151&lt;&gt;"",'CDO Bespoke'!O151,"")</f>
        <v/>
      </c>
      <c r="G150" s="502" t="str">
        <f>IF(F150&lt;&gt;"",ABS(MIN(-0.75*('CDO Bespoke'!Q151+'CDO Bespoke'!T151)+'CDO Bespoke'!T151,0)),"")</f>
        <v/>
      </c>
      <c r="H150" s="502" t="str">
        <f t="shared" si="8"/>
        <v/>
      </c>
      <c r="I150" s="502" t="str">
        <f t="shared" si="11"/>
        <v/>
      </c>
      <c r="J150" s="501" t="str">
        <f>IF('CDO Bespoke'!O151&lt;&gt;"",'CDO Bespoke'!O151,"")</f>
        <v/>
      </c>
      <c r="K150" s="502" t="str">
        <f>IF(J150&lt;&gt;"",ABS(MIN(-0.75*('CDO Bespoke'!K151+'CDO Bespoke'!T151)+'CDO Bespoke'!T151,0)),"")</f>
        <v/>
      </c>
      <c r="L150" s="502" t="str">
        <f t="shared" si="9"/>
        <v/>
      </c>
      <c r="M150" s="506" t="str">
        <f t="shared" si="10"/>
        <v/>
      </c>
      <c r="O150" s="511" t="str">
        <f>IF('CDO Bespoke'!C175&lt;&gt;"",'CDO Bespoke'!C175,"")</f>
        <v/>
      </c>
      <c r="P150" s="513" t="str" cm="1">
        <f t="array" ref="P150">IF($O150&lt;&gt;"",-TRANSPOSE(INDEX(getcds('CDO Bespoke'!$C175,P$13,'CDO Bespoke'!$G175/10000,'CDO Bespoke'!F175,'CDO Bespoke'!$L151,'CDO Bespoke'!$C$13,'CDO Bespoke'!$C$14,'CDO Bespoke'!$C$15,'CDO Bespoke'!$C$8,,,TRUE,TRUE,FALSE,'CDO Bespoke'!$C$29:'CDO Bespoke'!$C$31,'CDO Bespoke'!$C$33),{5})),"")</f>
        <v/>
      </c>
      <c r="Q150" s="542" t="str" cm="1">
        <f t="array" ref="Q150">IF($O150&lt;&gt;"",-TRANSPOSE(INDEX(getcds('CDO Bespoke'!$C175,Q$13,'CDO Bespoke'!$G175/10000,'CDO Bespoke'!G175,'CDO Bespoke'!$L151,'CDO Bespoke'!$C$13,'CDO Bespoke'!$C$14,'CDO Bespoke'!$C$15,'CDO Bespoke'!$C$8,,,TRUE,TRUE,FALSE,'CDO Bespoke'!$C$29:'CDO Bespoke'!$C$31,'CDO Bespoke'!$C$33),{5})),"")</f>
        <v/>
      </c>
      <c r="R150" s="542" t="str" cm="1">
        <f t="array" ref="R150">IF($O150&lt;&gt;"",-TRANSPOSE(INDEX(getcds('CDO Bespoke'!$C175,R$13,'CDO Bespoke'!$G175/10000,'CDO Bespoke'!H175,'CDO Bespoke'!$L151,'CDO Bespoke'!$C$13,'CDO Bespoke'!$C$14,'CDO Bespoke'!$C$15,'CDO Bespoke'!$C$8,,,TRUE,TRUE,FALSE,'CDO Bespoke'!$C$29:'CDO Bespoke'!$C$31,'CDO Bespoke'!$C$33),{5})),"")</f>
        <v/>
      </c>
      <c r="S150" s="542" t="str" cm="1">
        <f t="array" ref="S150">IF($O150&lt;&gt;"",-TRANSPOSE(INDEX(getcds('CDO Bespoke'!$C175,S$13,'CDO Bespoke'!$G175/10000,'CDO Bespoke'!I175,'CDO Bespoke'!$L151,'CDO Bespoke'!$C$13,'CDO Bespoke'!$C$14,'CDO Bespoke'!$C$15,'CDO Bespoke'!$C$8,,,TRUE,TRUE,FALSE,'CDO Bespoke'!$C$29:'CDO Bespoke'!$C$31,'CDO Bespoke'!$C$33),{5})),"")</f>
        <v/>
      </c>
      <c r="T150" s="514" t="str" cm="1">
        <f t="array" ref="T150">IF($O150&lt;&gt;"",-TRANSPOSE(INDEX(getcds('CDO Bespoke'!$C175,T$13,'CDO Bespoke'!$G175/10000,'CDO Bespoke'!J175,'CDO Bespoke'!$L151,'CDO Bespoke'!$C$13,'CDO Bespoke'!$C$14,'CDO Bespoke'!$C$15,'CDO Bespoke'!$C$8,,,TRUE,TRUE,FALSE,'CDO Bespoke'!$C$29:'CDO Bespoke'!$C$31,'CDO Bespoke'!$C$33),{5})),"")</f>
        <v/>
      </c>
      <c r="U150" s="493"/>
      <c r="V150" s="529"/>
      <c r="W150" s="530"/>
      <c r="X150" s="530"/>
      <c r="Y150" s="530"/>
      <c r="Z150" s="530"/>
      <c r="AA150" s="530"/>
      <c r="AB150" s="530"/>
      <c r="AC150" s="530"/>
      <c r="AD150" s="530"/>
      <c r="AE150" s="531"/>
      <c r="AF150" s="539"/>
    </row>
    <row r="151" spans="6:32" s="281" customFormat="1" ht="12" thickBot="1">
      <c r="F151" s="501" t="str">
        <f>IF('CDO Bespoke'!O152&lt;&gt;"",'CDO Bespoke'!O152,"")</f>
        <v/>
      </c>
      <c r="G151" s="502" t="str">
        <f>IF(F151&lt;&gt;"",ABS(MIN(-0.75*('CDO Bespoke'!Q152+'CDO Bespoke'!T152)+'CDO Bespoke'!T152,0)),"")</f>
        <v/>
      </c>
      <c r="H151" s="502" t="str">
        <f t="shared" si="8"/>
        <v/>
      </c>
      <c r="I151" s="502" t="str">
        <f t="shared" si="11"/>
        <v/>
      </c>
      <c r="J151" s="501" t="str">
        <f>IF('CDO Bespoke'!O152&lt;&gt;"",'CDO Bespoke'!O152,"")</f>
        <v/>
      </c>
      <c r="K151" s="502" t="str">
        <f>IF(J151&lt;&gt;"",ABS(MIN(-0.75*('CDO Bespoke'!K152+'CDO Bespoke'!T152)+'CDO Bespoke'!T152,0)),"")</f>
        <v/>
      </c>
      <c r="L151" s="502" t="str">
        <f t="shared" si="9"/>
        <v/>
      </c>
      <c r="M151" s="506" t="str">
        <f t="shared" si="10"/>
        <v/>
      </c>
      <c r="O151" s="511" t="str">
        <f>IF('CDO Bespoke'!C176&lt;&gt;"",'CDO Bespoke'!C176,"")</f>
        <v/>
      </c>
      <c r="P151" s="513" t="str" cm="1">
        <f t="array" ref="P151">IF($O151&lt;&gt;"",-TRANSPOSE(INDEX(getcds('CDO Bespoke'!$C176,P$13,'CDO Bespoke'!$G176/10000,'CDO Bespoke'!F176,'CDO Bespoke'!$L152,'CDO Bespoke'!$C$13,'CDO Bespoke'!$C$14,'CDO Bespoke'!$C$15,'CDO Bespoke'!$C$8,,,TRUE,TRUE,FALSE,'CDO Bespoke'!$C$29:'CDO Bespoke'!$C$31,'CDO Bespoke'!$C$33),{5})),"")</f>
        <v/>
      </c>
      <c r="Q151" s="542" t="str" cm="1">
        <f t="array" ref="Q151">IF($O151&lt;&gt;"",-TRANSPOSE(INDEX(getcds('CDO Bespoke'!$C176,Q$13,'CDO Bespoke'!$G176/10000,'CDO Bespoke'!G176,'CDO Bespoke'!$L152,'CDO Bespoke'!$C$13,'CDO Bespoke'!$C$14,'CDO Bespoke'!$C$15,'CDO Bespoke'!$C$8,,,TRUE,TRUE,FALSE,'CDO Bespoke'!$C$29:'CDO Bespoke'!$C$31,'CDO Bespoke'!$C$33),{5})),"")</f>
        <v/>
      </c>
      <c r="R151" s="542" t="str" cm="1">
        <f t="array" ref="R151">IF($O151&lt;&gt;"",-TRANSPOSE(INDEX(getcds('CDO Bespoke'!$C176,R$13,'CDO Bespoke'!$G176/10000,'CDO Bespoke'!H176,'CDO Bespoke'!$L152,'CDO Bespoke'!$C$13,'CDO Bespoke'!$C$14,'CDO Bespoke'!$C$15,'CDO Bespoke'!$C$8,,,TRUE,TRUE,FALSE,'CDO Bespoke'!$C$29:'CDO Bespoke'!$C$31,'CDO Bespoke'!$C$33),{5})),"")</f>
        <v/>
      </c>
      <c r="S151" s="542" t="str" cm="1">
        <f t="array" ref="S151">IF($O151&lt;&gt;"",-TRANSPOSE(INDEX(getcds('CDO Bespoke'!$C176,S$13,'CDO Bespoke'!$G176/10000,'CDO Bespoke'!I176,'CDO Bespoke'!$L152,'CDO Bespoke'!$C$13,'CDO Bespoke'!$C$14,'CDO Bespoke'!$C$15,'CDO Bespoke'!$C$8,,,TRUE,TRUE,FALSE,'CDO Bespoke'!$C$29:'CDO Bespoke'!$C$31,'CDO Bespoke'!$C$33),{5})),"")</f>
        <v/>
      </c>
      <c r="T151" s="514" t="str" cm="1">
        <f t="array" ref="T151">IF($O151&lt;&gt;"",-TRANSPOSE(INDEX(getcds('CDO Bespoke'!$C176,T$13,'CDO Bespoke'!$G176/10000,'CDO Bespoke'!J176,'CDO Bespoke'!$L152,'CDO Bespoke'!$C$13,'CDO Bespoke'!$C$14,'CDO Bespoke'!$C$15,'CDO Bespoke'!$C$8,,,TRUE,TRUE,FALSE,'CDO Bespoke'!$C$29:'CDO Bespoke'!$C$31,'CDO Bespoke'!$C$33),{5})),"")</f>
        <v/>
      </c>
      <c r="U151" s="493"/>
      <c r="V151" s="529"/>
      <c r="W151" s="530"/>
      <c r="X151" s="530"/>
      <c r="Y151" s="530"/>
      <c r="Z151" s="530"/>
      <c r="AA151" s="530"/>
      <c r="AB151" s="530"/>
      <c r="AC151" s="530"/>
      <c r="AD151" s="530"/>
      <c r="AE151" s="531"/>
      <c r="AF151" s="539"/>
    </row>
    <row r="152" spans="6:32" s="281" customFormat="1" ht="12" thickBot="1">
      <c r="F152" s="501" t="str">
        <f>IF('CDO Bespoke'!O153&lt;&gt;"",'CDO Bespoke'!O153,"")</f>
        <v/>
      </c>
      <c r="G152" s="502" t="str">
        <f>IF(F152&lt;&gt;"",ABS(MIN(-0.75*('CDO Bespoke'!Q153+'CDO Bespoke'!T153)+'CDO Bespoke'!T153,0)),"")</f>
        <v/>
      </c>
      <c r="H152" s="502" t="str">
        <f t="shared" si="8"/>
        <v/>
      </c>
      <c r="I152" s="502" t="str">
        <f t="shared" si="11"/>
        <v/>
      </c>
      <c r="J152" s="501" t="str">
        <f>IF('CDO Bespoke'!O153&lt;&gt;"",'CDO Bespoke'!O153,"")</f>
        <v/>
      </c>
      <c r="K152" s="502" t="str">
        <f>IF(J152&lt;&gt;"",ABS(MIN(-0.75*('CDO Bespoke'!K153+'CDO Bespoke'!T153)+'CDO Bespoke'!T153,0)),"")</f>
        <v/>
      </c>
      <c r="L152" s="502" t="str">
        <f t="shared" si="9"/>
        <v/>
      </c>
      <c r="M152" s="506" t="str">
        <f t="shared" si="10"/>
        <v/>
      </c>
      <c r="O152" s="511" t="str">
        <f>IF('CDO Bespoke'!C177&lt;&gt;"",'CDO Bespoke'!C177,"")</f>
        <v/>
      </c>
      <c r="P152" s="513" t="str" cm="1">
        <f t="array" ref="P152">IF($O152&lt;&gt;"",-TRANSPOSE(INDEX(getcds('CDO Bespoke'!$C177,P$13,'CDO Bespoke'!$G177/10000,'CDO Bespoke'!F177,'CDO Bespoke'!$L153,'CDO Bespoke'!$C$13,'CDO Bespoke'!$C$14,'CDO Bespoke'!$C$15,'CDO Bespoke'!$C$8,,,TRUE,TRUE,FALSE,'CDO Bespoke'!$C$29:'CDO Bespoke'!$C$31,'CDO Bespoke'!$C$33),{5})),"")</f>
        <v/>
      </c>
      <c r="Q152" s="542" t="str" cm="1">
        <f t="array" ref="Q152">IF($O152&lt;&gt;"",-TRANSPOSE(INDEX(getcds('CDO Bespoke'!$C177,Q$13,'CDO Bespoke'!$G177/10000,'CDO Bespoke'!G177,'CDO Bespoke'!$L153,'CDO Bespoke'!$C$13,'CDO Bespoke'!$C$14,'CDO Bespoke'!$C$15,'CDO Bespoke'!$C$8,,,TRUE,TRUE,FALSE,'CDO Bespoke'!$C$29:'CDO Bespoke'!$C$31,'CDO Bespoke'!$C$33),{5})),"")</f>
        <v/>
      </c>
      <c r="R152" s="542" t="str" cm="1">
        <f t="array" ref="R152">IF($O152&lt;&gt;"",-TRANSPOSE(INDEX(getcds('CDO Bespoke'!$C177,R$13,'CDO Bespoke'!$G177/10000,'CDO Bespoke'!H177,'CDO Bespoke'!$L153,'CDO Bespoke'!$C$13,'CDO Bespoke'!$C$14,'CDO Bespoke'!$C$15,'CDO Bespoke'!$C$8,,,TRUE,TRUE,FALSE,'CDO Bespoke'!$C$29:'CDO Bespoke'!$C$31,'CDO Bespoke'!$C$33),{5})),"")</f>
        <v/>
      </c>
      <c r="S152" s="542" t="str" cm="1">
        <f t="array" ref="S152">IF($O152&lt;&gt;"",-TRANSPOSE(INDEX(getcds('CDO Bespoke'!$C177,S$13,'CDO Bespoke'!$G177/10000,'CDO Bespoke'!I177,'CDO Bespoke'!$L153,'CDO Bespoke'!$C$13,'CDO Bespoke'!$C$14,'CDO Bespoke'!$C$15,'CDO Bespoke'!$C$8,,,TRUE,TRUE,FALSE,'CDO Bespoke'!$C$29:'CDO Bespoke'!$C$31,'CDO Bespoke'!$C$33),{5})),"")</f>
        <v/>
      </c>
      <c r="T152" s="514" t="str" cm="1">
        <f t="array" ref="T152">IF($O152&lt;&gt;"",-TRANSPOSE(INDEX(getcds('CDO Bespoke'!$C177,T$13,'CDO Bespoke'!$G177/10000,'CDO Bespoke'!J177,'CDO Bespoke'!$L153,'CDO Bespoke'!$C$13,'CDO Bespoke'!$C$14,'CDO Bespoke'!$C$15,'CDO Bespoke'!$C$8,,,TRUE,TRUE,FALSE,'CDO Bespoke'!$C$29:'CDO Bespoke'!$C$31,'CDO Bespoke'!$C$33),{5})),"")</f>
        <v/>
      </c>
      <c r="U152" s="493"/>
      <c r="V152" s="529"/>
      <c r="W152" s="530"/>
      <c r="X152" s="530"/>
      <c r="Y152" s="530"/>
      <c r="Z152" s="530"/>
      <c r="AA152" s="530"/>
      <c r="AB152" s="530"/>
      <c r="AC152" s="530"/>
      <c r="AD152" s="530"/>
      <c r="AE152" s="531"/>
      <c r="AF152" s="539"/>
    </row>
    <row r="153" spans="6:32" s="281" customFormat="1" ht="12" thickBot="1">
      <c r="F153" s="501" t="str">
        <f>IF('CDO Bespoke'!O154&lt;&gt;"",'CDO Bespoke'!O154,"")</f>
        <v/>
      </c>
      <c r="G153" s="502" t="str">
        <f>IF(F153&lt;&gt;"",ABS(MIN(-0.75*('CDO Bespoke'!Q154+'CDO Bespoke'!T154)+'CDO Bespoke'!T154,0)),"")</f>
        <v/>
      </c>
      <c r="H153" s="502" t="str">
        <f t="shared" si="8"/>
        <v/>
      </c>
      <c r="I153" s="502" t="str">
        <f t="shared" si="11"/>
        <v/>
      </c>
      <c r="J153" s="501" t="str">
        <f>IF('CDO Bespoke'!O154&lt;&gt;"",'CDO Bespoke'!O154,"")</f>
        <v/>
      </c>
      <c r="K153" s="502" t="str">
        <f>IF(J153&lt;&gt;"",ABS(MIN(-0.75*('CDO Bespoke'!K154+'CDO Bespoke'!T154)+'CDO Bespoke'!T154,0)),"")</f>
        <v/>
      </c>
      <c r="L153" s="502" t="str">
        <f t="shared" si="9"/>
        <v/>
      </c>
      <c r="M153" s="506" t="str">
        <f t="shared" si="10"/>
        <v/>
      </c>
      <c r="O153" s="511" t="str">
        <f>IF('CDO Bespoke'!C178&lt;&gt;"",'CDO Bespoke'!C178,"")</f>
        <v/>
      </c>
      <c r="P153" s="513" t="str" cm="1">
        <f t="array" ref="P153">IF($O153&lt;&gt;"",-TRANSPOSE(INDEX(getcds('CDO Bespoke'!$C178,P$13,'CDO Bespoke'!$G178/10000,'CDO Bespoke'!F178,'CDO Bespoke'!$L154,'CDO Bespoke'!$C$13,'CDO Bespoke'!$C$14,'CDO Bespoke'!$C$15,'CDO Bespoke'!$C$8,,,TRUE,TRUE,FALSE,'CDO Bespoke'!$C$29:'CDO Bespoke'!$C$31,'CDO Bespoke'!$C$33),{5})),"")</f>
        <v/>
      </c>
      <c r="Q153" s="542" t="str" cm="1">
        <f t="array" ref="Q153">IF($O153&lt;&gt;"",-TRANSPOSE(INDEX(getcds('CDO Bespoke'!$C178,Q$13,'CDO Bespoke'!$G178/10000,'CDO Bespoke'!G178,'CDO Bespoke'!$L154,'CDO Bespoke'!$C$13,'CDO Bespoke'!$C$14,'CDO Bespoke'!$C$15,'CDO Bespoke'!$C$8,,,TRUE,TRUE,FALSE,'CDO Bespoke'!$C$29:'CDO Bespoke'!$C$31,'CDO Bespoke'!$C$33),{5})),"")</f>
        <v/>
      </c>
      <c r="R153" s="542" t="str" cm="1">
        <f t="array" ref="R153">IF($O153&lt;&gt;"",-TRANSPOSE(INDEX(getcds('CDO Bespoke'!$C178,R$13,'CDO Bespoke'!$G178/10000,'CDO Bespoke'!H178,'CDO Bespoke'!$L154,'CDO Bespoke'!$C$13,'CDO Bespoke'!$C$14,'CDO Bespoke'!$C$15,'CDO Bespoke'!$C$8,,,TRUE,TRUE,FALSE,'CDO Bespoke'!$C$29:'CDO Bespoke'!$C$31,'CDO Bespoke'!$C$33),{5})),"")</f>
        <v/>
      </c>
      <c r="S153" s="542" t="str" cm="1">
        <f t="array" ref="S153">IF($O153&lt;&gt;"",-TRANSPOSE(INDEX(getcds('CDO Bespoke'!$C178,S$13,'CDO Bespoke'!$G178/10000,'CDO Bespoke'!I178,'CDO Bespoke'!$L154,'CDO Bespoke'!$C$13,'CDO Bespoke'!$C$14,'CDO Bespoke'!$C$15,'CDO Bespoke'!$C$8,,,TRUE,TRUE,FALSE,'CDO Bespoke'!$C$29:'CDO Bespoke'!$C$31,'CDO Bespoke'!$C$33),{5})),"")</f>
        <v/>
      </c>
      <c r="T153" s="514" t="str" cm="1">
        <f t="array" ref="T153">IF($O153&lt;&gt;"",-TRANSPOSE(INDEX(getcds('CDO Bespoke'!$C178,T$13,'CDO Bespoke'!$G178/10000,'CDO Bespoke'!J178,'CDO Bespoke'!$L154,'CDO Bespoke'!$C$13,'CDO Bespoke'!$C$14,'CDO Bespoke'!$C$15,'CDO Bespoke'!$C$8,,,TRUE,TRUE,FALSE,'CDO Bespoke'!$C$29:'CDO Bespoke'!$C$31,'CDO Bespoke'!$C$33),{5})),"")</f>
        <v/>
      </c>
      <c r="U153" s="493"/>
      <c r="V153" s="529"/>
      <c r="W153" s="530"/>
      <c r="X153" s="530"/>
      <c r="Y153" s="530"/>
      <c r="Z153" s="530"/>
      <c r="AA153" s="530"/>
      <c r="AB153" s="530"/>
      <c r="AC153" s="530"/>
      <c r="AD153" s="530"/>
      <c r="AE153" s="531"/>
      <c r="AF153" s="539"/>
    </row>
    <row r="154" spans="6:32" s="281" customFormat="1" ht="12" thickBot="1">
      <c r="F154" s="501" t="str">
        <f>IF('CDO Bespoke'!O155&lt;&gt;"",'CDO Bespoke'!O155,"")</f>
        <v/>
      </c>
      <c r="G154" s="502" t="str">
        <f>IF(F154&lt;&gt;"",ABS(MIN(-0.75*('CDO Bespoke'!Q155+'CDO Bespoke'!T155)+'CDO Bespoke'!T155,0)),"")</f>
        <v/>
      </c>
      <c r="H154" s="502" t="str">
        <f t="shared" si="8"/>
        <v/>
      </c>
      <c r="I154" s="502" t="str">
        <f t="shared" si="11"/>
        <v/>
      </c>
      <c r="J154" s="501" t="str">
        <f>IF('CDO Bespoke'!O155&lt;&gt;"",'CDO Bespoke'!O155,"")</f>
        <v/>
      </c>
      <c r="K154" s="502" t="str">
        <f>IF(J154&lt;&gt;"",ABS(MIN(-0.75*('CDO Bespoke'!K155+'CDO Bespoke'!T155)+'CDO Bespoke'!T155,0)),"")</f>
        <v/>
      </c>
      <c r="L154" s="502" t="str">
        <f t="shared" si="9"/>
        <v/>
      </c>
      <c r="M154" s="506" t="str">
        <f t="shared" si="10"/>
        <v/>
      </c>
      <c r="O154" s="511" t="str">
        <f>IF('CDO Bespoke'!C179&lt;&gt;"",'CDO Bespoke'!C179,"")</f>
        <v/>
      </c>
      <c r="P154" s="513" t="str" cm="1">
        <f t="array" ref="P154">IF($O154&lt;&gt;"",-TRANSPOSE(INDEX(getcds('CDO Bespoke'!$C179,P$13,'CDO Bespoke'!$G179/10000,'CDO Bespoke'!F179,'CDO Bespoke'!$L155,'CDO Bespoke'!$C$13,'CDO Bespoke'!$C$14,'CDO Bespoke'!$C$15,'CDO Bespoke'!$C$8,,,TRUE,TRUE,FALSE,'CDO Bespoke'!$C$29:'CDO Bespoke'!$C$31,'CDO Bespoke'!$C$33),{5})),"")</f>
        <v/>
      </c>
      <c r="Q154" s="542" t="str" cm="1">
        <f t="array" ref="Q154">IF($O154&lt;&gt;"",-TRANSPOSE(INDEX(getcds('CDO Bespoke'!$C179,Q$13,'CDO Bespoke'!$G179/10000,'CDO Bespoke'!G179,'CDO Bespoke'!$L155,'CDO Bespoke'!$C$13,'CDO Bespoke'!$C$14,'CDO Bespoke'!$C$15,'CDO Bespoke'!$C$8,,,TRUE,TRUE,FALSE,'CDO Bespoke'!$C$29:'CDO Bespoke'!$C$31,'CDO Bespoke'!$C$33),{5})),"")</f>
        <v/>
      </c>
      <c r="R154" s="542" t="str" cm="1">
        <f t="array" ref="R154">IF($O154&lt;&gt;"",-TRANSPOSE(INDEX(getcds('CDO Bespoke'!$C179,R$13,'CDO Bespoke'!$G179/10000,'CDO Bespoke'!H179,'CDO Bespoke'!$L155,'CDO Bespoke'!$C$13,'CDO Bespoke'!$C$14,'CDO Bespoke'!$C$15,'CDO Bespoke'!$C$8,,,TRUE,TRUE,FALSE,'CDO Bespoke'!$C$29:'CDO Bespoke'!$C$31,'CDO Bespoke'!$C$33),{5})),"")</f>
        <v/>
      </c>
      <c r="S154" s="542" t="str" cm="1">
        <f t="array" ref="S154">IF($O154&lt;&gt;"",-TRANSPOSE(INDEX(getcds('CDO Bespoke'!$C179,S$13,'CDO Bespoke'!$G179/10000,'CDO Bespoke'!I179,'CDO Bespoke'!$L155,'CDO Bespoke'!$C$13,'CDO Bespoke'!$C$14,'CDO Bespoke'!$C$15,'CDO Bespoke'!$C$8,,,TRUE,TRUE,FALSE,'CDO Bespoke'!$C$29:'CDO Bespoke'!$C$31,'CDO Bespoke'!$C$33),{5})),"")</f>
        <v/>
      </c>
      <c r="T154" s="514" t="str" cm="1">
        <f t="array" ref="T154">IF($O154&lt;&gt;"",-TRANSPOSE(INDEX(getcds('CDO Bespoke'!$C179,T$13,'CDO Bespoke'!$G179/10000,'CDO Bespoke'!J179,'CDO Bespoke'!$L155,'CDO Bespoke'!$C$13,'CDO Bespoke'!$C$14,'CDO Bespoke'!$C$15,'CDO Bespoke'!$C$8,,,TRUE,TRUE,FALSE,'CDO Bespoke'!$C$29:'CDO Bespoke'!$C$31,'CDO Bespoke'!$C$33),{5})),"")</f>
        <v/>
      </c>
      <c r="U154" s="493"/>
      <c r="V154" s="529"/>
      <c r="W154" s="530"/>
      <c r="X154" s="530"/>
      <c r="Y154" s="530"/>
      <c r="Z154" s="530"/>
      <c r="AA154" s="530"/>
      <c r="AB154" s="530"/>
      <c r="AC154" s="530"/>
      <c r="AD154" s="530"/>
      <c r="AE154" s="531"/>
      <c r="AF154" s="539"/>
    </row>
    <row r="155" spans="6:32" s="281" customFormat="1" ht="12" thickBot="1">
      <c r="F155" s="501" t="str">
        <f>IF('CDO Bespoke'!O156&lt;&gt;"",'CDO Bespoke'!O156,"")</f>
        <v/>
      </c>
      <c r="G155" s="502" t="str">
        <f>IF(F155&lt;&gt;"",ABS(MIN(-0.75*('CDO Bespoke'!Q156+'CDO Bespoke'!T156)+'CDO Bespoke'!T156,0)),"")</f>
        <v/>
      </c>
      <c r="H155" s="502" t="str">
        <f t="shared" si="8"/>
        <v/>
      </c>
      <c r="I155" s="502" t="str">
        <f t="shared" si="11"/>
        <v/>
      </c>
      <c r="J155" s="501" t="str">
        <f>IF('CDO Bespoke'!O156&lt;&gt;"",'CDO Bespoke'!O156,"")</f>
        <v/>
      </c>
      <c r="K155" s="502" t="str">
        <f>IF(J155&lt;&gt;"",ABS(MIN(-0.75*('CDO Bespoke'!K156+'CDO Bespoke'!T156)+'CDO Bespoke'!T156,0)),"")</f>
        <v/>
      </c>
      <c r="L155" s="502" t="str">
        <f t="shared" si="9"/>
        <v/>
      </c>
      <c r="M155" s="506" t="str">
        <f t="shared" si="10"/>
        <v/>
      </c>
      <c r="O155" s="511" t="str">
        <f>IF('CDO Bespoke'!C180&lt;&gt;"",'CDO Bespoke'!C180,"")</f>
        <v/>
      </c>
      <c r="P155" s="513" t="str" cm="1">
        <f t="array" ref="P155">IF($O155&lt;&gt;"",-TRANSPOSE(INDEX(getcds('CDO Bespoke'!$C180,P$13,'CDO Bespoke'!$G180/10000,'CDO Bespoke'!F180,'CDO Bespoke'!$L156,'CDO Bespoke'!$C$13,'CDO Bespoke'!$C$14,'CDO Bespoke'!$C$15,'CDO Bespoke'!$C$8,,,TRUE,TRUE,FALSE,'CDO Bespoke'!$C$29:'CDO Bespoke'!$C$31,'CDO Bespoke'!$C$33),{5})),"")</f>
        <v/>
      </c>
      <c r="Q155" s="542" t="str" cm="1">
        <f t="array" ref="Q155">IF($O155&lt;&gt;"",-TRANSPOSE(INDEX(getcds('CDO Bespoke'!$C180,Q$13,'CDO Bespoke'!$G180/10000,'CDO Bespoke'!G180,'CDO Bespoke'!$L156,'CDO Bespoke'!$C$13,'CDO Bespoke'!$C$14,'CDO Bespoke'!$C$15,'CDO Bespoke'!$C$8,,,TRUE,TRUE,FALSE,'CDO Bespoke'!$C$29:'CDO Bespoke'!$C$31,'CDO Bespoke'!$C$33),{5})),"")</f>
        <v/>
      </c>
      <c r="R155" s="542" t="str" cm="1">
        <f t="array" ref="R155">IF($O155&lt;&gt;"",-TRANSPOSE(INDEX(getcds('CDO Bespoke'!$C180,R$13,'CDO Bespoke'!$G180/10000,'CDO Bespoke'!H180,'CDO Bespoke'!$L156,'CDO Bespoke'!$C$13,'CDO Bespoke'!$C$14,'CDO Bespoke'!$C$15,'CDO Bespoke'!$C$8,,,TRUE,TRUE,FALSE,'CDO Bespoke'!$C$29:'CDO Bespoke'!$C$31,'CDO Bespoke'!$C$33),{5})),"")</f>
        <v/>
      </c>
      <c r="S155" s="542" t="str" cm="1">
        <f t="array" ref="S155">IF($O155&lt;&gt;"",-TRANSPOSE(INDEX(getcds('CDO Bespoke'!$C180,S$13,'CDO Bespoke'!$G180/10000,'CDO Bespoke'!I180,'CDO Bespoke'!$L156,'CDO Bespoke'!$C$13,'CDO Bespoke'!$C$14,'CDO Bespoke'!$C$15,'CDO Bespoke'!$C$8,,,TRUE,TRUE,FALSE,'CDO Bespoke'!$C$29:'CDO Bespoke'!$C$31,'CDO Bespoke'!$C$33),{5})),"")</f>
        <v/>
      </c>
      <c r="T155" s="514" t="str" cm="1">
        <f t="array" ref="T155">IF($O155&lt;&gt;"",-TRANSPOSE(INDEX(getcds('CDO Bespoke'!$C180,T$13,'CDO Bespoke'!$G180/10000,'CDO Bespoke'!J180,'CDO Bespoke'!$L156,'CDO Bespoke'!$C$13,'CDO Bespoke'!$C$14,'CDO Bespoke'!$C$15,'CDO Bespoke'!$C$8,,,TRUE,TRUE,FALSE,'CDO Bespoke'!$C$29:'CDO Bespoke'!$C$31,'CDO Bespoke'!$C$33),{5})),"")</f>
        <v/>
      </c>
      <c r="U155" s="493"/>
      <c r="V155" s="529"/>
      <c r="W155" s="530"/>
      <c r="X155" s="530"/>
      <c r="Y155" s="530"/>
      <c r="Z155" s="530"/>
      <c r="AA155" s="530"/>
      <c r="AB155" s="530"/>
      <c r="AC155" s="530"/>
      <c r="AD155" s="530"/>
      <c r="AE155" s="531"/>
      <c r="AF155" s="539"/>
    </row>
    <row r="156" spans="6:32" s="281" customFormat="1" ht="12" thickBot="1">
      <c r="F156" s="501" t="str">
        <f>IF('CDO Bespoke'!O157&lt;&gt;"",'CDO Bespoke'!O157,"")</f>
        <v/>
      </c>
      <c r="G156" s="502" t="str">
        <f>IF(F156&lt;&gt;"",ABS(MIN(-0.75*('CDO Bespoke'!Q157+'CDO Bespoke'!T157)+'CDO Bespoke'!T157,0)),"")</f>
        <v/>
      </c>
      <c r="H156" s="502" t="str">
        <f t="shared" si="8"/>
        <v/>
      </c>
      <c r="I156" s="502" t="str">
        <f t="shared" si="11"/>
        <v/>
      </c>
      <c r="J156" s="501" t="str">
        <f>IF('CDO Bespoke'!O157&lt;&gt;"",'CDO Bespoke'!O157,"")</f>
        <v/>
      </c>
      <c r="K156" s="502" t="str">
        <f>IF(J156&lt;&gt;"",ABS(MIN(-0.75*('CDO Bespoke'!K157+'CDO Bespoke'!T157)+'CDO Bespoke'!T157,0)),"")</f>
        <v/>
      </c>
      <c r="L156" s="502" t="str">
        <f t="shared" si="9"/>
        <v/>
      </c>
      <c r="M156" s="506" t="str">
        <f t="shared" si="10"/>
        <v/>
      </c>
      <c r="O156" s="511" t="str">
        <f>IF('CDO Bespoke'!C181&lt;&gt;"",'CDO Bespoke'!C181,"")</f>
        <v/>
      </c>
      <c r="P156" s="513" t="str" cm="1">
        <f t="array" ref="P156">IF($O156&lt;&gt;"",-TRANSPOSE(INDEX(getcds('CDO Bespoke'!$C181,P$13,'CDO Bespoke'!$G181/10000,'CDO Bespoke'!F181,'CDO Bespoke'!$L157,'CDO Bespoke'!$C$13,'CDO Bespoke'!$C$14,'CDO Bespoke'!$C$15,'CDO Bespoke'!$C$8,,,TRUE,TRUE,FALSE,'CDO Bespoke'!$C$29:'CDO Bespoke'!$C$31,'CDO Bespoke'!$C$33),{5})),"")</f>
        <v/>
      </c>
      <c r="Q156" s="542" t="str" cm="1">
        <f t="array" ref="Q156">IF($O156&lt;&gt;"",-TRANSPOSE(INDEX(getcds('CDO Bespoke'!$C181,Q$13,'CDO Bespoke'!$G181/10000,'CDO Bespoke'!G181,'CDO Bespoke'!$L157,'CDO Bespoke'!$C$13,'CDO Bespoke'!$C$14,'CDO Bespoke'!$C$15,'CDO Bespoke'!$C$8,,,TRUE,TRUE,FALSE,'CDO Bespoke'!$C$29:'CDO Bespoke'!$C$31,'CDO Bespoke'!$C$33),{5})),"")</f>
        <v/>
      </c>
      <c r="R156" s="542" t="str" cm="1">
        <f t="array" ref="R156">IF($O156&lt;&gt;"",-TRANSPOSE(INDEX(getcds('CDO Bespoke'!$C181,R$13,'CDO Bespoke'!$G181/10000,'CDO Bespoke'!H181,'CDO Bespoke'!$L157,'CDO Bespoke'!$C$13,'CDO Bespoke'!$C$14,'CDO Bespoke'!$C$15,'CDO Bespoke'!$C$8,,,TRUE,TRUE,FALSE,'CDO Bespoke'!$C$29:'CDO Bespoke'!$C$31,'CDO Bespoke'!$C$33),{5})),"")</f>
        <v/>
      </c>
      <c r="S156" s="542" t="str" cm="1">
        <f t="array" ref="S156">IF($O156&lt;&gt;"",-TRANSPOSE(INDEX(getcds('CDO Bespoke'!$C181,S$13,'CDO Bespoke'!$G181/10000,'CDO Bespoke'!I181,'CDO Bespoke'!$L157,'CDO Bespoke'!$C$13,'CDO Bespoke'!$C$14,'CDO Bespoke'!$C$15,'CDO Bespoke'!$C$8,,,TRUE,TRUE,FALSE,'CDO Bespoke'!$C$29:'CDO Bespoke'!$C$31,'CDO Bespoke'!$C$33),{5})),"")</f>
        <v/>
      </c>
      <c r="T156" s="514" t="str" cm="1">
        <f t="array" ref="T156">IF($O156&lt;&gt;"",-TRANSPOSE(INDEX(getcds('CDO Bespoke'!$C181,T$13,'CDO Bespoke'!$G181/10000,'CDO Bespoke'!J181,'CDO Bespoke'!$L157,'CDO Bespoke'!$C$13,'CDO Bespoke'!$C$14,'CDO Bespoke'!$C$15,'CDO Bespoke'!$C$8,,,TRUE,TRUE,FALSE,'CDO Bespoke'!$C$29:'CDO Bespoke'!$C$31,'CDO Bespoke'!$C$33),{5})),"")</f>
        <v/>
      </c>
      <c r="U156" s="493"/>
      <c r="V156" s="529"/>
      <c r="W156" s="530"/>
      <c r="X156" s="530"/>
      <c r="Y156" s="530"/>
      <c r="Z156" s="530"/>
      <c r="AA156" s="530"/>
      <c r="AB156" s="530"/>
      <c r="AC156" s="530"/>
      <c r="AD156" s="530"/>
      <c r="AE156" s="531"/>
      <c r="AF156" s="539"/>
    </row>
    <row r="157" spans="6:32" s="281" customFormat="1" ht="12" thickBot="1">
      <c r="F157" s="501" t="str">
        <f>IF('CDO Bespoke'!O158&lt;&gt;"",'CDO Bespoke'!O158,"")</f>
        <v/>
      </c>
      <c r="G157" s="502" t="str">
        <f>IF(F157&lt;&gt;"",ABS(MIN(-0.75*('CDO Bespoke'!Q158+'CDO Bespoke'!T158)+'CDO Bespoke'!T158,0)),"")</f>
        <v/>
      </c>
      <c r="H157" s="502" t="str">
        <f t="shared" si="8"/>
        <v/>
      </c>
      <c r="I157" s="502" t="str">
        <f t="shared" si="11"/>
        <v/>
      </c>
      <c r="J157" s="501" t="str">
        <f>IF('CDO Bespoke'!O158&lt;&gt;"",'CDO Bespoke'!O158,"")</f>
        <v/>
      </c>
      <c r="K157" s="502" t="str">
        <f>IF(J157&lt;&gt;"",ABS(MIN(-0.75*('CDO Bespoke'!K158+'CDO Bespoke'!T158)+'CDO Bespoke'!T158,0)),"")</f>
        <v/>
      </c>
      <c r="L157" s="502" t="str">
        <f t="shared" si="9"/>
        <v/>
      </c>
      <c r="M157" s="506" t="str">
        <f t="shared" si="10"/>
        <v/>
      </c>
      <c r="O157" s="511" t="str">
        <f>IF('CDO Bespoke'!C182&lt;&gt;"",'CDO Bespoke'!C182,"")</f>
        <v/>
      </c>
      <c r="P157" s="513" t="str" cm="1">
        <f t="array" ref="P157">IF($O157&lt;&gt;"",-TRANSPOSE(INDEX(getcds('CDO Bespoke'!$C182,P$13,'CDO Bespoke'!$G182/10000,'CDO Bespoke'!F182,'CDO Bespoke'!$L158,'CDO Bespoke'!$C$13,'CDO Bespoke'!$C$14,'CDO Bespoke'!$C$15,'CDO Bespoke'!$C$8,,,TRUE,TRUE,FALSE,'CDO Bespoke'!$C$29:'CDO Bespoke'!$C$31,'CDO Bespoke'!$C$33),{5})),"")</f>
        <v/>
      </c>
      <c r="Q157" s="542" t="str" cm="1">
        <f t="array" ref="Q157">IF($O157&lt;&gt;"",-TRANSPOSE(INDEX(getcds('CDO Bespoke'!$C182,Q$13,'CDO Bespoke'!$G182/10000,'CDO Bespoke'!G182,'CDO Bespoke'!$L158,'CDO Bespoke'!$C$13,'CDO Bespoke'!$C$14,'CDO Bespoke'!$C$15,'CDO Bespoke'!$C$8,,,TRUE,TRUE,FALSE,'CDO Bespoke'!$C$29:'CDO Bespoke'!$C$31,'CDO Bespoke'!$C$33),{5})),"")</f>
        <v/>
      </c>
      <c r="R157" s="542" t="str" cm="1">
        <f t="array" ref="R157">IF($O157&lt;&gt;"",-TRANSPOSE(INDEX(getcds('CDO Bespoke'!$C182,R$13,'CDO Bespoke'!$G182/10000,'CDO Bespoke'!H182,'CDO Bespoke'!$L158,'CDO Bespoke'!$C$13,'CDO Bespoke'!$C$14,'CDO Bespoke'!$C$15,'CDO Bespoke'!$C$8,,,TRUE,TRUE,FALSE,'CDO Bespoke'!$C$29:'CDO Bespoke'!$C$31,'CDO Bespoke'!$C$33),{5})),"")</f>
        <v/>
      </c>
      <c r="S157" s="542" t="str" cm="1">
        <f t="array" ref="S157">IF($O157&lt;&gt;"",-TRANSPOSE(INDEX(getcds('CDO Bespoke'!$C182,S$13,'CDO Bespoke'!$G182/10000,'CDO Bespoke'!I182,'CDO Bespoke'!$L158,'CDO Bespoke'!$C$13,'CDO Bespoke'!$C$14,'CDO Bespoke'!$C$15,'CDO Bespoke'!$C$8,,,TRUE,TRUE,FALSE,'CDO Bespoke'!$C$29:'CDO Bespoke'!$C$31,'CDO Bespoke'!$C$33),{5})),"")</f>
        <v/>
      </c>
      <c r="T157" s="514" t="str" cm="1">
        <f t="array" ref="T157">IF($O157&lt;&gt;"",-TRANSPOSE(INDEX(getcds('CDO Bespoke'!$C182,T$13,'CDO Bespoke'!$G182/10000,'CDO Bespoke'!J182,'CDO Bespoke'!$L158,'CDO Bespoke'!$C$13,'CDO Bespoke'!$C$14,'CDO Bespoke'!$C$15,'CDO Bespoke'!$C$8,,,TRUE,TRUE,FALSE,'CDO Bespoke'!$C$29:'CDO Bespoke'!$C$31,'CDO Bespoke'!$C$33),{5})),"")</f>
        <v/>
      </c>
      <c r="U157" s="493"/>
      <c r="V157" s="529"/>
      <c r="W157" s="530"/>
      <c r="X157" s="530"/>
      <c r="Y157" s="530"/>
      <c r="Z157" s="530"/>
      <c r="AA157" s="530"/>
      <c r="AB157" s="530"/>
      <c r="AC157" s="530"/>
      <c r="AD157" s="530"/>
      <c r="AE157" s="531"/>
      <c r="AF157" s="539"/>
    </row>
    <row r="158" spans="6:32" s="281" customFormat="1" ht="12" thickBot="1">
      <c r="F158" s="501" t="str">
        <f>IF('CDO Bespoke'!O159&lt;&gt;"",'CDO Bespoke'!O159,"")</f>
        <v/>
      </c>
      <c r="G158" s="502" t="str">
        <f>IF(F158&lt;&gt;"",ABS(MIN(-0.75*('CDO Bespoke'!Q159+'CDO Bespoke'!T159)+'CDO Bespoke'!T159,0)),"")</f>
        <v/>
      </c>
      <c r="H158" s="502" t="str">
        <f t="shared" si="8"/>
        <v/>
      </c>
      <c r="I158" s="502" t="str">
        <f t="shared" si="11"/>
        <v/>
      </c>
      <c r="J158" s="501" t="str">
        <f>IF('CDO Bespoke'!O159&lt;&gt;"",'CDO Bespoke'!O159,"")</f>
        <v/>
      </c>
      <c r="K158" s="502" t="str">
        <f>IF(J158&lt;&gt;"",ABS(MIN(-0.75*('CDO Bespoke'!K159+'CDO Bespoke'!T159)+'CDO Bespoke'!T159,0)),"")</f>
        <v/>
      </c>
      <c r="L158" s="502" t="str">
        <f t="shared" si="9"/>
        <v/>
      </c>
      <c r="M158" s="506" t="str">
        <f t="shared" si="10"/>
        <v/>
      </c>
      <c r="O158" s="511" t="str">
        <f>IF('CDO Bespoke'!C183&lt;&gt;"",'CDO Bespoke'!C183,"")</f>
        <v/>
      </c>
      <c r="P158" s="513" t="str" cm="1">
        <f t="array" ref="P158">IF($O158&lt;&gt;"",-TRANSPOSE(INDEX(getcds('CDO Bespoke'!$C183,P$13,'CDO Bespoke'!$G183/10000,'CDO Bespoke'!F183,'CDO Bespoke'!$L159,'CDO Bespoke'!$C$13,'CDO Bespoke'!$C$14,'CDO Bespoke'!$C$15,'CDO Bespoke'!$C$8,,,TRUE,TRUE,FALSE,'CDO Bespoke'!$C$29:'CDO Bespoke'!$C$31,'CDO Bespoke'!$C$33),{5})),"")</f>
        <v/>
      </c>
      <c r="Q158" s="542" t="str" cm="1">
        <f t="array" ref="Q158">IF($O158&lt;&gt;"",-TRANSPOSE(INDEX(getcds('CDO Bespoke'!$C183,Q$13,'CDO Bespoke'!$G183/10000,'CDO Bespoke'!G183,'CDO Bespoke'!$L159,'CDO Bespoke'!$C$13,'CDO Bespoke'!$C$14,'CDO Bespoke'!$C$15,'CDO Bespoke'!$C$8,,,TRUE,TRUE,FALSE,'CDO Bespoke'!$C$29:'CDO Bespoke'!$C$31,'CDO Bespoke'!$C$33),{5})),"")</f>
        <v/>
      </c>
      <c r="R158" s="542" t="str" cm="1">
        <f t="array" ref="R158">IF($O158&lt;&gt;"",-TRANSPOSE(INDEX(getcds('CDO Bespoke'!$C183,R$13,'CDO Bespoke'!$G183/10000,'CDO Bespoke'!H183,'CDO Bespoke'!$L159,'CDO Bespoke'!$C$13,'CDO Bespoke'!$C$14,'CDO Bespoke'!$C$15,'CDO Bespoke'!$C$8,,,TRUE,TRUE,FALSE,'CDO Bespoke'!$C$29:'CDO Bespoke'!$C$31,'CDO Bespoke'!$C$33),{5})),"")</f>
        <v/>
      </c>
      <c r="S158" s="542" t="str" cm="1">
        <f t="array" ref="S158">IF($O158&lt;&gt;"",-TRANSPOSE(INDEX(getcds('CDO Bespoke'!$C183,S$13,'CDO Bespoke'!$G183/10000,'CDO Bespoke'!I183,'CDO Bespoke'!$L159,'CDO Bespoke'!$C$13,'CDO Bespoke'!$C$14,'CDO Bespoke'!$C$15,'CDO Bespoke'!$C$8,,,TRUE,TRUE,FALSE,'CDO Bespoke'!$C$29:'CDO Bespoke'!$C$31,'CDO Bespoke'!$C$33),{5})),"")</f>
        <v/>
      </c>
      <c r="T158" s="514" t="str" cm="1">
        <f t="array" ref="T158">IF($O158&lt;&gt;"",-TRANSPOSE(INDEX(getcds('CDO Bespoke'!$C183,T$13,'CDO Bespoke'!$G183/10000,'CDO Bespoke'!J183,'CDO Bespoke'!$L159,'CDO Bespoke'!$C$13,'CDO Bespoke'!$C$14,'CDO Bespoke'!$C$15,'CDO Bespoke'!$C$8,,,TRUE,TRUE,FALSE,'CDO Bespoke'!$C$29:'CDO Bespoke'!$C$31,'CDO Bespoke'!$C$33),{5})),"")</f>
        <v/>
      </c>
      <c r="U158" s="493"/>
      <c r="V158" s="529"/>
      <c r="W158" s="530"/>
      <c r="X158" s="530"/>
      <c r="Y158" s="530"/>
      <c r="Z158" s="530"/>
      <c r="AA158" s="530"/>
      <c r="AB158" s="530"/>
      <c r="AC158" s="530"/>
      <c r="AD158" s="530"/>
      <c r="AE158" s="531"/>
      <c r="AF158" s="539"/>
    </row>
    <row r="159" spans="6:32" s="281" customFormat="1" ht="12" thickBot="1">
      <c r="F159" s="501" t="str">
        <f>IF('CDO Bespoke'!O160&lt;&gt;"",'CDO Bespoke'!O160,"")</f>
        <v/>
      </c>
      <c r="G159" s="502" t="str">
        <f>IF(F159&lt;&gt;"",ABS(MIN(-0.75*('CDO Bespoke'!Q160+'CDO Bespoke'!T160)+'CDO Bespoke'!T160,0)),"")</f>
        <v/>
      </c>
      <c r="H159" s="502" t="str">
        <f t="shared" si="8"/>
        <v/>
      </c>
      <c r="I159" s="502" t="str">
        <f t="shared" si="11"/>
        <v/>
      </c>
      <c r="J159" s="501" t="str">
        <f>IF('CDO Bespoke'!O160&lt;&gt;"",'CDO Bespoke'!O160,"")</f>
        <v/>
      </c>
      <c r="K159" s="502" t="str">
        <f>IF(J159&lt;&gt;"",ABS(MIN(-0.75*('CDO Bespoke'!K160+'CDO Bespoke'!T160)+'CDO Bespoke'!T160,0)),"")</f>
        <v/>
      </c>
      <c r="L159" s="502" t="str">
        <f t="shared" si="9"/>
        <v/>
      </c>
      <c r="M159" s="506" t="str">
        <f t="shared" si="10"/>
        <v/>
      </c>
      <c r="O159" s="511" t="str">
        <f>IF('CDO Bespoke'!C184&lt;&gt;"",'CDO Bespoke'!C184,"")</f>
        <v/>
      </c>
      <c r="P159" s="513" t="str" cm="1">
        <f t="array" ref="P159">IF($O159&lt;&gt;"",-TRANSPOSE(INDEX(getcds('CDO Bespoke'!$C184,P$13,'CDO Bespoke'!$G184/10000,'CDO Bespoke'!F184,'CDO Bespoke'!$L160,'CDO Bespoke'!$C$13,'CDO Bespoke'!$C$14,'CDO Bespoke'!$C$15,'CDO Bespoke'!$C$8,,,TRUE,TRUE,FALSE,'CDO Bespoke'!$C$29:'CDO Bespoke'!$C$31,'CDO Bespoke'!$C$33),{5})),"")</f>
        <v/>
      </c>
      <c r="Q159" s="542" t="str" cm="1">
        <f t="array" ref="Q159">IF($O159&lt;&gt;"",-TRANSPOSE(INDEX(getcds('CDO Bespoke'!$C184,Q$13,'CDO Bespoke'!$G184/10000,'CDO Bespoke'!G184,'CDO Bespoke'!$L160,'CDO Bespoke'!$C$13,'CDO Bespoke'!$C$14,'CDO Bespoke'!$C$15,'CDO Bespoke'!$C$8,,,TRUE,TRUE,FALSE,'CDO Bespoke'!$C$29:'CDO Bespoke'!$C$31,'CDO Bespoke'!$C$33),{5})),"")</f>
        <v/>
      </c>
      <c r="R159" s="542" t="str" cm="1">
        <f t="array" ref="R159">IF($O159&lt;&gt;"",-TRANSPOSE(INDEX(getcds('CDO Bespoke'!$C184,R$13,'CDO Bespoke'!$G184/10000,'CDO Bespoke'!H184,'CDO Bespoke'!$L160,'CDO Bespoke'!$C$13,'CDO Bespoke'!$C$14,'CDO Bespoke'!$C$15,'CDO Bespoke'!$C$8,,,TRUE,TRUE,FALSE,'CDO Bespoke'!$C$29:'CDO Bespoke'!$C$31,'CDO Bespoke'!$C$33),{5})),"")</f>
        <v/>
      </c>
      <c r="S159" s="542" t="str" cm="1">
        <f t="array" ref="S159">IF($O159&lt;&gt;"",-TRANSPOSE(INDEX(getcds('CDO Bespoke'!$C184,S$13,'CDO Bespoke'!$G184/10000,'CDO Bespoke'!I184,'CDO Bespoke'!$L160,'CDO Bespoke'!$C$13,'CDO Bespoke'!$C$14,'CDO Bespoke'!$C$15,'CDO Bespoke'!$C$8,,,TRUE,TRUE,FALSE,'CDO Bespoke'!$C$29:'CDO Bespoke'!$C$31,'CDO Bespoke'!$C$33),{5})),"")</f>
        <v/>
      </c>
      <c r="T159" s="514" t="str" cm="1">
        <f t="array" ref="T159">IF($O159&lt;&gt;"",-TRANSPOSE(INDEX(getcds('CDO Bespoke'!$C184,T$13,'CDO Bespoke'!$G184/10000,'CDO Bespoke'!J184,'CDO Bespoke'!$L160,'CDO Bespoke'!$C$13,'CDO Bespoke'!$C$14,'CDO Bespoke'!$C$15,'CDO Bespoke'!$C$8,,,TRUE,TRUE,FALSE,'CDO Bespoke'!$C$29:'CDO Bespoke'!$C$31,'CDO Bespoke'!$C$33),{5})),"")</f>
        <v/>
      </c>
      <c r="U159" s="493"/>
      <c r="V159" s="529"/>
      <c r="W159" s="530"/>
      <c r="X159" s="530"/>
      <c r="Y159" s="530"/>
      <c r="Z159" s="530"/>
      <c r="AA159" s="530"/>
      <c r="AB159" s="530"/>
      <c r="AC159" s="530"/>
      <c r="AD159" s="530"/>
      <c r="AE159" s="531"/>
      <c r="AF159" s="539"/>
    </row>
    <row r="160" spans="6:32" s="281" customFormat="1" ht="12" thickBot="1">
      <c r="F160" s="501" t="str">
        <f>IF('CDO Bespoke'!O161&lt;&gt;"",'CDO Bespoke'!O161,"")</f>
        <v/>
      </c>
      <c r="G160" s="502" t="str">
        <f>IF(F160&lt;&gt;"",ABS(MIN(-0.75*('CDO Bespoke'!Q161+'CDO Bespoke'!T161)+'CDO Bespoke'!T161,0)),"")</f>
        <v/>
      </c>
      <c r="H160" s="502" t="str">
        <f t="shared" si="8"/>
        <v/>
      </c>
      <c r="I160" s="502" t="str">
        <f t="shared" si="11"/>
        <v/>
      </c>
      <c r="J160" s="501" t="str">
        <f>IF('CDO Bespoke'!O161&lt;&gt;"",'CDO Bespoke'!O161,"")</f>
        <v/>
      </c>
      <c r="K160" s="502" t="str">
        <f>IF(J160&lt;&gt;"",ABS(MIN(-0.75*('CDO Bespoke'!K161+'CDO Bespoke'!T161)+'CDO Bespoke'!T161,0)),"")</f>
        <v/>
      </c>
      <c r="L160" s="502" t="str">
        <f t="shared" si="9"/>
        <v/>
      </c>
      <c r="M160" s="506" t="str">
        <f t="shared" si="10"/>
        <v/>
      </c>
      <c r="O160" s="511" t="str">
        <f>IF('CDO Bespoke'!C185&lt;&gt;"",'CDO Bespoke'!C185,"")</f>
        <v/>
      </c>
      <c r="P160" s="513" t="str" cm="1">
        <f t="array" ref="P160">IF($O160&lt;&gt;"",-TRANSPOSE(INDEX(getcds('CDO Bespoke'!$C185,P$13,'CDO Bespoke'!$G185/10000,'CDO Bespoke'!F185,'CDO Bespoke'!$L161,'CDO Bespoke'!$C$13,'CDO Bespoke'!$C$14,'CDO Bespoke'!$C$15,'CDO Bespoke'!$C$8,,,TRUE,TRUE,FALSE,'CDO Bespoke'!$C$29:'CDO Bespoke'!$C$31,'CDO Bespoke'!$C$33),{5})),"")</f>
        <v/>
      </c>
      <c r="Q160" s="542" t="str" cm="1">
        <f t="array" ref="Q160">IF($O160&lt;&gt;"",-TRANSPOSE(INDEX(getcds('CDO Bespoke'!$C185,Q$13,'CDO Bespoke'!$G185/10000,'CDO Bespoke'!G185,'CDO Bespoke'!$L161,'CDO Bespoke'!$C$13,'CDO Bespoke'!$C$14,'CDO Bespoke'!$C$15,'CDO Bespoke'!$C$8,,,TRUE,TRUE,FALSE,'CDO Bespoke'!$C$29:'CDO Bespoke'!$C$31,'CDO Bespoke'!$C$33),{5})),"")</f>
        <v/>
      </c>
      <c r="R160" s="542" t="str" cm="1">
        <f t="array" ref="R160">IF($O160&lt;&gt;"",-TRANSPOSE(INDEX(getcds('CDO Bespoke'!$C185,R$13,'CDO Bespoke'!$G185/10000,'CDO Bespoke'!H185,'CDO Bespoke'!$L161,'CDO Bespoke'!$C$13,'CDO Bespoke'!$C$14,'CDO Bespoke'!$C$15,'CDO Bespoke'!$C$8,,,TRUE,TRUE,FALSE,'CDO Bespoke'!$C$29:'CDO Bespoke'!$C$31,'CDO Bespoke'!$C$33),{5})),"")</f>
        <v/>
      </c>
      <c r="S160" s="542" t="str" cm="1">
        <f t="array" ref="S160">IF($O160&lt;&gt;"",-TRANSPOSE(INDEX(getcds('CDO Bespoke'!$C185,S$13,'CDO Bespoke'!$G185/10000,'CDO Bespoke'!I185,'CDO Bespoke'!$L161,'CDO Bespoke'!$C$13,'CDO Bespoke'!$C$14,'CDO Bespoke'!$C$15,'CDO Bespoke'!$C$8,,,TRUE,TRUE,FALSE,'CDO Bespoke'!$C$29:'CDO Bespoke'!$C$31,'CDO Bespoke'!$C$33),{5})),"")</f>
        <v/>
      </c>
      <c r="T160" s="514" t="str" cm="1">
        <f t="array" ref="T160">IF($O160&lt;&gt;"",-TRANSPOSE(INDEX(getcds('CDO Bespoke'!$C185,T$13,'CDO Bespoke'!$G185/10000,'CDO Bespoke'!J185,'CDO Bespoke'!$L161,'CDO Bespoke'!$C$13,'CDO Bespoke'!$C$14,'CDO Bespoke'!$C$15,'CDO Bespoke'!$C$8,,,TRUE,TRUE,FALSE,'CDO Bespoke'!$C$29:'CDO Bespoke'!$C$31,'CDO Bespoke'!$C$33),{5})),"")</f>
        <v/>
      </c>
      <c r="U160" s="493"/>
      <c r="V160" s="529"/>
      <c r="W160" s="530"/>
      <c r="X160" s="530"/>
      <c r="Y160" s="530"/>
      <c r="Z160" s="530"/>
      <c r="AA160" s="530"/>
      <c r="AB160" s="530"/>
      <c r="AC160" s="530"/>
      <c r="AD160" s="530"/>
      <c r="AE160" s="531"/>
      <c r="AF160" s="539"/>
    </row>
    <row r="161" spans="6:32" s="281" customFormat="1" ht="12" thickBot="1">
      <c r="F161" s="501" t="str">
        <f>IF('CDO Bespoke'!O162&lt;&gt;"",'CDO Bespoke'!O162,"")</f>
        <v/>
      </c>
      <c r="G161" s="502" t="str">
        <f>IF(F161&lt;&gt;"",ABS(MIN(-0.75*('CDO Bespoke'!Q162+'CDO Bespoke'!T162)+'CDO Bespoke'!T162,0)),"")</f>
        <v/>
      </c>
      <c r="H161" s="502" t="str">
        <f t="shared" si="8"/>
        <v/>
      </c>
      <c r="I161" s="502" t="str">
        <f t="shared" si="11"/>
        <v/>
      </c>
      <c r="J161" s="501" t="str">
        <f>IF('CDO Bespoke'!O162&lt;&gt;"",'CDO Bespoke'!O162,"")</f>
        <v/>
      </c>
      <c r="K161" s="502" t="str">
        <f>IF(J161&lt;&gt;"",ABS(MIN(-0.75*('CDO Bespoke'!K162+'CDO Bespoke'!T162)+'CDO Bespoke'!T162,0)),"")</f>
        <v/>
      </c>
      <c r="L161" s="502" t="str">
        <f t="shared" si="9"/>
        <v/>
      </c>
      <c r="M161" s="506" t="str">
        <f t="shared" si="10"/>
        <v/>
      </c>
      <c r="O161" s="511" t="str">
        <f>IF('CDO Bespoke'!C186&lt;&gt;"",'CDO Bespoke'!C186,"")</f>
        <v/>
      </c>
      <c r="P161" s="513" t="str" cm="1">
        <f t="array" ref="P161">IF($O161&lt;&gt;"",-TRANSPOSE(INDEX(getcds('CDO Bespoke'!$C186,P$13,'CDO Bespoke'!$G186/10000,'CDO Bespoke'!F186,'CDO Bespoke'!$L162,'CDO Bespoke'!$C$13,'CDO Bespoke'!$C$14,'CDO Bespoke'!$C$15,'CDO Bespoke'!$C$8,,,TRUE,TRUE,FALSE,'CDO Bespoke'!$C$29:'CDO Bespoke'!$C$31,'CDO Bespoke'!$C$33),{5})),"")</f>
        <v/>
      </c>
      <c r="Q161" s="542" t="str" cm="1">
        <f t="array" ref="Q161">IF($O161&lt;&gt;"",-TRANSPOSE(INDEX(getcds('CDO Bespoke'!$C186,Q$13,'CDO Bespoke'!$G186/10000,'CDO Bespoke'!G186,'CDO Bespoke'!$L162,'CDO Bespoke'!$C$13,'CDO Bespoke'!$C$14,'CDO Bespoke'!$C$15,'CDO Bespoke'!$C$8,,,TRUE,TRUE,FALSE,'CDO Bespoke'!$C$29:'CDO Bespoke'!$C$31,'CDO Bespoke'!$C$33),{5})),"")</f>
        <v/>
      </c>
      <c r="R161" s="542" t="str" cm="1">
        <f t="array" ref="R161">IF($O161&lt;&gt;"",-TRANSPOSE(INDEX(getcds('CDO Bespoke'!$C186,R$13,'CDO Bespoke'!$G186/10000,'CDO Bespoke'!H186,'CDO Bespoke'!$L162,'CDO Bespoke'!$C$13,'CDO Bespoke'!$C$14,'CDO Bespoke'!$C$15,'CDO Bespoke'!$C$8,,,TRUE,TRUE,FALSE,'CDO Bespoke'!$C$29:'CDO Bespoke'!$C$31,'CDO Bespoke'!$C$33),{5})),"")</f>
        <v/>
      </c>
      <c r="S161" s="542" t="str" cm="1">
        <f t="array" ref="S161">IF($O161&lt;&gt;"",-TRANSPOSE(INDEX(getcds('CDO Bespoke'!$C186,S$13,'CDO Bespoke'!$G186/10000,'CDO Bespoke'!I186,'CDO Bespoke'!$L162,'CDO Bespoke'!$C$13,'CDO Bespoke'!$C$14,'CDO Bespoke'!$C$15,'CDO Bespoke'!$C$8,,,TRUE,TRUE,FALSE,'CDO Bespoke'!$C$29:'CDO Bespoke'!$C$31,'CDO Bespoke'!$C$33),{5})),"")</f>
        <v/>
      </c>
      <c r="T161" s="514" t="str" cm="1">
        <f t="array" ref="T161">IF($O161&lt;&gt;"",-TRANSPOSE(INDEX(getcds('CDO Bespoke'!$C186,T$13,'CDO Bespoke'!$G186/10000,'CDO Bespoke'!J186,'CDO Bespoke'!$L162,'CDO Bespoke'!$C$13,'CDO Bespoke'!$C$14,'CDO Bespoke'!$C$15,'CDO Bespoke'!$C$8,,,TRUE,TRUE,FALSE,'CDO Bespoke'!$C$29:'CDO Bespoke'!$C$31,'CDO Bespoke'!$C$33),{5})),"")</f>
        <v/>
      </c>
      <c r="U161" s="493"/>
      <c r="V161" s="529"/>
      <c r="W161" s="530"/>
      <c r="X161" s="530"/>
      <c r="Y161" s="530"/>
      <c r="Z161" s="530"/>
      <c r="AA161" s="530"/>
      <c r="AB161" s="530"/>
      <c r="AC161" s="530"/>
      <c r="AD161" s="530"/>
      <c r="AE161" s="531"/>
      <c r="AF161" s="539"/>
    </row>
    <row r="162" spans="6:32" s="281" customFormat="1" ht="12" thickBot="1">
      <c r="F162" s="501" t="str">
        <f>IF('CDO Bespoke'!O163&lt;&gt;"",'CDO Bespoke'!O163,"")</f>
        <v/>
      </c>
      <c r="G162" s="502" t="str">
        <f>IF(F162&lt;&gt;"",ABS(MIN(-0.75*('CDO Bespoke'!Q163+'CDO Bespoke'!T163)+'CDO Bespoke'!T163,0)),"")</f>
        <v/>
      </c>
      <c r="H162" s="502" t="str">
        <f t="shared" si="8"/>
        <v/>
      </c>
      <c r="I162" s="502" t="str">
        <f t="shared" si="11"/>
        <v/>
      </c>
      <c r="J162" s="501" t="str">
        <f>IF('CDO Bespoke'!O163&lt;&gt;"",'CDO Bespoke'!O163,"")</f>
        <v/>
      </c>
      <c r="K162" s="502" t="str">
        <f>IF(J162&lt;&gt;"",ABS(MIN(-0.75*('CDO Bespoke'!K163+'CDO Bespoke'!T163)+'CDO Bespoke'!T163,0)),"")</f>
        <v/>
      </c>
      <c r="L162" s="502" t="str">
        <f t="shared" si="9"/>
        <v/>
      </c>
      <c r="M162" s="506" t="str">
        <f t="shared" si="10"/>
        <v/>
      </c>
      <c r="O162" s="511" t="str">
        <f>IF('CDO Bespoke'!C187&lt;&gt;"",'CDO Bespoke'!C187,"")</f>
        <v/>
      </c>
      <c r="P162" s="513" t="str" cm="1">
        <f t="array" ref="P162">IF($O162&lt;&gt;"",-TRANSPOSE(INDEX(getcds('CDO Bespoke'!$C187,P$13,'CDO Bespoke'!$G187/10000,'CDO Bespoke'!F187,'CDO Bespoke'!$L163,'CDO Bespoke'!$C$13,'CDO Bespoke'!$C$14,'CDO Bespoke'!$C$15,'CDO Bespoke'!$C$8,,,TRUE,TRUE,FALSE,'CDO Bespoke'!$C$29:'CDO Bespoke'!$C$31,'CDO Bespoke'!$C$33),{5})),"")</f>
        <v/>
      </c>
      <c r="Q162" s="542" t="str" cm="1">
        <f t="array" ref="Q162">IF($O162&lt;&gt;"",-TRANSPOSE(INDEX(getcds('CDO Bespoke'!$C187,Q$13,'CDO Bespoke'!$G187/10000,'CDO Bespoke'!G187,'CDO Bespoke'!$L163,'CDO Bespoke'!$C$13,'CDO Bespoke'!$C$14,'CDO Bespoke'!$C$15,'CDO Bespoke'!$C$8,,,TRUE,TRUE,FALSE,'CDO Bespoke'!$C$29:'CDO Bespoke'!$C$31,'CDO Bespoke'!$C$33),{5})),"")</f>
        <v/>
      </c>
      <c r="R162" s="542" t="str" cm="1">
        <f t="array" ref="R162">IF($O162&lt;&gt;"",-TRANSPOSE(INDEX(getcds('CDO Bespoke'!$C187,R$13,'CDO Bespoke'!$G187/10000,'CDO Bespoke'!H187,'CDO Bespoke'!$L163,'CDO Bespoke'!$C$13,'CDO Bespoke'!$C$14,'CDO Bespoke'!$C$15,'CDO Bespoke'!$C$8,,,TRUE,TRUE,FALSE,'CDO Bespoke'!$C$29:'CDO Bespoke'!$C$31,'CDO Bespoke'!$C$33),{5})),"")</f>
        <v/>
      </c>
      <c r="S162" s="542" t="str" cm="1">
        <f t="array" ref="S162">IF($O162&lt;&gt;"",-TRANSPOSE(INDEX(getcds('CDO Bespoke'!$C187,S$13,'CDO Bespoke'!$G187/10000,'CDO Bespoke'!I187,'CDO Bespoke'!$L163,'CDO Bespoke'!$C$13,'CDO Bespoke'!$C$14,'CDO Bespoke'!$C$15,'CDO Bespoke'!$C$8,,,TRUE,TRUE,FALSE,'CDO Bespoke'!$C$29:'CDO Bespoke'!$C$31,'CDO Bespoke'!$C$33),{5})),"")</f>
        <v/>
      </c>
      <c r="T162" s="514" t="str" cm="1">
        <f t="array" ref="T162">IF($O162&lt;&gt;"",-TRANSPOSE(INDEX(getcds('CDO Bespoke'!$C187,T$13,'CDO Bespoke'!$G187/10000,'CDO Bespoke'!J187,'CDO Bespoke'!$L163,'CDO Bespoke'!$C$13,'CDO Bespoke'!$C$14,'CDO Bespoke'!$C$15,'CDO Bespoke'!$C$8,,,TRUE,TRUE,FALSE,'CDO Bespoke'!$C$29:'CDO Bespoke'!$C$31,'CDO Bespoke'!$C$33),{5})),"")</f>
        <v/>
      </c>
      <c r="U162" s="493"/>
      <c r="V162" s="529"/>
      <c r="W162" s="530"/>
      <c r="X162" s="530"/>
      <c r="Y162" s="530"/>
      <c r="Z162" s="530"/>
      <c r="AA162" s="530"/>
      <c r="AB162" s="530"/>
      <c r="AC162" s="530"/>
      <c r="AD162" s="530"/>
      <c r="AE162" s="531"/>
      <c r="AF162" s="539"/>
    </row>
    <row r="163" spans="6:32" s="281" customFormat="1" ht="12" thickBot="1">
      <c r="F163" s="501" t="str">
        <f>IF('CDO Bespoke'!O164&lt;&gt;"",'CDO Bespoke'!O164,"")</f>
        <v/>
      </c>
      <c r="G163" s="502" t="str">
        <f>IF(F163&lt;&gt;"",ABS(MIN(-0.75*('CDO Bespoke'!Q164+'CDO Bespoke'!T164)+'CDO Bespoke'!T164,0)),"")</f>
        <v/>
      </c>
      <c r="H163" s="502" t="str">
        <f t="shared" si="8"/>
        <v/>
      </c>
      <c r="I163" s="502" t="str">
        <f t="shared" si="11"/>
        <v/>
      </c>
      <c r="J163" s="501" t="str">
        <f>IF('CDO Bespoke'!O164&lt;&gt;"",'CDO Bespoke'!O164,"")</f>
        <v/>
      </c>
      <c r="K163" s="502" t="str">
        <f>IF(J163&lt;&gt;"",ABS(MIN(-0.75*('CDO Bespoke'!K164+'CDO Bespoke'!T164)+'CDO Bespoke'!T164,0)),"")</f>
        <v/>
      </c>
      <c r="L163" s="502" t="str">
        <f t="shared" si="9"/>
        <v/>
      </c>
      <c r="M163" s="506" t="str">
        <f t="shared" si="10"/>
        <v/>
      </c>
      <c r="O163" s="511" t="str">
        <f>IF('CDO Bespoke'!C188&lt;&gt;"",'CDO Bespoke'!C188,"")</f>
        <v/>
      </c>
      <c r="P163" s="513" t="str" cm="1">
        <f t="array" ref="P163">IF($O163&lt;&gt;"",-TRANSPOSE(INDEX(getcds('CDO Bespoke'!$C188,P$13,'CDO Bespoke'!$G188/10000,'CDO Bespoke'!F188,'CDO Bespoke'!$L164,'CDO Bespoke'!$C$13,'CDO Bespoke'!$C$14,'CDO Bespoke'!$C$15,'CDO Bespoke'!$C$8,,,TRUE,TRUE,FALSE,'CDO Bespoke'!$C$29:'CDO Bespoke'!$C$31,'CDO Bespoke'!$C$33),{5})),"")</f>
        <v/>
      </c>
      <c r="Q163" s="542" t="str" cm="1">
        <f t="array" ref="Q163">IF($O163&lt;&gt;"",-TRANSPOSE(INDEX(getcds('CDO Bespoke'!$C188,Q$13,'CDO Bespoke'!$G188/10000,'CDO Bespoke'!G188,'CDO Bespoke'!$L164,'CDO Bespoke'!$C$13,'CDO Bespoke'!$C$14,'CDO Bespoke'!$C$15,'CDO Bespoke'!$C$8,,,TRUE,TRUE,FALSE,'CDO Bespoke'!$C$29:'CDO Bespoke'!$C$31,'CDO Bespoke'!$C$33),{5})),"")</f>
        <v/>
      </c>
      <c r="R163" s="542" t="str" cm="1">
        <f t="array" ref="R163">IF($O163&lt;&gt;"",-TRANSPOSE(INDEX(getcds('CDO Bespoke'!$C188,R$13,'CDO Bespoke'!$G188/10000,'CDO Bespoke'!H188,'CDO Bespoke'!$L164,'CDO Bespoke'!$C$13,'CDO Bespoke'!$C$14,'CDO Bespoke'!$C$15,'CDO Bespoke'!$C$8,,,TRUE,TRUE,FALSE,'CDO Bespoke'!$C$29:'CDO Bespoke'!$C$31,'CDO Bespoke'!$C$33),{5})),"")</f>
        <v/>
      </c>
      <c r="S163" s="542" t="str" cm="1">
        <f t="array" ref="S163">IF($O163&lt;&gt;"",-TRANSPOSE(INDEX(getcds('CDO Bespoke'!$C188,S$13,'CDO Bespoke'!$G188/10000,'CDO Bespoke'!I188,'CDO Bespoke'!$L164,'CDO Bespoke'!$C$13,'CDO Bespoke'!$C$14,'CDO Bespoke'!$C$15,'CDO Bespoke'!$C$8,,,TRUE,TRUE,FALSE,'CDO Bespoke'!$C$29:'CDO Bespoke'!$C$31,'CDO Bespoke'!$C$33),{5})),"")</f>
        <v/>
      </c>
      <c r="T163" s="514" t="str" cm="1">
        <f t="array" ref="T163">IF($O163&lt;&gt;"",-TRANSPOSE(INDEX(getcds('CDO Bespoke'!$C188,T$13,'CDO Bespoke'!$G188/10000,'CDO Bespoke'!J188,'CDO Bespoke'!$L164,'CDO Bespoke'!$C$13,'CDO Bespoke'!$C$14,'CDO Bespoke'!$C$15,'CDO Bespoke'!$C$8,,,TRUE,TRUE,FALSE,'CDO Bespoke'!$C$29:'CDO Bespoke'!$C$31,'CDO Bespoke'!$C$33),{5})),"")</f>
        <v/>
      </c>
      <c r="U163" s="493"/>
      <c r="V163" s="529"/>
      <c r="W163" s="530"/>
      <c r="X163" s="530"/>
      <c r="Y163" s="530"/>
      <c r="Z163" s="530"/>
      <c r="AA163" s="530"/>
      <c r="AB163" s="530"/>
      <c r="AC163" s="530"/>
      <c r="AD163" s="530"/>
      <c r="AE163" s="531"/>
      <c r="AF163" s="539"/>
    </row>
    <row r="164" spans="6:32" s="281" customFormat="1" ht="12" thickBot="1">
      <c r="F164" s="501" t="str">
        <f>IF('CDO Bespoke'!O165&lt;&gt;"",'CDO Bespoke'!O165,"")</f>
        <v/>
      </c>
      <c r="G164" s="502" t="str">
        <f>IF(F164&lt;&gt;"",ABS(MIN(-0.75*('CDO Bespoke'!Q165+'CDO Bespoke'!T165)+'CDO Bespoke'!T165,0)),"")</f>
        <v/>
      </c>
      <c r="H164" s="502" t="str">
        <f t="shared" si="8"/>
        <v/>
      </c>
      <c r="I164" s="502" t="str">
        <f t="shared" si="11"/>
        <v/>
      </c>
      <c r="J164" s="501" t="str">
        <f>IF('CDO Bespoke'!O165&lt;&gt;"",'CDO Bespoke'!O165,"")</f>
        <v/>
      </c>
      <c r="K164" s="502" t="str">
        <f>IF(J164&lt;&gt;"",ABS(MIN(-0.75*('CDO Bespoke'!K165+'CDO Bespoke'!T165)+'CDO Bespoke'!T165,0)),"")</f>
        <v/>
      </c>
      <c r="L164" s="502" t="str">
        <f t="shared" si="9"/>
        <v/>
      </c>
      <c r="M164" s="506" t="str">
        <f t="shared" si="10"/>
        <v/>
      </c>
      <c r="O164" s="511" t="str">
        <f>IF('CDO Bespoke'!C189&lt;&gt;"",'CDO Bespoke'!C189,"")</f>
        <v/>
      </c>
      <c r="P164" s="513" t="str" cm="1">
        <f t="array" ref="P164">IF($O164&lt;&gt;"",-TRANSPOSE(INDEX(getcds('CDO Bespoke'!$C189,P$13,'CDO Bespoke'!$G189/10000,'CDO Bespoke'!F189,'CDO Bespoke'!$L165,'CDO Bespoke'!$C$13,'CDO Bespoke'!$C$14,'CDO Bespoke'!$C$15,'CDO Bespoke'!$C$8,,,TRUE,TRUE,FALSE,'CDO Bespoke'!$C$29:'CDO Bespoke'!$C$31,'CDO Bespoke'!$C$33),{5})),"")</f>
        <v/>
      </c>
      <c r="Q164" s="542" t="str" cm="1">
        <f t="array" ref="Q164">IF($O164&lt;&gt;"",-TRANSPOSE(INDEX(getcds('CDO Bespoke'!$C189,Q$13,'CDO Bespoke'!$G189/10000,'CDO Bespoke'!G189,'CDO Bespoke'!$L165,'CDO Bespoke'!$C$13,'CDO Bespoke'!$C$14,'CDO Bespoke'!$C$15,'CDO Bespoke'!$C$8,,,TRUE,TRUE,FALSE,'CDO Bespoke'!$C$29:'CDO Bespoke'!$C$31,'CDO Bespoke'!$C$33),{5})),"")</f>
        <v/>
      </c>
      <c r="R164" s="542" t="str" cm="1">
        <f t="array" ref="R164">IF($O164&lt;&gt;"",-TRANSPOSE(INDEX(getcds('CDO Bespoke'!$C189,R$13,'CDO Bespoke'!$G189/10000,'CDO Bespoke'!H189,'CDO Bespoke'!$L165,'CDO Bespoke'!$C$13,'CDO Bespoke'!$C$14,'CDO Bespoke'!$C$15,'CDO Bespoke'!$C$8,,,TRUE,TRUE,FALSE,'CDO Bespoke'!$C$29:'CDO Bespoke'!$C$31,'CDO Bespoke'!$C$33),{5})),"")</f>
        <v/>
      </c>
      <c r="S164" s="542" t="str" cm="1">
        <f t="array" ref="S164">IF($O164&lt;&gt;"",-TRANSPOSE(INDEX(getcds('CDO Bespoke'!$C189,S$13,'CDO Bespoke'!$G189/10000,'CDO Bespoke'!I189,'CDO Bespoke'!$L165,'CDO Bespoke'!$C$13,'CDO Bespoke'!$C$14,'CDO Bespoke'!$C$15,'CDO Bespoke'!$C$8,,,TRUE,TRUE,FALSE,'CDO Bespoke'!$C$29:'CDO Bespoke'!$C$31,'CDO Bespoke'!$C$33),{5})),"")</f>
        <v/>
      </c>
      <c r="T164" s="514" t="str" cm="1">
        <f t="array" ref="T164">IF($O164&lt;&gt;"",-TRANSPOSE(INDEX(getcds('CDO Bespoke'!$C189,T$13,'CDO Bespoke'!$G189/10000,'CDO Bespoke'!J189,'CDO Bespoke'!$L165,'CDO Bespoke'!$C$13,'CDO Bespoke'!$C$14,'CDO Bespoke'!$C$15,'CDO Bespoke'!$C$8,,,TRUE,TRUE,FALSE,'CDO Bespoke'!$C$29:'CDO Bespoke'!$C$31,'CDO Bespoke'!$C$33),{5})),"")</f>
        <v/>
      </c>
      <c r="U164" s="493"/>
      <c r="V164" s="529"/>
      <c r="W164" s="530"/>
      <c r="X164" s="530"/>
      <c r="Y164" s="530"/>
      <c r="Z164" s="530"/>
      <c r="AA164" s="530"/>
      <c r="AB164" s="530"/>
      <c r="AC164" s="530"/>
      <c r="AD164" s="530"/>
      <c r="AE164" s="531"/>
      <c r="AF164" s="539"/>
    </row>
    <row r="165" spans="6:32" s="281" customFormat="1" ht="12" thickBot="1">
      <c r="F165" s="501" t="str">
        <f>IF('CDO Bespoke'!O166&lt;&gt;"",'CDO Bespoke'!O166,"")</f>
        <v/>
      </c>
      <c r="G165" s="502" t="str">
        <f>IF(F165&lt;&gt;"",ABS(MIN(-0.75*('CDO Bespoke'!Q166+'CDO Bespoke'!T166)+'CDO Bespoke'!T166,0)),"")</f>
        <v/>
      </c>
      <c r="H165" s="502" t="str">
        <f t="shared" si="8"/>
        <v/>
      </c>
      <c r="I165" s="502" t="str">
        <f t="shared" si="11"/>
        <v/>
      </c>
      <c r="J165" s="501" t="str">
        <f>IF('CDO Bespoke'!O166&lt;&gt;"",'CDO Bespoke'!O166,"")</f>
        <v/>
      </c>
      <c r="K165" s="502" t="str">
        <f>IF(J165&lt;&gt;"",ABS(MIN(-0.75*('CDO Bespoke'!K166+'CDO Bespoke'!T166)+'CDO Bespoke'!T166,0)),"")</f>
        <v/>
      </c>
      <c r="L165" s="502" t="str">
        <f t="shared" si="9"/>
        <v/>
      </c>
      <c r="M165" s="506" t="str">
        <f t="shared" si="10"/>
        <v/>
      </c>
      <c r="O165" s="511" t="str">
        <f>IF('CDO Bespoke'!C190&lt;&gt;"",'CDO Bespoke'!C190,"")</f>
        <v/>
      </c>
      <c r="P165" s="513" t="str" cm="1">
        <f t="array" ref="P165">IF($O165&lt;&gt;"",-TRANSPOSE(INDEX(getcds('CDO Bespoke'!$C190,P$13,'CDO Bespoke'!$G190/10000,'CDO Bespoke'!F190,'CDO Bespoke'!$L166,'CDO Bespoke'!$C$13,'CDO Bespoke'!$C$14,'CDO Bespoke'!$C$15,'CDO Bespoke'!$C$8,,,TRUE,TRUE,FALSE,'CDO Bespoke'!$C$29:'CDO Bespoke'!$C$31,'CDO Bespoke'!$C$33),{5})),"")</f>
        <v/>
      </c>
      <c r="Q165" s="542" t="str" cm="1">
        <f t="array" ref="Q165">IF($O165&lt;&gt;"",-TRANSPOSE(INDEX(getcds('CDO Bespoke'!$C190,Q$13,'CDO Bespoke'!$G190/10000,'CDO Bespoke'!G190,'CDO Bespoke'!$L166,'CDO Bespoke'!$C$13,'CDO Bespoke'!$C$14,'CDO Bespoke'!$C$15,'CDO Bespoke'!$C$8,,,TRUE,TRUE,FALSE,'CDO Bespoke'!$C$29:'CDO Bespoke'!$C$31,'CDO Bespoke'!$C$33),{5})),"")</f>
        <v/>
      </c>
      <c r="R165" s="542" t="str" cm="1">
        <f t="array" ref="R165">IF($O165&lt;&gt;"",-TRANSPOSE(INDEX(getcds('CDO Bespoke'!$C190,R$13,'CDO Bespoke'!$G190/10000,'CDO Bespoke'!H190,'CDO Bespoke'!$L166,'CDO Bespoke'!$C$13,'CDO Bespoke'!$C$14,'CDO Bespoke'!$C$15,'CDO Bespoke'!$C$8,,,TRUE,TRUE,FALSE,'CDO Bespoke'!$C$29:'CDO Bespoke'!$C$31,'CDO Bespoke'!$C$33),{5})),"")</f>
        <v/>
      </c>
      <c r="S165" s="542" t="str" cm="1">
        <f t="array" ref="S165">IF($O165&lt;&gt;"",-TRANSPOSE(INDEX(getcds('CDO Bespoke'!$C190,S$13,'CDO Bespoke'!$G190/10000,'CDO Bespoke'!I190,'CDO Bespoke'!$L166,'CDO Bespoke'!$C$13,'CDO Bespoke'!$C$14,'CDO Bespoke'!$C$15,'CDO Bespoke'!$C$8,,,TRUE,TRUE,FALSE,'CDO Bespoke'!$C$29:'CDO Bespoke'!$C$31,'CDO Bespoke'!$C$33),{5})),"")</f>
        <v/>
      </c>
      <c r="T165" s="514" t="str" cm="1">
        <f t="array" ref="T165">IF($O165&lt;&gt;"",-TRANSPOSE(INDEX(getcds('CDO Bespoke'!$C190,T$13,'CDO Bespoke'!$G190/10000,'CDO Bespoke'!J190,'CDO Bespoke'!$L166,'CDO Bespoke'!$C$13,'CDO Bespoke'!$C$14,'CDO Bespoke'!$C$15,'CDO Bespoke'!$C$8,,,TRUE,TRUE,FALSE,'CDO Bespoke'!$C$29:'CDO Bespoke'!$C$31,'CDO Bespoke'!$C$33),{5})),"")</f>
        <v/>
      </c>
      <c r="U165" s="493"/>
      <c r="V165" s="529"/>
      <c r="W165" s="530"/>
      <c r="X165" s="530"/>
      <c r="Y165" s="530"/>
      <c r="Z165" s="530"/>
      <c r="AA165" s="530"/>
      <c r="AB165" s="530"/>
      <c r="AC165" s="530"/>
      <c r="AD165" s="530"/>
      <c r="AE165" s="531"/>
      <c r="AF165" s="539"/>
    </row>
    <row r="166" spans="6:32" s="281" customFormat="1" ht="12" thickBot="1">
      <c r="F166" s="501" t="str">
        <f>IF('CDO Bespoke'!O167&lt;&gt;"",'CDO Bespoke'!O167,"")</f>
        <v/>
      </c>
      <c r="G166" s="502" t="str">
        <f>IF(F166&lt;&gt;"",ABS(MIN(-0.75*('CDO Bespoke'!Q167+'CDO Bespoke'!T167)+'CDO Bespoke'!T167,0)),"")</f>
        <v/>
      </c>
      <c r="H166" s="502" t="str">
        <f t="shared" si="8"/>
        <v/>
      </c>
      <c r="I166" s="502" t="str">
        <f t="shared" si="11"/>
        <v/>
      </c>
      <c r="J166" s="501" t="str">
        <f>IF('CDO Bespoke'!O167&lt;&gt;"",'CDO Bespoke'!O167,"")</f>
        <v/>
      </c>
      <c r="K166" s="502" t="str">
        <f>IF(J166&lt;&gt;"",ABS(MIN(-0.75*('CDO Bespoke'!K167+'CDO Bespoke'!T167)+'CDO Bespoke'!T167,0)),"")</f>
        <v/>
      </c>
      <c r="L166" s="502" t="str">
        <f t="shared" si="9"/>
        <v/>
      </c>
      <c r="M166" s="506" t="str">
        <f t="shared" si="10"/>
        <v/>
      </c>
      <c r="O166" s="511" t="str">
        <f>IF('CDO Bespoke'!C191&lt;&gt;"",'CDO Bespoke'!C191,"")</f>
        <v/>
      </c>
      <c r="P166" s="513" t="str" cm="1">
        <f t="array" ref="P166">IF($O166&lt;&gt;"",-TRANSPOSE(INDEX(getcds('CDO Bespoke'!$C191,P$13,'CDO Bespoke'!$G191/10000,'CDO Bespoke'!F191,'CDO Bespoke'!$L167,'CDO Bespoke'!$C$13,'CDO Bespoke'!$C$14,'CDO Bespoke'!$C$15,'CDO Bespoke'!$C$8,,,TRUE,TRUE,FALSE,'CDO Bespoke'!$C$29:'CDO Bespoke'!$C$31,'CDO Bespoke'!$C$33),{5})),"")</f>
        <v/>
      </c>
      <c r="Q166" s="542" t="str" cm="1">
        <f t="array" ref="Q166">IF($O166&lt;&gt;"",-TRANSPOSE(INDEX(getcds('CDO Bespoke'!$C191,Q$13,'CDO Bespoke'!$G191/10000,'CDO Bespoke'!G191,'CDO Bespoke'!$L167,'CDO Bespoke'!$C$13,'CDO Bespoke'!$C$14,'CDO Bespoke'!$C$15,'CDO Bespoke'!$C$8,,,TRUE,TRUE,FALSE,'CDO Bespoke'!$C$29:'CDO Bespoke'!$C$31,'CDO Bespoke'!$C$33),{5})),"")</f>
        <v/>
      </c>
      <c r="R166" s="542" t="str" cm="1">
        <f t="array" ref="R166">IF($O166&lt;&gt;"",-TRANSPOSE(INDEX(getcds('CDO Bespoke'!$C191,R$13,'CDO Bespoke'!$G191/10000,'CDO Bespoke'!H191,'CDO Bespoke'!$L167,'CDO Bespoke'!$C$13,'CDO Bespoke'!$C$14,'CDO Bespoke'!$C$15,'CDO Bespoke'!$C$8,,,TRUE,TRUE,FALSE,'CDO Bespoke'!$C$29:'CDO Bespoke'!$C$31,'CDO Bespoke'!$C$33),{5})),"")</f>
        <v/>
      </c>
      <c r="S166" s="542" t="str" cm="1">
        <f t="array" ref="S166">IF($O166&lt;&gt;"",-TRANSPOSE(INDEX(getcds('CDO Bespoke'!$C191,S$13,'CDO Bespoke'!$G191/10000,'CDO Bespoke'!I191,'CDO Bespoke'!$L167,'CDO Bespoke'!$C$13,'CDO Bespoke'!$C$14,'CDO Bespoke'!$C$15,'CDO Bespoke'!$C$8,,,TRUE,TRUE,FALSE,'CDO Bespoke'!$C$29:'CDO Bespoke'!$C$31,'CDO Bespoke'!$C$33),{5})),"")</f>
        <v/>
      </c>
      <c r="T166" s="514" t="str" cm="1">
        <f t="array" ref="T166">IF($O166&lt;&gt;"",-TRANSPOSE(INDEX(getcds('CDO Bespoke'!$C191,T$13,'CDO Bespoke'!$G191/10000,'CDO Bespoke'!J191,'CDO Bespoke'!$L167,'CDO Bespoke'!$C$13,'CDO Bespoke'!$C$14,'CDO Bespoke'!$C$15,'CDO Bespoke'!$C$8,,,TRUE,TRUE,FALSE,'CDO Bespoke'!$C$29:'CDO Bespoke'!$C$31,'CDO Bespoke'!$C$33),{5})),"")</f>
        <v/>
      </c>
      <c r="U166" s="493"/>
      <c r="V166" s="529"/>
      <c r="W166" s="530"/>
      <c r="X166" s="530"/>
      <c r="Y166" s="530"/>
      <c r="Z166" s="530"/>
      <c r="AA166" s="530"/>
      <c r="AB166" s="530"/>
      <c r="AC166" s="530"/>
      <c r="AD166" s="530"/>
      <c r="AE166" s="531"/>
      <c r="AF166" s="539"/>
    </row>
    <row r="167" spans="6:32" s="281" customFormat="1" ht="12" thickBot="1">
      <c r="F167" s="501" t="str">
        <f>IF('CDO Bespoke'!O168&lt;&gt;"",'CDO Bespoke'!O168,"")</f>
        <v/>
      </c>
      <c r="G167" s="502" t="str">
        <f>IF(F167&lt;&gt;"",ABS(MIN(-0.75*('CDO Bespoke'!Q168+'CDO Bespoke'!T168)+'CDO Bespoke'!T168,0)),"")</f>
        <v/>
      </c>
      <c r="H167" s="502" t="str">
        <f t="shared" si="8"/>
        <v/>
      </c>
      <c r="I167" s="502" t="str">
        <f t="shared" si="11"/>
        <v/>
      </c>
      <c r="J167" s="501" t="str">
        <f>IF('CDO Bespoke'!O168&lt;&gt;"",'CDO Bespoke'!O168,"")</f>
        <v/>
      </c>
      <c r="K167" s="502" t="str">
        <f>IF(J167&lt;&gt;"",ABS(MIN(-0.75*('CDO Bespoke'!K168+'CDO Bespoke'!T168)+'CDO Bespoke'!T168,0)),"")</f>
        <v/>
      </c>
      <c r="L167" s="502" t="str">
        <f t="shared" si="9"/>
        <v/>
      </c>
      <c r="M167" s="506" t="str">
        <f t="shared" si="10"/>
        <v/>
      </c>
      <c r="O167" s="511" t="str">
        <f>IF('CDO Bespoke'!C192&lt;&gt;"",'CDO Bespoke'!C192,"")</f>
        <v/>
      </c>
      <c r="P167" s="513" t="str" cm="1">
        <f t="array" ref="P167">IF($O167&lt;&gt;"",-TRANSPOSE(INDEX(getcds('CDO Bespoke'!$C192,P$13,'CDO Bespoke'!$G192/10000,'CDO Bespoke'!F192,'CDO Bespoke'!$L168,'CDO Bespoke'!$C$13,'CDO Bespoke'!$C$14,'CDO Bespoke'!$C$15,'CDO Bespoke'!$C$8,,,TRUE,TRUE,FALSE,'CDO Bespoke'!$C$29:'CDO Bespoke'!$C$31,'CDO Bespoke'!$C$33),{5})),"")</f>
        <v/>
      </c>
      <c r="Q167" s="542" t="str" cm="1">
        <f t="array" ref="Q167">IF($O167&lt;&gt;"",-TRANSPOSE(INDEX(getcds('CDO Bespoke'!$C192,Q$13,'CDO Bespoke'!$G192/10000,'CDO Bespoke'!G192,'CDO Bespoke'!$L168,'CDO Bespoke'!$C$13,'CDO Bespoke'!$C$14,'CDO Bespoke'!$C$15,'CDO Bespoke'!$C$8,,,TRUE,TRUE,FALSE,'CDO Bespoke'!$C$29:'CDO Bespoke'!$C$31,'CDO Bespoke'!$C$33),{5})),"")</f>
        <v/>
      </c>
      <c r="R167" s="542" t="str" cm="1">
        <f t="array" ref="R167">IF($O167&lt;&gt;"",-TRANSPOSE(INDEX(getcds('CDO Bespoke'!$C192,R$13,'CDO Bespoke'!$G192/10000,'CDO Bespoke'!H192,'CDO Bespoke'!$L168,'CDO Bespoke'!$C$13,'CDO Bespoke'!$C$14,'CDO Bespoke'!$C$15,'CDO Bespoke'!$C$8,,,TRUE,TRUE,FALSE,'CDO Bespoke'!$C$29:'CDO Bespoke'!$C$31,'CDO Bespoke'!$C$33),{5})),"")</f>
        <v/>
      </c>
      <c r="S167" s="542" t="str" cm="1">
        <f t="array" ref="S167">IF($O167&lt;&gt;"",-TRANSPOSE(INDEX(getcds('CDO Bespoke'!$C192,S$13,'CDO Bespoke'!$G192/10000,'CDO Bespoke'!I192,'CDO Bespoke'!$L168,'CDO Bespoke'!$C$13,'CDO Bespoke'!$C$14,'CDO Bespoke'!$C$15,'CDO Bespoke'!$C$8,,,TRUE,TRUE,FALSE,'CDO Bespoke'!$C$29:'CDO Bespoke'!$C$31,'CDO Bespoke'!$C$33),{5})),"")</f>
        <v/>
      </c>
      <c r="T167" s="514" t="str" cm="1">
        <f t="array" ref="T167">IF($O167&lt;&gt;"",-TRANSPOSE(INDEX(getcds('CDO Bespoke'!$C192,T$13,'CDO Bespoke'!$G192/10000,'CDO Bespoke'!J192,'CDO Bespoke'!$L168,'CDO Bespoke'!$C$13,'CDO Bespoke'!$C$14,'CDO Bespoke'!$C$15,'CDO Bespoke'!$C$8,,,TRUE,TRUE,FALSE,'CDO Bespoke'!$C$29:'CDO Bespoke'!$C$31,'CDO Bespoke'!$C$33),{5})),"")</f>
        <v/>
      </c>
      <c r="U167" s="493"/>
      <c r="V167" s="529"/>
      <c r="W167" s="530"/>
      <c r="X167" s="530"/>
      <c r="Y167" s="530"/>
      <c r="Z167" s="530"/>
      <c r="AA167" s="530"/>
      <c r="AB167" s="530"/>
      <c r="AC167" s="530"/>
      <c r="AD167" s="530"/>
      <c r="AE167" s="531"/>
      <c r="AF167" s="539"/>
    </row>
    <row r="168" spans="6:32" s="281" customFormat="1" ht="12" thickBot="1">
      <c r="F168" s="501" t="str">
        <f>IF('CDO Bespoke'!O169&lt;&gt;"",'CDO Bespoke'!O169,"")</f>
        <v/>
      </c>
      <c r="G168" s="502" t="str">
        <f>IF(F168&lt;&gt;"",ABS(MIN(-0.75*('CDO Bespoke'!Q169+'CDO Bespoke'!T169)+'CDO Bespoke'!T169,0)),"")</f>
        <v/>
      </c>
      <c r="H168" s="502" t="str">
        <f t="shared" si="8"/>
        <v/>
      </c>
      <c r="I168" s="502" t="str">
        <f t="shared" si="11"/>
        <v/>
      </c>
      <c r="J168" s="501" t="str">
        <f>IF('CDO Bespoke'!O169&lt;&gt;"",'CDO Bespoke'!O169,"")</f>
        <v/>
      </c>
      <c r="K168" s="502" t="str">
        <f>IF(J168&lt;&gt;"",ABS(MIN(-0.75*('CDO Bespoke'!K169+'CDO Bespoke'!T169)+'CDO Bespoke'!T169,0)),"")</f>
        <v/>
      </c>
      <c r="L168" s="502" t="str">
        <f t="shared" si="9"/>
        <v/>
      </c>
      <c r="M168" s="506" t="str">
        <f t="shared" si="10"/>
        <v/>
      </c>
      <c r="O168" s="511" t="str">
        <f>IF('CDO Bespoke'!C193&lt;&gt;"",'CDO Bespoke'!C193,"")</f>
        <v/>
      </c>
      <c r="P168" s="513" t="str" cm="1">
        <f t="array" ref="P168">IF($O168&lt;&gt;"",-TRANSPOSE(INDEX(getcds('CDO Bespoke'!$C193,P$13,'CDO Bespoke'!$G193/10000,'CDO Bespoke'!F193,'CDO Bespoke'!$L169,'CDO Bespoke'!$C$13,'CDO Bespoke'!$C$14,'CDO Bespoke'!$C$15,'CDO Bespoke'!$C$8,,,TRUE,TRUE,FALSE,'CDO Bespoke'!$C$29:'CDO Bespoke'!$C$31,'CDO Bespoke'!$C$33),{5})),"")</f>
        <v/>
      </c>
      <c r="Q168" s="542" t="str" cm="1">
        <f t="array" ref="Q168">IF($O168&lt;&gt;"",-TRANSPOSE(INDEX(getcds('CDO Bespoke'!$C193,Q$13,'CDO Bespoke'!$G193/10000,'CDO Bespoke'!G193,'CDO Bespoke'!$L169,'CDO Bespoke'!$C$13,'CDO Bespoke'!$C$14,'CDO Bespoke'!$C$15,'CDO Bespoke'!$C$8,,,TRUE,TRUE,FALSE,'CDO Bespoke'!$C$29:'CDO Bespoke'!$C$31,'CDO Bespoke'!$C$33),{5})),"")</f>
        <v/>
      </c>
      <c r="R168" s="542" t="str" cm="1">
        <f t="array" ref="R168">IF($O168&lt;&gt;"",-TRANSPOSE(INDEX(getcds('CDO Bespoke'!$C193,R$13,'CDO Bespoke'!$G193/10000,'CDO Bespoke'!H193,'CDO Bespoke'!$L169,'CDO Bespoke'!$C$13,'CDO Bespoke'!$C$14,'CDO Bespoke'!$C$15,'CDO Bespoke'!$C$8,,,TRUE,TRUE,FALSE,'CDO Bespoke'!$C$29:'CDO Bespoke'!$C$31,'CDO Bespoke'!$C$33),{5})),"")</f>
        <v/>
      </c>
      <c r="S168" s="542" t="str" cm="1">
        <f t="array" ref="S168">IF($O168&lt;&gt;"",-TRANSPOSE(INDEX(getcds('CDO Bespoke'!$C193,S$13,'CDO Bespoke'!$G193/10000,'CDO Bespoke'!I193,'CDO Bespoke'!$L169,'CDO Bespoke'!$C$13,'CDO Bespoke'!$C$14,'CDO Bespoke'!$C$15,'CDO Bespoke'!$C$8,,,TRUE,TRUE,FALSE,'CDO Bespoke'!$C$29:'CDO Bespoke'!$C$31,'CDO Bespoke'!$C$33),{5})),"")</f>
        <v/>
      </c>
      <c r="T168" s="514" t="str" cm="1">
        <f t="array" ref="T168">IF($O168&lt;&gt;"",-TRANSPOSE(INDEX(getcds('CDO Bespoke'!$C193,T$13,'CDO Bespoke'!$G193/10000,'CDO Bespoke'!J193,'CDO Bespoke'!$L169,'CDO Bespoke'!$C$13,'CDO Bespoke'!$C$14,'CDO Bespoke'!$C$15,'CDO Bespoke'!$C$8,,,TRUE,TRUE,FALSE,'CDO Bespoke'!$C$29:'CDO Bespoke'!$C$31,'CDO Bespoke'!$C$33),{5})),"")</f>
        <v/>
      </c>
      <c r="U168" s="493"/>
      <c r="V168" s="529"/>
      <c r="W168" s="530"/>
      <c r="X168" s="530"/>
      <c r="Y168" s="530"/>
      <c r="Z168" s="530"/>
      <c r="AA168" s="530"/>
      <c r="AB168" s="530"/>
      <c r="AC168" s="530"/>
      <c r="AD168" s="530"/>
      <c r="AE168" s="531"/>
      <c r="AF168" s="539"/>
    </row>
    <row r="169" spans="6:32" s="281" customFormat="1" ht="12" thickBot="1">
      <c r="F169" s="501" t="str">
        <f>IF('CDO Bespoke'!O170&lt;&gt;"",'CDO Bespoke'!O170,"")</f>
        <v/>
      </c>
      <c r="G169" s="502" t="str">
        <f>IF(F169&lt;&gt;"",ABS(MIN(-0.75*('CDO Bespoke'!Q170+'CDO Bespoke'!T170)+'CDO Bespoke'!T170,0)),"")</f>
        <v/>
      </c>
      <c r="H169" s="502" t="str">
        <f t="shared" si="8"/>
        <v/>
      </c>
      <c r="I169" s="502" t="str">
        <f t="shared" si="11"/>
        <v/>
      </c>
      <c r="J169" s="501" t="str">
        <f>IF('CDO Bespoke'!O170&lt;&gt;"",'CDO Bespoke'!O170,"")</f>
        <v/>
      </c>
      <c r="K169" s="502" t="str">
        <f>IF(J169&lt;&gt;"",ABS(MIN(-0.75*('CDO Bespoke'!K170+'CDO Bespoke'!T170)+'CDO Bespoke'!T170,0)),"")</f>
        <v/>
      </c>
      <c r="L169" s="502" t="str">
        <f t="shared" si="9"/>
        <v/>
      </c>
      <c r="M169" s="506" t="str">
        <f t="shared" si="10"/>
        <v/>
      </c>
      <c r="O169" s="511" t="str">
        <f>IF('CDO Bespoke'!C194&lt;&gt;"",'CDO Bespoke'!C194,"")</f>
        <v/>
      </c>
      <c r="P169" s="513" t="str" cm="1">
        <f t="array" ref="P169">IF($O169&lt;&gt;"",-TRANSPOSE(INDEX(getcds('CDO Bespoke'!$C194,P$13,'CDO Bespoke'!$G194/10000,'CDO Bespoke'!F194,'CDO Bespoke'!$L170,'CDO Bespoke'!$C$13,'CDO Bespoke'!$C$14,'CDO Bespoke'!$C$15,'CDO Bespoke'!$C$8,,,TRUE,TRUE,FALSE,'CDO Bespoke'!$C$29:'CDO Bespoke'!$C$31,'CDO Bespoke'!$C$33),{5})),"")</f>
        <v/>
      </c>
      <c r="Q169" s="542" t="str" cm="1">
        <f t="array" ref="Q169">IF($O169&lt;&gt;"",-TRANSPOSE(INDEX(getcds('CDO Bespoke'!$C194,Q$13,'CDO Bespoke'!$G194/10000,'CDO Bespoke'!G194,'CDO Bespoke'!$L170,'CDO Bespoke'!$C$13,'CDO Bespoke'!$C$14,'CDO Bespoke'!$C$15,'CDO Bespoke'!$C$8,,,TRUE,TRUE,FALSE,'CDO Bespoke'!$C$29:'CDO Bespoke'!$C$31,'CDO Bespoke'!$C$33),{5})),"")</f>
        <v/>
      </c>
      <c r="R169" s="542" t="str" cm="1">
        <f t="array" ref="R169">IF($O169&lt;&gt;"",-TRANSPOSE(INDEX(getcds('CDO Bespoke'!$C194,R$13,'CDO Bespoke'!$G194/10000,'CDO Bespoke'!H194,'CDO Bespoke'!$L170,'CDO Bespoke'!$C$13,'CDO Bespoke'!$C$14,'CDO Bespoke'!$C$15,'CDO Bespoke'!$C$8,,,TRUE,TRUE,FALSE,'CDO Bespoke'!$C$29:'CDO Bespoke'!$C$31,'CDO Bespoke'!$C$33),{5})),"")</f>
        <v/>
      </c>
      <c r="S169" s="542" t="str" cm="1">
        <f t="array" ref="S169">IF($O169&lt;&gt;"",-TRANSPOSE(INDEX(getcds('CDO Bespoke'!$C194,S$13,'CDO Bespoke'!$G194/10000,'CDO Bespoke'!I194,'CDO Bespoke'!$L170,'CDO Bespoke'!$C$13,'CDO Bespoke'!$C$14,'CDO Bespoke'!$C$15,'CDO Bespoke'!$C$8,,,TRUE,TRUE,FALSE,'CDO Bespoke'!$C$29:'CDO Bespoke'!$C$31,'CDO Bespoke'!$C$33),{5})),"")</f>
        <v/>
      </c>
      <c r="T169" s="514" t="str" cm="1">
        <f t="array" ref="T169">IF($O169&lt;&gt;"",-TRANSPOSE(INDEX(getcds('CDO Bespoke'!$C194,T$13,'CDO Bespoke'!$G194/10000,'CDO Bespoke'!J194,'CDO Bespoke'!$L170,'CDO Bespoke'!$C$13,'CDO Bespoke'!$C$14,'CDO Bespoke'!$C$15,'CDO Bespoke'!$C$8,,,TRUE,TRUE,FALSE,'CDO Bespoke'!$C$29:'CDO Bespoke'!$C$31,'CDO Bespoke'!$C$33),{5})),"")</f>
        <v/>
      </c>
      <c r="U169" s="493"/>
      <c r="V169" s="529"/>
      <c r="W169" s="530"/>
      <c r="X169" s="530"/>
      <c r="Y169" s="530"/>
      <c r="Z169" s="530"/>
      <c r="AA169" s="530"/>
      <c r="AB169" s="530"/>
      <c r="AC169" s="530"/>
      <c r="AD169" s="530"/>
      <c r="AE169" s="531"/>
      <c r="AF169" s="539"/>
    </row>
    <row r="170" spans="6:32" s="281" customFormat="1" ht="12" thickBot="1">
      <c r="F170" s="501" t="str">
        <f>IF('CDO Bespoke'!O171&lt;&gt;"",'CDO Bespoke'!O171,"")</f>
        <v/>
      </c>
      <c r="G170" s="502" t="str">
        <f>IF(F170&lt;&gt;"",ABS(MIN(-0.75*('CDO Bespoke'!Q171+'CDO Bespoke'!T171)+'CDO Bespoke'!T171,0)),"")</f>
        <v/>
      </c>
      <c r="H170" s="502" t="str">
        <f t="shared" si="8"/>
        <v/>
      </c>
      <c r="I170" s="502" t="str">
        <f t="shared" si="11"/>
        <v/>
      </c>
      <c r="J170" s="501" t="str">
        <f>IF('CDO Bespoke'!O171&lt;&gt;"",'CDO Bespoke'!O171,"")</f>
        <v/>
      </c>
      <c r="K170" s="502" t="str">
        <f>IF(J170&lt;&gt;"",ABS(MIN(-0.75*('CDO Bespoke'!K171+'CDO Bespoke'!T171)+'CDO Bespoke'!T171,0)),"")</f>
        <v/>
      </c>
      <c r="L170" s="502" t="str">
        <f t="shared" si="9"/>
        <v/>
      </c>
      <c r="M170" s="506" t="str">
        <f t="shared" si="10"/>
        <v/>
      </c>
      <c r="O170" s="511" t="str">
        <f>IF('CDO Bespoke'!C195&lt;&gt;"",'CDO Bespoke'!C195,"")</f>
        <v/>
      </c>
      <c r="P170" s="513" t="str" cm="1">
        <f t="array" ref="P170">IF($O170&lt;&gt;"",-TRANSPOSE(INDEX(getcds('CDO Bespoke'!$C195,P$13,'CDO Bespoke'!$G195/10000,'CDO Bespoke'!F195,'CDO Bespoke'!$L171,'CDO Bespoke'!$C$13,'CDO Bespoke'!$C$14,'CDO Bespoke'!$C$15,'CDO Bespoke'!$C$8,,,TRUE,TRUE,FALSE,'CDO Bespoke'!$C$29:'CDO Bespoke'!$C$31,'CDO Bespoke'!$C$33),{5})),"")</f>
        <v/>
      </c>
      <c r="Q170" s="542" t="str" cm="1">
        <f t="array" ref="Q170">IF($O170&lt;&gt;"",-TRANSPOSE(INDEX(getcds('CDO Bespoke'!$C195,Q$13,'CDO Bespoke'!$G195/10000,'CDO Bespoke'!G195,'CDO Bespoke'!$L171,'CDO Bespoke'!$C$13,'CDO Bespoke'!$C$14,'CDO Bespoke'!$C$15,'CDO Bespoke'!$C$8,,,TRUE,TRUE,FALSE,'CDO Bespoke'!$C$29:'CDO Bespoke'!$C$31,'CDO Bespoke'!$C$33),{5})),"")</f>
        <v/>
      </c>
      <c r="R170" s="542" t="str" cm="1">
        <f t="array" ref="R170">IF($O170&lt;&gt;"",-TRANSPOSE(INDEX(getcds('CDO Bespoke'!$C195,R$13,'CDO Bespoke'!$G195/10000,'CDO Bespoke'!H195,'CDO Bespoke'!$L171,'CDO Bespoke'!$C$13,'CDO Bespoke'!$C$14,'CDO Bespoke'!$C$15,'CDO Bespoke'!$C$8,,,TRUE,TRUE,FALSE,'CDO Bespoke'!$C$29:'CDO Bespoke'!$C$31,'CDO Bespoke'!$C$33),{5})),"")</f>
        <v/>
      </c>
      <c r="S170" s="542" t="str" cm="1">
        <f t="array" ref="S170">IF($O170&lt;&gt;"",-TRANSPOSE(INDEX(getcds('CDO Bespoke'!$C195,S$13,'CDO Bespoke'!$G195/10000,'CDO Bespoke'!I195,'CDO Bespoke'!$L171,'CDO Bespoke'!$C$13,'CDO Bespoke'!$C$14,'CDO Bespoke'!$C$15,'CDO Bespoke'!$C$8,,,TRUE,TRUE,FALSE,'CDO Bespoke'!$C$29:'CDO Bespoke'!$C$31,'CDO Bespoke'!$C$33),{5})),"")</f>
        <v/>
      </c>
      <c r="T170" s="514" t="str" cm="1">
        <f t="array" ref="T170">IF($O170&lt;&gt;"",-TRANSPOSE(INDEX(getcds('CDO Bespoke'!$C195,T$13,'CDO Bespoke'!$G195/10000,'CDO Bespoke'!J195,'CDO Bespoke'!$L171,'CDO Bespoke'!$C$13,'CDO Bespoke'!$C$14,'CDO Bespoke'!$C$15,'CDO Bespoke'!$C$8,,,TRUE,TRUE,FALSE,'CDO Bespoke'!$C$29:'CDO Bespoke'!$C$31,'CDO Bespoke'!$C$33),{5})),"")</f>
        <v/>
      </c>
      <c r="U170" s="493"/>
      <c r="V170" s="529"/>
      <c r="W170" s="530"/>
      <c r="X170" s="530"/>
      <c r="Y170" s="530"/>
      <c r="Z170" s="530"/>
      <c r="AA170" s="530"/>
      <c r="AB170" s="530"/>
      <c r="AC170" s="530"/>
      <c r="AD170" s="530"/>
      <c r="AE170" s="531"/>
      <c r="AF170" s="539"/>
    </row>
    <row r="171" spans="6:32" s="281" customFormat="1" ht="12" thickBot="1">
      <c r="F171" s="501" t="str">
        <f>IF('CDO Bespoke'!O172&lt;&gt;"",'CDO Bespoke'!O172,"")</f>
        <v/>
      </c>
      <c r="G171" s="502" t="str">
        <f>IF(F171&lt;&gt;"",ABS(MIN(-0.75*('CDO Bespoke'!Q172+'CDO Bespoke'!T172)+'CDO Bespoke'!T172,0)),"")</f>
        <v/>
      </c>
      <c r="H171" s="502" t="str">
        <f t="shared" si="8"/>
        <v/>
      </c>
      <c r="I171" s="502" t="str">
        <f t="shared" si="11"/>
        <v/>
      </c>
      <c r="J171" s="501" t="str">
        <f>IF('CDO Bespoke'!O172&lt;&gt;"",'CDO Bespoke'!O172,"")</f>
        <v/>
      </c>
      <c r="K171" s="502" t="str">
        <f>IF(J171&lt;&gt;"",ABS(MIN(-0.75*('CDO Bespoke'!K172+'CDO Bespoke'!T172)+'CDO Bespoke'!T172,0)),"")</f>
        <v/>
      </c>
      <c r="L171" s="502" t="str">
        <f t="shared" si="9"/>
        <v/>
      </c>
      <c r="M171" s="506" t="str">
        <f t="shared" si="10"/>
        <v/>
      </c>
      <c r="O171" s="511" t="str">
        <f>IF('CDO Bespoke'!C196&lt;&gt;"",'CDO Bespoke'!C196,"")</f>
        <v/>
      </c>
      <c r="P171" s="513" t="str" cm="1">
        <f t="array" ref="P171">IF($O171&lt;&gt;"",-TRANSPOSE(INDEX(getcds('CDO Bespoke'!$C196,P$13,'CDO Bespoke'!$G196/10000,'CDO Bespoke'!F196,'CDO Bespoke'!$L172,'CDO Bespoke'!$C$13,'CDO Bespoke'!$C$14,'CDO Bespoke'!$C$15,'CDO Bespoke'!$C$8,,,TRUE,TRUE,FALSE,'CDO Bespoke'!$C$29:'CDO Bespoke'!$C$31,'CDO Bespoke'!$C$33),{5})),"")</f>
        <v/>
      </c>
      <c r="Q171" s="542" t="str" cm="1">
        <f t="array" ref="Q171">IF($O171&lt;&gt;"",-TRANSPOSE(INDEX(getcds('CDO Bespoke'!$C196,Q$13,'CDO Bespoke'!$G196/10000,'CDO Bespoke'!G196,'CDO Bespoke'!$L172,'CDO Bespoke'!$C$13,'CDO Bespoke'!$C$14,'CDO Bespoke'!$C$15,'CDO Bespoke'!$C$8,,,TRUE,TRUE,FALSE,'CDO Bespoke'!$C$29:'CDO Bespoke'!$C$31,'CDO Bespoke'!$C$33),{5})),"")</f>
        <v/>
      </c>
      <c r="R171" s="542" t="str" cm="1">
        <f t="array" ref="R171">IF($O171&lt;&gt;"",-TRANSPOSE(INDEX(getcds('CDO Bespoke'!$C196,R$13,'CDO Bespoke'!$G196/10000,'CDO Bespoke'!H196,'CDO Bespoke'!$L172,'CDO Bespoke'!$C$13,'CDO Bespoke'!$C$14,'CDO Bespoke'!$C$15,'CDO Bespoke'!$C$8,,,TRUE,TRUE,FALSE,'CDO Bespoke'!$C$29:'CDO Bespoke'!$C$31,'CDO Bespoke'!$C$33),{5})),"")</f>
        <v/>
      </c>
      <c r="S171" s="542" t="str" cm="1">
        <f t="array" ref="S171">IF($O171&lt;&gt;"",-TRANSPOSE(INDEX(getcds('CDO Bespoke'!$C196,S$13,'CDO Bespoke'!$G196/10000,'CDO Bespoke'!I196,'CDO Bespoke'!$L172,'CDO Bespoke'!$C$13,'CDO Bespoke'!$C$14,'CDO Bespoke'!$C$15,'CDO Bespoke'!$C$8,,,TRUE,TRUE,FALSE,'CDO Bespoke'!$C$29:'CDO Bespoke'!$C$31,'CDO Bespoke'!$C$33),{5})),"")</f>
        <v/>
      </c>
      <c r="T171" s="514" t="str" cm="1">
        <f t="array" ref="T171">IF($O171&lt;&gt;"",-TRANSPOSE(INDEX(getcds('CDO Bespoke'!$C196,T$13,'CDO Bespoke'!$G196/10000,'CDO Bespoke'!J196,'CDO Bespoke'!$L172,'CDO Bespoke'!$C$13,'CDO Bespoke'!$C$14,'CDO Bespoke'!$C$15,'CDO Bespoke'!$C$8,,,TRUE,TRUE,FALSE,'CDO Bespoke'!$C$29:'CDO Bespoke'!$C$31,'CDO Bespoke'!$C$33),{5})),"")</f>
        <v/>
      </c>
      <c r="U171" s="493"/>
      <c r="V171" s="529"/>
      <c r="W171" s="530"/>
      <c r="X171" s="530"/>
      <c r="Y171" s="530"/>
      <c r="Z171" s="530"/>
      <c r="AA171" s="530"/>
      <c r="AB171" s="530"/>
      <c r="AC171" s="530"/>
      <c r="AD171" s="530"/>
      <c r="AE171" s="531"/>
      <c r="AF171" s="539"/>
    </row>
    <row r="172" spans="6:32" s="281" customFormat="1" ht="12" thickBot="1">
      <c r="F172" s="501" t="str">
        <f>IF('CDO Bespoke'!O173&lt;&gt;"",'CDO Bespoke'!O173,"")</f>
        <v/>
      </c>
      <c r="G172" s="502" t="str">
        <f>IF(F172&lt;&gt;"",ABS(MIN(-0.75*('CDO Bespoke'!Q173+'CDO Bespoke'!T173)+'CDO Bespoke'!T173,0)),"")</f>
        <v/>
      </c>
      <c r="H172" s="502" t="str">
        <f t="shared" si="8"/>
        <v/>
      </c>
      <c r="I172" s="502" t="str">
        <f t="shared" si="11"/>
        <v/>
      </c>
      <c r="J172" s="501" t="str">
        <f>IF('CDO Bespoke'!O173&lt;&gt;"",'CDO Bespoke'!O173,"")</f>
        <v/>
      </c>
      <c r="K172" s="502" t="str">
        <f>IF(J172&lt;&gt;"",ABS(MIN(-0.75*('CDO Bespoke'!K173+'CDO Bespoke'!T173)+'CDO Bespoke'!T173,0)),"")</f>
        <v/>
      </c>
      <c r="L172" s="502" t="str">
        <f t="shared" si="9"/>
        <v/>
      </c>
      <c r="M172" s="506" t="str">
        <f t="shared" si="10"/>
        <v/>
      </c>
      <c r="O172" s="511" t="str">
        <f>IF('CDO Bespoke'!C197&lt;&gt;"",'CDO Bespoke'!C197,"")</f>
        <v/>
      </c>
      <c r="P172" s="513" t="str" cm="1">
        <f t="array" ref="P172">IF($O172&lt;&gt;"",-TRANSPOSE(INDEX(getcds('CDO Bespoke'!$C197,P$13,'CDO Bespoke'!$G197/10000,'CDO Bespoke'!F197,'CDO Bespoke'!$L173,'CDO Bespoke'!$C$13,'CDO Bespoke'!$C$14,'CDO Bespoke'!$C$15,'CDO Bespoke'!$C$8,,,TRUE,TRUE,FALSE,'CDO Bespoke'!$C$29:'CDO Bespoke'!$C$31,'CDO Bespoke'!$C$33),{5})),"")</f>
        <v/>
      </c>
      <c r="Q172" s="542" t="str" cm="1">
        <f t="array" ref="Q172">IF($O172&lt;&gt;"",-TRANSPOSE(INDEX(getcds('CDO Bespoke'!$C197,Q$13,'CDO Bespoke'!$G197/10000,'CDO Bespoke'!G197,'CDO Bespoke'!$L173,'CDO Bespoke'!$C$13,'CDO Bespoke'!$C$14,'CDO Bespoke'!$C$15,'CDO Bespoke'!$C$8,,,TRUE,TRUE,FALSE,'CDO Bespoke'!$C$29:'CDO Bespoke'!$C$31,'CDO Bespoke'!$C$33),{5})),"")</f>
        <v/>
      </c>
      <c r="R172" s="542" t="str" cm="1">
        <f t="array" ref="R172">IF($O172&lt;&gt;"",-TRANSPOSE(INDEX(getcds('CDO Bespoke'!$C197,R$13,'CDO Bespoke'!$G197/10000,'CDO Bespoke'!H197,'CDO Bespoke'!$L173,'CDO Bespoke'!$C$13,'CDO Bespoke'!$C$14,'CDO Bespoke'!$C$15,'CDO Bespoke'!$C$8,,,TRUE,TRUE,FALSE,'CDO Bespoke'!$C$29:'CDO Bespoke'!$C$31,'CDO Bespoke'!$C$33),{5})),"")</f>
        <v/>
      </c>
      <c r="S172" s="542" t="str" cm="1">
        <f t="array" ref="S172">IF($O172&lt;&gt;"",-TRANSPOSE(INDEX(getcds('CDO Bespoke'!$C197,S$13,'CDO Bespoke'!$G197/10000,'CDO Bespoke'!I197,'CDO Bespoke'!$L173,'CDO Bespoke'!$C$13,'CDO Bespoke'!$C$14,'CDO Bespoke'!$C$15,'CDO Bespoke'!$C$8,,,TRUE,TRUE,FALSE,'CDO Bespoke'!$C$29:'CDO Bespoke'!$C$31,'CDO Bespoke'!$C$33),{5})),"")</f>
        <v/>
      </c>
      <c r="T172" s="514" t="str" cm="1">
        <f t="array" ref="T172">IF($O172&lt;&gt;"",-TRANSPOSE(INDEX(getcds('CDO Bespoke'!$C197,T$13,'CDO Bespoke'!$G197/10000,'CDO Bespoke'!J197,'CDO Bespoke'!$L173,'CDO Bespoke'!$C$13,'CDO Bespoke'!$C$14,'CDO Bespoke'!$C$15,'CDO Bespoke'!$C$8,,,TRUE,TRUE,FALSE,'CDO Bespoke'!$C$29:'CDO Bespoke'!$C$31,'CDO Bespoke'!$C$33),{5})),"")</f>
        <v/>
      </c>
      <c r="U172" s="493"/>
      <c r="V172" s="529"/>
      <c r="W172" s="530"/>
      <c r="X172" s="530"/>
      <c r="Y172" s="530"/>
      <c r="Z172" s="530"/>
      <c r="AA172" s="530"/>
      <c r="AB172" s="530"/>
      <c r="AC172" s="530"/>
      <c r="AD172" s="530"/>
      <c r="AE172" s="531"/>
      <c r="AF172" s="539"/>
    </row>
    <row r="173" spans="6:32" s="281" customFormat="1" ht="12" thickBot="1">
      <c r="F173" s="501" t="str">
        <f>IF('CDO Bespoke'!O174&lt;&gt;"",'CDO Bespoke'!O174,"")</f>
        <v/>
      </c>
      <c r="G173" s="502" t="str">
        <f>IF(F173&lt;&gt;"",ABS(MIN(-0.75*('CDO Bespoke'!Q174+'CDO Bespoke'!T174)+'CDO Bespoke'!T174,0)),"")</f>
        <v/>
      </c>
      <c r="H173" s="502" t="str">
        <f t="shared" si="8"/>
        <v/>
      </c>
      <c r="I173" s="502" t="str">
        <f t="shared" si="11"/>
        <v/>
      </c>
      <c r="J173" s="501" t="str">
        <f>IF('CDO Bespoke'!O174&lt;&gt;"",'CDO Bespoke'!O174,"")</f>
        <v/>
      </c>
      <c r="K173" s="502" t="str">
        <f>IF(J173&lt;&gt;"",ABS(MIN(-0.75*('CDO Bespoke'!K174+'CDO Bespoke'!T174)+'CDO Bespoke'!T174,0)),"")</f>
        <v/>
      </c>
      <c r="L173" s="502" t="str">
        <f t="shared" si="9"/>
        <v/>
      </c>
      <c r="M173" s="506" t="str">
        <f t="shared" si="10"/>
        <v/>
      </c>
      <c r="O173" s="511" t="str">
        <f>IF('CDO Bespoke'!C198&lt;&gt;"",'CDO Bespoke'!C198,"")</f>
        <v/>
      </c>
      <c r="P173" s="513" t="str" cm="1">
        <f t="array" ref="P173">IF($O173&lt;&gt;"",-TRANSPOSE(INDEX(getcds('CDO Bespoke'!$C198,P$13,'CDO Bespoke'!$G198/10000,'CDO Bespoke'!F198,'CDO Bespoke'!$L174,'CDO Bespoke'!$C$13,'CDO Bespoke'!$C$14,'CDO Bespoke'!$C$15,'CDO Bespoke'!$C$8,,,TRUE,TRUE,FALSE,'CDO Bespoke'!$C$29:'CDO Bespoke'!$C$31,'CDO Bespoke'!$C$33),{5})),"")</f>
        <v/>
      </c>
      <c r="Q173" s="542" t="str" cm="1">
        <f t="array" ref="Q173">IF($O173&lt;&gt;"",-TRANSPOSE(INDEX(getcds('CDO Bespoke'!$C198,Q$13,'CDO Bespoke'!$G198/10000,'CDO Bespoke'!G198,'CDO Bespoke'!$L174,'CDO Bespoke'!$C$13,'CDO Bespoke'!$C$14,'CDO Bespoke'!$C$15,'CDO Bespoke'!$C$8,,,TRUE,TRUE,FALSE,'CDO Bespoke'!$C$29:'CDO Bespoke'!$C$31,'CDO Bespoke'!$C$33),{5})),"")</f>
        <v/>
      </c>
      <c r="R173" s="542" t="str" cm="1">
        <f t="array" ref="R173">IF($O173&lt;&gt;"",-TRANSPOSE(INDEX(getcds('CDO Bespoke'!$C198,R$13,'CDO Bespoke'!$G198/10000,'CDO Bespoke'!H198,'CDO Bespoke'!$L174,'CDO Bespoke'!$C$13,'CDO Bespoke'!$C$14,'CDO Bespoke'!$C$15,'CDO Bespoke'!$C$8,,,TRUE,TRUE,FALSE,'CDO Bespoke'!$C$29:'CDO Bespoke'!$C$31,'CDO Bespoke'!$C$33),{5})),"")</f>
        <v/>
      </c>
      <c r="S173" s="542" t="str" cm="1">
        <f t="array" ref="S173">IF($O173&lt;&gt;"",-TRANSPOSE(INDEX(getcds('CDO Bespoke'!$C198,S$13,'CDO Bespoke'!$G198/10000,'CDO Bespoke'!I198,'CDO Bespoke'!$L174,'CDO Bespoke'!$C$13,'CDO Bespoke'!$C$14,'CDO Bespoke'!$C$15,'CDO Bespoke'!$C$8,,,TRUE,TRUE,FALSE,'CDO Bespoke'!$C$29:'CDO Bespoke'!$C$31,'CDO Bespoke'!$C$33),{5})),"")</f>
        <v/>
      </c>
      <c r="T173" s="514" t="str" cm="1">
        <f t="array" ref="T173">IF($O173&lt;&gt;"",-TRANSPOSE(INDEX(getcds('CDO Bespoke'!$C198,T$13,'CDO Bespoke'!$G198/10000,'CDO Bespoke'!J198,'CDO Bespoke'!$L174,'CDO Bespoke'!$C$13,'CDO Bespoke'!$C$14,'CDO Bespoke'!$C$15,'CDO Bespoke'!$C$8,,,TRUE,TRUE,FALSE,'CDO Bespoke'!$C$29:'CDO Bespoke'!$C$31,'CDO Bespoke'!$C$33),{5})),"")</f>
        <v/>
      </c>
      <c r="U173" s="493"/>
      <c r="V173" s="529"/>
      <c r="W173" s="530"/>
      <c r="X173" s="530"/>
      <c r="Y173" s="530"/>
      <c r="Z173" s="530"/>
      <c r="AA173" s="530"/>
      <c r="AB173" s="530"/>
      <c r="AC173" s="530"/>
      <c r="AD173" s="530"/>
      <c r="AE173" s="531"/>
      <c r="AF173" s="539"/>
    </row>
    <row r="174" spans="6:32" s="281" customFormat="1" ht="12" thickBot="1">
      <c r="F174" s="501" t="str">
        <f>IF('CDO Bespoke'!O175&lt;&gt;"",'CDO Bespoke'!O175,"")</f>
        <v/>
      </c>
      <c r="G174" s="502" t="str">
        <f>IF(F174&lt;&gt;"",ABS(MIN(-0.75*('CDO Bespoke'!Q175+'CDO Bespoke'!T175)+'CDO Bespoke'!T175,0)),"")</f>
        <v/>
      </c>
      <c r="H174" s="502" t="str">
        <f t="shared" si="8"/>
        <v/>
      </c>
      <c r="I174" s="502" t="str">
        <f t="shared" si="11"/>
        <v/>
      </c>
      <c r="J174" s="501" t="str">
        <f>IF('CDO Bespoke'!O175&lt;&gt;"",'CDO Bespoke'!O175,"")</f>
        <v/>
      </c>
      <c r="K174" s="502" t="str">
        <f>IF(J174&lt;&gt;"",ABS(MIN(-0.75*('CDO Bespoke'!K175+'CDO Bespoke'!T175)+'CDO Bespoke'!T175,0)),"")</f>
        <v/>
      </c>
      <c r="L174" s="502" t="str">
        <f t="shared" si="9"/>
        <v/>
      </c>
      <c r="M174" s="506" t="str">
        <f t="shared" si="10"/>
        <v/>
      </c>
      <c r="O174" s="511" t="str">
        <f>IF('CDO Bespoke'!C199&lt;&gt;"",'CDO Bespoke'!C199,"")</f>
        <v/>
      </c>
      <c r="P174" s="513" t="str" cm="1">
        <f t="array" ref="P174">IF($O174&lt;&gt;"",-TRANSPOSE(INDEX(getcds('CDO Bespoke'!$C199,P$13,'CDO Bespoke'!$G199/10000,'CDO Bespoke'!F199,'CDO Bespoke'!$L175,'CDO Bespoke'!$C$13,'CDO Bespoke'!$C$14,'CDO Bespoke'!$C$15,'CDO Bespoke'!$C$8,,,TRUE,TRUE,FALSE,'CDO Bespoke'!$C$29:'CDO Bespoke'!$C$31,'CDO Bespoke'!$C$33),{5})),"")</f>
        <v/>
      </c>
      <c r="Q174" s="542" t="str" cm="1">
        <f t="array" ref="Q174">IF($O174&lt;&gt;"",-TRANSPOSE(INDEX(getcds('CDO Bespoke'!$C199,Q$13,'CDO Bespoke'!$G199/10000,'CDO Bespoke'!G199,'CDO Bespoke'!$L175,'CDO Bespoke'!$C$13,'CDO Bespoke'!$C$14,'CDO Bespoke'!$C$15,'CDO Bespoke'!$C$8,,,TRUE,TRUE,FALSE,'CDO Bespoke'!$C$29:'CDO Bespoke'!$C$31,'CDO Bespoke'!$C$33),{5})),"")</f>
        <v/>
      </c>
      <c r="R174" s="542" t="str" cm="1">
        <f t="array" ref="R174">IF($O174&lt;&gt;"",-TRANSPOSE(INDEX(getcds('CDO Bespoke'!$C199,R$13,'CDO Bespoke'!$G199/10000,'CDO Bespoke'!H199,'CDO Bespoke'!$L175,'CDO Bespoke'!$C$13,'CDO Bespoke'!$C$14,'CDO Bespoke'!$C$15,'CDO Bespoke'!$C$8,,,TRUE,TRUE,FALSE,'CDO Bespoke'!$C$29:'CDO Bespoke'!$C$31,'CDO Bespoke'!$C$33),{5})),"")</f>
        <v/>
      </c>
      <c r="S174" s="542" t="str" cm="1">
        <f t="array" ref="S174">IF($O174&lt;&gt;"",-TRANSPOSE(INDEX(getcds('CDO Bespoke'!$C199,S$13,'CDO Bespoke'!$G199/10000,'CDO Bespoke'!I199,'CDO Bespoke'!$L175,'CDO Bespoke'!$C$13,'CDO Bespoke'!$C$14,'CDO Bespoke'!$C$15,'CDO Bespoke'!$C$8,,,TRUE,TRUE,FALSE,'CDO Bespoke'!$C$29:'CDO Bespoke'!$C$31,'CDO Bespoke'!$C$33),{5})),"")</f>
        <v/>
      </c>
      <c r="T174" s="514" t="str" cm="1">
        <f t="array" ref="T174">IF($O174&lt;&gt;"",-TRANSPOSE(INDEX(getcds('CDO Bespoke'!$C199,T$13,'CDO Bespoke'!$G199/10000,'CDO Bespoke'!J199,'CDO Bespoke'!$L175,'CDO Bespoke'!$C$13,'CDO Bespoke'!$C$14,'CDO Bespoke'!$C$15,'CDO Bespoke'!$C$8,,,TRUE,TRUE,FALSE,'CDO Bespoke'!$C$29:'CDO Bespoke'!$C$31,'CDO Bespoke'!$C$33),{5})),"")</f>
        <v/>
      </c>
      <c r="U174" s="493"/>
      <c r="V174" s="529"/>
      <c r="W174" s="530"/>
      <c r="X174" s="530"/>
      <c r="Y174" s="530"/>
      <c r="Z174" s="530"/>
      <c r="AA174" s="530"/>
      <c r="AB174" s="530"/>
      <c r="AC174" s="530"/>
      <c r="AD174" s="530"/>
      <c r="AE174" s="531"/>
      <c r="AF174" s="539"/>
    </row>
    <row r="175" spans="6:32" s="281" customFormat="1" ht="12" thickBot="1">
      <c r="F175" s="501" t="str">
        <f>IF('CDO Bespoke'!O176&lt;&gt;"",'CDO Bespoke'!O176,"")</f>
        <v/>
      </c>
      <c r="G175" s="502" t="str">
        <f>IF(F175&lt;&gt;"",ABS(MIN(-0.75*('CDO Bespoke'!Q176+'CDO Bespoke'!T176)+'CDO Bespoke'!T176,0)),"")</f>
        <v/>
      </c>
      <c r="H175" s="502" t="str">
        <f t="shared" si="8"/>
        <v/>
      </c>
      <c r="I175" s="502" t="str">
        <f t="shared" si="11"/>
        <v/>
      </c>
      <c r="J175" s="501" t="str">
        <f>IF('CDO Bespoke'!O176&lt;&gt;"",'CDO Bespoke'!O176,"")</f>
        <v/>
      </c>
      <c r="K175" s="502" t="str">
        <f>IF(J175&lt;&gt;"",ABS(MIN(-0.75*('CDO Bespoke'!K176+'CDO Bespoke'!T176)+'CDO Bespoke'!T176,0)),"")</f>
        <v/>
      </c>
      <c r="L175" s="502" t="str">
        <f t="shared" si="9"/>
        <v/>
      </c>
      <c r="M175" s="506" t="str">
        <f t="shared" si="10"/>
        <v/>
      </c>
      <c r="O175" s="511" t="str">
        <f>IF('CDO Bespoke'!C200&lt;&gt;"",'CDO Bespoke'!C200,"")</f>
        <v/>
      </c>
      <c r="P175" s="513" t="str" cm="1">
        <f t="array" ref="P175">IF($O175&lt;&gt;"",-TRANSPOSE(INDEX(getcds('CDO Bespoke'!$C200,P$13,'CDO Bespoke'!$G200/10000,'CDO Bespoke'!F200,'CDO Bespoke'!$L176,'CDO Bespoke'!$C$13,'CDO Bespoke'!$C$14,'CDO Bespoke'!$C$15,'CDO Bespoke'!$C$8,,,TRUE,TRUE,FALSE,'CDO Bespoke'!$C$29:'CDO Bespoke'!$C$31,'CDO Bespoke'!$C$33),{5})),"")</f>
        <v/>
      </c>
      <c r="Q175" s="542" t="str" cm="1">
        <f t="array" ref="Q175">IF($O175&lt;&gt;"",-TRANSPOSE(INDEX(getcds('CDO Bespoke'!$C200,Q$13,'CDO Bespoke'!$G200/10000,'CDO Bespoke'!G200,'CDO Bespoke'!$L176,'CDO Bespoke'!$C$13,'CDO Bespoke'!$C$14,'CDO Bespoke'!$C$15,'CDO Bespoke'!$C$8,,,TRUE,TRUE,FALSE,'CDO Bespoke'!$C$29:'CDO Bespoke'!$C$31,'CDO Bespoke'!$C$33),{5})),"")</f>
        <v/>
      </c>
      <c r="R175" s="542" t="str" cm="1">
        <f t="array" ref="R175">IF($O175&lt;&gt;"",-TRANSPOSE(INDEX(getcds('CDO Bespoke'!$C200,R$13,'CDO Bespoke'!$G200/10000,'CDO Bespoke'!H200,'CDO Bespoke'!$L176,'CDO Bespoke'!$C$13,'CDO Bespoke'!$C$14,'CDO Bespoke'!$C$15,'CDO Bespoke'!$C$8,,,TRUE,TRUE,FALSE,'CDO Bespoke'!$C$29:'CDO Bespoke'!$C$31,'CDO Bespoke'!$C$33),{5})),"")</f>
        <v/>
      </c>
      <c r="S175" s="542" t="str" cm="1">
        <f t="array" ref="S175">IF($O175&lt;&gt;"",-TRANSPOSE(INDEX(getcds('CDO Bespoke'!$C200,S$13,'CDO Bespoke'!$G200/10000,'CDO Bespoke'!I200,'CDO Bespoke'!$L176,'CDO Bespoke'!$C$13,'CDO Bespoke'!$C$14,'CDO Bespoke'!$C$15,'CDO Bespoke'!$C$8,,,TRUE,TRUE,FALSE,'CDO Bespoke'!$C$29:'CDO Bespoke'!$C$31,'CDO Bespoke'!$C$33),{5})),"")</f>
        <v/>
      </c>
      <c r="T175" s="514" t="str" cm="1">
        <f t="array" ref="T175">IF($O175&lt;&gt;"",-TRANSPOSE(INDEX(getcds('CDO Bespoke'!$C200,T$13,'CDO Bespoke'!$G200/10000,'CDO Bespoke'!J200,'CDO Bespoke'!$L176,'CDO Bespoke'!$C$13,'CDO Bespoke'!$C$14,'CDO Bespoke'!$C$15,'CDO Bespoke'!$C$8,,,TRUE,TRUE,FALSE,'CDO Bespoke'!$C$29:'CDO Bespoke'!$C$31,'CDO Bespoke'!$C$33),{5})),"")</f>
        <v/>
      </c>
      <c r="U175" s="493"/>
      <c r="V175" s="529"/>
      <c r="W175" s="530"/>
      <c r="X175" s="530"/>
      <c r="Y175" s="530"/>
      <c r="Z175" s="530"/>
      <c r="AA175" s="530"/>
      <c r="AB175" s="530"/>
      <c r="AC175" s="530"/>
      <c r="AD175" s="530"/>
      <c r="AE175" s="531"/>
      <c r="AF175" s="539"/>
    </row>
    <row r="176" spans="6:32" s="281" customFormat="1" ht="12" thickBot="1">
      <c r="F176" s="501" t="str">
        <f>IF('CDO Bespoke'!O177&lt;&gt;"",'CDO Bespoke'!O177,"")</f>
        <v/>
      </c>
      <c r="G176" s="502" t="str">
        <f>IF(F176&lt;&gt;"",ABS(MIN(-0.75*('CDO Bespoke'!Q177+'CDO Bespoke'!T177)+'CDO Bespoke'!T177,0)),"")</f>
        <v/>
      </c>
      <c r="H176" s="502" t="str">
        <f t="shared" si="8"/>
        <v/>
      </c>
      <c r="I176" s="502" t="str">
        <f t="shared" si="11"/>
        <v/>
      </c>
      <c r="J176" s="501" t="str">
        <f>IF('CDO Bespoke'!O177&lt;&gt;"",'CDO Bespoke'!O177,"")</f>
        <v/>
      </c>
      <c r="K176" s="502" t="str">
        <f>IF(J176&lt;&gt;"",ABS(MIN(-0.75*('CDO Bespoke'!K177+'CDO Bespoke'!T177)+'CDO Bespoke'!T177,0)),"")</f>
        <v/>
      </c>
      <c r="L176" s="502" t="str">
        <f t="shared" si="9"/>
        <v/>
      </c>
      <c r="M176" s="506" t="str">
        <f t="shared" si="10"/>
        <v/>
      </c>
      <c r="O176" s="511" t="str">
        <f>IF('CDO Bespoke'!C201&lt;&gt;"",'CDO Bespoke'!C201,"")</f>
        <v/>
      </c>
      <c r="P176" s="513" t="str" cm="1">
        <f t="array" ref="P176">IF($O176&lt;&gt;"",-TRANSPOSE(INDEX(getcds('CDO Bespoke'!$C201,P$13,'CDO Bespoke'!$G201/10000,'CDO Bespoke'!F201,'CDO Bespoke'!$L177,'CDO Bespoke'!$C$13,'CDO Bespoke'!$C$14,'CDO Bespoke'!$C$15,'CDO Bespoke'!$C$8,,,TRUE,TRUE,FALSE,'CDO Bespoke'!$C$29:'CDO Bespoke'!$C$31,'CDO Bespoke'!$C$33),{5})),"")</f>
        <v/>
      </c>
      <c r="Q176" s="542" t="str" cm="1">
        <f t="array" ref="Q176">IF($O176&lt;&gt;"",-TRANSPOSE(INDEX(getcds('CDO Bespoke'!$C201,Q$13,'CDO Bespoke'!$G201/10000,'CDO Bespoke'!G201,'CDO Bespoke'!$L177,'CDO Bespoke'!$C$13,'CDO Bespoke'!$C$14,'CDO Bespoke'!$C$15,'CDO Bespoke'!$C$8,,,TRUE,TRUE,FALSE,'CDO Bespoke'!$C$29:'CDO Bespoke'!$C$31,'CDO Bespoke'!$C$33),{5})),"")</f>
        <v/>
      </c>
      <c r="R176" s="542" t="str" cm="1">
        <f t="array" ref="R176">IF($O176&lt;&gt;"",-TRANSPOSE(INDEX(getcds('CDO Bespoke'!$C201,R$13,'CDO Bespoke'!$G201/10000,'CDO Bespoke'!H201,'CDO Bespoke'!$L177,'CDO Bespoke'!$C$13,'CDO Bespoke'!$C$14,'CDO Bespoke'!$C$15,'CDO Bespoke'!$C$8,,,TRUE,TRUE,FALSE,'CDO Bespoke'!$C$29:'CDO Bespoke'!$C$31,'CDO Bespoke'!$C$33),{5})),"")</f>
        <v/>
      </c>
      <c r="S176" s="542" t="str" cm="1">
        <f t="array" ref="S176">IF($O176&lt;&gt;"",-TRANSPOSE(INDEX(getcds('CDO Bespoke'!$C201,S$13,'CDO Bespoke'!$G201/10000,'CDO Bespoke'!I201,'CDO Bespoke'!$L177,'CDO Bespoke'!$C$13,'CDO Bespoke'!$C$14,'CDO Bespoke'!$C$15,'CDO Bespoke'!$C$8,,,TRUE,TRUE,FALSE,'CDO Bespoke'!$C$29:'CDO Bespoke'!$C$31,'CDO Bespoke'!$C$33),{5})),"")</f>
        <v/>
      </c>
      <c r="T176" s="514" t="str" cm="1">
        <f t="array" ref="T176">IF($O176&lt;&gt;"",-TRANSPOSE(INDEX(getcds('CDO Bespoke'!$C201,T$13,'CDO Bespoke'!$G201/10000,'CDO Bespoke'!J201,'CDO Bespoke'!$L177,'CDO Bespoke'!$C$13,'CDO Bespoke'!$C$14,'CDO Bespoke'!$C$15,'CDO Bespoke'!$C$8,,,TRUE,TRUE,FALSE,'CDO Bespoke'!$C$29:'CDO Bespoke'!$C$31,'CDO Bespoke'!$C$33),{5})),"")</f>
        <v/>
      </c>
      <c r="U176" s="493"/>
      <c r="V176" s="529"/>
      <c r="W176" s="530"/>
      <c r="X176" s="530"/>
      <c r="Y176" s="530"/>
      <c r="Z176" s="530"/>
      <c r="AA176" s="530"/>
      <c r="AB176" s="530"/>
      <c r="AC176" s="530"/>
      <c r="AD176" s="530"/>
      <c r="AE176" s="531"/>
      <c r="AF176" s="539"/>
    </row>
    <row r="177" spans="6:32" s="281" customFormat="1" ht="12" thickBot="1">
      <c r="F177" s="501" t="str">
        <f>IF('CDO Bespoke'!O178&lt;&gt;"",'CDO Bespoke'!O178,"")</f>
        <v/>
      </c>
      <c r="G177" s="502" t="str">
        <f>IF(F177&lt;&gt;"",ABS(MIN(-0.75*('CDO Bespoke'!Q178+'CDO Bespoke'!T178)+'CDO Bespoke'!T178,0)),"")</f>
        <v/>
      </c>
      <c r="H177" s="502" t="str">
        <f t="shared" si="8"/>
        <v/>
      </c>
      <c r="I177" s="502" t="str">
        <f t="shared" si="11"/>
        <v/>
      </c>
      <c r="J177" s="501" t="str">
        <f>IF('CDO Bespoke'!O178&lt;&gt;"",'CDO Bespoke'!O178,"")</f>
        <v/>
      </c>
      <c r="K177" s="502" t="str">
        <f>IF(J177&lt;&gt;"",ABS(MIN(-0.75*('CDO Bespoke'!K178+'CDO Bespoke'!T178)+'CDO Bespoke'!T178,0)),"")</f>
        <v/>
      </c>
      <c r="L177" s="502" t="str">
        <f t="shared" si="9"/>
        <v/>
      </c>
      <c r="M177" s="506" t="str">
        <f t="shared" si="10"/>
        <v/>
      </c>
      <c r="O177" s="511" t="str">
        <f>IF('CDO Bespoke'!C202&lt;&gt;"",'CDO Bespoke'!C202,"")</f>
        <v/>
      </c>
      <c r="P177" s="513" t="str" cm="1">
        <f t="array" ref="P177">IF($O177&lt;&gt;"",-TRANSPOSE(INDEX(getcds('CDO Bespoke'!$C202,P$13,'CDO Bespoke'!$G202/10000,'CDO Bespoke'!F202,'CDO Bespoke'!$L178,'CDO Bespoke'!$C$13,'CDO Bespoke'!$C$14,'CDO Bespoke'!$C$15,'CDO Bespoke'!$C$8,,,TRUE,TRUE,FALSE,'CDO Bespoke'!$C$29:'CDO Bespoke'!$C$31,'CDO Bespoke'!$C$33),{5})),"")</f>
        <v/>
      </c>
      <c r="Q177" s="542" t="str" cm="1">
        <f t="array" ref="Q177">IF($O177&lt;&gt;"",-TRANSPOSE(INDEX(getcds('CDO Bespoke'!$C202,Q$13,'CDO Bespoke'!$G202/10000,'CDO Bespoke'!G202,'CDO Bespoke'!$L178,'CDO Bespoke'!$C$13,'CDO Bespoke'!$C$14,'CDO Bespoke'!$C$15,'CDO Bespoke'!$C$8,,,TRUE,TRUE,FALSE,'CDO Bespoke'!$C$29:'CDO Bespoke'!$C$31,'CDO Bespoke'!$C$33),{5})),"")</f>
        <v/>
      </c>
      <c r="R177" s="542" t="str" cm="1">
        <f t="array" ref="R177">IF($O177&lt;&gt;"",-TRANSPOSE(INDEX(getcds('CDO Bespoke'!$C202,R$13,'CDO Bespoke'!$G202/10000,'CDO Bespoke'!H202,'CDO Bespoke'!$L178,'CDO Bespoke'!$C$13,'CDO Bespoke'!$C$14,'CDO Bespoke'!$C$15,'CDO Bespoke'!$C$8,,,TRUE,TRUE,FALSE,'CDO Bespoke'!$C$29:'CDO Bespoke'!$C$31,'CDO Bespoke'!$C$33),{5})),"")</f>
        <v/>
      </c>
      <c r="S177" s="542" t="str" cm="1">
        <f t="array" ref="S177">IF($O177&lt;&gt;"",-TRANSPOSE(INDEX(getcds('CDO Bespoke'!$C202,S$13,'CDO Bespoke'!$G202/10000,'CDO Bespoke'!I202,'CDO Bespoke'!$L178,'CDO Bespoke'!$C$13,'CDO Bespoke'!$C$14,'CDO Bespoke'!$C$15,'CDO Bespoke'!$C$8,,,TRUE,TRUE,FALSE,'CDO Bespoke'!$C$29:'CDO Bespoke'!$C$31,'CDO Bespoke'!$C$33),{5})),"")</f>
        <v/>
      </c>
      <c r="T177" s="514" t="str" cm="1">
        <f t="array" ref="T177">IF($O177&lt;&gt;"",-TRANSPOSE(INDEX(getcds('CDO Bespoke'!$C202,T$13,'CDO Bespoke'!$G202/10000,'CDO Bespoke'!J202,'CDO Bespoke'!$L178,'CDO Bespoke'!$C$13,'CDO Bespoke'!$C$14,'CDO Bespoke'!$C$15,'CDO Bespoke'!$C$8,,,TRUE,TRUE,FALSE,'CDO Bespoke'!$C$29:'CDO Bespoke'!$C$31,'CDO Bespoke'!$C$33),{5})),"")</f>
        <v/>
      </c>
      <c r="U177" s="493"/>
      <c r="V177" s="529"/>
      <c r="W177" s="530"/>
      <c r="X177" s="530"/>
      <c r="Y177" s="530"/>
      <c r="Z177" s="530"/>
      <c r="AA177" s="530"/>
      <c r="AB177" s="530"/>
      <c r="AC177" s="530"/>
      <c r="AD177" s="530"/>
      <c r="AE177" s="531"/>
      <c r="AF177" s="539"/>
    </row>
    <row r="178" spans="6:32" s="281" customFormat="1" ht="12" thickBot="1">
      <c r="F178" s="501" t="str">
        <f>IF('CDO Bespoke'!O179&lt;&gt;"",'CDO Bespoke'!O179,"")</f>
        <v/>
      </c>
      <c r="G178" s="502" t="str">
        <f>IF(F178&lt;&gt;"",ABS(MIN(-0.75*('CDO Bespoke'!Q179+'CDO Bespoke'!T179)+'CDO Bespoke'!T179,0)),"")</f>
        <v/>
      </c>
      <c r="H178" s="502" t="str">
        <f t="shared" si="8"/>
        <v/>
      </c>
      <c r="I178" s="502" t="str">
        <f t="shared" si="11"/>
        <v/>
      </c>
      <c r="J178" s="501" t="str">
        <f>IF('CDO Bespoke'!O179&lt;&gt;"",'CDO Bespoke'!O179,"")</f>
        <v/>
      </c>
      <c r="K178" s="502" t="str">
        <f>IF(J178&lt;&gt;"",ABS(MIN(-0.75*('CDO Bespoke'!K179+'CDO Bespoke'!T179)+'CDO Bespoke'!T179,0)),"")</f>
        <v/>
      </c>
      <c r="L178" s="502" t="str">
        <f t="shared" si="9"/>
        <v/>
      </c>
      <c r="M178" s="506" t="str">
        <f t="shared" si="10"/>
        <v/>
      </c>
      <c r="O178" s="511" t="str">
        <f>IF('CDO Bespoke'!C203&lt;&gt;"",'CDO Bespoke'!C203,"")</f>
        <v/>
      </c>
      <c r="P178" s="513" t="str" cm="1">
        <f t="array" ref="P178">IF($O178&lt;&gt;"",-TRANSPOSE(INDEX(getcds('CDO Bespoke'!$C203,P$13,'CDO Bespoke'!$G203/10000,'CDO Bespoke'!F203,'CDO Bespoke'!$L179,'CDO Bespoke'!$C$13,'CDO Bespoke'!$C$14,'CDO Bespoke'!$C$15,'CDO Bespoke'!$C$8,,,TRUE,TRUE,FALSE,'CDO Bespoke'!$C$29:'CDO Bespoke'!$C$31,'CDO Bespoke'!$C$33),{5})),"")</f>
        <v/>
      </c>
      <c r="Q178" s="542" t="str" cm="1">
        <f t="array" ref="Q178">IF($O178&lt;&gt;"",-TRANSPOSE(INDEX(getcds('CDO Bespoke'!$C203,Q$13,'CDO Bespoke'!$G203/10000,'CDO Bespoke'!G203,'CDO Bespoke'!$L179,'CDO Bespoke'!$C$13,'CDO Bespoke'!$C$14,'CDO Bespoke'!$C$15,'CDO Bespoke'!$C$8,,,TRUE,TRUE,FALSE,'CDO Bespoke'!$C$29:'CDO Bespoke'!$C$31,'CDO Bespoke'!$C$33),{5})),"")</f>
        <v/>
      </c>
      <c r="R178" s="542" t="str" cm="1">
        <f t="array" ref="R178">IF($O178&lt;&gt;"",-TRANSPOSE(INDEX(getcds('CDO Bespoke'!$C203,R$13,'CDO Bespoke'!$G203/10000,'CDO Bespoke'!H203,'CDO Bespoke'!$L179,'CDO Bespoke'!$C$13,'CDO Bespoke'!$C$14,'CDO Bespoke'!$C$15,'CDO Bespoke'!$C$8,,,TRUE,TRUE,FALSE,'CDO Bespoke'!$C$29:'CDO Bespoke'!$C$31,'CDO Bespoke'!$C$33),{5})),"")</f>
        <v/>
      </c>
      <c r="S178" s="542" t="str" cm="1">
        <f t="array" ref="S178">IF($O178&lt;&gt;"",-TRANSPOSE(INDEX(getcds('CDO Bespoke'!$C203,S$13,'CDO Bespoke'!$G203/10000,'CDO Bespoke'!I203,'CDO Bespoke'!$L179,'CDO Bespoke'!$C$13,'CDO Bespoke'!$C$14,'CDO Bespoke'!$C$15,'CDO Bespoke'!$C$8,,,TRUE,TRUE,FALSE,'CDO Bespoke'!$C$29:'CDO Bespoke'!$C$31,'CDO Bespoke'!$C$33),{5})),"")</f>
        <v/>
      </c>
      <c r="T178" s="514" t="str" cm="1">
        <f t="array" ref="T178">IF($O178&lt;&gt;"",-TRANSPOSE(INDEX(getcds('CDO Bespoke'!$C203,T$13,'CDO Bespoke'!$G203/10000,'CDO Bespoke'!J203,'CDO Bespoke'!$L179,'CDO Bespoke'!$C$13,'CDO Bespoke'!$C$14,'CDO Bespoke'!$C$15,'CDO Bespoke'!$C$8,,,TRUE,TRUE,FALSE,'CDO Bespoke'!$C$29:'CDO Bespoke'!$C$31,'CDO Bespoke'!$C$33),{5})),"")</f>
        <v/>
      </c>
      <c r="U178" s="493"/>
      <c r="V178" s="529"/>
      <c r="W178" s="530"/>
      <c r="X178" s="530"/>
      <c r="Y178" s="530"/>
      <c r="Z178" s="530"/>
      <c r="AA178" s="530"/>
      <c r="AB178" s="530"/>
      <c r="AC178" s="530"/>
      <c r="AD178" s="530"/>
      <c r="AE178" s="531"/>
      <c r="AF178" s="539"/>
    </row>
    <row r="179" spans="6:32" s="281" customFormat="1" ht="12" thickBot="1">
      <c r="F179" s="501" t="str">
        <f>IF('CDO Bespoke'!O180&lt;&gt;"",'CDO Bespoke'!O180,"")</f>
        <v/>
      </c>
      <c r="G179" s="502" t="str">
        <f>IF(F179&lt;&gt;"",ABS(MIN(-0.75*('CDO Bespoke'!Q180+'CDO Bespoke'!T180)+'CDO Bespoke'!T180,0)),"")</f>
        <v/>
      </c>
      <c r="H179" s="502" t="str">
        <f t="shared" si="8"/>
        <v/>
      </c>
      <c r="I179" s="502" t="str">
        <f t="shared" si="11"/>
        <v/>
      </c>
      <c r="J179" s="501" t="str">
        <f>IF('CDO Bespoke'!O180&lt;&gt;"",'CDO Bespoke'!O180,"")</f>
        <v/>
      </c>
      <c r="K179" s="502" t="str">
        <f>IF(J179&lt;&gt;"",ABS(MIN(-0.75*('CDO Bespoke'!K180+'CDO Bespoke'!T180)+'CDO Bespoke'!T180,0)),"")</f>
        <v/>
      </c>
      <c r="L179" s="502" t="str">
        <f t="shared" si="9"/>
        <v/>
      </c>
      <c r="M179" s="506" t="str">
        <f t="shared" si="10"/>
        <v/>
      </c>
      <c r="O179" s="511" t="str">
        <f>IF('CDO Bespoke'!C204&lt;&gt;"",'CDO Bespoke'!C204,"")</f>
        <v/>
      </c>
      <c r="P179" s="513" t="str" cm="1">
        <f t="array" ref="P179">IF($O179&lt;&gt;"",-TRANSPOSE(INDEX(getcds('CDO Bespoke'!$C204,P$13,'CDO Bespoke'!$G204/10000,'CDO Bespoke'!F204,'CDO Bespoke'!$L180,'CDO Bespoke'!$C$13,'CDO Bespoke'!$C$14,'CDO Bespoke'!$C$15,'CDO Bespoke'!$C$8,,,TRUE,TRUE,FALSE,'CDO Bespoke'!$C$29:'CDO Bespoke'!$C$31,'CDO Bespoke'!$C$33),{5})),"")</f>
        <v/>
      </c>
      <c r="Q179" s="542" t="str" cm="1">
        <f t="array" ref="Q179">IF($O179&lt;&gt;"",-TRANSPOSE(INDEX(getcds('CDO Bespoke'!$C204,Q$13,'CDO Bespoke'!$G204/10000,'CDO Bespoke'!G204,'CDO Bespoke'!$L180,'CDO Bespoke'!$C$13,'CDO Bespoke'!$C$14,'CDO Bespoke'!$C$15,'CDO Bespoke'!$C$8,,,TRUE,TRUE,FALSE,'CDO Bespoke'!$C$29:'CDO Bespoke'!$C$31,'CDO Bespoke'!$C$33),{5})),"")</f>
        <v/>
      </c>
      <c r="R179" s="542" t="str" cm="1">
        <f t="array" ref="R179">IF($O179&lt;&gt;"",-TRANSPOSE(INDEX(getcds('CDO Bespoke'!$C204,R$13,'CDO Bespoke'!$G204/10000,'CDO Bespoke'!H204,'CDO Bespoke'!$L180,'CDO Bespoke'!$C$13,'CDO Bespoke'!$C$14,'CDO Bespoke'!$C$15,'CDO Bespoke'!$C$8,,,TRUE,TRUE,FALSE,'CDO Bespoke'!$C$29:'CDO Bespoke'!$C$31,'CDO Bespoke'!$C$33),{5})),"")</f>
        <v/>
      </c>
      <c r="S179" s="542" t="str" cm="1">
        <f t="array" ref="S179">IF($O179&lt;&gt;"",-TRANSPOSE(INDEX(getcds('CDO Bespoke'!$C204,S$13,'CDO Bespoke'!$G204/10000,'CDO Bespoke'!I204,'CDO Bespoke'!$L180,'CDO Bespoke'!$C$13,'CDO Bespoke'!$C$14,'CDO Bespoke'!$C$15,'CDO Bespoke'!$C$8,,,TRUE,TRUE,FALSE,'CDO Bespoke'!$C$29:'CDO Bespoke'!$C$31,'CDO Bespoke'!$C$33),{5})),"")</f>
        <v/>
      </c>
      <c r="T179" s="514" t="str" cm="1">
        <f t="array" ref="T179">IF($O179&lt;&gt;"",-TRANSPOSE(INDEX(getcds('CDO Bespoke'!$C204,T$13,'CDO Bespoke'!$G204/10000,'CDO Bespoke'!J204,'CDO Bespoke'!$L180,'CDO Bespoke'!$C$13,'CDO Bespoke'!$C$14,'CDO Bespoke'!$C$15,'CDO Bespoke'!$C$8,,,TRUE,TRUE,FALSE,'CDO Bespoke'!$C$29:'CDO Bespoke'!$C$31,'CDO Bespoke'!$C$33),{5})),"")</f>
        <v/>
      </c>
      <c r="U179" s="493"/>
      <c r="V179" s="529"/>
      <c r="W179" s="530"/>
      <c r="X179" s="530"/>
      <c r="Y179" s="530"/>
      <c r="Z179" s="530"/>
      <c r="AA179" s="530"/>
      <c r="AB179" s="530"/>
      <c r="AC179" s="530"/>
      <c r="AD179" s="530"/>
      <c r="AE179" s="531"/>
      <c r="AF179" s="539"/>
    </row>
    <row r="180" spans="6:32" s="281" customFormat="1" ht="12" thickBot="1">
      <c r="F180" s="501" t="str">
        <f>IF('CDO Bespoke'!O181&lt;&gt;"",'CDO Bespoke'!O181,"")</f>
        <v/>
      </c>
      <c r="G180" s="502" t="str">
        <f>IF(F180&lt;&gt;"",ABS(MIN(-0.75*('CDO Bespoke'!Q181+'CDO Bespoke'!T181)+'CDO Bespoke'!T181,0)),"")</f>
        <v/>
      </c>
      <c r="H180" s="502" t="str">
        <f t="shared" si="8"/>
        <v/>
      </c>
      <c r="I180" s="502" t="str">
        <f t="shared" si="11"/>
        <v/>
      </c>
      <c r="J180" s="501" t="str">
        <f>IF('CDO Bespoke'!O181&lt;&gt;"",'CDO Bespoke'!O181,"")</f>
        <v/>
      </c>
      <c r="K180" s="502" t="str">
        <f>IF(J180&lt;&gt;"",ABS(MIN(-0.75*('CDO Bespoke'!K181+'CDO Bespoke'!T181)+'CDO Bespoke'!T181,0)),"")</f>
        <v/>
      </c>
      <c r="L180" s="502" t="str">
        <f t="shared" si="9"/>
        <v/>
      </c>
      <c r="M180" s="506" t="str">
        <f t="shared" si="10"/>
        <v/>
      </c>
      <c r="O180" s="511" t="str">
        <f>IF('CDO Bespoke'!C205&lt;&gt;"",'CDO Bespoke'!C205,"")</f>
        <v/>
      </c>
      <c r="P180" s="513" t="str" cm="1">
        <f t="array" ref="P180">IF($O180&lt;&gt;"",-TRANSPOSE(INDEX(getcds('CDO Bespoke'!$C205,P$13,'CDO Bespoke'!$G205/10000,'CDO Bespoke'!F205,'CDO Bespoke'!$L181,'CDO Bespoke'!$C$13,'CDO Bespoke'!$C$14,'CDO Bespoke'!$C$15,'CDO Bespoke'!$C$8,,,TRUE,TRUE,FALSE,'CDO Bespoke'!$C$29:'CDO Bespoke'!$C$31,'CDO Bespoke'!$C$33),{5})),"")</f>
        <v/>
      </c>
      <c r="Q180" s="542" t="str" cm="1">
        <f t="array" ref="Q180">IF($O180&lt;&gt;"",-TRANSPOSE(INDEX(getcds('CDO Bespoke'!$C205,Q$13,'CDO Bespoke'!$G205/10000,'CDO Bespoke'!G205,'CDO Bespoke'!$L181,'CDO Bespoke'!$C$13,'CDO Bespoke'!$C$14,'CDO Bespoke'!$C$15,'CDO Bespoke'!$C$8,,,TRUE,TRUE,FALSE,'CDO Bespoke'!$C$29:'CDO Bespoke'!$C$31,'CDO Bespoke'!$C$33),{5})),"")</f>
        <v/>
      </c>
      <c r="R180" s="542" t="str" cm="1">
        <f t="array" ref="R180">IF($O180&lt;&gt;"",-TRANSPOSE(INDEX(getcds('CDO Bespoke'!$C205,R$13,'CDO Bespoke'!$G205/10000,'CDO Bespoke'!H205,'CDO Bespoke'!$L181,'CDO Bespoke'!$C$13,'CDO Bespoke'!$C$14,'CDO Bespoke'!$C$15,'CDO Bespoke'!$C$8,,,TRUE,TRUE,FALSE,'CDO Bespoke'!$C$29:'CDO Bespoke'!$C$31,'CDO Bespoke'!$C$33),{5})),"")</f>
        <v/>
      </c>
      <c r="S180" s="542" t="str" cm="1">
        <f t="array" ref="S180">IF($O180&lt;&gt;"",-TRANSPOSE(INDEX(getcds('CDO Bespoke'!$C205,S$13,'CDO Bespoke'!$G205/10000,'CDO Bespoke'!I205,'CDO Bespoke'!$L181,'CDO Bespoke'!$C$13,'CDO Bespoke'!$C$14,'CDO Bespoke'!$C$15,'CDO Bespoke'!$C$8,,,TRUE,TRUE,FALSE,'CDO Bespoke'!$C$29:'CDO Bespoke'!$C$31,'CDO Bespoke'!$C$33),{5})),"")</f>
        <v/>
      </c>
      <c r="T180" s="514" t="str" cm="1">
        <f t="array" ref="T180">IF($O180&lt;&gt;"",-TRANSPOSE(INDEX(getcds('CDO Bespoke'!$C205,T$13,'CDO Bespoke'!$G205/10000,'CDO Bespoke'!J205,'CDO Bespoke'!$L181,'CDO Bespoke'!$C$13,'CDO Bespoke'!$C$14,'CDO Bespoke'!$C$15,'CDO Bespoke'!$C$8,,,TRUE,TRUE,FALSE,'CDO Bespoke'!$C$29:'CDO Bespoke'!$C$31,'CDO Bespoke'!$C$33),{5})),"")</f>
        <v/>
      </c>
      <c r="U180" s="493"/>
      <c r="V180" s="529"/>
      <c r="W180" s="530"/>
      <c r="X180" s="530"/>
      <c r="Y180" s="530"/>
      <c r="Z180" s="530"/>
      <c r="AA180" s="530"/>
      <c r="AB180" s="530"/>
      <c r="AC180" s="530"/>
      <c r="AD180" s="530"/>
      <c r="AE180" s="531"/>
      <c r="AF180" s="539"/>
    </row>
    <row r="181" spans="6:32" s="281" customFormat="1" ht="12" thickBot="1">
      <c r="F181" s="501" t="str">
        <f>IF('CDO Bespoke'!O182&lt;&gt;"",'CDO Bespoke'!O182,"")</f>
        <v/>
      </c>
      <c r="G181" s="502" t="str">
        <f>IF(F181&lt;&gt;"",ABS(MIN(-0.75*('CDO Bespoke'!Q182+'CDO Bespoke'!T182)+'CDO Bespoke'!T182,0)),"")</f>
        <v/>
      </c>
      <c r="H181" s="502" t="str">
        <f t="shared" si="8"/>
        <v/>
      </c>
      <c r="I181" s="502" t="str">
        <f t="shared" si="11"/>
        <v/>
      </c>
      <c r="J181" s="501" t="str">
        <f>IF('CDO Bespoke'!O182&lt;&gt;"",'CDO Bespoke'!O182,"")</f>
        <v/>
      </c>
      <c r="K181" s="502" t="str">
        <f>IF(J181&lt;&gt;"",ABS(MIN(-0.75*('CDO Bespoke'!K182+'CDO Bespoke'!T182)+'CDO Bespoke'!T182,0)),"")</f>
        <v/>
      </c>
      <c r="L181" s="502" t="str">
        <f t="shared" si="9"/>
        <v/>
      </c>
      <c r="M181" s="506" t="str">
        <f t="shared" si="10"/>
        <v/>
      </c>
      <c r="O181" s="511" t="str">
        <f>IF('CDO Bespoke'!C206&lt;&gt;"",'CDO Bespoke'!C206,"")</f>
        <v/>
      </c>
      <c r="P181" s="513" t="str" cm="1">
        <f t="array" ref="P181">IF($O181&lt;&gt;"",-TRANSPOSE(INDEX(getcds('CDO Bespoke'!$C206,P$13,'CDO Bespoke'!$G206/10000,'CDO Bespoke'!F206,'CDO Bespoke'!$L182,'CDO Bespoke'!$C$13,'CDO Bespoke'!$C$14,'CDO Bespoke'!$C$15,'CDO Bespoke'!$C$8,,,TRUE,TRUE,FALSE,'CDO Bespoke'!$C$29:'CDO Bespoke'!$C$31,'CDO Bespoke'!$C$33),{5})),"")</f>
        <v/>
      </c>
      <c r="Q181" s="542" t="str" cm="1">
        <f t="array" ref="Q181">IF($O181&lt;&gt;"",-TRANSPOSE(INDEX(getcds('CDO Bespoke'!$C206,Q$13,'CDO Bespoke'!$G206/10000,'CDO Bespoke'!G206,'CDO Bespoke'!$L182,'CDO Bespoke'!$C$13,'CDO Bespoke'!$C$14,'CDO Bespoke'!$C$15,'CDO Bespoke'!$C$8,,,TRUE,TRUE,FALSE,'CDO Bespoke'!$C$29:'CDO Bespoke'!$C$31,'CDO Bespoke'!$C$33),{5})),"")</f>
        <v/>
      </c>
      <c r="R181" s="542" t="str" cm="1">
        <f t="array" ref="R181">IF($O181&lt;&gt;"",-TRANSPOSE(INDEX(getcds('CDO Bespoke'!$C206,R$13,'CDO Bespoke'!$G206/10000,'CDO Bespoke'!H206,'CDO Bespoke'!$L182,'CDO Bespoke'!$C$13,'CDO Bespoke'!$C$14,'CDO Bespoke'!$C$15,'CDO Bespoke'!$C$8,,,TRUE,TRUE,FALSE,'CDO Bespoke'!$C$29:'CDO Bespoke'!$C$31,'CDO Bespoke'!$C$33),{5})),"")</f>
        <v/>
      </c>
      <c r="S181" s="542" t="str" cm="1">
        <f t="array" ref="S181">IF($O181&lt;&gt;"",-TRANSPOSE(INDEX(getcds('CDO Bespoke'!$C206,S$13,'CDO Bespoke'!$G206/10000,'CDO Bespoke'!I206,'CDO Bespoke'!$L182,'CDO Bespoke'!$C$13,'CDO Bespoke'!$C$14,'CDO Bespoke'!$C$15,'CDO Bespoke'!$C$8,,,TRUE,TRUE,FALSE,'CDO Bespoke'!$C$29:'CDO Bespoke'!$C$31,'CDO Bespoke'!$C$33),{5})),"")</f>
        <v/>
      </c>
      <c r="T181" s="514" t="str" cm="1">
        <f t="array" ref="T181">IF($O181&lt;&gt;"",-TRANSPOSE(INDEX(getcds('CDO Bespoke'!$C206,T$13,'CDO Bespoke'!$G206/10000,'CDO Bespoke'!J206,'CDO Bespoke'!$L182,'CDO Bespoke'!$C$13,'CDO Bespoke'!$C$14,'CDO Bespoke'!$C$15,'CDO Bespoke'!$C$8,,,TRUE,TRUE,FALSE,'CDO Bespoke'!$C$29:'CDO Bespoke'!$C$31,'CDO Bespoke'!$C$33),{5})),"")</f>
        <v/>
      </c>
      <c r="U181" s="493"/>
      <c r="V181" s="529"/>
      <c r="W181" s="530"/>
      <c r="X181" s="530"/>
      <c r="Y181" s="530"/>
      <c r="Z181" s="530"/>
      <c r="AA181" s="530"/>
      <c r="AB181" s="530"/>
      <c r="AC181" s="530"/>
      <c r="AD181" s="530"/>
      <c r="AE181" s="531"/>
      <c r="AF181" s="539"/>
    </row>
    <row r="182" spans="6:32" s="281" customFormat="1" ht="12" thickBot="1">
      <c r="F182" s="501" t="str">
        <f>IF('CDO Bespoke'!O183&lt;&gt;"",'CDO Bespoke'!O183,"")</f>
        <v/>
      </c>
      <c r="G182" s="502" t="str">
        <f>IF(F182&lt;&gt;"",ABS(MIN(-0.75*('CDO Bespoke'!Q183+'CDO Bespoke'!T183)+'CDO Bespoke'!T183,0)),"")</f>
        <v/>
      </c>
      <c r="H182" s="502" t="str">
        <f t="shared" si="8"/>
        <v/>
      </c>
      <c r="I182" s="502" t="str">
        <f t="shared" si="11"/>
        <v/>
      </c>
      <c r="J182" s="501" t="str">
        <f>IF('CDO Bespoke'!O183&lt;&gt;"",'CDO Bespoke'!O183,"")</f>
        <v/>
      </c>
      <c r="K182" s="502" t="str">
        <f>IF(J182&lt;&gt;"",ABS(MIN(-0.75*('CDO Bespoke'!K183+'CDO Bespoke'!T183)+'CDO Bespoke'!T183,0)),"")</f>
        <v/>
      </c>
      <c r="L182" s="502" t="str">
        <f t="shared" si="9"/>
        <v/>
      </c>
      <c r="M182" s="506" t="str">
        <f t="shared" si="10"/>
        <v/>
      </c>
      <c r="O182" s="511" t="str">
        <f>IF('CDO Bespoke'!C207&lt;&gt;"",'CDO Bespoke'!C207,"")</f>
        <v/>
      </c>
      <c r="P182" s="513" t="str" cm="1">
        <f t="array" ref="P182">IF($O182&lt;&gt;"",-TRANSPOSE(INDEX(getcds('CDO Bespoke'!$C207,P$13,'CDO Bespoke'!$G207/10000,'CDO Bespoke'!F207,'CDO Bespoke'!$L183,'CDO Bespoke'!$C$13,'CDO Bespoke'!$C$14,'CDO Bespoke'!$C$15,'CDO Bespoke'!$C$8,,,TRUE,TRUE,FALSE,'CDO Bespoke'!$C$29:'CDO Bespoke'!$C$31,'CDO Bespoke'!$C$33),{5})),"")</f>
        <v/>
      </c>
      <c r="Q182" s="542" t="str" cm="1">
        <f t="array" ref="Q182">IF($O182&lt;&gt;"",-TRANSPOSE(INDEX(getcds('CDO Bespoke'!$C207,Q$13,'CDO Bespoke'!$G207/10000,'CDO Bespoke'!G207,'CDO Bespoke'!$L183,'CDO Bespoke'!$C$13,'CDO Bespoke'!$C$14,'CDO Bespoke'!$C$15,'CDO Bespoke'!$C$8,,,TRUE,TRUE,FALSE,'CDO Bespoke'!$C$29:'CDO Bespoke'!$C$31,'CDO Bespoke'!$C$33),{5})),"")</f>
        <v/>
      </c>
      <c r="R182" s="542" t="str" cm="1">
        <f t="array" ref="R182">IF($O182&lt;&gt;"",-TRANSPOSE(INDEX(getcds('CDO Bespoke'!$C207,R$13,'CDO Bespoke'!$G207/10000,'CDO Bespoke'!H207,'CDO Bespoke'!$L183,'CDO Bespoke'!$C$13,'CDO Bespoke'!$C$14,'CDO Bespoke'!$C$15,'CDO Bespoke'!$C$8,,,TRUE,TRUE,FALSE,'CDO Bespoke'!$C$29:'CDO Bespoke'!$C$31,'CDO Bespoke'!$C$33),{5})),"")</f>
        <v/>
      </c>
      <c r="S182" s="542" t="str" cm="1">
        <f t="array" ref="S182">IF($O182&lt;&gt;"",-TRANSPOSE(INDEX(getcds('CDO Bespoke'!$C207,S$13,'CDO Bespoke'!$G207/10000,'CDO Bespoke'!I207,'CDO Bespoke'!$L183,'CDO Bespoke'!$C$13,'CDO Bespoke'!$C$14,'CDO Bespoke'!$C$15,'CDO Bespoke'!$C$8,,,TRUE,TRUE,FALSE,'CDO Bespoke'!$C$29:'CDO Bespoke'!$C$31,'CDO Bespoke'!$C$33),{5})),"")</f>
        <v/>
      </c>
      <c r="T182" s="514" t="str" cm="1">
        <f t="array" ref="T182">IF($O182&lt;&gt;"",-TRANSPOSE(INDEX(getcds('CDO Bespoke'!$C207,T$13,'CDO Bespoke'!$G207/10000,'CDO Bespoke'!J207,'CDO Bespoke'!$L183,'CDO Bespoke'!$C$13,'CDO Bespoke'!$C$14,'CDO Bespoke'!$C$15,'CDO Bespoke'!$C$8,,,TRUE,TRUE,FALSE,'CDO Bespoke'!$C$29:'CDO Bespoke'!$C$31,'CDO Bespoke'!$C$33),{5})),"")</f>
        <v/>
      </c>
      <c r="U182" s="493"/>
      <c r="V182" s="529"/>
      <c r="W182" s="530"/>
      <c r="X182" s="530"/>
      <c r="Y182" s="530"/>
      <c r="Z182" s="530"/>
      <c r="AA182" s="530"/>
      <c r="AB182" s="530"/>
      <c r="AC182" s="530"/>
      <c r="AD182" s="530"/>
      <c r="AE182" s="531"/>
      <c r="AF182" s="539"/>
    </row>
    <row r="183" spans="6:32" s="281" customFormat="1" ht="12" thickBot="1">
      <c r="F183" s="501" t="str">
        <f>IF('CDO Bespoke'!O184&lt;&gt;"",'CDO Bespoke'!O184,"")</f>
        <v/>
      </c>
      <c r="G183" s="502" t="str">
        <f>IF(F183&lt;&gt;"",ABS(MIN(-0.75*('CDO Bespoke'!Q184+'CDO Bespoke'!T184)+'CDO Bespoke'!T184,0)),"")</f>
        <v/>
      </c>
      <c r="H183" s="502" t="str">
        <f t="shared" si="8"/>
        <v/>
      </c>
      <c r="I183" s="502" t="str">
        <f t="shared" si="11"/>
        <v/>
      </c>
      <c r="J183" s="501" t="str">
        <f>IF('CDO Bespoke'!O184&lt;&gt;"",'CDO Bespoke'!O184,"")</f>
        <v/>
      </c>
      <c r="K183" s="502" t="str">
        <f>IF(J183&lt;&gt;"",ABS(MIN(-0.75*('CDO Bespoke'!K184+'CDO Bespoke'!T184)+'CDO Bespoke'!T184,0)),"")</f>
        <v/>
      </c>
      <c r="L183" s="502" t="str">
        <f t="shared" si="9"/>
        <v/>
      </c>
      <c r="M183" s="506" t="str">
        <f t="shared" si="10"/>
        <v/>
      </c>
      <c r="O183" s="511" t="str">
        <f>IF('CDO Bespoke'!C208&lt;&gt;"",'CDO Bespoke'!C208,"")</f>
        <v/>
      </c>
      <c r="P183" s="513" t="str" cm="1">
        <f t="array" ref="P183">IF($O183&lt;&gt;"",-TRANSPOSE(INDEX(getcds('CDO Bespoke'!$C208,P$13,'CDO Bespoke'!$G208/10000,'CDO Bespoke'!F208,'CDO Bespoke'!$L184,'CDO Bespoke'!$C$13,'CDO Bespoke'!$C$14,'CDO Bespoke'!$C$15,'CDO Bespoke'!$C$8,,,TRUE,TRUE,FALSE,'CDO Bespoke'!$C$29:'CDO Bespoke'!$C$31,'CDO Bespoke'!$C$33),{5})),"")</f>
        <v/>
      </c>
      <c r="Q183" s="542" t="str" cm="1">
        <f t="array" ref="Q183">IF($O183&lt;&gt;"",-TRANSPOSE(INDEX(getcds('CDO Bespoke'!$C208,Q$13,'CDO Bespoke'!$G208/10000,'CDO Bespoke'!G208,'CDO Bespoke'!$L184,'CDO Bespoke'!$C$13,'CDO Bespoke'!$C$14,'CDO Bespoke'!$C$15,'CDO Bespoke'!$C$8,,,TRUE,TRUE,FALSE,'CDO Bespoke'!$C$29:'CDO Bespoke'!$C$31,'CDO Bespoke'!$C$33),{5})),"")</f>
        <v/>
      </c>
      <c r="R183" s="542" t="str" cm="1">
        <f t="array" ref="R183">IF($O183&lt;&gt;"",-TRANSPOSE(INDEX(getcds('CDO Bespoke'!$C208,R$13,'CDO Bespoke'!$G208/10000,'CDO Bespoke'!H208,'CDO Bespoke'!$L184,'CDO Bespoke'!$C$13,'CDO Bespoke'!$C$14,'CDO Bespoke'!$C$15,'CDO Bespoke'!$C$8,,,TRUE,TRUE,FALSE,'CDO Bespoke'!$C$29:'CDO Bespoke'!$C$31,'CDO Bespoke'!$C$33),{5})),"")</f>
        <v/>
      </c>
      <c r="S183" s="542" t="str" cm="1">
        <f t="array" ref="S183">IF($O183&lt;&gt;"",-TRANSPOSE(INDEX(getcds('CDO Bespoke'!$C208,S$13,'CDO Bespoke'!$G208/10000,'CDO Bespoke'!I208,'CDO Bespoke'!$L184,'CDO Bespoke'!$C$13,'CDO Bespoke'!$C$14,'CDO Bespoke'!$C$15,'CDO Bespoke'!$C$8,,,TRUE,TRUE,FALSE,'CDO Bespoke'!$C$29:'CDO Bespoke'!$C$31,'CDO Bespoke'!$C$33),{5})),"")</f>
        <v/>
      </c>
      <c r="T183" s="514" t="str" cm="1">
        <f t="array" ref="T183">IF($O183&lt;&gt;"",-TRANSPOSE(INDEX(getcds('CDO Bespoke'!$C208,T$13,'CDO Bespoke'!$G208/10000,'CDO Bespoke'!J208,'CDO Bespoke'!$L184,'CDO Bespoke'!$C$13,'CDO Bespoke'!$C$14,'CDO Bespoke'!$C$15,'CDO Bespoke'!$C$8,,,TRUE,TRUE,FALSE,'CDO Bespoke'!$C$29:'CDO Bespoke'!$C$31,'CDO Bespoke'!$C$33),{5})),"")</f>
        <v/>
      </c>
      <c r="U183" s="493"/>
      <c r="V183" s="529"/>
      <c r="W183" s="530"/>
      <c r="X183" s="530"/>
      <c r="Y183" s="530"/>
      <c r="Z183" s="530"/>
      <c r="AA183" s="530"/>
      <c r="AB183" s="530"/>
      <c r="AC183" s="530"/>
      <c r="AD183" s="530"/>
      <c r="AE183" s="531"/>
      <c r="AF183" s="539"/>
    </row>
    <row r="184" spans="6:32" s="281" customFormat="1" ht="12" thickBot="1">
      <c r="F184" s="501" t="str">
        <f>IF('CDO Bespoke'!O185&lt;&gt;"",'CDO Bespoke'!O185,"")</f>
        <v/>
      </c>
      <c r="G184" s="502" t="str">
        <f>IF(F184&lt;&gt;"",ABS(MIN(-0.75*('CDO Bespoke'!Q185+'CDO Bespoke'!T185)+'CDO Bespoke'!T185,0)),"")</f>
        <v/>
      </c>
      <c r="H184" s="502" t="str">
        <f t="shared" si="8"/>
        <v/>
      </c>
      <c r="I184" s="502" t="str">
        <f t="shared" si="11"/>
        <v/>
      </c>
      <c r="J184" s="501" t="str">
        <f>IF('CDO Bespoke'!O185&lt;&gt;"",'CDO Bespoke'!O185,"")</f>
        <v/>
      </c>
      <c r="K184" s="502" t="str">
        <f>IF(J184&lt;&gt;"",ABS(MIN(-0.75*('CDO Bespoke'!K185+'CDO Bespoke'!T185)+'CDO Bespoke'!T185,0)),"")</f>
        <v/>
      </c>
      <c r="L184" s="502" t="str">
        <f t="shared" si="9"/>
        <v/>
      </c>
      <c r="M184" s="506" t="str">
        <f t="shared" si="10"/>
        <v/>
      </c>
      <c r="O184" s="511" t="str">
        <f>IF('CDO Bespoke'!C209&lt;&gt;"",'CDO Bespoke'!C209,"")</f>
        <v/>
      </c>
      <c r="P184" s="513" t="str" cm="1">
        <f t="array" ref="P184">IF($O184&lt;&gt;"",-TRANSPOSE(INDEX(getcds('CDO Bespoke'!$C209,P$13,'CDO Bespoke'!$G209/10000,'CDO Bespoke'!F209,'CDO Bespoke'!$L185,'CDO Bespoke'!$C$13,'CDO Bespoke'!$C$14,'CDO Bespoke'!$C$15,'CDO Bespoke'!$C$8,,,TRUE,TRUE,FALSE,'CDO Bespoke'!$C$29:'CDO Bespoke'!$C$31,'CDO Bespoke'!$C$33),{5})),"")</f>
        <v/>
      </c>
      <c r="Q184" s="542" t="str" cm="1">
        <f t="array" ref="Q184">IF($O184&lt;&gt;"",-TRANSPOSE(INDEX(getcds('CDO Bespoke'!$C209,Q$13,'CDO Bespoke'!$G209/10000,'CDO Bespoke'!G209,'CDO Bespoke'!$L185,'CDO Bespoke'!$C$13,'CDO Bespoke'!$C$14,'CDO Bespoke'!$C$15,'CDO Bespoke'!$C$8,,,TRUE,TRUE,FALSE,'CDO Bespoke'!$C$29:'CDO Bespoke'!$C$31,'CDO Bespoke'!$C$33),{5})),"")</f>
        <v/>
      </c>
      <c r="R184" s="542" t="str" cm="1">
        <f t="array" ref="R184">IF($O184&lt;&gt;"",-TRANSPOSE(INDEX(getcds('CDO Bespoke'!$C209,R$13,'CDO Bespoke'!$G209/10000,'CDO Bespoke'!H209,'CDO Bespoke'!$L185,'CDO Bespoke'!$C$13,'CDO Bespoke'!$C$14,'CDO Bespoke'!$C$15,'CDO Bespoke'!$C$8,,,TRUE,TRUE,FALSE,'CDO Bespoke'!$C$29:'CDO Bespoke'!$C$31,'CDO Bespoke'!$C$33),{5})),"")</f>
        <v/>
      </c>
      <c r="S184" s="542" t="str" cm="1">
        <f t="array" ref="S184">IF($O184&lt;&gt;"",-TRANSPOSE(INDEX(getcds('CDO Bespoke'!$C209,S$13,'CDO Bespoke'!$G209/10000,'CDO Bespoke'!I209,'CDO Bespoke'!$L185,'CDO Bespoke'!$C$13,'CDO Bespoke'!$C$14,'CDO Bespoke'!$C$15,'CDO Bespoke'!$C$8,,,TRUE,TRUE,FALSE,'CDO Bespoke'!$C$29:'CDO Bespoke'!$C$31,'CDO Bespoke'!$C$33),{5})),"")</f>
        <v/>
      </c>
      <c r="T184" s="514" t="str" cm="1">
        <f t="array" ref="T184">IF($O184&lt;&gt;"",-TRANSPOSE(INDEX(getcds('CDO Bespoke'!$C209,T$13,'CDO Bespoke'!$G209/10000,'CDO Bespoke'!J209,'CDO Bespoke'!$L185,'CDO Bespoke'!$C$13,'CDO Bespoke'!$C$14,'CDO Bespoke'!$C$15,'CDO Bespoke'!$C$8,,,TRUE,TRUE,FALSE,'CDO Bespoke'!$C$29:'CDO Bespoke'!$C$31,'CDO Bespoke'!$C$33),{5})),"")</f>
        <v/>
      </c>
      <c r="U184" s="493"/>
      <c r="V184" s="529"/>
      <c r="W184" s="530"/>
      <c r="X184" s="530"/>
      <c r="Y184" s="530"/>
      <c r="Z184" s="530"/>
      <c r="AA184" s="530"/>
      <c r="AB184" s="530"/>
      <c r="AC184" s="530"/>
      <c r="AD184" s="530"/>
      <c r="AE184" s="531"/>
      <c r="AF184" s="539"/>
    </row>
    <row r="185" spans="6:32" s="281" customFormat="1" ht="12" thickBot="1">
      <c r="F185" s="501" t="str">
        <f>IF('CDO Bespoke'!O186&lt;&gt;"",'CDO Bespoke'!O186,"")</f>
        <v/>
      </c>
      <c r="G185" s="502" t="str">
        <f>IF(F185&lt;&gt;"",ABS(MIN(-0.75*('CDO Bespoke'!Q186+'CDO Bespoke'!T186)+'CDO Bespoke'!T186,0)),"")</f>
        <v/>
      </c>
      <c r="H185" s="502" t="str">
        <f t="shared" si="8"/>
        <v/>
      </c>
      <c r="I185" s="502" t="str">
        <f t="shared" si="11"/>
        <v/>
      </c>
      <c r="J185" s="501" t="str">
        <f>IF('CDO Bespoke'!O186&lt;&gt;"",'CDO Bespoke'!O186,"")</f>
        <v/>
      </c>
      <c r="K185" s="502" t="str">
        <f>IF(J185&lt;&gt;"",ABS(MIN(-0.75*('CDO Bespoke'!K186+'CDO Bespoke'!T186)+'CDO Bespoke'!T186,0)),"")</f>
        <v/>
      </c>
      <c r="L185" s="502" t="str">
        <f t="shared" si="9"/>
        <v/>
      </c>
      <c r="M185" s="506" t="str">
        <f t="shared" si="10"/>
        <v/>
      </c>
      <c r="O185" s="511" t="str">
        <f>IF('CDO Bespoke'!C210&lt;&gt;"",'CDO Bespoke'!C210,"")</f>
        <v/>
      </c>
      <c r="P185" s="513" t="str" cm="1">
        <f t="array" ref="P185">IF($O185&lt;&gt;"",-TRANSPOSE(INDEX(getcds('CDO Bespoke'!$C210,P$13,'CDO Bespoke'!$G210/10000,'CDO Bespoke'!F210,'CDO Bespoke'!$L186,'CDO Bespoke'!$C$13,'CDO Bespoke'!$C$14,'CDO Bespoke'!$C$15,'CDO Bespoke'!$C$8,,,TRUE,TRUE,FALSE,'CDO Bespoke'!$C$29:'CDO Bespoke'!$C$31,'CDO Bespoke'!$C$33),{5})),"")</f>
        <v/>
      </c>
      <c r="Q185" s="542" t="str" cm="1">
        <f t="array" ref="Q185">IF($O185&lt;&gt;"",-TRANSPOSE(INDEX(getcds('CDO Bespoke'!$C210,Q$13,'CDO Bespoke'!$G210/10000,'CDO Bespoke'!G210,'CDO Bespoke'!$L186,'CDO Bespoke'!$C$13,'CDO Bespoke'!$C$14,'CDO Bespoke'!$C$15,'CDO Bespoke'!$C$8,,,TRUE,TRUE,FALSE,'CDO Bespoke'!$C$29:'CDO Bespoke'!$C$31,'CDO Bespoke'!$C$33),{5})),"")</f>
        <v/>
      </c>
      <c r="R185" s="542" t="str" cm="1">
        <f t="array" ref="R185">IF($O185&lt;&gt;"",-TRANSPOSE(INDEX(getcds('CDO Bespoke'!$C210,R$13,'CDO Bespoke'!$G210/10000,'CDO Bespoke'!H210,'CDO Bespoke'!$L186,'CDO Bespoke'!$C$13,'CDO Bespoke'!$C$14,'CDO Bespoke'!$C$15,'CDO Bespoke'!$C$8,,,TRUE,TRUE,FALSE,'CDO Bespoke'!$C$29:'CDO Bespoke'!$C$31,'CDO Bespoke'!$C$33),{5})),"")</f>
        <v/>
      </c>
      <c r="S185" s="542" t="str" cm="1">
        <f t="array" ref="S185">IF($O185&lt;&gt;"",-TRANSPOSE(INDEX(getcds('CDO Bespoke'!$C210,S$13,'CDO Bespoke'!$G210/10000,'CDO Bespoke'!I210,'CDO Bespoke'!$L186,'CDO Bespoke'!$C$13,'CDO Bespoke'!$C$14,'CDO Bespoke'!$C$15,'CDO Bespoke'!$C$8,,,TRUE,TRUE,FALSE,'CDO Bespoke'!$C$29:'CDO Bespoke'!$C$31,'CDO Bespoke'!$C$33),{5})),"")</f>
        <v/>
      </c>
      <c r="T185" s="514" t="str" cm="1">
        <f t="array" ref="T185">IF($O185&lt;&gt;"",-TRANSPOSE(INDEX(getcds('CDO Bespoke'!$C210,T$13,'CDO Bespoke'!$G210/10000,'CDO Bespoke'!J210,'CDO Bespoke'!$L186,'CDO Bespoke'!$C$13,'CDO Bespoke'!$C$14,'CDO Bespoke'!$C$15,'CDO Bespoke'!$C$8,,,TRUE,TRUE,FALSE,'CDO Bespoke'!$C$29:'CDO Bespoke'!$C$31,'CDO Bespoke'!$C$33),{5})),"")</f>
        <v/>
      </c>
      <c r="U185" s="493"/>
      <c r="V185" s="529"/>
      <c r="W185" s="530"/>
      <c r="X185" s="530"/>
      <c r="Y185" s="530"/>
      <c r="Z185" s="530"/>
      <c r="AA185" s="530"/>
      <c r="AB185" s="530"/>
      <c r="AC185" s="530"/>
      <c r="AD185" s="530"/>
      <c r="AE185" s="531"/>
      <c r="AF185" s="539"/>
    </row>
    <row r="186" spans="6:32" s="281" customFormat="1" ht="12" thickBot="1">
      <c r="F186" s="501" t="str">
        <f>IF('CDO Bespoke'!O187&lt;&gt;"",'CDO Bespoke'!O187,"")</f>
        <v/>
      </c>
      <c r="G186" s="502" t="str">
        <f>IF(F186&lt;&gt;"",ABS(MIN(-0.75*('CDO Bespoke'!Q187+'CDO Bespoke'!T187)+'CDO Bespoke'!T187,0)),"")</f>
        <v/>
      </c>
      <c r="H186" s="502" t="str">
        <f t="shared" si="8"/>
        <v/>
      </c>
      <c r="I186" s="502" t="str">
        <f t="shared" si="11"/>
        <v/>
      </c>
      <c r="J186" s="501" t="str">
        <f>IF('CDO Bespoke'!O187&lt;&gt;"",'CDO Bespoke'!O187,"")</f>
        <v/>
      </c>
      <c r="K186" s="502" t="str">
        <f>IF(J186&lt;&gt;"",ABS(MIN(-0.75*('CDO Bespoke'!K187+'CDO Bespoke'!T187)+'CDO Bespoke'!T187,0)),"")</f>
        <v/>
      </c>
      <c r="L186" s="502" t="str">
        <f t="shared" si="9"/>
        <v/>
      </c>
      <c r="M186" s="506" t="str">
        <f t="shared" si="10"/>
        <v/>
      </c>
      <c r="O186" s="511" t="str">
        <f>IF('CDO Bespoke'!C211&lt;&gt;"",'CDO Bespoke'!C211,"")</f>
        <v/>
      </c>
      <c r="P186" s="513" t="str" cm="1">
        <f t="array" ref="P186">IF($O186&lt;&gt;"",-TRANSPOSE(INDEX(getcds('CDO Bespoke'!$C211,P$13,'CDO Bespoke'!$G211/10000,'CDO Bespoke'!F211,'CDO Bespoke'!$L187,'CDO Bespoke'!$C$13,'CDO Bespoke'!$C$14,'CDO Bespoke'!$C$15,'CDO Bespoke'!$C$8,,,TRUE,TRUE,FALSE,'CDO Bespoke'!$C$29:'CDO Bespoke'!$C$31,'CDO Bespoke'!$C$33),{5})),"")</f>
        <v/>
      </c>
      <c r="Q186" s="542" t="str" cm="1">
        <f t="array" ref="Q186">IF($O186&lt;&gt;"",-TRANSPOSE(INDEX(getcds('CDO Bespoke'!$C211,Q$13,'CDO Bespoke'!$G211/10000,'CDO Bespoke'!G211,'CDO Bespoke'!$L187,'CDO Bespoke'!$C$13,'CDO Bespoke'!$C$14,'CDO Bespoke'!$C$15,'CDO Bespoke'!$C$8,,,TRUE,TRUE,FALSE,'CDO Bespoke'!$C$29:'CDO Bespoke'!$C$31,'CDO Bespoke'!$C$33),{5})),"")</f>
        <v/>
      </c>
      <c r="R186" s="542" t="str" cm="1">
        <f t="array" ref="R186">IF($O186&lt;&gt;"",-TRANSPOSE(INDEX(getcds('CDO Bespoke'!$C211,R$13,'CDO Bespoke'!$G211/10000,'CDO Bespoke'!H211,'CDO Bespoke'!$L187,'CDO Bespoke'!$C$13,'CDO Bespoke'!$C$14,'CDO Bespoke'!$C$15,'CDO Bespoke'!$C$8,,,TRUE,TRUE,FALSE,'CDO Bespoke'!$C$29:'CDO Bespoke'!$C$31,'CDO Bespoke'!$C$33),{5})),"")</f>
        <v/>
      </c>
      <c r="S186" s="542" t="str" cm="1">
        <f t="array" ref="S186">IF($O186&lt;&gt;"",-TRANSPOSE(INDEX(getcds('CDO Bespoke'!$C211,S$13,'CDO Bespoke'!$G211/10000,'CDO Bespoke'!I211,'CDO Bespoke'!$L187,'CDO Bespoke'!$C$13,'CDO Bespoke'!$C$14,'CDO Bespoke'!$C$15,'CDO Bespoke'!$C$8,,,TRUE,TRUE,FALSE,'CDO Bespoke'!$C$29:'CDO Bespoke'!$C$31,'CDO Bespoke'!$C$33),{5})),"")</f>
        <v/>
      </c>
      <c r="T186" s="514" t="str" cm="1">
        <f t="array" ref="T186">IF($O186&lt;&gt;"",-TRANSPOSE(INDEX(getcds('CDO Bespoke'!$C211,T$13,'CDO Bespoke'!$G211/10000,'CDO Bespoke'!J211,'CDO Bespoke'!$L187,'CDO Bespoke'!$C$13,'CDO Bespoke'!$C$14,'CDO Bespoke'!$C$15,'CDO Bespoke'!$C$8,,,TRUE,TRUE,FALSE,'CDO Bespoke'!$C$29:'CDO Bespoke'!$C$31,'CDO Bespoke'!$C$33),{5})),"")</f>
        <v/>
      </c>
      <c r="U186" s="493"/>
      <c r="V186" s="529"/>
      <c r="W186" s="530"/>
      <c r="X186" s="530"/>
      <c r="Y186" s="530"/>
      <c r="Z186" s="530"/>
      <c r="AA186" s="530"/>
      <c r="AB186" s="530"/>
      <c r="AC186" s="530"/>
      <c r="AD186" s="530"/>
      <c r="AE186" s="531"/>
      <c r="AF186" s="539"/>
    </row>
    <row r="187" spans="6:32" s="281" customFormat="1" ht="12" thickBot="1">
      <c r="F187" s="501" t="str">
        <f>IF('CDO Bespoke'!O188&lt;&gt;"",'CDO Bespoke'!O188,"")</f>
        <v/>
      </c>
      <c r="G187" s="502" t="str">
        <f>IF(F187&lt;&gt;"",ABS(MIN(-0.75*('CDO Bespoke'!Q188+'CDO Bespoke'!T188)+'CDO Bespoke'!T188,0)),"")</f>
        <v/>
      </c>
      <c r="H187" s="502" t="str">
        <f t="shared" si="8"/>
        <v/>
      </c>
      <c r="I187" s="502" t="str">
        <f t="shared" si="11"/>
        <v/>
      </c>
      <c r="J187" s="501" t="str">
        <f>IF('CDO Bespoke'!O188&lt;&gt;"",'CDO Bespoke'!O188,"")</f>
        <v/>
      </c>
      <c r="K187" s="502" t="str">
        <f>IF(J187&lt;&gt;"",ABS(MIN(-0.75*('CDO Bespoke'!K188+'CDO Bespoke'!T188)+'CDO Bespoke'!T188,0)),"")</f>
        <v/>
      </c>
      <c r="L187" s="502" t="str">
        <f t="shared" si="9"/>
        <v/>
      </c>
      <c r="M187" s="506" t="str">
        <f t="shared" si="10"/>
        <v/>
      </c>
      <c r="O187" s="511" t="str">
        <f>IF('CDO Bespoke'!C212&lt;&gt;"",'CDO Bespoke'!C212,"")</f>
        <v/>
      </c>
      <c r="P187" s="513" t="str" cm="1">
        <f t="array" ref="P187">IF($O187&lt;&gt;"",-TRANSPOSE(INDEX(getcds('CDO Bespoke'!$C212,P$13,'CDO Bespoke'!$G212/10000,'CDO Bespoke'!F212,'CDO Bespoke'!$L188,'CDO Bespoke'!$C$13,'CDO Bespoke'!$C$14,'CDO Bespoke'!$C$15,'CDO Bespoke'!$C$8,,,TRUE,TRUE,FALSE,'CDO Bespoke'!$C$29:'CDO Bespoke'!$C$31,'CDO Bespoke'!$C$33),{5})),"")</f>
        <v/>
      </c>
      <c r="Q187" s="542" t="str" cm="1">
        <f t="array" ref="Q187">IF($O187&lt;&gt;"",-TRANSPOSE(INDEX(getcds('CDO Bespoke'!$C212,Q$13,'CDO Bespoke'!$G212/10000,'CDO Bespoke'!G212,'CDO Bespoke'!$L188,'CDO Bespoke'!$C$13,'CDO Bespoke'!$C$14,'CDO Bespoke'!$C$15,'CDO Bespoke'!$C$8,,,TRUE,TRUE,FALSE,'CDO Bespoke'!$C$29:'CDO Bespoke'!$C$31,'CDO Bespoke'!$C$33),{5})),"")</f>
        <v/>
      </c>
      <c r="R187" s="542" t="str" cm="1">
        <f t="array" ref="R187">IF($O187&lt;&gt;"",-TRANSPOSE(INDEX(getcds('CDO Bespoke'!$C212,R$13,'CDO Bespoke'!$G212/10000,'CDO Bespoke'!H212,'CDO Bespoke'!$L188,'CDO Bespoke'!$C$13,'CDO Bespoke'!$C$14,'CDO Bespoke'!$C$15,'CDO Bespoke'!$C$8,,,TRUE,TRUE,FALSE,'CDO Bespoke'!$C$29:'CDO Bespoke'!$C$31,'CDO Bespoke'!$C$33),{5})),"")</f>
        <v/>
      </c>
      <c r="S187" s="542" t="str" cm="1">
        <f t="array" ref="S187">IF($O187&lt;&gt;"",-TRANSPOSE(INDEX(getcds('CDO Bespoke'!$C212,S$13,'CDO Bespoke'!$G212/10000,'CDO Bespoke'!I212,'CDO Bespoke'!$L188,'CDO Bespoke'!$C$13,'CDO Bespoke'!$C$14,'CDO Bespoke'!$C$15,'CDO Bespoke'!$C$8,,,TRUE,TRUE,FALSE,'CDO Bespoke'!$C$29:'CDO Bespoke'!$C$31,'CDO Bespoke'!$C$33),{5})),"")</f>
        <v/>
      </c>
      <c r="T187" s="514" t="str" cm="1">
        <f t="array" ref="T187">IF($O187&lt;&gt;"",-TRANSPOSE(INDEX(getcds('CDO Bespoke'!$C212,T$13,'CDO Bespoke'!$G212/10000,'CDO Bespoke'!J212,'CDO Bespoke'!$L188,'CDO Bespoke'!$C$13,'CDO Bespoke'!$C$14,'CDO Bespoke'!$C$15,'CDO Bespoke'!$C$8,,,TRUE,TRUE,FALSE,'CDO Bespoke'!$C$29:'CDO Bespoke'!$C$31,'CDO Bespoke'!$C$33),{5})),"")</f>
        <v/>
      </c>
      <c r="U187" s="493"/>
      <c r="V187" s="529"/>
      <c r="W187" s="530"/>
      <c r="X187" s="530"/>
      <c r="Y187" s="530"/>
      <c r="Z187" s="530"/>
      <c r="AA187" s="530"/>
      <c r="AB187" s="530"/>
      <c r="AC187" s="530"/>
      <c r="AD187" s="530"/>
      <c r="AE187" s="531"/>
      <c r="AF187" s="539"/>
    </row>
    <row r="188" spans="6:32" s="281" customFormat="1" ht="12" thickBot="1">
      <c r="F188" s="501" t="str">
        <f>IF('CDO Bespoke'!O189&lt;&gt;"",'CDO Bespoke'!O189,"")</f>
        <v/>
      </c>
      <c r="G188" s="502" t="str">
        <f>IF(F188&lt;&gt;"",ABS(MIN(-0.75*('CDO Bespoke'!Q189+'CDO Bespoke'!T189)+'CDO Bespoke'!T189,0)),"")</f>
        <v/>
      </c>
      <c r="H188" s="502" t="str">
        <f t="shared" si="8"/>
        <v/>
      </c>
      <c r="I188" s="502" t="str">
        <f t="shared" si="11"/>
        <v/>
      </c>
      <c r="J188" s="501" t="str">
        <f>IF('CDO Bespoke'!O189&lt;&gt;"",'CDO Bespoke'!O189,"")</f>
        <v/>
      </c>
      <c r="K188" s="502" t="str">
        <f>IF(J188&lt;&gt;"",ABS(MIN(-0.75*('CDO Bespoke'!K189+'CDO Bespoke'!T189)+'CDO Bespoke'!T189,0)),"")</f>
        <v/>
      </c>
      <c r="L188" s="502" t="str">
        <f t="shared" si="9"/>
        <v/>
      </c>
      <c r="M188" s="506" t="str">
        <f t="shared" si="10"/>
        <v/>
      </c>
      <c r="O188" s="511" t="str">
        <f>IF('CDO Bespoke'!C213&lt;&gt;"",'CDO Bespoke'!C213,"")</f>
        <v/>
      </c>
      <c r="P188" s="513" t="str" cm="1">
        <f t="array" ref="P188">IF($O188&lt;&gt;"",-TRANSPOSE(INDEX(getcds('CDO Bespoke'!$C213,P$13,'CDO Bespoke'!$G213/10000,'CDO Bespoke'!F213,'CDO Bespoke'!$L189,'CDO Bespoke'!$C$13,'CDO Bespoke'!$C$14,'CDO Bespoke'!$C$15,'CDO Bespoke'!$C$8,,,TRUE,TRUE,FALSE,'CDO Bespoke'!$C$29:'CDO Bespoke'!$C$31,'CDO Bespoke'!$C$33),{5})),"")</f>
        <v/>
      </c>
      <c r="Q188" s="542" t="str" cm="1">
        <f t="array" ref="Q188">IF($O188&lt;&gt;"",-TRANSPOSE(INDEX(getcds('CDO Bespoke'!$C213,Q$13,'CDO Bespoke'!$G213/10000,'CDO Bespoke'!G213,'CDO Bespoke'!$L189,'CDO Bespoke'!$C$13,'CDO Bespoke'!$C$14,'CDO Bespoke'!$C$15,'CDO Bespoke'!$C$8,,,TRUE,TRUE,FALSE,'CDO Bespoke'!$C$29:'CDO Bespoke'!$C$31,'CDO Bespoke'!$C$33),{5})),"")</f>
        <v/>
      </c>
      <c r="R188" s="542" t="str" cm="1">
        <f t="array" ref="R188">IF($O188&lt;&gt;"",-TRANSPOSE(INDEX(getcds('CDO Bespoke'!$C213,R$13,'CDO Bespoke'!$G213/10000,'CDO Bespoke'!H213,'CDO Bespoke'!$L189,'CDO Bespoke'!$C$13,'CDO Bespoke'!$C$14,'CDO Bespoke'!$C$15,'CDO Bespoke'!$C$8,,,TRUE,TRUE,FALSE,'CDO Bespoke'!$C$29:'CDO Bespoke'!$C$31,'CDO Bespoke'!$C$33),{5})),"")</f>
        <v/>
      </c>
      <c r="S188" s="542" t="str" cm="1">
        <f t="array" ref="S188">IF($O188&lt;&gt;"",-TRANSPOSE(INDEX(getcds('CDO Bespoke'!$C213,S$13,'CDO Bespoke'!$G213/10000,'CDO Bespoke'!I213,'CDO Bespoke'!$L189,'CDO Bespoke'!$C$13,'CDO Bespoke'!$C$14,'CDO Bespoke'!$C$15,'CDO Bespoke'!$C$8,,,TRUE,TRUE,FALSE,'CDO Bespoke'!$C$29:'CDO Bespoke'!$C$31,'CDO Bespoke'!$C$33),{5})),"")</f>
        <v/>
      </c>
      <c r="T188" s="514" t="str" cm="1">
        <f t="array" ref="T188">IF($O188&lt;&gt;"",-TRANSPOSE(INDEX(getcds('CDO Bespoke'!$C213,T$13,'CDO Bespoke'!$G213/10000,'CDO Bespoke'!J213,'CDO Bespoke'!$L189,'CDO Bespoke'!$C$13,'CDO Bespoke'!$C$14,'CDO Bespoke'!$C$15,'CDO Bespoke'!$C$8,,,TRUE,TRUE,FALSE,'CDO Bespoke'!$C$29:'CDO Bespoke'!$C$31,'CDO Bespoke'!$C$33),{5})),"")</f>
        <v/>
      </c>
      <c r="U188" s="493"/>
      <c r="V188" s="529"/>
      <c r="W188" s="530"/>
      <c r="X188" s="530"/>
      <c r="Y188" s="530"/>
      <c r="Z188" s="530"/>
      <c r="AA188" s="530"/>
      <c r="AB188" s="530"/>
      <c r="AC188" s="530"/>
      <c r="AD188" s="530"/>
      <c r="AE188" s="531"/>
      <c r="AF188" s="539"/>
    </row>
    <row r="189" spans="6:32" s="281" customFormat="1" ht="12" thickBot="1">
      <c r="F189" s="501" t="str">
        <f>IF('CDO Bespoke'!O190&lt;&gt;"",'CDO Bespoke'!O190,"")</f>
        <v/>
      </c>
      <c r="G189" s="502" t="str">
        <f>IF(F189&lt;&gt;"",ABS(MIN(-0.75*('CDO Bespoke'!Q190+'CDO Bespoke'!T190)+'CDO Bespoke'!T190,0)),"")</f>
        <v/>
      </c>
      <c r="H189" s="502" t="str">
        <f t="shared" si="8"/>
        <v/>
      </c>
      <c r="I189" s="502" t="str">
        <f t="shared" si="11"/>
        <v/>
      </c>
      <c r="J189" s="501" t="str">
        <f>IF('CDO Bespoke'!O190&lt;&gt;"",'CDO Bespoke'!O190,"")</f>
        <v/>
      </c>
      <c r="K189" s="502" t="str">
        <f>IF(J189&lt;&gt;"",ABS(MIN(-0.75*('CDO Bespoke'!K190+'CDO Bespoke'!T190)+'CDO Bespoke'!T190,0)),"")</f>
        <v/>
      </c>
      <c r="L189" s="502" t="str">
        <f t="shared" si="9"/>
        <v/>
      </c>
      <c r="M189" s="506" t="str">
        <f t="shared" si="10"/>
        <v/>
      </c>
      <c r="O189" s="511" t="str">
        <f>IF('CDO Bespoke'!C214&lt;&gt;"",'CDO Bespoke'!C214,"")</f>
        <v/>
      </c>
      <c r="P189" s="513" t="str" cm="1">
        <f t="array" ref="P189">IF($O189&lt;&gt;"",-TRANSPOSE(INDEX(getcds('CDO Bespoke'!$C214,P$13,'CDO Bespoke'!$G214/10000,'CDO Bespoke'!F214,'CDO Bespoke'!$L190,'CDO Bespoke'!$C$13,'CDO Bespoke'!$C$14,'CDO Bespoke'!$C$15,'CDO Bespoke'!$C$8,,,TRUE,TRUE,FALSE,'CDO Bespoke'!$C$29:'CDO Bespoke'!$C$31,'CDO Bespoke'!$C$33),{5})),"")</f>
        <v/>
      </c>
      <c r="Q189" s="542" t="str" cm="1">
        <f t="array" ref="Q189">IF($O189&lt;&gt;"",-TRANSPOSE(INDEX(getcds('CDO Bespoke'!$C214,Q$13,'CDO Bespoke'!$G214/10000,'CDO Bespoke'!G214,'CDO Bespoke'!$L190,'CDO Bespoke'!$C$13,'CDO Bespoke'!$C$14,'CDO Bespoke'!$C$15,'CDO Bespoke'!$C$8,,,TRUE,TRUE,FALSE,'CDO Bespoke'!$C$29:'CDO Bespoke'!$C$31,'CDO Bespoke'!$C$33),{5})),"")</f>
        <v/>
      </c>
      <c r="R189" s="542" t="str" cm="1">
        <f t="array" ref="R189">IF($O189&lt;&gt;"",-TRANSPOSE(INDEX(getcds('CDO Bespoke'!$C214,R$13,'CDO Bespoke'!$G214/10000,'CDO Bespoke'!H214,'CDO Bespoke'!$L190,'CDO Bespoke'!$C$13,'CDO Bespoke'!$C$14,'CDO Bespoke'!$C$15,'CDO Bespoke'!$C$8,,,TRUE,TRUE,FALSE,'CDO Bespoke'!$C$29:'CDO Bespoke'!$C$31,'CDO Bespoke'!$C$33),{5})),"")</f>
        <v/>
      </c>
      <c r="S189" s="542" t="str" cm="1">
        <f t="array" ref="S189">IF($O189&lt;&gt;"",-TRANSPOSE(INDEX(getcds('CDO Bespoke'!$C214,S$13,'CDO Bespoke'!$G214/10000,'CDO Bespoke'!I214,'CDO Bespoke'!$L190,'CDO Bespoke'!$C$13,'CDO Bespoke'!$C$14,'CDO Bespoke'!$C$15,'CDO Bespoke'!$C$8,,,TRUE,TRUE,FALSE,'CDO Bespoke'!$C$29:'CDO Bespoke'!$C$31,'CDO Bespoke'!$C$33),{5})),"")</f>
        <v/>
      </c>
      <c r="T189" s="514" t="str" cm="1">
        <f t="array" ref="T189">IF($O189&lt;&gt;"",-TRANSPOSE(INDEX(getcds('CDO Bespoke'!$C214,T$13,'CDO Bespoke'!$G214/10000,'CDO Bespoke'!J214,'CDO Bespoke'!$L190,'CDO Bespoke'!$C$13,'CDO Bespoke'!$C$14,'CDO Bespoke'!$C$15,'CDO Bespoke'!$C$8,,,TRUE,TRUE,FALSE,'CDO Bespoke'!$C$29:'CDO Bespoke'!$C$31,'CDO Bespoke'!$C$33),{5})),"")</f>
        <v/>
      </c>
      <c r="U189" s="493"/>
      <c r="V189" s="529"/>
      <c r="W189" s="530"/>
      <c r="X189" s="530"/>
      <c r="Y189" s="530"/>
      <c r="Z189" s="530"/>
      <c r="AA189" s="530"/>
      <c r="AB189" s="530"/>
      <c r="AC189" s="530"/>
      <c r="AD189" s="530"/>
      <c r="AE189" s="531"/>
      <c r="AF189" s="539"/>
    </row>
    <row r="190" spans="6:32" s="281" customFormat="1" ht="12" thickBot="1">
      <c r="F190" s="501" t="str">
        <f>IF('CDO Bespoke'!O191&lt;&gt;"",'CDO Bespoke'!O191,"")</f>
        <v/>
      </c>
      <c r="G190" s="502" t="str">
        <f>IF(F190&lt;&gt;"",ABS(MIN(-0.75*('CDO Bespoke'!Q191+'CDO Bespoke'!T191)+'CDO Bespoke'!T191,0)),"")</f>
        <v/>
      </c>
      <c r="H190" s="502" t="str">
        <f t="shared" si="8"/>
        <v/>
      </c>
      <c r="I190" s="502" t="str">
        <f t="shared" si="11"/>
        <v/>
      </c>
      <c r="J190" s="501" t="str">
        <f>IF('CDO Bespoke'!O191&lt;&gt;"",'CDO Bespoke'!O191,"")</f>
        <v/>
      </c>
      <c r="K190" s="502" t="str">
        <f>IF(J190&lt;&gt;"",ABS(MIN(-0.75*('CDO Bespoke'!K191+'CDO Bespoke'!T191)+'CDO Bespoke'!T191,0)),"")</f>
        <v/>
      </c>
      <c r="L190" s="502" t="str">
        <f t="shared" si="9"/>
        <v/>
      </c>
      <c r="M190" s="506" t="str">
        <f t="shared" si="10"/>
        <v/>
      </c>
      <c r="O190" s="511" t="str">
        <f>IF('CDO Bespoke'!C215&lt;&gt;"",'CDO Bespoke'!C215,"")</f>
        <v/>
      </c>
      <c r="P190" s="513" t="str" cm="1">
        <f t="array" ref="P190">IF($O190&lt;&gt;"",-TRANSPOSE(INDEX(getcds('CDO Bespoke'!$C215,P$13,'CDO Bespoke'!$G215/10000,'CDO Bespoke'!F215,'CDO Bespoke'!$L191,'CDO Bespoke'!$C$13,'CDO Bespoke'!$C$14,'CDO Bespoke'!$C$15,'CDO Bespoke'!$C$8,,,TRUE,TRUE,FALSE,'CDO Bespoke'!$C$29:'CDO Bespoke'!$C$31,'CDO Bespoke'!$C$33),{5})),"")</f>
        <v/>
      </c>
      <c r="Q190" s="542" t="str" cm="1">
        <f t="array" ref="Q190">IF($O190&lt;&gt;"",-TRANSPOSE(INDEX(getcds('CDO Bespoke'!$C215,Q$13,'CDO Bespoke'!$G215/10000,'CDO Bespoke'!G215,'CDO Bespoke'!$L191,'CDO Bespoke'!$C$13,'CDO Bespoke'!$C$14,'CDO Bespoke'!$C$15,'CDO Bespoke'!$C$8,,,TRUE,TRUE,FALSE,'CDO Bespoke'!$C$29:'CDO Bespoke'!$C$31,'CDO Bespoke'!$C$33),{5})),"")</f>
        <v/>
      </c>
      <c r="R190" s="542" t="str" cm="1">
        <f t="array" ref="R190">IF($O190&lt;&gt;"",-TRANSPOSE(INDEX(getcds('CDO Bespoke'!$C215,R$13,'CDO Bespoke'!$G215/10000,'CDO Bespoke'!H215,'CDO Bespoke'!$L191,'CDO Bespoke'!$C$13,'CDO Bespoke'!$C$14,'CDO Bespoke'!$C$15,'CDO Bespoke'!$C$8,,,TRUE,TRUE,FALSE,'CDO Bespoke'!$C$29:'CDO Bespoke'!$C$31,'CDO Bespoke'!$C$33),{5})),"")</f>
        <v/>
      </c>
      <c r="S190" s="542" t="str" cm="1">
        <f t="array" ref="S190">IF($O190&lt;&gt;"",-TRANSPOSE(INDEX(getcds('CDO Bespoke'!$C215,S$13,'CDO Bespoke'!$G215/10000,'CDO Bespoke'!I215,'CDO Bespoke'!$L191,'CDO Bespoke'!$C$13,'CDO Bespoke'!$C$14,'CDO Bespoke'!$C$15,'CDO Bespoke'!$C$8,,,TRUE,TRUE,FALSE,'CDO Bespoke'!$C$29:'CDO Bespoke'!$C$31,'CDO Bespoke'!$C$33),{5})),"")</f>
        <v/>
      </c>
      <c r="T190" s="514" t="str" cm="1">
        <f t="array" ref="T190">IF($O190&lt;&gt;"",-TRANSPOSE(INDEX(getcds('CDO Bespoke'!$C215,T$13,'CDO Bespoke'!$G215/10000,'CDO Bespoke'!J215,'CDO Bespoke'!$L191,'CDO Bespoke'!$C$13,'CDO Bespoke'!$C$14,'CDO Bespoke'!$C$15,'CDO Bespoke'!$C$8,,,TRUE,TRUE,FALSE,'CDO Bespoke'!$C$29:'CDO Bespoke'!$C$31,'CDO Bespoke'!$C$33),{5})),"")</f>
        <v/>
      </c>
      <c r="U190" s="493"/>
      <c r="V190" s="529"/>
      <c r="W190" s="530"/>
      <c r="X190" s="530"/>
      <c r="Y190" s="530"/>
      <c r="Z190" s="530"/>
      <c r="AA190" s="530"/>
      <c r="AB190" s="530"/>
      <c r="AC190" s="530"/>
      <c r="AD190" s="530"/>
      <c r="AE190" s="531"/>
      <c r="AF190" s="539"/>
    </row>
    <row r="191" spans="6:32" s="281" customFormat="1" ht="12" thickBot="1">
      <c r="F191" s="501" t="str">
        <f>IF('CDO Bespoke'!O192&lt;&gt;"",'CDO Bespoke'!O192,"")</f>
        <v/>
      </c>
      <c r="G191" s="502" t="str">
        <f>IF(F191&lt;&gt;"",ABS(MIN(-0.75*('CDO Bespoke'!Q192+'CDO Bespoke'!T192)+'CDO Bespoke'!T192,0)),"")</f>
        <v/>
      </c>
      <c r="H191" s="502" t="str">
        <f t="shared" si="8"/>
        <v/>
      </c>
      <c r="I191" s="502" t="str">
        <f t="shared" si="11"/>
        <v/>
      </c>
      <c r="J191" s="501" t="str">
        <f>IF('CDO Bespoke'!O192&lt;&gt;"",'CDO Bespoke'!O192,"")</f>
        <v/>
      </c>
      <c r="K191" s="502" t="str">
        <f>IF(J191&lt;&gt;"",ABS(MIN(-0.75*('CDO Bespoke'!K192+'CDO Bespoke'!T192)+'CDO Bespoke'!T192,0)),"")</f>
        <v/>
      </c>
      <c r="L191" s="502" t="str">
        <f t="shared" si="9"/>
        <v/>
      </c>
      <c r="M191" s="506" t="str">
        <f t="shared" si="10"/>
        <v/>
      </c>
      <c r="O191" s="511" t="str">
        <f>IF('CDO Bespoke'!C216&lt;&gt;"",'CDO Bespoke'!C216,"")</f>
        <v/>
      </c>
      <c r="P191" s="513" t="str" cm="1">
        <f t="array" ref="P191">IF($O191&lt;&gt;"",-TRANSPOSE(INDEX(getcds('CDO Bespoke'!$C216,P$13,'CDO Bespoke'!$G216/10000,'CDO Bespoke'!F216,'CDO Bespoke'!$L192,'CDO Bespoke'!$C$13,'CDO Bespoke'!$C$14,'CDO Bespoke'!$C$15,'CDO Bespoke'!$C$8,,,TRUE,TRUE,FALSE,'CDO Bespoke'!$C$29:'CDO Bespoke'!$C$31,'CDO Bespoke'!$C$33),{5})),"")</f>
        <v/>
      </c>
      <c r="Q191" s="542" t="str" cm="1">
        <f t="array" ref="Q191">IF($O191&lt;&gt;"",-TRANSPOSE(INDEX(getcds('CDO Bespoke'!$C216,Q$13,'CDO Bespoke'!$G216/10000,'CDO Bespoke'!G216,'CDO Bespoke'!$L192,'CDO Bespoke'!$C$13,'CDO Bespoke'!$C$14,'CDO Bespoke'!$C$15,'CDO Bespoke'!$C$8,,,TRUE,TRUE,FALSE,'CDO Bespoke'!$C$29:'CDO Bespoke'!$C$31,'CDO Bespoke'!$C$33),{5})),"")</f>
        <v/>
      </c>
      <c r="R191" s="542" t="str" cm="1">
        <f t="array" ref="R191">IF($O191&lt;&gt;"",-TRANSPOSE(INDEX(getcds('CDO Bespoke'!$C216,R$13,'CDO Bespoke'!$G216/10000,'CDO Bespoke'!H216,'CDO Bespoke'!$L192,'CDO Bespoke'!$C$13,'CDO Bespoke'!$C$14,'CDO Bespoke'!$C$15,'CDO Bespoke'!$C$8,,,TRUE,TRUE,FALSE,'CDO Bespoke'!$C$29:'CDO Bespoke'!$C$31,'CDO Bespoke'!$C$33),{5})),"")</f>
        <v/>
      </c>
      <c r="S191" s="542" t="str" cm="1">
        <f t="array" ref="S191">IF($O191&lt;&gt;"",-TRANSPOSE(INDEX(getcds('CDO Bespoke'!$C216,S$13,'CDO Bespoke'!$G216/10000,'CDO Bespoke'!I216,'CDO Bespoke'!$L192,'CDO Bespoke'!$C$13,'CDO Bespoke'!$C$14,'CDO Bespoke'!$C$15,'CDO Bespoke'!$C$8,,,TRUE,TRUE,FALSE,'CDO Bespoke'!$C$29:'CDO Bespoke'!$C$31,'CDO Bespoke'!$C$33),{5})),"")</f>
        <v/>
      </c>
      <c r="T191" s="514" t="str" cm="1">
        <f t="array" ref="T191">IF($O191&lt;&gt;"",-TRANSPOSE(INDEX(getcds('CDO Bespoke'!$C216,T$13,'CDO Bespoke'!$G216/10000,'CDO Bespoke'!J216,'CDO Bespoke'!$L192,'CDO Bespoke'!$C$13,'CDO Bespoke'!$C$14,'CDO Bespoke'!$C$15,'CDO Bespoke'!$C$8,,,TRUE,TRUE,FALSE,'CDO Bespoke'!$C$29:'CDO Bespoke'!$C$31,'CDO Bespoke'!$C$33),{5})),"")</f>
        <v/>
      </c>
      <c r="U191" s="493"/>
      <c r="V191" s="529"/>
      <c r="W191" s="530"/>
      <c r="X191" s="530"/>
      <c r="Y191" s="530"/>
      <c r="Z191" s="530"/>
      <c r="AA191" s="530"/>
      <c r="AB191" s="530"/>
      <c r="AC191" s="530"/>
      <c r="AD191" s="530"/>
      <c r="AE191" s="531"/>
      <c r="AF191" s="539"/>
    </row>
    <row r="192" spans="6:32" s="281" customFormat="1" ht="12" thickBot="1">
      <c r="F192" s="501" t="str">
        <f>IF('CDO Bespoke'!O193&lt;&gt;"",'CDO Bespoke'!O193,"")</f>
        <v/>
      </c>
      <c r="G192" s="502" t="str">
        <f>IF(F192&lt;&gt;"",ABS(MIN(-0.75*('CDO Bespoke'!Q193+'CDO Bespoke'!T193)+'CDO Bespoke'!T193,0)),"")</f>
        <v/>
      </c>
      <c r="H192" s="502" t="str">
        <f t="shared" si="8"/>
        <v/>
      </c>
      <c r="I192" s="502" t="str">
        <f t="shared" si="11"/>
        <v/>
      </c>
      <c r="J192" s="501" t="str">
        <f>IF('CDO Bespoke'!O193&lt;&gt;"",'CDO Bespoke'!O193,"")</f>
        <v/>
      </c>
      <c r="K192" s="502" t="str">
        <f>IF(J192&lt;&gt;"",ABS(MIN(-0.75*('CDO Bespoke'!K193+'CDO Bespoke'!T193)+'CDO Bespoke'!T193,0)),"")</f>
        <v/>
      </c>
      <c r="L192" s="502" t="str">
        <f t="shared" si="9"/>
        <v/>
      </c>
      <c r="M192" s="506" t="str">
        <f t="shared" si="10"/>
        <v/>
      </c>
      <c r="O192" s="511" t="str">
        <f>IF('CDO Bespoke'!C217&lt;&gt;"",'CDO Bespoke'!C217,"")</f>
        <v/>
      </c>
      <c r="P192" s="513" t="str" cm="1">
        <f t="array" ref="P192">IF($O192&lt;&gt;"",-TRANSPOSE(INDEX(getcds('CDO Bespoke'!$C217,P$13,'CDO Bespoke'!$G217/10000,'CDO Bespoke'!F217,'CDO Bespoke'!$L193,'CDO Bespoke'!$C$13,'CDO Bespoke'!$C$14,'CDO Bespoke'!$C$15,'CDO Bespoke'!$C$8,,,TRUE,TRUE,FALSE,'CDO Bespoke'!$C$29:'CDO Bespoke'!$C$31,'CDO Bespoke'!$C$33),{5})),"")</f>
        <v/>
      </c>
      <c r="Q192" s="542" t="str" cm="1">
        <f t="array" ref="Q192">IF($O192&lt;&gt;"",-TRANSPOSE(INDEX(getcds('CDO Bespoke'!$C217,Q$13,'CDO Bespoke'!$G217/10000,'CDO Bespoke'!G217,'CDO Bespoke'!$L193,'CDO Bespoke'!$C$13,'CDO Bespoke'!$C$14,'CDO Bespoke'!$C$15,'CDO Bespoke'!$C$8,,,TRUE,TRUE,FALSE,'CDO Bespoke'!$C$29:'CDO Bespoke'!$C$31,'CDO Bespoke'!$C$33),{5})),"")</f>
        <v/>
      </c>
      <c r="R192" s="542" t="str" cm="1">
        <f t="array" ref="R192">IF($O192&lt;&gt;"",-TRANSPOSE(INDEX(getcds('CDO Bespoke'!$C217,R$13,'CDO Bespoke'!$G217/10000,'CDO Bespoke'!H217,'CDO Bespoke'!$L193,'CDO Bespoke'!$C$13,'CDO Bespoke'!$C$14,'CDO Bespoke'!$C$15,'CDO Bespoke'!$C$8,,,TRUE,TRUE,FALSE,'CDO Bespoke'!$C$29:'CDO Bespoke'!$C$31,'CDO Bespoke'!$C$33),{5})),"")</f>
        <v/>
      </c>
      <c r="S192" s="542" t="str" cm="1">
        <f t="array" ref="S192">IF($O192&lt;&gt;"",-TRANSPOSE(INDEX(getcds('CDO Bespoke'!$C217,S$13,'CDO Bespoke'!$G217/10000,'CDO Bespoke'!I217,'CDO Bespoke'!$L193,'CDO Bespoke'!$C$13,'CDO Bespoke'!$C$14,'CDO Bespoke'!$C$15,'CDO Bespoke'!$C$8,,,TRUE,TRUE,FALSE,'CDO Bespoke'!$C$29:'CDO Bespoke'!$C$31,'CDO Bespoke'!$C$33),{5})),"")</f>
        <v/>
      </c>
      <c r="T192" s="514" t="str" cm="1">
        <f t="array" ref="T192">IF($O192&lt;&gt;"",-TRANSPOSE(INDEX(getcds('CDO Bespoke'!$C217,T$13,'CDO Bespoke'!$G217/10000,'CDO Bespoke'!J217,'CDO Bespoke'!$L193,'CDO Bespoke'!$C$13,'CDO Bespoke'!$C$14,'CDO Bespoke'!$C$15,'CDO Bespoke'!$C$8,,,TRUE,TRUE,FALSE,'CDO Bespoke'!$C$29:'CDO Bespoke'!$C$31,'CDO Bespoke'!$C$33),{5})),"")</f>
        <v/>
      </c>
      <c r="U192" s="493"/>
      <c r="V192" s="529"/>
      <c r="W192" s="530"/>
      <c r="X192" s="530"/>
      <c r="Y192" s="530"/>
      <c r="Z192" s="530"/>
      <c r="AA192" s="530"/>
      <c r="AB192" s="530"/>
      <c r="AC192" s="530"/>
      <c r="AD192" s="530"/>
      <c r="AE192" s="531"/>
      <c r="AF192" s="539"/>
    </row>
    <row r="193" spans="6:32" s="281" customFormat="1" ht="12" thickBot="1">
      <c r="F193" s="501" t="str">
        <f>IF('CDO Bespoke'!O194&lt;&gt;"",'CDO Bespoke'!O194,"")</f>
        <v/>
      </c>
      <c r="G193" s="502" t="str">
        <f>IF(F193&lt;&gt;"",ABS(MIN(-0.75*('CDO Bespoke'!Q194+'CDO Bespoke'!T194)+'CDO Bespoke'!T194,0)),"")</f>
        <v/>
      </c>
      <c r="H193" s="502" t="str">
        <f t="shared" si="8"/>
        <v/>
      </c>
      <c r="I193" s="502" t="str">
        <f t="shared" si="11"/>
        <v/>
      </c>
      <c r="J193" s="501" t="str">
        <f>IF('CDO Bespoke'!O194&lt;&gt;"",'CDO Bespoke'!O194,"")</f>
        <v/>
      </c>
      <c r="K193" s="502" t="str">
        <f>IF(J193&lt;&gt;"",ABS(MIN(-0.75*('CDO Bespoke'!K194+'CDO Bespoke'!T194)+'CDO Bespoke'!T194,0)),"")</f>
        <v/>
      </c>
      <c r="L193" s="502" t="str">
        <f t="shared" si="9"/>
        <v/>
      </c>
      <c r="M193" s="506" t="str">
        <f t="shared" si="10"/>
        <v/>
      </c>
      <c r="O193" s="511" t="str">
        <f>IF('CDO Bespoke'!C218&lt;&gt;"",'CDO Bespoke'!C218,"")</f>
        <v/>
      </c>
      <c r="P193" s="513" t="str" cm="1">
        <f t="array" ref="P193">IF($O193&lt;&gt;"",-TRANSPOSE(INDEX(getcds('CDO Bespoke'!$C218,P$13,'CDO Bespoke'!$G218/10000,'CDO Bespoke'!F218,'CDO Bespoke'!$L194,'CDO Bespoke'!$C$13,'CDO Bespoke'!$C$14,'CDO Bespoke'!$C$15,'CDO Bespoke'!$C$8,,,TRUE,TRUE,FALSE,'CDO Bespoke'!$C$29:'CDO Bespoke'!$C$31,'CDO Bespoke'!$C$33),{5})),"")</f>
        <v/>
      </c>
      <c r="Q193" s="542" t="str" cm="1">
        <f t="array" ref="Q193">IF($O193&lt;&gt;"",-TRANSPOSE(INDEX(getcds('CDO Bespoke'!$C218,Q$13,'CDO Bespoke'!$G218/10000,'CDO Bespoke'!G218,'CDO Bespoke'!$L194,'CDO Bespoke'!$C$13,'CDO Bespoke'!$C$14,'CDO Bespoke'!$C$15,'CDO Bespoke'!$C$8,,,TRUE,TRUE,FALSE,'CDO Bespoke'!$C$29:'CDO Bespoke'!$C$31,'CDO Bespoke'!$C$33),{5})),"")</f>
        <v/>
      </c>
      <c r="R193" s="542" t="str" cm="1">
        <f t="array" ref="R193">IF($O193&lt;&gt;"",-TRANSPOSE(INDEX(getcds('CDO Bespoke'!$C218,R$13,'CDO Bespoke'!$G218/10000,'CDO Bespoke'!H218,'CDO Bespoke'!$L194,'CDO Bespoke'!$C$13,'CDO Bespoke'!$C$14,'CDO Bespoke'!$C$15,'CDO Bespoke'!$C$8,,,TRUE,TRUE,FALSE,'CDO Bespoke'!$C$29:'CDO Bespoke'!$C$31,'CDO Bespoke'!$C$33),{5})),"")</f>
        <v/>
      </c>
      <c r="S193" s="542" t="str" cm="1">
        <f t="array" ref="S193">IF($O193&lt;&gt;"",-TRANSPOSE(INDEX(getcds('CDO Bespoke'!$C218,S$13,'CDO Bespoke'!$G218/10000,'CDO Bespoke'!I218,'CDO Bespoke'!$L194,'CDO Bespoke'!$C$13,'CDO Bespoke'!$C$14,'CDO Bespoke'!$C$15,'CDO Bespoke'!$C$8,,,TRUE,TRUE,FALSE,'CDO Bespoke'!$C$29:'CDO Bespoke'!$C$31,'CDO Bespoke'!$C$33),{5})),"")</f>
        <v/>
      </c>
      <c r="T193" s="514" t="str" cm="1">
        <f t="array" ref="T193">IF($O193&lt;&gt;"",-TRANSPOSE(INDEX(getcds('CDO Bespoke'!$C218,T$13,'CDO Bespoke'!$G218/10000,'CDO Bespoke'!J218,'CDO Bespoke'!$L194,'CDO Bespoke'!$C$13,'CDO Bespoke'!$C$14,'CDO Bespoke'!$C$15,'CDO Bespoke'!$C$8,,,TRUE,TRUE,FALSE,'CDO Bespoke'!$C$29:'CDO Bespoke'!$C$31,'CDO Bespoke'!$C$33),{5})),"")</f>
        <v/>
      </c>
      <c r="U193" s="493"/>
      <c r="V193" s="529"/>
      <c r="W193" s="530"/>
      <c r="X193" s="530"/>
      <c r="Y193" s="530"/>
      <c r="Z193" s="530"/>
      <c r="AA193" s="530"/>
      <c r="AB193" s="530"/>
      <c r="AC193" s="530"/>
      <c r="AD193" s="530"/>
      <c r="AE193" s="531"/>
      <c r="AF193" s="539"/>
    </row>
    <row r="194" spans="6:32" s="281" customFormat="1" ht="12" thickBot="1">
      <c r="F194" s="501" t="str">
        <f>IF('CDO Bespoke'!O195&lt;&gt;"",'CDO Bespoke'!O195,"")</f>
        <v/>
      </c>
      <c r="G194" s="502" t="str">
        <f>IF(F194&lt;&gt;"",ABS(MIN(-0.75*('CDO Bespoke'!Q195+'CDO Bespoke'!T195)+'CDO Bespoke'!T195,0)),"")</f>
        <v/>
      </c>
      <c r="H194" s="502" t="str">
        <f t="shared" si="8"/>
        <v/>
      </c>
      <c r="I194" s="502" t="str">
        <f t="shared" si="11"/>
        <v/>
      </c>
      <c r="J194" s="501" t="str">
        <f>IF('CDO Bespoke'!O195&lt;&gt;"",'CDO Bespoke'!O195,"")</f>
        <v/>
      </c>
      <c r="K194" s="502" t="str">
        <f>IF(J194&lt;&gt;"",ABS(MIN(-0.75*('CDO Bespoke'!K195+'CDO Bespoke'!T195)+'CDO Bespoke'!T195,0)),"")</f>
        <v/>
      </c>
      <c r="L194" s="502" t="str">
        <f t="shared" si="9"/>
        <v/>
      </c>
      <c r="M194" s="506" t="str">
        <f t="shared" si="10"/>
        <v/>
      </c>
      <c r="O194" s="511" t="str">
        <f>IF('CDO Bespoke'!C219&lt;&gt;"",'CDO Bespoke'!C219,"")</f>
        <v/>
      </c>
      <c r="P194" s="513" t="str" cm="1">
        <f t="array" ref="P194">IF($O194&lt;&gt;"",-TRANSPOSE(INDEX(getcds('CDO Bespoke'!$C219,P$13,'CDO Bespoke'!$G219/10000,'CDO Bespoke'!F219,'CDO Bespoke'!$L195,'CDO Bespoke'!$C$13,'CDO Bespoke'!$C$14,'CDO Bespoke'!$C$15,'CDO Bespoke'!$C$8,,,TRUE,TRUE,FALSE,'CDO Bespoke'!$C$29:'CDO Bespoke'!$C$31,'CDO Bespoke'!$C$33),{5})),"")</f>
        <v/>
      </c>
      <c r="Q194" s="542" t="str" cm="1">
        <f t="array" ref="Q194">IF($O194&lt;&gt;"",-TRANSPOSE(INDEX(getcds('CDO Bespoke'!$C219,Q$13,'CDO Bespoke'!$G219/10000,'CDO Bespoke'!G219,'CDO Bespoke'!$L195,'CDO Bespoke'!$C$13,'CDO Bespoke'!$C$14,'CDO Bespoke'!$C$15,'CDO Bespoke'!$C$8,,,TRUE,TRUE,FALSE,'CDO Bespoke'!$C$29:'CDO Bespoke'!$C$31,'CDO Bespoke'!$C$33),{5})),"")</f>
        <v/>
      </c>
      <c r="R194" s="542" t="str" cm="1">
        <f t="array" ref="R194">IF($O194&lt;&gt;"",-TRANSPOSE(INDEX(getcds('CDO Bespoke'!$C219,R$13,'CDO Bespoke'!$G219/10000,'CDO Bespoke'!H219,'CDO Bespoke'!$L195,'CDO Bespoke'!$C$13,'CDO Bespoke'!$C$14,'CDO Bespoke'!$C$15,'CDO Bespoke'!$C$8,,,TRUE,TRUE,FALSE,'CDO Bespoke'!$C$29:'CDO Bespoke'!$C$31,'CDO Bespoke'!$C$33),{5})),"")</f>
        <v/>
      </c>
      <c r="S194" s="542" t="str" cm="1">
        <f t="array" ref="S194">IF($O194&lt;&gt;"",-TRANSPOSE(INDEX(getcds('CDO Bespoke'!$C219,S$13,'CDO Bespoke'!$G219/10000,'CDO Bespoke'!I219,'CDO Bespoke'!$L195,'CDO Bespoke'!$C$13,'CDO Bespoke'!$C$14,'CDO Bespoke'!$C$15,'CDO Bespoke'!$C$8,,,TRUE,TRUE,FALSE,'CDO Bespoke'!$C$29:'CDO Bespoke'!$C$31,'CDO Bespoke'!$C$33),{5})),"")</f>
        <v/>
      </c>
      <c r="T194" s="514" t="str" cm="1">
        <f t="array" ref="T194">IF($O194&lt;&gt;"",-TRANSPOSE(INDEX(getcds('CDO Bespoke'!$C219,T$13,'CDO Bespoke'!$G219/10000,'CDO Bespoke'!J219,'CDO Bespoke'!$L195,'CDO Bespoke'!$C$13,'CDO Bespoke'!$C$14,'CDO Bespoke'!$C$15,'CDO Bespoke'!$C$8,,,TRUE,TRUE,FALSE,'CDO Bespoke'!$C$29:'CDO Bespoke'!$C$31,'CDO Bespoke'!$C$33),{5})),"")</f>
        <v/>
      </c>
      <c r="U194" s="493"/>
      <c r="V194" s="529"/>
      <c r="W194" s="530"/>
      <c r="X194" s="530"/>
      <c r="Y194" s="530"/>
      <c r="Z194" s="530"/>
      <c r="AA194" s="530"/>
      <c r="AB194" s="530"/>
      <c r="AC194" s="530"/>
      <c r="AD194" s="530"/>
      <c r="AE194" s="531"/>
      <c r="AF194" s="539"/>
    </row>
    <row r="195" spans="6:32" s="281" customFormat="1" ht="12" thickBot="1">
      <c r="F195" s="501" t="str">
        <f>IF('CDO Bespoke'!O196&lt;&gt;"",'CDO Bespoke'!O196,"")</f>
        <v/>
      </c>
      <c r="G195" s="502" t="str">
        <f>IF(F195&lt;&gt;"",ABS(MIN(-0.75*('CDO Bespoke'!Q196+'CDO Bespoke'!T196)+'CDO Bespoke'!T196,0)),"")</f>
        <v/>
      </c>
      <c r="H195" s="502" t="str">
        <f t="shared" si="8"/>
        <v/>
      </c>
      <c r="I195" s="502" t="str">
        <f t="shared" si="11"/>
        <v/>
      </c>
      <c r="J195" s="501" t="str">
        <f>IF('CDO Bespoke'!O196&lt;&gt;"",'CDO Bespoke'!O196,"")</f>
        <v/>
      </c>
      <c r="K195" s="502" t="str">
        <f>IF(J195&lt;&gt;"",ABS(MIN(-0.75*('CDO Bespoke'!K196+'CDO Bespoke'!T196)+'CDO Bespoke'!T196,0)),"")</f>
        <v/>
      </c>
      <c r="L195" s="502" t="str">
        <f t="shared" si="9"/>
        <v/>
      </c>
      <c r="M195" s="506" t="str">
        <f t="shared" si="10"/>
        <v/>
      </c>
      <c r="O195" s="511" t="str">
        <f>IF('CDO Bespoke'!C220&lt;&gt;"",'CDO Bespoke'!C220,"")</f>
        <v/>
      </c>
      <c r="P195" s="513" t="str" cm="1">
        <f t="array" ref="P195">IF($O195&lt;&gt;"",-TRANSPOSE(INDEX(getcds('CDO Bespoke'!$C220,P$13,'CDO Bespoke'!$G220/10000,'CDO Bespoke'!F220,'CDO Bespoke'!$L196,'CDO Bespoke'!$C$13,'CDO Bespoke'!$C$14,'CDO Bespoke'!$C$15,'CDO Bespoke'!$C$8,,,TRUE,TRUE,FALSE,'CDO Bespoke'!$C$29:'CDO Bespoke'!$C$31,'CDO Bespoke'!$C$33),{5})),"")</f>
        <v/>
      </c>
      <c r="Q195" s="542" t="str" cm="1">
        <f t="array" ref="Q195">IF($O195&lt;&gt;"",-TRANSPOSE(INDEX(getcds('CDO Bespoke'!$C220,Q$13,'CDO Bespoke'!$G220/10000,'CDO Bespoke'!G220,'CDO Bespoke'!$L196,'CDO Bespoke'!$C$13,'CDO Bespoke'!$C$14,'CDO Bespoke'!$C$15,'CDO Bespoke'!$C$8,,,TRUE,TRUE,FALSE,'CDO Bespoke'!$C$29:'CDO Bespoke'!$C$31,'CDO Bespoke'!$C$33),{5})),"")</f>
        <v/>
      </c>
      <c r="R195" s="542" t="str" cm="1">
        <f t="array" ref="R195">IF($O195&lt;&gt;"",-TRANSPOSE(INDEX(getcds('CDO Bespoke'!$C220,R$13,'CDO Bespoke'!$G220/10000,'CDO Bespoke'!H220,'CDO Bespoke'!$L196,'CDO Bespoke'!$C$13,'CDO Bespoke'!$C$14,'CDO Bespoke'!$C$15,'CDO Bespoke'!$C$8,,,TRUE,TRUE,FALSE,'CDO Bespoke'!$C$29:'CDO Bespoke'!$C$31,'CDO Bespoke'!$C$33),{5})),"")</f>
        <v/>
      </c>
      <c r="S195" s="542" t="str" cm="1">
        <f t="array" ref="S195">IF($O195&lt;&gt;"",-TRANSPOSE(INDEX(getcds('CDO Bespoke'!$C220,S$13,'CDO Bespoke'!$G220/10000,'CDO Bespoke'!I220,'CDO Bespoke'!$L196,'CDO Bespoke'!$C$13,'CDO Bespoke'!$C$14,'CDO Bespoke'!$C$15,'CDO Bespoke'!$C$8,,,TRUE,TRUE,FALSE,'CDO Bespoke'!$C$29:'CDO Bespoke'!$C$31,'CDO Bespoke'!$C$33),{5})),"")</f>
        <v/>
      </c>
      <c r="T195" s="514" t="str" cm="1">
        <f t="array" ref="T195">IF($O195&lt;&gt;"",-TRANSPOSE(INDEX(getcds('CDO Bespoke'!$C220,T$13,'CDO Bespoke'!$G220/10000,'CDO Bespoke'!J220,'CDO Bespoke'!$L196,'CDO Bespoke'!$C$13,'CDO Bespoke'!$C$14,'CDO Bespoke'!$C$15,'CDO Bespoke'!$C$8,,,TRUE,TRUE,FALSE,'CDO Bespoke'!$C$29:'CDO Bespoke'!$C$31,'CDO Bespoke'!$C$33),{5})),"")</f>
        <v/>
      </c>
      <c r="U195" s="493"/>
      <c r="V195" s="529"/>
      <c r="W195" s="530"/>
      <c r="X195" s="530"/>
      <c r="Y195" s="530"/>
      <c r="Z195" s="530"/>
      <c r="AA195" s="530"/>
      <c r="AB195" s="530"/>
      <c r="AC195" s="530"/>
      <c r="AD195" s="530"/>
      <c r="AE195" s="531"/>
      <c r="AF195" s="539"/>
    </row>
    <row r="196" spans="6:32" s="281" customFormat="1" ht="12" thickBot="1">
      <c r="F196" s="501" t="str">
        <f>IF('CDO Bespoke'!O197&lt;&gt;"",'CDO Bespoke'!O197,"")</f>
        <v/>
      </c>
      <c r="G196" s="502" t="str">
        <f>IF(F196&lt;&gt;"",ABS(MIN(-0.75*('CDO Bespoke'!Q197+'CDO Bespoke'!T197)+'CDO Bespoke'!T197,0)),"")</f>
        <v/>
      </c>
      <c r="H196" s="502" t="str">
        <f t="shared" si="8"/>
        <v/>
      </c>
      <c r="I196" s="502" t="str">
        <f t="shared" si="11"/>
        <v/>
      </c>
      <c r="J196" s="501" t="str">
        <f>IF('CDO Bespoke'!O197&lt;&gt;"",'CDO Bespoke'!O197,"")</f>
        <v/>
      </c>
      <c r="K196" s="502" t="str">
        <f>IF(J196&lt;&gt;"",ABS(MIN(-0.75*('CDO Bespoke'!K197+'CDO Bespoke'!T197)+'CDO Bespoke'!T197,0)),"")</f>
        <v/>
      </c>
      <c r="L196" s="502" t="str">
        <f t="shared" si="9"/>
        <v/>
      </c>
      <c r="M196" s="506" t="str">
        <f t="shared" si="10"/>
        <v/>
      </c>
      <c r="O196" s="511" t="str">
        <f>IF('CDO Bespoke'!C221&lt;&gt;"",'CDO Bespoke'!C221,"")</f>
        <v/>
      </c>
      <c r="P196" s="513" t="str" cm="1">
        <f t="array" ref="P196">IF($O196&lt;&gt;"",-TRANSPOSE(INDEX(getcds('CDO Bespoke'!$C221,P$13,'CDO Bespoke'!$G221/10000,'CDO Bespoke'!F221,'CDO Bespoke'!$L197,'CDO Bespoke'!$C$13,'CDO Bespoke'!$C$14,'CDO Bespoke'!$C$15,'CDO Bespoke'!$C$8,,,TRUE,TRUE,FALSE,'CDO Bespoke'!$C$29:'CDO Bespoke'!$C$31,'CDO Bespoke'!$C$33),{5})),"")</f>
        <v/>
      </c>
      <c r="Q196" s="542" t="str" cm="1">
        <f t="array" ref="Q196">IF($O196&lt;&gt;"",-TRANSPOSE(INDEX(getcds('CDO Bespoke'!$C221,Q$13,'CDO Bespoke'!$G221/10000,'CDO Bespoke'!G221,'CDO Bespoke'!$L197,'CDO Bespoke'!$C$13,'CDO Bespoke'!$C$14,'CDO Bespoke'!$C$15,'CDO Bespoke'!$C$8,,,TRUE,TRUE,FALSE,'CDO Bespoke'!$C$29:'CDO Bespoke'!$C$31,'CDO Bespoke'!$C$33),{5})),"")</f>
        <v/>
      </c>
      <c r="R196" s="542" t="str" cm="1">
        <f t="array" ref="R196">IF($O196&lt;&gt;"",-TRANSPOSE(INDEX(getcds('CDO Bespoke'!$C221,R$13,'CDO Bespoke'!$G221/10000,'CDO Bespoke'!H221,'CDO Bespoke'!$L197,'CDO Bespoke'!$C$13,'CDO Bespoke'!$C$14,'CDO Bespoke'!$C$15,'CDO Bespoke'!$C$8,,,TRUE,TRUE,FALSE,'CDO Bespoke'!$C$29:'CDO Bespoke'!$C$31,'CDO Bespoke'!$C$33),{5})),"")</f>
        <v/>
      </c>
      <c r="S196" s="542" t="str" cm="1">
        <f t="array" ref="S196">IF($O196&lt;&gt;"",-TRANSPOSE(INDEX(getcds('CDO Bespoke'!$C221,S$13,'CDO Bespoke'!$G221/10000,'CDO Bespoke'!I221,'CDO Bespoke'!$L197,'CDO Bespoke'!$C$13,'CDO Bespoke'!$C$14,'CDO Bespoke'!$C$15,'CDO Bespoke'!$C$8,,,TRUE,TRUE,FALSE,'CDO Bespoke'!$C$29:'CDO Bespoke'!$C$31,'CDO Bespoke'!$C$33),{5})),"")</f>
        <v/>
      </c>
      <c r="T196" s="514" t="str" cm="1">
        <f t="array" ref="T196">IF($O196&lt;&gt;"",-TRANSPOSE(INDEX(getcds('CDO Bespoke'!$C221,T$13,'CDO Bespoke'!$G221/10000,'CDO Bespoke'!J221,'CDO Bespoke'!$L197,'CDO Bespoke'!$C$13,'CDO Bespoke'!$C$14,'CDO Bespoke'!$C$15,'CDO Bespoke'!$C$8,,,TRUE,TRUE,FALSE,'CDO Bespoke'!$C$29:'CDO Bespoke'!$C$31,'CDO Bespoke'!$C$33),{5})),"")</f>
        <v/>
      </c>
      <c r="U196" s="493"/>
      <c r="V196" s="529"/>
      <c r="W196" s="530"/>
      <c r="X196" s="530"/>
      <c r="Y196" s="530"/>
      <c r="Z196" s="530"/>
      <c r="AA196" s="530"/>
      <c r="AB196" s="530"/>
      <c r="AC196" s="530"/>
      <c r="AD196" s="530"/>
      <c r="AE196" s="531"/>
      <c r="AF196" s="539"/>
    </row>
    <row r="197" spans="6:32" s="281" customFormat="1" ht="12" thickBot="1">
      <c r="F197" s="501" t="str">
        <f>IF('CDO Bespoke'!O198&lt;&gt;"",'CDO Bespoke'!O198,"")</f>
        <v/>
      </c>
      <c r="G197" s="502" t="str">
        <f>IF(F197&lt;&gt;"",ABS(MIN(-0.75*('CDO Bespoke'!Q198+'CDO Bespoke'!T198)+'CDO Bespoke'!T198,0)),"")</f>
        <v/>
      </c>
      <c r="H197" s="502" t="str">
        <f t="shared" si="8"/>
        <v/>
      </c>
      <c r="I197" s="502" t="str">
        <f t="shared" si="11"/>
        <v/>
      </c>
      <c r="J197" s="501" t="str">
        <f>IF('CDO Bespoke'!O198&lt;&gt;"",'CDO Bespoke'!O198,"")</f>
        <v/>
      </c>
      <c r="K197" s="502" t="str">
        <f>IF(J197&lt;&gt;"",ABS(MIN(-0.75*('CDO Bespoke'!K198+'CDO Bespoke'!T198)+'CDO Bespoke'!T198,0)),"")</f>
        <v/>
      </c>
      <c r="L197" s="502" t="str">
        <f t="shared" si="9"/>
        <v/>
      </c>
      <c r="M197" s="506" t="str">
        <f t="shared" si="10"/>
        <v/>
      </c>
      <c r="O197" s="511" t="str">
        <f>IF('CDO Bespoke'!C222&lt;&gt;"",'CDO Bespoke'!C222,"")</f>
        <v/>
      </c>
      <c r="P197" s="513" t="str" cm="1">
        <f t="array" ref="P197">IF($O197&lt;&gt;"",-TRANSPOSE(INDEX(getcds('CDO Bespoke'!$C222,P$13,'CDO Bespoke'!$G222/10000,'CDO Bespoke'!F222,'CDO Bespoke'!$L198,'CDO Bespoke'!$C$13,'CDO Bespoke'!$C$14,'CDO Bespoke'!$C$15,'CDO Bespoke'!$C$8,,,TRUE,TRUE,FALSE,'CDO Bespoke'!$C$29:'CDO Bespoke'!$C$31,'CDO Bespoke'!$C$33),{5})),"")</f>
        <v/>
      </c>
      <c r="Q197" s="542" t="str" cm="1">
        <f t="array" ref="Q197">IF($O197&lt;&gt;"",-TRANSPOSE(INDEX(getcds('CDO Bespoke'!$C222,Q$13,'CDO Bespoke'!$G222/10000,'CDO Bespoke'!G222,'CDO Bespoke'!$L198,'CDO Bespoke'!$C$13,'CDO Bespoke'!$C$14,'CDO Bespoke'!$C$15,'CDO Bespoke'!$C$8,,,TRUE,TRUE,FALSE,'CDO Bespoke'!$C$29:'CDO Bespoke'!$C$31,'CDO Bespoke'!$C$33),{5})),"")</f>
        <v/>
      </c>
      <c r="R197" s="542" t="str" cm="1">
        <f t="array" ref="R197">IF($O197&lt;&gt;"",-TRANSPOSE(INDEX(getcds('CDO Bespoke'!$C222,R$13,'CDO Bespoke'!$G222/10000,'CDO Bespoke'!H222,'CDO Bespoke'!$L198,'CDO Bespoke'!$C$13,'CDO Bespoke'!$C$14,'CDO Bespoke'!$C$15,'CDO Bespoke'!$C$8,,,TRUE,TRUE,FALSE,'CDO Bespoke'!$C$29:'CDO Bespoke'!$C$31,'CDO Bespoke'!$C$33),{5})),"")</f>
        <v/>
      </c>
      <c r="S197" s="542" t="str" cm="1">
        <f t="array" ref="S197">IF($O197&lt;&gt;"",-TRANSPOSE(INDEX(getcds('CDO Bespoke'!$C222,S$13,'CDO Bespoke'!$G222/10000,'CDO Bespoke'!I222,'CDO Bespoke'!$L198,'CDO Bespoke'!$C$13,'CDO Bespoke'!$C$14,'CDO Bespoke'!$C$15,'CDO Bespoke'!$C$8,,,TRUE,TRUE,FALSE,'CDO Bespoke'!$C$29:'CDO Bespoke'!$C$31,'CDO Bespoke'!$C$33),{5})),"")</f>
        <v/>
      </c>
      <c r="T197" s="514" t="str" cm="1">
        <f t="array" ref="T197">IF($O197&lt;&gt;"",-TRANSPOSE(INDEX(getcds('CDO Bespoke'!$C222,T$13,'CDO Bespoke'!$G222/10000,'CDO Bespoke'!J222,'CDO Bespoke'!$L198,'CDO Bespoke'!$C$13,'CDO Bespoke'!$C$14,'CDO Bespoke'!$C$15,'CDO Bespoke'!$C$8,,,TRUE,TRUE,FALSE,'CDO Bespoke'!$C$29:'CDO Bespoke'!$C$31,'CDO Bespoke'!$C$33),{5})),"")</f>
        <v/>
      </c>
      <c r="U197" s="493"/>
      <c r="V197" s="529"/>
      <c r="W197" s="530"/>
      <c r="X197" s="530"/>
      <c r="Y197" s="530"/>
      <c r="Z197" s="530"/>
      <c r="AA197" s="530"/>
      <c r="AB197" s="530"/>
      <c r="AC197" s="530"/>
      <c r="AD197" s="530"/>
      <c r="AE197" s="531"/>
      <c r="AF197" s="539"/>
    </row>
    <row r="198" spans="6:32" s="281" customFormat="1" ht="12" thickBot="1">
      <c r="F198" s="501" t="str">
        <f>IF('CDO Bespoke'!O199&lt;&gt;"",'CDO Bespoke'!O199,"")</f>
        <v/>
      </c>
      <c r="G198" s="502" t="str">
        <f>IF(F198&lt;&gt;"",ABS(MIN(-0.75*('CDO Bespoke'!Q199+'CDO Bespoke'!T199)+'CDO Bespoke'!T199,0)),"")</f>
        <v/>
      </c>
      <c r="H198" s="502" t="str">
        <f t="shared" si="8"/>
        <v/>
      </c>
      <c r="I198" s="502" t="str">
        <f t="shared" si="11"/>
        <v/>
      </c>
      <c r="J198" s="501" t="str">
        <f>IF('CDO Bespoke'!O199&lt;&gt;"",'CDO Bespoke'!O199,"")</f>
        <v/>
      </c>
      <c r="K198" s="502" t="str">
        <f>IF(J198&lt;&gt;"",ABS(MIN(-0.75*('CDO Bespoke'!K199+'CDO Bespoke'!T199)+'CDO Bespoke'!T199,0)),"")</f>
        <v/>
      </c>
      <c r="L198" s="502" t="str">
        <f t="shared" si="9"/>
        <v/>
      </c>
      <c r="M198" s="506" t="str">
        <f t="shared" si="10"/>
        <v/>
      </c>
      <c r="O198" s="511" t="str">
        <f>IF('CDO Bespoke'!C223&lt;&gt;"",'CDO Bespoke'!C223,"")</f>
        <v/>
      </c>
      <c r="P198" s="513" t="str" cm="1">
        <f t="array" ref="P198">IF($O198&lt;&gt;"",-TRANSPOSE(INDEX(getcds('CDO Bespoke'!$C223,P$13,'CDO Bespoke'!$G223/10000,'CDO Bespoke'!F223,'CDO Bespoke'!$L199,'CDO Bespoke'!$C$13,'CDO Bespoke'!$C$14,'CDO Bespoke'!$C$15,'CDO Bespoke'!$C$8,,,TRUE,TRUE,FALSE,'CDO Bespoke'!$C$29:'CDO Bespoke'!$C$31,'CDO Bespoke'!$C$33),{5})),"")</f>
        <v/>
      </c>
      <c r="Q198" s="542" t="str" cm="1">
        <f t="array" ref="Q198">IF($O198&lt;&gt;"",-TRANSPOSE(INDEX(getcds('CDO Bespoke'!$C223,Q$13,'CDO Bespoke'!$G223/10000,'CDO Bespoke'!G223,'CDO Bespoke'!$L199,'CDO Bespoke'!$C$13,'CDO Bespoke'!$C$14,'CDO Bespoke'!$C$15,'CDO Bespoke'!$C$8,,,TRUE,TRUE,FALSE,'CDO Bespoke'!$C$29:'CDO Bespoke'!$C$31,'CDO Bespoke'!$C$33),{5})),"")</f>
        <v/>
      </c>
      <c r="R198" s="542" t="str" cm="1">
        <f t="array" ref="R198">IF($O198&lt;&gt;"",-TRANSPOSE(INDEX(getcds('CDO Bespoke'!$C223,R$13,'CDO Bespoke'!$G223/10000,'CDO Bespoke'!H223,'CDO Bespoke'!$L199,'CDO Bespoke'!$C$13,'CDO Bespoke'!$C$14,'CDO Bespoke'!$C$15,'CDO Bespoke'!$C$8,,,TRUE,TRUE,FALSE,'CDO Bespoke'!$C$29:'CDO Bespoke'!$C$31,'CDO Bespoke'!$C$33),{5})),"")</f>
        <v/>
      </c>
      <c r="S198" s="542" t="str" cm="1">
        <f t="array" ref="S198">IF($O198&lt;&gt;"",-TRANSPOSE(INDEX(getcds('CDO Bespoke'!$C223,S$13,'CDO Bespoke'!$G223/10000,'CDO Bespoke'!I223,'CDO Bespoke'!$L199,'CDO Bespoke'!$C$13,'CDO Bespoke'!$C$14,'CDO Bespoke'!$C$15,'CDO Bespoke'!$C$8,,,TRUE,TRUE,FALSE,'CDO Bespoke'!$C$29:'CDO Bespoke'!$C$31,'CDO Bespoke'!$C$33),{5})),"")</f>
        <v/>
      </c>
      <c r="T198" s="514" t="str" cm="1">
        <f t="array" ref="T198">IF($O198&lt;&gt;"",-TRANSPOSE(INDEX(getcds('CDO Bespoke'!$C223,T$13,'CDO Bespoke'!$G223/10000,'CDO Bespoke'!J223,'CDO Bespoke'!$L199,'CDO Bespoke'!$C$13,'CDO Bespoke'!$C$14,'CDO Bespoke'!$C$15,'CDO Bespoke'!$C$8,,,TRUE,TRUE,FALSE,'CDO Bespoke'!$C$29:'CDO Bespoke'!$C$31,'CDO Bespoke'!$C$33),{5})),"")</f>
        <v/>
      </c>
      <c r="U198" s="493"/>
      <c r="V198" s="529"/>
      <c r="W198" s="530"/>
      <c r="X198" s="530"/>
      <c r="Y198" s="530"/>
      <c r="Z198" s="530"/>
      <c r="AA198" s="530"/>
      <c r="AB198" s="530"/>
      <c r="AC198" s="530"/>
      <c r="AD198" s="530"/>
      <c r="AE198" s="531"/>
      <c r="AF198" s="539"/>
    </row>
    <row r="199" spans="6:32" s="281" customFormat="1" ht="12" thickBot="1">
      <c r="F199" s="501" t="str">
        <f>IF('CDO Bespoke'!O200&lt;&gt;"",'CDO Bespoke'!O200,"")</f>
        <v/>
      </c>
      <c r="G199" s="502" t="str">
        <f>IF(F199&lt;&gt;"",ABS(MIN(-0.75*('CDO Bespoke'!Q200+'CDO Bespoke'!T200)+'CDO Bespoke'!T200,0)),"")</f>
        <v/>
      </c>
      <c r="H199" s="502" t="str">
        <f t="shared" si="8"/>
        <v/>
      </c>
      <c r="I199" s="502" t="str">
        <f t="shared" si="11"/>
        <v/>
      </c>
      <c r="J199" s="501" t="str">
        <f>IF('CDO Bespoke'!O200&lt;&gt;"",'CDO Bespoke'!O200,"")</f>
        <v/>
      </c>
      <c r="K199" s="502" t="str">
        <f>IF(J199&lt;&gt;"",ABS(MIN(-0.75*('CDO Bespoke'!K200+'CDO Bespoke'!T200)+'CDO Bespoke'!T200,0)),"")</f>
        <v/>
      </c>
      <c r="L199" s="502" t="str">
        <f t="shared" si="9"/>
        <v/>
      </c>
      <c r="M199" s="506" t="str">
        <f t="shared" si="10"/>
        <v/>
      </c>
      <c r="O199" s="511" t="str">
        <f>IF('CDO Bespoke'!C224&lt;&gt;"",'CDO Bespoke'!C224,"")</f>
        <v/>
      </c>
      <c r="P199" s="513" t="str" cm="1">
        <f t="array" ref="P199">IF($O199&lt;&gt;"",-TRANSPOSE(INDEX(getcds('CDO Bespoke'!$C224,P$13,'CDO Bespoke'!$G224/10000,'CDO Bespoke'!F224,'CDO Bespoke'!$L200,'CDO Bespoke'!$C$13,'CDO Bespoke'!$C$14,'CDO Bespoke'!$C$15,'CDO Bespoke'!$C$8,,,TRUE,TRUE,FALSE,'CDO Bespoke'!$C$29:'CDO Bespoke'!$C$31,'CDO Bespoke'!$C$33),{5})),"")</f>
        <v/>
      </c>
      <c r="Q199" s="542" t="str" cm="1">
        <f t="array" ref="Q199">IF($O199&lt;&gt;"",-TRANSPOSE(INDEX(getcds('CDO Bespoke'!$C224,Q$13,'CDO Bespoke'!$G224/10000,'CDO Bespoke'!G224,'CDO Bespoke'!$L200,'CDO Bespoke'!$C$13,'CDO Bespoke'!$C$14,'CDO Bespoke'!$C$15,'CDO Bespoke'!$C$8,,,TRUE,TRUE,FALSE,'CDO Bespoke'!$C$29:'CDO Bespoke'!$C$31,'CDO Bespoke'!$C$33),{5})),"")</f>
        <v/>
      </c>
      <c r="R199" s="542" t="str" cm="1">
        <f t="array" ref="R199">IF($O199&lt;&gt;"",-TRANSPOSE(INDEX(getcds('CDO Bespoke'!$C224,R$13,'CDO Bespoke'!$G224/10000,'CDO Bespoke'!H224,'CDO Bespoke'!$L200,'CDO Bespoke'!$C$13,'CDO Bespoke'!$C$14,'CDO Bespoke'!$C$15,'CDO Bespoke'!$C$8,,,TRUE,TRUE,FALSE,'CDO Bespoke'!$C$29:'CDO Bespoke'!$C$31,'CDO Bespoke'!$C$33),{5})),"")</f>
        <v/>
      </c>
      <c r="S199" s="542" t="str" cm="1">
        <f t="array" ref="S199">IF($O199&lt;&gt;"",-TRANSPOSE(INDEX(getcds('CDO Bespoke'!$C224,S$13,'CDO Bespoke'!$G224/10000,'CDO Bespoke'!I224,'CDO Bespoke'!$L200,'CDO Bespoke'!$C$13,'CDO Bespoke'!$C$14,'CDO Bespoke'!$C$15,'CDO Bespoke'!$C$8,,,TRUE,TRUE,FALSE,'CDO Bespoke'!$C$29:'CDO Bespoke'!$C$31,'CDO Bespoke'!$C$33),{5})),"")</f>
        <v/>
      </c>
      <c r="T199" s="514" t="str" cm="1">
        <f t="array" ref="T199">IF($O199&lt;&gt;"",-TRANSPOSE(INDEX(getcds('CDO Bespoke'!$C224,T$13,'CDO Bespoke'!$G224/10000,'CDO Bespoke'!J224,'CDO Bespoke'!$L200,'CDO Bespoke'!$C$13,'CDO Bespoke'!$C$14,'CDO Bespoke'!$C$15,'CDO Bespoke'!$C$8,,,TRUE,TRUE,FALSE,'CDO Bespoke'!$C$29:'CDO Bespoke'!$C$31,'CDO Bespoke'!$C$33),{5})),"")</f>
        <v/>
      </c>
      <c r="U199" s="493"/>
      <c r="V199" s="529"/>
      <c r="W199" s="530"/>
      <c r="X199" s="530"/>
      <c r="Y199" s="530"/>
      <c r="Z199" s="530"/>
      <c r="AA199" s="530"/>
      <c r="AB199" s="530"/>
      <c r="AC199" s="530"/>
      <c r="AD199" s="530"/>
      <c r="AE199" s="531"/>
      <c r="AF199" s="539"/>
    </row>
    <row r="200" spans="6:32" s="281" customFormat="1" ht="12" thickBot="1">
      <c r="F200" s="501" t="str">
        <f>IF('CDO Bespoke'!O201&lt;&gt;"",'CDO Bespoke'!O201,"")</f>
        <v/>
      </c>
      <c r="G200" s="502" t="str">
        <f>IF(F200&lt;&gt;"",ABS(MIN(-0.75*('CDO Bespoke'!Q201+'CDO Bespoke'!T201)+'CDO Bespoke'!T201,0)),"")</f>
        <v/>
      </c>
      <c r="H200" s="502" t="str">
        <f t="shared" si="8"/>
        <v/>
      </c>
      <c r="I200" s="502" t="str">
        <f t="shared" si="11"/>
        <v/>
      </c>
      <c r="J200" s="501" t="str">
        <f>IF('CDO Bespoke'!O201&lt;&gt;"",'CDO Bespoke'!O201,"")</f>
        <v/>
      </c>
      <c r="K200" s="502" t="str">
        <f>IF(J200&lt;&gt;"",ABS(MIN(-0.75*('CDO Bespoke'!K201+'CDO Bespoke'!T201)+'CDO Bespoke'!T201,0)),"")</f>
        <v/>
      </c>
      <c r="L200" s="502" t="str">
        <f t="shared" si="9"/>
        <v/>
      </c>
      <c r="M200" s="506" t="str">
        <f t="shared" si="10"/>
        <v/>
      </c>
      <c r="O200" s="511" t="str">
        <f>IF('CDO Bespoke'!C225&lt;&gt;"",'CDO Bespoke'!C225,"")</f>
        <v/>
      </c>
      <c r="P200" s="513" t="str" cm="1">
        <f t="array" ref="P200">IF($O200&lt;&gt;"",-TRANSPOSE(INDEX(getcds('CDO Bespoke'!$C225,P$13,'CDO Bespoke'!$G225/10000,'CDO Bespoke'!F225,'CDO Bespoke'!$L201,'CDO Bespoke'!$C$13,'CDO Bespoke'!$C$14,'CDO Bespoke'!$C$15,'CDO Bespoke'!$C$8,,,TRUE,TRUE,FALSE,'CDO Bespoke'!$C$29:'CDO Bespoke'!$C$31,'CDO Bespoke'!$C$33),{5})),"")</f>
        <v/>
      </c>
      <c r="Q200" s="542" t="str" cm="1">
        <f t="array" ref="Q200">IF($O200&lt;&gt;"",-TRANSPOSE(INDEX(getcds('CDO Bespoke'!$C225,Q$13,'CDO Bespoke'!$G225/10000,'CDO Bespoke'!G225,'CDO Bespoke'!$L201,'CDO Bespoke'!$C$13,'CDO Bespoke'!$C$14,'CDO Bespoke'!$C$15,'CDO Bespoke'!$C$8,,,TRUE,TRUE,FALSE,'CDO Bespoke'!$C$29:'CDO Bespoke'!$C$31,'CDO Bespoke'!$C$33),{5})),"")</f>
        <v/>
      </c>
      <c r="R200" s="542" t="str" cm="1">
        <f t="array" ref="R200">IF($O200&lt;&gt;"",-TRANSPOSE(INDEX(getcds('CDO Bespoke'!$C225,R$13,'CDO Bespoke'!$G225/10000,'CDO Bespoke'!H225,'CDO Bespoke'!$L201,'CDO Bespoke'!$C$13,'CDO Bespoke'!$C$14,'CDO Bespoke'!$C$15,'CDO Bespoke'!$C$8,,,TRUE,TRUE,FALSE,'CDO Bespoke'!$C$29:'CDO Bespoke'!$C$31,'CDO Bespoke'!$C$33),{5})),"")</f>
        <v/>
      </c>
      <c r="S200" s="542" t="str" cm="1">
        <f t="array" ref="S200">IF($O200&lt;&gt;"",-TRANSPOSE(INDEX(getcds('CDO Bespoke'!$C225,S$13,'CDO Bespoke'!$G225/10000,'CDO Bespoke'!I225,'CDO Bespoke'!$L201,'CDO Bespoke'!$C$13,'CDO Bespoke'!$C$14,'CDO Bespoke'!$C$15,'CDO Bespoke'!$C$8,,,TRUE,TRUE,FALSE,'CDO Bespoke'!$C$29:'CDO Bespoke'!$C$31,'CDO Bespoke'!$C$33),{5})),"")</f>
        <v/>
      </c>
      <c r="T200" s="514" t="str" cm="1">
        <f t="array" ref="T200">IF($O200&lt;&gt;"",-TRANSPOSE(INDEX(getcds('CDO Bespoke'!$C225,T$13,'CDO Bespoke'!$G225/10000,'CDO Bespoke'!J225,'CDO Bespoke'!$L201,'CDO Bespoke'!$C$13,'CDO Bespoke'!$C$14,'CDO Bespoke'!$C$15,'CDO Bespoke'!$C$8,,,TRUE,TRUE,FALSE,'CDO Bespoke'!$C$29:'CDO Bespoke'!$C$31,'CDO Bespoke'!$C$33),{5})),"")</f>
        <v/>
      </c>
      <c r="U200" s="493"/>
      <c r="V200" s="529"/>
      <c r="W200" s="530"/>
      <c r="X200" s="530"/>
      <c r="Y200" s="530"/>
      <c r="Z200" s="530"/>
      <c r="AA200" s="530"/>
      <c r="AB200" s="530"/>
      <c r="AC200" s="530"/>
      <c r="AD200" s="530"/>
      <c r="AE200" s="531"/>
      <c r="AF200" s="539"/>
    </row>
    <row r="201" spans="6:32" s="281" customFormat="1" ht="12" thickBot="1">
      <c r="F201" s="501" t="str">
        <f>IF('CDO Bespoke'!O202&lt;&gt;"",'CDO Bespoke'!O202,"")</f>
        <v/>
      </c>
      <c r="G201" s="502" t="str">
        <f>IF(F201&lt;&gt;"",ABS(MIN(-0.75*('CDO Bespoke'!Q202+'CDO Bespoke'!T202)+'CDO Bespoke'!T202,0)),"")</f>
        <v/>
      </c>
      <c r="H201" s="502" t="str">
        <f t="shared" si="8"/>
        <v/>
      </c>
      <c r="I201" s="502" t="str">
        <f t="shared" si="11"/>
        <v/>
      </c>
      <c r="J201" s="501" t="str">
        <f>IF('CDO Bespoke'!O202&lt;&gt;"",'CDO Bespoke'!O202,"")</f>
        <v/>
      </c>
      <c r="K201" s="502" t="str">
        <f>IF(J201&lt;&gt;"",ABS(MIN(-0.75*('CDO Bespoke'!K202+'CDO Bespoke'!T202)+'CDO Bespoke'!T202,0)),"")</f>
        <v/>
      </c>
      <c r="L201" s="502" t="str">
        <f t="shared" si="9"/>
        <v/>
      </c>
      <c r="M201" s="506" t="str">
        <f t="shared" si="10"/>
        <v/>
      </c>
      <c r="O201" s="511" t="str">
        <f>IF('CDO Bespoke'!C226&lt;&gt;"",'CDO Bespoke'!C226,"")</f>
        <v/>
      </c>
      <c r="P201" s="513" t="str" cm="1">
        <f t="array" ref="P201">IF($O201&lt;&gt;"",-TRANSPOSE(INDEX(getcds('CDO Bespoke'!$C226,P$13,'CDO Bespoke'!$G226/10000,'CDO Bespoke'!F226,'CDO Bespoke'!$L202,'CDO Bespoke'!$C$13,'CDO Bespoke'!$C$14,'CDO Bespoke'!$C$15,'CDO Bespoke'!$C$8,,,TRUE,TRUE,FALSE,'CDO Bespoke'!$C$29:'CDO Bespoke'!$C$31,'CDO Bespoke'!$C$33),{5})),"")</f>
        <v/>
      </c>
      <c r="Q201" s="542" t="str" cm="1">
        <f t="array" ref="Q201">IF($O201&lt;&gt;"",-TRANSPOSE(INDEX(getcds('CDO Bespoke'!$C226,Q$13,'CDO Bespoke'!$G226/10000,'CDO Bespoke'!G226,'CDO Bespoke'!$L202,'CDO Bespoke'!$C$13,'CDO Bespoke'!$C$14,'CDO Bespoke'!$C$15,'CDO Bespoke'!$C$8,,,TRUE,TRUE,FALSE,'CDO Bespoke'!$C$29:'CDO Bespoke'!$C$31,'CDO Bespoke'!$C$33),{5})),"")</f>
        <v/>
      </c>
      <c r="R201" s="542" t="str" cm="1">
        <f t="array" ref="R201">IF($O201&lt;&gt;"",-TRANSPOSE(INDEX(getcds('CDO Bespoke'!$C226,R$13,'CDO Bespoke'!$G226/10000,'CDO Bespoke'!H226,'CDO Bespoke'!$L202,'CDO Bespoke'!$C$13,'CDO Bespoke'!$C$14,'CDO Bespoke'!$C$15,'CDO Bespoke'!$C$8,,,TRUE,TRUE,FALSE,'CDO Bespoke'!$C$29:'CDO Bespoke'!$C$31,'CDO Bespoke'!$C$33),{5})),"")</f>
        <v/>
      </c>
      <c r="S201" s="542" t="str" cm="1">
        <f t="array" ref="S201">IF($O201&lt;&gt;"",-TRANSPOSE(INDEX(getcds('CDO Bespoke'!$C226,S$13,'CDO Bespoke'!$G226/10000,'CDO Bespoke'!I226,'CDO Bespoke'!$L202,'CDO Bespoke'!$C$13,'CDO Bespoke'!$C$14,'CDO Bespoke'!$C$15,'CDO Bespoke'!$C$8,,,TRUE,TRUE,FALSE,'CDO Bespoke'!$C$29:'CDO Bespoke'!$C$31,'CDO Bespoke'!$C$33),{5})),"")</f>
        <v/>
      </c>
      <c r="T201" s="514" t="str" cm="1">
        <f t="array" ref="T201">IF($O201&lt;&gt;"",-TRANSPOSE(INDEX(getcds('CDO Bespoke'!$C226,T$13,'CDO Bespoke'!$G226/10000,'CDO Bespoke'!J226,'CDO Bespoke'!$L202,'CDO Bespoke'!$C$13,'CDO Bespoke'!$C$14,'CDO Bespoke'!$C$15,'CDO Bespoke'!$C$8,,,TRUE,TRUE,FALSE,'CDO Bespoke'!$C$29:'CDO Bespoke'!$C$31,'CDO Bespoke'!$C$33),{5})),"")</f>
        <v/>
      </c>
      <c r="U201" s="493"/>
      <c r="V201" s="529"/>
      <c r="W201" s="530"/>
      <c r="X201" s="530"/>
      <c r="Y201" s="530"/>
      <c r="Z201" s="530"/>
      <c r="AA201" s="530"/>
      <c r="AB201" s="530"/>
      <c r="AC201" s="530"/>
      <c r="AD201" s="530"/>
      <c r="AE201" s="531"/>
      <c r="AF201" s="539"/>
    </row>
    <row r="202" spans="6:32" s="281" customFormat="1" ht="12" thickBot="1">
      <c r="F202" s="501" t="str">
        <f>IF('CDO Bespoke'!O203&lt;&gt;"",'CDO Bespoke'!O203,"")</f>
        <v/>
      </c>
      <c r="G202" s="502" t="str">
        <f>IF(F202&lt;&gt;"",ABS(MIN(-0.75*('CDO Bespoke'!Q203+'CDO Bespoke'!T203)+'CDO Bespoke'!T203,0)),"")</f>
        <v/>
      </c>
      <c r="H202" s="502" t="str">
        <f t="shared" si="8"/>
        <v/>
      </c>
      <c r="I202" s="502" t="str">
        <f t="shared" si="11"/>
        <v/>
      </c>
      <c r="J202" s="501" t="str">
        <f>IF('CDO Bespoke'!O203&lt;&gt;"",'CDO Bespoke'!O203,"")</f>
        <v/>
      </c>
      <c r="K202" s="502" t="str">
        <f>IF(J202&lt;&gt;"",ABS(MIN(-0.75*('CDO Bespoke'!K203+'CDO Bespoke'!T203)+'CDO Bespoke'!T203,0)),"")</f>
        <v/>
      </c>
      <c r="L202" s="502" t="str">
        <f t="shared" si="9"/>
        <v/>
      </c>
      <c r="M202" s="506" t="str">
        <f t="shared" si="10"/>
        <v/>
      </c>
      <c r="O202" s="511" t="str">
        <f>IF('CDO Bespoke'!C227&lt;&gt;"",'CDO Bespoke'!C227,"")</f>
        <v/>
      </c>
      <c r="P202" s="513" t="str" cm="1">
        <f t="array" ref="P202">IF($O202&lt;&gt;"",-TRANSPOSE(INDEX(getcds('CDO Bespoke'!$C227,P$13,'CDO Bespoke'!$G227/10000,'CDO Bespoke'!F227,'CDO Bespoke'!$L203,'CDO Bespoke'!$C$13,'CDO Bespoke'!$C$14,'CDO Bespoke'!$C$15,'CDO Bespoke'!$C$8,,,TRUE,TRUE,FALSE,'CDO Bespoke'!$C$29:'CDO Bespoke'!$C$31,'CDO Bespoke'!$C$33),{5})),"")</f>
        <v/>
      </c>
      <c r="Q202" s="542" t="str" cm="1">
        <f t="array" ref="Q202">IF($O202&lt;&gt;"",-TRANSPOSE(INDEX(getcds('CDO Bespoke'!$C227,Q$13,'CDO Bespoke'!$G227/10000,'CDO Bespoke'!G227,'CDO Bespoke'!$L203,'CDO Bespoke'!$C$13,'CDO Bespoke'!$C$14,'CDO Bespoke'!$C$15,'CDO Bespoke'!$C$8,,,TRUE,TRUE,FALSE,'CDO Bespoke'!$C$29:'CDO Bespoke'!$C$31,'CDO Bespoke'!$C$33),{5})),"")</f>
        <v/>
      </c>
      <c r="R202" s="542" t="str" cm="1">
        <f t="array" ref="R202">IF($O202&lt;&gt;"",-TRANSPOSE(INDEX(getcds('CDO Bespoke'!$C227,R$13,'CDO Bespoke'!$G227/10000,'CDO Bespoke'!H227,'CDO Bespoke'!$L203,'CDO Bespoke'!$C$13,'CDO Bespoke'!$C$14,'CDO Bespoke'!$C$15,'CDO Bespoke'!$C$8,,,TRUE,TRUE,FALSE,'CDO Bespoke'!$C$29:'CDO Bespoke'!$C$31,'CDO Bespoke'!$C$33),{5})),"")</f>
        <v/>
      </c>
      <c r="S202" s="542" t="str" cm="1">
        <f t="array" ref="S202">IF($O202&lt;&gt;"",-TRANSPOSE(INDEX(getcds('CDO Bespoke'!$C227,S$13,'CDO Bespoke'!$G227/10000,'CDO Bespoke'!I227,'CDO Bespoke'!$L203,'CDO Bespoke'!$C$13,'CDO Bespoke'!$C$14,'CDO Bespoke'!$C$15,'CDO Bespoke'!$C$8,,,TRUE,TRUE,FALSE,'CDO Bespoke'!$C$29:'CDO Bespoke'!$C$31,'CDO Bespoke'!$C$33),{5})),"")</f>
        <v/>
      </c>
      <c r="T202" s="514" t="str" cm="1">
        <f t="array" ref="T202">IF($O202&lt;&gt;"",-TRANSPOSE(INDEX(getcds('CDO Bespoke'!$C227,T$13,'CDO Bespoke'!$G227/10000,'CDO Bespoke'!J227,'CDO Bespoke'!$L203,'CDO Bespoke'!$C$13,'CDO Bespoke'!$C$14,'CDO Bespoke'!$C$15,'CDO Bespoke'!$C$8,,,TRUE,TRUE,FALSE,'CDO Bespoke'!$C$29:'CDO Bespoke'!$C$31,'CDO Bespoke'!$C$33),{5})),"")</f>
        <v/>
      </c>
      <c r="U202" s="493"/>
      <c r="V202" s="529"/>
      <c r="W202" s="530"/>
      <c r="X202" s="530"/>
      <c r="Y202" s="530"/>
      <c r="Z202" s="530"/>
      <c r="AA202" s="530"/>
      <c r="AB202" s="530"/>
      <c r="AC202" s="530"/>
      <c r="AD202" s="530"/>
      <c r="AE202" s="531"/>
      <c r="AF202" s="539"/>
    </row>
    <row r="203" spans="6:32" s="281" customFormat="1" ht="12" thickBot="1">
      <c r="F203" s="501" t="str">
        <f>IF('CDO Bespoke'!O204&lt;&gt;"",'CDO Bespoke'!O204,"")</f>
        <v/>
      </c>
      <c r="G203" s="502" t="str">
        <f>IF(F203&lt;&gt;"",ABS(MIN(-0.75*('CDO Bespoke'!Q204+'CDO Bespoke'!T204)+'CDO Bespoke'!T204,0)),"")</f>
        <v/>
      </c>
      <c r="H203" s="502" t="str">
        <f t="shared" si="8"/>
        <v/>
      </c>
      <c r="I203" s="502" t="str">
        <f t="shared" si="11"/>
        <v/>
      </c>
      <c r="J203" s="501" t="str">
        <f>IF('CDO Bespoke'!O204&lt;&gt;"",'CDO Bespoke'!O204,"")</f>
        <v/>
      </c>
      <c r="K203" s="502" t="str">
        <f>IF(J203&lt;&gt;"",ABS(MIN(-0.75*('CDO Bespoke'!K204+'CDO Bespoke'!T204)+'CDO Bespoke'!T204,0)),"")</f>
        <v/>
      </c>
      <c r="L203" s="502" t="str">
        <f t="shared" si="9"/>
        <v/>
      </c>
      <c r="M203" s="506" t="str">
        <f t="shared" si="10"/>
        <v/>
      </c>
      <c r="O203" s="511" t="str">
        <f>IF('CDO Bespoke'!C228&lt;&gt;"",'CDO Bespoke'!C228,"")</f>
        <v/>
      </c>
      <c r="P203" s="513" t="str" cm="1">
        <f t="array" ref="P203">IF($O203&lt;&gt;"",-TRANSPOSE(INDEX(getcds('CDO Bespoke'!$C228,P$13,'CDO Bespoke'!$G228/10000,'CDO Bespoke'!F228,'CDO Bespoke'!$L204,'CDO Bespoke'!$C$13,'CDO Bespoke'!$C$14,'CDO Bespoke'!$C$15,'CDO Bespoke'!$C$8,,,TRUE,TRUE,FALSE,'CDO Bespoke'!$C$29:'CDO Bespoke'!$C$31,'CDO Bespoke'!$C$33),{5})),"")</f>
        <v/>
      </c>
      <c r="Q203" s="542" t="str" cm="1">
        <f t="array" ref="Q203">IF($O203&lt;&gt;"",-TRANSPOSE(INDEX(getcds('CDO Bespoke'!$C228,Q$13,'CDO Bespoke'!$G228/10000,'CDO Bespoke'!G228,'CDO Bespoke'!$L204,'CDO Bespoke'!$C$13,'CDO Bespoke'!$C$14,'CDO Bespoke'!$C$15,'CDO Bespoke'!$C$8,,,TRUE,TRUE,FALSE,'CDO Bespoke'!$C$29:'CDO Bespoke'!$C$31,'CDO Bespoke'!$C$33),{5})),"")</f>
        <v/>
      </c>
      <c r="R203" s="542" t="str" cm="1">
        <f t="array" ref="R203">IF($O203&lt;&gt;"",-TRANSPOSE(INDEX(getcds('CDO Bespoke'!$C228,R$13,'CDO Bespoke'!$G228/10000,'CDO Bespoke'!H228,'CDO Bespoke'!$L204,'CDO Bespoke'!$C$13,'CDO Bespoke'!$C$14,'CDO Bespoke'!$C$15,'CDO Bespoke'!$C$8,,,TRUE,TRUE,FALSE,'CDO Bespoke'!$C$29:'CDO Bespoke'!$C$31,'CDO Bespoke'!$C$33),{5})),"")</f>
        <v/>
      </c>
      <c r="S203" s="542" t="str" cm="1">
        <f t="array" ref="S203">IF($O203&lt;&gt;"",-TRANSPOSE(INDEX(getcds('CDO Bespoke'!$C228,S$13,'CDO Bespoke'!$G228/10000,'CDO Bespoke'!I228,'CDO Bespoke'!$L204,'CDO Bespoke'!$C$13,'CDO Bespoke'!$C$14,'CDO Bespoke'!$C$15,'CDO Bespoke'!$C$8,,,TRUE,TRUE,FALSE,'CDO Bespoke'!$C$29:'CDO Bespoke'!$C$31,'CDO Bespoke'!$C$33),{5})),"")</f>
        <v/>
      </c>
      <c r="T203" s="514" t="str" cm="1">
        <f t="array" ref="T203">IF($O203&lt;&gt;"",-TRANSPOSE(INDEX(getcds('CDO Bespoke'!$C228,T$13,'CDO Bespoke'!$G228/10000,'CDO Bespoke'!J228,'CDO Bespoke'!$L204,'CDO Bespoke'!$C$13,'CDO Bespoke'!$C$14,'CDO Bespoke'!$C$15,'CDO Bespoke'!$C$8,,,TRUE,TRUE,FALSE,'CDO Bespoke'!$C$29:'CDO Bespoke'!$C$31,'CDO Bespoke'!$C$33),{5})),"")</f>
        <v/>
      </c>
      <c r="U203" s="493"/>
      <c r="V203" s="529"/>
      <c r="W203" s="530"/>
      <c r="X203" s="530"/>
      <c r="Y203" s="530"/>
      <c r="Z203" s="530"/>
      <c r="AA203" s="530"/>
      <c r="AB203" s="530"/>
      <c r="AC203" s="530"/>
      <c r="AD203" s="530"/>
      <c r="AE203" s="531"/>
      <c r="AF203" s="539"/>
    </row>
    <row r="204" spans="6:32" s="281" customFormat="1" ht="12" thickBot="1">
      <c r="F204" s="501" t="str">
        <f>IF('CDO Bespoke'!O205&lt;&gt;"",'CDO Bespoke'!O205,"")</f>
        <v/>
      </c>
      <c r="G204" s="502" t="str">
        <f>IF(F204&lt;&gt;"",ABS(MIN(-0.75*('CDO Bespoke'!Q205+'CDO Bespoke'!T205)+'CDO Bespoke'!T205,0)),"")</f>
        <v/>
      </c>
      <c r="H204" s="502" t="str">
        <f t="shared" si="8"/>
        <v/>
      </c>
      <c r="I204" s="502" t="str">
        <f t="shared" si="11"/>
        <v/>
      </c>
      <c r="J204" s="501" t="str">
        <f>IF('CDO Bespoke'!O205&lt;&gt;"",'CDO Bespoke'!O205,"")</f>
        <v/>
      </c>
      <c r="K204" s="502" t="str">
        <f>IF(J204&lt;&gt;"",ABS(MIN(-0.75*('CDO Bespoke'!K205+'CDO Bespoke'!T205)+'CDO Bespoke'!T205,0)),"")</f>
        <v/>
      </c>
      <c r="L204" s="502" t="str">
        <f t="shared" si="9"/>
        <v/>
      </c>
      <c r="M204" s="506" t="str">
        <f t="shared" si="10"/>
        <v/>
      </c>
      <c r="O204" s="511" t="str">
        <f>IF('CDO Bespoke'!C229&lt;&gt;"",'CDO Bespoke'!C229,"")</f>
        <v/>
      </c>
      <c r="P204" s="513" t="str" cm="1">
        <f t="array" ref="P204">IF($O204&lt;&gt;"",-TRANSPOSE(INDEX(getcds('CDO Bespoke'!$C229,P$13,'CDO Bespoke'!$G229/10000,'CDO Bespoke'!F229,'CDO Bespoke'!$L205,'CDO Bespoke'!$C$13,'CDO Bespoke'!$C$14,'CDO Bespoke'!$C$15,'CDO Bespoke'!$C$8,,,TRUE,TRUE,FALSE,'CDO Bespoke'!$C$29:'CDO Bespoke'!$C$31,'CDO Bespoke'!$C$33),{5})),"")</f>
        <v/>
      </c>
      <c r="Q204" s="542" t="str" cm="1">
        <f t="array" ref="Q204">IF($O204&lt;&gt;"",-TRANSPOSE(INDEX(getcds('CDO Bespoke'!$C229,Q$13,'CDO Bespoke'!$G229/10000,'CDO Bespoke'!G229,'CDO Bespoke'!$L205,'CDO Bespoke'!$C$13,'CDO Bespoke'!$C$14,'CDO Bespoke'!$C$15,'CDO Bespoke'!$C$8,,,TRUE,TRUE,FALSE,'CDO Bespoke'!$C$29:'CDO Bespoke'!$C$31,'CDO Bespoke'!$C$33),{5})),"")</f>
        <v/>
      </c>
      <c r="R204" s="542" t="str" cm="1">
        <f t="array" ref="R204">IF($O204&lt;&gt;"",-TRANSPOSE(INDEX(getcds('CDO Bespoke'!$C229,R$13,'CDO Bespoke'!$G229/10000,'CDO Bespoke'!H229,'CDO Bespoke'!$L205,'CDO Bespoke'!$C$13,'CDO Bespoke'!$C$14,'CDO Bespoke'!$C$15,'CDO Bespoke'!$C$8,,,TRUE,TRUE,FALSE,'CDO Bespoke'!$C$29:'CDO Bespoke'!$C$31,'CDO Bespoke'!$C$33),{5})),"")</f>
        <v/>
      </c>
      <c r="S204" s="542" t="str" cm="1">
        <f t="array" ref="S204">IF($O204&lt;&gt;"",-TRANSPOSE(INDEX(getcds('CDO Bespoke'!$C229,S$13,'CDO Bespoke'!$G229/10000,'CDO Bespoke'!I229,'CDO Bespoke'!$L205,'CDO Bespoke'!$C$13,'CDO Bespoke'!$C$14,'CDO Bespoke'!$C$15,'CDO Bespoke'!$C$8,,,TRUE,TRUE,FALSE,'CDO Bespoke'!$C$29:'CDO Bespoke'!$C$31,'CDO Bespoke'!$C$33),{5})),"")</f>
        <v/>
      </c>
      <c r="T204" s="514" t="str" cm="1">
        <f t="array" ref="T204">IF($O204&lt;&gt;"",-TRANSPOSE(INDEX(getcds('CDO Bespoke'!$C229,T$13,'CDO Bespoke'!$G229/10000,'CDO Bespoke'!J229,'CDO Bespoke'!$L205,'CDO Bespoke'!$C$13,'CDO Bespoke'!$C$14,'CDO Bespoke'!$C$15,'CDO Bespoke'!$C$8,,,TRUE,TRUE,FALSE,'CDO Bespoke'!$C$29:'CDO Bespoke'!$C$31,'CDO Bespoke'!$C$33),{5})),"")</f>
        <v/>
      </c>
      <c r="U204" s="493"/>
      <c r="V204" s="529"/>
      <c r="W204" s="530"/>
      <c r="X204" s="530"/>
      <c r="Y204" s="530"/>
      <c r="Z204" s="530"/>
      <c r="AA204" s="530"/>
      <c r="AB204" s="530"/>
      <c r="AC204" s="530"/>
      <c r="AD204" s="530"/>
      <c r="AE204" s="531"/>
      <c r="AF204" s="539"/>
    </row>
    <row r="205" spans="6:32" s="281" customFormat="1" ht="12" thickBot="1">
      <c r="F205" s="501" t="str">
        <f>IF('CDO Bespoke'!O206&lt;&gt;"",'CDO Bespoke'!O206,"")</f>
        <v/>
      </c>
      <c r="G205" s="502" t="str">
        <f>IF(F205&lt;&gt;"",ABS(MIN(-0.75*('CDO Bespoke'!Q206+'CDO Bespoke'!T206)+'CDO Bespoke'!T206,0)),"")</f>
        <v/>
      </c>
      <c r="H205" s="502" t="str">
        <f t="shared" si="8"/>
        <v/>
      </c>
      <c r="I205" s="502" t="str">
        <f t="shared" si="11"/>
        <v/>
      </c>
      <c r="J205" s="501" t="str">
        <f>IF('CDO Bespoke'!O206&lt;&gt;"",'CDO Bespoke'!O206,"")</f>
        <v/>
      </c>
      <c r="K205" s="502" t="str">
        <f>IF(J205&lt;&gt;"",ABS(MIN(-0.75*('CDO Bespoke'!K206+'CDO Bespoke'!T206)+'CDO Bespoke'!T206,0)),"")</f>
        <v/>
      </c>
      <c r="L205" s="502" t="str">
        <f t="shared" si="9"/>
        <v/>
      </c>
      <c r="M205" s="506" t="str">
        <f t="shared" si="10"/>
        <v/>
      </c>
      <c r="O205" s="511" t="str">
        <f>IF('CDO Bespoke'!C230&lt;&gt;"",'CDO Bespoke'!C230,"")</f>
        <v/>
      </c>
      <c r="P205" s="513" t="str" cm="1">
        <f t="array" ref="P205">IF($O205&lt;&gt;"",-TRANSPOSE(INDEX(getcds('CDO Bespoke'!$C230,P$13,'CDO Bespoke'!$G230/10000,'CDO Bespoke'!F230,'CDO Bespoke'!$L206,'CDO Bespoke'!$C$13,'CDO Bespoke'!$C$14,'CDO Bespoke'!$C$15,'CDO Bespoke'!$C$8,,,TRUE,TRUE,FALSE,'CDO Bespoke'!$C$29:'CDO Bespoke'!$C$31,'CDO Bespoke'!$C$33),{5})),"")</f>
        <v/>
      </c>
      <c r="Q205" s="542" t="str" cm="1">
        <f t="array" ref="Q205">IF($O205&lt;&gt;"",-TRANSPOSE(INDEX(getcds('CDO Bespoke'!$C230,Q$13,'CDO Bespoke'!$G230/10000,'CDO Bespoke'!G230,'CDO Bespoke'!$L206,'CDO Bespoke'!$C$13,'CDO Bespoke'!$C$14,'CDO Bespoke'!$C$15,'CDO Bespoke'!$C$8,,,TRUE,TRUE,FALSE,'CDO Bespoke'!$C$29:'CDO Bespoke'!$C$31,'CDO Bespoke'!$C$33),{5})),"")</f>
        <v/>
      </c>
      <c r="R205" s="542" t="str" cm="1">
        <f t="array" ref="R205">IF($O205&lt;&gt;"",-TRANSPOSE(INDEX(getcds('CDO Bespoke'!$C230,R$13,'CDO Bespoke'!$G230/10000,'CDO Bespoke'!H230,'CDO Bespoke'!$L206,'CDO Bespoke'!$C$13,'CDO Bespoke'!$C$14,'CDO Bespoke'!$C$15,'CDO Bespoke'!$C$8,,,TRUE,TRUE,FALSE,'CDO Bespoke'!$C$29:'CDO Bespoke'!$C$31,'CDO Bespoke'!$C$33),{5})),"")</f>
        <v/>
      </c>
      <c r="S205" s="542" t="str" cm="1">
        <f t="array" ref="S205">IF($O205&lt;&gt;"",-TRANSPOSE(INDEX(getcds('CDO Bespoke'!$C230,S$13,'CDO Bespoke'!$G230/10000,'CDO Bespoke'!I230,'CDO Bespoke'!$L206,'CDO Bespoke'!$C$13,'CDO Bespoke'!$C$14,'CDO Bespoke'!$C$15,'CDO Bespoke'!$C$8,,,TRUE,TRUE,FALSE,'CDO Bespoke'!$C$29:'CDO Bespoke'!$C$31,'CDO Bespoke'!$C$33),{5})),"")</f>
        <v/>
      </c>
      <c r="T205" s="514" t="str" cm="1">
        <f t="array" ref="T205">IF($O205&lt;&gt;"",-TRANSPOSE(INDEX(getcds('CDO Bespoke'!$C230,T$13,'CDO Bespoke'!$G230/10000,'CDO Bespoke'!J230,'CDO Bespoke'!$L206,'CDO Bespoke'!$C$13,'CDO Bespoke'!$C$14,'CDO Bespoke'!$C$15,'CDO Bespoke'!$C$8,,,TRUE,TRUE,FALSE,'CDO Bespoke'!$C$29:'CDO Bespoke'!$C$31,'CDO Bespoke'!$C$33),{5})),"")</f>
        <v/>
      </c>
      <c r="U205" s="493"/>
      <c r="V205" s="529"/>
      <c r="W205" s="530"/>
      <c r="X205" s="530"/>
      <c r="Y205" s="530"/>
      <c r="Z205" s="530"/>
      <c r="AA205" s="530"/>
      <c r="AB205" s="530"/>
      <c r="AC205" s="530"/>
      <c r="AD205" s="530"/>
      <c r="AE205" s="531"/>
      <c r="AF205" s="539"/>
    </row>
    <row r="206" spans="6:32" s="281" customFormat="1" ht="12" thickBot="1">
      <c r="F206" s="501" t="str">
        <f>IF('CDO Bespoke'!O207&lt;&gt;"",'CDO Bespoke'!O207,"")</f>
        <v/>
      </c>
      <c r="G206" s="502" t="str">
        <f>IF(F206&lt;&gt;"",ABS(MIN(-0.75*('CDO Bespoke'!Q207+'CDO Bespoke'!T207)+'CDO Bespoke'!T207,0)),"")</f>
        <v/>
      </c>
      <c r="H206" s="502" t="str">
        <f t="shared" si="8"/>
        <v/>
      </c>
      <c r="I206" s="502" t="str">
        <f t="shared" si="11"/>
        <v/>
      </c>
      <c r="J206" s="501" t="str">
        <f>IF('CDO Bespoke'!O207&lt;&gt;"",'CDO Bespoke'!O207,"")</f>
        <v/>
      </c>
      <c r="K206" s="502" t="str">
        <f>IF(J206&lt;&gt;"",ABS(MIN(-0.75*('CDO Bespoke'!K207+'CDO Bespoke'!T207)+'CDO Bespoke'!T207,0)),"")</f>
        <v/>
      </c>
      <c r="L206" s="502" t="str">
        <f t="shared" si="9"/>
        <v/>
      </c>
      <c r="M206" s="506" t="str">
        <f t="shared" si="10"/>
        <v/>
      </c>
      <c r="O206" s="511" t="str">
        <f>IF('CDO Bespoke'!C231&lt;&gt;"",'CDO Bespoke'!C231,"")</f>
        <v/>
      </c>
      <c r="P206" s="513" t="str" cm="1">
        <f t="array" ref="P206">IF($O206&lt;&gt;"",-TRANSPOSE(INDEX(getcds('CDO Bespoke'!$C231,P$13,'CDO Bespoke'!$G231/10000,'CDO Bespoke'!F231,'CDO Bespoke'!$L207,'CDO Bespoke'!$C$13,'CDO Bespoke'!$C$14,'CDO Bespoke'!$C$15,'CDO Bespoke'!$C$8,,,TRUE,TRUE,FALSE,'CDO Bespoke'!$C$29:'CDO Bespoke'!$C$31,'CDO Bespoke'!$C$33),{5})),"")</f>
        <v/>
      </c>
      <c r="Q206" s="542" t="str" cm="1">
        <f t="array" ref="Q206">IF($O206&lt;&gt;"",-TRANSPOSE(INDEX(getcds('CDO Bespoke'!$C231,Q$13,'CDO Bespoke'!$G231/10000,'CDO Bespoke'!G231,'CDO Bespoke'!$L207,'CDO Bespoke'!$C$13,'CDO Bespoke'!$C$14,'CDO Bespoke'!$C$15,'CDO Bespoke'!$C$8,,,TRUE,TRUE,FALSE,'CDO Bespoke'!$C$29:'CDO Bespoke'!$C$31,'CDO Bespoke'!$C$33),{5})),"")</f>
        <v/>
      </c>
      <c r="R206" s="542" t="str" cm="1">
        <f t="array" ref="R206">IF($O206&lt;&gt;"",-TRANSPOSE(INDEX(getcds('CDO Bespoke'!$C231,R$13,'CDO Bespoke'!$G231/10000,'CDO Bespoke'!H231,'CDO Bespoke'!$L207,'CDO Bespoke'!$C$13,'CDO Bespoke'!$C$14,'CDO Bespoke'!$C$15,'CDO Bespoke'!$C$8,,,TRUE,TRUE,FALSE,'CDO Bespoke'!$C$29:'CDO Bespoke'!$C$31,'CDO Bespoke'!$C$33),{5})),"")</f>
        <v/>
      </c>
      <c r="S206" s="542" t="str" cm="1">
        <f t="array" ref="S206">IF($O206&lt;&gt;"",-TRANSPOSE(INDEX(getcds('CDO Bespoke'!$C231,S$13,'CDO Bespoke'!$G231/10000,'CDO Bespoke'!I231,'CDO Bespoke'!$L207,'CDO Bespoke'!$C$13,'CDO Bespoke'!$C$14,'CDO Bespoke'!$C$15,'CDO Bespoke'!$C$8,,,TRUE,TRUE,FALSE,'CDO Bespoke'!$C$29:'CDO Bespoke'!$C$31,'CDO Bespoke'!$C$33),{5})),"")</f>
        <v/>
      </c>
      <c r="T206" s="514" t="str" cm="1">
        <f t="array" ref="T206">IF($O206&lt;&gt;"",-TRANSPOSE(INDEX(getcds('CDO Bespoke'!$C231,T$13,'CDO Bespoke'!$G231/10000,'CDO Bespoke'!J231,'CDO Bespoke'!$L207,'CDO Bespoke'!$C$13,'CDO Bespoke'!$C$14,'CDO Bespoke'!$C$15,'CDO Bespoke'!$C$8,,,TRUE,TRUE,FALSE,'CDO Bespoke'!$C$29:'CDO Bespoke'!$C$31,'CDO Bespoke'!$C$33),{5})),"")</f>
        <v/>
      </c>
      <c r="U206" s="493"/>
      <c r="V206" s="529"/>
      <c r="W206" s="530"/>
      <c r="X206" s="530"/>
      <c r="Y206" s="530"/>
      <c r="Z206" s="530"/>
      <c r="AA206" s="530"/>
      <c r="AB206" s="530"/>
      <c r="AC206" s="530"/>
      <c r="AD206" s="530"/>
      <c r="AE206" s="531"/>
      <c r="AF206" s="539"/>
    </row>
    <row r="207" spans="6:32" s="281" customFormat="1" ht="12" thickBot="1">
      <c r="F207" s="501" t="str">
        <f>IF('CDO Bespoke'!O208&lt;&gt;"",'CDO Bespoke'!O208,"")</f>
        <v/>
      </c>
      <c r="G207" s="502" t="str">
        <f>IF(F207&lt;&gt;"",ABS(MIN(-0.75*('CDO Bespoke'!Q208+'CDO Bespoke'!T208)+'CDO Bespoke'!T208,0)),"")</f>
        <v/>
      </c>
      <c r="H207" s="502" t="str">
        <f t="shared" ref="H207:H270" si="12">IF(F207&lt;&gt;"",IF($G$8,MAX(F207-G207,0),F207),"")</f>
        <v/>
      </c>
      <c r="I207" s="502" t="str">
        <f t="shared" si="11"/>
        <v/>
      </c>
      <c r="J207" s="501" t="str">
        <f>IF('CDO Bespoke'!O208&lt;&gt;"",'CDO Bespoke'!O208,"")</f>
        <v/>
      </c>
      <c r="K207" s="502" t="str">
        <f>IF(J207&lt;&gt;"",ABS(MIN(-0.75*('CDO Bespoke'!K208+'CDO Bespoke'!T208)+'CDO Bespoke'!T208,0)),"")</f>
        <v/>
      </c>
      <c r="L207" s="502" t="str">
        <f t="shared" ref="L207:L270" si="13">IF(J207&lt;&gt;"",IF($G$8,MAX(J207-K207,0),J207),"")</f>
        <v/>
      </c>
      <c r="M207" s="506" t="str">
        <f t="shared" ref="M207:M270" si="14">IF(J207&lt;&gt;"",IF($G$8,0,K207),"")</f>
        <v/>
      </c>
      <c r="O207" s="511" t="str">
        <f>IF('CDO Bespoke'!C232&lt;&gt;"",'CDO Bespoke'!C232,"")</f>
        <v/>
      </c>
      <c r="P207" s="513" t="str" cm="1">
        <f t="array" ref="P207">IF($O207&lt;&gt;"",-TRANSPOSE(INDEX(getcds('CDO Bespoke'!$C232,P$13,'CDO Bespoke'!$G232/10000,'CDO Bespoke'!F232,'CDO Bespoke'!$L208,'CDO Bespoke'!$C$13,'CDO Bespoke'!$C$14,'CDO Bespoke'!$C$15,'CDO Bespoke'!$C$8,,,TRUE,TRUE,FALSE,'CDO Bespoke'!$C$29:'CDO Bespoke'!$C$31,'CDO Bespoke'!$C$33),{5})),"")</f>
        <v/>
      </c>
      <c r="Q207" s="542" t="str" cm="1">
        <f t="array" ref="Q207">IF($O207&lt;&gt;"",-TRANSPOSE(INDEX(getcds('CDO Bespoke'!$C232,Q$13,'CDO Bespoke'!$G232/10000,'CDO Bespoke'!G232,'CDO Bespoke'!$L208,'CDO Bespoke'!$C$13,'CDO Bespoke'!$C$14,'CDO Bespoke'!$C$15,'CDO Bespoke'!$C$8,,,TRUE,TRUE,FALSE,'CDO Bespoke'!$C$29:'CDO Bespoke'!$C$31,'CDO Bespoke'!$C$33),{5})),"")</f>
        <v/>
      </c>
      <c r="R207" s="542" t="str" cm="1">
        <f t="array" ref="R207">IF($O207&lt;&gt;"",-TRANSPOSE(INDEX(getcds('CDO Bespoke'!$C232,R$13,'CDO Bespoke'!$G232/10000,'CDO Bespoke'!H232,'CDO Bespoke'!$L208,'CDO Bespoke'!$C$13,'CDO Bespoke'!$C$14,'CDO Bespoke'!$C$15,'CDO Bespoke'!$C$8,,,TRUE,TRUE,FALSE,'CDO Bespoke'!$C$29:'CDO Bespoke'!$C$31,'CDO Bespoke'!$C$33),{5})),"")</f>
        <v/>
      </c>
      <c r="S207" s="542" t="str" cm="1">
        <f t="array" ref="S207">IF($O207&lt;&gt;"",-TRANSPOSE(INDEX(getcds('CDO Bespoke'!$C232,S$13,'CDO Bespoke'!$G232/10000,'CDO Bespoke'!I232,'CDO Bespoke'!$L208,'CDO Bespoke'!$C$13,'CDO Bespoke'!$C$14,'CDO Bespoke'!$C$15,'CDO Bespoke'!$C$8,,,TRUE,TRUE,FALSE,'CDO Bespoke'!$C$29:'CDO Bespoke'!$C$31,'CDO Bespoke'!$C$33),{5})),"")</f>
        <v/>
      </c>
      <c r="T207" s="514" t="str" cm="1">
        <f t="array" ref="T207">IF($O207&lt;&gt;"",-TRANSPOSE(INDEX(getcds('CDO Bespoke'!$C232,T$13,'CDO Bespoke'!$G232/10000,'CDO Bespoke'!J232,'CDO Bespoke'!$L208,'CDO Bespoke'!$C$13,'CDO Bespoke'!$C$14,'CDO Bespoke'!$C$15,'CDO Bespoke'!$C$8,,,TRUE,TRUE,FALSE,'CDO Bespoke'!$C$29:'CDO Bespoke'!$C$31,'CDO Bespoke'!$C$33),{5})),"")</f>
        <v/>
      </c>
      <c r="U207" s="493"/>
      <c r="V207" s="529"/>
      <c r="W207" s="530"/>
      <c r="X207" s="530"/>
      <c r="Y207" s="530"/>
      <c r="Z207" s="530"/>
      <c r="AA207" s="530"/>
      <c r="AB207" s="530"/>
      <c r="AC207" s="530"/>
      <c r="AD207" s="530"/>
      <c r="AE207" s="531"/>
      <c r="AF207" s="539"/>
    </row>
    <row r="208" spans="6:32" s="281" customFormat="1" ht="12" thickBot="1">
      <c r="F208" s="501" t="str">
        <f>IF('CDO Bespoke'!O209&lt;&gt;"",'CDO Bespoke'!O209,"")</f>
        <v/>
      </c>
      <c r="G208" s="502" t="str">
        <f>IF(F208&lt;&gt;"",ABS(MIN(-0.75*('CDO Bespoke'!Q209+'CDO Bespoke'!T209)+'CDO Bespoke'!T209,0)),"")</f>
        <v/>
      </c>
      <c r="H208" s="502" t="str">
        <f t="shared" si="12"/>
        <v/>
      </c>
      <c r="I208" s="502" t="str">
        <f t="shared" ref="I208:I271" si="15">IF(F208&lt;&gt;"",IF($G$8,0,G208),"")</f>
        <v/>
      </c>
      <c r="J208" s="501" t="str">
        <f>IF('CDO Bespoke'!O209&lt;&gt;"",'CDO Bespoke'!O209,"")</f>
        <v/>
      </c>
      <c r="K208" s="502" t="str">
        <f>IF(J208&lt;&gt;"",ABS(MIN(-0.75*('CDO Bespoke'!K209+'CDO Bespoke'!T209)+'CDO Bespoke'!T209,0)),"")</f>
        <v/>
      </c>
      <c r="L208" s="502" t="str">
        <f t="shared" si="13"/>
        <v/>
      </c>
      <c r="M208" s="506" t="str">
        <f t="shared" si="14"/>
        <v/>
      </c>
      <c r="O208" s="511" t="str">
        <f>IF('CDO Bespoke'!C233&lt;&gt;"",'CDO Bespoke'!C233,"")</f>
        <v/>
      </c>
      <c r="P208" s="513" t="str" cm="1">
        <f t="array" ref="P208">IF($O208&lt;&gt;"",-TRANSPOSE(INDEX(getcds('CDO Bespoke'!$C233,P$13,'CDO Bespoke'!$G233/10000,'CDO Bespoke'!F233,'CDO Bespoke'!$L209,'CDO Bespoke'!$C$13,'CDO Bespoke'!$C$14,'CDO Bespoke'!$C$15,'CDO Bespoke'!$C$8,,,TRUE,TRUE,FALSE,'CDO Bespoke'!$C$29:'CDO Bespoke'!$C$31,'CDO Bespoke'!$C$33),{5})),"")</f>
        <v/>
      </c>
      <c r="Q208" s="542" t="str" cm="1">
        <f t="array" ref="Q208">IF($O208&lt;&gt;"",-TRANSPOSE(INDEX(getcds('CDO Bespoke'!$C233,Q$13,'CDO Bespoke'!$G233/10000,'CDO Bespoke'!G233,'CDO Bespoke'!$L209,'CDO Bespoke'!$C$13,'CDO Bespoke'!$C$14,'CDO Bespoke'!$C$15,'CDO Bespoke'!$C$8,,,TRUE,TRUE,FALSE,'CDO Bespoke'!$C$29:'CDO Bespoke'!$C$31,'CDO Bespoke'!$C$33),{5})),"")</f>
        <v/>
      </c>
      <c r="R208" s="542" t="str" cm="1">
        <f t="array" ref="R208">IF($O208&lt;&gt;"",-TRANSPOSE(INDEX(getcds('CDO Bespoke'!$C233,R$13,'CDO Bespoke'!$G233/10000,'CDO Bespoke'!H233,'CDO Bespoke'!$L209,'CDO Bespoke'!$C$13,'CDO Bespoke'!$C$14,'CDO Bespoke'!$C$15,'CDO Bespoke'!$C$8,,,TRUE,TRUE,FALSE,'CDO Bespoke'!$C$29:'CDO Bespoke'!$C$31,'CDO Bespoke'!$C$33),{5})),"")</f>
        <v/>
      </c>
      <c r="S208" s="542" t="str" cm="1">
        <f t="array" ref="S208">IF($O208&lt;&gt;"",-TRANSPOSE(INDEX(getcds('CDO Bespoke'!$C233,S$13,'CDO Bespoke'!$G233/10000,'CDO Bespoke'!I233,'CDO Bespoke'!$L209,'CDO Bespoke'!$C$13,'CDO Bespoke'!$C$14,'CDO Bespoke'!$C$15,'CDO Bespoke'!$C$8,,,TRUE,TRUE,FALSE,'CDO Bespoke'!$C$29:'CDO Bespoke'!$C$31,'CDO Bespoke'!$C$33),{5})),"")</f>
        <v/>
      </c>
      <c r="T208" s="514" t="str" cm="1">
        <f t="array" ref="T208">IF($O208&lt;&gt;"",-TRANSPOSE(INDEX(getcds('CDO Bespoke'!$C233,T$13,'CDO Bespoke'!$G233/10000,'CDO Bespoke'!J233,'CDO Bespoke'!$L209,'CDO Bespoke'!$C$13,'CDO Bespoke'!$C$14,'CDO Bespoke'!$C$15,'CDO Bespoke'!$C$8,,,TRUE,TRUE,FALSE,'CDO Bespoke'!$C$29:'CDO Bespoke'!$C$31,'CDO Bespoke'!$C$33),{5})),"")</f>
        <v/>
      </c>
      <c r="U208" s="493"/>
      <c r="V208" s="529"/>
      <c r="W208" s="530"/>
      <c r="X208" s="530"/>
      <c r="Y208" s="530"/>
      <c r="Z208" s="530"/>
      <c r="AA208" s="530"/>
      <c r="AB208" s="530"/>
      <c r="AC208" s="530"/>
      <c r="AD208" s="530"/>
      <c r="AE208" s="531"/>
      <c r="AF208" s="539"/>
    </row>
    <row r="209" spans="6:32" s="281" customFormat="1" ht="12" thickBot="1">
      <c r="F209" s="501" t="str">
        <f>IF('CDO Bespoke'!O210&lt;&gt;"",'CDO Bespoke'!O210,"")</f>
        <v/>
      </c>
      <c r="G209" s="502" t="str">
        <f>IF(F209&lt;&gt;"",ABS(MIN(-0.75*('CDO Bespoke'!Q210+'CDO Bespoke'!T210)+'CDO Bespoke'!T210,0)),"")</f>
        <v/>
      </c>
      <c r="H209" s="502" t="str">
        <f t="shared" si="12"/>
        <v/>
      </c>
      <c r="I209" s="502" t="str">
        <f t="shared" si="15"/>
        <v/>
      </c>
      <c r="J209" s="501" t="str">
        <f>IF('CDO Bespoke'!O210&lt;&gt;"",'CDO Bespoke'!O210,"")</f>
        <v/>
      </c>
      <c r="K209" s="502" t="str">
        <f>IF(J209&lt;&gt;"",ABS(MIN(-0.75*('CDO Bespoke'!K210+'CDO Bespoke'!T210)+'CDO Bespoke'!T210,0)),"")</f>
        <v/>
      </c>
      <c r="L209" s="502" t="str">
        <f t="shared" si="13"/>
        <v/>
      </c>
      <c r="M209" s="506" t="str">
        <f t="shared" si="14"/>
        <v/>
      </c>
      <c r="O209" s="511" t="str">
        <f>IF('CDO Bespoke'!C234&lt;&gt;"",'CDO Bespoke'!C234,"")</f>
        <v/>
      </c>
      <c r="P209" s="513" t="str" cm="1">
        <f t="array" ref="P209">IF($O209&lt;&gt;"",-TRANSPOSE(INDEX(getcds('CDO Bespoke'!$C234,P$13,'CDO Bespoke'!$G234/10000,'CDO Bespoke'!F234,'CDO Bespoke'!$L210,'CDO Bespoke'!$C$13,'CDO Bespoke'!$C$14,'CDO Bespoke'!$C$15,'CDO Bespoke'!$C$8,,,TRUE,TRUE,FALSE,'CDO Bespoke'!$C$29:'CDO Bespoke'!$C$31,'CDO Bespoke'!$C$33),{5})),"")</f>
        <v/>
      </c>
      <c r="Q209" s="542" t="str" cm="1">
        <f t="array" ref="Q209">IF($O209&lt;&gt;"",-TRANSPOSE(INDEX(getcds('CDO Bespoke'!$C234,Q$13,'CDO Bespoke'!$G234/10000,'CDO Bespoke'!G234,'CDO Bespoke'!$L210,'CDO Bespoke'!$C$13,'CDO Bespoke'!$C$14,'CDO Bespoke'!$C$15,'CDO Bespoke'!$C$8,,,TRUE,TRUE,FALSE,'CDO Bespoke'!$C$29:'CDO Bespoke'!$C$31,'CDO Bespoke'!$C$33),{5})),"")</f>
        <v/>
      </c>
      <c r="R209" s="542" t="str" cm="1">
        <f t="array" ref="R209">IF($O209&lt;&gt;"",-TRANSPOSE(INDEX(getcds('CDO Bespoke'!$C234,R$13,'CDO Bespoke'!$G234/10000,'CDO Bespoke'!H234,'CDO Bespoke'!$L210,'CDO Bespoke'!$C$13,'CDO Bespoke'!$C$14,'CDO Bespoke'!$C$15,'CDO Bespoke'!$C$8,,,TRUE,TRUE,FALSE,'CDO Bespoke'!$C$29:'CDO Bespoke'!$C$31,'CDO Bespoke'!$C$33),{5})),"")</f>
        <v/>
      </c>
      <c r="S209" s="542" t="str" cm="1">
        <f t="array" ref="S209">IF($O209&lt;&gt;"",-TRANSPOSE(INDEX(getcds('CDO Bespoke'!$C234,S$13,'CDO Bespoke'!$G234/10000,'CDO Bespoke'!I234,'CDO Bespoke'!$L210,'CDO Bespoke'!$C$13,'CDO Bespoke'!$C$14,'CDO Bespoke'!$C$15,'CDO Bespoke'!$C$8,,,TRUE,TRUE,FALSE,'CDO Bespoke'!$C$29:'CDO Bespoke'!$C$31,'CDO Bespoke'!$C$33),{5})),"")</f>
        <v/>
      </c>
      <c r="T209" s="514" t="str" cm="1">
        <f t="array" ref="T209">IF($O209&lt;&gt;"",-TRANSPOSE(INDEX(getcds('CDO Bespoke'!$C234,T$13,'CDO Bespoke'!$G234/10000,'CDO Bespoke'!J234,'CDO Bespoke'!$L210,'CDO Bespoke'!$C$13,'CDO Bespoke'!$C$14,'CDO Bespoke'!$C$15,'CDO Bespoke'!$C$8,,,TRUE,TRUE,FALSE,'CDO Bespoke'!$C$29:'CDO Bespoke'!$C$31,'CDO Bespoke'!$C$33),{5})),"")</f>
        <v/>
      </c>
      <c r="U209" s="493"/>
      <c r="V209" s="529"/>
      <c r="W209" s="530"/>
      <c r="X209" s="530"/>
      <c r="Y209" s="530"/>
      <c r="Z209" s="530"/>
      <c r="AA209" s="530"/>
      <c r="AB209" s="530"/>
      <c r="AC209" s="530"/>
      <c r="AD209" s="530"/>
      <c r="AE209" s="531"/>
      <c r="AF209" s="539"/>
    </row>
    <row r="210" spans="6:32" s="281" customFormat="1" ht="12" thickBot="1">
      <c r="F210" s="501" t="str">
        <f>IF('CDO Bespoke'!O211&lt;&gt;"",'CDO Bespoke'!O211,"")</f>
        <v/>
      </c>
      <c r="G210" s="502" t="str">
        <f>IF(F210&lt;&gt;"",ABS(MIN(-0.75*('CDO Bespoke'!Q211+'CDO Bespoke'!T211)+'CDO Bespoke'!T211,0)),"")</f>
        <v/>
      </c>
      <c r="H210" s="502" t="str">
        <f t="shared" si="12"/>
        <v/>
      </c>
      <c r="I210" s="502" t="str">
        <f t="shared" si="15"/>
        <v/>
      </c>
      <c r="J210" s="501" t="str">
        <f>IF('CDO Bespoke'!O211&lt;&gt;"",'CDO Bespoke'!O211,"")</f>
        <v/>
      </c>
      <c r="K210" s="502" t="str">
        <f>IF(J210&lt;&gt;"",ABS(MIN(-0.75*('CDO Bespoke'!K211+'CDO Bespoke'!T211)+'CDO Bespoke'!T211,0)),"")</f>
        <v/>
      </c>
      <c r="L210" s="502" t="str">
        <f t="shared" si="13"/>
        <v/>
      </c>
      <c r="M210" s="506" t="str">
        <f t="shared" si="14"/>
        <v/>
      </c>
      <c r="O210" s="511" t="str">
        <f>IF('CDO Bespoke'!C235&lt;&gt;"",'CDO Bespoke'!C235,"")</f>
        <v/>
      </c>
      <c r="P210" s="513" t="str" cm="1">
        <f t="array" ref="P210">IF($O210&lt;&gt;"",-TRANSPOSE(INDEX(getcds('CDO Bespoke'!$C235,P$13,'CDO Bespoke'!$G235/10000,'CDO Bespoke'!F235,'CDO Bespoke'!$L211,'CDO Bespoke'!$C$13,'CDO Bespoke'!$C$14,'CDO Bespoke'!$C$15,'CDO Bespoke'!$C$8,,,TRUE,TRUE,FALSE,'CDO Bespoke'!$C$29:'CDO Bespoke'!$C$31,'CDO Bespoke'!$C$33),{5})),"")</f>
        <v/>
      </c>
      <c r="Q210" s="542" t="str" cm="1">
        <f t="array" ref="Q210">IF($O210&lt;&gt;"",-TRANSPOSE(INDEX(getcds('CDO Bespoke'!$C235,Q$13,'CDO Bespoke'!$G235/10000,'CDO Bespoke'!G235,'CDO Bespoke'!$L211,'CDO Bespoke'!$C$13,'CDO Bespoke'!$C$14,'CDO Bespoke'!$C$15,'CDO Bespoke'!$C$8,,,TRUE,TRUE,FALSE,'CDO Bespoke'!$C$29:'CDO Bespoke'!$C$31,'CDO Bespoke'!$C$33),{5})),"")</f>
        <v/>
      </c>
      <c r="R210" s="542" t="str" cm="1">
        <f t="array" ref="R210">IF($O210&lt;&gt;"",-TRANSPOSE(INDEX(getcds('CDO Bespoke'!$C235,R$13,'CDO Bespoke'!$G235/10000,'CDO Bespoke'!H235,'CDO Bespoke'!$L211,'CDO Bespoke'!$C$13,'CDO Bespoke'!$C$14,'CDO Bespoke'!$C$15,'CDO Bespoke'!$C$8,,,TRUE,TRUE,FALSE,'CDO Bespoke'!$C$29:'CDO Bespoke'!$C$31,'CDO Bespoke'!$C$33),{5})),"")</f>
        <v/>
      </c>
      <c r="S210" s="542" t="str" cm="1">
        <f t="array" ref="S210">IF($O210&lt;&gt;"",-TRANSPOSE(INDEX(getcds('CDO Bespoke'!$C235,S$13,'CDO Bespoke'!$G235/10000,'CDO Bespoke'!I235,'CDO Bespoke'!$L211,'CDO Bespoke'!$C$13,'CDO Bespoke'!$C$14,'CDO Bespoke'!$C$15,'CDO Bespoke'!$C$8,,,TRUE,TRUE,FALSE,'CDO Bespoke'!$C$29:'CDO Bespoke'!$C$31,'CDO Bespoke'!$C$33),{5})),"")</f>
        <v/>
      </c>
      <c r="T210" s="514" t="str" cm="1">
        <f t="array" ref="T210">IF($O210&lt;&gt;"",-TRANSPOSE(INDEX(getcds('CDO Bespoke'!$C235,T$13,'CDO Bespoke'!$G235/10000,'CDO Bespoke'!J235,'CDO Bespoke'!$L211,'CDO Bespoke'!$C$13,'CDO Bespoke'!$C$14,'CDO Bespoke'!$C$15,'CDO Bespoke'!$C$8,,,TRUE,TRUE,FALSE,'CDO Bespoke'!$C$29:'CDO Bespoke'!$C$31,'CDO Bespoke'!$C$33),{5})),"")</f>
        <v/>
      </c>
      <c r="U210" s="493"/>
      <c r="V210" s="529"/>
      <c r="W210" s="530"/>
      <c r="X210" s="530"/>
      <c r="Y210" s="530"/>
      <c r="Z210" s="530"/>
      <c r="AA210" s="530"/>
      <c r="AB210" s="530"/>
      <c r="AC210" s="530"/>
      <c r="AD210" s="530"/>
      <c r="AE210" s="531"/>
      <c r="AF210" s="539"/>
    </row>
    <row r="211" spans="6:32" s="281" customFormat="1" ht="12" thickBot="1">
      <c r="F211" s="501" t="str">
        <f>IF('CDO Bespoke'!O212&lt;&gt;"",'CDO Bespoke'!O212,"")</f>
        <v/>
      </c>
      <c r="G211" s="502" t="str">
        <f>IF(F211&lt;&gt;"",ABS(MIN(-0.75*('CDO Bespoke'!Q212+'CDO Bespoke'!T212)+'CDO Bespoke'!T212,0)),"")</f>
        <v/>
      </c>
      <c r="H211" s="502" t="str">
        <f t="shared" si="12"/>
        <v/>
      </c>
      <c r="I211" s="502" t="str">
        <f t="shared" si="15"/>
        <v/>
      </c>
      <c r="J211" s="501" t="str">
        <f>IF('CDO Bespoke'!O212&lt;&gt;"",'CDO Bespoke'!O212,"")</f>
        <v/>
      </c>
      <c r="K211" s="502" t="str">
        <f>IF(J211&lt;&gt;"",ABS(MIN(-0.75*('CDO Bespoke'!K212+'CDO Bespoke'!T212)+'CDO Bespoke'!T212,0)),"")</f>
        <v/>
      </c>
      <c r="L211" s="502" t="str">
        <f t="shared" si="13"/>
        <v/>
      </c>
      <c r="M211" s="506" t="str">
        <f t="shared" si="14"/>
        <v/>
      </c>
      <c r="O211" s="511" t="str">
        <f>IF('CDO Bespoke'!C236&lt;&gt;"",'CDO Bespoke'!C236,"")</f>
        <v/>
      </c>
      <c r="P211" s="513" t="str" cm="1">
        <f t="array" ref="P211">IF($O211&lt;&gt;"",-TRANSPOSE(INDEX(getcds('CDO Bespoke'!$C236,P$13,'CDO Bespoke'!$G236/10000,'CDO Bespoke'!F236,'CDO Bespoke'!$L212,'CDO Bespoke'!$C$13,'CDO Bespoke'!$C$14,'CDO Bespoke'!$C$15,'CDO Bespoke'!$C$8,,,TRUE,TRUE,FALSE,'CDO Bespoke'!$C$29:'CDO Bespoke'!$C$31,'CDO Bespoke'!$C$33),{5})),"")</f>
        <v/>
      </c>
      <c r="Q211" s="542" t="str" cm="1">
        <f t="array" ref="Q211">IF($O211&lt;&gt;"",-TRANSPOSE(INDEX(getcds('CDO Bespoke'!$C236,Q$13,'CDO Bespoke'!$G236/10000,'CDO Bespoke'!G236,'CDO Bespoke'!$L212,'CDO Bespoke'!$C$13,'CDO Bespoke'!$C$14,'CDO Bespoke'!$C$15,'CDO Bespoke'!$C$8,,,TRUE,TRUE,FALSE,'CDO Bespoke'!$C$29:'CDO Bespoke'!$C$31,'CDO Bespoke'!$C$33),{5})),"")</f>
        <v/>
      </c>
      <c r="R211" s="542" t="str" cm="1">
        <f t="array" ref="R211">IF($O211&lt;&gt;"",-TRANSPOSE(INDEX(getcds('CDO Bespoke'!$C236,R$13,'CDO Bespoke'!$G236/10000,'CDO Bespoke'!H236,'CDO Bespoke'!$L212,'CDO Bespoke'!$C$13,'CDO Bespoke'!$C$14,'CDO Bespoke'!$C$15,'CDO Bespoke'!$C$8,,,TRUE,TRUE,FALSE,'CDO Bespoke'!$C$29:'CDO Bespoke'!$C$31,'CDO Bespoke'!$C$33),{5})),"")</f>
        <v/>
      </c>
      <c r="S211" s="542" t="str" cm="1">
        <f t="array" ref="S211">IF($O211&lt;&gt;"",-TRANSPOSE(INDEX(getcds('CDO Bespoke'!$C236,S$13,'CDO Bespoke'!$G236/10000,'CDO Bespoke'!I236,'CDO Bespoke'!$L212,'CDO Bespoke'!$C$13,'CDO Bespoke'!$C$14,'CDO Bespoke'!$C$15,'CDO Bespoke'!$C$8,,,TRUE,TRUE,FALSE,'CDO Bespoke'!$C$29:'CDO Bespoke'!$C$31,'CDO Bespoke'!$C$33),{5})),"")</f>
        <v/>
      </c>
      <c r="T211" s="514" t="str" cm="1">
        <f t="array" ref="T211">IF($O211&lt;&gt;"",-TRANSPOSE(INDEX(getcds('CDO Bespoke'!$C236,T$13,'CDO Bespoke'!$G236/10000,'CDO Bespoke'!J236,'CDO Bespoke'!$L212,'CDO Bespoke'!$C$13,'CDO Bespoke'!$C$14,'CDO Bespoke'!$C$15,'CDO Bespoke'!$C$8,,,TRUE,TRUE,FALSE,'CDO Bespoke'!$C$29:'CDO Bespoke'!$C$31,'CDO Bespoke'!$C$33),{5})),"")</f>
        <v/>
      </c>
      <c r="U211" s="493"/>
      <c r="V211" s="529"/>
      <c r="W211" s="530"/>
      <c r="X211" s="530"/>
      <c r="Y211" s="530"/>
      <c r="Z211" s="530"/>
      <c r="AA211" s="530"/>
      <c r="AB211" s="530"/>
      <c r="AC211" s="530"/>
      <c r="AD211" s="530"/>
      <c r="AE211" s="531"/>
      <c r="AF211" s="539"/>
    </row>
    <row r="212" spans="6:32" s="281" customFormat="1" ht="12" thickBot="1">
      <c r="F212" s="501" t="str">
        <f>IF('CDO Bespoke'!O213&lt;&gt;"",'CDO Bespoke'!O213,"")</f>
        <v/>
      </c>
      <c r="G212" s="502" t="str">
        <f>IF(F212&lt;&gt;"",ABS(MIN(-0.75*('CDO Bespoke'!Q213+'CDO Bespoke'!T213)+'CDO Bespoke'!T213,0)),"")</f>
        <v/>
      </c>
      <c r="H212" s="502" t="str">
        <f t="shared" si="12"/>
        <v/>
      </c>
      <c r="I212" s="502" t="str">
        <f t="shared" si="15"/>
        <v/>
      </c>
      <c r="J212" s="501" t="str">
        <f>IF('CDO Bespoke'!O213&lt;&gt;"",'CDO Bespoke'!O213,"")</f>
        <v/>
      </c>
      <c r="K212" s="502" t="str">
        <f>IF(J212&lt;&gt;"",ABS(MIN(-0.75*('CDO Bespoke'!K213+'CDO Bespoke'!T213)+'CDO Bespoke'!T213,0)),"")</f>
        <v/>
      </c>
      <c r="L212" s="502" t="str">
        <f t="shared" si="13"/>
        <v/>
      </c>
      <c r="M212" s="506" t="str">
        <f t="shared" si="14"/>
        <v/>
      </c>
      <c r="O212" s="511" t="str">
        <f>IF('CDO Bespoke'!C237&lt;&gt;"",'CDO Bespoke'!C237,"")</f>
        <v/>
      </c>
      <c r="P212" s="513" t="str" cm="1">
        <f t="array" ref="P212">IF($O212&lt;&gt;"",-TRANSPOSE(INDEX(getcds('CDO Bespoke'!$C237,P$13,'CDO Bespoke'!$G237/10000,'CDO Bespoke'!F237,'CDO Bespoke'!$L213,'CDO Bespoke'!$C$13,'CDO Bespoke'!$C$14,'CDO Bespoke'!$C$15,'CDO Bespoke'!$C$8,,,TRUE,TRUE,FALSE,'CDO Bespoke'!$C$29:'CDO Bespoke'!$C$31,'CDO Bespoke'!$C$33),{5})),"")</f>
        <v/>
      </c>
      <c r="Q212" s="542" t="str" cm="1">
        <f t="array" ref="Q212">IF($O212&lt;&gt;"",-TRANSPOSE(INDEX(getcds('CDO Bespoke'!$C237,Q$13,'CDO Bespoke'!$G237/10000,'CDO Bespoke'!G237,'CDO Bespoke'!$L213,'CDO Bespoke'!$C$13,'CDO Bespoke'!$C$14,'CDO Bespoke'!$C$15,'CDO Bespoke'!$C$8,,,TRUE,TRUE,FALSE,'CDO Bespoke'!$C$29:'CDO Bespoke'!$C$31,'CDO Bespoke'!$C$33),{5})),"")</f>
        <v/>
      </c>
      <c r="R212" s="542" t="str" cm="1">
        <f t="array" ref="R212">IF($O212&lt;&gt;"",-TRANSPOSE(INDEX(getcds('CDO Bespoke'!$C237,R$13,'CDO Bespoke'!$G237/10000,'CDO Bespoke'!H237,'CDO Bespoke'!$L213,'CDO Bespoke'!$C$13,'CDO Bespoke'!$C$14,'CDO Bespoke'!$C$15,'CDO Bespoke'!$C$8,,,TRUE,TRUE,FALSE,'CDO Bespoke'!$C$29:'CDO Bespoke'!$C$31,'CDO Bespoke'!$C$33),{5})),"")</f>
        <v/>
      </c>
      <c r="S212" s="542" t="str" cm="1">
        <f t="array" ref="S212">IF($O212&lt;&gt;"",-TRANSPOSE(INDEX(getcds('CDO Bespoke'!$C237,S$13,'CDO Bespoke'!$G237/10000,'CDO Bespoke'!I237,'CDO Bespoke'!$L213,'CDO Bespoke'!$C$13,'CDO Bespoke'!$C$14,'CDO Bespoke'!$C$15,'CDO Bespoke'!$C$8,,,TRUE,TRUE,FALSE,'CDO Bespoke'!$C$29:'CDO Bespoke'!$C$31,'CDO Bespoke'!$C$33),{5})),"")</f>
        <v/>
      </c>
      <c r="T212" s="514" t="str" cm="1">
        <f t="array" ref="T212">IF($O212&lt;&gt;"",-TRANSPOSE(INDEX(getcds('CDO Bespoke'!$C237,T$13,'CDO Bespoke'!$G237/10000,'CDO Bespoke'!J237,'CDO Bespoke'!$L213,'CDO Bespoke'!$C$13,'CDO Bespoke'!$C$14,'CDO Bespoke'!$C$15,'CDO Bespoke'!$C$8,,,TRUE,TRUE,FALSE,'CDO Bespoke'!$C$29:'CDO Bespoke'!$C$31,'CDO Bespoke'!$C$33),{5})),"")</f>
        <v/>
      </c>
      <c r="U212" s="493"/>
      <c r="V212" s="529"/>
      <c r="W212" s="530"/>
      <c r="X212" s="530"/>
      <c r="Y212" s="530"/>
      <c r="Z212" s="530"/>
      <c r="AA212" s="530"/>
      <c r="AB212" s="530"/>
      <c r="AC212" s="530"/>
      <c r="AD212" s="530"/>
      <c r="AE212" s="531"/>
      <c r="AF212" s="539"/>
    </row>
    <row r="213" spans="6:32" s="281" customFormat="1" ht="12" thickBot="1">
      <c r="F213" s="501" t="str">
        <f>IF('CDO Bespoke'!O214&lt;&gt;"",'CDO Bespoke'!O214,"")</f>
        <v/>
      </c>
      <c r="G213" s="502" t="str">
        <f>IF(F213&lt;&gt;"",ABS(MIN(-0.75*('CDO Bespoke'!Q214+'CDO Bespoke'!T214)+'CDO Bespoke'!T214,0)),"")</f>
        <v/>
      </c>
      <c r="H213" s="502" t="str">
        <f t="shared" si="12"/>
        <v/>
      </c>
      <c r="I213" s="502" t="str">
        <f t="shared" si="15"/>
        <v/>
      </c>
      <c r="J213" s="501" t="str">
        <f>IF('CDO Bespoke'!O214&lt;&gt;"",'CDO Bespoke'!O214,"")</f>
        <v/>
      </c>
      <c r="K213" s="502" t="str">
        <f>IF(J213&lt;&gt;"",ABS(MIN(-0.75*('CDO Bespoke'!K214+'CDO Bespoke'!T214)+'CDO Bespoke'!T214,0)),"")</f>
        <v/>
      </c>
      <c r="L213" s="502" t="str">
        <f t="shared" si="13"/>
        <v/>
      </c>
      <c r="M213" s="506" t="str">
        <f t="shared" si="14"/>
        <v/>
      </c>
      <c r="O213" s="511" t="str">
        <f>IF('CDO Bespoke'!C238&lt;&gt;"",'CDO Bespoke'!C238,"")</f>
        <v/>
      </c>
      <c r="P213" s="513" t="str" cm="1">
        <f t="array" ref="P213">IF($O213&lt;&gt;"",-TRANSPOSE(INDEX(getcds('CDO Bespoke'!$C238,P$13,'CDO Bespoke'!$G238/10000,'CDO Bespoke'!F238,'CDO Bespoke'!$L214,'CDO Bespoke'!$C$13,'CDO Bespoke'!$C$14,'CDO Bespoke'!$C$15,'CDO Bespoke'!$C$8,,,TRUE,TRUE,FALSE,'CDO Bespoke'!$C$29:'CDO Bespoke'!$C$31,'CDO Bespoke'!$C$33),{5})),"")</f>
        <v/>
      </c>
      <c r="Q213" s="542" t="str" cm="1">
        <f t="array" ref="Q213">IF($O213&lt;&gt;"",-TRANSPOSE(INDEX(getcds('CDO Bespoke'!$C238,Q$13,'CDO Bespoke'!$G238/10000,'CDO Bespoke'!G238,'CDO Bespoke'!$L214,'CDO Bespoke'!$C$13,'CDO Bespoke'!$C$14,'CDO Bespoke'!$C$15,'CDO Bespoke'!$C$8,,,TRUE,TRUE,FALSE,'CDO Bespoke'!$C$29:'CDO Bespoke'!$C$31,'CDO Bespoke'!$C$33),{5})),"")</f>
        <v/>
      </c>
      <c r="R213" s="542" t="str" cm="1">
        <f t="array" ref="R213">IF($O213&lt;&gt;"",-TRANSPOSE(INDEX(getcds('CDO Bespoke'!$C238,R$13,'CDO Bespoke'!$G238/10000,'CDO Bespoke'!H238,'CDO Bespoke'!$L214,'CDO Bespoke'!$C$13,'CDO Bespoke'!$C$14,'CDO Bespoke'!$C$15,'CDO Bespoke'!$C$8,,,TRUE,TRUE,FALSE,'CDO Bespoke'!$C$29:'CDO Bespoke'!$C$31,'CDO Bespoke'!$C$33),{5})),"")</f>
        <v/>
      </c>
      <c r="S213" s="542" t="str" cm="1">
        <f t="array" ref="S213">IF($O213&lt;&gt;"",-TRANSPOSE(INDEX(getcds('CDO Bespoke'!$C238,S$13,'CDO Bespoke'!$G238/10000,'CDO Bespoke'!I238,'CDO Bespoke'!$L214,'CDO Bespoke'!$C$13,'CDO Bespoke'!$C$14,'CDO Bespoke'!$C$15,'CDO Bespoke'!$C$8,,,TRUE,TRUE,FALSE,'CDO Bespoke'!$C$29:'CDO Bespoke'!$C$31,'CDO Bespoke'!$C$33),{5})),"")</f>
        <v/>
      </c>
      <c r="T213" s="514" t="str" cm="1">
        <f t="array" ref="T213">IF($O213&lt;&gt;"",-TRANSPOSE(INDEX(getcds('CDO Bespoke'!$C238,T$13,'CDO Bespoke'!$G238/10000,'CDO Bespoke'!J238,'CDO Bespoke'!$L214,'CDO Bespoke'!$C$13,'CDO Bespoke'!$C$14,'CDO Bespoke'!$C$15,'CDO Bespoke'!$C$8,,,TRUE,TRUE,FALSE,'CDO Bespoke'!$C$29:'CDO Bespoke'!$C$31,'CDO Bespoke'!$C$33),{5})),"")</f>
        <v/>
      </c>
      <c r="U213" s="493"/>
      <c r="V213" s="529"/>
      <c r="W213" s="530"/>
      <c r="X213" s="530"/>
      <c r="Y213" s="530"/>
      <c r="Z213" s="530"/>
      <c r="AA213" s="530"/>
      <c r="AB213" s="530"/>
      <c r="AC213" s="530"/>
      <c r="AD213" s="530"/>
      <c r="AE213" s="531"/>
      <c r="AF213" s="539"/>
    </row>
    <row r="214" spans="6:32" s="281" customFormat="1" ht="12" thickBot="1">
      <c r="F214" s="501" t="str">
        <f>IF('CDO Bespoke'!O215&lt;&gt;"",'CDO Bespoke'!O215,"")</f>
        <v/>
      </c>
      <c r="G214" s="502" t="str">
        <f>IF(F214&lt;&gt;"",ABS(MIN(-0.75*('CDO Bespoke'!Q215+'CDO Bespoke'!T215)+'CDO Bespoke'!T215,0)),"")</f>
        <v/>
      </c>
      <c r="H214" s="502" t="str">
        <f t="shared" si="12"/>
        <v/>
      </c>
      <c r="I214" s="502" t="str">
        <f t="shared" si="15"/>
        <v/>
      </c>
      <c r="J214" s="501" t="str">
        <f>IF('CDO Bespoke'!O215&lt;&gt;"",'CDO Bespoke'!O215,"")</f>
        <v/>
      </c>
      <c r="K214" s="502" t="str">
        <f>IF(J214&lt;&gt;"",ABS(MIN(-0.75*('CDO Bespoke'!K215+'CDO Bespoke'!T215)+'CDO Bespoke'!T215,0)),"")</f>
        <v/>
      </c>
      <c r="L214" s="502" t="str">
        <f t="shared" si="13"/>
        <v/>
      </c>
      <c r="M214" s="506" t="str">
        <f t="shared" si="14"/>
        <v/>
      </c>
      <c r="O214" s="511" t="str">
        <f>IF('CDO Bespoke'!C239&lt;&gt;"",'CDO Bespoke'!C239,"")</f>
        <v/>
      </c>
      <c r="P214" s="513" t="str" cm="1">
        <f t="array" ref="P214">IF($O214&lt;&gt;"",-TRANSPOSE(INDEX(getcds('CDO Bespoke'!$C239,P$13,'CDO Bespoke'!$G239/10000,'CDO Bespoke'!F239,'CDO Bespoke'!$L215,'CDO Bespoke'!$C$13,'CDO Bespoke'!$C$14,'CDO Bespoke'!$C$15,'CDO Bespoke'!$C$8,,,TRUE,TRUE,FALSE,'CDO Bespoke'!$C$29:'CDO Bespoke'!$C$31,'CDO Bespoke'!$C$33),{5})),"")</f>
        <v/>
      </c>
      <c r="Q214" s="542" t="str" cm="1">
        <f t="array" ref="Q214">IF($O214&lt;&gt;"",-TRANSPOSE(INDEX(getcds('CDO Bespoke'!$C239,Q$13,'CDO Bespoke'!$G239/10000,'CDO Bespoke'!G239,'CDO Bespoke'!$L215,'CDO Bespoke'!$C$13,'CDO Bespoke'!$C$14,'CDO Bespoke'!$C$15,'CDO Bespoke'!$C$8,,,TRUE,TRUE,FALSE,'CDO Bespoke'!$C$29:'CDO Bespoke'!$C$31,'CDO Bespoke'!$C$33),{5})),"")</f>
        <v/>
      </c>
      <c r="R214" s="542" t="str" cm="1">
        <f t="array" ref="R214">IF($O214&lt;&gt;"",-TRANSPOSE(INDEX(getcds('CDO Bespoke'!$C239,R$13,'CDO Bespoke'!$G239/10000,'CDO Bespoke'!H239,'CDO Bespoke'!$L215,'CDO Bespoke'!$C$13,'CDO Bespoke'!$C$14,'CDO Bespoke'!$C$15,'CDO Bespoke'!$C$8,,,TRUE,TRUE,FALSE,'CDO Bespoke'!$C$29:'CDO Bespoke'!$C$31,'CDO Bespoke'!$C$33),{5})),"")</f>
        <v/>
      </c>
      <c r="S214" s="542" t="str" cm="1">
        <f t="array" ref="S214">IF($O214&lt;&gt;"",-TRANSPOSE(INDEX(getcds('CDO Bespoke'!$C239,S$13,'CDO Bespoke'!$G239/10000,'CDO Bespoke'!I239,'CDO Bespoke'!$L215,'CDO Bespoke'!$C$13,'CDO Bespoke'!$C$14,'CDO Bespoke'!$C$15,'CDO Bespoke'!$C$8,,,TRUE,TRUE,FALSE,'CDO Bespoke'!$C$29:'CDO Bespoke'!$C$31,'CDO Bespoke'!$C$33),{5})),"")</f>
        <v/>
      </c>
      <c r="T214" s="514" t="str" cm="1">
        <f t="array" ref="T214">IF($O214&lt;&gt;"",-TRANSPOSE(INDEX(getcds('CDO Bespoke'!$C239,T$13,'CDO Bespoke'!$G239/10000,'CDO Bespoke'!J239,'CDO Bespoke'!$L215,'CDO Bespoke'!$C$13,'CDO Bespoke'!$C$14,'CDO Bespoke'!$C$15,'CDO Bespoke'!$C$8,,,TRUE,TRUE,FALSE,'CDO Bespoke'!$C$29:'CDO Bespoke'!$C$31,'CDO Bespoke'!$C$33),{5})),"")</f>
        <v/>
      </c>
      <c r="U214" s="493"/>
      <c r="V214" s="529"/>
      <c r="W214" s="530"/>
      <c r="X214" s="530"/>
      <c r="Y214" s="530"/>
      <c r="Z214" s="530"/>
      <c r="AA214" s="530"/>
      <c r="AB214" s="530"/>
      <c r="AC214" s="530"/>
      <c r="AD214" s="530"/>
      <c r="AE214" s="531"/>
      <c r="AF214" s="539"/>
    </row>
    <row r="215" spans="6:32" s="281" customFormat="1" ht="12" thickBot="1">
      <c r="F215" s="501" t="str">
        <f>IF('CDO Bespoke'!O216&lt;&gt;"",'CDO Bespoke'!O216,"")</f>
        <v/>
      </c>
      <c r="G215" s="502" t="str">
        <f>IF(F215&lt;&gt;"",ABS(MIN(-0.75*('CDO Bespoke'!Q216+'CDO Bespoke'!T216)+'CDO Bespoke'!T216,0)),"")</f>
        <v/>
      </c>
      <c r="H215" s="502" t="str">
        <f t="shared" si="12"/>
        <v/>
      </c>
      <c r="I215" s="502" t="str">
        <f t="shared" si="15"/>
        <v/>
      </c>
      <c r="J215" s="501" t="str">
        <f>IF('CDO Bespoke'!O216&lt;&gt;"",'CDO Bespoke'!O216,"")</f>
        <v/>
      </c>
      <c r="K215" s="502" t="str">
        <f>IF(J215&lt;&gt;"",ABS(MIN(-0.75*('CDO Bespoke'!K216+'CDO Bespoke'!T216)+'CDO Bespoke'!T216,0)),"")</f>
        <v/>
      </c>
      <c r="L215" s="502" t="str">
        <f t="shared" si="13"/>
        <v/>
      </c>
      <c r="M215" s="506" t="str">
        <f t="shared" si="14"/>
        <v/>
      </c>
      <c r="O215" s="511" t="str">
        <f>IF('CDO Bespoke'!C240&lt;&gt;"",'CDO Bespoke'!C240,"")</f>
        <v/>
      </c>
      <c r="P215" s="513" t="str" cm="1">
        <f t="array" ref="P215">IF($O215&lt;&gt;"",-TRANSPOSE(INDEX(getcds('CDO Bespoke'!$C240,P$13,'CDO Bespoke'!$G240/10000,'CDO Bespoke'!F240,'CDO Bespoke'!$L216,'CDO Bespoke'!$C$13,'CDO Bespoke'!$C$14,'CDO Bespoke'!$C$15,'CDO Bespoke'!$C$8,,,TRUE,TRUE,FALSE,'CDO Bespoke'!$C$29:'CDO Bespoke'!$C$31,'CDO Bespoke'!$C$33),{5})),"")</f>
        <v/>
      </c>
      <c r="Q215" s="542" t="str" cm="1">
        <f t="array" ref="Q215">IF($O215&lt;&gt;"",-TRANSPOSE(INDEX(getcds('CDO Bespoke'!$C240,Q$13,'CDO Bespoke'!$G240/10000,'CDO Bespoke'!G240,'CDO Bespoke'!$L216,'CDO Bespoke'!$C$13,'CDO Bespoke'!$C$14,'CDO Bespoke'!$C$15,'CDO Bespoke'!$C$8,,,TRUE,TRUE,FALSE,'CDO Bespoke'!$C$29:'CDO Bespoke'!$C$31,'CDO Bespoke'!$C$33),{5})),"")</f>
        <v/>
      </c>
      <c r="R215" s="542" t="str" cm="1">
        <f t="array" ref="R215">IF($O215&lt;&gt;"",-TRANSPOSE(INDEX(getcds('CDO Bespoke'!$C240,R$13,'CDO Bespoke'!$G240/10000,'CDO Bespoke'!H240,'CDO Bespoke'!$L216,'CDO Bespoke'!$C$13,'CDO Bespoke'!$C$14,'CDO Bespoke'!$C$15,'CDO Bespoke'!$C$8,,,TRUE,TRUE,FALSE,'CDO Bespoke'!$C$29:'CDO Bespoke'!$C$31,'CDO Bespoke'!$C$33),{5})),"")</f>
        <v/>
      </c>
      <c r="S215" s="542" t="str" cm="1">
        <f t="array" ref="S215">IF($O215&lt;&gt;"",-TRANSPOSE(INDEX(getcds('CDO Bespoke'!$C240,S$13,'CDO Bespoke'!$G240/10000,'CDO Bespoke'!I240,'CDO Bespoke'!$L216,'CDO Bespoke'!$C$13,'CDO Bespoke'!$C$14,'CDO Bespoke'!$C$15,'CDO Bespoke'!$C$8,,,TRUE,TRUE,FALSE,'CDO Bespoke'!$C$29:'CDO Bespoke'!$C$31,'CDO Bespoke'!$C$33),{5})),"")</f>
        <v/>
      </c>
      <c r="T215" s="514" t="str" cm="1">
        <f t="array" ref="T215">IF($O215&lt;&gt;"",-TRANSPOSE(INDEX(getcds('CDO Bespoke'!$C240,T$13,'CDO Bespoke'!$G240/10000,'CDO Bespoke'!J240,'CDO Bespoke'!$L216,'CDO Bespoke'!$C$13,'CDO Bespoke'!$C$14,'CDO Bespoke'!$C$15,'CDO Bespoke'!$C$8,,,TRUE,TRUE,FALSE,'CDO Bespoke'!$C$29:'CDO Bespoke'!$C$31,'CDO Bespoke'!$C$33),{5})),"")</f>
        <v/>
      </c>
      <c r="U215" s="493"/>
      <c r="V215" s="529"/>
      <c r="W215" s="530"/>
      <c r="X215" s="530"/>
      <c r="Y215" s="530"/>
      <c r="Z215" s="530"/>
      <c r="AA215" s="530"/>
      <c r="AB215" s="530"/>
      <c r="AC215" s="530"/>
      <c r="AD215" s="530"/>
      <c r="AE215" s="531"/>
      <c r="AF215" s="539"/>
    </row>
    <row r="216" spans="6:32" s="281" customFormat="1" ht="12" thickBot="1">
      <c r="F216" s="501" t="str">
        <f>IF('CDO Bespoke'!O217&lt;&gt;"",'CDO Bespoke'!O217,"")</f>
        <v/>
      </c>
      <c r="G216" s="502" t="str">
        <f>IF(F216&lt;&gt;"",ABS(MIN(-0.75*('CDO Bespoke'!Q217+'CDO Bespoke'!T217)+'CDO Bespoke'!T217,0)),"")</f>
        <v/>
      </c>
      <c r="H216" s="502" t="str">
        <f t="shared" si="12"/>
        <v/>
      </c>
      <c r="I216" s="502" t="str">
        <f t="shared" si="15"/>
        <v/>
      </c>
      <c r="J216" s="501" t="str">
        <f>IF('CDO Bespoke'!O217&lt;&gt;"",'CDO Bespoke'!O217,"")</f>
        <v/>
      </c>
      <c r="K216" s="502" t="str">
        <f>IF(J216&lt;&gt;"",ABS(MIN(-0.75*('CDO Bespoke'!K217+'CDO Bespoke'!T217)+'CDO Bespoke'!T217,0)),"")</f>
        <v/>
      </c>
      <c r="L216" s="502" t="str">
        <f t="shared" si="13"/>
        <v/>
      </c>
      <c r="M216" s="506" t="str">
        <f t="shared" si="14"/>
        <v/>
      </c>
      <c r="O216" s="511" t="str">
        <f>IF('CDO Bespoke'!C241&lt;&gt;"",'CDO Bespoke'!C241,"")</f>
        <v/>
      </c>
      <c r="P216" s="513" t="str" cm="1">
        <f t="array" ref="P216">IF($O216&lt;&gt;"",-TRANSPOSE(INDEX(getcds('CDO Bespoke'!$C241,P$13,'CDO Bespoke'!$G241/10000,'CDO Bespoke'!F241,'CDO Bespoke'!$L217,'CDO Bespoke'!$C$13,'CDO Bespoke'!$C$14,'CDO Bespoke'!$C$15,'CDO Bespoke'!$C$8,,,TRUE,TRUE,FALSE,'CDO Bespoke'!$C$29:'CDO Bespoke'!$C$31,'CDO Bespoke'!$C$33),{5})),"")</f>
        <v/>
      </c>
      <c r="Q216" s="542" t="str" cm="1">
        <f t="array" ref="Q216">IF($O216&lt;&gt;"",-TRANSPOSE(INDEX(getcds('CDO Bespoke'!$C241,Q$13,'CDO Bespoke'!$G241/10000,'CDO Bespoke'!G241,'CDO Bespoke'!$L217,'CDO Bespoke'!$C$13,'CDO Bespoke'!$C$14,'CDO Bespoke'!$C$15,'CDO Bespoke'!$C$8,,,TRUE,TRUE,FALSE,'CDO Bespoke'!$C$29:'CDO Bespoke'!$C$31,'CDO Bespoke'!$C$33),{5})),"")</f>
        <v/>
      </c>
      <c r="R216" s="542" t="str" cm="1">
        <f t="array" ref="R216">IF($O216&lt;&gt;"",-TRANSPOSE(INDEX(getcds('CDO Bespoke'!$C241,R$13,'CDO Bespoke'!$G241/10000,'CDO Bespoke'!H241,'CDO Bespoke'!$L217,'CDO Bespoke'!$C$13,'CDO Bespoke'!$C$14,'CDO Bespoke'!$C$15,'CDO Bespoke'!$C$8,,,TRUE,TRUE,FALSE,'CDO Bespoke'!$C$29:'CDO Bespoke'!$C$31,'CDO Bespoke'!$C$33),{5})),"")</f>
        <v/>
      </c>
      <c r="S216" s="542" t="str" cm="1">
        <f t="array" ref="S216">IF($O216&lt;&gt;"",-TRANSPOSE(INDEX(getcds('CDO Bespoke'!$C241,S$13,'CDO Bespoke'!$G241/10000,'CDO Bespoke'!I241,'CDO Bespoke'!$L217,'CDO Bespoke'!$C$13,'CDO Bespoke'!$C$14,'CDO Bespoke'!$C$15,'CDO Bespoke'!$C$8,,,TRUE,TRUE,FALSE,'CDO Bespoke'!$C$29:'CDO Bespoke'!$C$31,'CDO Bespoke'!$C$33),{5})),"")</f>
        <v/>
      </c>
      <c r="T216" s="514" t="str" cm="1">
        <f t="array" ref="T216">IF($O216&lt;&gt;"",-TRANSPOSE(INDEX(getcds('CDO Bespoke'!$C241,T$13,'CDO Bespoke'!$G241/10000,'CDO Bespoke'!J241,'CDO Bespoke'!$L217,'CDO Bespoke'!$C$13,'CDO Bespoke'!$C$14,'CDO Bespoke'!$C$15,'CDO Bespoke'!$C$8,,,TRUE,TRUE,FALSE,'CDO Bespoke'!$C$29:'CDO Bespoke'!$C$31,'CDO Bespoke'!$C$33),{5})),"")</f>
        <v/>
      </c>
      <c r="U216" s="493"/>
      <c r="V216" s="529"/>
      <c r="W216" s="530"/>
      <c r="X216" s="530"/>
      <c r="Y216" s="530"/>
      <c r="Z216" s="530"/>
      <c r="AA216" s="530"/>
      <c r="AB216" s="530"/>
      <c r="AC216" s="530"/>
      <c r="AD216" s="530"/>
      <c r="AE216" s="531"/>
      <c r="AF216" s="539"/>
    </row>
    <row r="217" spans="6:32" s="281" customFormat="1" ht="12" thickBot="1">
      <c r="F217" s="501" t="str">
        <f>IF('CDO Bespoke'!O218&lt;&gt;"",'CDO Bespoke'!O218,"")</f>
        <v/>
      </c>
      <c r="G217" s="502" t="str">
        <f>IF(F217&lt;&gt;"",ABS(MIN(-0.75*('CDO Bespoke'!Q218+'CDO Bespoke'!T218)+'CDO Bespoke'!T218,0)),"")</f>
        <v/>
      </c>
      <c r="H217" s="502" t="str">
        <f t="shared" si="12"/>
        <v/>
      </c>
      <c r="I217" s="502" t="str">
        <f t="shared" si="15"/>
        <v/>
      </c>
      <c r="J217" s="501" t="str">
        <f>IF('CDO Bespoke'!O218&lt;&gt;"",'CDO Bespoke'!O218,"")</f>
        <v/>
      </c>
      <c r="K217" s="502" t="str">
        <f>IF(J217&lt;&gt;"",ABS(MIN(-0.75*('CDO Bespoke'!K218+'CDO Bespoke'!T218)+'CDO Bespoke'!T218,0)),"")</f>
        <v/>
      </c>
      <c r="L217" s="502" t="str">
        <f t="shared" si="13"/>
        <v/>
      </c>
      <c r="M217" s="506" t="str">
        <f t="shared" si="14"/>
        <v/>
      </c>
      <c r="O217" s="511" t="str">
        <f>IF('CDO Bespoke'!C242&lt;&gt;"",'CDO Bespoke'!C242,"")</f>
        <v/>
      </c>
      <c r="P217" s="513" t="str" cm="1">
        <f t="array" ref="P217">IF($O217&lt;&gt;"",-TRANSPOSE(INDEX(getcds('CDO Bespoke'!$C242,P$13,'CDO Bespoke'!$G242/10000,'CDO Bespoke'!F242,'CDO Bespoke'!$L218,'CDO Bespoke'!$C$13,'CDO Bespoke'!$C$14,'CDO Bespoke'!$C$15,'CDO Bespoke'!$C$8,,,TRUE,TRUE,FALSE,'CDO Bespoke'!$C$29:'CDO Bespoke'!$C$31,'CDO Bespoke'!$C$33),{5})),"")</f>
        <v/>
      </c>
      <c r="Q217" s="542" t="str" cm="1">
        <f t="array" ref="Q217">IF($O217&lt;&gt;"",-TRANSPOSE(INDEX(getcds('CDO Bespoke'!$C242,Q$13,'CDO Bespoke'!$G242/10000,'CDO Bespoke'!G242,'CDO Bespoke'!$L218,'CDO Bespoke'!$C$13,'CDO Bespoke'!$C$14,'CDO Bespoke'!$C$15,'CDO Bespoke'!$C$8,,,TRUE,TRUE,FALSE,'CDO Bespoke'!$C$29:'CDO Bespoke'!$C$31,'CDO Bespoke'!$C$33),{5})),"")</f>
        <v/>
      </c>
      <c r="R217" s="542" t="str" cm="1">
        <f t="array" ref="R217">IF($O217&lt;&gt;"",-TRANSPOSE(INDEX(getcds('CDO Bespoke'!$C242,R$13,'CDO Bespoke'!$G242/10000,'CDO Bespoke'!H242,'CDO Bespoke'!$L218,'CDO Bespoke'!$C$13,'CDO Bespoke'!$C$14,'CDO Bespoke'!$C$15,'CDO Bespoke'!$C$8,,,TRUE,TRUE,FALSE,'CDO Bespoke'!$C$29:'CDO Bespoke'!$C$31,'CDO Bespoke'!$C$33),{5})),"")</f>
        <v/>
      </c>
      <c r="S217" s="542" t="str" cm="1">
        <f t="array" ref="S217">IF($O217&lt;&gt;"",-TRANSPOSE(INDEX(getcds('CDO Bespoke'!$C242,S$13,'CDO Bespoke'!$G242/10000,'CDO Bespoke'!I242,'CDO Bespoke'!$L218,'CDO Bespoke'!$C$13,'CDO Bespoke'!$C$14,'CDO Bespoke'!$C$15,'CDO Bespoke'!$C$8,,,TRUE,TRUE,FALSE,'CDO Bespoke'!$C$29:'CDO Bespoke'!$C$31,'CDO Bespoke'!$C$33),{5})),"")</f>
        <v/>
      </c>
      <c r="T217" s="514" t="str" cm="1">
        <f t="array" ref="T217">IF($O217&lt;&gt;"",-TRANSPOSE(INDEX(getcds('CDO Bespoke'!$C242,T$13,'CDO Bespoke'!$G242/10000,'CDO Bespoke'!J242,'CDO Bespoke'!$L218,'CDO Bespoke'!$C$13,'CDO Bespoke'!$C$14,'CDO Bespoke'!$C$15,'CDO Bespoke'!$C$8,,,TRUE,TRUE,FALSE,'CDO Bespoke'!$C$29:'CDO Bespoke'!$C$31,'CDO Bespoke'!$C$33),{5})),"")</f>
        <v/>
      </c>
      <c r="U217" s="493"/>
      <c r="V217" s="529"/>
      <c r="W217" s="530"/>
      <c r="X217" s="530"/>
      <c r="Y217" s="530"/>
      <c r="Z217" s="530"/>
      <c r="AA217" s="530"/>
      <c r="AB217" s="530"/>
      <c r="AC217" s="530"/>
      <c r="AD217" s="530"/>
      <c r="AE217" s="531"/>
      <c r="AF217" s="539"/>
    </row>
    <row r="218" spans="6:32" s="281" customFormat="1" ht="12" thickBot="1">
      <c r="F218" s="501" t="str">
        <f>IF('CDO Bespoke'!O219&lt;&gt;"",'CDO Bespoke'!O219,"")</f>
        <v/>
      </c>
      <c r="G218" s="502" t="str">
        <f>IF(F218&lt;&gt;"",ABS(MIN(-0.75*('CDO Bespoke'!Q219+'CDO Bespoke'!T219)+'CDO Bespoke'!T219,0)),"")</f>
        <v/>
      </c>
      <c r="H218" s="502" t="str">
        <f t="shared" si="12"/>
        <v/>
      </c>
      <c r="I218" s="502" t="str">
        <f t="shared" si="15"/>
        <v/>
      </c>
      <c r="J218" s="501" t="str">
        <f>IF('CDO Bespoke'!O219&lt;&gt;"",'CDO Bespoke'!O219,"")</f>
        <v/>
      </c>
      <c r="K218" s="502" t="str">
        <f>IF(J218&lt;&gt;"",ABS(MIN(-0.75*('CDO Bespoke'!K219+'CDO Bespoke'!T219)+'CDO Bespoke'!T219,0)),"")</f>
        <v/>
      </c>
      <c r="L218" s="502" t="str">
        <f t="shared" si="13"/>
        <v/>
      </c>
      <c r="M218" s="506" t="str">
        <f t="shared" si="14"/>
        <v/>
      </c>
      <c r="O218" s="511" t="str">
        <f>IF('CDO Bespoke'!C243&lt;&gt;"",'CDO Bespoke'!C243,"")</f>
        <v/>
      </c>
      <c r="P218" s="513" t="str" cm="1">
        <f t="array" ref="P218">IF($O218&lt;&gt;"",-TRANSPOSE(INDEX(getcds('CDO Bespoke'!$C243,P$13,'CDO Bespoke'!$G243/10000,'CDO Bespoke'!F243,'CDO Bespoke'!$L219,'CDO Bespoke'!$C$13,'CDO Bespoke'!$C$14,'CDO Bespoke'!$C$15,'CDO Bespoke'!$C$8,,,TRUE,TRUE,FALSE,'CDO Bespoke'!$C$29:'CDO Bespoke'!$C$31,'CDO Bespoke'!$C$33),{5})),"")</f>
        <v/>
      </c>
      <c r="Q218" s="542" t="str" cm="1">
        <f t="array" ref="Q218">IF($O218&lt;&gt;"",-TRANSPOSE(INDEX(getcds('CDO Bespoke'!$C243,Q$13,'CDO Bespoke'!$G243/10000,'CDO Bespoke'!G243,'CDO Bespoke'!$L219,'CDO Bespoke'!$C$13,'CDO Bespoke'!$C$14,'CDO Bespoke'!$C$15,'CDO Bespoke'!$C$8,,,TRUE,TRUE,FALSE,'CDO Bespoke'!$C$29:'CDO Bespoke'!$C$31,'CDO Bespoke'!$C$33),{5})),"")</f>
        <v/>
      </c>
      <c r="R218" s="542" t="str" cm="1">
        <f t="array" ref="R218">IF($O218&lt;&gt;"",-TRANSPOSE(INDEX(getcds('CDO Bespoke'!$C243,R$13,'CDO Bespoke'!$G243/10000,'CDO Bespoke'!H243,'CDO Bespoke'!$L219,'CDO Bespoke'!$C$13,'CDO Bespoke'!$C$14,'CDO Bespoke'!$C$15,'CDO Bespoke'!$C$8,,,TRUE,TRUE,FALSE,'CDO Bespoke'!$C$29:'CDO Bespoke'!$C$31,'CDO Bespoke'!$C$33),{5})),"")</f>
        <v/>
      </c>
      <c r="S218" s="542" t="str" cm="1">
        <f t="array" ref="S218">IF($O218&lt;&gt;"",-TRANSPOSE(INDEX(getcds('CDO Bespoke'!$C243,S$13,'CDO Bespoke'!$G243/10000,'CDO Bespoke'!I243,'CDO Bespoke'!$L219,'CDO Bespoke'!$C$13,'CDO Bespoke'!$C$14,'CDO Bespoke'!$C$15,'CDO Bespoke'!$C$8,,,TRUE,TRUE,FALSE,'CDO Bespoke'!$C$29:'CDO Bespoke'!$C$31,'CDO Bespoke'!$C$33),{5})),"")</f>
        <v/>
      </c>
      <c r="T218" s="514" t="str" cm="1">
        <f t="array" ref="T218">IF($O218&lt;&gt;"",-TRANSPOSE(INDEX(getcds('CDO Bespoke'!$C243,T$13,'CDO Bespoke'!$G243/10000,'CDO Bespoke'!J243,'CDO Bespoke'!$L219,'CDO Bespoke'!$C$13,'CDO Bespoke'!$C$14,'CDO Bespoke'!$C$15,'CDO Bespoke'!$C$8,,,TRUE,TRUE,FALSE,'CDO Bespoke'!$C$29:'CDO Bespoke'!$C$31,'CDO Bespoke'!$C$33),{5})),"")</f>
        <v/>
      </c>
      <c r="U218" s="493"/>
      <c r="V218" s="529"/>
      <c r="W218" s="530"/>
      <c r="X218" s="530"/>
      <c r="Y218" s="530"/>
      <c r="Z218" s="530"/>
      <c r="AA218" s="530"/>
      <c r="AB218" s="530"/>
      <c r="AC218" s="530"/>
      <c r="AD218" s="530"/>
      <c r="AE218" s="531"/>
      <c r="AF218" s="539"/>
    </row>
    <row r="219" spans="6:32" s="281" customFormat="1" ht="12" thickBot="1">
      <c r="F219" s="501" t="str">
        <f>IF('CDO Bespoke'!O220&lt;&gt;"",'CDO Bespoke'!O220,"")</f>
        <v/>
      </c>
      <c r="G219" s="502" t="str">
        <f>IF(F219&lt;&gt;"",ABS(MIN(-0.75*('CDO Bespoke'!Q220+'CDO Bespoke'!T220)+'CDO Bespoke'!T220,0)),"")</f>
        <v/>
      </c>
      <c r="H219" s="502" t="str">
        <f t="shared" si="12"/>
        <v/>
      </c>
      <c r="I219" s="502" t="str">
        <f t="shared" si="15"/>
        <v/>
      </c>
      <c r="J219" s="501" t="str">
        <f>IF('CDO Bespoke'!O220&lt;&gt;"",'CDO Bespoke'!O220,"")</f>
        <v/>
      </c>
      <c r="K219" s="502" t="str">
        <f>IF(J219&lt;&gt;"",ABS(MIN(-0.75*('CDO Bespoke'!K220+'CDO Bespoke'!T220)+'CDO Bespoke'!T220,0)),"")</f>
        <v/>
      </c>
      <c r="L219" s="502" t="str">
        <f t="shared" si="13"/>
        <v/>
      </c>
      <c r="M219" s="506" t="str">
        <f t="shared" si="14"/>
        <v/>
      </c>
      <c r="O219" s="511" t="str">
        <f>IF('CDO Bespoke'!C244&lt;&gt;"",'CDO Bespoke'!C244,"")</f>
        <v/>
      </c>
      <c r="P219" s="513" t="str" cm="1">
        <f t="array" ref="P219">IF($O219&lt;&gt;"",-TRANSPOSE(INDEX(getcds('CDO Bespoke'!$C244,P$13,'CDO Bespoke'!$G244/10000,'CDO Bespoke'!F244,'CDO Bespoke'!$L220,'CDO Bespoke'!$C$13,'CDO Bespoke'!$C$14,'CDO Bespoke'!$C$15,'CDO Bespoke'!$C$8,,,TRUE,TRUE,FALSE,'CDO Bespoke'!$C$29:'CDO Bespoke'!$C$31,'CDO Bespoke'!$C$33),{5})),"")</f>
        <v/>
      </c>
      <c r="Q219" s="542" t="str" cm="1">
        <f t="array" ref="Q219">IF($O219&lt;&gt;"",-TRANSPOSE(INDEX(getcds('CDO Bespoke'!$C244,Q$13,'CDO Bespoke'!$G244/10000,'CDO Bespoke'!G244,'CDO Bespoke'!$L220,'CDO Bespoke'!$C$13,'CDO Bespoke'!$C$14,'CDO Bespoke'!$C$15,'CDO Bespoke'!$C$8,,,TRUE,TRUE,FALSE,'CDO Bespoke'!$C$29:'CDO Bespoke'!$C$31,'CDO Bespoke'!$C$33),{5})),"")</f>
        <v/>
      </c>
      <c r="R219" s="542" t="str" cm="1">
        <f t="array" ref="R219">IF($O219&lt;&gt;"",-TRANSPOSE(INDEX(getcds('CDO Bespoke'!$C244,R$13,'CDO Bespoke'!$G244/10000,'CDO Bespoke'!H244,'CDO Bespoke'!$L220,'CDO Bespoke'!$C$13,'CDO Bespoke'!$C$14,'CDO Bespoke'!$C$15,'CDO Bespoke'!$C$8,,,TRUE,TRUE,FALSE,'CDO Bespoke'!$C$29:'CDO Bespoke'!$C$31,'CDO Bespoke'!$C$33),{5})),"")</f>
        <v/>
      </c>
      <c r="S219" s="542" t="str" cm="1">
        <f t="array" ref="S219">IF($O219&lt;&gt;"",-TRANSPOSE(INDEX(getcds('CDO Bespoke'!$C244,S$13,'CDO Bespoke'!$G244/10000,'CDO Bespoke'!I244,'CDO Bespoke'!$L220,'CDO Bespoke'!$C$13,'CDO Bespoke'!$C$14,'CDO Bespoke'!$C$15,'CDO Bespoke'!$C$8,,,TRUE,TRUE,FALSE,'CDO Bespoke'!$C$29:'CDO Bespoke'!$C$31,'CDO Bespoke'!$C$33),{5})),"")</f>
        <v/>
      </c>
      <c r="T219" s="514" t="str" cm="1">
        <f t="array" ref="T219">IF($O219&lt;&gt;"",-TRANSPOSE(INDEX(getcds('CDO Bespoke'!$C244,T$13,'CDO Bespoke'!$G244/10000,'CDO Bespoke'!J244,'CDO Bespoke'!$L220,'CDO Bespoke'!$C$13,'CDO Bespoke'!$C$14,'CDO Bespoke'!$C$15,'CDO Bespoke'!$C$8,,,TRUE,TRUE,FALSE,'CDO Bespoke'!$C$29:'CDO Bespoke'!$C$31,'CDO Bespoke'!$C$33),{5})),"")</f>
        <v/>
      </c>
      <c r="U219" s="493"/>
      <c r="V219" s="529"/>
      <c r="W219" s="530"/>
      <c r="X219" s="530"/>
      <c r="Y219" s="530"/>
      <c r="Z219" s="530"/>
      <c r="AA219" s="530"/>
      <c r="AB219" s="530"/>
      <c r="AC219" s="530"/>
      <c r="AD219" s="530"/>
      <c r="AE219" s="531"/>
      <c r="AF219" s="539"/>
    </row>
    <row r="220" spans="6:32" s="281" customFormat="1" ht="12" thickBot="1">
      <c r="F220" s="501" t="str">
        <f>IF('CDO Bespoke'!O221&lt;&gt;"",'CDO Bespoke'!O221,"")</f>
        <v/>
      </c>
      <c r="G220" s="502" t="str">
        <f>IF(F220&lt;&gt;"",ABS(MIN(-0.75*('CDO Bespoke'!Q221+'CDO Bespoke'!T221)+'CDO Bespoke'!T221,0)),"")</f>
        <v/>
      </c>
      <c r="H220" s="502" t="str">
        <f t="shared" si="12"/>
        <v/>
      </c>
      <c r="I220" s="502" t="str">
        <f t="shared" si="15"/>
        <v/>
      </c>
      <c r="J220" s="501" t="str">
        <f>IF('CDO Bespoke'!O221&lt;&gt;"",'CDO Bespoke'!O221,"")</f>
        <v/>
      </c>
      <c r="K220" s="502" t="str">
        <f>IF(J220&lt;&gt;"",ABS(MIN(-0.75*('CDO Bespoke'!K221+'CDO Bespoke'!T221)+'CDO Bespoke'!T221,0)),"")</f>
        <v/>
      </c>
      <c r="L220" s="502" t="str">
        <f t="shared" si="13"/>
        <v/>
      </c>
      <c r="M220" s="506" t="str">
        <f t="shared" si="14"/>
        <v/>
      </c>
      <c r="O220" s="511" t="str">
        <f>IF('CDO Bespoke'!C245&lt;&gt;"",'CDO Bespoke'!C245,"")</f>
        <v/>
      </c>
      <c r="P220" s="513" t="str" cm="1">
        <f t="array" ref="P220">IF($O220&lt;&gt;"",-TRANSPOSE(INDEX(getcds('CDO Bespoke'!$C245,P$13,'CDO Bespoke'!$G245/10000,'CDO Bespoke'!F245,'CDO Bespoke'!$L221,'CDO Bespoke'!$C$13,'CDO Bespoke'!$C$14,'CDO Bespoke'!$C$15,'CDO Bespoke'!$C$8,,,TRUE,TRUE,FALSE,'CDO Bespoke'!$C$29:'CDO Bespoke'!$C$31,'CDO Bespoke'!$C$33),{5})),"")</f>
        <v/>
      </c>
      <c r="Q220" s="542" t="str" cm="1">
        <f t="array" ref="Q220">IF($O220&lt;&gt;"",-TRANSPOSE(INDEX(getcds('CDO Bespoke'!$C245,Q$13,'CDO Bespoke'!$G245/10000,'CDO Bespoke'!G245,'CDO Bespoke'!$L221,'CDO Bespoke'!$C$13,'CDO Bespoke'!$C$14,'CDO Bespoke'!$C$15,'CDO Bespoke'!$C$8,,,TRUE,TRUE,FALSE,'CDO Bespoke'!$C$29:'CDO Bespoke'!$C$31,'CDO Bespoke'!$C$33),{5})),"")</f>
        <v/>
      </c>
      <c r="R220" s="542" t="str" cm="1">
        <f t="array" ref="R220">IF($O220&lt;&gt;"",-TRANSPOSE(INDEX(getcds('CDO Bespoke'!$C245,R$13,'CDO Bespoke'!$G245/10000,'CDO Bespoke'!H245,'CDO Bespoke'!$L221,'CDO Bespoke'!$C$13,'CDO Bespoke'!$C$14,'CDO Bespoke'!$C$15,'CDO Bespoke'!$C$8,,,TRUE,TRUE,FALSE,'CDO Bespoke'!$C$29:'CDO Bespoke'!$C$31,'CDO Bespoke'!$C$33),{5})),"")</f>
        <v/>
      </c>
      <c r="S220" s="542" t="str" cm="1">
        <f t="array" ref="S220">IF($O220&lt;&gt;"",-TRANSPOSE(INDEX(getcds('CDO Bespoke'!$C245,S$13,'CDO Bespoke'!$G245/10000,'CDO Bespoke'!I245,'CDO Bespoke'!$L221,'CDO Bespoke'!$C$13,'CDO Bespoke'!$C$14,'CDO Bespoke'!$C$15,'CDO Bespoke'!$C$8,,,TRUE,TRUE,FALSE,'CDO Bespoke'!$C$29:'CDO Bespoke'!$C$31,'CDO Bespoke'!$C$33),{5})),"")</f>
        <v/>
      </c>
      <c r="T220" s="514" t="str" cm="1">
        <f t="array" ref="T220">IF($O220&lt;&gt;"",-TRANSPOSE(INDEX(getcds('CDO Bespoke'!$C245,T$13,'CDO Bespoke'!$G245/10000,'CDO Bespoke'!J245,'CDO Bespoke'!$L221,'CDO Bespoke'!$C$13,'CDO Bespoke'!$C$14,'CDO Bespoke'!$C$15,'CDO Bespoke'!$C$8,,,TRUE,TRUE,FALSE,'CDO Bespoke'!$C$29:'CDO Bespoke'!$C$31,'CDO Bespoke'!$C$33),{5})),"")</f>
        <v/>
      </c>
      <c r="U220" s="493"/>
      <c r="V220" s="529"/>
      <c r="W220" s="530"/>
      <c r="X220" s="530"/>
      <c r="Y220" s="530"/>
      <c r="Z220" s="530"/>
      <c r="AA220" s="530"/>
      <c r="AB220" s="530"/>
      <c r="AC220" s="530"/>
      <c r="AD220" s="530"/>
      <c r="AE220" s="531"/>
      <c r="AF220" s="539"/>
    </row>
    <row r="221" spans="6:32" s="281" customFormat="1" ht="12" thickBot="1">
      <c r="F221" s="501" t="str">
        <f>IF('CDO Bespoke'!O222&lt;&gt;"",'CDO Bespoke'!O222,"")</f>
        <v/>
      </c>
      <c r="G221" s="502" t="str">
        <f>IF(F221&lt;&gt;"",ABS(MIN(-0.75*('CDO Bespoke'!Q222+'CDO Bespoke'!T222)+'CDO Bespoke'!T222,0)),"")</f>
        <v/>
      </c>
      <c r="H221" s="502" t="str">
        <f t="shared" si="12"/>
        <v/>
      </c>
      <c r="I221" s="502" t="str">
        <f t="shared" si="15"/>
        <v/>
      </c>
      <c r="J221" s="501" t="str">
        <f>IF('CDO Bespoke'!O222&lt;&gt;"",'CDO Bespoke'!O222,"")</f>
        <v/>
      </c>
      <c r="K221" s="502" t="str">
        <f>IF(J221&lt;&gt;"",ABS(MIN(-0.75*('CDO Bespoke'!K222+'CDO Bespoke'!T222)+'CDO Bespoke'!T222,0)),"")</f>
        <v/>
      </c>
      <c r="L221" s="502" t="str">
        <f t="shared" si="13"/>
        <v/>
      </c>
      <c r="M221" s="506" t="str">
        <f t="shared" si="14"/>
        <v/>
      </c>
      <c r="O221" s="511" t="str">
        <f>IF('CDO Bespoke'!C246&lt;&gt;"",'CDO Bespoke'!C246,"")</f>
        <v/>
      </c>
      <c r="P221" s="513" t="str" cm="1">
        <f t="array" ref="P221">IF($O221&lt;&gt;"",-TRANSPOSE(INDEX(getcds('CDO Bespoke'!$C246,P$13,'CDO Bespoke'!$G246/10000,'CDO Bespoke'!F246,'CDO Bespoke'!$L222,'CDO Bespoke'!$C$13,'CDO Bespoke'!$C$14,'CDO Bespoke'!$C$15,'CDO Bespoke'!$C$8,,,TRUE,TRUE,FALSE,'CDO Bespoke'!$C$29:'CDO Bespoke'!$C$31,'CDO Bespoke'!$C$33),{5})),"")</f>
        <v/>
      </c>
      <c r="Q221" s="542" t="str" cm="1">
        <f t="array" ref="Q221">IF($O221&lt;&gt;"",-TRANSPOSE(INDEX(getcds('CDO Bespoke'!$C246,Q$13,'CDO Bespoke'!$G246/10000,'CDO Bespoke'!G246,'CDO Bespoke'!$L222,'CDO Bespoke'!$C$13,'CDO Bespoke'!$C$14,'CDO Bespoke'!$C$15,'CDO Bespoke'!$C$8,,,TRUE,TRUE,FALSE,'CDO Bespoke'!$C$29:'CDO Bespoke'!$C$31,'CDO Bespoke'!$C$33),{5})),"")</f>
        <v/>
      </c>
      <c r="R221" s="542" t="str" cm="1">
        <f t="array" ref="R221">IF($O221&lt;&gt;"",-TRANSPOSE(INDEX(getcds('CDO Bespoke'!$C246,R$13,'CDO Bespoke'!$G246/10000,'CDO Bespoke'!H246,'CDO Bespoke'!$L222,'CDO Bespoke'!$C$13,'CDO Bespoke'!$C$14,'CDO Bespoke'!$C$15,'CDO Bespoke'!$C$8,,,TRUE,TRUE,FALSE,'CDO Bespoke'!$C$29:'CDO Bespoke'!$C$31,'CDO Bespoke'!$C$33),{5})),"")</f>
        <v/>
      </c>
      <c r="S221" s="542" t="str" cm="1">
        <f t="array" ref="S221">IF($O221&lt;&gt;"",-TRANSPOSE(INDEX(getcds('CDO Bespoke'!$C246,S$13,'CDO Bespoke'!$G246/10000,'CDO Bespoke'!I246,'CDO Bespoke'!$L222,'CDO Bespoke'!$C$13,'CDO Bespoke'!$C$14,'CDO Bespoke'!$C$15,'CDO Bespoke'!$C$8,,,TRUE,TRUE,FALSE,'CDO Bespoke'!$C$29:'CDO Bespoke'!$C$31,'CDO Bespoke'!$C$33),{5})),"")</f>
        <v/>
      </c>
      <c r="T221" s="514" t="str" cm="1">
        <f t="array" ref="T221">IF($O221&lt;&gt;"",-TRANSPOSE(INDEX(getcds('CDO Bespoke'!$C246,T$13,'CDO Bespoke'!$G246/10000,'CDO Bespoke'!J246,'CDO Bespoke'!$L222,'CDO Bespoke'!$C$13,'CDO Bespoke'!$C$14,'CDO Bespoke'!$C$15,'CDO Bespoke'!$C$8,,,TRUE,TRUE,FALSE,'CDO Bespoke'!$C$29:'CDO Bespoke'!$C$31,'CDO Bespoke'!$C$33),{5})),"")</f>
        <v/>
      </c>
      <c r="U221" s="493"/>
      <c r="V221" s="529"/>
      <c r="W221" s="530"/>
      <c r="X221" s="530"/>
      <c r="Y221" s="530"/>
      <c r="Z221" s="530"/>
      <c r="AA221" s="530"/>
      <c r="AB221" s="530"/>
      <c r="AC221" s="530"/>
      <c r="AD221" s="530"/>
      <c r="AE221" s="531"/>
      <c r="AF221" s="539"/>
    </row>
    <row r="222" spans="6:32" s="281" customFormat="1" ht="12" thickBot="1">
      <c r="F222" s="501" t="str">
        <f>IF('CDO Bespoke'!O223&lt;&gt;"",'CDO Bespoke'!O223,"")</f>
        <v/>
      </c>
      <c r="G222" s="502" t="str">
        <f>IF(F222&lt;&gt;"",ABS(MIN(-0.75*('CDO Bespoke'!Q223+'CDO Bespoke'!T223)+'CDO Bespoke'!T223,0)),"")</f>
        <v/>
      </c>
      <c r="H222" s="502" t="str">
        <f t="shared" si="12"/>
        <v/>
      </c>
      <c r="I222" s="502" t="str">
        <f t="shared" si="15"/>
        <v/>
      </c>
      <c r="J222" s="501" t="str">
        <f>IF('CDO Bespoke'!O223&lt;&gt;"",'CDO Bespoke'!O223,"")</f>
        <v/>
      </c>
      <c r="K222" s="502" t="str">
        <f>IF(J222&lt;&gt;"",ABS(MIN(-0.75*('CDO Bespoke'!K223+'CDO Bespoke'!T223)+'CDO Bespoke'!T223,0)),"")</f>
        <v/>
      </c>
      <c r="L222" s="502" t="str">
        <f t="shared" si="13"/>
        <v/>
      </c>
      <c r="M222" s="506" t="str">
        <f t="shared" si="14"/>
        <v/>
      </c>
      <c r="O222" s="511" t="str">
        <f>IF('CDO Bespoke'!C247&lt;&gt;"",'CDO Bespoke'!C247,"")</f>
        <v/>
      </c>
      <c r="P222" s="513" t="str" cm="1">
        <f t="array" ref="P222">IF($O222&lt;&gt;"",-TRANSPOSE(INDEX(getcds('CDO Bespoke'!$C247,P$13,'CDO Bespoke'!$G247/10000,'CDO Bespoke'!F247,'CDO Bespoke'!$L223,'CDO Bespoke'!$C$13,'CDO Bespoke'!$C$14,'CDO Bespoke'!$C$15,'CDO Bespoke'!$C$8,,,TRUE,TRUE,FALSE,'CDO Bespoke'!$C$29:'CDO Bespoke'!$C$31,'CDO Bespoke'!$C$33),{5})),"")</f>
        <v/>
      </c>
      <c r="Q222" s="542" t="str" cm="1">
        <f t="array" ref="Q222">IF($O222&lt;&gt;"",-TRANSPOSE(INDEX(getcds('CDO Bespoke'!$C247,Q$13,'CDO Bespoke'!$G247/10000,'CDO Bespoke'!G247,'CDO Bespoke'!$L223,'CDO Bespoke'!$C$13,'CDO Bespoke'!$C$14,'CDO Bespoke'!$C$15,'CDO Bespoke'!$C$8,,,TRUE,TRUE,FALSE,'CDO Bespoke'!$C$29:'CDO Bespoke'!$C$31,'CDO Bespoke'!$C$33),{5})),"")</f>
        <v/>
      </c>
      <c r="R222" s="542" t="str" cm="1">
        <f t="array" ref="R222">IF($O222&lt;&gt;"",-TRANSPOSE(INDEX(getcds('CDO Bespoke'!$C247,R$13,'CDO Bespoke'!$G247/10000,'CDO Bespoke'!H247,'CDO Bespoke'!$L223,'CDO Bespoke'!$C$13,'CDO Bespoke'!$C$14,'CDO Bespoke'!$C$15,'CDO Bespoke'!$C$8,,,TRUE,TRUE,FALSE,'CDO Bespoke'!$C$29:'CDO Bespoke'!$C$31,'CDO Bespoke'!$C$33),{5})),"")</f>
        <v/>
      </c>
      <c r="S222" s="542" t="str" cm="1">
        <f t="array" ref="S222">IF($O222&lt;&gt;"",-TRANSPOSE(INDEX(getcds('CDO Bespoke'!$C247,S$13,'CDO Bespoke'!$G247/10000,'CDO Bespoke'!I247,'CDO Bespoke'!$L223,'CDO Bespoke'!$C$13,'CDO Bespoke'!$C$14,'CDO Bespoke'!$C$15,'CDO Bespoke'!$C$8,,,TRUE,TRUE,FALSE,'CDO Bespoke'!$C$29:'CDO Bespoke'!$C$31,'CDO Bespoke'!$C$33),{5})),"")</f>
        <v/>
      </c>
      <c r="T222" s="514" t="str" cm="1">
        <f t="array" ref="T222">IF($O222&lt;&gt;"",-TRANSPOSE(INDEX(getcds('CDO Bespoke'!$C247,T$13,'CDO Bespoke'!$G247/10000,'CDO Bespoke'!J247,'CDO Bespoke'!$L223,'CDO Bespoke'!$C$13,'CDO Bespoke'!$C$14,'CDO Bespoke'!$C$15,'CDO Bespoke'!$C$8,,,TRUE,TRUE,FALSE,'CDO Bespoke'!$C$29:'CDO Bespoke'!$C$31,'CDO Bespoke'!$C$33),{5})),"")</f>
        <v/>
      </c>
      <c r="U222" s="493"/>
      <c r="V222" s="529"/>
      <c r="W222" s="530"/>
      <c r="X222" s="530"/>
      <c r="Y222" s="530"/>
      <c r="Z222" s="530"/>
      <c r="AA222" s="530"/>
      <c r="AB222" s="530"/>
      <c r="AC222" s="530"/>
      <c r="AD222" s="530"/>
      <c r="AE222" s="531"/>
      <c r="AF222" s="539"/>
    </row>
    <row r="223" spans="6:32" s="281" customFormat="1" ht="12" thickBot="1">
      <c r="F223" s="501" t="str">
        <f>IF('CDO Bespoke'!O224&lt;&gt;"",'CDO Bespoke'!O224,"")</f>
        <v/>
      </c>
      <c r="G223" s="502" t="str">
        <f>IF(F223&lt;&gt;"",ABS(MIN(-0.75*('CDO Bespoke'!Q224+'CDO Bespoke'!T224)+'CDO Bespoke'!T224,0)),"")</f>
        <v/>
      </c>
      <c r="H223" s="502" t="str">
        <f t="shared" si="12"/>
        <v/>
      </c>
      <c r="I223" s="502" t="str">
        <f t="shared" si="15"/>
        <v/>
      </c>
      <c r="J223" s="501" t="str">
        <f>IF('CDO Bespoke'!O224&lt;&gt;"",'CDO Bespoke'!O224,"")</f>
        <v/>
      </c>
      <c r="K223" s="502" t="str">
        <f>IF(J223&lt;&gt;"",ABS(MIN(-0.75*('CDO Bespoke'!K224+'CDO Bespoke'!T224)+'CDO Bespoke'!T224,0)),"")</f>
        <v/>
      </c>
      <c r="L223" s="502" t="str">
        <f t="shared" si="13"/>
        <v/>
      </c>
      <c r="M223" s="506" t="str">
        <f t="shared" si="14"/>
        <v/>
      </c>
      <c r="O223" s="511" t="str">
        <f>IF('CDO Bespoke'!C248&lt;&gt;"",'CDO Bespoke'!C248,"")</f>
        <v/>
      </c>
      <c r="P223" s="513" t="str" cm="1">
        <f t="array" ref="P223">IF($O223&lt;&gt;"",-TRANSPOSE(INDEX(getcds('CDO Bespoke'!$C248,P$13,'CDO Bespoke'!$G248/10000,'CDO Bespoke'!F248,'CDO Bespoke'!$L224,'CDO Bespoke'!$C$13,'CDO Bespoke'!$C$14,'CDO Bespoke'!$C$15,'CDO Bespoke'!$C$8,,,TRUE,TRUE,FALSE,'CDO Bespoke'!$C$29:'CDO Bespoke'!$C$31,'CDO Bespoke'!$C$33),{5})),"")</f>
        <v/>
      </c>
      <c r="Q223" s="542" t="str" cm="1">
        <f t="array" ref="Q223">IF($O223&lt;&gt;"",-TRANSPOSE(INDEX(getcds('CDO Bespoke'!$C248,Q$13,'CDO Bespoke'!$G248/10000,'CDO Bespoke'!G248,'CDO Bespoke'!$L224,'CDO Bespoke'!$C$13,'CDO Bespoke'!$C$14,'CDO Bespoke'!$C$15,'CDO Bespoke'!$C$8,,,TRUE,TRUE,FALSE,'CDO Bespoke'!$C$29:'CDO Bespoke'!$C$31,'CDO Bespoke'!$C$33),{5})),"")</f>
        <v/>
      </c>
      <c r="R223" s="542" t="str" cm="1">
        <f t="array" ref="R223">IF($O223&lt;&gt;"",-TRANSPOSE(INDEX(getcds('CDO Bespoke'!$C248,R$13,'CDO Bespoke'!$G248/10000,'CDO Bespoke'!H248,'CDO Bespoke'!$L224,'CDO Bespoke'!$C$13,'CDO Bespoke'!$C$14,'CDO Bespoke'!$C$15,'CDO Bespoke'!$C$8,,,TRUE,TRUE,FALSE,'CDO Bespoke'!$C$29:'CDO Bespoke'!$C$31,'CDO Bespoke'!$C$33),{5})),"")</f>
        <v/>
      </c>
      <c r="S223" s="542" t="str" cm="1">
        <f t="array" ref="S223">IF($O223&lt;&gt;"",-TRANSPOSE(INDEX(getcds('CDO Bespoke'!$C248,S$13,'CDO Bespoke'!$G248/10000,'CDO Bespoke'!I248,'CDO Bespoke'!$L224,'CDO Bespoke'!$C$13,'CDO Bespoke'!$C$14,'CDO Bespoke'!$C$15,'CDO Bespoke'!$C$8,,,TRUE,TRUE,FALSE,'CDO Bespoke'!$C$29:'CDO Bespoke'!$C$31,'CDO Bespoke'!$C$33),{5})),"")</f>
        <v/>
      </c>
      <c r="T223" s="514" t="str" cm="1">
        <f t="array" ref="T223">IF($O223&lt;&gt;"",-TRANSPOSE(INDEX(getcds('CDO Bespoke'!$C248,T$13,'CDO Bespoke'!$G248/10000,'CDO Bespoke'!J248,'CDO Bespoke'!$L224,'CDO Bespoke'!$C$13,'CDO Bespoke'!$C$14,'CDO Bespoke'!$C$15,'CDO Bespoke'!$C$8,,,TRUE,TRUE,FALSE,'CDO Bespoke'!$C$29:'CDO Bespoke'!$C$31,'CDO Bespoke'!$C$33),{5})),"")</f>
        <v/>
      </c>
      <c r="U223" s="493"/>
      <c r="V223" s="529"/>
      <c r="W223" s="530"/>
      <c r="X223" s="530"/>
      <c r="Y223" s="530"/>
      <c r="Z223" s="530"/>
      <c r="AA223" s="530"/>
      <c r="AB223" s="530"/>
      <c r="AC223" s="530"/>
      <c r="AD223" s="530"/>
      <c r="AE223" s="531"/>
      <c r="AF223" s="539"/>
    </row>
    <row r="224" spans="6:32" s="281" customFormat="1" ht="12" thickBot="1">
      <c r="F224" s="501" t="str">
        <f>IF('CDO Bespoke'!O225&lt;&gt;"",'CDO Bespoke'!O225,"")</f>
        <v/>
      </c>
      <c r="G224" s="502" t="str">
        <f>IF(F224&lt;&gt;"",ABS(MIN(-0.75*('CDO Bespoke'!Q225+'CDO Bespoke'!T225)+'CDO Bespoke'!T225,0)),"")</f>
        <v/>
      </c>
      <c r="H224" s="502" t="str">
        <f t="shared" si="12"/>
        <v/>
      </c>
      <c r="I224" s="502" t="str">
        <f t="shared" si="15"/>
        <v/>
      </c>
      <c r="J224" s="501" t="str">
        <f>IF('CDO Bespoke'!O225&lt;&gt;"",'CDO Bespoke'!O225,"")</f>
        <v/>
      </c>
      <c r="K224" s="502" t="str">
        <f>IF(J224&lt;&gt;"",ABS(MIN(-0.75*('CDO Bespoke'!K225+'CDO Bespoke'!T225)+'CDO Bespoke'!T225,0)),"")</f>
        <v/>
      </c>
      <c r="L224" s="502" t="str">
        <f t="shared" si="13"/>
        <v/>
      </c>
      <c r="M224" s="506" t="str">
        <f t="shared" si="14"/>
        <v/>
      </c>
      <c r="O224" s="511" t="str">
        <f>IF('CDO Bespoke'!C249&lt;&gt;"",'CDO Bespoke'!C249,"")</f>
        <v/>
      </c>
      <c r="P224" s="513" t="str" cm="1">
        <f t="array" ref="P224">IF($O224&lt;&gt;"",-TRANSPOSE(INDEX(getcds('CDO Bespoke'!$C249,P$13,'CDO Bespoke'!$G249/10000,'CDO Bespoke'!F249,'CDO Bespoke'!$L225,'CDO Bespoke'!$C$13,'CDO Bespoke'!$C$14,'CDO Bespoke'!$C$15,'CDO Bespoke'!$C$8,,,TRUE,TRUE,FALSE,'CDO Bespoke'!$C$29:'CDO Bespoke'!$C$31,'CDO Bespoke'!$C$33),{5})),"")</f>
        <v/>
      </c>
      <c r="Q224" s="542" t="str" cm="1">
        <f t="array" ref="Q224">IF($O224&lt;&gt;"",-TRANSPOSE(INDEX(getcds('CDO Bespoke'!$C249,Q$13,'CDO Bespoke'!$G249/10000,'CDO Bespoke'!G249,'CDO Bespoke'!$L225,'CDO Bespoke'!$C$13,'CDO Bespoke'!$C$14,'CDO Bespoke'!$C$15,'CDO Bespoke'!$C$8,,,TRUE,TRUE,FALSE,'CDO Bespoke'!$C$29:'CDO Bespoke'!$C$31,'CDO Bespoke'!$C$33),{5})),"")</f>
        <v/>
      </c>
      <c r="R224" s="542" t="str" cm="1">
        <f t="array" ref="R224">IF($O224&lt;&gt;"",-TRANSPOSE(INDEX(getcds('CDO Bespoke'!$C249,R$13,'CDO Bespoke'!$G249/10000,'CDO Bespoke'!H249,'CDO Bespoke'!$L225,'CDO Bespoke'!$C$13,'CDO Bespoke'!$C$14,'CDO Bespoke'!$C$15,'CDO Bespoke'!$C$8,,,TRUE,TRUE,FALSE,'CDO Bespoke'!$C$29:'CDO Bespoke'!$C$31,'CDO Bespoke'!$C$33),{5})),"")</f>
        <v/>
      </c>
      <c r="S224" s="542" t="str" cm="1">
        <f t="array" ref="S224">IF($O224&lt;&gt;"",-TRANSPOSE(INDEX(getcds('CDO Bespoke'!$C249,S$13,'CDO Bespoke'!$G249/10000,'CDO Bespoke'!I249,'CDO Bespoke'!$L225,'CDO Bespoke'!$C$13,'CDO Bespoke'!$C$14,'CDO Bespoke'!$C$15,'CDO Bespoke'!$C$8,,,TRUE,TRUE,FALSE,'CDO Bespoke'!$C$29:'CDO Bespoke'!$C$31,'CDO Bespoke'!$C$33),{5})),"")</f>
        <v/>
      </c>
      <c r="T224" s="514" t="str" cm="1">
        <f t="array" ref="T224">IF($O224&lt;&gt;"",-TRANSPOSE(INDEX(getcds('CDO Bespoke'!$C249,T$13,'CDO Bespoke'!$G249/10000,'CDO Bespoke'!J249,'CDO Bespoke'!$L225,'CDO Bespoke'!$C$13,'CDO Bespoke'!$C$14,'CDO Bespoke'!$C$15,'CDO Bespoke'!$C$8,,,TRUE,TRUE,FALSE,'CDO Bespoke'!$C$29:'CDO Bespoke'!$C$31,'CDO Bespoke'!$C$33),{5})),"")</f>
        <v/>
      </c>
      <c r="U224" s="493"/>
      <c r="V224" s="529"/>
      <c r="W224" s="530"/>
      <c r="X224" s="530"/>
      <c r="Y224" s="530"/>
      <c r="Z224" s="530"/>
      <c r="AA224" s="530"/>
      <c r="AB224" s="530"/>
      <c r="AC224" s="530"/>
      <c r="AD224" s="530"/>
      <c r="AE224" s="531"/>
      <c r="AF224" s="539"/>
    </row>
    <row r="225" spans="6:32" s="281" customFormat="1" ht="12" thickBot="1">
      <c r="F225" s="501" t="str">
        <f>IF('CDO Bespoke'!O226&lt;&gt;"",'CDO Bespoke'!O226,"")</f>
        <v/>
      </c>
      <c r="G225" s="502" t="str">
        <f>IF(F225&lt;&gt;"",ABS(MIN(-0.75*('CDO Bespoke'!Q226+'CDO Bespoke'!T226)+'CDO Bespoke'!T226,0)),"")</f>
        <v/>
      </c>
      <c r="H225" s="502" t="str">
        <f t="shared" si="12"/>
        <v/>
      </c>
      <c r="I225" s="502" t="str">
        <f t="shared" si="15"/>
        <v/>
      </c>
      <c r="J225" s="501" t="str">
        <f>IF('CDO Bespoke'!O226&lt;&gt;"",'CDO Bespoke'!O226,"")</f>
        <v/>
      </c>
      <c r="K225" s="502" t="str">
        <f>IF(J225&lt;&gt;"",ABS(MIN(-0.75*('CDO Bespoke'!K226+'CDO Bespoke'!T226)+'CDO Bespoke'!T226,0)),"")</f>
        <v/>
      </c>
      <c r="L225" s="502" t="str">
        <f t="shared" si="13"/>
        <v/>
      </c>
      <c r="M225" s="506" t="str">
        <f t="shared" si="14"/>
        <v/>
      </c>
      <c r="O225" s="511" t="str">
        <f>IF('CDO Bespoke'!C250&lt;&gt;"",'CDO Bespoke'!C250,"")</f>
        <v/>
      </c>
      <c r="P225" s="513" t="str" cm="1">
        <f t="array" ref="P225">IF($O225&lt;&gt;"",-TRANSPOSE(INDEX(getcds('CDO Bespoke'!$C250,P$13,'CDO Bespoke'!$G250/10000,'CDO Bespoke'!F250,'CDO Bespoke'!$L226,'CDO Bespoke'!$C$13,'CDO Bespoke'!$C$14,'CDO Bespoke'!$C$15,'CDO Bespoke'!$C$8,,,TRUE,TRUE,FALSE,'CDO Bespoke'!$C$29:'CDO Bespoke'!$C$31,'CDO Bespoke'!$C$33),{5})),"")</f>
        <v/>
      </c>
      <c r="Q225" s="542" t="str" cm="1">
        <f t="array" ref="Q225">IF($O225&lt;&gt;"",-TRANSPOSE(INDEX(getcds('CDO Bespoke'!$C250,Q$13,'CDO Bespoke'!$G250/10000,'CDO Bespoke'!G250,'CDO Bespoke'!$L226,'CDO Bespoke'!$C$13,'CDO Bespoke'!$C$14,'CDO Bespoke'!$C$15,'CDO Bespoke'!$C$8,,,TRUE,TRUE,FALSE,'CDO Bespoke'!$C$29:'CDO Bespoke'!$C$31,'CDO Bespoke'!$C$33),{5})),"")</f>
        <v/>
      </c>
      <c r="R225" s="542" t="str" cm="1">
        <f t="array" ref="R225">IF($O225&lt;&gt;"",-TRANSPOSE(INDEX(getcds('CDO Bespoke'!$C250,R$13,'CDO Bespoke'!$G250/10000,'CDO Bespoke'!H250,'CDO Bespoke'!$L226,'CDO Bespoke'!$C$13,'CDO Bespoke'!$C$14,'CDO Bespoke'!$C$15,'CDO Bespoke'!$C$8,,,TRUE,TRUE,FALSE,'CDO Bespoke'!$C$29:'CDO Bespoke'!$C$31,'CDO Bespoke'!$C$33),{5})),"")</f>
        <v/>
      </c>
      <c r="S225" s="542" t="str" cm="1">
        <f t="array" ref="S225">IF($O225&lt;&gt;"",-TRANSPOSE(INDEX(getcds('CDO Bespoke'!$C250,S$13,'CDO Bespoke'!$G250/10000,'CDO Bespoke'!I250,'CDO Bespoke'!$L226,'CDO Bespoke'!$C$13,'CDO Bespoke'!$C$14,'CDO Bespoke'!$C$15,'CDO Bespoke'!$C$8,,,TRUE,TRUE,FALSE,'CDO Bespoke'!$C$29:'CDO Bespoke'!$C$31,'CDO Bespoke'!$C$33),{5})),"")</f>
        <v/>
      </c>
      <c r="T225" s="514" t="str" cm="1">
        <f t="array" ref="T225">IF($O225&lt;&gt;"",-TRANSPOSE(INDEX(getcds('CDO Bespoke'!$C250,T$13,'CDO Bespoke'!$G250/10000,'CDO Bespoke'!J250,'CDO Bespoke'!$L226,'CDO Bespoke'!$C$13,'CDO Bespoke'!$C$14,'CDO Bespoke'!$C$15,'CDO Bespoke'!$C$8,,,TRUE,TRUE,FALSE,'CDO Bespoke'!$C$29:'CDO Bespoke'!$C$31,'CDO Bespoke'!$C$33),{5})),"")</f>
        <v/>
      </c>
      <c r="U225" s="493"/>
      <c r="V225" s="529"/>
      <c r="W225" s="530"/>
      <c r="X225" s="530"/>
      <c r="Y225" s="530"/>
      <c r="Z225" s="530"/>
      <c r="AA225" s="530"/>
      <c r="AB225" s="530"/>
      <c r="AC225" s="530"/>
      <c r="AD225" s="530"/>
      <c r="AE225" s="531"/>
      <c r="AF225" s="539"/>
    </row>
    <row r="226" spans="6:32" s="281" customFormat="1" ht="12" thickBot="1">
      <c r="F226" s="501" t="str">
        <f>IF('CDO Bespoke'!O227&lt;&gt;"",'CDO Bespoke'!O227,"")</f>
        <v/>
      </c>
      <c r="G226" s="502" t="str">
        <f>IF(F226&lt;&gt;"",ABS(MIN(-0.75*('CDO Bespoke'!Q227+'CDO Bespoke'!T227)+'CDO Bespoke'!T227,0)),"")</f>
        <v/>
      </c>
      <c r="H226" s="502" t="str">
        <f t="shared" si="12"/>
        <v/>
      </c>
      <c r="I226" s="502" t="str">
        <f t="shared" si="15"/>
        <v/>
      </c>
      <c r="J226" s="501" t="str">
        <f>IF('CDO Bespoke'!O227&lt;&gt;"",'CDO Bespoke'!O227,"")</f>
        <v/>
      </c>
      <c r="K226" s="502" t="str">
        <f>IF(J226&lt;&gt;"",ABS(MIN(-0.75*('CDO Bespoke'!K227+'CDO Bespoke'!T227)+'CDO Bespoke'!T227,0)),"")</f>
        <v/>
      </c>
      <c r="L226" s="502" t="str">
        <f t="shared" si="13"/>
        <v/>
      </c>
      <c r="M226" s="506" t="str">
        <f t="shared" si="14"/>
        <v/>
      </c>
      <c r="O226" s="511" t="str">
        <f>IF('CDO Bespoke'!C251&lt;&gt;"",'CDO Bespoke'!C251,"")</f>
        <v/>
      </c>
      <c r="P226" s="513" t="str" cm="1">
        <f t="array" ref="P226">IF($O226&lt;&gt;"",-TRANSPOSE(INDEX(getcds('CDO Bespoke'!$C251,P$13,'CDO Bespoke'!$G251/10000,'CDO Bespoke'!F251,'CDO Bespoke'!$L227,'CDO Bespoke'!$C$13,'CDO Bespoke'!$C$14,'CDO Bespoke'!$C$15,'CDO Bespoke'!$C$8,,,TRUE,TRUE,FALSE,'CDO Bespoke'!$C$29:'CDO Bespoke'!$C$31,'CDO Bespoke'!$C$33),{5})),"")</f>
        <v/>
      </c>
      <c r="Q226" s="542" t="str" cm="1">
        <f t="array" ref="Q226">IF($O226&lt;&gt;"",-TRANSPOSE(INDEX(getcds('CDO Bespoke'!$C251,Q$13,'CDO Bespoke'!$G251/10000,'CDO Bespoke'!G251,'CDO Bespoke'!$L227,'CDO Bespoke'!$C$13,'CDO Bespoke'!$C$14,'CDO Bespoke'!$C$15,'CDO Bespoke'!$C$8,,,TRUE,TRUE,FALSE,'CDO Bespoke'!$C$29:'CDO Bespoke'!$C$31,'CDO Bespoke'!$C$33),{5})),"")</f>
        <v/>
      </c>
      <c r="R226" s="542" t="str" cm="1">
        <f t="array" ref="R226">IF($O226&lt;&gt;"",-TRANSPOSE(INDEX(getcds('CDO Bespoke'!$C251,R$13,'CDO Bespoke'!$G251/10000,'CDO Bespoke'!H251,'CDO Bespoke'!$L227,'CDO Bespoke'!$C$13,'CDO Bespoke'!$C$14,'CDO Bespoke'!$C$15,'CDO Bespoke'!$C$8,,,TRUE,TRUE,FALSE,'CDO Bespoke'!$C$29:'CDO Bespoke'!$C$31,'CDO Bespoke'!$C$33),{5})),"")</f>
        <v/>
      </c>
      <c r="S226" s="542" t="str" cm="1">
        <f t="array" ref="S226">IF($O226&lt;&gt;"",-TRANSPOSE(INDEX(getcds('CDO Bespoke'!$C251,S$13,'CDO Bespoke'!$G251/10000,'CDO Bespoke'!I251,'CDO Bespoke'!$L227,'CDO Bespoke'!$C$13,'CDO Bespoke'!$C$14,'CDO Bespoke'!$C$15,'CDO Bespoke'!$C$8,,,TRUE,TRUE,FALSE,'CDO Bespoke'!$C$29:'CDO Bespoke'!$C$31,'CDO Bespoke'!$C$33),{5})),"")</f>
        <v/>
      </c>
      <c r="T226" s="514" t="str" cm="1">
        <f t="array" ref="T226">IF($O226&lt;&gt;"",-TRANSPOSE(INDEX(getcds('CDO Bespoke'!$C251,T$13,'CDO Bespoke'!$G251/10000,'CDO Bespoke'!J251,'CDO Bespoke'!$L227,'CDO Bespoke'!$C$13,'CDO Bespoke'!$C$14,'CDO Bespoke'!$C$15,'CDO Bespoke'!$C$8,,,TRUE,TRUE,FALSE,'CDO Bespoke'!$C$29:'CDO Bespoke'!$C$31,'CDO Bespoke'!$C$33),{5})),"")</f>
        <v/>
      </c>
      <c r="U226" s="493"/>
      <c r="V226" s="529"/>
      <c r="W226" s="530"/>
      <c r="X226" s="530"/>
      <c r="Y226" s="530"/>
      <c r="Z226" s="530"/>
      <c r="AA226" s="530"/>
      <c r="AB226" s="530"/>
      <c r="AC226" s="530"/>
      <c r="AD226" s="530"/>
      <c r="AE226" s="531"/>
      <c r="AF226" s="539"/>
    </row>
    <row r="227" spans="6:32" s="281" customFormat="1" ht="12" thickBot="1">
      <c r="F227" s="501" t="str">
        <f>IF('CDO Bespoke'!O228&lt;&gt;"",'CDO Bespoke'!O228,"")</f>
        <v/>
      </c>
      <c r="G227" s="502" t="str">
        <f>IF(F227&lt;&gt;"",ABS(MIN(-0.75*('CDO Bespoke'!Q228+'CDO Bespoke'!T228)+'CDO Bespoke'!T228,0)),"")</f>
        <v/>
      </c>
      <c r="H227" s="502" t="str">
        <f t="shared" si="12"/>
        <v/>
      </c>
      <c r="I227" s="502" t="str">
        <f t="shared" si="15"/>
        <v/>
      </c>
      <c r="J227" s="501" t="str">
        <f>IF('CDO Bespoke'!O228&lt;&gt;"",'CDO Bespoke'!O228,"")</f>
        <v/>
      </c>
      <c r="K227" s="502" t="str">
        <f>IF(J227&lt;&gt;"",ABS(MIN(-0.75*('CDO Bespoke'!K228+'CDO Bespoke'!T228)+'CDO Bespoke'!T228,0)),"")</f>
        <v/>
      </c>
      <c r="L227" s="502" t="str">
        <f t="shared" si="13"/>
        <v/>
      </c>
      <c r="M227" s="506" t="str">
        <f t="shared" si="14"/>
        <v/>
      </c>
      <c r="O227" s="511" t="str">
        <f>IF('CDO Bespoke'!C252&lt;&gt;"",'CDO Bespoke'!C252,"")</f>
        <v/>
      </c>
      <c r="P227" s="513" t="str" cm="1">
        <f t="array" ref="P227">IF($O227&lt;&gt;"",-TRANSPOSE(INDEX(getcds('CDO Bespoke'!$C252,P$13,'CDO Bespoke'!$G252/10000,'CDO Bespoke'!F252,'CDO Bespoke'!$L228,'CDO Bespoke'!$C$13,'CDO Bespoke'!$C$14,'CDO Bespoke'!$C$15,'CDO Bespoke'!$C$8,,,TRUE,TRUE,FALSE,'CDO Bespoke'!$C$29:'CDO Bespoke'!$C$31,'CDO Bespoke'!$C$33),{5})),"")</f>
        <v/>
      </c>
      <c r="Q227" s="542" t="str" cm="1">
        <f t="array" ref="Q227">IF($O227&lt;&gt;"",-TRANSPOSE(INDEX(getcds('CDO Bespoke'!$C252,Q$13,'CDO Bespoke'!$G252/10000,'CDO Bespoke'!G252,'CDO Bespoke'!$L228,'CDO Bespoke'!$C$13,'CDO Bespoke'!$C$14,'CDO Bespoke'!$C$15,'CDO Bespoke'!$C$8,,,TRUE,TRUE,FALSE,'CDO Bespoke'!$C$29:'CDO Bespoke'!$C$31,'CDO Bespoke'!$C$33),{5})),"")</f>
        <v/>
      </c>
      <c r="R227" s="542" t="str" cm="1">
        <f t="array" ref="R227">IF($O227&lt;&gt;"",-TRANSPOSE(INDEX(getcds('CDO Bespoke'!$C252,R$13,'CDO Bespoke'!$G252/10000,'CDO Bespoke'!H252,'CDO Bespoke'!$L228,'CDO Bespoke'!$C$13,'CDO Bespoke'!$C$14,'CDO Bespoke'!$C$15,'CDO Bespoke'!$C$8,,,TRUE,TRUE,FALSE,'CDO Bespoke'!$C$29:'CDO Bespoke'!$C$31,'CDO Bespoke'!$C$33),{5})),"")</f>
        <v/>
      </c>
      <c r="S227" s="542" t="str" cm="1">
        <f t="array" ref="S227">IF($O227&lt;&gt;"",-TRANSPOSE(INDEX(getcds('CDO Bespoke'!$C252,S$13,'CDO Bespoke'!$G252/10000,'CDO Bespoke'!I252,'CDO Bespoke'!$L228,'CDO Bespoke'!$C$13,'CDO Bespoke'!$C$14,'CDO Bespoke'!$C$15,'CDO Bespoke'!$C$8,,,TRUE,TRUE,FALSE,'CDO Bespoke'!$C$29:'CDO Bespoke'!$C$31,'CDO Bespoke'!$C$33),{5})),"")</f>
        <v/>
      </c>
      <c r="T227" s="514" t="str" cm="1">
        <f t="array" ref="T227">IF($O227&lt;&gt;"",-TRANSPOSE(INDEX(getcds('CDO Bespoke'!$C252,T$13,'CDO Bespoke'!$G252/10000,'CDO Bespoke'!J252,'CDO Bespoke'!$L228,'CDO Bespoke'!$C$13,'CDO Bespoke'!$C$14,'CDO Bespoke'!$C$15,'CDO Bespoke'!$C$8,,,TRUE,TRUE,FALSE,'CDO Bespoke'!$C$29:'CDO Bespoke'!$C$31,'CDO Bespoke'!$C$33),{5})),"")</f>
        <v/>
      </c>
      <c r="U227" s="493"/>
      <c r="V227" s="529"/>
      <c r="W227" s="530"/>
      <c r="X227" s="530"/>
      <c r="Y227" s="530"/>
      <c r="Z227" s="530"/>
      <c r="AA227" s="530"/>
      <c r="AB227" s="530"/>
      <c r="AC227" s="530"/>
      <c r="AD227" s="530"/>
      <c r="AE227" s="531"/>
      <c r="AF227" s="539"/>
    </row>
    <row r="228" spans="6:32" s="281" customFormat="1" ht="12" thickBot="1">
      <c r="F228" s="501" t="str">
        <f>IF('CDO Bespoke'!O229&lt;&gt;"",'CDO Bespoke'!O229,"")</f>
        <v/>
      </c>
      <c r="G228" s="502" t="str">
        <f>IF(F228&lt;&gt;"",ABS(MIN(-0.75*('CDO Bespoke'!Q229+'CDO Bespoke'!T229)+'CDO Bespoke'!T229,0)),"")</f>
        <v/>
      </c>
      <c r="H228" s="502" t="str">
        <f t="shared" si="12"/>
        <v/>
      </c>
      <c r="I228" s="502" t="str">
        <f t="shared" si="15"/>
        <v/>
      </c>
      <c r="J228" s="501" t="str">
        <f>IF('CDO Bespoke'!O229&lt;&gt;"",'CDO Bespoke'!O229,"")</f>
        <v/>
      </c>
      <c r="K228" s="502" t="str">
        <f>IF(J228&lt;&gt;"",ABS(MIN(-0.75*('CDO Bespoke'!K229+'CDO Bespoke'!T229)+'CDO Bespoke'!T229,0)),"")</f>
        <v/>
      </c>
      <c r="L228" s="502" t="str">
        <f t="shared" si="13"/>
        <v/>
      </c>
      <c r="M228" s="506" t="str">
        <f t="shared" si="14"/>
        <v/>
      </c>
      <c r="O228" s="511" t="str">
        <f>IF('CDO Bespoke'!C253&lt;&gt;"",'CDO Bespoke'!C253,"")</f>
        <v/>
      </c>
      <c r="P228" s="513" t="str" cm="1">
        <f t="array" ref="P228">IF($O228&lt;&gt;"",-TRANSPOSE(INDEX(getcds('CDO Bespoke'!$C253,P$13,'CDO Bespoke'!$G253/10000,'CDO Bespoke'!F253,'CDO Bespoke'!$L229,'CDO Bespoke'!$C$13,'CDO Bespoke'!$C$14,'CDO Bespoke'!$C$15,'CDO Bespoke'!$C$8,,,TRUE,TRUE,FALSE,'CDO Bespoke'!$C$29:'CDO Bespoke'!$C$31,'CDO Bespoke'!$C$33),{5})),"")</f>
        <v/>
      </c>
      <c r="Q228" s="542" t="str" cm="1">
        <f t="array" ref="Q228">IF($O228&lt;&gt;"",-TRANSPOSE(INDEX(getcds('CDO Bespoke'!$C253,Q$13,'CDO Bespoke'!$G253/10000,'CDO Bespoke'!G253,'CDO Bespoke'!$L229,'CDO Bespoke'!$C$13,'CDO Bespoke'!$C$14,'CDO Bespoke'!$C$15,'CDO Bespoke'!$C$8,,,TRUE,TRUE,FALSE,'CDO Bespoke'!$C$29:'CDO Bespoke'!$C$31,'CDO Bespoke'!$C$33),{5})),"")</f>
        <v/>
      </c>
      <c r="R228" s="542" t="str" cm="1">
        <f t="array" ref="R228">IF($O228&lt;&gt;"",-TRANSPOSE(INDEX(getcds('CDO Bespoke'!$C253,R$13,'CDO Bespoke'!$G253/10000,'CDO Bespoke'!H253,'CDO Bespoke'!$L229,'CDO Bespoke'!$C$13,'CDO Bespoke'!$C$14,'CDO Bespoke'!$C$15,'CDO Bespoke'!$C$8,,,TRUE,TRUE,FALSE,'CDO Bespoke'!$C$29:'CDO Bespoke'!$C$31,'CDO Bespoke'!$C$33),{5})),"")</f>
        <v/>
      </c>
      <c r="S228" s="542" t="str" cm="1">
        <f t="array" ref="S228">IF($O228&lt;&gt;"",-TRANSPOSE(INDEX(getcds('CDO Bespoke'!$C253,S$13,'CDO Bespoke'!$G253/10000,'CDO Bespoke'!I253,'CDO Bespoke'!$L229,'CDO Bespoke'!$C$13,'CDO Bespoke'!$C$14,'CDO Bespoke'!$C$15,'CDO Bespoke'!$C$8,,,TRUE,TRUE,FALSE,'CDO Bespoke'!$C$29:'CDO Bespoke'!$C$31,'CDO Bespoke'!$C$33),{5})),"")</f>
        <v/>
      </c>
      <c r="T228" s="514" t="str" cm="1">
        <f t="array" ref="T228">IF($O228&lt;&gt;"",-TRANSPOSE(INDEX(getcds('CDO Bespoke'!$C253,T$13,'CDO Bespoke'!$G253/10000,'CDO Bespoke'!J253,'CDO Bespoke'!$L229,'CDO Bespoke'!$C$13,'CDO Bespoke'!$C$14,'CDO Bespoke'!$C$15,'CDO Bespoke'!$C$8,,,TRUE,TRUE,FALSE,'CDO Bespoke'!$C$29:'CDO Bespoke'!$C$31,'CDO Bespoke'!$C$33),{5})),"")</f>
        <v/>
      </c>
      <c r="U228" s="493"/>
      <c r="V228" s="529"/>
      <c r="W228" s="530"/>
      <c r="X228" s="530"/>
      <c r="Y228" s="530"/>
      <c r="Z228" s="530"/>
      <c r="AA228" s="530"/>
      <c r="AB228" s="530"/>
      <c r="AC228" s="530"/>
      <c r="AD228" s="530"/>
      <c r="AE228" s="531"/>
      <c r="AF228" s="539"/>
    </row>
    <row r="229" spans="6:32" s="281" customFormat="1" ht="12" thickBot="1">
      <c r="F229" s="501" t="str">
        <f>IF('CDO Bespoke'!O230&lt;&gt;"",'CDO Bespoke'!O230,"")</f>
        <v/>
      </c>
      <c r="G229" s="502" t="str">
        <f>IF(F229&lt;&gt;"",ABS(MIN(-0.75*('CDO Bespoke'!Q230+'CDO Bespoke'!T230)+'CDO Bespoke'!T230,0)),"")</f>
        <v/>
      </c>
      <c r="H229" s="502" t="str">
        <f t="shared" si="12"/>
        <v/>
      </c>
      <c r="I229" s="502" t="str">
        <f t="shared" si="15"/>
        <v/>
      </c>
      <c r="J229" s="501" t="str">
        <f>IF('CDO Bespoke'!O230&lt;&gt;"",'CDO Bespoke'!O230,"")</f>
        <v/>
      </c>
      <c r="K229" s="502" t="str">
        <f>IF(J229&lt;&gt;"",ABS(MIN(-0.75*('CDO Bespoke'!K230+'CDO Bespoke'!T230)+'CDO Bespoke'!T230,0)),"")</f>
        <v/>
      </c>
      <c r="L229" s="502" t="str">
        <f t="shared" si="13"/>
        <v/>
      </c>
      <c r="M229" s="506" t="str">
        <f t="shared" si="14"/>
        <v/>
      </c>
      <c r="O229" s="511" t="str">
        <f>IF('CDO Bespoke'!C254&lt;&gt;"",'CDO Bespoke'!C254,"")</f>
        <v/>
      </c>
      <c r="P229" s="513" t="str" cm="1">
        <f t="array" ref="P229">IF($O229&lt;&gt;"",-TRANSPOSE(INDEX(getcds('CDO Bespoke'!$C254,P$13,'CDO Bespoke'!$G254/10000,'CDO Bespoke'!F254,'CDO Bespoke'!$L230,'CDO Bespoke'!$C$13,'CDO Bespoke'!$C$14,'CDO Bespoke'!$C$15,'CDO Bespoke'!$C$8,,,TRUE,TRUE,FALSE,'CDO Bespoke'!$C$29:'CDO Bespoke'!$C$31,'CDO Bespoke'!$C$33),{5})),"")</f>
        <v/>
      </c>
      <c r="Q229" s="542" t="str" cm="1">
        <f t="array" ref="Q229">IF($O229&lt;&gt;"",-TRANSPOSE(INDEX(getcds('CDO Bespoke'!$C254,Q$13,'CDO Bespoke'!$G254/10000,'CDO Bespoke'!G254,'CDO Bespoke'!$L230,'CDO Bespoke'!$C$13,'CDO Bespoke'!$C$14,'CDO Bespoke'!$C$15,'CDO Bespoke'!$C$8,,,TRUE,TRUE,FALSE,'CDO Bespoke'!$C$29:'CDO Bespoke'!$C$31,'CDO Bespoke'!$C$33),{5})),"")</f>
        <v/>
      </c>
      <c r="R229" s="542" t="str" cm="1">
        <f t="array" ref="R229">IF($O229&lt;&gt;"",-TRANSPOSE(INDEX(getcds('CDO Bespoke'!$C254,R$13,'CDO Bespoke'!$G254/10000,'CDO Bespoke'!H254,'CDO Bespoke'!$L230,'CDO Bespoke'!$C$13,'CDO Bespoke'!$C$14,'CDO Bespoke'!$C$15,'CDO Bespoke'!$C$8,,,TRUE,TRUE,FALSE,'CDO Bespoke'!$C$29:'CDO Bespoke'!$C$31,'CDO Bespoke'!$C$33),{5})),"")</f>
        <v/>
      </c>
      <c r="S229" s="542" t="str" cm="1">
        <f t="array" ref="S229">IF($O229&lt;&gt;"",-TRANSPOSE(INDEX(getcds('CDO Bespoke'!$C254,S$13,'CDO Bespoke'!$G254/10000,'CDO Bespoke'!I254,'CDO Bespoke'!$L230,'CDO Bespoke'!$C$13,'CDO Bespoke'!$C$14,'CDO Bespoke'!$C$15,'CDO Bespoke'!$C$8,,,TRUE,TRUE,FALSE,'CDO Bespoke'!$C$29:'CDO Bespoke'!$C$31,'CDO Bespoke'!$C$33),{5})),"")</f>
        <v/>
      </c>
      <c r="T229" s="514" t="str" cm="1">
        <f t="array" ref="T229">IF($O229&lt;&gt;"",-TRANSPOSE(INDEX(getcds('CDO Bespoke'!$C254,T$13,'CDO Bespoke'!$G254/10000,'CDO Bespoke'!J254,'CDO Bespoke'!$L230,'CDO Bespoke'!$C$13,'CDO Bespoke'!$C$14,'CDO Bespoke'!$C$15,'CDO Bespoke'!$C$8,,,TRUE,TRUE,FALSE,'CDO Bespoke'!$C$29:'CDO Bespoke'!$C$31,'CDO Bespoke'!$C$33),{5})),"")</f>
        <v/>
      </c>
      <c r="U229" s="493"/>
      <c r="V229" s="529"/>
      <c r="W229" s="530"/>
      <c r="X229" s="530"/>
      <c r="Y229" s="530"/>
      <c r="Z229" s="530"/>
      <c r="AA229" s="530"/>
      <c r="AB229" s="530"/>
      <c r="AC229" s="530"/>
      <c r="AD229" s="530"/>
      <c r="AE229" s="531"/>
      <c r="AF229" s="539"/>
    </row>
    <row r="230" spans="6:32" s="281" customFormat="1" ht="12" thickBot="1">
      <c r="F230" s="501" t="str">
        <f>IF('CDO Bespoke'!O231&lt;&gt;"",'CDO Bespoke'!O231,"")</f>
        <v/>
      </c>
      <c r="G230" s="502" t="str">
        <f>IF(F230&lt;&gt;"",ABS(MIN(-0.75*('CDO Bespoke'!Q231+'CDO Bespoke'!T231)+'CDO Bespoke'!T231,0)),"")</f>
        <v/>
      </c>
      <c r="H230" s="502" t="str">
        <f t="shared" si="12"/>
        <v/>
      </c>
      <c r="I230" s="502" t="str">
        <f t="shared" si="15"/>
        <v/>
      </c>
      <c r="J230" s="501" t="str">
        <f>IF('CDO Bespoke'!O231&lt;&gt;"",'CDO Bespoke'!O231,"")</f>
        <v/>
      </c>
      <c r="K230" s="502" t="str">
        <f>IF(J230&lt;&gt;"",ABS(MIN(-0.75*('CDO Bespoke'!K231+'CDO Bespoke'!T231)+'CDO Bespoke'!T231,0)),"")</f>
        <v/>
      </c>
      <c r="L230" s="502" t="str">
        <f t="shared" si="13"/>
        <v/>
      </c>
      <c r="M230" s="506" t="str">
        <f t="shared" si="14"/>
        <v/>
      </c>
      <c r="O230" s="511" t="str">
        <f>IF('CDO Bespoke'!C255&lt;&gt;"",'CDO Bespoke'!C255,"")</f>
        <v/>
      </c>
      <c r="P230" s="513" t="str" cm="1">
        <f t="array" ref="P230">IF($O230&lt;&gt;"",-TRANSPOSE(INDEX(getcds('CDO Bespoke'!$C255,P$13,'CDO Bespoke'!$G255/10000,'CDO Bespoke'!F255,'CDO Bespoke'!$L231,'CDO Bespoke'!$C$13,'CDO Bespoke'!$C$14,'CDO Bespoke'!$C$15,'CDO Bespoke'!$C$8,,,TRUE,TRUE,FALSE,'CDO Bespoke'!$C$29:'CDO Bespoke'!$C$31,'CDO Bespoke'!$C$33),{5})),"")</f>
        <v/>
      </c>
      <c r="Q230" s="542" t="str" cm="1">
        <f t="array" ref="Q230">IF($O230&lt;&gt;"",-TRANSPOSE(INDEX(getcds('CDO Bespoke'!$C255,Q$13,'CDO Bespoke'!$G255/10000,'CDO Bespoke'!G255,'CDO Bespoke'!$L231,'CDO Bespoke'!$C$13,'CDO Bespoke'!$C$14,'CDO Bespoke'!$C$15,'CDO Bespoke'!$C$8,,,TRUE,TRUE,FALSE,'CDO Bespoke'!$C$29:'CDO Bespoke'!$C$31,'CDO Bespoke'!$C$33),{5})),"")</f>
        <v/>
      </c>
      <c r="R230" s="542" t="str" cm="1">
        <f t="array" ref="R230">IF($O230&lt;&gt;"",-TRANSPOSE(INDEX(getcds('CDO Bespoke'!$C255,R$13,'CDO Bespoke'!$G255/10000,'CDO Bespoke'!H255,'CDO Bespoke'!$L231,'CDO Bespoke'!$C$13,'CDO Bespoke'!$C$14,'CDO Bespoke'!$C$15,'CDO Bespoke'!$C$8,,,TRUE,TRUE,FALSE,'CDO Bespoke'!$C$29:'CDO Bespoke'!$C$31,'CDO Bespoke'!$C$33),{5})),"")</f>
        <v/>
      </c>
      <c r="S230" s="542" t="str" cm="1">
        <f t="array" ref="S230">IF($O230&lt;&gt;"",-TRANSPOSE(INDEX(getcds('CDO Bespoke'!$C255,S$13,'CDO Bespoke'!$G255/10000,'CDO Bespoke'!I255,'CDO Bespoke'!$L231,'CDO Bespoke'!$C$13,'CDO Bespoke'!$C$14,'CDO Bespoke'!$C$15,'CDO Bespoke'!$C$8,,,TRUE,TRUE,FALSE,'CDO Bespoke'!$C$29:'CDO Bespoke'!$C$31,'CDO Bespoke'!$C$33),{5})),"")</f>
        <v/>
      </c>
      <c r="T230" s="514" t="str" cm="1">
        <f t="array" ref="T230">IF($O230&lt;&gt;"",-TRANSPOSE(INDEX(getcds('CDO Bespoke'!$C255,T$13,'CDO Bespoke'!$G255/10000,'CDO Bespoke'!J255,'CDO Bespoke'!$L231,'CDO Bespoke'!$C$13,'CDO Bespoke'!$C$14,'CDO Bespoke'!$C$15,'CDO Bespoke'!$C$8,,,TRUE,TRUE,FALSE,'CDO Bespoke'!$C$29:'CDO Bespoke'!$C$31,'CDO Bespoke'!$C$33),{5})),"")</f>
        <v/>
      </c>
      <c r="U230" s="493"/>
      <c r="V230" s="529"/>
      <c r="W230" s="530"/>
      <c r="X230" s="530"/>
      <c r="Y230" s="530"/>
      <c r="Z230" s="530"/>
      <c r="AA230" s="530"/>
      <c r="AB230" s="530"/>
      <c r="AC230" s="530"/>
      <c r="AD230" s="530"/>
      <c r="AE230" s="531"/>
      <c r="AF230" s="539"/>
    </row>
    <row r="231" spans="6:32" s="281" customFormat="1" ht="12" thickBot="1">
      <c r="F231" s="501" t="str">
        <f>IF('CDO Bespoke'!O232&lt;&gt;"",'CDO Bespoke'!O232,"")</f>
        <v/>
      </c>
      <c r="G231" s="502" t="str">
        <f>IF(F231&lt;&gt;"",ABS(MIN(-0.75*('CDO Bespoke'!Q232+'CDO Bespoke'!T232)+'CDO Bespoke'!T232,0)),"")</f>
        <v/>
      </c>
      <c r="H231" s="502" t="str">
        <f t="shared" si="12"/>
        <v/>
      </c>
      <c r="I231" s="502" t="str">
        <f t="shared" si="15"/>
        <v/>
      </c>
      <c r="J231" s="501" t="str">
        <f>IF('CDO Bespoke'!O232&lt;&gt;"",'CDO Bespoke'!O232,"")</f>
        <v/>
      </c>
      <c r="K231" s="502" t="str">
        <f>IF(J231&lt;&gt;"",ABS(MIN(-0.75*('CDO Bespoke'!K232+'CDO Bespoke'!T232)+'CDO Bespoke'!T232,0)),"")</f>
        <v/>
      </c>
      <c r="L231" s="502" t="str">
        <f t="shared" si="13"/>
        <v/>
      </c>
      <c r="M231" s="506" t="str">
        <f t="shared" si="14"/>
        <v/>
      </c>
      <c r="O231" s="511" t="str">
        <f>IF('CDO Bespoke'!C256&lt;&gt;"",'CDO Bespoke'!C256,"")</f>
        <v/>
      </c>
      <c r="P231" s="513" t="str" cm="1">
        <f t="array" ref="P231">IF($O231&lt;&gt;"",-TRANSPOSE(INDEX(getcds('CDO Bespoke'!$C256,P$13,'CDO Bespoke'!$G256/10000,'CDO Bespoke'!F256,'CDO Bespoke'!$L232,'CDO Bespoke'!$C$13,'CDO Bespoke'!$C$14,'CDO Bespoke'!$C$15,'CDO Bespoke'!$C$8,,,TRUE,TRUE,FALSE,'CDO Bespoke'!$C$29:'CDO Bespoke'!$C$31,'CDO Bespoke'!$C$33),{5})),"")</f>
        <v/>
      </c>
      <c r="Q231" s="542" t="str" cm="1">
        <f t="array" ref="Q231">IF($O231&lt;&gt;"",-TRANSPOSE(INDEX(getcds('CDO Bespoke'!$C256,Q$13,'CDO Bespoke'!$G256/10000,'CDO Bespoke'!G256,'CDO Bespoke'!$L232,'CDO Bespoke'!$C$13,'CDO Bespoke'!$C$14,'CDO Bespoke'!$C$15,'CDO Bespoke'!$C$8,,,TRUE,TRUE,FALSE,'CDO Bespoke'!$C$29:'CDO Bespoke'!$C$31,'CDO Bespoke'!$C$33),{5})),"")</f>
        <v/>
      </c>
      <c r="R231" s="542" t="str" cm="1">
        <f t="array" ref="R231">IF($O231&lt;&gt;"",-TRANSPOSE(INDEX(getcds('CDO Bespoke'!$C256,R$13,'CDO Bespoke'!$G256/10000,'CDO Bespoke'!H256,'CDO Bespoke'!$L232,'CDO Bespoke'!$C$13,'CDO Bespoke'!$C$14,'CDO Bespoke'!$C$15,'CDO Bespoke'!$C$8,,,TRUE,TRUE,FALSE,'CDO Bespoke'!$C$29:'CDO Bespoke'!$C$31,'CDO Bespoke'!$C$33),{5})),"")</f>
        <v/>
      </c>
      <c r="S231" s="542" t="str" cm="1">
        <f t="array" ref="S231">IF($O231&lt;&gt;"",-TRANSPOSE(INDEX(getcds('CDO Bespoke'!$C256,S$13,'CDO Bespoke'!$G256/10000,'CDO Bespoke'!I256,'CDO Bespoke'!$L232,'CDO Bespoke'!$C$13,'CDO Bespoke'!$C$14,'CDO Bespoke'!$C$15,'CDO Bespoke'!$C$8,,,TRUE,TRUE,FALSE,'CDO Bespoke'!$C$29:'CDO Bespoke'!$C$31,'CDO Bespoke'!$C$33),{5})),"")</f>
        <v/>
      </c>
      <c r="T231" s="514" t="str" cm="1">
        <f t="array" ref="T231">IF($O231&lt;&gt;"",-TRANSPOSE(INDEX(getcds('CDO Bespoke'!$C256,T$13,'CDO Bespoke'!$G256/10000,'CDO Bespoke'!J256,'CDO Bespoke'!$L232,'CDO Bespoke'!$C$13,'CDO Bespoke'!$C$14,'CDO Bespoke'!$C$15,'CDO Bespoke'!$C$8,,,TRUE,TRUE,FALSE,'CDO Bespoke'!$C$29:'CDO Bespoke'!$C$31,'CDO Bespoke'!$C$33),{5})),"")</f>
        <v/>
      </c>
      <c r="U231" s="493"/>
      <c r="V231" s="529"/>
      <c r="W231" s="530"/>
      <c r="X231" s="530"/>
      <c r="Y231" s="530"/>
      <c r="Z231" s="530"/>
      <c r="AA231" s="530"/>
      <c r="AB231" s="530"/>
      <c r="AC231" s="530"/>
      <c r="AD231" s="530"/>
      <c r="AE231" s="531"/>
      <c r="AF231" s="539"/>
    </row>
    <row r="232" spans="6:32" s="281" customFormat="1" ht="12" thickBot="1">
      <c r="F232" s="501" t="str">
        <f>IF('CDO Bespoke'!O233&lt;&gt;"",'CDO Bespoke'!O233,"")</f>
        <v/>
      </c>
      <c r="G232" s="502" t="str">
        <f>IF(F232&lt;&gt;"",ABS(MIN(-0.75*('CDO Bespoke'!Q233+'CDO Bespoke'!T233)+'CDO Bespoke'!T233,0)),"")</f>
        <v/>
      </c>
      <c r="H232" s="502" t="str">
        <f t="shared" si="12"/>
        <v/>
      </c>
      <c r="I232" s="502" t="str">
        <f t="shared" si="15"/>
        <v/>
      </c>
      <c r="J232" s="501" t="str">
        <f>IF('CDO Bespoke'!O233&lt;&gt;"",'CDO Bespoke'!O233,"")</f>
        <v/>
      </c>
      <c r="K232" s="502" t="str">
        <f>IF(J232&lt;&gt;"",ABS(MIN(-0.75*('CDO Bespoke'!K233+'CDO Bespoke'!T233)+'CDO Bespoke'!T233,0)),"")</f>
        <v/>
      </c>
      <c r="L232" s="502" t="str">
        <f t="shared" si="13"/>
        <v/>
      </c>
      <c r="M232" s="506" t="str">
        <f t="shared" si="14"/>
        <v/>
      </c>
      <c r="O232" s="511" t="str">
        <f>IF('CDO Bespoke'!C257&lt;&gt;"",'CDO Bespoke'!C257,"")</f>
        <v/>
      </c>
      <c r="P232" s="513" t="str" cm="1">
        <f t="array" ref="P232">IF($O232&lt;&gt;"",-TRANSPOSE(INDEX(getcds('CDO Bespoke'!$C257,P$13,'CDO Bespoke'!$G257/10000,'CDO Bespoke'!F257,'CDO Bespoke'!$L233,'CDO Bespoke'!$C$13,'CDO Bespoke'!$C$14,'CDO Bespoke'!$C$15,'CDO Bespoke'!$C$8,,,TRUE,TRUE,FALSE,'CDO Bespoke'!$C$29:'CDO Bespoke'!$C$31,'CDO Bespoke'!$C$33),{5})),"")</f>
        <v/>
      </c>
      <c r="Q232" s="542" t="str" cm="1">
        <f t="array" ref="Q232">IF($O232&lt;&gt;"",-TRANSPOSE(INDEX(getcds('CDO Bespoke'!$C257,Q$13,'CDO Bespoke'!$G257/10000,'CDO Bespoke'!G257,'CDO Bespoke'!$L233,'CDO Bespoke'!$C$13,'CDO Bespoke'!$C$14,'CDO Bespoke'!$C$15,'CDO Bespoke'!$C$8,,,TRUE,TRUE,FALSE,'CDO Bespoke'!$C$29:'CDO Bespoke'!$C$31,'CDO Bespoke'!$C$33),{5})),"")</f>
        <v/>
      </c>
      <c r="R232" s="542" t="str" cm="1">
        <f t="array" ref="R232">IF($O232&lt;&gt;"",-TRANSPOSE(INDEX(getcds('CDO Bespoke'!$C257,R$13,'CDO Bespoke'!$G257/10000,'CDO Bespoke'!H257,'CDO Bespoke'!$L233,'CDO Bespoke'!$C$13,'CDO Bespoke'!$C$14,'CDO Bespoke'!$C$15,'CDO Bespoke'!$C$8,,,TRUE,TRUE,FALSE,'CDO Bespoke'!$C$29:'CDO Bespoke'!$C$31,'CDO Bespoke'!$C$33),{5})),"")</f>
        <v/>
      </c>
      <c r="S232" s="542" t="str" cm="1">
        <f t="array" ref="S232">IF($O232&lt;&gt;"",-TRANSPOSE(INDEX(getcds('CDO Bespoke'!$C257,S$13,'CDO Bespoke'!$G257/10000,'CDO Bespoke'!I257,'CDO Bespoke'!$L233,'CDO Bespoke'!$C$13,'CDO Bespoke'!$C$14,'CDO Bespoke'!$C$15,'CDO Bespoke'!$C$8,,,TRUE,TRUE,FALSE,'CDO Bespoke'!$C$29:'CDO Bespoke'!$C$31,'CDO Bespoke'!$C$33),{5})),"")</f>
        <v/>
      </c>
      <c r="T232" s="514" t="str" cm="1">
        <f t="array" ref="T232">IF($O232&lt;&gt;"",-TRANSPOSE(INDEX(getcds('CDO Bespoke'!$C257,T$13,'CDO Bespoke'!$G257/10000,'CDO Bespoke'!J257,'CDO Bespoke'!$L233,'CDO Bespoke'!$C$13,'CDO Bespoke'!$C$14,'CDO Bespoke'!$C$15,'CDO Bespoke'!$C$8,,,TRUE,TRUE,FALSE,'CDO Bespoke'!$C$29:'CDO Bespoke'!$C$31,'CDO Bespoke'!$C$33),{5})),"")</f>
        <v/>
      </c>
      <c r="U232" s="493"/>
      <c r="V232" s="529"/>
      <c r="W232" s="530"/>
      <c r="X232" s="530"/>
      <c r="Y232" s="530"/>
      <c r="Z232" s="530"/>
      <c r="AA232" s="530"/>
      <c r="AB232" s="530"/>
      <c r="AC232" s="530"/>
      <c r="AD232" s="530"/>
      <c r="AE232" s="531"/>
      <c r="AF232" s="539"/>
    </row>
    <row r="233" spans="6:32" s="281" customFormat="1" ht="12" thickBot="1">
      <c r="F233" s="501" t="str">
        <f>IF('CDO Bespoke'!O234&lt;&gt;"",'CDO Bespoke'!O234,"")</f>
        <v/>
      </c>
      <c r="G233" s="502" t="str">
        <f>IF(F233&lt;&gt;"",ABS(MIN(-0.75*('CDO Bespoke'!Q234+'CDO Bespoke'!T234)+'CDO Bespoke'!T234,0)),"")</f>
        <v/>
      </c>
      <c r="H233" s="502" t="str">
        <f t="shared" si="12"/>
        <v/>
      </c>
      <c r="I233" s="502" t="str">
        <f t="shared" si="15"/>
        <v/>
      </c>
      <c r="J233" s="501" t="str">
        <f>IF('CDO Bespoke'!O234&lt;&gt;"",'CDO Bespoke'!O234,"")</f>
        <v/>
      </c>
      <c r="K233" s="502" t="str">
        <f>IF(J233&lt;&gt;"",ABS(MIN(-0.75*('CDO Bespoke'!K234+'CDO Bespoke'!T234)+'CDO Bespoke'!T234,0)),"")</f>
        <v/>
      </c>
      <c r="L233" s="502" t="str">
        <f t="shared" si="13"/>
        <v/>
      </c>
      <c r="M233" s="506" t="str">
        <f t="shared" si="14"/>
        <v/>
      </c>
      <c r="O233" s="511" t="str">
        <f>IF('CDO Bespoke'!C258&lt;&gt;"",'CDO Bespoke'!C258,"")</f>
        <v/>
      </c>
      <c r="P233" s="513" t="str" cm="1">
        <f t="array" ref="P233">IF($O233&lt;&gt;"",-TRANSPOSE(INDEX(getcds('CDO Bespoke'!$C258,P$13,'CDO Bespoke'!$G258/10000,'CDO Bespoke'!F258,'CDO Bespoke'!$L234,'CDO Bespoke'!$C$13,'CDO Bespoke'!$C$14,'CDO Bespoke'!$C$15,'CDO Bespoke'!$C$8,,,TRUE,TRUE,FALSE,'CDO Bespoke'!$C$29:'CDO Bespoke'!$C$31,'CDO Bespoke'!$C$33),{5})),"")</f>
        <v/>
      </c>
      <c r="Q233" s="542" t="str" cm="1">
        <f t="array" ref="Q233">IF($O233&lt;&gt;"",-TRANSPOSE(INDEX(getcds('CDO Bespoke'!$C258,Q$13,'CDO Bespoke'!$G258/10000,'CDO Bespoke'!G258,'CDO Bespoke'!$L234,'CDO Bespoke'!$C$13,'CDO Bespoke'!$C$14,'CDO Bespoke'!$C$15,'CDO Bespoke'!$C$8,,,TRUE,TRUE,FALSE,'CDO Bespoke'!$C$29:'CDO Bespoke'!$C$31,'CDO Bespoke'!$C$33),{5})),"")</f>
        <v/>
      </c>
      <c r="R233" s="542" t="str" cm="1">
        <f t="array" ref="R233">IF($O233&lt;&gt;"",-TRANSPOSE(INDEX(getcds('CDO Bespoke'!$C258,R$13,'CDO Bespoke'!$G258/10000,'CDO Bespoke'!H258,'CDO Bespoke'!$L234,'CDO Bespoke'!$C$13,'CDO Bespoke'!$C$14,'CDO Bespoke'!$C$15,'CDO Bespoke'!$C$8,,,TRUE,TRUE,FALSE,'CDO Bespoke'!$C$29:'CDO Bespoke'!$C$31,'CDO Bespoke'!$C$33),{5})),"")</f>
        <v/>
      </c>
      <c r="S233" s="542" t="str" cm="1">
        <f t="array" ref="S233">IF($O233&lt;&gt;"",-TRANSPOSE(INDEX(getcds('CDO Bespoke'!$C258,S$13,'CDO Bespoke'!$G258/10000,'CDO Bespoke'!I258,'CDO Bespoke'!$L234,'CDO Bespoke'!$C$13,'CDO Bespoke'!$C$14,'CDO Bespoke'!$C$15,'CDO Bespoke'!$C$8,,,TRUE,TRUE,FALSE,'CDO Bespoke'!$C$29:'CDO Bespoke'!$C$31,'CDO Bespoke'!$C$33),{5})),"")</f>
        <v/>
      </c>
      <c r="T233" s="514" t="str" cm="1">
        <f t="array" ref="T233">IF($O233&lt;&gt;"",-TRANSPOSE(INDEX(getcds('CDO Bespoke'!$C258,T$13,'CDO Bespoke'!$G258/10000,'CDO Bespoke'!J258,'CDO Bespoke'!$L234,'CDO Bespoke'!$C$13,'CDO Bespoke'!$C$14,'CDO Bespoke'!$C$15,'CDO Bespoke'!$C$8,,,TRUE,TRUE,FALSE,'CDO Bespoke'!$C$29:'CDO Bespoke'!$C$31,'CDO Bespoke'!$C$33),{5})),"")</f>
        <v/>
      </c>
      <c r="U233" s="493"/>
      <c r="V233" s="529"/>
      <c r="W233" s="530"/>
      <c r="X233" s="530"/>
      <c r="Y233" s="530"/>
      <c r="Z233" s="530"/>
      <c r="AA233" s="530"/>
      <c r="AB233" s="530"/>
      <c r="AC233" s="530"/>
      <c r="AD233" s="530"/>
      <c r="AE233" s="531"/>
      <c r="AF233" s="539"/>
    </row>
    <row r="234" spans="6:32" s="281" customFormat="1" ht="12" thickBot="1">
      <c r="F234" s="501" t="str">
        <f>IF('CDO Bespoke'!O235&lt;&gt;"",'CDO Bespoke'!O235,"")</f>
        <v/>
      </c>
      <c r="G234" s="502" t="str">
        <f>IF(F234&lt;&gt;"",ABS(MIN(-0.75*('CDO Bespoke'!Q235+'CDO Bespoke'!T235)+'CDO Bespoke'!T235,0)),"")</f>
        <v/>
      </c>
      <c r="H234" s="502" t="str">
        <f t="shared" si="12"/>
        <v/>
      </c>
      <c r="I234" s="502" t="str">
        <f t="shared" si="15"/>
        <v/>
      </c>
      <c r="J234" s="501" t="str">
        <f>IF('CDO Bespoke'!O235&lt;&gt;"",'CDO Bespoke'!O235,"")</f>
        <v/>
      </c>
      <c r="K234" s="502" t="str">
        <f>IF(J234&lt;&gt;"",ABS(MIN(-0.75*('CDO Bespoke'!K235+'CDO Bespoke'!T235)+'CDO Bespoke'!T235,0)),"")</f>
        <v/>
      </c>
      <c r="L234" s="502" t="str">
        <f t="shared" si="13"/>
        <v/>
      </c>
      <c r="M234" s="506" t="str">
        <f t="shared" si="14"/>
        <v/>
      </c>
      <c r="O234" s="511" t="str">
        <f>IF('CDO Bespoke'!C259&lt;&gt;"",'CDO Bespoke'!C259,"")</f>
        <v/>
      </c>
      <c r="P234" s="513" t="str" cm="1">
        <f t="array" ref="P234">IF($O234&lt;&gt;"",-TRANSPOSE(INDEX(getcds('CDO Bespoke'!$C259,P$13,'CDO Bespoke'!$G259/10000,'CDO Bespoke'!F259,'CDO Bespoke'!$L235,'CDO Bespoke'!$C$13,'CDO Bespoke'!$C$14,'CDO Bespoke'!$C$15,'CDO Bespoke'!$C$8,,,TRUE,TRUE,FALSE,'CDO Bespoke'!$C$29:'CDO Bespoke'!$C$31,'CDO Bespoke'!$C$33),{5})),"")</f>
        <v/>
      </c>
      <c r="Q234" s="542" t="str" cm="1">
        <f t="array" ref="Q234">IF($O234&lt;&gt;"",-TRANSPOSE(INDEX(getcds('CDO Bespoke'!$C259,Q$13,'CDO Bespoke'!$G259/10000,'CDO Bespoke'!G259,'CDO Bespoke'!$L235,'CDO Bespoke'!$C$13,'CDO Bespoke'!$C$14,'CDO Bespoke'!$C$15,'CDO Bespoke'!$C$8,,,TRUE,TRUE,FALSE,'CDO Bespoke'!$C$29:'CDO Bespoke'!$C$31,'CDO Bespoke'!$C$33),{5})),"")</f>
        <v/>
      </c>
      <c r="R234" s="542" t="str" cm="1">
        <f t="array" ref="R234">IF($O234&lt;&gt;"",-TRANSPOSE(INDEX(getcds('CDO Bespoke'!$C259,R$13,'CDO Bespoke'!$G259/10000,'CDO Bespoke'!H259,'CDO Bespoke'!$L235,'CDO Bespoke'!$C$13,'CDO Bespoke'!$C$14,'CDO Bespoke'!$C$15,'CDO Bespoke'!$C$8,,,TRUE,TRUE,FALSE,'CDO Bespoke'!$C$29:'CDO Bespoke'!$C$31,'CDO Bespoke'!$C$33),{5})),"")</f>
        <v/>
      </c>
      <c r="S234" s="542" t="str" cm="1">
        <f t="array" ref="S234">IF($O234&lt;&gt;"",-TRANSPOSE(INDEX(getcds('CDO Bespoke'!$C259,S$13,'CDO Bespoke'!$G259/10000,'CDO Bespoke'!I259,'CDO Bespoke'!$L235,'CDO Bespoke'!$C$13,'CDO Bespoke'!$C$14,'CDO Bespoke'!$C$15,'CDO Bespoke'!$C$8,,,TRUE,TRUE,FALSE,'CDO Bespoke'!$C$29:'CDO Bespoke'!$C$31,'CDO Bespoke'!$C$33),{5})),"")</f>
        <v/>
      </c>
      <c r="T234" s="514" t="str" cm="1">
        <f t="array" ref="T234">IF($O234&lt;&gt;"",-TRANSPOSE(INDEX(getcds('CDO Bespoke'!$C259,T$13,'CDO Bespoke'!$G259/10000,'CDO Bespoke'!J259,'CDO Bespoke'!$L235,'CDO Bespoke'!$C$13,'CDO Bespoke'!$C$14,'CDO Bespoke'!$C$15,'CDO Bespoke'!$C$8,,,TRUE,TRUE,FALSE,'CDO Bespoke'!$C$29:'CDO Bespoke'!$C$31,'CDO Bespoke'!$C$33),{5})),"")</f>
        <v/>
      </c>
      <c r="U234" s="493"/>
      <c r="V234" s="529"/>
      <c r="W234" s="530"/>
      <c r="X234" s="530"/>
      <c r="Y234" s="530"/>
      <c r="Z234" s="530"/>
      <c r="AA234" s="530"/>
      <c r="AB234" s="530"/>
      <c r="AC234" s="530"/>
      <c r="AD234" s="530"/>
      <c r="AE234" s="531"/>
      <c r="AF234" s="539"/>
    </row>
    <row r="235" spans="6:32" s="281" customFormat="1" ht="12" thickBot="1">
      <c r="F235" s="501" t="str">
        <f>IF('CDO Bespoke'!O236&lt;&gt;"",'CDO Bespoke'!O236,"")</f>
        <v/>
      </c>
      <c r="G235" s="502" t="str">
        <f>IF(F235&lt;&gt;"",ABS(MIN(-0.75*('CDO Bespoke'!Q236+'CDO Bespoke'!T236)+'CDO Bespoke'!T236,0)),"")</f>
        <v/>
      </c>
      <c r="H235" s="502" t="str">
        <f t="shared" si="12"/>
        <v/>
      </c>
      <c r="I235" s="502" t="str">
        <f t="shared" si="15"/>
        <v/>
      </c>
      <c r="J235" s="501" t="str">
        <f>IF('CDO Bespoke'!O236&lt;&gt;"",'CDO Bespoke'!O236,"")</f>
        <v/>
      </c>
      <c r="K235" s="502" t="str">
        <f>IF(J235&lt;&gt;"",ABS(MIN(-0.75*('CDO Bespoke'!K236+'CDO Bespoke'!T236)+'CDO Bespoke'!T236,0)),"")</f>
        <v/>
      </c>
      <c r="L235" s="502" t="str">
        <f t="shared" si="13"/>
        <v/>
      </c>
      <c r="M235" s="506" t="str">
        <f t="shared" si="14"/>
        <v/>
      </c>
      <c r="O235" s="511" t="str">
        <f>IF('CDO Bespoke'!C260&lt;&gt;"",'CDO Bespoke'!C260,"")</f>
        <v/>
      </c>
      <c r="P235" s="513" t="str" cm="1">
        <f t="array" ref="P235">IF($O235&lt;&gt;"",-TRANSPOSE(INDEX(getcds('CDO Bespoke'!$C260,P$13,'CDO Bespoke'!$G260/10000,'CDO Bespoke'!F260,'CDO Bespoke'!$L236,'CDO Bespoke'!$C$13,'CDO Bespoke'!$C$14,'CDO Bespoke'!$C$15,'CDO Bespoke'!$C$8,,,TRUE,TRUE,FALSE,'CDO Bespoke'!$C$29:'CDO Bespoke'!$C$31,'CDO Bespoke'!$C$33),{5})),"")</f>
        <v/>
      </c>
      <c r="Q235" s="542" t="str" cm="1">
        <f t="array" ref="Q235">IF($O235&lt;&gt;"",-TRANSPOSE(INDEX(getcds('CDO Bespoke'!$C260,Q$13,'CDO Bespoke'!$G260/10000,'CDO Bespoke'!G260,'CDO Bespoke'!$L236,'CDO Bespoke'!$C$13,'CDO Bespoke'!$C$14,'CDO Bespoke'!$C$15,'CDO Bespoke'!$C$8,,,TRUE,TRUE,FALSE,'CDO Bespoke'!$C$29:'CDO Bespoke'!$C$31,'CDO Bespoke'!$C$33),{5})),"")</f>
        <v/>
      </c>
      <c r="R235" s="542" t="str" cm="1">
        <f t="array" ref="R235">IF($O235&lt;&gt;"",-TRANSPOSE(INDEX(getcds('CDO Bespoke'!$C260,R$13,'CDO Bespoke'!$G260/10000,'CDO Bespoke'!H260,'CDO Bespoke'!$L236,'CDO Bespoke'!$C$13,'CDO Bespoke'!$C$14,'CDO Bespoke'!$C$15,'CDO Bespoke'!$C$8,,,TRUE,TRUE,FALSE,'CDO Bespoke'!$C$29:'CDO Bespoke'!$C$31,'CDO Bespoke'!$C$33),{5})),"")</f>
        <v/>
      </c>
      <c r="S235" s="542" t="str" cm="1">
        <f t="array" ref="S235">IF($O235&lt;&gt;"",-TRANSPOSE(INDEX(getcds('CDO Bespoke'!$C260,S$13,'CDO Bespoke'!$G260/10000,'CDO Bespoke'!I260,'CDO Bespoke'!$L236,'CDO Bespoke'!$C$13,'CDO Bespoke'!$C$14,'CDO Bespoke'!$C$15,'CDO Bespoke'!$C$8,,,TRUE,TRUE,FALSE,'CDO Bespoke'!$C$29:'CDO Bespoke'!$C$31,'CDO Bespoke'!$C$33),{5})),"")</f>
        <v/>
      </c>
      <c r="T235" s="514" t="str" cm="1">
        <f t="array" ref="T235">IF($O235&lt;&gt;"",-TRANSPOSE(INDEX(getcds('CDO Bespoke'!$C260,T$13,'CDO Bespoke'!$G260/10000,'CDO Bespoke'!J260,'CDO Bespoke'!$L236,'CDO Bespoke'!$C$13,'CDO Bespoke'!$C$14,'CDO Bespoke'!$C$15,'CDO Bespoke'!$C$8,,,TRUE,TRUE,FALSE,'CDO Bespoke'!$C$29:'CDO Bespoke'!$C$31,'CDO Bespoke'!$C$33),{5})),"")</f>
        <v/>
      </c>
      <c r="U235" s="493"/>
      <c r="V235" s="529"/>
      <c r="W235" s="530"/>
      <c r="X235" s="530"/>
      <c r="Y235" s="530"/>
      <c r="Z235" s="530"/>
      <c r="AA235" s="530"/>
      <c r="AB235" s="530"/>
      <c r="AC235" s="530"/>
      <c r="AD235" s="530"/>
      <c r="AE235" s="531"/>
      <c r="AF235" s="539"/>
    </row>
    <row r="236" spans="6:32" s="281" customFormat="1" ht="12" thickBot="1">
      <c r="F236" s="501" t="str">
        <f>IF('CDO Bespoke'!O237&lt;&gt;"",'CDO Bespoke'!O237,"")</f>
        <v/>
      </c>
      <c r="G236" s="502" t="str">
        <f>IF(F236&lt;&gt;"",ABS(MIN(-0.75*('CDO Bespoke'!Q237+'CDO Bespoke'!T237)+'CDO Bespoke'!T237,0)),"")</f>
        <v/>
      </c>
      <c r="H236" s="502" t="str">
        <f t="shared" si="12"/>
        <v/>
      </c>
      <c r="I236" s="502" t="str">
        <f t="shared" si="15"/>
        <v/>
      </c>
      <c r="J236" s="501" t="str">
        <f>IF('CDO Bespoke'!O237&lt;&gt;"",'CDO Bespoke'!O237,"")</f>
        <v/>
      </c>
      <c r="K236" s="502" t="str">
        <f>IF(J236&lt;&gt;"",ABS(MIN(-0.75*('CDO Bespoke'!K237+'CDO Bespoke'!T237)+'CDO Bespoke'!T237,0)),"")</f>
        <v/>
      </c>
      <c r="L236" s="502" t="str">
        <f t="shared" si="13"/>
        <v/>
      </c>
      <c r="M236" s="506" t="str">
        <f t="shared" si="14"/>
        <v/>
      </c>
      <c r="O236" s="511" t="str">
        <f>IF('CDO Bespoke'!C261&lt;&gt;"",'CDO Bespoke'!C261,"")</f>
        <v/>
      </c>
      <c r="P236" s="513" t="str" cm="1">
        <f t="array" ref="P236">IF($O236&lt;&gt;"",-TRANSPOSE(INDEX(getcds('CDO Bespoke'!$C261,P$13,'CDO Bespoke'!$G261/10000,'CDO Bespoke'!F261,'CDO Bespoke'!$L237,'CDO Bespoke'!$C$13,'CDO Bespoke'!$C$14,'CDO Bespoke'!$C$15,'CDO Bespoke'!$C$8,,,TRUE,TRUE,FALSE,'CDO Bespoke'!$C$29:'CDO Bespoke'!$C$31,'CDO Bespoke'!$C$33),{5})),"")</f>
        <v/>
      </c>
      <c r="Q236" s="542" t="str" cm="1">
        <f t="array" ref="Q236">IF($O236&lt;&gt;"",-TRANSPOSE(INDEX(getcds('CDO Bespoke'!$C261,Q$13,'CDO Bespoke'!$G261/10000,'CDO Bespoke'!G261,'CDO Bespoke'!$L237,'CDO Bespoke'!$C$13,'CDO Bespoke'!$C$14,'CDO Bespoke'!$C$15,'CDO Bespoke'!$C$8,,,TRUE,TRUE,FALSE,'CDO Bespoke'!$C$29:'CDO Bespoke'!$C$31,'CDO Bespoke'!$C$33),{5})),"")</f>
        <v/>
      </c>
      <c r="R236" s="542" t="str" cm="1">
        <f t="array" ref="R236">IF($O236&lt;&gt;"",-TRANSPOSE(INDEX(getcds('CDO Bespoke'!$C261,R$13,'CDO Bespoke'!$G261/10000,'CDO Bespoke'!H261,'CDO Bespoke'!$L237,'CDO Bespoke'!$C$13,'CDO Bespoke'!$C$14,'CDO Bespoke'!$C$15,'CDO Bespoke'!$C$8,,,TRUE,TRUE,FALSE,'CDO Bespoke'!$C$29:'CDO Bespoke'!$C$31,'CDO Bespoke'!$C$33),{5})),"")</f>
        <v/>
      </c>
      <c r="S236" s="542" t="str" cm="1">
        <f t="array" ref="S236">IF($O236&lt;&gt;"",-TRANSPOSE(INDEX(getcds('CDO Bespoke'!$C261,S$13,'CDO Bespoke'!$G261/10000,'CDO Bespoke'!I261,'CDO Bespoke'!$L237,'CDO Bespoke'!$C$13,'CDO Bespoke'!$C$14,'CDO Bespoke'!$C$15,'CDO Bespoke'!$C$8,,,TRUE,TRUE,FALSE,'CDO Bespoke'!$C$29:'CDO Bespoke'!$C$31,'CDO Bespoke'!$C$33),{5})),"")</f>
        <v/>
      </c>
      <c r="T236" s="514" t="str" cm="1">
        <f t="array" ref="T236">IF($O236&lt;&gt;"",-TRANSPOSE(INDEX(getcds('CDO Bespoke'!$C261,T$13,'CDO Bespoke'!$G261/10000,'CDO Bespoke'!J261,'CDO Bespoke'!$L237,'CDO Bespoke'!$C$13,'CDO Bespoke'!$C$14,'CDO Bespoke'!$C$15,'CDO Bespoke'!$C$8,,,TRUE,TRUE,FALSE,'CDO Bespoke'!$C$29:'CDO Bespoke'!$C$31,'CDO Bespoke'!$C$33),{5})),"")</f>
        <v/>
      </c>
      <c r="U236" s="493"/>
      <c r="V236" s="529"/>
      <c r="W236" s="530"/>
      <c r="X236" s="530"/>
      <c r="Y236" s="530"/>
      <c r="Z236" s="530"/>
      <c r="AA236" s="530"/>
      <c r="AB236" s="530"/>
      <c r="AC236" s="530"/>
      <c r="AD236" s="530"/>
      <c r="AE236" s="531"/>
      <c r="AF236" s="539"/>
    </row>
    <row r="237" spans="6:32" s="281" customFormat="1" ht="12" thickBot="1">
      <c r="F237" s="501" t="str">
        <f>IF('CDO Bespoke'!O238&lt;&gt;"",'CDO Bespoke'!O238,"")</f>
        <v/>
      </c>
      <c r="G237" s="502" t="str">
        <f>IF(F237&lt;&gt;"",ABS(MIN(-0.75*('CDO Bespoke'!Q238+'CDO Bespoke'!T238)+'CDO Bespoke'!T238,0)),"")</f>
        <v/>
      </c>
      <c r="H237" s="502" t="str">
        <f t="shared" si="12"/>
        <v/>
      </c>
      <c r="I237" s="502" t="str">
        <f t="shared" si="15"/>
        <v/>
      </c>
      <c r="J237" s="501" t="str">
        <f>IF('CDO Bespoke'!O238&lt;&gt;"",'CDO Bespoke'!O238,"")</f>
        <v/>
      </c>
      <c r="K237" s="502" t="str">
        <f>IF(J237&lt;&gt;"",ABS(MIN(-0.75*('CDO Bespoke'!K238+'CDO Bespoke'!T238)+'CDO Bespoke'!T238,0)),"")</f>
        <v/>
      </c>
      <c r="L237" s="502" t="str">
        <f t="shared" si="13"/>
        <v/>
      </c>
      <c r="M237" s="506" t="str">
        <f t="shared" si="14"/>
        <v/>
      </c>
      <c r="O237" s="511" t="str">
        <f>IF('CDO Bespoke'!C262&lt;&gt;"",'CDO Bespoke'!C262,"")</f>
        <v/>
      </c>
      <c r="P237" s="513" t="str" cm="1">
        <f t="array" ref="P237">IF($O237&lt;&gt;"",-TRANSPOSE(INDEX(getcds('CDO Bespoke'!$C262,P$13,'CDO Bespoke'!$G262/10000,'CDO Bespoke'!F262,'CDO Bespoke'!$L238,'CDO Bespoke'!$C$13,'CDO Bespoke'!$C$14,'CDO Bespoke'!$C$15,'CDO Bespoke'!$C$8,,,TRUE,TRUE,FALSE,'CDO Bespoke'!$C$29:'CDO Bespoke'!$C$31,'CDO Bespoke'!$C$33),{5})),"")</f>
        <v/>
      </c>
      <c r="Q237" s="542" t="str" cm="1">
        <f t="array" ref="Q237">IF($O237&lt;&gt;"",-TRANSPOSE(INDEX(getcds('CDO Bespoke'!$C262,Q$13,'CDO Bespoke'!$G262/10000,'CDO Bespoke'!G262,'CDO Bespoke'!$L238,'CDO Bespoke'!$C$13,'CDO Bespoke'!$C$14,'CDO Bespoke'!$C$15,'CDO Bespoke'!$C$8,,,TRUE,TRUE,FALSE,'CDO Bespoke'!$C$29:'CDO Bespoke'!$C$31,'CDO Bespoke'!$C$33),{5})),"")</f>
        <v/>
      </c>
      <c r="R237" s="542" t="str" cm="1">
        <f t="array" ref="R237">IF($O237&lt;&gt;"",-TRANSPOSE(INDEX(getcds('CDO Bespoke'!$C262,R$13,'CDO Bespoke'!$G262/10000,'CDO Bespoke'!H262,'CDO Bespoke'!$L238,'CDO Bespoke'!$C$13,'CDO Bespoke'!$C$14,'CDO Bespoke'!$C$15,'CDO Bespoke'!$C$8,,,TRUE,TRUE,FALSE,'CDO Bespoke'!$C$29:'CDO Bespoke'!$C$31,'CDO Bespoke'!$C$33),{5})),"")</f>
        <v/>
      </c>
      <c r="S237" s="542" t="str" cm="1">
        <f t="array" ref="S237">IF($O237&lt;&gt;"",-TRANSPOSE(INDEX(getcds('CDO Bespoke'!$C262,S$13,'CDO Bespoke'!$G262/10000,'CDO Bespoke'!I262,'CDO Bespoke'!$L238,'CDO Bespoke'!$C$13,'CDO Bespoke'!$C$14,'CDO Bespoke'!$C$15,'CDO Bespoke'!$C$8,,,TRUE,TRUE,FALSE,'CDO Bespoke'!$C$29:'CDO Bespoke'!$C$31,'CDO Bespoke'!$C$33),{5})),"")</f>
        <v/>
      </c>
      <c r="T237" s="514" t="str" cm="1">
        <f t="array" ref="T237">IF($O237&lt;&gt;"",-TRANSPOSE(INDEX(getcds('CDO Bespoke'!$C262,T$13,'CDO Bespoke'!$G262/10000,'CDO Bespoke'!J262,'CDO Bespoke'!$L238,'CDO Bespoke'!$C$13,'CDO Bespoke'!$C$14,'CDO Bespoke'!$C$15,'CDO Bespoke'!$C$8,,,TRUE,TRUE,FALSE,'CDO Bespoke'!$C$29:'CDO Bespoke'!$C$31,'CDO Bespoke'!$C$33),{5})),"")</f>
        <v/>
      </c>
      <c r="U237" s="493"/>
      <c r="V237" s="529"/>
      <c r="W237" s="530"/>
      <c r="X237" s="530"/>
      <c r="Y237" s="530"/>
      <c r="Z237" s="530"/>
      <c r="AA237" s="530"/>
      <c r="AB237" s="530"/>
      <c r="AC237" s="530"/>
      <c r="AD237" s="530"/>
      <c r="AE237" s="531"/>
      <c r="AF237" s="539"/>
    </row>
    <row r="238" spans="6:32" s="281" customFormat="1" ht="12" thickBot="1">
      <c r="F238" s="501" t="str">
        <f>IF('CDO Bespoke'!O239&lt;&gt;"",'CDO Bespoke'!O239,"")</f>
        <v/>
      </c>
      <c r="G238" s="502" t="str">
        <f>IF(F238&lt;&gt;"",ABS(MIN(-0.75*('CDO Bespoke'!Q239+'CDO Bespoke'!T239)+'CDO Bespoke'!T239,0)),"")</f>
        <v/>
      </c>
      <c r="H238" s="502" t="str">
        <f t="shared" si="12"/>
        <v/>
      </c>
      <c r="I238" s="502" t="str">
        <f t="shared" si="15"/>
        <v/>
      </c>
      <c r="J238" s="501" t="str">
        <f>IF('CDO Bespoke'!O239&lt;&gt;"",'CDO Bespoke'!O239,"")</f>
        <v/>
      </c>
      <c r="K238" s="502" t="str">
        <f>IF(J238&lt;&gt;"",ABS(MIN(-0.75*('CDO Bespoke'!K239+'CDO Bespoke'!T239)+'CDO Bespoke'!T239,0)),"")</f>
        <v/>
      </c>
      <c r="L238" s="502" t="str">
        <f t="shared" si="13"/>
        <v/>
      </c>
      <c r="M238" s="506" t="str">
        <f t="shared" si="14"/>
        <v/>
      </c>
      <c r="O238" s="511" t="str">
        <f>IF('CDO Bespoke'!C263&lt;&gt;"",'CDO Bespoke'!C263,"")</f>
        <v/>
      </c>
      <c r="P238" s="513" t="str" cm="1">
        <f t="array" ref="P238">IF($O238&lt;&gt;"",-TRANSPOSE(INDEX(getcds('CDO Bespoke'!$C263,P$13,'CDO Bespoke'!$G263/10000,'CDO Bespoke'!F263,'CDO Bespoke'!$L239,'CDO Bespoke'!$C$13,'CDO Bespoke'!$C$14,'CDO Bespoke'!$C$15,'CDO Bespoke'!$C$8,,,TRUE,TRUE,FALSE,'CDO Bespoke'!$C$29:'CDO Bespoke'!$C$31,'CDO Bespoke'!$C$33),{5})),"")</f>
        <v/>
      </c>
      <c r="Q238" s="542" t="str" cm="1">
        <f t="array" ref="Q238">IF($O238&lt;&gt;"",-TRANSPOSE(INDEX(getcds('CDO Bespoke'!$C263,Q$13,'CDO Bespoke'!$G263/10000,'CDO Bespoke'!G263,'CDO Bespoke'!$L239,'CDO Bespoke'!$C$13,'CDO Bespoke'!$C$14,'CDO Bespoke'!$C$15,'CDO Bespoke'!$C$8,,,TRUE,TRUE,FALSE,'CDO Bespoke'!$C$29:'CDO Bespoke'!$C$31,'CDO Bespoke'!$C$33),{5})),"")</f>
        <v/>
      </c>
      <c r="R238" s="542" t="str" cm="1">
        <f t="array" ref="R238">IF($O238&lt;&gt;"",-TRANSPOSE(INDEX(getcds('CDO Bespoke'!$C263,R$13,'CDO Bespoke'!$G263/10000,'CDO Bespoke'!H263,'CDO Bespoke'!$L239,'CDO Bespoke'!$C$13,'CDO Bespoke'!$C$14,'CDO Bespoke'!$C$15,'CDO Bespoke'!$C$8,,,TRUE,TRUE,FALSE,'CDO Bespoke'!$C$29:'CDO Bespoke'!$C$31,'CDO Bespoke'!$C$33),{5})),"")</f>
        <v/>
      </c>
      <c r="S238" s="542" t="str" cm="1">
        <f t="array" ref="S238">IF($O238&lt;&gt;"",-TRANSPOSE(INDEX(getcds('CDO Bespoke'!$C263,S$13,'CDO Bespoke'!$G263/10000,'CDO Bespoke'!I263,'CDO Bespoke'!$L239,'CDO Bespoke'!$C$13,'CDO Bespoke'!$C$14,'CDO Bespoke'!$C$15,'CDO Bespoke'!$C$8,,,TRUE,TRUE,FALSE,'CDO Bespoke'!$C$29:'CDO Bespoke'!$C$31,'CDO Bespoke'!$C$33),{5})),"")</f>
        <v/>
      </c>
      <c r="T238" s="514" t="str" cm="1">
        <f t="array" ref="T238">IF($O238&lt;&gt;"",-TRANSPOSE(INDEX(getcds('CDO Bespoke'!$C263,T$13,'CDO Bespoke'!$G263/10000,'CDO Bespoke'!J263,'CDO Bespoke'!$L239,'CDO Bespoke'!$C$13,'CDO Bespoke'!$C$14,'CDO Bespoke'!$C$15,'CDO Bespoke'!$C$8,,,TRUE,TRUE,FALSE,'CDO Bespoke'!$C$29:'CDO Bespoke'!$C$31,'CDO Bespoke'!$C$33),{5})),"")</f>
        <v/>
      </c>
      <c r="U238" s="493"/>
      <c r="V238" s="529"/>
      <c r="W238" s="530"/>
      <c r="X238" s="530"/>
      <c r="Y238" s="530"/>
      <c r="Z238" s="530"/>
      <c r="AA238" s="530"/>
      <c r="AB238" s="530"/>
      <c r="AC238" s="530"/>
      <c r="AD238" s="530"/>
      <c r="AE238" s="531"/>
      <c r="AF238" s="539"/>
    </row>
    <row r="239" spans="6:32" s="281" customFormat="1" ht="12" thickBot="1">
      <c r="F239" s="501" t="str">
        <f>IF('CDO Bespoke'!O240&lt;&gt;"",'CDO Bespoke'!O240,"")</f>
        <v/>
      </c>
      <c r="G239" s="502" t="str">
        <f>IF(F239&lt;&gt;"",ABS(MIN(-0.75*('CDO Bespoke'!Q240+'CDO Bespoke'!T240)+'CDO Bespoke'!T240,0)),"")</f>
        <v/>
      </c>
      <c r="H239" s="502" t="str">
        <f t="shared" si="12"/>
        <v/>
      </c>
      <c r="I239" s="502" t="str">
        <f t="shared" si="15"/>
        <v/>
      </c>
      <c r="J239" s="501" t="str">
        <f>IF('CDO Bespoke'!O240&lt;&gt;"",'CDO Bespoke'!O240,"")</f>
        <v/>
      </c>
      <c r="K239" s="502" t="str">
        <f>IF(J239&lt;&gt;"",ABS(MIN(-0.75*('CDO Bespoke'!K240+'CDO Bespoke'!T240)+'CDO Bespoke'!T240,0)),"")</f>
        <v/>
      </c>
      <c r="L239" s="502" t="str">
        <f t="shared" si="13"/>
        <v/>
      </c>
      <c r="M239" s="506" t="str">
        <f t="shared" si="14"/>
        <v/>
      </c>
      <c r="O239" s="511" t="str">
        <f>IF('CDO Bespoke'!C264&lt;&gt;"",'CDO Bespoke'!C264,"")</f>
        <v/>
      </c>
      <c r="P239" s="513" t="str" cm="1">
        <f t="array" ref="P239">IF($O239&lt;&gt;"",-TRANSPOSE(INDEX(getcds('CDO Bespoke'!$C264,P$13,'CDO Bespoke'!$G264/10000,'CDO Bespoke'!F264,'CDO Bespoke'!$L240,'CDO Bespoke'!$C$13,'CDO Bespoke'!$C$14,'CDO Bespoke'!$C$15,'CDO Bespoke'!$C$8,,,TRUE,TRUE,FALSE,'CDO Bespoke'!$C$29:'CDO Bespoke'!$C$31,'CDO Bespoke'!$C$33),{5})),"")</f>
        <v/>
      </c>
      <c r="Q239" s="542" t="str" cm="1">
        <f t="array" ref="Q239">IF($O239&lt;&gt;"",-TRANSPOSE(INDEX(getcds('CDO Bespoke'!$C264,Q$13,'CDO Bespoke'!$G264/10000,'CDO Bespoke'!G264,'CDO Bespoke'!$L240,'CDO Bespoke'!$C$13,'CDO Bespoke'!$C$14,'CDO Bespoke'!$C$15,'CDO Bespoke'!$C$8,,,TRUE,TRUE,FALSE,'CDO Bespoke'!$C$29:'CDO Bespoke'!$C$31,'CDO Bespoke'!$C$33),{5})),"")</f>
        <v/>
      </c>
      <c r="R239" s="542" t="str" cm="1">
        <f t="array" ref="R239">IF($O239&lt;&gt;"",-TRANSPOSE(INDEX(getcds('CDO Bespoke'!$C264,R$13,'CDO Bespoke'!$G264/10000,'CDO Bespoke'!H264,'CDO Bespoke'!$L240,'CDO Bespoke'!$C$13,'CDO Bespoke'!$C$14,'CDO Bespoke'!$C$15,'CDO Bespoke'!$C$8,,,TRUE,TRUE,FALSE,'CDO Bespoke'!$C$29:'CDO Bespoke'!$C$31,'CDO Bespoke'!$C$33),{5})),"")</f>
        <v/>
      </c>
      <c r="S239" s="542" t="str" cm="1">
        <f t="array" ref="S239">IF($O239&lt;&gt;"",-TRANSPOSE(INDEX(getcds('CDO Bespoke'!$C264,S$13,'CDO Bespoke'!$G264/10000,'CDO Bespoke'!I264,'CDO Bespoke'!$L240,'CDO Bespoke'!$C$13,'CDO Bespoke'!$C$14,'CDO Bespoke'!$C$15,'CDO Bespoke'!$C$8,,,TRUE,TRUE,FALSE,'CDO Bespoke'!$C$29:'CDO Bespoke'!$C$31,'CDO Bespoke'!$C$33),{5})),"")</f>
        <v/>
      </c>
      <c r="T239" s="514" t="str" cm="1">
        <f t="array" ref="T239">IF($O239&lt;&gt;"",-TRANSPOSE(INDEX(getcds('CDO Bespoke'!$C264,T$13,'CDO Bespoke'!$G264/10000,'CDO Bespoke'!J264,'CDO Bespoke'!$L240,'CDO Bespoke'!$C$13,'CDO Bespoke'!$C$14,'CDO Bespoke'!$C$15,'CDO Bespoke'!$C$8,,,TRUE,TRUE,FALSE,'CDO Bespoke'!$C$29:'CDO Bespoke'!$C$31,'CDO Bespoke'!$C$33),{5})),"")</f>
        <v/>
      </c>
      <c r="U239" s="493"/>
      <c r="V239" s="529"/>
      <c r="W239" s="530"/>
      <c r="X239" s="530"/>
      <c r="Y239" s="530"/>
      <c r="Z239" s="530"/>
      <c r="AA239" s="530"/>
      <c r="AB239" s="530"/>
      <c r="AC239" s="530"/>
      <c r="AD239" s="530"/>
      <c r="AE239" s="531"/>
      <c r="AF239" s="539"/>
    </row>
    <row r="240" spans="6:32" s="281" customFormat="1" ht="12" thickBot="1">
      <c r="F240" s="501" t="str">
        <f>IF('CDO Bespoke'!O241&lt;&gt;"",'CDO Bespoke'!O241,"")</f>
        <v/>
      </c>
      <c r="G240" s="502" t="str">
        <f>IF(F240&lt;&gt;"",ABS(MIN(-0.75*('CDO Bespoke'!Q241+'CDO Bespoke'!T241)+'CDO Bespoke'!T241,0)),"")</f>
        <v/>
      </c>
      <c r="H240" s="502" t="str">
        <f t="shared" si="12"/>
        <v/>
      </c>
      <c r="I240" s="502" t="str">
        <f t="shared" si="15"/>
        <v/>
      </c>
      <c r="J240" s="501" t="str">
        <f>IF('CDO Bespoke'!O241&lt;&gt;"",'CDO Bespoke'!O241,"")</f>
        <v/>
      </c>
      <c r="K240" s="502" t="str">
        <f>IF(J240&lt;&gt;"",ABS(MIN(-0.75*('CDO Bespoke'!K241+'CDO Bespoke'!T241)+'CDO Bespoke'!T241,0)),"")</f>
        <v/>
      </c>
      <c r="L240" s="502" t="str">
        <f t="shared" si="13"/>
        <v/>
      </c>
      <c r="M240" s="506" t="str">
        <f t="shared" si="14"/>
        <v/>
      </c>
      <c r="O240" s="511" t="str">
        <f>IF('CDO Bespoke'!C265&lt;&gt;"",'CDO Bespoke'!C265,"")</f>
        <v/>
      </c>
      <c r="P240" s="513" t="str" cm="1">
        <f t="array" ref="P240">IF($O240&lt;&gt;"",-TRANSPOSE(INDEX(getcds('CDO Bespoke'!$C265,P$13,'CDO Bespoke'!$G265/10000,'CDO Bespoke'!F265,'CDO Bespoke'!$L241,'CDO Bespoke'!$C$13,'CDO Bespoke'!$C$14,'CDO Bespoke'!$C$15,'CDO Bespoke'!$C$8,,,TRUE,TRUE,FALSE,'CDO Bespoke'!$C$29:'CDO Bespoke'!$C$31,'CDO Bespoke'!$C$33),{5})),"")</f>
        <v/>
      </c>
      <c r="Q240" s="542" t="str" cm="1">
        <f t="array" ref="Q240">IF($O240&lt;&gt;"",-TRANSPOSE(INDEX(getcds('CDO Bespoke'!$C265,Q$13,'CDO Bespoke'!$G265/10000,'CDO Bespoke'!G265,'CDO Bespoke'!$L241,'CDO Bespoke'!$C$13,'CDO Bespoke'!$C$14,'CDO Bespoke'!$C$15,'CDO Bespoke'!$C$8,,,TRUE,TRUE,FALSE,'CDO Bespoke'!$C$29:'CDO Bespoke'!$C$31,'CDO Bespoke'!$C$33),{5})),"")</f>
        <v/>
      </c>
      <c r="R240" s="542" t="str" cm="1">
        <f t="array" ref="R240">IF($O240&lt;&gt;"",-TRANSPOSE(INDEX(getcds('CDO Bespoke'!$C265,R$13,'CDO Bespoke'!$G265/10000,'CDO Bespoke'!H265,'CDO Bespoke'!$L241,'CDO Bespoke'!$C$13,'CDO Bespoke'!$C$14,'CDO Bespoke'!$C$15,'CDO Bespoke'!$C$8,,,TRUE,TRUE,FALSE,'CDO Bespoke'!$C$29:'CDO Bespoke'!$C$31,'CDO Bespoke'!$C$33),{5})),"")</f>
        <v/>
      </c>
      <c r="S240" s="542" t="str" cm="1">
        <f t="array" ref="S240">IF($O240&lt;&gt;"",-TRANSPOSE(INDEX(getcds('CDO Bespoke'!$C265,S$13,'CDO Bespoke'!$G265/10000,'CDO Bespoke'!I265,'CDO Bespoke'!$L241,'CDO Bespoke'!$C$13,'CDO Bespoke'!$C$14,'CDO Bespoke'!$C$15,'CDO Bespoke'!$C$8,,,TRUE,TRUE,FALSE,'CDO Bespoke'!$C$29:'CDO Bespoke'!$C$31,'CDO Bespoke'!$C$33),{5})),"")</f>
        <v/>
      </c>
      <c r="T240" s="514" t="str" cm="1">
        <f t="array" ref="T240">IF($O240&lt;&gt;"",-TRANSPOSE(INDEX(getcds('CDO Bespoke'!$C265,T$13,'CDO Bespoke'!$G265/10000,'CDO Bespoke'!J265,'CDO Bespoke'!$L241,'CDO Bespoke'!$C$13,'CDO Bespoke'!$C$14,'CDO Bespoke'!$C$15,'CDO Bespoke'!$C$8,,,TRUE,TRUE,FALSE,'CDO Bespoke'!$C$29:'CDO Bespoke'!$C$31,'CDO Bespoke'!$C$33),{5})),"")</f>
        <v/>
      </c>
      <c r="U240" s="493"/>
      <c r="V240" s="529"/>
      <c r="W240" s="530"/>
      <c r="X240" s="530"/>
      <c r="Y240" s="530"/>
      <c r="Z240" s="530"/>
      <c r="AA240" s="530"/>
      <c r="AB240" s="530"/>
      <c r="AC240" s="530"/>
      <c r="AD240" s="530"/>
      <c r="AE240" s="531"/>
      <c r="AF240" s="539"/>
    </row>
    <row r="241" spans="6:32" s="281" customFormat="1" ht="12" thickBot="1">
      <c r="F241" s="501" t="str">
        <f>IF('CDO Bespoke'!O242&lt;&gt;"",'CDO Bespoke'!O242,"")</f>
        <v/>
      </c>
      <c r="G241" s="502" t="str">
        <f>IF(F241&lt;&gt;"",ABS(MIN(-0.75*('CDO Bespoke'!Q242+'CDO Bespoke'!T242)+'CDO Bespoke'!T242,0)),"")</f>
        <v/>
      </c>
      <c r="H241" s="502" t="str">
        <f t="shared" si="12"/>
        <v/>
      </c>
      <c r="I241" s="502" t="str">
        <f t="shared" si="15"/>
        <v/>
      </c>
      <c r="J241" s="501" t="str">
        <f>IF('CDO Bespoke'!O242&lt;&gt;"",'CDO Bespoke'!O242,"")</f>
        <v/>
      </c>
      <c r="K241" s="502" t="str">
        <f>IF(J241&lt;&gt;"",ABS(MIN(-0.75*('CDO Bespoke'!K242+'CDO Bespoke'!T242)+'CDO Bespoke'!T242,0)),"")</f>
        <v/>
      </c>
      <c r="L241" s="502" t="str">
        <f t="shared" si="13"/>
        <v/>
      </c>
      <c r="M241" s="506" t="str">
        <f t="shared" si="14"/>
        <v/>
      </c>
      <c r="O241" s="511" t="str">
        <f>IF('CDO Bespoke'!C266&lt;&gt;"",'CDO Bespoke'!C266,"")</f>
        <v/>
      </c>
      <c r="P241" s="513" t="str" cm="1">
        <f t="array" ref="P241">IF($O241&lt;&gt;"",-TRANSPOSE(INDEX(getcds('CDO Bespoke'!$C266,P$13,'CDO Bespoke'!$G266/10000,'CDO Bespoke'!F266,'CDO Bespoke'!$L242,'CDO Bespoke'!$C$13,'CDO Bespoke'!$C$14,'CDO Bespoke'!$C$15,'CDO Bespoke'!$C$8,,,TRUE,TRUE,FALSE,'CDO Bespoke'!$C$29:'CDO Bespoke'!$C$31,'CDO Bespoke'!$C$33),{5})),"")</f>
        <v/>
      </c>
      <c r="Q241" s="542" t="str" cm="1">
        <f t="array" ref="Q241">IF($O241&lt;&gt;"",-TRANSPOSE(INDEX(getcds('CDO Bespoke'!$C266,Q$13,'CDO Bespoke'!$G266/10000,'CDO Bespoke'!G266,'CDO Bespoke'!$L242,'CDO Bespoke'!$C$13,'CDO Bespoke'!$C$14,'CDO Bespoke'!$C$15,'CDO Bespoke'!$C$8,,,TRUE,TRUE,FALSE,'CDO Bespoke'!$C$29:'CDO Bespoke'!$C$31,'CDO Bespoke'!$C$33),{5})),"")</f>
        <v/>
      </c>
      <c r="R241" s="542" t="str" cm="1">
        <f t="array" ref="R241">IF($O241&lt;&gt;"",-TRANSPOSE(INDEX(getcds('CDO Bespoke'!$C266,R$13,'CDO Bespoke'!$G266/10000,'CDO Bespoke'!H266,'CDO Bespoke'!$L242,'CDO Bespoke'!$C$13,'CDO Bespoke'!$C$14,'CDO Bespoke'!$C$15,'CDO Bespoke'!$C$8,,,TRUE,TRUE,FALSE,'CDO Bespoke'!$C$29:'CDO Bespoke'!$C$31,'CDO Bespoke'!$C$33),{5})),"")</f>
        <v/>
      </c>
      <c r="S241" s="542" t="str" cm="1">
        <f t="array" ref="S241">IF($O241&lt;&gt;"",-TRANSPOSE(INDEX(getcds('CDO Bespoke'!$C266,S$13,'CDO Bespoke'!$G266/10000,'CDO Bespoke'!I266,'CDO Bespoke'!$L242,'CDO Bespoke'!$C$13,'CDO Bespoke'!$C$14,'CDO Bespoke'!$C$15,'CDO Bespoke'!$C$8,,,TRUE,TRUE,FALSE,'CDO Bespoke'!$C$29:'CDO Bespoke'!$C$31,'CDO Bespoke'!$C$33),{5})),"")</f>
        <v/>
      </c>
      <c r="T241" s="514" t="str" cm="1">
        <f t="array" ref="T241">IF($O241&lt;&gt;"",-TRANSPOSE(INDEX(getcds('CDO Bespoke'!$C266,T$13,'CDO Bespoke'!$G266/10000,'CDO Bespoke'!J266,'CDO Bespoke'!$L242,'CDO Bespoke'!$C$13,'CDO Bespoke'!$C$14,'CDO Bespoke'!$C$15,'CDO Bespoke'!$C$8,,,TRUE,TRUE,FALSE,'CDO Bespoke'!$C$29:'CDO Bespoke'!$C$31,'CDO Bespoke'!$C$33),{5})),"")</f>
        <v/>
      </c>
      <c r="U241" s="493"/>
      <c r="V241" s="529"/>
      <c r="W241" s="530"/>
      <c r="X241" s="530"/>
      <c r="Y241" s="530"/>
      <c r="Z241" s="530"/>
      <c r="AA241" s="530"/>
      <c r="AB241" s="530"/>
      <c r="AC241" s="530"/>
      <c r="AD241" s="530"/>
      <c r="AE241" s="531"/>
      <c r="AF241" s="539"/>
    </row>
    <row r="242" spans="6:32" s="281" customFormat="1" ht="12" thickBot="1">
      <c r="F242" s="501" t="str">
        <f>IF('CDO Bespoke'!O243&lt;&gt;"",'CDO Bespoke'!O243,"")</f>
        <v/>
      </c>
      <c r="G242" s="502" t="str">
        <f>IF(F242&lt;&gt;"",ABS(MIN(-0.75*('CDO Bespoke'!Q243+'CDO Bespoke'!T243)+'CDO Bespoke'!T243,0)),"")</f>
        <v/>
      </c>
      <c r="H242" s="502" t="str">
        <f t="shared" si="12"/>
        <v/>
      </c>
      <c r="I242" s="502" t="str">
        <f t="shared" si="15"/>
        <v/>
      </c>
      <c r="J242" s="501" t="str">
        <f>IF('CDO Bespoke'!O243&lt;&gt;"",'CDO Bespoke'!O243,"")</f>
        <v/>
      </c>
      <c r="K242" s="502" t="str">
        <f>IF(J242&lt;&gt;"",ABS(MIN(-0.75*('CDO Bespoke'!K243+'CDO Bespoke'!T243)+'CDO Bespoke'!T243,0)),"")</f>
        <v/>
      </c>
      <c r="L242" s="502" t="str">
        <f t="shared" si="13"/>
        <v/>
      </c>
      <c r="M242" s="506" t="str">
        <f t="shared" si="14"/>
        <v/>
      </c>
      <c r="O242" s="511" t="str">
        <f>IF('CDO Bespoke'!C267&lt;&gt;"",'CDO Bespoke'!C267,"")</f>
        <v/>
      </c>
      <c r="P242" s="513" t="str" cm="1">
        <f t="array" ref="P242">IF($O242&lt;&gt;"",-TRANSPOSE(INDEX(getcds('CDO Bespoke'!$C267,P$13,'CDO Bespoke'!$G267/10000,'CDO Bespoke'!F267,'CDO Bespoke'!$L243,'CDO Bespoke'!$C$13,'CDO Bespoke'!$C$14,'CDO Bespoke'!$C$15,'CDO Bespoke'!$C$8,,,TRUE,TRUE,FALSE,'CDO Bespoke'!$C$29:'CDO Bespoke'!$C$31,'CDO Bespoke'!$C$33),{5})),"")</f>
        <v/>
      </c>
      <c r="Q242" s="542" t="str" cm="1">
        <f t="array" ref="Q242">IF($O242&lt;&gt;"",-TRANSPOSE(INDEX(getcds('CDO Bespoke'!$C267,Q$13,'CDO Bespoke'!$G267/10000,'CDO Bespoke'!G267,'CDO Bespoke'!$L243,'CDO Bespoke'!$C$13,'CDO Bespoke'!$C$14,'CDO Bespoke'!$C$15,'CDO Bespoke'!$C$8,,,TRUE,TRUE,FALSE,'CDO Bespoke'!$C$29:'CDO Bespoke'!$C$31,'CDO Bespoke'!$C$33),{5})),"")</f>
        <v/>
      </c>
      <c r="R242" s="542" t="str" cm="1">
        <f t="array" ref="R242">IF($O242&lt;&gt;"",-TRANSPOSE(INDEX(getcds('CDO Bespoke'!$C267,R$13,'CDO Bespoke'!$G267/10000,'CDO Bespoke'!H267,'CDO Bespoke'!$L243,'CDO Bespoke'!$C$13,'CDO Bespoke'!$C$14,'CDO Bespoke'!$C$15,'CDO Bespoke'!$C$8,,,TRUE,TRUE,FALSE,'CDO Bespoke'!$C$29:'CDO Bespoke'!$C$31,'CDO Bespoke'!$C$33),{5})),"")</f>
        <v/>
      </c>
      <c r="S242" s="542" t="str" cm="1">
        <f t="array" ref="S242">IF($O242&lt;&gt;"",-TRANSPOSE(INDEX(getcds('CDO Bespoke'!$C267,S$13,'CDO Bespoke'!$G267/10000,'CDO Bespoke'!I267,'CDO Bespoke'!$L243,'CDO Bespoke'!$C$13,'CDO Bespoke'!$C$14,'CDO Bespoke'!$C$15,'CDO Bespoke'!$C$8,,,TRUE,TRUE,FALSE,'CDO Bespoke'!$C$29:'CDO Bespoke'!$C$31,'CDO Bespoke'!$C$33),{5})),"")</f>
        <v/>
      </c>
      <c r="T242" s="514" t="str" cm="1">
        <f t="array" ref="T242">IF($O242&lt;&gt;"",-TRANSPOSE(INDEX(getcds('CDO Bespoke'!$C267,T$13,'CDO Bespoke'!$G267/10000,'CDO Bespoke'!J267,'CDO Bespoke'!$L243,'CDO Bespoke'!$C$13,'CDO Bespoke'!$C$14,'CDO Bespoke'!$C$15,'CDO Bespoke'!$C$8,,,TRUE,TRUE,FALSE,'CDO Bespoke'!$C$29:'CDO Bespoke'!$C$31,'CDO Bespoke'!$C$33),{5})),"")</f>
        <v/>
      </c>
      <c r="U242" s="493"/>
      <c r="V242" s="529"/>
      <c r="W242" s="530"/>
      <c r="X242" s="530"/>
      <c r="Y242" s="530"/>
      <c r="Z242" s="530"/>
      <c r="AA242" s="530"/>
      <c r="AB242" s="530"/>
      <c r="AC242" s="530"/>
      <c r="AD242" s="530"/>
      <c r="AE242" s="531"/>
      <c r="AF242" s="539"/>
    </row>
    <row r="243" spans="6:32" s="281" customFormat="1" ht="12" thickBot="1">
      <c r="F243" s="501" t="str">
        <f>IF('CDO Bespoke'!O244&lt;&gt;"",'CDO Bespoke'!O244,"")</f>
        <v/>
      </c>
      <c r="G243" s="502" t="str">
        <f>IF(F243&lt;&gt;"",ABS(MIN(-0.75*('CDO Bespoke'!Q244+'CDO Bespoke'!T244)+'CDO Bespoke'!T244,0)),"")</f>
        <v/>
      </c>
      <c r="H243" s="502" t="str">
        <f t="shared" si="12"/>
        <v/>
      </c>
      <c r="I243" s="502" t="str">
        <f t="shared" si="15"/>
        <v/>
      </c>
      <c r="J243" s="501" t="str">
        <f>IF('CDO Bespoke'!O244&lt;&gt;"",'CDO Bespoke'!O244,"")</f>
        <v/>
      </c>
      <c r="K243" s="502" t="str">
        <f>IF(J243&lt;&gt;"",ABS(MIN(-0.75*('CDO Bespoke'!K244+'CDO Bespoke'!T244)+'CDO Bespoke'!T244,0)),"")</f>
        <v/>
      </c>
      <c r="L243" s="502" t="str">
        <f t="shared" si="13"/>
        <v/>
      </c>
      <c r="M243" s="506" t="str">
        <f t="shared" si="14"/>
        <v/>
      </c>
      <c r="O243" s="511" t="str">
        <f>IF('CDO Bespoke'!C268&lt;&gt;"",'CDO Bespoke'!C268,"")</f>
        <v/>
      </c>
      <c r="P243" s="513" t="str" cm="1">
        <f t="array" ref="P243">IF($O243&lt;&gt;"",-TRANSPOSE(INDEX(getcds('CDO Bespoke'!$C268,P$13,'CDO Bespoke'!$G268/10000,'CDO Bespoke'!F268,'CDO Bespoke'!$L244,'CDO Bespoke'!$C$13,'CDO Bespoke'!$C$14,'CDO Bespoke'!$C$15,'CDO Bespoke'!$C$8,,,TRUE,TRUE,FALSE,'CDO Bespoke'!$C$29:'CDO Bespoke'!$C$31,'CDO Bespoke'!$C$33),{5})),"")</f>
        <v/>
      </c>
      <c r="Q243" s="542" t="str" cm="1">
        <f t="array" ref="Q243">IF($O243&lt;&gt;"",-TRANSPOSE(INDEX(getcds('CDO Bespoke'!$C268,Q$13,'CDO Bespoke'!$G268/10000,'CDO Bespoke'!G268,'CDO Bespoke'!$L244,'CDO Bespoke'!$C$13,'CDO Bespoke'!$C$14,'CDO Bespoke'!$C$15,'CDO Bespoke'!$C$8,,,TRUE,TRUE,FALSE,'CDO Bespoke'!$C$29:'CDO Bespoke'!$C$31,'CDO Bespoke'!$C$33),{5})),"")</f>
        <v/>
      </c>
      <c r="R243" s="542" t="str" cm="1">
        <f t="array" ref="R243">IF($O243&lt;&gt;"",-TRANSPOSE(INDEX(getcds('CDO Bespoke'!$C268,R$13,'CDO Bespoke'!$G268/10000,'CDO Bespoke'!H268,'CDO Bespoke'!$L244,'CDO Bespoke'!$C$13,'CDO Bespoke'!$C$14,'CDO Bespoke'!$C$15,'CDO Bespoke'!$C$8,,,TRUE,TRUE,FALSE,'CDO Bespoke'!$C$29:'CDO Bespoke'!$C$31,'CDO Bespoke'!$C$33),{5})),"")</f>
        <v/>
      </c>
      <c r="S243" s="542" t="str" cm="1">
        <f t="array" ref="S243">IF($O243&lt;&gt;"",-TRANSPOSE(INDEX(getcds('CDO Bespoke'!$C268,S$13,'CDO Bespoke'!$G268/10000,'CDO Bespoke'!I268,'CDO Bespoke'!$L244,'CDO Bespoke'!$C$13,'CDO Bespoke'!$C$14,'CDO Bespoke'!$C$15,'CDO Bespoke'!$C$8,,,TRUE,TRUE,FALSE,'CDO Bespoke'!$C$29:'CDO Bespoke'!$C$31,'CDO Bespoke'!$C$33),{5})),"")</f>
        <v/>
      </c>
      <c r="T243" s="514" t="str" cm="1">
        <f t="array" ref="T243">IF($O243&lt;&gt;"",-TRANSPOSE(INDEX(getcds('CDO Bespoke'!$C268,T$13,'CDO Bespoke'!$G268/10000,'CDO Bespoke'!J268,'CDO Bespoke'!$L244,'CDO Bespoke'!$C$13,'CDO Bespoke'!$C$14,'CDO Bespoke'!$C$15,'CDO Bespoke'!$C$8,,,TRUE,TRUE,FALSE,'CDO Bespoke'!$C$29:'CDO Bespoke'!$C$31,'CDO Bespoke'!$C$33),{5})),"")</f>
        <v/>
      </c>
      <c r="U243" s="493"/>
      <c r="V243" s="529"/>
      <c r="W243" s="530"/>
      <c r="X243" s="530"/>
      <c r="Y243" s="530"/>
      <c r="Z243" s="530"/>
      <c r="AA243" s="530"/>
      <c r="AB243" s="530"/>
      <c r="AC243" s="530"/>
      <c r="AD243" s="530"/>
      <c r="AE243" s="531"/>
      <c r="AF243" s="539"/>
    </row>
    <row r="244" spans="6:32" s="281" customFormat="1" ht="12" thickBot="1">
      <c r="F244" s="501" t="str">
        <f>IF('CDO Bespoke'!O245&lt;&gt;"",'CDO Bespoke'!O245,"")</f>
        <v/>
      </c>
      <c r="G244" s="502" t="str">
        <f>IF(F244&lt;&gt;"",ABS(MIN(-0.75*('CDO Bespoke'!Q245+'CDO Bespoke'!T245)+'CDO Bespoke'!T245,0)),"")</f>
        <v/>
      </c>
      <c r="H244" s="502" t="str">
        <f t="shared" si="12"/>
        <v/>
      </c>
      <c r="I244" s="502" t="str">
        <f t="shared" si="15"/>
        <v/>
      </c>
      <c r="J244" s="501" t="str">
        <f>IF('CDO Bespoke'!O245&lt;&gt;"",'CDO Bespoke'!O245,"")</f>
        <v/>
      </c>
      <c r="K244" s="502" t="str">
        <f>IF(J244&lt;&gt;"",ABS(MIN(-0.75*('CDO Bespoke'!K245+'CDO Bespoke'!T245)+'CDO Bespoke'!T245,0)),"")</f>
        <v/>
      </c>
      <c r="L244" s="502" t="str">
        <f t="shared" si="13"/>
        <v/>
      </c>
      <c r="M244" s="506" t="str">
        <f t="shared" si="14"/>
        <v/>
      </c>
      <c r="O244" s="511" t="str">
        <f>IF('CDO Bespoke'!C269&lt;&gt;"",'CDO Bespoke'!C269,"")</f>
        <v/>
      </c>
      <c r="P244" s="513" t="str" cm="1">
        <f t="array" ref="P244">IF($O244&lt;&gt;"",-TRANSPOSE(INDEX(getcds('CDO Bespoke'!$C269,P$13,'CDO Bespoke'!$G269/10000,'CDO Bespoke'!F269,'CDO Bespoke'!$L245,'CDO Bespoke'!$C$13,'CDO Bespoke'!$C$14,'CDO Bespoke'!$C$15,'CDO Bespoke'!$C$8,,,TRUE,TRUE,FALSE,'CDO Bespoke'!$C$29:'CDO Bespoke'!$C$31,'CDO Bespoke'!$C$33),{5})),"")</f>
        <v/>
      </c>
      <c r="Q244" s="542" t="str" cm="1">
        <f t="array" ref="Q244">IF($O244&lt;&gt;"",-TRANSPOSE(INDEX(getcds('CDO Bespoke'!$C269,Q$13,'CDO Bespoke'!$G269/10000,'CDO Bespoke'!G269,'CDO Bespoke'!$L245,'CDO Bespoke'!$C$13,'CDO Bespoke'!$C$14,'CDO Bespoke'!$C$15,'CDO Bespoke'!$C$8,,,TRUE,TRUE,FALSE,'CDO Bespoke'!$C$29:'CDO Bespoke'!$C$31,'CDO Bespoke'!$C$33),{5})),"")</f>
        <v/>
      </c>
      <c r="R244" s="542" t="str" cm="1">
        <f t="array" ref="R244">IF($O244&lt;&gt;"",-TRANSPOSE(INDEX(getcds('CDO Bespoke'!$C269,R$13,'CDO Bespoke'!$G269/10000,'CDO Bespoke'!H269,'CDO Bespoke'!$L245,'CDO Bespoke'!$C$13,'CDO Bespoke'!$C$14,'CDO Bespoke'!$C$15,'CDO Bespoke'!$C$8,,,TRUE,TRUE,FALSE,'CDO Bespoke'!$C$29:'CDO Bespoke'!$C$31,'CDO Bespoke'!$C$33),{5})),"")</f>
        <v/>
      </c>
      <c r="S244" s="542" t="str" cm="1">
        <f t="array" ref="S244">IF($O244&lt;&gt;"",-TRANSPOSE(INDEX(getcds('CDO Bespoke'!$C269,S$13,'CDO Bespoke'!$G269/10000,'CDO Bespoke'!I269,'CDO Bespoke'!$L245,'CDO Bespoke'!$C$13,'CDO Bespoke'!$C$14,'CDO Bespoke'!$C$15,'CDO Bespoke'!$C$8,,,TRUE,TRUE,FALSE,'CDO Bespoke'!$C$29:'CDO Bespoke'!$C$31,'CDO Bespoke'!$C$33),{5})),"")</f>
        <v/>
      </c>
      <c r="T244" s="514" t="str" cm="1">
        <f t="array" ref="T244">IF($O244&lt;&gt;"",-TRANSPOSE(INDEX(getcds('CDO Bespoke'!$C269,T$13,'CDO Bespoke'!$G269/10000,'CDO Bespoke'!J269,'CDO Bespoke'!$L245,'CDO Bespoke'!$C$13,'CDO Bespoke'!$C$14,'CDO Bespoke'!$C$15,'CDO Bespoke'!$C$8,,,TRUE,TRUE,FALSE,'CDO Bespoke'!$C$29:'CDO Bespoke'!$C$31,'CDO Bespoke'!$C$33),{5})),"")</f>
        <v/>
      </c>
      <c r="U244" s="493"/>
      <c r="V244" s="529"/>
      <c r="W244" s="530"/>
      <c r="X244" s="530"/>
      <c r="Y244" s="530"/>
      <c r="Z244" s="530"/>
      <c r="AA244" s="530"/>
      <c r="AB244" s="530"/>
      <c r="AC244" s="530"/>
      <c r="AD244" s="530"/>
      <c r="AE244" s="531"/>
      <c r="AF244" s="539"/>
    </row>
    <row r="245" spans="6:32" s="281" customFormat="1" ht="12" thickBot="1">
      <c r="F245" s="501" t="str">
        <f>IF('CDO Bespoke'!O246&lt;&gt;"",'CDO Bespoke'!O246,"")</f>
        <v/>
      </c>
      <c r="G245" s="502" t="str">
        <f>IF(F245&lt;&gt;"",ABS(MIN(-0.75*('CDO Bespoke'!Q246+'CDO Bespoke'!T246)+'CDO Bespoke'!T246,0)),"")</f>
        <v/>
      </c>
      <c r="H245" s="502" t="str">
        <f t="shared" si="12"/>
        <v/>
      </c>
      <c r="I245" s="502" t="str">
        <f t="shared" si="15"/>
        <v/>
      </c>
      <c r="J245" s="501" t="str">
        <f>IF('CDO Bespoke'!O246&lt;&gt;"",'CDO Bespoke'!O246,"")</f>
        <v/>
      </c>
      <c r="K245" s="502" t="str">
        <f>IF(J245&lt;&gt;"",ABS(MIN(-0.75*('CDO Bespoke'!K246+'CDO Bespoke'!T246)+'CDO Bespoke'!T246,0)),"")</f>
        <v/>
      </c>
      <c r="L245" s="502" t="str">
        <f t="shared" si="13"/>
        <v/>
      </c>
      <c r="M245" s="506" t="str">
        <f t="shared" si="14"/>
        <v/>
      </c>
      <c r="O245" s="511" t="str">
        <f>IF('CDO Bespoke'!C270&lt;&gt;"",'CDO Bespoke'!C270,"")</f>
        <v/>
      </c>
      <c r="P245" s="513" t="str" cm="1">
        <f t="array" ref="P245">IF($O245&lt;&gt;"",-TRANSPOSE(INDEX(getcds('CDO Bespoke'!$C270,P$13,'CDO Bespoke'!$G270/10000,'CDO Bespoke'!F270,'CDO Bespoke'!$L246,'CDO Bespoke'!$C$13,'CDO Bespoke'!$C$14,'CDO Bespoke'!$C$15,'CDO Bespoke'!$C$8,,,TRUE,TRUE,FALSE,'CDO Bespoke'!$C$29:'CDO Bespoke'!$C$31,'CDO Bespoke'!$C$33),{5})),"")</f>
        <v/>
      </c>
      <c r="Q245" s="542" t="str" cm="1">
        <f t="array" ref="Q245">IF($O245&lt;&gt;"",-TRANSPOSE(INDEX(getcds('CDO Bespoke'!$C270,Q$13,'CDO Bespoke'!$G270/10000,'CDO Bespoke'!G270,'CDO Bespoke'!$L246,'CDO Bespoke'!$C$13,'CDO Bespoke'!$C$14,'CDO Bespoke'!$C$15,'CDO Bespoke'!$C$8,,,TRUE,TRUE,FALSE,'CDO Bespoke'!$C$29:'CDO Bespoke'!$C$31,'CDO Bespoke'!$C$33),{5})),"")</f>
        <v/>
      </c>
      <c r="R245" s="542" t="str" cm="1">
        <f t="array" ref="R245">IF($O245&lt;&gt;"",-TRANSPOSE(INDEX(getcds('CDO Bespoke'!$C270,R$13,'CDO Bespoke'!$G270/10000,'CDO Bespoke'!H270,'CDO Bespoke'!$L246,'CDO Bespoke'!$C$13,'CDO Bespoke'!$C$14,'CDO Bespoke'!$C$15,'CDO Bespoke'!$C$8,,,TRUE,TRUE,FALSE,'CDO Bespoke'!$C$29:'CDO Bespoke'!$C$31,'CDO Bespoke'!$C$33),{5})),"")</f>
        <v/>
      </c>
      <c r="S245" s="542" t="str" cm="1">
        <f t="array" ref="S245">IF($O245&lt;&gt;"",-TRANSPOSE(INDEX(getcds('CDO Bespoke'!$C270,S$13,'CDO Bespoke'!$G270/10000,'CDO Bespoke'!I270,'CDO Bespoke'!$L246,'CDO Bespoke'!$C$13,'CDO Bespoke'!$C$14,'CDO Bespoke'!$C$15,'CDO Bespoke'!$C$8,,,TRUE,TRUE,FALSE,'CDO Bespoke'!$C$29:'CDO Bespoke'!$C$31,'CDO Bespoke'!$C$33),{5})),"")</f>
        <v/>
      </c>
      <c r="T245" s="514" t="str" cm="1">
        <f t="array" ref="T245">IF($O245&lt;&gt;"",-TRANSPOSE(INDEX(getcds('CDO Bespoke'!$C270,T$13,'CDO Bespoke'!$G270/10000,'CDO Bespoke'!J270,'CDO Bespoke'!$L246,'CDO Bespoke'!$C$13,'CDO Bespoke'!$C$14,'CDO Bespoke'!$C$15,'CDO Bespoke'!$C$8,,,TRUE,TRUE,FALSE,'CDO Bespoke'!$C$29:'CDO Bespoke'!$C$31,'CDO Bespoke'!$C$33),{5})),"")</f>
        <v/>
      </c>
      <c r="U245" s="493"/>
      <c r="V245" s="529"/>
      <c r="W245" s="530"/>
      <c r="X245" s="530"/>
      <c r="Y245" s="530"/>
      <c r="Z245" s="530"/>
      <c r="AA245" s="530"/>
      <c r="AB245" s="530"/>
      <c r="AC245" s="530"/>
      <c r="AD245" s="530"/>
      <c r="AE245" s="531"/>
      <c r="AF245" s="539"/>
    </row>
    <row r="246" spans="6:32" s="281" customFormat="1" ht="12" thickBot="1">
      <c r="F246" s="501" t="str">
        <f>IF('CDO Bespoke'!O247&lt;&gt;"",'CDO Bespoke'!O247,"")</f>
        <v/>
      </c>
      <c r="G246" s="502" t="str">
        <f>IF(F246&lt;&gt;"",ABS(MIN(-0.75*('CDO Bespoke'!Q247+'CDO Bespoke'!T247)+'CDO Bespoke'!T247,0)),"")</f>
        <v/>
      </c>
      <c r="H246" s="502" t="str">
        <f t="shared" si="12"/>
        <v/>
      </c>
      <c r="I246" s="502" t="str">
        <f t="shared" si="15"/>
        <v/>
      </c>
      <c r="J246" s="501" t="str">
        <f>IF('CDO Bespoke'!O247&lt;&gt;"",'CDO Bespoke'!O247,"")</f>
        <v/>
      </c>
      <c r="K246" s="502" t="str">
        <f>IF(J246&lt;&gt;"",ABS(MIN(-0.75*('CDO Bespoke'!K247+'CDO Bespoke'!T247)+'CDO Bespoke'!T247,0)),"")</f>
        <v/>
      </c>
      <c r="L246" s="502" t="str">
        <f t="shared" si="13"/>
        <v/>
      </c>
      <c r="M246" s="506" t="str">
        <f t="shared" si="14"/>
        <v/>
      </c>
      <c r="O246" s="511" t="str">
        <f>IF('CDO Bespoke'!C271&lt;&gt;"",'CDO Bespoke'!C271,"")</f>
        <v/>
      </c>
      <c r="P246" s="513" t="str" cm="1">
        <f t="array" ref="P246">IF($O246&lt;&gt;"",-TRANSPOSE(INDEX(getcds('CDO Bespoke'!$C271,P$13,'CDO Bespoke'!$G271/10000,'CDO Bespoke'!F271,'CDO Bespoke'!$L247,'CDO Bespoke'!$C$13,'CDO Bespoke'!$C$14,'CDO Bespoke'!$C$15,'CDO Bespoke'!$C$8,,,TRUE,TRUE,FALSE,'CDO Bespoke'!$C$29:'CDO Bespoke'!$C$31,'CDO Bespoke'!$C$33),{5})),"")</f>
        <v/>
      </c>
      <c r="Q246" s="542" t="str" cm="1">
        <f t="array" ref="Q246">IF($O246&lt;&gt;"",-TRANSPOSE(INDEX(getcds('CDO Bespoke'!$C271,Q$13,'CDO Bespoke'!$G271/10000,'CDO Bespoke'!G271,'CDO Bespoke'!$L247,'CDO Bespoke'!$C$13,'CDO Bespoke'!$C$14,'CDO Bespoke'!$C$15,'CDO Bespoke'!$C$8,,,TRUE,TRUE,FALSE,'CDO Bespoke'!$C$29:'CDO Bespoke'!$C$31,'CDO Bespoke'!$C$33),{5})),"")</f>
        <v/>
      </c>
      <c r="R246" s="542" t="str" cm="1">
        <f t="array" ref="R246">IF($O246&lt;&gt;"",-TRANSPOSE(INDEX(getcds('CDO Bespoke'!$C271,R$13,'CDO Bespoke'!$G271/10000,'CDO Bespoke'!H271,'CDO Bespoke'!$L247,'CDO Bespoke'!$C$13,'CDO Bespoke'!$C$14,'CDO Bespoke'!$C$15,'CDO Bespoke'!$C$8,,,TRUE,TRUE,FALSE,'CDO Bespoke'!$C$29:'CDO Bespoke'!$C$31,'CDO Bespoke'!$C$33),{5})),"")</f>
        <v/>
      </c>
      <c r="S246" s="542" t="str" cm="1">
        <f t="array" ref="S246">IF($O246&lt;&gt;"",-TRANSPOSE(INDEX(getcds('CDO Bespoke'!$C271,S$13,'CDO Bespoke'!$G271/10000,'CDO Bespoke'!I271,'CDO Bespoke'!$L247,'CDO Bespoke'!$C$13,'CDO Bespoke'!$C$14,'CDO Bespoke'!$C$15,'CDO Bespoke'!$C$8,,,TRUE,TRUE,FALSE,'CDO Bespoke'!$C$29:'CDO Bespoke'!$C$31,'CDO Bespoke'!$C$33),{5})),"")</f>
        <v/>
      </c>
      <c r="T246" s="514" t="str" cm="1">
        <f t="array" ref="T246">IF($O246&lt;&gt;"",-TRANSPOSE(INDEX(getcds('CDO Bespoke'!$C271,T$13,'CDO Bespoke'!$G271/10000,'CDO Bespoke'!J271,'CDO Bespoke'!$L247,'CDO Bespoke'!$C$13,'CDO Bespoke'!$C$14,'CDO Bespoke'!$C$15,'CDO Bespoke'!$C$8,,,TRUE,TRUE,FALSE,'CDO Bespoke'!$C$29:'CDO Bespoke'!$C$31,'CDO Bespoke'!$C$33),{5})),"")</f>
        <v/>
      </c>
      <c r="U246" s="493"/>
      <c r="V246" s="529"/>
      <c r="W246" s="530"/>
      <c r="X246" s="530"/>
      <c r="Y246" s="530"/>
      <c r="Z246" s="530"/>
      <c r="AA246" s="530"/>
      <c r="AB246" s="530"/>
      <c r="AC246" s="530"/>
      <c r="AD246" s="530"/>
      <c r="AE246" s="531"/>
      <c r="AF246" s="539"/>
    </row>
    <row r="247" spans="6:32" s="281" customFormat="1" ht="12" thickBot="1">
      <c r="F247" s="501" t="str">
        <f>IF('CDO Bespoke'!O248&lt;&gt;"",'CDO Bespoke'!O248,"")</f>
        <v/>
      </c>
      <c r="G247" s="502" t="str">
        <f>IF(F247&lt;&gt;"",ABS(MIN(-0.75*('CDO Bespoke'!Q248+'CDO Bespoke'!T248)+'CDO Bespoke'!T248,0)),"")</f>
        <v/>
      </c>
      <c r="H247" s="502" t="str">
        <f t="shared" si="12"/>
        <v/>
      </c>
      <c r="I247" s="502" t="str">
        <f t="shared" si="15"/>
        <v/>
      </c>
      <c r="J247" s="501" t="str">
        <f>IF('CDO Bespoke'!O248&lt;&gt;"",'CDO Bespoke'!O248,"")</f>
        <v/>
      </c>
      <c r="K247" s="502" t="str">
        <f>IF(J247&lt;&gt;"",ABS(MIN(-0.75*('CDO Bespoke'!K248+'CDO Bespoke'!T248)+'CDO Bespoke'!T248,0)),"")</f>
        <v/>
      </c>
      <c r="L247" s="502" t="str">
        <f t="shared" si="13"/>
        <v/>
      </c>
      <c r="M247" s="506" t="str">
        <f t="shared" si="14"/>
        <v/>
      </c>
      <c r="O247" s="511" t="str">
        <f>IF('CDO Bespoke'!C272&lt;&gt;"",'CDO Bespoke'!C272,"")</f>
        <v/>
      </c>
      <c r="P247" s="513" t="str" cm="1">
        <f t="array" ref="P247">IF($O247&lt;&gt;"",-TRANSPOSE(INDEX(getcds('CDO Bespoke'!$C272,P$13,'CDO Bespoke'!$G272/10000,'CDO Bespoke'!F272,'CDO Bespoke'!$L248,'CDO Bespoke'!$C$13,'CDO Bespoke'!$C$14,'CDO Bespoke'!$C$15,'CDO Bespoke'!$C$8,,,TRUE,TRUE,FALSE,'CDO Bespoke'!$C$29:'CDO Bespoke'!$C$31,'CDO Bespoke'!$C$33),{5})),"")</f>
        <v/>
      </c>
      <c r="Q247" s="542" t="str" cm="1">
        <f t="array" ref="Q247">IF($O247&lt;&gt;"",-TRANSPOSE(INDEX(getcds('CDO Bespoke'!$C272,Q$13,'CDO Bespoke'!$G272/10000,'CDO Bespoke'!G272,'CDO Bespoke'!$L248,'CDO Bespoke'!$C$13,'CDO Bespoke'!$C$14,'CDO Bespoke'!$C$15,'CDO Bespoke'!$C$8,,,TRUE,TRUE,FALSE,'CDO Bespoke'!$C$29:'CDO Bespoke'!$C$31,'CDO Bespoke'!$C$33),{5})),"")</f>
        <v/>
      </c>
      <c r="R247" s="542" t="str" cm="1">
        <f t="array" ref="R247">IF($O247&lt;&gt;"",-TRANSPOSE(INDEX(getcds('CDO Bespoke'!$C272,R$13,'CDO Bespoke'!$G272/10000,'CDO Bespoke'!H272,'CDO Bespoke'!$L248,'CDO Bespoke'!$C$13,'CDO Bespoke'!$C$14,'CDO Bespoke'!$C$15,'CDO Bespoke'!$C$8,,,TRUE,TRUE,FALSE,'CDO Bespoke'!$C$29:'CDO Bespoke'!$C$31,'CDO Bespoke'!$C$33),{5})),"")</f>
        <v/>
      </c>
      <c r="S247" s="542" t="str" cm="1">
        <f t="array" ref="S247">IF($O247&lt;&gt;"",-TRANSPOSE(INDEX(getcds('CDO Bespoke'!$C272,S$13,'CDO Bespoke'!$G272/10000,'CDO Bespoke'!I272,'CDO Bespoke'!$L248,'CDO Bespoke'!$C$13,'CDO Bespoke'!$C$14,'CDO Bespoke'!$C$15,'CDO Bespoke'!$C$8,,,TRUE,TRUE,FALSE,'CDO Bespoke'!$C$29:'CDO Bespoke'!$C$31,'CDO Bespoke'!$C$33),{5})),"")</f>
        <v/>
      </c>
      <c r="T247" s="514" t="str" cm="1">
        <f t="array" ref="T247">IF($O247&lt;&gt;"",-TRANSPOSE(INDEX(getcds('CDO Bespoke'!$C272,T$13,'CDO Bespoke'!$G272/10000,'CDO Bespoke'!J272,'CDO Bespoke'!$L248,'CDO Bespoke'!$C$13,'CDO Bespoke'!$C$14,'CDO Bespoke'!$C$15,'CDO Bespoke'!$C$8,,,TRUE,TRUE,FALSE,'CDO Bespoke'!$C$29:'CDO Bespoke'!$C$31,'CDO Bespoke'!$C$33),{5})),"")</f>
        <v/>
      </c>
      <c r="U247" s="493"/>
      <c r="V247" s="529"/>
      <c r="W247" s="530"/>
      <c r="X247" s="530"/>
      <c r="Y247" s="530"/>
      <c r="Z247" s="530"/>
      <c r="AA247" s="530"/>
      <c r="AB247" s="530"/>
      <c r="AC247" s="530"/>
      <c r="AD247" s="530"/>
      <c r="AE247" s="531"/>
      <c r="AF247" s="539"/>
    </row>
    <row r="248" spans="6:32" s="281" customFormat="1" ht="12" thickBot="1">
      <c r="F248" s="501" t="str">
        <f>IF('CDO Bespoke'!O249&lt;&gt;"",'CDO Bespoke'!O249,"")</f>
        <v/>
      </c>
      <c r="G248" s="502" t="str">
        <f>IF(F248&lt;&gt;"",ABS(MIN(-0.75*('CDO Bespoke'!Q249+'CDO Bespoke'!T249)+'CDO Bespoke'!T249,0)),"")</f>
        <v/>
      </c>
      <c r="H248" s="502" t="str">
        <f t="shared" si="12"/>
        <v/>
      </c>
      <c r="I248" s="502" t="str">
        <f t="shared" si="15"/>
        <v/>
      </c>
      <c r="J248" s="501" t="str">
        <f>IF('CDO Bespoke'!O249&lt;&gt;"",'CDO Bespoke'!O249,"")</f>
        <v/>
      </c>
      <c r="K248" s="502" t="str">
        <f>IF(J248&lt;&gt;"",ABS(MIN(-0.75*('CDO Bespoke'!K249+'CDO Bespoke'!T249)+'CDO Bespoke'!T249,0)),"")</f>
        <v/>
      </c>
      <c r="L248" s="502" t="str">
        <f t="shared" si="13"/>
        <v/>
      </c>
      <c r="M248" s="506" t="str">
        <f t="shared" si="14"/>
        <v/>
      </c>
      <c r="O248" s="511" t="str">
        <f>IF('CDO Bespoke'!C273&lt;&gt;"",'CDO Bespoke'!C273,"")</f>
        <v/>
      </c>
      <c r="P248" s="513" t="str" cm="1">
        <f t="array" ref="P248">IF($O248&lt;&gt;"",-TRANSPOSE(INDEX(getcds('CDO Bespoke'!$C273,P$13,'CDO Bespoke'!$G273/10000,'CDO Bespoke'!F273,'CDO Bespoke'!$L249,'CDO Bespoke'!$C$13,'CDO Bespoke'!$C$14,'CDO Bespoke'!$C$15,'CDO Bespoke'!$C$8,,,TRUE,TRUE,FALSE,'CDO Bespoke'!$C$29:'CDO Bespoke'!$C$31,'CDO Bespoke'!$C$33),{5})),"")</f>
        <v/>
      </c>
      <c r="Q248" s="542" t="str" cm="1">
        <f t="array" ref="Q248">IF($O248&lt;&gt;"",-TRANSPOSE(INDEX(getcds('CDO Bespoke'!$C273,Q$13,'CDO Bespoke'!$G273/10000,'CDO Bespoke'!G273,'CDO Bespoke'!$L249,'CDO Bespoke'!$C$13,'CDO Bespoke'!$C$14,'CDO Bespoke'!$C$15,'CDO Bespoke'!$C$8,,,TRUE,TRUE,FALSE,'CDO Bespoke'!$C$29:'CDO Bespoke'!$C$31,'CDO Bespoke'!$C$33),{5})),"")</f>
        <v/>
      </c>
      <c r="R248" s="542" t="str" cm="1">
        <f t="array" ref="R248">IF($O248&lt;&gt;"",-TRANSPOSE(INDEX(getcds('CDO Bespoke'!$C273,R$13,'CDO Bespoke'!$G273/10000,'CDO Bespoke'!H273,'CDO Bespoke'!$L249,'CDO Bespoke'!$C$13,'CDO Bespoke'!$C$14,'CDO Bespoke'!$C$15,'CDO Bespoke'!$C$8,,,TRUE,TRUE,FALSE,'CDO Bespoke'!$C$29:'CDO Bespoke'!$C$31,'CDO Bespoke'!$C$33),{5})),"")</f>
        <v/>
      </c>
      <c r="S248" s="542" t="str" cm="1">
        <f t="array" ref="S248">IF($O248&lt;&gt;"",-TRANSPOSE(INDEX(getcds('CDO Bespoke'!$C273,S$13,'CDO Bespoke'!$G273/10000,'CDO Bespoke'!I273,'CDO Bespoke'!$L249,'CDO Bespoke'!$C$13,'CDO Bespoke'!$C$14,'CDO Bespoke'!$C$15,'CDO Bespoke'!$C$8,,,TRUE,TRUE,FALSE,'CDO Bespoke'!$C$29:'CDO Bespoke'!$C$31,'CDO Bespoke'!$C$33),{5})),"")</f>
        <v/>
      </c>
      <c r="T248" s="514" t="str" cm="1">
        <f t="array" ref="T248">IF($O248&lt;&gt;"",-TRANSPOSE(INDEX(getcds('CDO Bespoke'!$C273,T$13,'CDO Bespoke'!$G273/10000,'CDO Bespoke'!J273,'CDO Bespoke'!$L249,'CDO Bespoke'!$C$13,'CDO Bespoke'!$C$14,'CDO Bespoke'!$C$15,'CDO Bespoke'!$C$8,,,TRUE,TRUE,FALSE,'CDO Bespoke'!$C$29:'CDO Bespoke'!$C$31,'CDO Bespoke'!$C$33),{5})),"")</f>
        <v/>
      </c>
      <c r="U248" s="493"/>
      <c r="V248" s="529"/>
      <c r="W248" s="530"/>
      <c r="X248" s="530"/>
      <c r="Y248" s="530"/>
      <c r="Z248" s="530"/>
      <c r="AA248" s="530"/>
      <c r="AB248" s="530"/>
      <c r="AC248" s="530"/>
      <c r="AD248" s="530"/>
      <c r="AE248" s="531"/>
      <c r="AF248" s="539"/>
    </row>
    <row r="249" spans="6:32" s="281" customFormat="1" ht="12" thickBot="1">
      <c r="F249" s="501" t="str">
        <f>IF('CDO Bespoke'!O250&lt;&gt;"",'CDO Bespoke'!O250,"")</f>
        <v/>
      </c>
      <c r="G249" s="502" t="str">
        <f>IF(F249&lt;&gt;"",ABS(MIN(-0.75*('CDO Bespoke'!Q250+'CDO Bespoke'!T250)+'CDO Bespoke'!T250,0)),"")</f>
        <v/>
      </c>
      <c r="H249" s="502" t="str">
        <f t="shared" si="12"/>
        <v/>
      </c>
      <c r="I249" s="502" t="str">
        <f t="shared" si="15"/>
        <v/>
      </c>
      <c r="J249" s="501" t="str">
        <f>IF('CDO Bespoke'!O250&lt;&gt;"",'CDO Bespoke'!O250,"")</f>
        <v/>
      </c>
      <c r="K249" s="502" t="str">
        <f>IF(J249&lt;&gt;"",ABS(MIN(-0.75*('CDO Bespoke'!K250+'CDO Bespoke'!T250)+'CDO Bespoke'!T250,0)),"")</f>
        <v/>
      </c>
      <c r="L249" s="502" t="str">
        <f t="shared" si="13"/>
        <v/>
      </c>
      <c r="M249" s="506" t="str">
        <f t="shared" si="14"/>
        <v/>
      </c>
      <c r="O249" s="511" t="str">
        <f>IF('CDO Bespoke'!C274&lt;&gt;"",'CDO Bespoke'!C274,"")</f>
        <v/>
      </c>
      <c r="P249" s="513" t="str" cm="1">
        <f t="array" ref="P249">IF($O249&lt;&gt;"",-TRANSPOSE(INDEX(getcds('CDO Bespoke'!$C274,P$13,'CDO Bespoke'!$G274/10000,'CDO Bespoke'!F274,'CDO Bespoke'!$L250,'CDO Bespoke'!$C$13,'CDO Bespoke'!$C$14,'CDO Bespoke'!$C$15,'CDO Bespoke'!$C$8,,,TRUE,TRUE,FALSE,'CDO Bespoke'!$C$29:'CDO Bespoke'!$C$31,'CDO Bespoke'!$C$33),{5})),"")</f>
        <v/>
      </c>
      <c r="Q249" s="542" t="str" cm="1">
        <f t="array" ref="Q249">IF($O249&lt;&gt;"",-TRANSPOSE(INDEX(getcds('CDO Bespoke'!$C274,Q$13,'CDO Bespoke'!$G274/10000,'CDO Bespoke'!G274,'CDO Bespoke'!$L250,'CDO Bespoke'!$C$13,'CDO Bespoke'!$C$14,'CDO Bespoke'!$C$15,'CDO Bespoke'!$C$8,,,TRUE,TRUE,FALSE,'CDO Bespoke'!$C$29:'CDO Bespoke'!$C$31,'CDO Bespoke'!$C$33),{5})),"")</f>
        <v/>
      </c>
      <c r="R249" s="542" t="str" cm="1">
        <f t="array" ref="R249">IF($O249&lt;&gt;"",-TRANSPOSE(INDEX(getcds('CDO Bespoke'!$C274,R$13,'CDO Bespoke'!$G274/10000,'CDO Bespoke'!H274,'CDO Bespoke'!$L250,'CDO Bespoke'!$C$13,'CDO Bespoke'!$C$14,'CDO Bespoke'!$C$15,'CDO Bespoke'!$C$8,,,TRUE,TRUE,FALSE,'CDO Bespoke'!$C$29:'CDO Bespoke'!$C$31,'CDO Bespoke'!$C$33),{5})),"")</f>
        <v/>
      </c>
      <c r="S249" s="542" t="str" cm="1">
        <f t="array" ref="S249">IF($O249&lt;&gt;"",-TRANSPOSE(INDEX(getcds('CDO Bespoke'!$C274,S$13,'CDO Bespoke'!$G274/10000,'CDO Bespoke'!I274,'CDO Bespoke'!$L250,'CDO Bespoke'!$C$13,'CDO Bespoke'!$C$14,'CDO Bespoke'!$C$15,'CDO Bespoke'!$C$8,,,TRUE,TRUE,FALSE,'CDO Bespoke'!$C$29:'CDO Bespoke'!$C$31,'CDO Bespoke'!$C$33),{5})),"")</f>
        <v/>
      </c>
      <c r="T249" s="514" t="str" cm="1">
        <f t="array" ref="T249">IF($O249&lt;&gt;"",-TRANSPOSE(INDEX(getcds('CDO Bespoke'!$C274,T$13,'CDO Bespoke'!$G274/10000,'CDO Bespoke'!J274,'CDO Bespoke'!$L250,'CDO Bespoke'!$C$13,'CDO Bespoke'!$C$14,'CDO Bespoke'!$C$15,'CDO Bespoke'!$C$8,,,TRUE,TRUE,FALSE,'CDO Bespoke'!$C$29:'CDO Bespoke'!$C$31,'CDO Bespoke'!$C$33),{5})),"")</f>
        <v/>
      </c>
      <c r="U249" s="493"/>
      <c r="V249" s="529"/>
      <c r="W249" s="530"/>
      <c r="X249" s="530"/>
      <c r="Y249" s="530"/>
      <c r="Z249" s="530"/>
      <c r="AA249" s="530"/>
      <c r="AB249" s="530"/>
      <c r="AC249" s="530"/>
      <c r="AD249" s="530"/>
      <c r="AE249" s="531"/>
      <c r="AF249" s="539"/>
    </row>
    <row r="250" spans="6:32" s="281" customFormat="1" ht="12" thickBot="1">
      <c r="F250" s="501" t="str">
        <f>IF('CDO Bespoke'!O251&lt;&gt;"",'CDO Bespoke'!O251,"")</f>
        <v/>
      </c>
      <c r="G250" s="502" t="str">
        <f>IF(F250&lt;&gt;"",ABS(MIN(-0.75*('CDO Bespoke'!Q251+'CDO Bespoke'!T251)+'CDO Bespoke'!T251,0)),"")</f>
        <v/>
      </c>
      <c r="H250" s="502" t="str">
        <f t="shared" si="12"/>
        <v/>
      </c>
      <c r="I250" s="502" t="str">
        <f t="shared" si="15"/>
        <v/>
      </c>
      <c r="J250" s="501" t="str">
        <f>IF('CDO Bespoke'!O251&lt;&gt;"",'CDO Bespoke'!O251,"")</f>
        <v/>
      </c>
      <c r="K250" s="502" t="str">
        <f>IF(J250&lt;&gt;"",ABS(MIN(-0.75*('CDO Bespoke'!K251+'CDO Bespoke'!T251)+'CDO Bespoke'!T251,0)),"")</f>
        <v/>
      </c>
      <c r="L250" s="502" t="str">
        <f t="shared" si="13"/>
        <v/>
      </c>
      <c r="M250" s="506" t="str">
        <f t="shared" si="14"/>
        <v/>
      </c>
      <c r="O250" s="511" t="str">
        <f>IF('CDO Bespoke'!C275&lt;&gt;"",'CDO Bespoke'!C275,"")</f>
        <v/>
      </c>
      <c r="P250" s="513" t="str" cm="1">
        <f t="array" ref="P250">IF($O250&lt;&gt;"",-TRANSPOSE(INDEX(getcds('CDO Bespoke'!$C275,P$13,'CDO Bespoke'!$G275/10000,'CDO Bespoke'!F275,'CDO Bespoke'!$L251,'CDO Bespoke'!$C$13,'CDO Bespoke'!$C$14,'CDO Bespoke'!$C$15,'CDO Bespoke'!$C$8,,,TRUE,TRUE,FALSE,'CDO Bespoke'!$C$29:'CDO Bespoke'!$C$31,'CDO Bespoke'!$C$33),{5})),"")</f>
        <v/>
      </c>
      <c r="Q250" s="542" t="str" cm="1">
        <f t="array" ref="Q250">IF($O250&lt;&gt;"",-TRANSPOSE(INDEX(getcds('CDO Bespoke'!$C275,Q$13,'CDO Bespoke'!$G275/10000,'CDO Bespoke'!G275,'CDO Bespoke'!$L251,'CDO Bespoke'!$C$13,'CDO Bespoke'!$C$14,'CDO Bespoke'!$C$15,'CDO Bespoke'!$C$8,,,TRUE,TRUE,FALSE,'CDO Bespoke'!$C$29:'CDO Bespoke'!$C$31,'CDO Bespoke'!$C$33),{5})),"")</f>
        <v/>
      </c>
      <c r="R250" s="542" t="str" cm="1">
        <f t="array" ref="R250">IF($O250&lt;&gt;"",-TRANSPOSE(INDEX(getcds('CDO Bespoke'!$C275,R$13,'CDO Bespoke'!$G275/10000,'CDO Bespoke'!H275,'CDO Bespoke'!$L251,'CDO Bespoke'!$C$13,'CDO Bespoke'!$C$14,'CDO Bespoke'!$C$15,'CDO Bespoke'!$C$8,,,TRUE,TRUE,FALSE,'CDO Bespoke'!$C$29:'CDO Bespoke'!$C$31,'CDO Bespoke'!$C$33),{5})),"")</f>
        <v/>
      </c>
      <c r="S250" s="542" t="str" cm="1">
        <f t="array" ref="S250">IF($O250&lt;&gt;"",-TRANSPOSE(INDEX(getcds('CDO Bespoke'!$C275,S$13,'CDO Bespoke'!$G275/10000,'CDO Bespoke'!I275,'CDO Bespoke'!$L251,'CDO Bespoke'!$C$13,'CDO Bespoke'!$C$14,'CDO Bespoke'!$C$15,'CDO Bespoke'!$C$8,,,TRUE,TRUE,FALSE,'CDO Bespoke'!$C$29:'CDO Bespoke'!$C$31,'CDO Bespoke'!$C$33),{5})),"")</f>
        <v/>
      </c>
      <c r="T250" s="514" t="str" cm="1">
        <f t="array" ref="T250">IF($O250&lt;&gt;"",-TRANSPOSE(INDEX(getcds('CDO Bespoke'!$C275,T$13,'CDO Bespoke'!$G275/10000,'CDO Bespoke'!J275,'CDO Bespoke'!$L251,'CDO Bespoke'!$C$13,'CDO Bespoke'!$C$14,'CDO Bespoke'!$C$15,'CDO Bespoke'!$C$8,,,TRUE,TRUE,FALSE,'CDO Bespoke'!$C$29:'CDO Bespoke'!$C$31,'CDO Bespoke'!$C$33),{5})),"")</f>
        <v/>
      </c>
      <c r="U250" s="493"/>
      <c r="V250" s="529"/>
      <c r="W250" s="530"/>
      <c r="X250" s="530"/>
      <c r="Y250" s="530"/>
      <c r="Z250" s="530"/>
      <c r="AA250" s="530"/>
      <c r="AB250" s="530"/>
      <c r="AC250" s="530"/>
      <c r="AD250" s="530"/>
      <c r="AE250" s="531"/>
      <c r="AF250" s="539"/>
    </row>
    <row r="251" spans="6:32" s="281" customFormat="1" ht="12" thickBot="1">
      <c r="F251" s="501" t="str">
        <f>IF('CDO Bespoke'!O252&lt;&gt;"",'CDO Bespoke'!O252,"")</f>
        <v/>
      </c>
      <c r="G251" s="502" t="str">
        <f>IF(F251&lt;&gt;"",ABS(MIN(-0.75*('CDO Bespoke'!Q252+'CDO Bespoke'!T252)+'CDO Bespoke'!T252,0)),"")</f>
        <v/>
      </c>
      <c r="H251" s="502" t="str">
        <f t="shared" si="12"/>
        <v/>
      </c>
      <c r="I251" s="502" t="str">
        <f t="shared" si="15"/>
        <v/>
      </c>
      <c r="J251" s="501" t="str">
        <f>IF('CDO Bespoke'!O252&lt;&gt;"",'CDO Bespoke'!O252,"")</f>
        <v/>
      </c>
      <c r="K251" s="502" t="str">
        <f>IF(J251&lt;&gt;"",ABS(MIN(-0.75*('CDO Bespoke'!K252+'CDO Bespoke'!T252)+'CDO Bespoke'!T252,0)),"")</f>
        <v/>
      </c>
      <c r="L251" s="502" t="str">
        <f t="shared" si="13"/>
        <v/>
      </c>
      <c r="M251" s="506" t="str">
        <f t="shared" si="14"/>
        <v/>
      </c>
      <c r="O251" s="511" t="str">
        <f>IF('CDO Bespoke'!C276&lt;&gt;"",'CDO Bespoke'!C276,"")</f>
        <v/>
      </c>
      <c r="P251" s="513" t="str" cm="1">
        <f t="array" ref="P251">IF($O251&lt;&gt;"",-TRANSPOSE(INDEX(getcds('CDO Bespoke'!$C276,P$13,'CDO Bespoke'!$G276/10000,'CDO Bespoke'!F276,'CDO Bespoke'!$L252,'CDO Bespoke'!$C$13,'CDO Bespoke'!$C$14,'CDO Bespoke'!$C$15,'CDO Bespoke'!$C$8,,,TRUE,TRUE,FALSE,'CDO Bespoke'!$C$29:'CDO Bespoke'!$C$31,'CDO Bespoke'!$C$33),{5})),"")</f>
        <v/>
      </c>
      <c r="Q251" s="542" t="str" cm="1">
        <f t="array" ref="Q251">IF($O251&lt;&gt;"",-TRANSPOSE(INDEX(getcds('CDO Bespoke'!$C276,Q$13,'CDO Bespoke'!$G276/10000,'CDO Bespoke'!G276,'CDO Bespoke'!$L252,'CDO Bespoke'!$C$13,'CDO Bespoke'!$C$14,'CDO Bespoke'!$C$15,'CDO Bespoke'!$C$8,,,TRUE,TRUE,FALSE,'CDO Bespoke'!$C$29:'CDO Bespoke'!$C$31,'CDO Bespoke'!$C$33),{5})),"")</f>
        <v/>
      </c>
      <c r="R251" s="542" t="str" cm="1">
        <f t="array" ref="R251">IF($O251&lt;&gt;"",-TRANSPOSE(INDEX(getcds('CDO Bespoke'!$C276,R$13,'CDO Bespoke'!$G276/10000,'CDO Bespoke'!H276,'CDO Bespoke'!$L252,'CDO Bespoke'!$C$13,'CDO Bespoke'!$C$14,'CDO Bespoke'!$C$15,'CDO Bespoke'!$C$8,,,TRUE,TRUE,FALSE,'CDO Bespoke'!$C$29:'CDO Bespoke'!$C$31,'CDO Bespoke'!$C$33),{5})),"")</f>
        <v/>
      </c>
      <c r="S251" s="542" t="str" cm="1">
        <f t="array" ref="S251">IF($O251&lt;&gt;"",-TRANSPOSE(INDEX(getcds('CDO Bespoke'!$C276,S$13,'CDO Bespoke'!$G276/10000,'CDO Bespoke'!I276,'CDO Bespoke'!$L252,'CDO Bespoke'!$C$13,'CDO Bespoke'!$C$14,'CDO Bespoke'!$C$15,'CDO Bespoke'!$C$8,,,TRUE,TRUE,FALSE,'CDO Bespoke'!$C$29:'CDO Bespoke'!$C$31,'CDO Bespoke'!$C$33),{5})),"")</f>
        <v/>
      </c>
      <c r="T251" s="514" t="str" cm="1">
        <f t="array" ref="T251">IF($O251&lt;&gt;"",-TRANSPOSE(INDEX(getcds('CDO Bespoke'!$C276,T$13,'CDO Bespoke'!$G276/10000,'CDO Bespoke'!J276,'CDO Bespoke'!$L252,'CDO Bespoke'!$C$13,'CDO Bespoke'!$C$14,'CDO Bespoke'!$C$15,'CDO Bespoke'!$C$8,,,TRUE,TRUE,FALSE,'CDO Bespoke'!$C$29:'CDO Bespoke'!$C$31,'CDO Bespoke'!$C$33),{5})),"")</f>
        <v/>
      </c>
      <c r="U251" s="493"/>
      <c r="V251" s="529"/>
      <c r="W251" s="530"/>
      <c r="X251" s="530"/>
      <c r="Y251" s="530"/>
      <c r="Z251" s="530"/>
      <c r="AA251" s="530"/>
      <c r="AB251" s="530"/>
      <c r="AC251" s="530"/>
      <c r="AD251" s="530"/>
      <c r="AE251" s="531"/>
      <c r="AF251" s="539"/>
    </row>
    <row r="252" spans="6:32" s="281" customFormat="1" ht="12" thickBot="1">
      <c r="F252" s="501" t="str">
        <f>IF('CDO Bespoke'!O253&lt;&gt;"",'CDO Bespoke'!O253,"")</f>
        <v/>
      </c>
      <c r="G252" s="502" t="str">
        <f>IF(F252&lt;&gt;"",ABS(MIN(-0.75*('CDO Bespoke'!Q253+'CDO Bespoke'!T253)+'CDO Bespoke'!T253,0)),"")</f>
        <v/>
      </c>
      <c r="H252" s="502" t="str">
        <f t="shared" si="12"/>
        <v/>
      </c>
      <c r="I252" s="502" t="str">
        <f t="shared" si="15"/>
        <v/>
      </c>
      <c r="J252" s="501" t="str">
        <f>IF('CDO Bespoke'!O253&lt;&gt;"",'CDO Bespoke'!O253,"")</f>
        <v/>
      </c>
      <c r="K252" s="502" t="str">
        <f>IF(J252&lt;&gt;"",ABS(MIN(-0.75*('CDO Bespoke'!K253+'CDO Bespoke'!T253)+'CDO Bespoke'!T253,0)),"")</f>
        <v/>
      </c>
      <c r="L252" s="502" t="str">
        <f t="shared" si="13"/>
        <v/>
      </c>
      <c r="M252" s="506" t="str">
        <f t="shared" si="14"/>
        <v/>
      </c>
      <c r="O252" s="511" t="str">
        <f>IF('CDO Bespoke'!C277&lt;&gt;"",'CDO Bespoke'!C277,"")</f>
        <v/>
      </c>
      <c r="P252" s="513" t="str" cm="1">
        <f t="array" ref="P252">IF($O252&lt;&gt;"",-TRANSPOSE(INDEX(getcds('CDO Bespoke'!$C277,P$13,'CDO Bespoke'!$G277/10000,'CDO Bespoke'!F277,'CDO Bespoke'!$L253,'CDO Bespoke'!$C$13,'CDO Bespoke'!$C$14,'CDO Bespoke'!$C$15,'CDO Bespoke'!$C$8,,,TRUE,TRUE,FALSE,'CDO Bespoke'!$C$29:'CDO Bespoke'!$C$31,'CDO Bespoke'!$C$33),{5})),"")</f>
        <v/>
      </c>
      <c r="Q252" s="542" t="str" cm="1">
        <f t="array" ref="Q252">IF($O252&lt;&gt;"",-TRANSPOSE(INDEX(getcds('CDO Bespoke'!$C277,Q$13,'CDO Bespoke'!$G277/10000,'CDO Bespoke'!G277,'CDO Bespoke'!$L253,'CDO Bespoke'!$C$13,'CDO Bespoke'!$C$14,'CDO Bespoke'!$C$15,'CDO Bespoke'!$C$8,,,TRUE,TRUE,FALSE,'CDO Bespoke'!$C$29:'CDO Bespoke'!$C$31,'CDO Bespoke'!$C$33),{5})),"")</f>
        <v/>
      </c>
      <c r="R252" s="542" t="str" cm="1">
        <f t="array" ref="R252">IF($O252&lt;&gt;"",-TRANSPOSE(INDEX(getcds('CDO Bespoke'!$C277,R$13,'CDO Bespoke'!$G277/10000,'CDO Bespoke'!H277,'CDO Bespoke'!$L253,'CDO Bespoke'!$C$13,'CDO Bespoke'!$C$14,'CDO Bespoke'!$C$15,'CDO Bespoke'!$C$8,,,TRUE,TRUE,FALSE,'CDO Bespoke'!$C$29:'CDO Bespoke'!$C$31,'CDO Bespoke'!$C$33),{5})),"")</f>
        <v/>
      </c>
      <c r="S252" s="542" t="str" cm="1">
        <f t="array" ref="S252">IF($O252&lt;&gt;"",-TRANSPOSE(INDEX(getcds('CDO Bespoke'!$C277,S$13,'CDO Bespoke'!$G277/10000,'CDO Bespoke'!I277,'CDO Bespoke'!$L253,'CDO Bespoke'!$C$13,'CDO Bespoke'!$C$14,'CDO Bespoke'!$C$15,'CDO Bespoke'!$C$8,,,TRUE,TRUE,FALSE,'CDO Bespoke'!$C$29:'CDO Bespoke'!$C$31,'CDO Bespoke'!$C$33),{5})),"")</f>
        <v/>
      </c>
      <c r="T252" s="514" t="str" cm="1">
        <f t="array" ref="T252">IF($O252&lt;&gt;"",-TRANSPOSE(INDEX(getcds('CDO Bespoke'!$C277,T$13,'CDO Bespoke'!$G277/10000,'CDO Bespoke'!J277,'CDO Bespoke'!$L253,'CDO Bespoke'!$C$13,'CDO Bespoke'!$C$14,'CDO Bespoke'!$C$15,'CDO Bespoke'!$C$8,,,TRUE,TRUE,FALSE,'CDO Bespoke'!$C$29:'CDO Bespoke'!$C$31,'CDO Bespoke'!$C$33),{5})),"")</f>
        <v/>
      </c>
      <c r="U252" s="493"/>
      <c r="V252" s="529"/>
      <c r="W252" s="530"/>
      <c r="X252" s="530"/>
      <c r="Y252" s="530"/>
      <c r="Z252" s="530"/>
      <c r="AA252" s="530"/>
      <c r="AB252" s="530"/>
      <c r="AC252" s="530"/>
      <c r="AD252" s="530"/>
      <c r="AE252" s="531"/>
      <c r="AF252" s="539"/>
    </row>
    <row r="253" spans="6:32" s="281" customFormat="1" ht="12" thickBot="1">
      <c r="F253" s="501" t="str">
        <f>IF('CDO Bespoke'!O254&lt;&gt;"",'CDO Bespoke'!O254,"")</f>
        <v/>
      </c>
      <c r="G253" s="502" t="str">
        <f>IF(F253&lt;&gt;"",ABS(MIN(-0.75*('CDO Bespoke'!Q254+'CDO Bespoke'!T254)+'CDO Bespoke'!T254,0)),"")</f>
        <v/>
      </c>
      <c r="H253" s="502" t="str">
        <f t="shared" si="12"/>
        <v/>
      </c>
      <c r="I253" s="502" t="str">
        <f t="shared" si="15"/>
        <v/>
      </c>
      <c r="J253" s="501" t="str">
        <f>IF('CDO Bespoke'!O254&lt;&gt;"",'CDO Bespoke'!O254,"")</f>
        <v/>
      </c>
      <c r="K253" s="502" t="str">
        <f>IF(J253&lt;&gt;"",ABS(MIN(-0.75*('CDO Bespoke'!K254+'CDO Bespoke'!T254)+'CDO Bespoke'!T254,0)),"")</f>
        <v/>
      </c>
      <c r="L253" s="502" t="str">
        <f t="shared" si="13"/>
        <v/>
      </c>
      <c r="M253" s="506" t="str">
        <f t="shared" si="14"/>
        <v/>
      </c>
      <c r="O253" s="511" t="str">
        <f>IF('CDO Bespoke'!C278&lt;&gt;"",'CDO Bespoke'!C278,"")</f>
        <v/>
      </c>
      <c r="P253" s="513" t="str" cm="1">
        <f t="array" ref="P253">IF($O253&lt;&gt;"",-TRANSPOSE(INDEX(getcds('CDO Bespoke'!$C278,P$13,'CDO Bespoke'!$G278/10000,'CDO Bespoke'!F278,'CDO Bespoke'!$L254,'CDO Bespoke'!$C$13,'CDO Bespoke'!$C$14,'CDO Bespoke'!$C$15,'CDO Bespoke'!$C$8,,,TRUE,TRUE,FALSE,'CDO Bespoke'!$C$29:'CDO Bespoke'!$C$31,'CDO Bespoke'!$C$33),{5})),"")</f>
        <v/>
      </c>
      <c r="Q253" s="542" t="str" cm="1">
        <f t="array" ref="Q253">IF($O253&lt;&gt;"",-TRANSPOSE(INDEX(getcds('CDO Bespoke'!$C278,Q$13,'CDO Bespoke'!$G278/10000,'CDO Bespoke'!G278,'CDO Bespoke'!$L254,'CDO Bespoke'!$C$13,'CDO Bespoke'!$C$14,'CDO Bespoke'!$C$15,'CDO Bespoke'!$C$8,,,TRUE,TRUE,FALSE,'CDO Bespoke'!$C$29:'CDO Bespoke'!$C$31,'CDO Bespoke'!$C$33),{5})),"")</f>
        <v/>
      </c>
      <c r="R253" s="542" t="str" cm="1">
        <f t="array" ref="R253">IF($O253&lt;&gt;"",-TRANSPOSE(INDEX(getcds('CDO Bespoke'!$C278,R$13,'CDO Bespoke'!$G278/10000,'CDO Bespoke'!H278,'CDO Bespoke'!$L254,'CDO Bespoke'!$C$13,'CDO Bespoke'!$C$14,'CDO Bespoke'!$C$15,'CDO Bespoke'!$C$8,,,TRUE,TRUE,FALSE,'CDO Bespoke'!$C$29:'CDO Bespoke'!$C$31,'CDO Bespoke'!$C$33),{5})),"")</f>
        <v/>
      </c>
      <c r="S253" s="542" t="str" cm="1">
        <f t="array" ref="S253">IF($O253&lt;&gt;"",-TRANSPOSE(INDEX(getcds('CDO Bespoke'!$C278,S$13,'CDO Bespoke'!$G278/10000,'CDO Bespoke'!I278,'CDO Bespoke'!$L254,'CDO Bespoke'!$C$13,'CDO Bespoke'!$C$14,'CDO Bespoke'!$C$15,'CDO Bespoke'!$C$8,,,TRUE,TRUE,FALSE,'CDO Bespoke'!$C$29:'CDO Bespoke'!$C$31,'CDO Bespoke'!$C$33),{5})),"")</f>
        <v/>
      </c>
      <c r="T253" s="514" t="str" cm="1">
        <f t="array" ref="T253">IF($O253&lt;&gt;"",-TRANSPOSE(INDEX(getcds('CDO Bespoke'!$C278,T$13,'CDO Bespoke'!$G278/10000,'CDO Bespoke'!J278,'CDO Bespoke'!$L254,'CDO Bespoke'!$C$13,'CDO Bespoke'!$C$14,'CDO Bespoke'!$C$15,'CDO Bespoke'!$C$8,,,TRUE,TRUE,FALSE,'CDO Bespoke'!$C$29:'CDO Bespoke'!$C$31,'CDO Bespoke'!$C$33),{5})),"")</f>
        <v/>
      </c>
      <c r="U253" s="493"/>
      <c r="V253" s="529"/>
      <c r="W253" s="530"/>
      <c r="X253" s="530"/>
      <c r="Y253" s="530"/>
      <c r="Z253" s="530"/>
      <c r="AA253" s="530"/>
      <c r="AB253" s="530"/>
      <c r="AC253" s="530"/>
      <c r="AD253" s="530"/>
      <c r="AE253" s="531"/>
      <c r="AF253" s="539"/>
    </row>
    <row r="254" spans="6:32" s="281" customFormat="1" ht="12" thickBot="1">
      <c r="F254" s="501" t="str">
        <f>IF('CDO Bespoke'!O255&lt;&gt;"",'CDO Bespoke'!O255,"")</f>
        <v/>
      </c>
      <c r="G254" s="502" t="str">
        <f>IF(F254&lt;&gt;"",ABS(MIN(-0.75*('CDO Bespoke'!Q255+'CDO Bespoke'!T255)+'CDO Bespoke'!T255,0)),"")</f>
        <v/>
      </c>
      <c r="H254" s="502" t="str">
        <f t="shared" si="12"/>
        <v/>
      </c>
      <c r="I254" s="502" t="str">
        <f t="shared" si="15"/>
        <v/>
      </c>
      <c r="J254" s="501" t="str">
        <f>IF('CDO Bespoke'!O255&lt;&gt;"",'CDO Bespoke'!O255,"")</f>
        <v/>
      </c>
      <c r="K254" s="502" t="str">
        <f>IF(J254&lt;&gt;"",ABS(MIN(-0.75*('CDO Bespoke'!K255+'CDO Bespoke'!T255)+'CDO Bespoke'!T255,0)),"")</f>
        <v/>
      </c>
      <c r="L254" s="502" t="str">
        <f t="shared" si="13"/>
        <v/>
      </c>
      <c r="M254" s="506" t="str">
        <f t="shared" si="14"/>
        <v/>
      </c>
      <c r="O254" s="511" t="str">
        <f>IF('CDO Bespoke'!C279&lt;&gt;"",'CDO Bespoke'!C279,"")</f>
        <v/>
      </c>
      <c r="P254" s="513" t="str" cm="1">
        <f t="array" ref="P254">IF($O254&lt;&gt;"",-TRANSPOSE(INDEX(getcds('CDO Bespoke'!$C279,P$13,'CDO Bespoke'!$G279/10000,'CDO Bespoke'!F279,'CDO Bespoke'!$L255,'CDO Bespoke'!$C$13,'CDO Bespoke'!$C$14,'CDO Bespoke'!$C$15,'CDO Bespoke'!$C$8,,,TRUE,TRUE,FALSE,'CDO Bespoke'!$C$29:'CDO Bespoke'!$C$31,'CDO Bespoke'!$C$33),{5})),"")</f>
        <v/>
      </c>
      <c r="Q254" s="542" t="str" cm="1">
        <f t="array" ref="Q254">IF($O254&lt;&gt;"",-TRANSPOSE(INDEX(getcds('CDO Bespoke'!$C279,Q$13,'CDO Bespoke'!$G279/10000,'CDO Bespoke'!G279,'CDO Bespoke'!$L255,'CDO Bespoke'!$C$13,'CDO Bespoke'!$C$14,'CDO Bespoke'!$C$15,'CDO Bespoke'!$C$8,,,TRUE,TRUE,FALSE,'CDO Bespoke'!$C$29:'CDO Bespoke'!$C$31,'CDO Bespoke'!$C$33),{5})),"")</f>
        <v/>
      </c>
      <c r="R254" s="542" t="str" cm="1">
        <f t="array" ref="R254">IF($O254&lt;&gt;"",-TRANSPOSE(INDEX(getcds('CDO Bespoke'!$C279,R$13,'CDO Bespoke'!$G279/10000,'CDO Bespoke'!H279,'CDO Bespoke'!$L255,'CDO Bespoke'!$C$13,'CDO Bespoke'!$C$14,'CDO Bespoke'!$C$15,'CDO Bespoke'!$C$8,,,TRUE,TRUE,FALSE,'CDO Bespoke'!$C$29:'CDO Bespoke'!$C$31,'CDO Bespoke'!$C$33),{5})),"")</f>
        <v/>
      </c>
      <c r="S254" s="542" t="str" cm="1">
        <f t="array" ref="S254">IF($O254&lt;&gt;"",-TRANSPOSE(INDEX(getcds('CDO Bespoke'!$C279,S$13,'CDO Bespoke'!$G279/10000,'CDO Bespoke'!I279,'CDO Bespoke'!$L255,'CDO Bespoke'!$C$13,'CDO Bespoke'!$C$14,'CDO Bespoke'!$C$15,'CDO Bespoke'!$C$8,,,TRUE,TRUE,FALSE,'CDO Bespoke'!$C$29:'CDO Bespoke'!$C$31,'CDO Bespoke'!$C$33),{5})),"")</f>
        <v/>
      </c>
      <c r="T254" s="514" t="str" cm="1">
        <f t="array" ref="T254">IF($O254&lt;&gt;"",-TRANSPOSE(INDEX(getcds('CDO Bespoke'!$C279,T$13,'CDO Bespoke'!$G279/10000,'CDO Bespoke'!J279,'CDO Bespoke'!$L255,'CDO Bespoke'!$C$13,'CDO Bespoke'!$C$14,'CDO Bespoke'!$C$15,'CDO Bespoke'!$C$8,,,TRUE,TRUE,FALSE,'CDO Bespoke'!$C$29:'CDO Bespoke'!$C$31,'CDO Bespoke'!$C$33),{5})),"")</f>
        <v/>
      </c>
      <c r="U254" s="493"/>
      <c r="V254" s="529"/>
      <c r="W254" s="530"/>
      <c r="X254" s="530"/>
      <c r="Y254" s="530"/>
      <c r="Z254" s="530"/>
      <c r="AA254" s="530"/>
      <c r="AB254" s="530"/>
      <c r="AC254" s="530"/>
      <c r="AD254" s="530"/>
      <c r="AE254" s="531"/>
      <c r="AF254" s="539"/>
    </row>
    <row r="255" spans="6:32" s="281" customFormat="1" ht="12" thickBot="1">
      <c r="F255" s="501" t="str">
        <f>IF('CDO Bespoke'!O256&lt;&gt;"",'CDO Bespoke'!O256,"")</f>
        <v/>
      </c>
      <c r="G255" s="502" t="str">
        <f>IF(F255&lt;&gt;"",ABS(MIN(-0.75*('CDO Bespoke'!Q256+'CDO Bespoke'!T256)+'CDO Bespoke'!T256,0)),"")</f>
        <v/>
      </c>
      <c r="H255" s="502" t="str">
        <f t="shared" si="12"/>
        <v/>
      </c>
      <c r="I255" s="502" t="str">
        <f t="shared" si="15"/>
        <v/>
      </c>
      <c r="J255" s="501" t="str">
        <f>IF('CDO Bespoke'!O256&lt;&gt;"",'CDO Bespoke'!O256,"")</f>
        <v/>
      </c>
      <c r="K255" s="502" t="str">
        <f>IF(J255&lt;&gt;"",ABS(MIN(-0.75*('CDO Bespoke'!K256+'CDO Bespoke'!T256)+'CDO Bespoke'!T256,0)),"")</f>
        <v/>
      </c>
      <c r="L255" s="502" t="str">
        <f t="shared" si="13"/>
        <v/>
      </c>
      <c r="M255" s="506" t="str">
        <f t="shared" si="14"/>
        <v/>
      </c>
      <c r="O255" s="511" t="str">
        <f>IF('CDO Bespoke'!C280&lt;&gt;"",'CDO Bespoke'!C280,"")</f>
        <v/>
      </c>
      <c r="P255" s="513" t="str" cm="1">
        <f t="array" ref="P255">IF($O255&lt;&gt;"",-TRANSPOSE(INDEX(getcds('CDO Bespoke'!$C280,P$13,'CDO Bespoke'!$G280/10000,'CDO Bespoke'!F280,'CDO Bespoke'!$L256,'CDO Bespoke'!$C$13,'CDO Bespoke'!$C$14,'CDO Bespoke'!$C$15,'CDO Bespoke'!$C$8,,,TRUE,TRUE,FALSE,'CDO Bespoke'!$C$29:'CDO Bespoke'!$C$31,'CDO Bespoke'!$C$33),{5})),"")</f>
        <v/>
      </c>
      <c r="Q255" s="542" t="str" cm="1">
        <f t="array" ref="Q255">IF($O255&lt;&gt;"",-TRANSPOSE(INDEX(getcds('CDO Bespoke'!$C280,Q$13,'CDO Bespoke'!$G280/10000,'CDO Bespoke'!G280,'CDO Bespoke'!$L256,'CDO Bespoke'!$C$13,'CDO Bespoke'!$C$14,'CDO Bespoke'!$C$15,'CDO Bespoke'!$C$8,,,TRUE,TRUE,FALSE,'CDO Bespoke'!$C$29:'CDO Bespoke'!$C$31,'CDO Bespoke'!$C$33),{5})),"")</f>
        <v/>
      </c>
      <c r="R255" s="542" t="str" cm="1">
        <f t="array" ref="R255">IF($O255&lt;&gt;"",-TRANSPOSE(INDEX(getcds('CDO Bespoke'!$C280,R$13,'CDO Bespoke'!$G280/10000,'CDO Bespoke'!H280,'CDO Bespoke'!$L256,'CDO Bespoke'!$C$13,'CDO Bespoke'!$C$14,'CDO Bespoke'!$C$15,'CDO Bespoke'!$C$8,,,TRUE,TRUE,FALSE,'CDO Bespoke'!$C$29:'CDO Bespoke'!$C$31,'CDO Bespoke'!$C$33),{5})),"")</f>
        <v/>
      </c>
      <c r="S255" s="542" t="str" cm="1">
        <f t="array" ref="S255">IF($O255&lt;&gt;"",-TRANSPOSE(INDEX(getcds('CDO Bespoke'!$C280,S$13,'CDO Bespoke'!$G280/10000,'CDO Bespoke'!I280,'CDO Bespoke'!$L256,'CDO Bespoke'!$C$13,'CDO Bespoke'!$C$14,'CDO Bespoke'!$C$15,'CDO Bespoke'!$C$8,,,TRUE,TRUE,FALSE,'CDO Bespoke'!$C$29:'CDO Bespoke'!$C$31,'CDO Bespoke'!$C$33),{5})),"")</f>
        <v/>
      </c>
      <c r="T255" s="514" t="str" cm="1">
        <f t="array" ref="T255">IF($O255&lt;&gt;"",-TRANSPOSE(INDEX(getcds('CDO Bespoke'!$C280,T$13,'CDO Bespoke'!$G280/10000,'CDO Bespoke'!J280,'CDO Bespoke'!$L256,'CDO Bespoke'!$C$13,'CDO Bespoke'!$C$14,'CDO Bespoke'!$C$15,'CDO Bespoke'!$C$8,,,TRUE,TRUE,FALSE,'CDO Bespoke'!$C$29:'CDO Bespoke'!$C$31,'CDO Bespoke'!$C$33),{5})),"")</f>
        <v/>
      </c>
      <c r="U255" s="493"/>
      <c r="V255" s="529"/>
      <c r="W255" s="530"/>
      <c r="X255" s="530"/>
      <c r="Y255" s="530"/>
      <c r="Z255" s="530"/>
      <c r="AA255" s="530"/>
      <c r="AB255" s="530"/>
      <c r="AC255" s="530"/>
      <c r="AD255" s="530"/>
      <c r="AE255" s="531"/>
      <c r="AF255" s="539"/>
    </row>
    <row r="256" spans="6:32" s="281" customFormat="1" ht="12" thickBot="1">
      <c r="F256" s="501" t="str">
        <f>IF('CDO Bespoke'!O257&lt;&gt;"",'CDO Bespoke'!O257,"")</f>
        <v/>
      </c>
      <c r="G256" s="502" t="str">
        <f>IF(F256&lt;&gt;"",ABS(MIN(-0.75*('CDO Bespoke'!Q257+'CDO Bespoke'!T257)+'CDO Bespoke'!T257,0)),"")</f>
        <v/>
      </c>
      <c r="H256" s="502" t="str">
        <f t="shared" si="12"/>
        <v/>
      </c>
      <c r="I256" s="502" t="str">
        <f t="shared" si="15"/>
        <v/>
      </c>
      <c r="J256" s="501" t="str">
        <f>IF('CDO Bespoke'!O257&lt;&gt;"",'CDO Bespoke'!O257,"")</f>
        <v/>
      </c>
      <c r="K256" s="502" t="str">
        <f>IF(J256&lt;&gt;"",ABS(MIN(-0.75*('CDO Bespoke'!K257+'CDO Bespoke'!T257)+'CDO Bespoke'!T257,0)),"")</f>
        <v/>
      </c>
      <c r="L256" s="502" t="str">
        <f t="shared" si="13"/>
        <v/>
      </c>
      <c r="M256" s="506" t="str">
        <f t="shared" si="14"/>
        <v/>
      </c>
      <c r="O256" s="511" t="str">
        <f>IF('CDO Bespoke'!C281&lt;&gt;"",'CDO Bespoke'!C281,"")</f>
        <v/>
      </c>
      <c r="P256" s="513" t="str" cm="1">
        <f t="array" ref="P256">IF($O256&lt;&gt;"",-TRANSPOSE(INDEX(getcds('CDO Bespoke'!$C281,P$13,'CDO Bespoke'!$G281/10000,'CDO Bespoke'!F281,'CDO Bespoke'!$L257,'CDO Bespoke'!$C$13,'CDO Bespoke'!$C$14,'CDO Bespoke'!$C$15,'CDO Bespoke'!$C$8,,,TRUE,TRUE,FALSE,'CDO Bespoke'!$C$29:'CDO Bespoke'!$C$31,'CDO Bespoke'!$C$33),{5})),"")</f>
        <v/>
      </c>
      <c r="Q256" s="542" t="str" cm="1">
        <f t="array" ref="Q256">IF($O256&lt;&gt;"",-TRANSPOSE(INDEX(getcds('CDO Bespoke'!$C281,Q$13,'CDO Bespoke'!$G281/10000,'CDO Bespoke'!G281,'CDO Bespoke'!$L257,'CDO Bespoke'!$C$13,'CDO Bespoke'!$C$14,'CDO Bespoke'!$C$15,'CDO Bespoke'!$C$8,,,TRUE,TRUE,FALSE,'CDO Bespoke'!$C$29:'CDO Bespoke'!$C$31,'CDO Bespoke'!$C$33),{5})),"")</f>
        <v/>
      </c>
      <c r="R256" s="542" t="str" cm="1">
        <f t="array" ref="R256">IF($O256&lt;&gt;"",-TRANSPOSE(INDEX(getcds('CDO Bespoke'!$C281,R$13,'CDO Bespoke'!$G281/10000,'CDO Bespoke'!H281,'CDO Bespoke'!$L257,'CDO Bespoke'!$C$13,'CDO Bespoke'!$C$14,'CDO Bespoke'!$C$15,'CDO Bespoke'!$C$8,,,TRUE,TRUE,FALSE,'CDO Bespoke'!$C$29:'CDO Bespoke'!$C$31,'CDO Bespoke'!$C$33),{5})),"")</f>
        <v/>
      </c>
      <c r="S256" s="542" t="str" cm="1">
        <f t="array" ref="S256">IF($O256&lt;&gt;"",-TRANSPOSE(INDEX(getcds('CDO Bespoke'!$C281,S$13,'CDO Bespoke'!$G281/10000,'CDO Bespoke'!I281,'CDO Bespoke'!$L257,'CDO Bespoke'!$C$13,'CDO Bespoke'!$C$14,'CDO Bespoke'!$C$15,'CDO Bespoke'!$C$8,,,TRUE,TRUE,FALSE,'CDO Bespoke'!$C$29:'CDO Bespoke'!$C$31,'CDO Bespoke'!$C$33),{5})),"")</f>
        <v/>
      </c>
      <c r="T256" s="514" t="str" cm="1">
        <f t="array" ref="T256">IF($O256&lt;&gt;"",-TRANSPOSE(INDEX(getcds('CDO Bespoke'!$C281,T$13,'CDO Bespoke'!$G281/10000,'CDO Bespoke'!J281,'CDO Bespoke'!$L257,'CDO Bespoke'!$C$13,'CDO Bespoke'!$C$14,'CDO Bespoke'!$C$15,'CDO Bespoke'!$C$8,,,TRUE,TRUE,FALSE,'CDO Bespoke'!$C$29:'CDO Bespoke'!$C$31,'CDO Bespoke'!$C$33),{5})),"")</f>
        <v/>
      </c>
      <c r="U256" s="493"/>
      <c r="V256" s="529"/>
      <c r="W256" s="530"/>
      <c r="X256" s="530"/>
      <c r="Y256" s="530"/>
      <c r="Z256" s="530"/>
      <c r="AA256" s="530"/>
      <c r="AB256" s="530"/>
      <c r="AC256" s="530"/>
      <c r="AD256" s="530"/>
      <c r="AE256" s="531"/>
      <c r="AF256" s="539"/>
    </row>
    <row r="257" spans="6:32" s="281" customFormat="1" ht="12" thickBot="1">
      <c r="F257" s="501" t="str">
        <f>IF('CDO Bespoke'!O258&lt;&gt;"",'CDO Bespoke'!O258,"")</f>
        <v/>
      </c>
      <c r="G257" s="502" t="str">
        <f>IF(F257&lt;&gt;"",ABS(MIN(-0.75*('CDO Bespoke'!Q258+'CDO Bespoke'!T258)+'CDO Bespoke'!T258,0)),"")</f>
        <v/>
      </c>
      <c r="H257" s="502" t="str">
        <f t="shared" si="12"/>
        <v/>
      </c>
      <c r="I257" s="502" t="str">
        <f t="shared" si="15"/>
        <v/>
      </c>
      <c r="J257" s="501" t="str">
        <f>IF('CDO Bespoke'!O258&lt;&gt;"",'CDO Bespoke'!O258,"")</f>
        <v/>
      </c>
      <c r="K257" s="502" t="str">
        <f>IF(J257&lt;&gt;"",ABS(MIN(-0.75*('CDO Bespoke'!K258+'CDO Bespoke'!T258)+'CDO Bespoke'!T258,0)),"")</f>
        <v/>
      </c>
      <c r="L257" s="502" t="str">
        <f t="shared" si="13"/>
        <v/>
      </c>
      <c r="M257" s="506" t="str">
        <f t="shared" si="14"/>
        <v/>
      </c>
      <c r="O257" s="511" t="str">
        <f>IF('CDO Bespoke'!C282&lt;&gt;"",'CDO Bespoke'!C282,"")</f>
        <v/>
      </c>
      <c r="P257" s="513" t="str" cm="1">
        <f t="array" ref="P257">IF($O257&lt;&gt;"",-TRANSPOSE(INDEX(getcds('CDO Bespoke'!$C282,P$13,'CDO Bespoke'!$G282/10000,'CDO Bespoke'!F282,'CDO Bespoke'!$L258,'CDO Bespoke'!$C$13,'CDO Bespoke'!$C$14,'CDO Bespoke'!$C$15,'CDO Bespoke'!$C$8,,,TRUE,TRUE,FALSE,'CDO Bespoke'!$C$29:'CDO Bespoke'!$C$31,'CDO Bespoke'!$C$33),{5})),"")</f>
        <v/>
      </c>
      <c r="Q257" s="542" t="str" cm="1">
        <f t="array" ref="Q257">IF($O257&lt;&gt;"",-TRANSPOSE(INDEX(getcds('CDO Bespoke'!$C282,Q$13,'CDO Bespoke'!$G282/10000,'CDO Bespoke'!G282,'CDO Bespoke'!$L258,'CDO Bespoke'!$C$13,'CDO Bespoke'!$C$14,'CDO Bespoke'!$C$15,'CDO Bespoke'!$C$8,,,TRUE,TRUE,FALSE,'CDO Bespoke'!$C$29:'CDO Bespoke'!$C$31,'CDO Bespoke'!$C$33),{5})),"")</f>
        <v/>
      </c>
      <c r="R257" s="542" t="str" cm="1">
        <f t="array" ref="R257">IF($O257&lt;&gt;"",-TRANSPOSE(INDEX(getcds('CDO Bespoke'!$C282,R$13,'CDO Bespoke'!$G282/10000,'CDO Bespoke'!H282,'CDO Bespoke'!$L258,'CDO Bespoke'!$C$13,'CDO Bespoke'!$C$14,'CDO Bespoke'!$C$15,'CDO Bespoke'!$C$8,,,TRUE,TRUE,FALSE,'CDO Bespoke'!$C$29:'CDO Bespoke'!$C$31,'CDO Bespoke'!$C$33),{5})),"")</f>
        <v/>
      </c>
      <c r="S257" s="542" t="str" cm="1">
        <f t="array" ref="S257">IF($O257&lt;&gt;"",-TRANSPOSE(INDEX(getcds('CDO Bespoke'!$C282,S$13,'CDO Bespoke'!$G282/10000,'CDO Bespoke'!I282,'CDO Bespoke'!$L258,'CDO Bespoke'!$C$13,'CDO Bespoke'!$C$14,'CDO Bespoke'!$C$15,'CDO Bespoke'!$C$8,,,TRUE,TRUE,FALSE,'CDO Bespoke'!$C$29:'CDO Bespoke'!$C$31,'CDO Bespoke'!$C$33),{5})),"")</f>
        <v/>
      </c>
      <c r="T257" s="514" t="str" cm="1">
        <f t="array" ref="T257">IF($O257&lt;&gt;"",-TRANSPOSE(INDEX(getcds('CDO Bespoke'!$C282,T$13,'CDO Bespoke'!$G282/10000,'CDO Bespoke'!J282,'CDO Bespoke'!$L258,'CDO Bespoke'!$C$13,'CDO Bespoke'!$C$14,'CDO Bespoke'!$C$15,'CDO Bespoke'!$C$8,,,TRUE,TRUE,FALSE,'CDO Bespoke'!$C$29:'CDO Bespoke'!$C$31,'CDO Bespoke'!$C$33),{5})),"")</f>
        <v/>
      </c>
      <c r="U257" s="493"/>
      <c r="V257" s="529"/>
      <c r="W257" s="530"/>
      <c r="X257" s="530"/>
      <c r="Y257" s="530"/>
      <c r="Z257" s="530"/>
      <c r="AA257" s="530"/>
      <c r="AB257" s="530"/>
      <c r="AC257" s="530"/>
      <c r="AD257" s="530"/>
      <c r="AE257" s="531"/>
      <c r="AF257" s="539"/>
    </row>
    <row r="258" spans="6:32" s="281" customFormat="1" ht="12" thickBot="1">
      <c r="F258" s="501" t="str">
        <f>IF('CDO Bespoke'!O259&lt;&gt;"",'CDO Bespoke'!O259,"")</f>
        <v/>
      </c>
      <c r="G258" s="502" t="str">
        <f>IF(F258&lt;&gt;"",ABS(MIN(-0.75*('CDO Bespoke'!Q259+'CDO Bespoke'!T259)+'CDO Bespoke'!T259,0)),"")</f>
        <v/>
      </c>
      <c r="H258" s="502" t="str">
        <f t="shared" si="12"/>
        <v/>
      </c>
      <c r="I258" s="502" t="str">
        <f t="shared" si="15"/>
        <v/>
      </c>
      <c r="J258" s="501" t="str">
        <f>IF('CDO Bespoke'!O259&lt;&gt;"",'CDO Bespoke'!O259,"")</f>
        <v/>
      </c>
      <c r="K258" s="502" t="str">
        <f>IF(J258&lt;&gt;"",ABS(MIN(-0.75*('CDO Bespoke'!K259+'CDO Bespoke'!T259)+'CDO Bespoke'!T259,0)),"")</f>
        <v/>
      </c>
      <c r="L258" s="502" t="str">
        <f t="shared" si="13"/>
        <v/>
      </c>
      <c r="M258" s="506" t="str">
        <f t="shared" si="14"/>
        <v/>
      </c>
      <c r="O258" s="511" t="str">
        <f>IF('CDO Bespoke'!C283&lt;&gt;"",'CDO Bespoke'!C283,"")</f>
        <v/>
      </c>
      <c r="P258" s="513" t="str" cm="1">
        <f t="array" ref="P258">IF($O258&lt;&gt;"",-TRANSPOSE(INDEX(getcds('CDO Bespoke'!$C283,P$13,'CDO Bespoke'!$G283/10000,'CDO Bespoke'!F283,'CDO Bespoke'!$L259,'CDO Bespoke'!$C$13,'CDO Bespoke'!$C$14,'CDO Bespoke'!$C$15,'CDO Bespoke'!$C$8,,,TRUE,TRUE,FALSE,'CDO Bespoke'!$C$29:'CDO Bespoke'!$C$31,'CDO Bespoke'!$C$33),{5})),"")</f>
        <v/>
      </c>
      <c r="Q258" s="542" t="str" cm="1">
        <f t="array" ref="Q258">IF($O258&lt;&gt;"",-TRANSPOSE(INDEX(getcds('CDO Bespoke'!$C283,Q$13,'CDO Bespoke'!$G283/10000,'CDO Bespoke'!G283,'CDO Bespoke'!$L259,'CDO Bespoke'!$C$13,'CDO Bespoke'!$C$14,'CDO Bespoke'!$C$15,'CDO Bespoke'!$C$8,,,TRUE,TRUE,FALSE,'CDO Bespoke'!$C$29:'CDO Bespoke'!$C$31,'CDO Bespoke'!$C$33),{5})),"")</f>
        <v/>
      </c>
      <c r="R258" s="542" t="str" cm="1">
        <f t="array" ref="R258">IF($O258&lt;&gt;"",-TRANSPOSE(INDEX(getcds('CDO Bespoke'!$C283,R$13,'CDO Bespoke'!$G283/10000,'CDO Bespoke'!H283,'CDO Bespoke'!$L259,'CDO Bespoke'!$C$13,'CDO Bespoke'!$C$14,'CDO Bespoke'!$C$15,'CDO Bespoke'!$C$8,,,TRUE,TRUE,FALSE,'CDO Bespoke'!$C$29:'CDO Bespoke'!$C$31,'CDO Bespoke'!$C$33),{5})),"")</f>
        <v/>
      </c>
      <c r="S258" s="542" t="str" cm="1">
        <f t="array" ref="S258">IF($O258&lt;&gt;"",-TRANSPOSE(INDEX(getcds('CDO Bespoke'!$C283,S$13,'CDO Bespoke'!$G283/10000,'CDO Bespoke'!I283,'CDO Bespoke'!$L259,'CDO Bespoke'!$C$13,'CDO Bespoke'!$C$14,'CDO Bespoke'!$C$15,'CDO Bespoke'!$C$8,,,TRUE,TRUE,FALSE,'CDO Bespoke'!$C$29:'CDO Bespoke'!$C$31,'CDO Bespoke'!$C$33),{5})),"")</f>
        <v/>
      </c>
      <c r="T258" s="514" t="str" cm="1">
        <f t="array" ref="T258">IF($O258&lt;&gt;"",-TRANSPOSE(INDEX(getcds('CDO Bespoke'!$C283,T$13,'CDO Bespoke'!$G283/10000,'CDO Bespoke'!J283,'CDO Bespoke'!$L259,'CDO Bespoke'!$C$13,'CDO Bespoke'!$C$14,'CDO Bespoke'!$C$15,'CDO Bespoke'!$C$8,,,TRUE,TRUE,FALSE,'CDO Bespoke'!$C$29:'CDO Bespoke'!$C$31,'CDO Bespoke'!$C$33),{5})),"")</f>
        <v/>
      </c>
      <c r="U258" s="493"/>
      <c r="V258" s="529"/>
      <c r="W258" s="530"/>
      <c r="X258" s="530"/>
      <c r="Y258" s="530"/>
      <c r="Z258" s="530"/>
      <c r="AA258" s="530"/>
      <c r="AB258" s="530"/>
      <c r="AC258" s="530"/>
      <c r="AD258" s="530"/>
      <c r="AE258" s="531"/>
      <c r="AF258" s="539"/>
    </row>
    <row r="259" spans="6:32" s="281" customFormat="1" ht="12" thickBot="1">
      <c r="F259" s="501" t="str">
        <f>IF('CDO Bespoke'!O260&lt;&gt;"",'CDO Bespoke'!O260,"")</f>
        <v/>
      </c>
      <c r="G259" s="502" t="str">
        <f>IF(F259&lt;&gt;"",ABS(MIN(-0.75*('CDO Bespoke'!Q260+'CDO Bespoke'!T260)+'CDO Bespoke'!T260,0)),"")</f>
        <v/>
      </c>
      <c r="H259" s="502" t="str">
        <f t="shared" si="12"/>
        <v/>
      </c>
      <c r="I259" s="502" t="str">
        <f t="shared" si="15"/>
        <v/>
      </c>
      <c r="J259" s="501" t="str">
        <f>IF('CDO Bespoke'!O260&lt;&gt;"",'CDO Bespoke'!O260,"")</f>
        <v/>
      </c>
      <c r="K259" s="502" t="str">
        <f>IF(J259&lt;&gt;"",ABS(MIN(-0.75*('CDO Bespoke'!K260+'CDO Bespoke'!T260)+'CDO Bespoke'!T260,0)),"")</f>
        <v/>
      </c>
      <c r="L259" s="502" t="str">
        <f t="shared" si="13"/>
        <v/>
      </c>
      <c r="M259" s="506" t="str">
        <f t="shared" si="14"/>
        <v/>
      </c>
      <c r="O259" s="511" t="str">
        <f>IF('CDO Bespoke'!C284&lt;&gt;"",'CDO Bespoke'!C284,"")</f>
        <v/>
      </c>
      <c r="P259" s="513" t="str" cm="1">
        <f t="array" ref="P259">IF($O259&lt;&gt;"",-TRANSPOSE(INDEX(getcds('CDO Bespoke'!$C284,P$13,'CDO Bespoke'!$G284/10000,'CDO Bespoke'!F284,'CDO Bespoke'!$L260,'CDO Bespoke'!$C$13,'CDO Bespoke'!$C$14,'CDO Bespoke'!$C$15,'CDO Bespoke'!$C$8,,,TRUE,TRUE,FALSE,'CDO Bespoke'!$C$29:'CDO Bespoke'!$C$31,'CDO Bespoke'!$C$33),{5})),"")</f>
        <v/>
      </c>
      <c r="Q259" s="542" t="str" cm="1">
        <f t="array" ref="Q259">IF($O259&lt;&gt;"",-TRANSPOSE(INDEX(getcds('CDO Bespoke'!$C284,Q$13,'CDO Bespoke'!$G284/10000,'CDO Bespoke'!G284,'CDO Bespoke'!$L260,'CDO Bespoke'!$C$13,'CDO Bespoke'!$C$14,'CDO Bespoke'!$C$15,'CDO Bespoke'!$C$8,,,TRUE,TRUE,FALSE,'CDO Bespoke'!$C$29:'CDO Bespoke'!$C$31,'CDO Bespoke'!$C$33),{5})),"")</f>
        <v/>
      </c>
      <c r="R259" s="542" t="str" cm="1">
        <f t="array" ref="R259">IF($O259&lt;&gt;"",-TRANSPOSE(INDEX(getcds('CDO Bespoke'!$C284,R$13,'CDO Bespoke'!$G284/10000,'CDO Bespoke'!H284,'CDO Bespoke'!$L260,'CDO Bespoke'!$C$13,'CDO Bespoke'!$C$14,'CDO Bespoke'!$C$15,'CDO Bespoke'!$C$8,,,TRUE,TRUE,FALSE,'CDO Bespoke'!$C$29:'CDO Bespoke'!$C$31,'CDO Bespoke'!$C$33),{5})),"")</f>
        <v/>
      </c>
      <c r="S259" s="542" t="str" cm="1">
        <f t="array" ref="S259">IF($O259&lt;&gt;"",-TRANSPOSE(INDEX(getcds('CDO Bespoke'!$C284,S$13,'CDO Bespoke'!$G284/10000,'CDO Bespoke'!I284,'CDO Bespoke'!$L260,'CDO Bespoke'!$C$13,'CDO Bespoke'!$C$14,'CDO Bespoke'!$C$15,'CDO Bespoke'!$C$8,,,TRUE,TRUE,FALSE,'CDO Bespoke'!$C$29:'CDO Bespoke'!$C$31,'CDO Bespoke'!$C$33),{5})),"")</f>
        <v/>
      </c>
      <c r="T259" s="514" t="str" cm="1">
        <f t="array" ref="T259">IF($O259&lt;&gt;"",-TRANSPOSE(INDEX(getcds('CDO Bespoke'!$C284,T$13,'CDO Bespoke'!$G284/10000,'CDO Bespoke'!J284,'CDO Bespoke'!$L260,'CDO Bespoke'!$C$13,'CDO Bespoke'!$C$14,'CDO Bespoke'!$C$15,'CDO Bespoke'!$C$8,,,TRUE,TRUE,FALSE,'CDO Bespoke'!$C$29:'CDO Bespoke'!$C$31,'CDO Bespoke'!$C$33),{5})),"")</f>
        <v/>
      </c>
      <c r="U259" s="493"/>
      <c r="V259" s="529"/>
      <c r="W259" s="530"/>
      <c r="X259" s="530"/>
      <c r="Y259" s="530"/>
      <c r="Z259" s="530"/>
      <c r="AA259" s="530"/>
      <c r="AB259" s="530"/>
      <c r="AC259" s="530"/>
      <c r="AD259" s="530"/>
      <c r="AE259" s="531"/>
      <c r="AF259" s="539"/>
    </row>
    <row r="260" spans="6:32" s="281" customFormat="1" ht="12" thickBot="1">
      <c r="F260" s="501" t="str">
        <f>IF('CDO Bespoke'!O261&lt;&gt;"",'CDO Bespoke'!O261,"")</f>
        <v/>
      </c>
      <c r="G260" s="502" t="str">
        <f>IF(F260&lt;&gt;"",ABS(MIN(-0.75*('CDO Bespoke'!Q261+'CDO Bespoke'!T261)+'CDO Bespoke'!T261,0)),"")</f>
        <v/>
      </c>
      <c r="H260" s="502" t="str">
        <f t="shared" si="12"/>
        <v/>
      </c>
      <c r="I260" s="502" t="str">
        <f t="shared" si="15"/>
        <v/>
      </c>
      <c r="J260" s="501" t="str">
        <f>IF('CDO Bespoke'!O261&lt;&gt;"",'CDO Bespoke'!O261,"")</f>
        <v/>
      </c>
      <c r="K260" s="502" t="str">
        <f>IF(J260&lt;&gt;"",ABS(MIN(-0.75*('CDO Bespoke'!K261+'CDO Bespoke'!T261)+'CDO Bespoke'!T261,0)),"")</f>
        <v/>
      </c>
      <c r="L260" s="502" t="str">
        <f t="shared" si="13"/>
        <v/>
      </c>
      <c r="M260" s="506" t="str">
        <f t="shared" si="14"/>
        <v/>
      </c>
      <c r="O260" s="511" t="str">
        <f>IF('CDO Bespoke'!C285&lt;&gt;"",'CDO Bespoke'!C285,"")</f>
        <v/>
      </c>
      <c r="P260" s="513" t="str" cm="1">
        <f t="array" ref="P260">IF($O260&lt;&gt;"",-TRANSPOSE(INDEX(getcds('CDO Bespoke'!$C285,P$13,'CDO Bespoke'!$G285/10000,'CDO Bespoke'!F285,'CDO Bespoke'!$L261,'CDO Bespoke'!$C$13,'CDO Bespoke'!$C$14,'CDO Bespoke'!$C$15,'CDO Bespoke'!$C$8,,,TRUE,TRUE,FALSE,'CDO Bespoke'!$C$29:'CDO Bespoke'!$C$31,'CDO Bespoke'!$C$33),{5})),"")</f>
        <v/>
      </c>
      <c r="Q260" s="542" t="str" cm="1">
        <f t="array" ref="Q260">IF($O260&lt;&gt;"",-TRANSPOSE(INDEX(getcds('CDO Bespoke'!$C285,Q$13,'CDO Bespoke'!$G285/10000,'CDO Bespoke'!G285,'CDO Bespoke'!$L261,'CDO Bespoke'!$C$13,'CDO Bespoke'!$C$14,'CDO Bespoke'!$C$15,'CDO Bespoke'!$C$8,,,TRUE,TRUE,FALSE,'CDO Bespoke'!$C$29:'CDO Bespoke'!$C$31,'CDO Bespoke'!$C$33),{5})),"")</f>
        <v/>
      </c>
      <c r="R260" s="542" t="str" cm="1">
        <f t="array" ref="R260">IF($O260&lt;&gt;"",-TRANSPOSE(INDEX(getcds('CDO Bespoke'!$C285,R$13,'CDO Bespoke'!$G285/10000,'CDO Bespoke'!H285,'CDO Bespoke'!$L261,'CDO Bespoke'!$C$13,'CDO Bespoke'!$C$14,'CDO Bespoke'!$C$15,'CDO Bespoke'!$C$8,,,TRUE,TRUE,FALSE,'CDO Bespoke'!$C$29:'CDO Bespoke'!$C$31,'CDO Bespoke'!$C$33),{5})),"")</f>
        <v/>
      </c>
      <c r="S260" s="542" t="str" cm="1">
        <f t="array" ref="S260">IF($O260&lt;&gt;"",-TRANSPOSE(INDEX(getcds('CDO Bespoke'!$C285,S$13,'CDO Bespoke'!$G285/10000,'CDO Bespoke'!I285,'CDO Bespoke'!$L261,'CDO Bespoke'!$C$13,'CDO Bespoke'!$C$14,'CDO Bespoke'!$C$15,'CDO Bespoke'!$C$8,,,TRUE,TRUE,FALSE,'CDO Bespoke'!$C$29:'CDO Bespoke'!$C$31,'CDO Bespoke'!$C$33),{5})),"")</f>
        <v/>
      </c>
      <c r="T260" s="514" t="str" cm="1">
        <f t="array" ref="T260">IF($O260&lt;&gt;"",-TRANSPOSE(INDEX(getcds('CDO Bespoke'!$C285,T$13,'CDO Bespoke'!$G285/10000,'CDO Bespoke'!J285,'CDO Bespoke'!$L261,'CDO Bespoke'!$C$13,'CDO Bespoke'!$C$14,'CDO Bespoke'!$C$15,'CDO Bespoke'!$C$8,,,TRUE,TRUE,FALSE,'CDO Bespoke'!$C$29:'CDO Bespoke'!$C$31,'CDO Bespoke'!$C$33),{5})),"")</f>
        <v/>
      </c>
      <c r="U260" s="493"/>
      <c r="V260" s="529"/>
      <c r="W260" s="530"/>
      <c r="X260" s="530"/>
      <c r="Y260" s="530"/>
      <c r="Z260" s="530"/>
      <c r="AA260" s="530"/>
      <c r="AB260" s="530"/>
      <c r="AC260" s="530"/>
      <c r="AD260" s="530"/>
      <c r="AE260" s="531"/>
      <c r="AF260" s="539"/>
    </row>
    <row r="261" spans="6:32" s="281" customFormat="1" ht="12" thickBot="1">
      <c r="F261" s="501" t="str">
        <f>IF('CDO Bespoke'!O262&lt;&gt;"",'CDO Bespoke'!O262,"")</f>
        <v/>
      </c>
      <c r="G261" s="502" t="str">
        <f>IF(F261&lt;&gt;"",ABS(MIN(-0.75*('CDO Bespoke'!Q262+'CDO Bespoke'!T262)+'CDO Bespoke'!T262,0)),"")</f>
        <v/>
      </c>
      <c r="H261" s="502" t="str">
        <f t="shared" si="12"/>
        <v/>
      </c>
      <c r="I261" s="502" t="str">
        <f t="shared" si="15"/>
        <v/>
      </c>
      <c r="J261" s="501" t="str">
        <f>IF('CDO Bespoke'!O262&lt;&gt;"",'CDO Bespoke'!O262,"")</f>
        <v/>
      </c>
      <c r="K261" s="502" t="str">
        <f>IF(J261&lt;&gt;"",ABS(MIN(-0.75*('CDO Bespoke'!K262+'CDO Bespoke'!T262)+'CDO Bespoke'!T262,0)),"")</f>
        <v/>
      </c>
      <c r="L261" s="502" t="str">
        <f t="shared" si="13"/>
        <v/>
      </c>
      <c r="M261" s="506" t="str">
        <f t="shared" si="14"/>
        <v/>
      </c>
      <c r="O261" s="511" t="str">
        <f>IF('CDO Bespoke'!C286&lt;&gt;"",'CDO Bespoke'!C286,"")</f>
        <v/>
      </c>
      <c r="P261" s="513" t="str" cm="1">
        <f t="array" ref="P261">IF($O261&lt;&gt;"",-TRANSPOSE(INDEX(getcds('CDO Bespoke'!$C286,P$13,'CDO Bespoke'!$G286/10000,'CDO Bespoke'!F286,'CDO Bespoke'!$L262,'CDO Bespoke'!$C$13,'CDO Bespoke'!$C$14,'CDO Bespoke'!$C$15,'CDO Bespoke'!$C$8,,,TRUE,TRUE,FALSE,'CDO Bespoke'!$C$29:'CDO Bespoke'!$C$31,'CDO Bespoke'!$C$33),{5})),"")</f>
        <v/>
      </c>
      <c r="Q261" s="542" t="str" cm="1">
        <f t="array" ref="Q261">IF($O261&lt;&gt;"",-TRANSPOSE(INDEX(getcds('CDO Bespoke'!$C286,Q$13,'CDO Bespoke'!$G286/10000,'CDO Bespoke'!G286,'CDO Bespoke'!$L262,'CDO Bespoke'!$C$13,'CDO Bespoke'!$C$14,'CDO Bespoke'!$C$15,'CDO Bespoke'!$C$8,,,TRUE,TRUE,FALSE,'CDO Bespoke'!$C$29:'CDO Bespoke'!$C$31,'CDO Bespoke'!$C$33),{5})),"")</f>
        <v/>
      </c>
      <c r="R261" s="542" t="str" cm="1">
        <f t="array" ref="R261">IF($O261&lt;&gt;"",-TRANSPOSE(INDEX(getcds('CDO Bespoke'!$C286,R$13,'CDO Bespoke'!$G286/10000,'CDO Bespoke'!H286,'CDO Bespoke'!$L262,'CDO Bespoke'!$C$13,'CDO Bespoke'!$C$14,'CDO Bespoke'!$C$15,'CDO Bespoke'!$C$8,,,TRUE,TRUE,FALSE,'CDO Bespoke'!$C$29:'CDO Bespoke'!$C$31,'CDO Bespoke'!$C$33),{5})),"")</f>
        <v/>
      </c>
      <c r="S261" s="542" t="str" cm="1">
        <f t="array" ref="S261">IF($O261&lt;&gt;"",-TRANSPOSE(INDEX(getcds('CDO Bespoke'!$C286,S$13,'CDO Bespoke'!$G286/10000,'CDO Bespoke'!I286,'CDO Bespoke'!$L262,'CDO Bespoke'!$C$13,'CDO Bespoke'!$C$14,'CDO Bespoke'!$C$15,'CDO Bespoke'!$C$8,,,TRUE,TRUE,FALSE,'CDO Bespoke'!$C$29:'CDO Bespoke'!$C$31,'CDO Bespoke'!$C$33),{5})),"")</f>
        <v/>
      </c>
      <c r="T261" s="514" t="str" cm="1">
        <f t="array" ref="T261">IF($O261&lt;&gt;"",-TRANSPOSE(INDEX(getcds('CDO Bespoke'!$C286,T$13,'CDO Bespoke'!$G286/10000,'CDO Bespoke'!J286,'CDO Bespoke'!$L262,'CDO Bespoke'!$C$13,'CDO Bespoke'!$C$14,'CDO Bespoke'!$C$15,'CDO Bespoke'!$C$8,,,TRUE,TRUE,FALSE,'CDO Bespoke'!$C$29:'CDO Bespoke'!$C$31,'CDO Bespoke'!$C$33),{5})),"")</f>
        <v/>
      </c>
      <c r="U261" s="493"/>
      <c r="V261" s="529"/>
      <c r="W261" s="530"/>
      <c r="X261" s="530"/>
      <c r="Y261" s="530"/>
      <c r="Z261" s="530"/>
      <c r="AA261" s="530"/>
      <c r="AB261" s="530"/>
      <c r="AC261" s="530"/>
      <c r="AD261" s="530"/>
      <c r="AE261" s="531"/>
      <c r="AF261" s="539"/>
    </row>
    <row r="262" spans="6:32" s="281" customFormat="1" ht="12" thickBot="1">
      <c r="F262" s="501" t="str">
        <f>IF('CDO Bespoke'!O263&lt;&gt;"",'CDO Bespoke'!O263,"")</f>
        <v/>
      </c>
      <c r="G262" s="502" t="str">
        <f>IF(F262&lt;&gt;"",ABS(MIN(-0.75*('CDO Bespoke'!Q263+'CDO Bespoke'!T263)+'CDO Bespoke'!T263,0)),"")</f>
        <v/>
      </c>
      <c r="H262" s="502" t="str">
        <f t="shared" si="12"/>
        <v/>
      </c>
      <c r="I262" s="502" t="str">
        <f t="shared" si="15"/>
        <v/>
      </c>
      <c r="J262" s="501" t="str">
        <f>IF('CDO Bespoke'!O263&lt;&gt;"",'CDO Bespoke'!O263,"")</f>
        <v/>
      </c>
      <c r="K262" s="502" t="str">
        <f>IF(J262&lt;&gt;"",ABS(MIN(-0.75*('CDO Bespoke'!K263+'CDO Bespoke'!T263)+'CDO Bespoke'!T263,0)),"")</f>
        <v/>
      </c>
      <c r="L262" s="502" t="str">
        <f t="shared" si="13"/>
        <v/>
      </c>
      <c r="M262" s="506" t="str">
        <f t="shared" si="14"/>
        <v/>
      </c>
      <c r="O262" s="511" t="str">
        <f>IF('CDO Bespoke'!C287&lt;&gt;"",'CDO Bespoke'!C287,"")</f>
        <v/>
      </c>
      <c r="P262" s="513" t="str" cm="1">
        <f t="array" ref="P262">IF($O262&lt;&gt;"",-TRANSPOSE(INDEX(getcds('CDO Bespoke'!$C287,P$13,'CDO Bespoke'!$G287/10000,'CDO Bespoke'!F287,'CDO Bespoke'!$L263,'CDO Bespoke'!$C$13,'CDO Bespoke'!$C$14,'CDO Bespoke'!$C$15,'CDO Bespoke'!$C$8,,,TRUE,TRUE,FALSE,'CDO Bespoke'!$C$29:'CDO Bespoke'!$C$31,'CDO Bespoke'!$C$33),{5})),"")</f>
        <v/>
      </c>
      <c r="Q262" s="542" t="str" cm="1">
        <f t="array" ref="Q262">IF($O262&lt;&gt;"",-TRANSPOSE(INDEX(getcds('CDO Bespoke'!$C287,Q$13,'CDO Bespoke'!$G287/10000,'CDO Bespoke'!G287,'CDO Bespoke'!$L263,'CDO Bespoke'!$C$13,'CDO Bespoke'!$C$14,'CDO Bespoke'!$C$15,'CDO Bespoke'!$C$8,,,TRUE,TRUE,FALSE,'CDO Bespoke'!$C$29:'CDO Bespoke'!$C$31,'CDO Bespoke'!$C$33),{5})),"")</f>
        <v/>
      </c>
      <c r="R262" s="542" t="str" cm="1">
        <f t="array" ref="R262">IF($O262&lt;&gt;"",-TRANSPOSE(INDEX(getcds('CDO Bespoke'!$C287,R$13,'CDO Bespoke'!$G287/10000,'CDO Bespoke'!H287,'CDO Bespoke'!$L263,'CDO Bespoke'!$C$13,'CDO Bespoke'!$C$14,'CDO Bespoke'!$C$15,'CDO Bespoke'!$C$8,,,TRUE,TRUE,FALSE,'CDO Bespoke'!$C$29:'CDO Bespoke'!$C$31,'CDO Bespoke'!$C$33),{5})),"")</f>
        <v/>
      </c>
      <c r="S262" s="542" t="str" cm="1">
        <f t="array" ref="S262">IF($O262&lt;&gt;"",-TRANSPOSE(INDEX(getcds('CDO Bespoke'!$C287,S$13,'CDO Bespoke'!$G287/10000,'CDO Bespoke'!I287,'CDO Bespoke'!$L263,'CDO Bespoke'!$C$13,'CDO Bespoke'!$C$14,'CDO Bespoke'!$C$15,'CDO Bespoke'!$C$8,,,TRUE,TRUE,FALSE,'CDO Bespoke'!$C$29:'CDO Bespoke'!$C$31,'CDO Bespoke'!$C$33),{5})),"")</f>
        <v/>
      </c>
      <c r="T262" s="514" t="str" cm="1">
        <f t="array" ref="T262">IF($O262&lt;&gt;"",-TRANSPOSE(INDEX(getcds('CDO Bespoke'!$C287,T$13,'CDO Bespoke'!$G287/10000,'CDO Bespoke'!J287,'CDO Bespoke'!$L263,'CDO Bespoke'!$C$13,'CDO Bespoke'!$C$14,'CDO Bespoke'!$C$15,'CDO Bespoke'!$C$8,,,TRUE,TRUE,FALSE,'CDO Bespoke'!$C$29:'CDO Bespoke'!$C$31,'CDO Bespoke'!$C$33),{5})),"")</f>
        <v/>
      </c>
      <c r="U262" s="493"/>
      <c r="V262" s="529"/>
      <c r="W262" s="530"/>
      <c r="X262" s="530"/>
      <c r="Y262" s="530"/>
      <c r="Z262" s="530"/>
      <c r="AA262" s="530"/>
      <c r="AB262" s="530"/>
      <c r="AC262" s="530"/>
      <c r="AD262" s="530"/>
      <c r="AE262" s="531"/>
      <c r="AF262" s="539"/>
    </row>
    <row r="263" spans="6:32" s="281" customFormat="1" ht="12" thickBot="1">
      <c r="F263" s="501" t="str">
        <f>IF('CDO Bespoke'!O264&lt;&gt;"",'CDO Bespoke'!O264,"")</f>
        <v/>
      </c>
      <c r="G263" s="502" t="str">
        <f>IF(F263&lt;&gt;"",ABS(MIN(-0.75*('CDO Bespoke'!Q264+'CDO Bespoke'!T264)+'CDO Bespoke'!T264,0)),"")</f>
        <v/>
      </c>
      <c r="H263" s="502" t="str">
        <f t="shared" si="12"/>
        <v/>
      </c>
      <c r="I263" s="502" t="str">
        <f t="shared" si="15"/>
        <v/>
      </c>
      <c r="J263" s="501" t="str">
        <f>IF('CDO Bespoke'!O264&lt;&gt;"",'CDO Bespoke'!O264,"")</f>
        <v/>
      </c>
      <c r="K263" s="502" t="str">
        <f>IF(J263&lt;&gt;"",ABS(MIN(-0.75*('CDO Bespoke'!K264+'CDO Bespoke'!T264)+'CDO Bespoke'!T264,0)),"")</f>
        <v/>
      </c>
      <c r="L263" s="502" t="str">
        <f t="shared" si="13"/>
        <v/>
      </c>
      <c r="M263" s="506" t="str">
        <f t="shared" si="14"/>
        <v/>
      </c>
      <c r="O263" s="511" t="str">
        <f>IF('CDO Bespoke'!C288&lt;&gt;"",'CDO Bespoke'!C288,"")</f>
        <v/>
      </c>
      <c r="P263" s="513" t="str" cm="1">
        <f t="array" ref="P263">IF($O263&lt;&gt;"",-TRANSPOSE(INDEX(getcds('CDO Bespoke'!$C288,P$13,'CDO Bespoke'!$G288/10000,'CDO Bespoke'!F288,'CDO Bespoke'!$L264,'CDO Bespoke'!$C$13,'CDO Bespoke'!$C$14,'CDO Bespoke'!$C$15,'CDO Bespoke'!$C$8,,,TRUE,TRUE,FALSE,'CDO Bespoke'!$C$29:'CDO Bespoke'!$C$31,'CDO Bespoke'!$C$33),{5})),"")</f>
        <v/>
      </c>
      <c r="Q263" s="542" t="str" cm="1">
        <f t="array" ref="Q263">IF($O263&lt;&gt;"",-TRANSPOSE(INDEX(getcds('CDO Bespoke'!$C288,Q$13,'CDO Bespoke'!$G288/10000,'CDO Bespoke'!G288,'CDO Bespoke'!$L264,'CDO Bespoke'!$C$13,'CDO Bespoke'!$C$14,'CDO Bespoke'!$C$15,'CDO Bespoke'!$C$8,,,TRUE,TRUE,FALSE,'CDO Bespoke'!$C$29:'CDO Bespoke'!$C$31,'CDO Bespoke'!$C$33),{5})),"")</f>
        <v/>
      </c>
      <c r="R263" s="542" t="str" cm="1">
        <f t="array" ref="R263">IF($O263&lt;&gt;"",-TRANSPOSE(INDEX(getcds('CDO Bespoke'!$C288,R$13,'CDO Bespoke'!$G288/10000,'CDO Bespoke'!H288,'CDO Bespoke'!$L264,'CDO Bespoke'!$C$13,'CDO Bespoke'!$C$14,'CDO Bespoke'!$C$15,'CDO Bespoke'!$C$8,,,TRUE,TRUE,FALSE,'CDO Bespoke'!$C$29:'CDO Bespoke'!$C$31,'CDO Bespoke'!$C$33),{5})),"")</f>
        <v/>
      </c>
      <c r="S263" s="542" t="str" cm="1">
        <f t="array" ref="S263">IF($O263&lt;&gt;"",-TRANSPOSE(INDEX(getcds('CDO Bespoke'!$C288,S$13,'CDO Bespoke'!$G288/10000,'CDO Bespoke'!I288,'CDO Bespoke'!$L264,'CDO Bespoke'!$C$13,'CDO Bespoke'!$C$14,'CDO Bespoke'!$C$15,'CDO Bespoke'!$C$8,,,TRUE,TRUE,FALSE,'CDO Bespoke'!$C$29:'CDO Bespoke'!$C$31,'CDO Bespoke'!$C$33),{5})),"")</f>
        <v/>
      </c>
      <c r="T263" s="514" t="str" cm="1">
        <f t="array" ref="T263">IF($O263&lt;&gt;"",-TRANSPOSE(INDEX(getcds('CDO Bespoke'!$C288,T$13,'CDO Bespoke'!$G288/10000,'CDO Bespoke'!J288,'CDO Bespoke'!$L264,'CDO Bespoke'!$C$13,'CDO Bespoke'!$C$14,'CDO Bespoke'!$C$15,'CDO Bespoke'!$C$8,,,TRUE,TRUE,FALSE,'CDO Bespoke'!$C$29:'CDO Bespoke'!$C$31,'CDO Bespoke'!$C$33),{5})),"")</f>
        <v/>
      </c>
      <c r="U263" s="493"/>
      <c r="V263" s="529"/>
      <c r="W263" s="530"/>
      <c r="X263" s="530"/>
      <c r="Y263" s="530"/>
      <c r="Z263" s="530"/>
      <c r="AA263" s="530"/>
      <c r="AB263" s="530"/>
      <c r="AC263" s="530"/>
      <c r="AD263" s="530"/>
      <c r="AE263" s="531"/>
      <c r="AF263" s="539"/>
    </row>
    <row r="264" spans="6:32" s="281" customFormat="1" ht="12" thickBot="1">
      <c r="F264" s="501" t="str">
        <f>IF('CDO Bespoke'!O265&lt;&gt;"",'CDO Bespoke'!O265,"")</f>
        <v/>
      </c>
      <c r="G264" s="502" t="str">
        <f>IF(F264&lt;&gt;"",ABS(MIN(-0.75*('CDO Bespoke'!Q265+'CDO Bespoke'!T265)+'CDO Bespoke'!T265,0)),"")</f>
        <v/>
      </c>
      <c r="H264" s="502" t="str">
        <f t="shared" si="12"/>
        <v/>
      </c>
      <c r="I264" s="502" t="str">
        <f t="shared" si="15"/>
        <v/>
      </c>
      <c r="J264" s="501" t="str">
        <f>IF('CDO Bespoke'!O265&lt;&gt;"",'CDO Bespoke'!O265,"")</f>
        <v/>
      </c>
      <c r="K264" s="502" t="str">
        <f>IF(J264&lt;&gt;"",ABS(MIN(-0.75*('CDO Bespoke'!K265+'CDO Bespoke'!T265)+'CDO Bespoke'!T265,0)),"")</f>
        <v/>
      </c>
      <c r="L264" s="502" t="str">
        <f t="shared" si="13"/>
        <v/>
      </c>
      <c r="M264" s="506" t="str">
        <f t="shared" si="14"/>
        <v/>
      </c>
      <c r="O264" s="511" t="str">
        <f>IF('CDO Bespoke'!C289&lt;&gt;"",'CDO Bespoke'!C289,"")</f>
        <v/>
      </c>
      <c r="P264" s="513" t="str" cm="1">
        <f t="array" ref="P264">IF($O264&lt;&gt;"",-TRANSPOSE(INDEX(getcds('CDO Bespoke'!$C289,P$13,'CDO Bespoke'!$G289/10000,'CDO Bespoke'!F289,'CDO Bespoke'!$L265,'CDO Bespoke'!$C$13,'CDO Bespoke'!$C$14,'CDO Bespoke'!$C$15,'CDO Bespoke'!$C$8,,,TRUE,TRUE,FALSE,'CDO Bespoke'!$C$29:'CDO Bespoke'!$C$31,'CDO Bespoke'!$C$33),{5})),"")</f>
        <v/>
      </c>
      <c r="Q264" s="542" t="str" cm="1">
        <f t="array" ref="Q264">IF($O264&lt;&gt;"",-TRANSPOSE(INDEX(getcds('CDO Bespoke'!$C289,Q$13,'CDO Bespoke'!$G289/10000,'CDO Bespoke'!G289,'CDO Bespoke'!$L265,'CDO Bespoke'!$C$13,'CDO Bespoke'!$C$14,'CDO Bespoke'!$C$15,'CDO Bespoke'!$C$8,,,TRUE,TRUE,FALSE,'CDO Bespoke'!$C$29:'CDO Bespoke'!$C$31,'CDO Bespoke'!$C$33),{5})),"")</f>
        <v/>
      </c>
      <c r="R264" s="542" t="str" cm="1">
        <f t="array" ref="R264">IF($O264&lt;&gt;"",-TRANSPOSE(INDEX(getcds('CDO Bespoke'!$C289,R$13,'CDO Bespoke'!$G289/10000,'CDO Bespoke'!H289,'CDO Bespoke'!$L265,'CDO Bespoke'!$C$13,'CDO Bespoke'!$C$14,'CDO Bespoke'!$C$15,'CDO Bespoke'!$C$8,,,TRUE,TRUE,FALSE,'CDO Bespoke'!$C$29:'CDO Bespoke'!$C$31,'CDO Bespoke'!$C$33),{5})),"")</f>
        <v/>
      </c>
      <c r="S264" s="542" t="str" cm="1">
        <f t="array" ref="S264">IF($O264&lt;&gt;"",-TRANSPOSE(INDEX(getcds('CDO Bespoke'!$C289,S$13,'CDO Bespoke'!$G289/10000,'CDO Bespoke'!I289,'CDO Bespoke'!$L265,'CDO Bespoke'!$C$13,'CDO Bespoke'!$C$14,'CDO Bespoke'!$C$15,'CDO Bespoke'!$C$8,,,TRUE,TRUE,FALSE,'CDO Bespoke'!$C$29:'CDO Bespoke'!$C$31,'CDO Bespoke'!$C$33),{5})),"")</f>
        <v/>
      </c>
      <c r="T264" s="514" t="str" cm="1">
        <f t="array" ref="T264">IF($O264&lt;&gt;"",-TRANSPOSE(INDEX(getcds('CDO Bespoke'!$C289,T$13,'CDO Bespoke'!$G289/10000,'CDO Bespoke'!J289,'CDO Bespoke'!$L265,'CDO Bespoke'!$C$13,'CDO Bespoke'!$C$14,'CDO Bespoke'!$C$15,'CDO Bespoke'!$C$8,,,TRUE,TRUE,FALSE,'CDO Bespoke'!$C$29:'CDO Bespoke'!$C$31,'CDO Bespoke'!$C$33),{5})),"")</f>
        <v/>
      </c>
      <c r="U264" s="493"/>
      <c r="V264" s="529"/>
      <c r="W264" s="530"/>
      <c r="X264" s="530"/>
      <c r="Y264" s="530"/>
      <c r="Z264" s="530"/>
      <c r="AA264" s="530"/>
      <c r="AB264" s="530"/>
      <c r="AC264" s="530"/>
      <c r="AD264" s="530"/>
      <c r="AE264" s="531"/>
      <c r="AF264" s="539"/>
    </row>
    <row r="265" spans="6:32" s="281" customFormat="1" ht="12" thickBot="1">
      <c r="F265" s="501" t="str">
        <f>IF('CDO Bespoke'!O266&lt;&gt;"",'CDO Bespoke'!O266,"")</f>
        <v/>
      </c>
      <c r="G265" s="502" t="str">
        <f>IF(F265&lt;&gt;"",ABS(MIN(-0.75*('CDO Bespoke'!Q266+'CDO Bespoke'!T266)+'CDO Bespoke'!T266,0)),"")</f>
        <v/>
      </c>
      <c r="H265" s="502" t="str">
        <f t="shared" si="12"/>
        <v/>
      </c>
      <c r="I265" s="502" t="str">
        <f t="shared" si="15"/>
        <v/>
      </c>
      <c r="J265" s="501" t="str">
        <f>IF('CDO Bespoke'!O266&lt;&gt;"",'CDO Bespoke'!O266,"")</f>
        <v/>
      </c>
      <c r="K265" s="502" t="str">
        <f>IF(J265&lt;&gt;"",ABS(MIN(-0.75*('CDO Bespoke'!K266+'CDO Bespoke'!T266)+'CDO Bespoke'!T266,0)),"")</f>
        <v/>
      </c>
      <c r="L265" s="502" t="str">
        <f t="shared" si="13"/>
        <v/>
      </c>
      <c r="M265" s="506" t="str">
        <f t="shared" si="14"/>
        <v/>
      </c>
      <c r="O265" s="511" t="str">
        <f>IF('CDO Bespoke'!C290&lt;&gt;"",'CDO Bespoke'!C290,"")</f>
        <v/>
      </c>
      <c r="P265" s="513" t="str" cm="1">
        <f t="array" ref="P265">IF($O265&lt;&gt;"",-TRANSPOSE(INDEX(getcds('CDO Bespoke'!$C290,P$13,'CDO Bespoke'!$G290/10000,'CDO Bespoke'!F290,'CDO Bespoke'!$L266,'CDO Bespoke'!$C$13,'CDO Bespoke'!$C$14,'CDO Bespoke'!$C$15,'CDO Bespoke'!$C$8,,,TRUE,TRUE,FALSE,'CDO Bespoke'!$C$29:'CDO Bespoke'!$C$31,'CDO Bespoke'!$C$33),{5})),"")</f>
        <v/>
      </c>
      <c r="Q265" s="542" t="str" cm="1">
        <f t="array" ref="Q265">IF($O265&lt;&gt;"",-TRANSPOSE(INDEX(getcds('CDO Bespoke'!$C290,Q$13,'CDO Bespoke'!$G290/10000,'CDO Bespoke'!G290,'CDO Bespoke'!$L266,'CDO Bespoke'!$C$13,'CDO Bespoke'!$C$14,'CDO Bespoke'!$C$15,'CDO Bespoke'!$C$8,,,TRUE,TRUE,FALSE,'CDO Bespoke'!$C$29:'CDO Bespoke'!$C$31,'CDO Bespoke'!$C$33),{5})),"")</f>
        <v/>
      </c>
      <c r="R265" s="542" t="str" cm="1">
        <f t="array" ref="R265">IF($O265&lt;&gt;"",-TRANSPOSE(INDEX(getcds('CDO Bespoke'!$C290,R$13,'CDO Bespoke'!$G290/10000,'CDO Bespoke'!H290,'CDO Bespoke'!$L266,'CDO Bespoke'!$C$13,'CDO Bespoke'!$C$14,'CDO Bespoke'!$C$15,'CDO Bespoke'!$C$8,,,TRUE,TRUE,FALSE,'CDO Bespoke'!$C$29:'CDO Bespoke'!$C$31,'CDO Bespoke'!$C$33),{5})),"")</f>
        <v/>
      </c>
      <c r="S265" s="542" t="str" cm="1">
        <f t="array" ref="S265">IF($O265&lt;&gt;"",-TRANSPOSE(INDEX(getcds('CDO Bespoke'!$C290,S$13,'CDO Bespoke'!$G290/10000,'CDO Bespoke'!I290,'CDO Bespoke'!$L266,'CDO Bespoke'!$C$13,'CDO Bespoke'!$C$14,'CDO Bespoke'!$C$15,'CDO Bespoke'!$C$8,,,TRUE,TRUE,FALSE,'CDO Bespoke'!$C$29:'CDO Bespoke'!$C$31,'CDO Bespoke'!$C$33),{5})),"")</f>
        <v/>
      </c>
      <c r="T265" s="514" t="str" cm="1">
        <f t="array" ref="T265">IF($O265&lt;&gt;"",-TRANSPOSE(INDEX(getcds('CDO Bespoke'!$C290,T$13,'CDO Bespoke'!$G290/10000,'CDO Bespoke'!J290,'CDO Bespoke'!$L266,'CDO Bespoke'!$C$13,'CDO Bespoke'!$C$14,'CDO Bespoke'!$C$15,'CDO Bespoke'!$C$8,,,TRUE,TRUE,FALSE,'CDO Bespoke'!$C$29:'CDO Bespoke'!$C$31,'CDO Bespoke'!$C$33),{5})),"")</f>
        <v/>
      </c>
      <c r="U265" s="493"/>
      <c r="V265" s="529"/>
      <c r="W265" s="530"/>
      <c r="X265" s="530"/>
      <c r="Y265" s="530"/>
      <c r="Z265" s="530"/>
      <c r="AA265" s="530"/>
      <c r="AB265" s="530"/>
      <c r="AC265" s="530"/>
      <c r="AD265" s="530"/>
      <c r="AE265" s="531"/>
      <c r="AF265" s="539"/>
    </row>
    <row r="266" spans="6:32" s="281" customFormat="1" ht="12" thickBot="1">
      <c r="F266" s="501" t="str">
        <f>IF('CDO Bespoke'!O267&lt;&gt;"",'CDO Bespoke'!O267,"")</f>
        <v/>
      </c>
      <c r="G266" s="502" t="str">
        <f>IF(F266&lt;&gt;"",ABS(MIN(-0.75*('CDO Bespoke'!Q267+'CDO Bespoke'!T267)+'CDO Bespoke'!T267,0)),"")</f>
        <v/>
      </c>
      <c r="H266" s="502" t="str">
        <f t="shared" si="12"/>
        <v/>
      </c>
      <c r="I266" s="502" t="str">
        <f t="shared" si="15"/>
        <v/>
      </c>
      <c r="J266" s="501" t="str">
        <f>IF('CDO Bespoke'!O267&lt;&gt;"",'CDO Bespoke'!O267,"")</f>
        <v/>
      </c>
      <c r="K266" s="502" t="str">
        <f>IF(J266&lt;&gt;"",ABS(MIN(-0.75*('CDO Bespoke'!K267+'CDO Bespoke'!T267)+'CDO Bespoke'!T267,0)),"")</f>
        <v/>
      </c>
      <c r="L266" s="502" t="str">
        <f t="shared" si="13"/>
        <v/>
      </c>
      <c r="M266" s="506" t="str">
        <f t="shared" si="14"/>
        <v/>
      </c>
      <c r="O266" s="511" t="str">
        <f>IF('CDO Bespoke'!C291&lt;&gt;"",'CDO Bespoke'!C291,"")</f>
        <v/>
      </c>
      <c r="P266" s="513" t="str" cm="1">
        <f t="array" ref="P266">IF($O266&lt;&gt;"",-TRANSPOSE(INDEX(getcds('CDO Bespoke'!$C291,P$13,'CDO Bespoke'!$G291/10000,'CDO Bespoke'!F291,'CDO Bespoke'!$L267,'CDO Bespoke'!$C$13,'CDO Bespoke'!$C$14,'CDO Bespoke'!$C$15,'CDO Bespoke'!$C$8,,,TRUE,TRUE,FALSE,'CDO Bespoke'!$C$29:'CDO Bespoke'!$C$31,'CDO Bespoke'!$C$33),{5})),"")</f>
        <v/>
      </c>
      <c r="Q266" s="542" t="str" cm="1">
        <f t="array" ref="Q266">IF($O266&lt;&gt;"",-TRANSPOSE(INDEX(getcds('CDO Bespoke'!$C291,Q$13,'CDO Bespoke'!$G291/10000,'CDO Bespoke'!G291,'CDO Bespoke'!$L267,'CDO Bespoke'!$C$13,'CDO Bespoke'!$C$14,'CDO Bespoke'!$C$15,'CDO Bespoke'!$C$8,,,TRUE,TRUE,FALSE,'CDO Bespoke'!$C$29:'CDO Bespoke'!$C$31,'CDO Bespoke'!$C$33),{5})),"")</f>
        <v/>
      </c>
      <c r="R266" s="542" t="str" cm="1">
        <f t="array" ref="R266">IF($O266&lt;&gt;"",-TRANSPOSE(INDEX(getcds('CDO Bespoke'!$C291,R$13,'CDO Bespoke'!$G291/10000,'CDO Bespoke'!H291,'CDO Bespoke'!$L267,'CDO Bespoke'!$C$13,'CDO Bespoke'!$C$14,'CDO Bespoke'!$C$15,'CDO Bespoke'!$C$8,,,TRUE,TRUE,FALSE,'CDO Bespoke'!$C$29:'CDO Bespoke'!$C$31,'CDO Bespoke'!$C$33),{5})),"")</f>
        <v/>
      </c>
      <c r="S266" s="542" t="str" cm="1">
        <f t="array" ref="S266">IF($O266&lt;&gt;"",-TRANSPOSE(INDEX(getcds('CDO Bespoke'!$C291,S$13,'CDO Bespoke'!$G291/10000,'CDO Bespoke'!I291,'CDO Bespoke'!$L267,'CDO Bespoke'!$C$13,'CDO Bespoke'!$C$14,'CDO Bespoke'!$C$15,'CDO Bespoke'!$C$8,,,TRUE,TRUE,FALSE,'CDO Bespoke'!$C$29:'CDO Bespoke'!$C$31,'CDO Bespoke'!$C$33),{5})),"")</f>
        <v/>
      </c>
      <c r="T266" s="514" t="str" cm="1">
        <f t="array" ref="T266">IF($O266&lt;&gt;"",-TRANSPOSE(INDEX(getcds('CDO Bespoke'!$C291,T$13,'CDO Bespoke'!$G291/10000,'CDO Bespoke'!J291,'CDO Bespoke'!$L267,'CDO Bespoke'!$C$13,'CDO Bespoke'!$C$14,'CDO Bespoke'!$C$15,'CDO Bespoke'!$C$8,,,TRUE,TRUE,FALSE,'CDO Bespoke'!$C$29:'CDO Bespoke'!$C$31,'CDO Bespoke'!$C$33),{5})),"")</f>
        <v/>
      </c>
      <c r="U266" s="493"/>
      <c r="V266" s="529"/>
      <c r="W266" s="530"/>
      <c r="X266" s="530"/>
      <c r="Y266" s="530"/>
      <c r="Z266" s="530"/>
      <c r="AA266" s="530"/>
      <c r="AB266" s="530"/>
      <c r="AC266" s="530"/>
      <c r="AD266" s="530"/>
      <c r="AE266" s="531"/>
      <c r="AF266" s="539"/>
    </row>
    <row r="267" spans="6:32" s="281" customFormat="1" ht="12" thickBot="1">
      <c r="F267" s="501" t="str">
        <f>IF('CDO Bespoke'!O268&lt;&gt;"",'CDO Bespoke'!O268,"")</f>
        <v/>
      </c>
      <c r="G267" s="502" t="str">
        <f>IF(F267&lt;&gt;"",ABS(MIN(-0.75*('CDO Bespoke'!Q268+'CDO Bespoke'!T268)+'CDO Bespoke'!T268,0)),"")</f>
        <v/>
      </c>
      <c r="H267" s="502" t="str">
        <f t="shared" si="12"/>
        <v/>
      </c>
      <c r="I267" s="502" t="str">
        <f t="shared" si="15"/>
        <v/>
      </c>
      <c r="J267" s="501" t="str">
        <f>IF('CDO Bespoke'!O268&lt;&gt;"",'CDO Bespoke'!O268,"")</f>
        <v/>
      </c>
      <c r="K267" s="502" t="str">
        <f>IF(J267&lt;&gt;"",ABS(MIN(-0.75*('CDO Bespoke'!K268+'CDO Bespoke'!T268)+'CDO Bespoke'!T268,0)),"")</f>
        <v/>
      </c>
      <c r="L267" s="502" t="str">
        <f t="shared" si="13"/>
        <v/>
      </c>
      <c r="M267" s="506" t="str">
        <f t="shared" si="14"/>
        <v/>
      </c>
      <c r="O267" s="511" t="str">
        <f>IF('CDO Bespoke'!C292&lt;&gt;"",'CDO Bespoke'!C292,"")</f>
        <v/>
      </c>
      <c r="P267" s="513" t="str" cm="1">
        <f t="array" ref="P267">IF($O267&lt;&gt;"",-TRANSPOSE(INDEX(getcds('CDO Bespoke'!$C292,P$13,'CDO Bespoke'!$G292/10000,'CDO Bespoke'!F292,'CDO Bespoke'!$L268,'CDO Bespoke'!$C$13,'CDO Bespoke'!$C$14,'CDO Bespoke'!$C$15,'CDO Bespoke'!$C$8,,,TRUE,TRUE,FALSE,'CDO Bespoke'!$C$29:'CDO Bespoke'!$C$31,'CDO Bespoke'!$C$33),{5})),"")</f>
        <v/>
      </c>
      <c r="Q267" s="542" t="str" cm="1">
        <f t="array" ref="Q267">IF($O267&lt;&gt;"",-TRANSPOSE(INDEX(getcds('CDO Bespoke'!$C292,Q$13,'CDO Bespoke'!$G292/10000,'CDO Bespoke'!G292,'CDO Bespoke'!$L268,'CDO Bespoke'!$C$13,'CDO Bespoke'!$C$14,'CDO Bespoke'!$C$15,'CDO Bespoke'!$C$8,,,TRUE,TRUE,FALSE,'CDO Bespoke'!$C$29:'CDO Bespoke'!$C$31,'CDO Bespoke'!$C$33),{5})),"")</f>
        <v/>
      </c>
      <c r="R267" s="542" t="str" cm="1">
        <f t="array" ref="R267">IF($O267&lt;&gt;"",-TRANSPOSE(INDEX(getcds('CDO Bespoke'!$C292,R$13,'CDO Bespoke'!$G292/10000,'CDO Bespoke'!H292,'CDO Bespoke'!$L268,'CDO Bespoke'!$C$13,'CDO Bespoke'!$C$14,'CDO Bespoke'!$C$15,'CDO Bespoke'!$C$8,,,TRUE,TRUE,FALSE,'CDO Bespoke'!$C$29:'CDO Bespoke'!$C$31,'CDO Bespoke'!$C$33),{5})),"")</f>
        <v/>
      </c>
      <c r="S267" s="542" t="str" cm="1">
        <f t="array" ref="S267">IF($O267&lt;&gt;"",-TRANSPOSE(INDEX(getcds('CDO Bespoke'!$C292,S$13,'CDO Bespoke'!$G292/10000,'CDO Bespoke'!I292,'CDO Bespoke'!$L268,'CDO Bespoke'!$C$13,'CDO Bespoke'!$C$14,'CDO Bespoke'!$C$15,'CDO Bespoke'!$C$8,,,TRUE,TRUE,FALSE,'CDO Bespoke'!$C$29:'CDO Bespoke'!$C$31,'CDO Bespoke'!$C$33),{5})),"")</f>
        <v/>
      </c>
      <c r="T267" s="514" t="str" cm="1">
        <f t="array" ref="T267">IF($O267&lt;&gt;"",-TRANSPOSE(INDEX(getcds('CDO Bespoke'!$C292,T$13,'CDO Bespoke'!$G292/10000,'CDO Bespoke'!J292,'CDO Bespoke'!$L268,'CDO Bespoke'!$C$13,'CDO Bespoke'!$C$14,'CDO Bespoke'!$C$15,'CDO Bespoke'!$C$8,,,TRUE,TRUE,FALSE,'CDO Bespoke'!$C$29:'CDO Bespoke'!$C$31,'CDO Bespoke'!$C$33),{5})),"")</f>
        <v/>
      </c>
      <c r="U267" s="493"/>
      <c r="V267" s="529"/>
      <c r="W267" s="530"/>
      <c r="X267" s="530"/>
      <c r="Y267" s="530"/>
      <c r="Z267" s="530"/>
      <c r="AA267" s="530"/>
      <c r="AB267" s="530"/>
      <c r="AC267" s="530"/>
      <c r="AD267" s="530"/>
      <c r="AE267" s="531"/>
      <c r="AF267" s="539"/>
    </row>
    <row r="268" spans="6:32" s="281" customFormat="1" ht="12" thickBot="1">
      <c r="F268" s="501" t="str">
        <f>IF('CDO Bespoke'!O269&lt;&gt;"",'CDO Bespoke'!O269,"")</f>
        <v/>
      </c>
      <c r="G268" s="502" t="str">
        <f>IF(F268&lt;&gt;"",ABS(MIN(-0.75*('CDO Bespoke'!Q269+'CDO Bespoke'!T269)+'CDO Bespoke'!T269,0)),"")</f>
        <v/>
      </c>
      <c r="H268" s="502" t="str">
        <f t="shared" si="12"/>
        <v/>
      </c>
      <c r="I268" s="502" t="str">
        <f t="shared" si="15"/>
        <v/>
      </c>
      <c r="J268" s="501" t="str">
        <f>IF('CDO Bespoke'!O269&lt;&gt;"",'CDO Bespoke'!O269,"")</f>
        <v/>
      </c>
      <c r="K268" s="502" t="str">
        <f>IF(J268&lt;&gt;"",ABS(MIN(-0.75*('CDO Bespoke'!K269+'CDO Bespoke'!T269)+'CDO Bespoke'!T269,0)),"")</f>
        <v/>
      </c>
      <c r="L268" s="502" t="str">
        <f t="shared" si="13"/>
        <v/>
      </c>
      <c r="M268" s="506" t="str">
        <f t="shared" si="14"/>
        <v/>
      </c>
      <c r="O268" s="511" t="str">
        <f>IF('CDO Bespoke'!C293&lt;&gt;"",'CDO Bespoke'!C293,"")</f>
        <v/>
      </c>
      <c r="P268" s="513" t="str" cm="1">
        <f t="array" ref="P268">IF($O268&lt;&gt;"",-TRANSPOSE(INDEX(getcds('CDO Bespoke'!$C293,P$13,'CDO Bespoke'!$G293/10000,'CDO Bespoke'!F293,'CDO Bespoke'!$L269,'CDO Bespoke'!$C$13,'CDO Bespoke'!$C$14,'CDO Bespoke'!$C$15,'CDO Bespoke'!$C$8,,,TRUE,TRUE,FALSE,'CDO Bespoke'!$C$29:'CDO Bespoke'!$C$31,'CDO Bespoke'!$C$33),{5})),"")</f>
        <v/>
      </c>
      <c r="Q268" s="542" t="str" cm="1">
        <f t="array" ref="Q268">IF($O268&lt;&gt;"",-TRANSPOSE(INDEX(getcds('CDO Bespoke'!$C293,Q$13,'CDO Bespoke'!$G293/10000,'CDO Bespoke'!G293,'CDO Bespoke'!$L269,'CDO Bespoke'!$C$13,'CDO Bespoke'!$C$14,'CDO Bespoke'!$C$15,'CDO Bespoke'!$C$8,,,TRUE,TRUE,FALSE,'CDO Bespoke'!$C$29:'CDO Bespoke'!$C$31,'CDO Bespoke'!$C$33),{5})),"")</f>
        <v/>
      </c>
      <c r="R268" s="542" t="str" cm="1">
        <f t="array" ref="R268">IF($O268&lt;&gt;"",-TRANSPOSE(INDEX(getcds('CDO Bespoke'!$C293,R$13,'CDO Bespoke'!$G293/10000,'CDO Bespoke'!H293,'CDO Bespoke'!$L269,'CDO Bespoke'!$C$13,'CDO Bespoke'!$C$14,'CDO Bespoke'!$C$15,'CDO Bespoke'!$C$8,,,TRUE,TRUE,FALSE,'CDO Bespoke'!$C$29:'CDO Bespoke'!$C$31,'CDO Bespoke'!$C$33),{5})),"")</f>
        <v/>
      </c>
      <c r="S268" s="542" t="str" cm="1">
        <f t="array" ref="S268">IF($O268&lt;&gt;"",-TRANSPOSE(INDEX(getcds('CDO Bespoke'!$C293,S$13,'CDO Bespoke'!$G293/10000,'CDO Bespoke'!I293,'CDO Bespoke'!$L269,'CDO Bespoke'!$C$13,'CDO Bespoke'!$C$14,'CDO Bespoke'!$C$15,'CDO Bespoke'!$C$8,,,TRUE,TRUE,FALSE,'CDO Bespoke'!$C$29:'CDO Bespoke'!$C$31,'CDO Bespoke'!$C$33),{5})),"")</f>
        <v/>
      </c>
      <c r="T268" s="514" t="str" cm="1">
        <f t="array" ref="T268">IF($O268&lt;&gt;"",-TRANSPOSE(INDEX(getcds('CDO Bespoke'!$C293,T$13,'CDO Bespoke'!$G293/10000,'CDO Bespoke'!J293,'CDO Bespoke'!$L269,'CDO Bespoke'!$C$13,'CDO Bespoke'!$C$14,'CDO Bespoke'!$C$15,'CDO Bespoke'!$C$8,,,TRUE,TRUE,FALSE,'CDO Bespoke'!$C$29:'CDO Bespoke'!$C$31,'CDO Bespoke'!$C$33),{5})),"")</f>
        <v/>
      </c>
      <c r="U268" s="493"/>
      <c r="V268" s="529"/>
      <c r="W268" s="530"/>
      <c r="X268" s="530"/>
      <c r="Y268" s="530"/>
      <c r="Z268" s="530"/>
      <c r="AA268" s="530"/>
      <c r="AB268" s="530"/>
      <c r="AC268" s="530"/>
      <c r="AD268" s="530"/>
      <c r="AE268" s="531"/>
      <c r="AF268" s="539"/>
    </row>
    <row r="269" spans="6:32" s="281" customFormat="1" ht="12" thickBot="1">
      <c r="F269" s="501" t="str">
        <f>IF('CDO Bespoke'!O270&lt;&gt;"",'CDO Bespoke'!O270,"")</f>
        <v/>
      </c>
      <c r="G269" s="502" t="str">
        <f>IF(F269&lt;&gt;"",ABS(MIN(-0.75*('CDO Bespoke'!Q270+'CDO Bespoke'!T270)+'CDO Bespoke'!T270,0)),"")</f>
        <v/>
      </c>
      <c r="H269" s="502" t="str">
        <f t="shared" si="12"/>
        <v/>
      </c>
      <c r="I269" s="502" t="str">
        <f t="shared" si="15"/>
        <v/>
      </c>
      <c r="J269" s="501" t="str">
        <f>IF('CDO Bespoke'!O270&lt;&gt;"",'CDO Bespoke'!O270,"")</f>
        <v/>
      </c>
      <c r="K269" s="502" t="str">
        <f>IF(J269&lt;&gt;"",ABS(MIN(-0.75*('CDO Bespoke'!K270+'CDO Bespoke'!T270)+'CDO Bespoke'!T270,0)),"")</f>
        <v/>
      </c>
      <c r="L269" s="502" t="str">
        <f t="shared" si="13"/>
        <v/>
      </c>
      <c r="M269" s="506" t="str">
        <f t="shared" si="14"/>
        <v/>
      </c>
      <c r="O269" s="511" t="str">
        <f>IF('CDO Bespoke'!C294&lt;&gt;"",'CDO Bespoke'!C294,"")</f>
        <v/>
      </c>
      <c r="P269" s="513" t="str" cm="1">
        <f t="array" ref="P269">IF($O269&lt;&gt;"",-TRANSPOSE(INDEX(getcds('CDO Bespoke'!$C294,P$13,'CDO Bespoke'!$G294/10000,'CDO Bespoke'!F294,'CDO Bespoke'!$L270,'CDO Bespoke'!$C$13,'CDO Bespoke'!$C$14,'CDO Bespoke'!$C$15,'CDO Bespoke'!$C$8,,,TRUE,TRUE,FALSE,'CDO Bespoke'!$C$29:'CDO Bespoke'!$C$31,'CDO Bespoke'!$C$33),{5})),"")</f>
        <v/>
      </c>
      <c r="Q269" s="542" t="str" cm="1">
        <f t="array" ref="Q269">IF($O269&lt;&gt;"",-TRANSPOSE(INDEX(getcds('CDO Bespoke'!$C294,Q$13,'CDO Bespoke'!$G294/10000,'CDO Bespoke'!G294,'CDO Bespoke'!$L270,'CDO Bespoke'!$C$13,'CDO Bespoke'!$C$14,'CDO Bespoke'!$C$15,'CDO Bespoke'!$C$8,,,TRUE,TRUE,FALSE,'CDO Bespoke'!$C$29:'CDO Bespoke'!$C$31,'CDO Bespoke'!$C$33),{5})),"")</f>
        <v/>
      </c>
      <c r="R269" s="542" t="str" cm="1">
        <f t="array" ref="R269">IF($O269&lt;&gt;"",-TRANSPOSE(INDEX(getcds('CDO Bespoke'!$C294,R$13,'CDO Bespoke'!$G294/10000,'CDO Bespoke'!H294,'CDO Bespoke'!$L270,'CDO Bespoke'!$C$13,'CDO Bespoke'!$C$14,'CDO Bespoke'!$C$15,'CDO Bespoke'!$C$8,,,TRUE,TRUE,FALSE,'CDO Bespoke'!$C$29:'CDO Bespoke'!$C$31,'CDO Bespoke'!$C$33),{5})),"")</f>
        <v/>
      </c>
      <c r="S269" s="542" t="str" cm="1">
        <f t="array" ref="S269">IF($O269&lt;&gt;"",-TRANSPOSE(INDEX(getcds('CDO Bespoke'!$C294,S$13,'CDO Bespoke'!$G294/10000,'CDO Bespoke'!I294,'CDO Bespoke'!$L270,'CDO Bespoke'!$C$13,'CDO Bespoke'!$C$14,'CDO Bespoke'!$C$15,'CDO Bespoke'!$C$8,,,TRUE,TRUE,FALSE,'CDO Bespoke'!$C$29:'CDO Bespoke'!$C$31,'CDO Bespoke'!$C$33),{5})),"")</f>
        <v/>
      </c>
      <c r="T269" s="514" t="str" cm="1">
        <f t="array" ref="T269">IF($O269&lt;&gt;"",-TRANSPOSE(INDEX(getcds('CDO Bespoke'!$C294,T$13,'CDO Bespoke'!$G294/10000,'CDO Bespoke'!J294,'CDO Bespoke'!$L270,'CDO Bespoke'!$C$13,'CDO Bespoke'!$C$14,'CDO Bespoke'!$C$15,'CDO Bespoke'!$C$8,,,TRUE,TRUE,FALSE,'CDO Bespoke'!$C$29:'CDO Bespoke'!$C$31,'CDO Bespoke'!$C$33),{5})),"")</f>
        <v/>
      </c>
      <c r="U269" s="493"/>
      <c r="V269" s="529"/>
      <c r="W269" s="530"/>
      <c r="X269" s="530"/>
      <c r="Y269" s="530"/>
      <c r="Z269" s="530"/>
      <c r="AA269" s="530"/>
      <c r="AB269" s="530"/>
      <c r="AC269" s="530"/>
      <c r="AD269" s="530"/>
      <c r="AE269" s="531"/>
      <c r="AF269" s="539"/>
    </row>
    <row r="270" spans="6:32" s="281" customFormat="1" ht="12" thickBot="1">
      <c r="F270" s="501" t="str">
        <f>IF('CDO Bespoke'!O271&lt;&gt;"",'CDO Bespoke'!O271,"")</f>
        <v/>
      </c>
      <c r="G270" s="502" t="str">
        <f>IF(F270&lt;&gt;"",ABS(MIN(-0.75*('CDO Bespoke'!Q271+'CDO Bespoke'!T271)+'CDO Bespoke'!T271,0)),"")</f>
        <v/>
      </c>
      <c r="H270" s="502" t="str">
        <f t="shared" si="12"/>
        <v/>
      </c>
      <c r="I270" s="502" t="str">
        <f t="shared" si="15"/>
        <v/>
      </c>
      <c r="J270" s="501" t="str">
        <f>IF('CDO Bespoke'!O271&lt;&gt;"",'CDO Bespoke'!O271,"")</f>
        <v/>
      </c>
      <c r="K270" s="502" t="str">
        <f>IF(J270&lt;&gt;"",ABS(MIN(-0.75*('CDO Bespoke'!K271+'CDO Bespoke'!T271)+'CDO Bespoke'!T271,0)),"")</f>
        <v/>
      </c>
      <c r="L270" s="502" t="str">
        <f t="shared" si="13"/>
        <v/>
      </c>
      <c r="M270" s="506" t="str">
        <f t="shared" si="14"/>
        <v/>
      </c>
      <c r="O270" s="511" t="str">
        <f>IF('CDO Bespoke'!C295&lt;&gt;"",'CDO Bespoke'!C295,"")</f>
        <v/>
      </c>
      <c r="P270" s="513" t="str" cm="1">
        <f t="array" ref="P270">IF($O270&lt;&gt;"",-TRANSPOSE(INDEX(getcds('CDO Bespoke'!$C295,P$13,'CDO Bespoke'!$G295/10000,'CDO Bespoke'!F295,'CDO Bespoke'!$L271,'CDO Bespoke'!$C$13,'CDO Bespoke'!$C$14,'CDO Bespoke'!$C$15,'CDO Bespoke'!$C$8,,,TRUE,TRUE,FALSE,'CDO Bespoke'!$C$29:'CDO Bespoke'!$C$31,'CDO Bespoke'!$C$33),{5})),"")</f>
        <v/>
      </c>
      <c r="Q270" s="542" t="str" cm="1">
        <f t="array" ref="Q270">IF($O270&lt;&gt;"",-TRANSPOSE(INDEX(getcds('CDO Bespoke'!$C295,Q$13,'CDO Bespoke'!$G295/10000,'CDO Bespoke'!G295,'CDO Bespoke'!$L271,'CDO Bespoke'!$C$13,'CDO Bespoke'!$C$14,'CDO Bespoke'!$C$15,'CDO Bespoke'!$C$8,,,TRUE,TRUE,FALSE,'CDO Bespoke'!$C$29:'CDO Bespoke'!$C$31,'CDO Bespoke'!$C$33),{5})),"")</f>
        <v/>
      </c>
      <c r="R270" s="542" t="str" cm="1">
        <f t="array" ref="R270">IF($O270&lt;&gt;"",-TRANSPOSE(INDEX(getcds('CDO Bespoke'!$C295,R$13,'CDO Bespoke'!$G295/10000,'CDO Bespoke'!H295,'CDO Bespoke'!$L271,'CDO Bespoke'!$C$13,'CDO Bespoke'!$C$14,'CDO Bespoke'!$C$15,'CDO Bespoke'!$C$8,,,TRUE,TRUE,FALSE,'CDO Bespoke'!$C$29:'CDO Bespoke'!$C$31,'CDO Bespoke'!$C$33),{5})),"")</f>
        <v/>
      </c>
      <c r="S270" s="542" t="str" cm="1">
        <f t="array" ref="S270">IF($O270&lt;&gt;"",-TRANSPOSE(INDEX(getcds('CDO Bespoke'!$C295,S$13,'CDO Bespoke'!$G295/10000,'CDO Bespoke'!I295,'CDO Bespoke'!$L271,'CDO Bespoke'!$C$13,'CDO Bespoke'!$C$14,'CDO Bespoke'!$C$15,'CDO Bespoke'!$C$8,,,TRUE,TRUE,FALSE,'CDO Bespoke'!$C$29:'CDO Bespoke'!$C$31,'CDO Bespoke'!$C$33),{5})),"")</f>
        <v/>
      </c>
      <c r="T270" s="514" t="str" cm="1">
        <f t="array" ref="T270">IF($O270&lt;&gt;"",-TRANSPOSE(INDEX(getcds('CDO Bespoke'!$C295,T$13,'CDO Bespoke'!$G295/10000,'CDO Bespoke'!J295,'CDO Bespoke'!$L271,'CDO Bespoke'!$C$13,'CDO Bespoke'!$C$14,'CDO Bespoke'!$C$15,'CDO Bespoke'!$C$8,,,TRUE,TRUE,FALSE,'CDO Bespoke'!$C$29:'CDO Bespoke'!$C$31,'CDO Bespoke'!$C$33),{5})),"")</f>
        <v/>
      </c>
      <c r="U270" s="493"/>
      <c r="V270" s="529"/>
      <c r="W270" s="530"/>
      <c r="X270" s="530"/>
      <c r="Y270" s="530"/>
      <c r="Z270" s="530"/>
      <c r="AA270" s="530"/>
      <c r="AB270" s="530"/>
      <c r="AC270" s="530"/>
      <c r="AD270" s="530"/>
      <c r="AE270" s="531"/>
      <c r="AF270" s="539"/>
    </row>
    <row r="271" spans="6:32" s="281" customFormat="1" ht="12" thickBot="1">
      <c r="F271" s="501" t="str">
        <f>IF('CDO Bespoke'!O272&lt;&gt;"",'CDO Bespoke'!O272,"")</f>
        <v/>
      </c>
      <c r="G271" s="502" t="str">
        <f>IF(F271&lt;&gt;"",ABS(MIN(-0.75*('CDO Bespoke'!Q272+'CDO Bespoke'!T272)+'CDO Bespoke'!T272,0)),"")</f>
        <v/>
      </c>
      <c r="H271" s="502" t="str">
        <f t="shared" ref="H271:H313" si="16">IF(F271&lt;&gt;"",IF($G$8,MAX(F271-G271,0),F271),"")</f>
        <v/>
      </c>
      <c r="I271" s="502" t="str">
        <f t="shared" si="15"/>
        <v/>
      </c>
      <c r="J271" s="501" t="str">
        <f>IF('CDO Bespoke'!O272&lt;&gt;"",'CDO Bespoke'!O272,"")</f>
        <v/>
      </c>
      <c r="K271" s="502" t="str">
        <f>IF(J271&lt;&gt;"",ABS(MIN(-0.75*('CDO Bespoke'!K272+'CDO Bespoke'!T272)+'CDO Bespoke'!T272,0)),"")</f>
        <v/>
      </c>
      <c r="L271" s="502" t="str">
        <f t="shared" ref="L271:L313" si="17">IF(J271&lt;&gt;"",IF($G$8,MAX(J271-K271,0),J271),"")</f>
        <v/>
      </c>
      <c r="M271" s="506" t="str">
        <f t="shared" ref="M271:M313" si="18">IF(J271&lt;&gt;"",IF($G$8,0,K271),"")</f>
        <v/>
      </c>
      <c r="O271" s="511" t="str">
        <f>IF('CDO Bespoke'!C296&lt;&gt;"",'CDO Bespoke'!C296,"")</f>
        <v/>
      </c>
      <c r="P271" s="513" t="str" cm="1">
        <f t="array" ref="P271">IF($O271&lt;&gt;"",-TRANSPOSE(INDEX(getcds('CDO Bespoke'!$C296,P$13,'CDO Bespoke'!$G296/10000,'CDO Bespoke'!F296,'CDO Bespoke'!$L272,'CDO Bespoke'!$C$13,'CDO Bespoke'!$C$14,'CDO Bespoke'!$C$15,'CDO Bespoke'!$C$8,,,TRUE,TRUE,FALSE,'CDO Bespoke'!$C$29:'CDO Bespoke'!$C$31,'CDO Bespoke'!$C$33),{5})),"")</f>
        <v/>
      </c>
      <c r="Q271" s="542" t="str" cm="1">
        <f t="array" ref="Q271">IF($O271&lt;&gt;"",-TRANSPOSE(INDEX(getcds('CDO Bespoke'!$C296,Q$13,'CDO Bespoke'!$G296/10000,'CDO Bespoke'!G296,'CDO Bespoke'!$L272,'CDO Bespoke'!$C$13,'CDO Bespoke'!$C$14,'CDO Bespoke'!$C$15,'CDO Bespoke'!$C$8,,,TRUE,TRUE,FALSE,'CDO Bespoke'!$C$29:'CDO Bespoke'!$C$31,'CDO Bespoke'!$C$33),{5})),"")</f>
        <v/>
      </c>
      <c r="R271" s="542" t="str" cm="1">
        <f t="array" ref="R271">IF($O271&lt;&gt;"",-TRANSPOSE(INDEX(getcds('CDO Bespoke'!$C296,R$13,'CDO Bespoke'!$G296/10000,'CDO Bespoke'!H296,'CDO Bespoke'!$L272,'CDO Bespoke'!$C$13,'CDO Bespoke'!$C$14,'CDO Bespoke'!$C$15,'CDO Bespoke'!$C$8,,,TRUE,TRUE,FALSE,'CDO Bespoke'!$C$29:'CDO Bespoke'!$C$31,'CDO Bespoke'!$C$33),{5})),"")</f>
        <v/>
      </c>
      <c r="S271" s="542" t="str" cm="1">
        <f t="array" ref="S271">IF($O271&lt;&gt;"",-TRANSPOSE(INDEX(getcds('CDO Bespoke'!$C296,S$13,'CDO Bespoke'!$G296/10000,'CDO Bespoke'!I296,'CDO Bespoke'!$L272,'CDO Bespoke'!$C$13,'CDO Bespoke'!$C$14,'CDO Bespoke'!$C$15,'CDO Bespoke'!$C$8,,,TRUE,TRUE,FALSE,'CDO Bespoke'!$C$29:'CDO Bespoke'!$C$31,'CDO Bespoke'!$C$33),{5})),"")</f>
        <v/>
      </c>
      <c r="T271" s="514" t="str" cm="1">
        <f t="array" ref="T271">IF($O271&lt;&gt;"",-TRANSPOSE(INDEX(getcds('CDO Bespoke'!$C296,T$13,'CDO Bespoke'!$G296/10000,'CDO Bespoke'!J296,'CDO Bespoke'!$L272,'CDO Bespoke'!$C$13,'CDO Bespoke'!$C$14,'CDO Bespoke'!$C$15,'CDO Bespoke'!$C$8,,,TRUE,TRUE,FALSE,'CDO Bespoke'!$C$29:'CDO Bespoke'!$C$31,'CDO Bespoke'!$C$33),{5})),"")</f>
        <v/>
      </c>
      <c r="U271" s="493"/>
      <c r="V271" s="529"/>
      <c r="W271" s="530"/>
      <c r="X271" s="530"/>
      <c r="Y271" s="530"/>
      <c r="Z271" s="530"/>
      <c r="AA271" s="530"/>
      <c r="AB271" s="530"/>
      <c r="AC271" s="530"/>
      <c r="AD271" s="530"/>
      <c r="AE271" s="531"/>
      <c r="AF271" s="539"/>
    </row>
    <row r="272" spans="6:32" s="281" customFormat="1" ht="12" thickBot="1">
      <c r="F272" s="501" t="str">
        <f>IF('CDO Bespoke'!O273&lt;&gt;"",'CDO Bespoke'!O273,"")</f>
        <v/>
      </c>
      <c r="G272" s="502" t="str">
        <f>IF(F272&lt;&gt;"",ABS(MIN(-0.75*('CDO Bespoke'!Q273+'CDO Bespoke'!T273)+'CDO Bespoke'!T273,0)),"")</f>
        <v/>
      </c>
      <c r="H272" s="502" t="str">
        <f t="shared" si="16"/>
        <v/>
      </c>
      <c r="I272" s="502" t="str">
        <f t="shared" ref="I272:I313" si="19">IF(F272&lt;&gt;"",IF($G$8,0,G272),"")</f>
        <v/>
      </c>
      <c r="J272" s="501" t="str">
        <f>IF('CDO Bespoke'!O273&lt;&gt;"",'CDO Bespoke'!O273,"")</f>
        <v/>
      </c>
      <c r="K272" s="502" t="str">
        <f>IF(J272&lt;&gt;"",ABS(MIN(-0.75*('CDO Bespoke'!K273+'CDO Bespoke'!T273)+'CDO Bespoke'!T273,0)),"")</f>
        <v/>
      </c>
      <c r="L272" s="502" t="str">
        <f t="shared" si="17"/>
        <v/>
      </c>
      <c r="M272" s="506" t="str">
        <f t="shared" si="18"/>
        <v/>
      </c>
      <c r="O272" s="511" t="str">
        <f>IF('CDO Bespoke'!C297&lt;&gt;"",'CDO Bespoke'!C297,"")</f>
        <v/>
      </c>
      <c r="P272" s="513" t="str" cm="1">
        <f t="array" ref="P272">IF($O272&lt;&gt;"",-TRANSPOSE(INDEX(getcds('CDO Bespoke'!$C297,P$13,'CDO Bespoke'!$G297/10000,'CDO Bespoke'!F297,'CDO Bespoke'!$L273,'CDO Bespoke'!$C$13,'CDO Bespoke'!$C$14,'CDO Bespoke'!$C$15,'CDO Bespoke'!$C$8,,,TRUE,TRUE,FALSE,'CDO Bespoke'!$C$29:'CDO Bespoke'!$C$31,'CDO Bespoke'!$C$33),{5})),"")</f>
        <v/>
      </c>
      <c r="Q272" s="542" t="str" cm="1">
        <f t="array" ref="Q272">IF($O272&lt;&gt;"",-TRANSPOSE(INDEX(getcds('CDO Bespoke'!$C297,Q$13,'CDO Bespoke'!$G297/10000,'CDO Bespoke'!G297,'CDO Bespoke'!$L273,'CDO Bespoke'!$C$13,'CDO Bespoke'!$C$14,'CDO Bespoke'!$C$15,'CDO Bespoke'!$C$8,,,TRUE,TRUE,FALSE,'CDO Bespoke'!$C$29:'CDO Bespoke'!$C$31,'CDO Bespoke'!$C$33),{5})),"")</f>
        <v/>
      </c>
      <c r="R272" s="542" t="str" cm="1">
        <f t="array" ref="R272">IF($O272&lt;&gt;"",-TRANSPOSE(INDEX(getcds('CDO Bespoke'!$C297,R$13,'CDO Bespoke'!$G297/10000,'CDO Bespoke'!H297,'CDO Bespoke'!$L273,'CDO Bespoke'!$C$13,'CDO Bespoke'!$C$14,'CDO Bespoke'!$C$15,'CDO Bespoke'!$C$8,,,TRUE,TRUE,FALSE,'CDO Bespoke'!$C$29:'CDO Bespoke'!$C$31,'CDO Bespoke'!$C$33),{5})),"")</f>
        <v/>
      </c>
      <c r="S272" s="542" t="str" cm="1">
        <f t="array" ref="S272">IF($O272&lt;&gt;"",-TRANSPOSE(INDEX(getcds('CDO Bespoke'!$C297,S$13,'CDO Bespoke'!$G297/10000,'CDO Bespoke'!I297,'CDO Bespoke'!$L273,'CDO Bespoke'!$C$13,'CDO Bespoke'!$C$14,'CDO Bespoke'!$C$15,'CDO Bespoke'!$C$8,,,TRUE,TRUE,FALSE,'CDO Bespoke'!$C$29:'CDO Bespoke'!$C$31,'CDO Bespoke'!$C$33),{5})),"")</f>
        <v/>
      </c>
      <c r="T272" s="514" t="str" cm="1">
        <f t="array" ref="T272">IF($O272&lt;&gt;"",-TRANSPOSE(INDEX(getcds('CDO Bespoke'!$C297,T$13,'CDO Bespoke'!$G297/10000,'CDO Bespoke'!J297,'CDO Bespoke'!$L273,'CDO Bespoke'!$C$13,'CDO Bespoke'!$C$14,'CDO Bespoke'!$C$15,'CDO Bespoke'!$C$8,,,TRUE,TRUE,FALSE,'CDO Bespoke'!$C$29:'CDO Bespoke'!$C$31,'CDO Bespoke'!$C$33),{5})),"")</f>
        <v/>
      </c>
      <c r="U272" s="493"/>
      <c r="V272" s="529"/>
      <c r="W272" s="530"/>
      <c r="X272" s="530"/>
      <c r="Y272" s="530"/>
      <c r="Z272" s="530"/>
      <c r="AA272" s="530"/>
      <c r="AB272" s="530"/>
      <c r="AC272" s="530"/>
      <c r="AD272" s="530"/>
      <c r="AE272" s="531"/>
      <c r="AF272" s="539"/>
    </row>
    <row r="273" spans="6:32" s="281" customFormat="1" ht="12" thickBot="1">
      <c r="F273" s="501" t="str">
        <f>IF('CDO Bespoke'!O274&lt;&gt;"",'CDO Bespoke'!O274,"")</f>
        <v/>
      </c>
      <c r="G273" s="502" t="str">
        <f>IF(F273&lt;&gt;"",ABS(MIN(-0.75*('CDO Bespoke'!Q274+'CDO Bespoke'!T274)+'CDO Bespoke'!T274,0)),"")</f>
        <v/>
      </c>
      <c r="H273" s="502" t="str">
        <f t="shared" si="16"/>
        <v/>
      </c>
      <c r="I273" s="502" t="str">
        <f t="shared" si="19"/>
        <v/>
      </c>
      <c r="J273" s="501" t="str">
        <f>IF('CDO Bespoke'!O274&lt;&gt;"",'CDO Bespoke'!O274,"")</f>
        <v/>
      </c>
      <c r="K273" s="502" t="str">
        <f>IF(J273&lt;&gt;"",ABS(MIN(-0.75*('CDO Bespoke'!K274+'CDO Bespoke'!T274)+'CDO Bespoke'!T274,0)),"")</f>
        <v/>
      </c>
      <c r="L273" s="502" t="str">
        <f t="shared" si="17"/>
        <v/>
      </c>
      <c r="M273" s="506" t="str">
        <f t="shared" si="18"/>
        <v/>
      </c>
      <c r="O273" s="511" t="str">
        <f>IF('CDO Bespoke'!C298&lt;&gt;"",'CDO Bespoke'!C298,"")</f>
        <v/>
      </c>
      <c r="P273" s="513" t="str" cm="1">
        <f t="array" ref="P273">IF($O273&lt;&gt;"",-TRANSPOSE(INDEX(getcds('CDO Bespoke'!$C298,P$13,'CDO Bespoke'!$G298/10000,'CDO Bespoke'!F298,'CDO Bespoke'!$L274,'CDO Bespoke'!$C$13,'CDO Bespoke'!$C$14,'CDO Bespoke'!$C$15,'CDO Bespoke'!$C$8,,,TRUE,TRUE,FALSE,'CDO Bespoke'!$C$29:'CDO Bespoke'!$C$31,'CDO Bespoke'!$C$33),{5})),"")</f>
        <v/>
      </c>
      <c r="Q273" s="542" t="str" cm="1">
        <f t="array" ref="Q273">IF($O273&lt;&gt;"",-TRANSPOSE(INDEX(getcds('CDO Bespoke'!$C298,Q$13,'CDO Bespoke'!$G298/10000,'CDO Bespoke'!G298,'CDO Bespoke'!$L274,'CDO Bespoke'!$C$13,'CDO Bespoke'!$C$14,'CDO Bespoke'!$C$15,'CDO Bespoke'!$C$8,,,TRUE,TRUE,FALSE,'CDO Bespoke'!$C$29:'CDO Bespoke'!$C$31,'CDO Bespoke'!$C$33),{5})),"")</f>
        <v/>
      </c>
      <c r="R273" s="542" t="str" cm="1">
        <f t="array" ref="R273">IF($O273&lt;&gt;"",-TRANSPOSE(INDEX(getcds('CDO Bespoke'!$C298,R$13,'CDO Bespoke'!$G298/10000,'CDO Bespoke'!H298,'CDO Bespoke'!$L274,'CDO Bespoke'!$C$13,'CDO Bespoke'!$C$14,'CDO Bespoke'!$C$15,'CDO Bespoke'!$C$8,,,TRUE,TRUE,FALSE,'CDO Bespoke'!$C$29:'CDO Bespoke'!$C$31,'CDO Bespoke'!$C$33),{5})),"")</f>
        <v/>
      </c>
      <c r="S273" s="542" t="str" cm="1">
        <f t="array" ref="S273">IF($O273&lt;&gt;"",-TRANSPOSE(INDEX(getcds('CDO Bespoke'!$C298,S$13,'CDO Bespoke'!$G298/10000,'CDO Bespoke'!I298,'CDO Bespoke'!$L274,'CDO Bespoke'!$C$13,'CDO Bespoke'!$C$14,'CDO Bespoke'!$C$15,'CDO Bespoke'!$C$8,,,TRUE,TRUE,FALSE,'CDO Bespoke'!$C$29:'CDO Bespoke'!$C$31,'CDO Bespoke'!$C$33),{5})),"")</f>
        <v/>
      </c>
      <c r="T273" s="514" t="str" cm="1">
        <f t="array" ref="T273">IF($O273&lt;&gt;"",-TRANSPOSE(INDEX(getcds('CDO Bespoke'!$C298,T$13,'CDO Bespoke'!$G298/10000,'CDO Bespoke'!J298,'CDO Bespoke'!$L274,'CDO Bespoke'!$C$13,'CDO Bespoke'!$C$14,'CDO Bespoke'!$C$15,'CDO Bespoke'!$C$8,,,TRUE,TRUE,FALSE,'CDO Bespoke'!$C$29:'CDO Bespoke'!$C$31,'CDO Bespoke'!$C$33),{5})),"")</f>
        <v/>
      </c>
      <c r="U273" s="493"/>
      <c r="V273" s="529"/>
      <c r="W273" s="530"/>
      <c r="X273" s="530"/>
      <c r="Y273" s="530"/>
      <c r="Z273" s="530"/>
      <c r="AA273" s="530"/>
      <c r="AB273" s="530"/>
      <c r="AC273" s="530"/>
      <c r="AD273" s="530"/>
      <c r="AE273" s="531"/>
      <c r="AF273" s="539"/>
    </row>
    <row r="274" spans="6:32" s="281" customFormat="1" ht="12" thickBot="1">
      <c r="F274" s="501" t="str">
        <f>IF('CDO Bespoke'!O275&lt;&gt;"",'CDO Bespoke'!O275,"")</f>
        <v/>
      </c>
      <c r="G274" s="502" t="str">
        <f>IF(F274&lt;&gt;"",ABS(MIN(-0.75*('CDO Bespoke'!Q275+'CDO Bespoke'!T275)+'CDO Bespoke'!T275,0)),"")</f>
        <v/>
      </c>
      <c r="H274" s="502" t="str">
        <f t="shared" si="16"/>
        <v/>
      </c>
      <c r="I274" s="502" t="str">
        <f t="shared" si="19"/>
        <v/>
      </c>
      <c r="J274" s="501" t="str">
        <f>IF('CDO Bespoke'!O275&lt;&gt;"",'CDO Bespoke'!O275,"")</f>
        <v/>
      </c>
      <c r="K274" s="502" t="str">
        <f>IF(J274&lt;&gt;"",ABS(MIN(-0.75*('CDO Bespoke'!K275+'CDO Bespoke'!T275)+'CDO Bespoke'!T275,0)),"")</f>
        <v/>
      </c>
      <c r="L274" s="502" t="str">
        <f t="shared" si="17"/>
        <v/>
      </c>
      <c r="M274" s="506" t="str">
        <f t="shared" si="18"/>
        <v/>
      </c>
      <c r="O274" s="511" t="str">
        <f>IF('CDO Bespoke'!C299&lt;&gt;"",'CDO Bespoke'!C299,"")</f>
        <v/>
      </c>
      <c r="P274" s="513" t="str" cm="1">
        <f t="array" ref="P274">IF($O274&lt;&gt;"",-TRANSPOSE(INDEX(getcds('CDO Bespoke'!$C299,P$13,'CDO Bespoke'!$G299/10000,'CDO Bespoke'!F299,'CDO Bespoke'!$L275,'CDO Bespoke'!$C$13,'CDO Bespoke'!$C$14,'CDO Bespoke'!$C$15,'CDO Bespoke'!$C$8,,,TRUE,TRUE,FALSE,'CDO Bespoke'!$C$29:'CDO Bespoke'!$C$31,'CDO Bespoke'!$C$33),{5})),"")</f>
        <v/>
      </c>
      <c r="Q274" s="542" t="str" cm="1">
        <f t="array" ref="Q274">IF($O274&lt;&gt;"",-TRANSPOSE(INDEX(getcds('CDO Bespoke'!$C299,Q$13,'CDO Bespoke'!$G299/10000,'CDO Bespoke'!G299,'CDO Bespoke'!$L275,'CDO Bespoke'!$C$13,'CDO Bespoke'!$C$14,'CDO Bespoke'!$C$15,'CDO Bespoke'!$C$8,,,TRUE,TRUE,FALSE,'CDO Bespoke'!$C$29:'CDO Bespoke'!$C$31,'CDO Bespoke'!$C$33),{5})),"")</f>
        <v/>
      </c>
      <c r="R274" s="542" t="str" cm="1">
        <f t="array" ref="R274">IF($O274&lt;&gt;"",-TRANSPOSE(INDEX(getcds('CDO Bespoke'!$C299,R$13,'CDO Bespoke'!$G299/10000,'CDO Bespoke'!H299,'CDO Bespoke'!$L275,'CDO Bespoke'!$C$13,'CDO Bespoke'!$C$14,'CDO Bespoke'!$C$15,'CDO Bespoke'!$C$8,,,TRUE,TRUE,FALSE,'CDO Bespoke'!$C$29:'CDO Bespoke'!$C$31,'CDO Bespoke'!$C$33),{5})),"")</f>
        <v/>
      </c>
      <c r="S274" s="542" t="str" cm="1">
        <f t="array" ref="S274">IF($O274&lt;&gt;"",-TRANSPOSE(INDEX(getcds('CDO Bespoke'!$C299,S$13,'CDO Bespoke'!$G299/10000,'CDO Bespoke'!I299,'CDO Bespoke'!$L275,'CDO Bespoke'!$C$13,'CDO Bespoke'!$C$14,'CDO Bespoke'!$C$15,'CDO Bespoke'!$C$8,,,TRUE,TRUE,FALSE,'CDO Bespoke'!$C$29:'CDO Bespoke'!$C$31,'CDO Bespoke'!$C$33),{5})),"")</f>
        <v/>
      </c>
      <c r="T274" s="514" t="str" cm="1">
        <f t="array" ref="T274">IF($O274&lt;&gt;"",-TRANSPOSE(INDEX(getcds('CDO Bespoke'!$C299,T$13,'CDO Bespoke'!$G299/10000,'CDO Bespoke'!J299,'CDO Bespoke'!$L275,'CDO Bespoke'!$C$13,'CDO Bespoke'!$C$14,'CDO Bespoke'!$C$15,'CDO Bespoke'!$C$8,,,TRUE,TRUE,FALSE,'CDO Bespoke'!$C$29:'CDO Bespoke'!$C$31,'CDO Bespoke'!$C$33),{5})),"")</f>
        <v/>
      </c>
      <c r="U274" s="493"/>
      <c r="V274" s="529"/>
      <c r="W274" s="530"/>
      <c r="X274" s="530"/>
      <c r="Y274" s="530"/>
      <c r="Z274" s="530"/>
      <c r="AA274" s="530"/>
      <c r="AB274" s="530"/>
      <c r="AC274" s="530"/>
      <c r="AD274" s="530"/>
      <c r="AE274" s="531"/>
      <c r="AF274" s="539"/>
    </row>
    <row r="275" spans="6:32" s="281" customFormat="1" ht="12" thickBot="1">
      <c r="F275" s="501" t="str">
        <f>IF('CDO Bespoke'!O276&lt;&gt;"",'CDO Bespoke'!O276,"")</f>
        <v/>
      </c>
      <c r="G275" s="502" t="str">
        <f>IF(F275&lt;&gt;"",ABS(MIN(-0.75*('CDO Bespoke'!Q276+'CDO Bespoke'!T276)+'CDO Bespoke'!T276,0)),"")</f>
        <v/>
      </c>
      <c r="H275" s="502" t="str">
        <f t="shared" si="16"/>
        <v/>
      </c>
      <c r="I275" s="502" t="str">
        <f t="shared" si="19"/>
        <v/>
      </c>
      <c r="J275" s="501" t="str">
        <f>IF('CDO Bespoke'!O276&lt;&gt;"",'CDO Bespoke'!O276,"")</f>
        <v/>
      </c>
      <c r="K275" s="502" t="str">
        <f>IF(J275&lt;&gt;"",ABS(MIN(-0.75*('CDO Bespoke'!K276+'CDO Bespoke'!T276)+'CDO Bespoke'!T276,0)),"")</f>
        <v/>
      </c>
      <c r="L275" s="502" t="str">
        <f t="shared" si="17"/>
        <v/>
      </c>
      <c r="M275" s="506" t="str">
        <f t="shared" si="18"/>
        <v/>
      </c>
      <c r="O275" s="511" t="str">
        <f>IF('CDO Bespoke'!C300&lt;&gt;"",'CDO Bespoke'!C300,"")</f>
        <v/>
      </c>
      <c r="P275" s="513" t="str" cm="1">
        <f t="array" ref="P275">IF($O275&lt;&gt;"",-TRANSPOSE(INDEX(getcds('CDO Bespoke'!$C300,P$13,'CDO Bespoke'!$G300/10000,'CDO Bespoke'!F300,'CDO Bespoke'!$L276,'CDO Bespoke'!$C$13,'CDO Bespoke'!$C$14,'CDO Bespoke'!$C$15,'CDO Bespoke'!$C$8,,,TRUE,TRUE,FALSE,'CDO Bespoke'!$C$29:'CDO Bespoke'!$C$31,'CDO Bespoke'!$C$33),{5})),"")</f>
        <v/>
      </c>
      <c r="Q275" s="542" t="str" cm="1">
        <f t="array" ref="Q275">IF($O275&lt;&gt;"",-TRANSPOSE(INDEX(getcds('CDO Bespoke'!$C300,Q$13,'CDO Bespoke'!$G300/10000,'CDO Bespoke'!G300,'CDO Bespoke'!$L276,'CDO Bespoke'!$C$13,'CDO Bespoke'!$C$14,'CDO Bespoke'!$C$15,'CDO Bespoke'!$C$8,,,TRUE,TRUE,FALSE,'CDO Bespoke'!$C$29:'CDO Bespoke'!$C$31,'CDO Bespoke'!$C$33),{5})),"")</f>
        <v/>
      </c>
      <c r="R275" s="542" t="str" cm="1">
        <f t="array" ref="R275">IF($O275&lt;&gt;"",-TRANSPOSE(INDEX(getcds('CDO Bespoke'!$C300,R$13,'CDO Bespoke'!$G300/10000,'CDO Bespoke'!H300,'CDO Bespoke'!$L276,'CDO Bespoke'!$C$13,'CDO Bespoke'!$C$14,'CDO Bespoke'!$C$15,'CDO Bespoke'!$C$8,,,TRUE,TRUE,FALSE,'CDO Bespoke'!$C$29:'CDO Bespoke'!$C$31,'CDO Bespoke'!$C$33),{5})),"")</f>
        <v/>
      </c>
      <c r="S275" s="542" t="str" cm="1">
        <f t="array" ref="S275">IF($O275&lt;&gt;"",-TRANSPOSE(INDEX(getcds('CDO Bespoke'!$C300,S$13,'CDO Bespoke'!$G300/10000,'CDO Bespoke'!I300,'CDO Bespoke'!$L276,'CDO Bespoke'!$C$13,'CDO Bespoke'!$C$14,'CDO Bespoke'!$C$15,'CDO Bespoke'!$C$8,,,TRUE,TRUE,FALSE,'CDO Bespoke'!$C$29:'CDO Bespoke'!$C$31,'CDO Bespoke'!$C$33),{5})),"")</f>
        <v/>
      </c>
      <c r="T275" s="514" t="str" cm="1">
        <f t="array" ref="T275">IF($O275&lt;&gt;"",-TRANSPOSE(INDEX(getcds('CDO Bespoke'!$C300,T$13,'CDO Bespoke'!$G300/10000,'CDO Bespoke'!J300,'CDO Bespoke'!$L276,'CDO Bespoke'!$C$13,'CDO Bespoke'!$C$14,'CDO Bespoke'!$C$15,'CDO Bespoke'!$C$8,,,TRUE,TRUE,FALSE,'CDO Bespoke'!$C$29:'CDO Bespoke'!$C$31,'CDO Bespoke'!$C$33),{5})),"")</f>
        <v/>
      </c>
      <c r="U275" s="493"/>
      <c r="V275" s="529"/>
      <c r="W275" s="530"/>
      <c r="X275" s="530"/>
      <c r="Y275" s="530"/>
      <c r="Z275" s="530"/>
      <c r="AA275" s="530"/>
      <c r="AB275" s="530"/>
      <c r="AC275" s="530"/>
      <c r="AD275" s="530"/>
      <c r="AE275" s="531"/>
      <c r="AF275" s="539"/>
    </row>
    <row r="276" spans="6:32" s="281" customFormat="1" ht="12" thickBot="1">
      <c r="F276" s="501" t="str">
        <f>IF('CDO Bespoke'!O277&lt;&gt;"",'CDO Bespoke'!O277,"")</f>
        <v/>
      </c>
      <c r="G276" s="502" t="str">
        <f>IF(F276&lt;&gt;"",ABS(MIN(-0.75*('CDO Bespoke'!Q277+'CDO Bespoke'!T277)+'CDO Bespoke'!T277,0)),"")</f>
        <v/>
      </c>
      <c r="H276" s="502" t="str">
        <f t="shared" si="16"/>
        <v/>
      </c>
      <c r="I276" s="502" t="str">
        <f t="shared" si="19"/>
        <v/>
      </c>
      <c r="J276" s="501" t="str">
        <f>IF('CDO Bespoke'!O277&lt;&gt;"",'CDO Bespoke'!O277,"")</f>
        <v/>
      </c>
      <c r="K276" s="502" t="str">
        <f>IF(J276&lt;&gt;"",ABS(MIN(-0.75*('CDO Bespoke'!K277+'CDO Bespoke'!T277)+'CDO Bespoke'!T277,0)),"")</f>
        <v/>
      </c>
      <c r="L276" s="502" t="str">
        <f t="shared" si="17"/>
        <v/>
      </c>
      <c r="M276" s="506" t="str">
        <f t="shared" si="18"/>
        <v/>
      </c>
      <c r="O276" s="511" t="str">
        <f>IF('CDO Bespoke'!C301&lt;&gt;"",'CDO Bespoke'!C301,"")</f>
        <v/>
      </c>
      <c r="P276" s="513" t="str" cm="1">
        <f t="array" ref="P276">IF($O276&lt;&gt;"",-TRANSPOSE(INDEX(getcds('CDO Bespoke'!$C301,P$13,'CDO Bespoke'!$G301/10000,'CDO Bespoke'!F301,'CDO Bespoke'!$L277,'CDO Bespoke'!$C$13,'CDO Bespoke'!$C$14,'CDO Bespoke'!$C$15,'CDO Bespoke'!$C$8,,,TRUE,TRUE,FALSE,'CDO Bespoke'!$C$29:'CDO Bespoke'!$C$31,'CDO Bespoke'!$C$33),{5})),"")</f>
        <v/>
      </c>
      <c r="Q276" s="542" t="str" cm="1">
        <f t="array" ref="Q276">IF($O276&lt;&gt;"",-TRANSPOSE(INDEX(getcds('CDO Bespoke'!$C301,Q$13,'CDO Bespoke'!$G301/10000,'CDO Bespoke'!G301,'CDO Bespoke'!$L277,'CDO Bespoke'!$C$13,'CDO Bespoke'!$C$14,'CDO Bespoke'!$C$15,'CDO Bespoke'!$C$8,,,TRUE,TRUE,FALSE,'CDO Bespoke'!$C$29:'CDO Bespoke'!$C$31,'CDO Bespoke'!$C$33),{5})),"")</f>
        <v/>
      </c>
      <c r="R276" s="542" t="str" cm="1">
        <f t="array" ref="R276">IF($O276&lt;&gt;"",-TRANSPOSE(INDEX(getcds('CDO Bespoke'!$C301,R$13,'CDO Bespoke'!$G301/10000,'CDO Bespoke'!H301,'CDO Bespoke'!$L277,'CDO Bespoke'!$C$13,'CDO Bespoke'!$C$14,'CDO Bespoke'!$C$15,'CDO Bespoke'!$C$8,,,TRUE,TRUE,FALSE,'CDO Bespoke'!$C$29:'CDO Bespoke'!$C$31,'CDO Bespoke'!$C$33),{5})),"")</f>
        <v/>
      </c>
      <c r="S276" s="542" t="str" cm="1">
        <f t="array" ref="S276">IF($O276&lt;&gt;"",-TRANSPOSE(INDEX(getcds('CDO Bespoke'!$C301,S$13,'CDO Bespoke'!$G301/10000,'CDO Bespoke'!I301,'CDO Bespoke'!$L277,'CDO Bespoke'!$C$13,'CDO Bespoke'!$C$14,'CDO Bespoke'!$C$15,'CDO Bespoke'!$C$8,,,TRUE,TRUE,FALSE,'CDO Bespoke'!$C$29:'CDO Bespoke'!$C$31,'CDO Bespoke'!$C$33),{5})),"")</f>
        <v/>
      </c>
      <c r="T276" s="514" t="str" cm="1">
        <f t="array" ref="T276">IF($O276&lt;&gt;"",-TRANSPOSE(INDEX(getcds('CDO Bespoke'!$C301,T$13,'CDO Bespoke'!$G301/10000,'CDO Bespoke'!J301,'CDO Bespoke'!$L277,'CDO Bespoke'!$C$13,'CDO Bespoke'!$C$14,'CDO Bespoke'!$C$15,'CDO Bespoke'!$C$8,,,TRUE,TRUE,FALSE,'CDO Bespoke'!$C$29:'CDO Bespoke'!$C$31,'CDO Bespoke'!$C$33),{5})),"")</f>
        <v/>
      </c>
      <c r="U276" s="493"/>
      <c r="V276" s="529"/>
      <c r="W276" s="530"/>
      <c r="X276" s="530"/>
      <c r="Y276" s="530"/>
      <c r="Z276" s="530"/>
      <c r="AA276" s="530"/>
      <c r="AB276" s="530"/>
      <c r="AC276" s="530"/>
      <c r="AD276" s="530"/>
      <c r="AE276" s="531"/>
      <c r="AF276" s="539"/>
    </row>
    <row r="277" spans="6:32" s="281" customFormat="1" ht="12" thickBot="1">
      <c r="F277" s="501" t="str">
        <f>IF('CDO Bespoke'!O278&lt;&gt;"",'CDO Bespoke'!O278,"")</f>
        <v/>
      </c>
      <c r="G277" s="502" t="str">
        <f>IF(F277&lt;&gt;"",ABS(MIN(-0.75*('CDO Bespoke'!Q278+'CDO Bespoke'!T278)+'CDO Bespoke'!T278,0)),"")</f>
        <v/>
      </c>
      <c r="H277" s="502" t="str">
        <f t="shared" si="16"/>
        <v/>
      </c>
      <c r="I277" s="502" t="str">
        <f t="shared" si="19"/>
        <v/>
      </c>
      <c r="J277" s="501" t="str">
        <f>IF('CDO Bespoke'!O278&lt;&gt;"",'CDO Bespoke'!O278,"")</f>
        <v/>
      </c>
      <c r="K277" s="502" t="str">
        <f>IF(J277&lt;&gt;"",ABS(MIN(-0.75*('CDO Bespoke'!K278+'CDO Bespoke'!T278)+'CDO Bespoke'!T278,0)),"")</f>
        <v/>
      </c>
      <c r="L277" s="502" t="str">
        <f t="shared" si="17"/>
        <v/>
      </c>
      <c r="M277" s="506" t="str">
        <f t="shared" si="18"/>
        <v/>
      </c>
      <c r="O277" s="511" t="str">
        <f>IF('CDO Bespoke'!C302&lt;&gt;"",'CDO Bespoke'!C302,"")</f>
        <v/>
      </c>
      <c r="P277" s="513" t="str" cm="1">
        <f t="array" ref="P277">IF($O277&lt;&gt;"",-TRANSPOSE(INDEX(getcds('CDO Bespoke'!$C302,P$13,'CDO Bespoke'!$G302/10000,'CDO Bespoke'!F302,'CDO Bespoke'!$L278,'CDO Bespoke'!$C$13,'CDO Bespoke'!$C$14,'CDO Bespoke'!$C$15,'CDO Bespoke'!$C$8,,,TRUE,TRUE,FALSE,'CDO Bespoke'!$C$29:'CDO Bespoke'!$C$31,'CDO Bespoke'!$C$33),{5})),"")</f>
        <v/>
      </c>
      <c r="Q277" s="542" t="str" cm="1">
        <f t="array" ref="Q277">IF($O277&lt;&gt;"",-TRANSPOSE(INDEX(getcds('CDO Bespoke'!$C302,Q$13,'CDO Bespoke'!$G302/10000,'CDO Bespoke'!G302,'CDO Bespoke'!$L278,'CDO Bespoke'!$C$13,'CDO Bespoke'!$C$14,'CDO Bespoke'!$C$15,'CDO Bespoke'!$C$8,,,TRUE,TRUE,FALSE,'CDO Bespoke'!$C$29:'CDO Bespoke'!$C$31,'CDO Bespoke'!$C$33),{5})),"")</f>
        <v/>
      </c>
      <c r="R277" s="542" t="str" cm="1">
        <f t="array" ref="R277">IF($O277&lt;&gt;"",-TRANSPOSE(INDEX(getcds('CDO Bespoke'!$C302,R$13,'CDO Bespoke'!$G302/10000,'CDO Bespoke'!H302,'CDO Bespoke'!$L278,'CDO Bespoke'!$C$13,'CDO Bespoke'!$C$14,'CDO Bespoke'!$C$15,'CDO Bespoke'!$C$8,,,TRUE,TRUE,FALSE,'CDO Bespoke'!$C$29:'CDO Bespoke'!$C$31,'CDO Bespoke'!$C$33),{5})),"")</f>
        <v/>
      </c>
      <c r="S277" s="542" t="str" cm="1">
        <f t="array" ref="S277">IF($O277&lt;&gt;"",-TRANSPOSE(INDEX(getcds('CDO Bespoke'!$C302,S$13,'CDO Bespoke'!$G302/10000,'CDO Bespoke'!I302,'CDO Bespoke'!$L278,'CDO Bespoke'!$C$13,'CDO Bespoke'!$C$14,'CDO Bespoke'!$C$15,'CDO Bespoke'!$C$8,,,TRUE,TRUE,FALSE,'CDO Bespoke'!$C$29:'CDO Bespoke'!$C$31,'CDO Bespoke'!$C$33),{5})),"")</f>
        <v/>
      </c>
      <c r="T277" s="514" t="str" cm="1">
        <f t="array" ref="T277">IF($O277&lt;&gt;"",-TRANSPOSE(INDEX(getcds('CDO Bespoke'!$C302,T$13,'CDO Bespoke'!$G302/10000,'CDO Bespoke'!J302,'CDO Bespoke'!$L278,'CDO Bespoke'!$C$13,'CDO Bespoke'!$C$14,'CDO Bespoke'!$C$15,'CDO Bespoke'!$C$8,,,TRUE,TRUE,FALSE,'CDO Bespoke'!$C$29:'CDO Bespoke'!$C$31,'CDO Bespoke'!$C$33),{5})),"")</f>
        <v/>
      </c>
      <c r="U277" s="493"/>
      <c r="V277" s="529"/>
      <c r="W277" s="530"/>
      <c r="X277" s="530"/>
      <c r="Y277" s="530"/>
      <c r="Z277" s="530"/>
      <c r="AA277" s="530"/>
      <c r="AB277" s="530"/>
      <c r="AC277" s="530"/>
      <c r="AD277" s="530"/>
      <c r="AE277" s="531"/>
      <c r="AF277" s="539"/>
    </row>
    <row r="278" spans="6:32" s="281" customFormat="1" ht="12" thickBot="1">
      <c r="F278" s="501" t="str">
        <f>IF('CDO Bespoke'!O279&lt;&gt;"",'CDO Bespoke'!O279,"")</f>
        <v/>
      </c>
      <c r="G278" s="502" t="str">
        <f>IF(F278&lt;&gt;"",ABS(MIN(-0.75*('CDO Bespoke'!Q279+'CDO Bespoke'!T279)+'CDO Bespoke'!T279,0)),"")</f>
        <v/>
      </c>
      <c r="H278" s="502" t="str">
        <f t="shared" si="16"/>
        <v/>
      </c>
      <c r="I278" s="502" t="str">
        <f t="shared" si="19"/>
        <v/>
      </c>
      <c r="J278" s="501" t="str">
        <f>IF('CDO Bespoke'!O279&lt;&gt;"",'CDO Bespoke'!O279,"")</f>
        <v/>
      </c>
      <c r="K278" s="502" t="str">
        <f>IF(J278&lt;&gt;"",ABS(MIN(-0.75*('CDO Bespoke'!K279+'CDO Bespoke'!T279)+'CDO Bespoke'!T279,0)),"")</f>
        <v/>
      </c>
      <c r="L278" s="502" t="str">
        <f t="shared" si="17"/>
        <v/>
      </c>
      <c r="M278" s="506" t="str">
        <f t="shared" si="18"/>
        <v/>
      </c>
      <c r="O278" s="511" t="str">
        <f>IF('CDO Bespoke'!C303&lt;&gt;"",'CDO Bespoke'!C303,"")</f>
        <v/>
      </c>
      <c r="P278" s="513" t="str" cm="1">
        <f t="array" ref="P278">IF($O278&lt;&gt;"",-TRANSPOSE(INDEX(getcds('CDO Bespoke'!$C303,P$13,'CDO Bespoke'!$G303/10000,'CDO Bespoke'!F303,'CDO Bespoke'!$L279,'CDO Bespoke'!$C$13,'CDO Bespoke'!$C$14,'CDO Bespoke'!$C$15,'CDO Bespoke'!$C$8,,,TRUE,TRUE,FALSE,'CDO Bespoke'!$C$29:'CDO Bespoke'!$C$31,'CDO Bespoke'!$C$33),{5})),"")</f>
        <v/>
      </c>
      <c r="Q278" s="542" t="str" cm="1">
        <f t="array" ref="Q278">IF($O278&lt;&gt;"",-TRANSPOSE(INDEX(getcds('CDO Bespoke'!$C303,Q$13,'CDO Bespoke'!$G303/10000,'CDO Bespoke'!G303,'CDO Bespoke'!$L279,'CDO Bespoke'!$C$13,'CDO Bespoke'!$C$14,'CDO Bespoke'!$C$15,'CDO Bespoke'!$C$8,,,TRUE,TRUE,FALSE,'CDO Bespoke'!$C$29:'CDO Bespoke'!$C$31,'CDO Bespoke'!$C$33),{5})),"")</f>
        <v/>
      </c>
      <c r="R278" s="542" t="str" cm="1">
        <f t="array" ref="R278">IF($O278&lt;&gt;"",-TRANSPOSE(INDEX(getcds('CDO Bespoke'!$C303,R$13,'CDO Bespoke'!$G303/10000,'CDO Bespoke'!H303,'CDO Bespoke'!$L279,'CDO Bespoke'!$C$13,'CDO Bespoke'!$C$14,'CDO Bespoke'!$C$15,'CDO Bespoke'!$C$8,,,TRUE,TRUE,FALSE,'CDO Bespoke'!$C$29:'CDO Bespoke'!$C$31,'CDO Bespoke'!$C$33),{5})),"")</f>
        <v/>
      </c>
      <c r="S278" s="542" t="str" cm="1">
        <f t="array" ref="S278">IF($O278&lt;&gt;"",-TRANSPOSE(INDEX(getcds('CDO Bespoke'!$C303,S$13,'CDO Bespoke'!$G303/10000,'CDO Bespoke'!I303,'CDO Bespoke'!$L279,'CDO Bespoke'!$C$13,'CDO Bespoke'!$C$14,'CDO Bespoke'!$C$15,'CDO Bespoke'!$C$8,,,TRUE,TRUE,FALSE,'CDO Bespoke'!$C$29:'CDO Bespoke'!$C$31,'CDO Bespoke'!$C$33),{5})),"")</f>
        <v/>
      </c>
      <c r="T278" s="514" t="str" cm="1">
        <f t="array" ref="T278">IF($O278&lt;&gt;"",-TRANSPOSE(INDEX(getcds('CDO Bespoke'!$C303,T$13,'CDO Bespoke'!$G303/10000,'CDO Bespoke'!J303,'CDO Bespoke'!$L279,'CDO Bespoke'!$C$13,'CDO Bespoke'!$C$14,'CDO Bespoke'!$C$15,'CDO Bespoke'!$C$8,,,TRUE,TRUE,FALSE,'CDO Bespoke'!$C$29:'CDO Bespoke'!$C$31,'CDO Bespoke'!$C$33),{5})),"")</f>
        <v/>
      </c>
      <c r="U278" s="493"/>
      <c r="V278" s="529"/>
      <c r="W278" s="530"/>
      <c r="X278" s="530"/>
      <c r="Y278" s="530"/>
      <c r="Z278" s="530"/>
      <c r="AA278" s="530"/>
      <c r="AB278" s="530"/>
      <c r="AC278" s="530"/>
      <c r="AD278" s="530"/>
      <c r="AE278" s="531"/>
      <c r="AF278" s="539"/>
    </row>
    <row r="279" spans="6:32" s="281" customFormat="1" ht="12" thickBot="1">
      <c r="F279" s="501" t="str">
        <f>IF('CDO Bespoke'!O280&lt;&gt;"",'CDO Bespoke'!O280,"")</f>
        <v/>
      </c>
      <c r="G279" s="502" t="str">
        <f>IF(F279&lt;&gt;"",ABS(MIN(-0.75*('CDO Bespoke'!Q280+'CDO Bespoke'!T280)+'CDO Bespoke'!T280,0)),"")</f>
        <v/>
      </c>
      <c r="H279" s="502" t="str">
        <f t="shared" si="16"/>
        <v/>
      </c>
      <c r="I279" s="502" t="str">
        <f t="shared" si="19"/>
        <v/>
      </c>
      <c r="J279" s="501" t="str">
        <f>IF('CDO Bespoke'!O280&lt;&gt;"",'CDO Bespoke'!O280,"")</f>
        <v/>
      </c>
      <c r="K279" s="502" t="str">
        <f>IF(J279&lt;&gt;"",ABS(MIN(-0.75*('CDO Bespoke'!K280+'CDO Bespoke'!T280)+'CDO Bespoke'!T280,0)),"")</f>
        <v/>
      </c>
      <c r="L279" s="502" t="str">
        <f t="shared" si="17"/>
        <v/>
      </c>
      <c r="M279" s="506" t="str">
        <f t="shared" si="18"/>
        <v/>
      </c>
      <c r="O279" s="511" t="str">
        <f>IF('CDO Bespoke'!C304&lt;&gt;"",'CDO Bespoke'!C304,"")</f>
        <v/>
      </c>
      <c r="P279" s="513" t="str" cm="1">
        <f t="array" ref="P279">IF($O279&lt;&gt;"",-TRANSPOSE(INDEX(getcds('CDO Bespoke'!$C304,P$13,'CDO Bespoke'!$G304/10000,'CDO Bespoke'!F304,'CDO Bespoke'!$L280,'CDO Bespoke'!$C$13,'CDO Bespoke'!$C$14,'CDO Bespoke'!$C$15,'CDO Bespoke'!$C$8,,,TRUE,TRUE,FALSE,'CDO Bespoke'!$C$29:'CDO Bespoke'!$C$31,'CDO Bespoke'!$C$33),{5})),"")</f>
        <v/>
      </c>
      <c r="Q279" s="542" t="str" cm="1">
        <f t="array" ref="Q279">IF($O279&lt;&gt;"",-TRANSPOSE(INDEX(getcds('CDO Bespoke'!$C304,Q$13,'CDO Bespoke'!$G304/10000,'CDO Bespoke'!G304,'CDO Bespoke'!$L280,'CDO Bespoke'!$C$13,'CDO Bespoke'!$C$14,'CDO Bespoke'!$C$15,'CDO Bespoke'!$C$8,,,TRUE,TRUE,FALSE,'CDO Bespoke'!$C$29:'CDO Bespoke'!$C$31,'CDO Bespoke'!$C$33),{5})),"")</f>
        <v/>
      </c>
      <c r="R279" s="542" t="str" cm="1">
        <f t="array" ref="R279">IF($O279&lt;&gt;"",-TRANSPOSE(INDEX(getcds('CDO Bespoke'!$C304,R$13,'CDO Bespoke'!$G304/10000,'CDO Bespoke'!H304,'CDO Bespoke'!$L280,'CDO Bespoke'!$C$13,'CDO Bespoke'!$C$14,'CDO Bespoke'!$C$15,'CDO Bespoke'!$C$8,,,TRUE,TRUE,FALSE,'CDO Bespoke'!$C$29:'CDO Bespoke'!$C$31,'CDO Bespoke'!$C$33),{5})),"")</f>
        <v/>
      </c>
      <c r="S279" s="542" t="str" cm="1">
        <f t="array" ref="S279">IF($O279&lt;&gt;"",-TRANSPOSE(INDEX(getcds('CDO Bespoke'!$C304,S$13,'CDO Bespoke'!$G304/10000,'CDO Bespoke'!I304,'CDO Bespoke'!$L280,'CDO Bespoke'!$C$13,'CDO Bespoke'!$C$14,'CDO Bespoke'!$C$15,'CDO Bespoke'!$C$8,,,TRUE,TRUE,FALSE,'CDO Bespoke'!$C$29:'CDO Bespoke'!$C$31,'CDO Bespoke'!$C$33),{5})),"")</f>
        <v/>
      </c>
      <c r="T279" s="514" t="str" cm="1">
        <f t="array" ref="T279">IF($O279&lt;&gt;"",-TRANSPOSE(INDEX(getcds('CDO Bespoke'!$C304,T$13,'CDO Bespoke'!$G304/10000,'CDO Bespoke'!J304,'CDO Bespoke'!$L280,'CDO Bespoke'!$C$13,'CDO Bespoke'!$C$14,'CDO Bespoke'!$C$15,'CDO Bespoke'!$C$8,,,TRUE,TRUE,FALSE,'CDO Bespoke'!$C$29:'CDO Bespoke'!$C$31,'CDO Bespoke'!$C$33),{5})),"")</f>
        <v/>
      </c>
      <c r="U279" s="493"/>
      <c r="V279" s="529"/>
      <c r="W279" s="530"/>
      <c r="X279" s="530"/>
      <c r="Y279" s="530"/>
      <c r="Z279" s="530"/>
      <c r="AA279" s="530"/>
      <c r="AB279" s="530"/>
      <c r="AC279" s="530"/>
      <c r="AD279" s="530"/>
      <c r="AE279" s="531"/>
      <c r="AF279" s="539"/>
    </row>
    <row r="280" spans="6:32" s="281" customFormat="1" ht="12" thickBot="1">
      <c r="F280" s="501" t="str">
        <f>IF('CDO Bespoke'!O281&lt;&gt;"",'CDO Bespoke'!O281,"")</f>
        <v/>
      </c>
      <c r="G280" s="502" t="str">
        <f>IF(F280&lt;&gt;"",ABS(MIN(-0.75*('CDO Bespoke'!Q281+'CDO Bespoke'!T281)+'CDO Bespoke'!T281,0)),"")</f>
        <v/>
      </c>
      <c r="H280" s="502" t="str">
        <f t="shared" si="16"/>
        <v/>
      </c>
      <c r="I280" s="502" t="str">
        <f t="shared" si="19"/>
        <v/>
      </c>
      <c r="J280" s="501" t="str">
        <f>IF('CDO Bespoke'!O281&lt;&gt;"",'CDO Bespoke'!O281,"")</f>
        <v/>
      </c>
      <c r="K280" s="502" t="str">
        <f>IF(J280&lt;&gt;"",ABS(MIN(-0.75*('CDO Bespoke'!K281+'CDO Bespoke'!T281)+'CDO Bespoke'!T281,0)),"")</f>
        <v/>
      </c>
      <c r="L280" s="502" t="str">
        <f t="shared" si="17"/>
        <v/>
      </c>
      <c r="M280" s="506" t="str">
        <f t="shared" si="18"/>
        <v/>
      </c>
      <c r="O280" s="511" t="str">
        <f>IF('CDO Bespoke'!C305&lt;&gt;"",'CDO Bespoke'!C305,"")</f>
        <v/>
      </c>
      <c r="P280" s="513" t="str" cm="1">
        <f t="array" ref="P280">IF($O280&lt;&gt;"",-TRANSPOSE(INDEX(getcds('CDO Bespoke'!$C305,P$13,'CDO Bespoke'!$G305/10000,'CDO Bespoke'!F305,'CDO Bespoke'!$L281,'CDO Bespoke'!$C$13,'CDO Bespoke'!$C$14,'CDO Bespoke'!$C$15,'CDO Bespoke'!$C$8,,,TRUE,TRUE,FALSE,'CDO Bespoke'!$C$29:'CDO Bespoke'!$C$31,'CDO Bespoke'!$C$33),{5})),"")</f>
        <v/>
      </c>
      <c r="Q280" s="542" t="str" cm="1">
        <f t="array" ref="Q280">IF($O280&lt;&gt;"",-TRANSPOSE(INDEX(getcds('CDO Bespoke'!$C305,Q$13,'CDO Bespoke'!$G305/10000,'CDO Bespoke'!G305,'CDO Bespoke'!$L281,'CDO Bespoke'!$C$13,'CDO Bespoke'!$C$14,'CDO Bespoke'!$C$15,'CDO Bespoke'!$C$8,,,TRUE,TRUE,FALSE,'CDO Bespoke'!$C$29:'CDO Bespoke'!$C$31,'CDO Bespoke'!$C$33),{5})),"")</f>
        <v/>
      </c>
      <c r="R280" s="542" t="str" cm="1">
        <f t="array" ref="R280">IF($O280&lt;&gt;"",-TRANSPOSE(INDEX(getcds('CDO Bespoke'!$C305,R$13,'CDO Bespoke'!$G305/10000,'CDO Bespoke'!H305,'CDO Bespoke'!$L281,'CDO Bespoke'!$C$13,'CDO Bespoke'!$C$14,'CDO Bespoke'!$C$15,'CDO Bespoke'!$C$8,,,TRUE,TRUE,FALSE,'CDO Bespoke'!$C$29:'CDO Bespoke'!$C$31,'CDO Bespoke'!$C$33),{5})),"")</f>
        <v/>
      </c>
      <c r="S280" s="542" t="str" cm="1">
        <f t="array" ref="S280">IF($O280&lt;&gt;"",-TRANSPOSE(INDEX(getcds('CDO Bespoke'!$C305,S$13,'CDO Bespoke'!$G305/10000,'CDO Bespoke'!I305,'CDO Bespoke'!$L281,'CDO Bespoke'!$C$13,'CDO Bespoke'!$C$14,'CDO Bespoke'!$C$15,'CDO Bespoke'!$C$8,,,TRUE,TRUE,FALSE,'CDO Bespoke'!$C$29:'CDO Bespoke'!$C$31,'CDO Bespoke'!$C$33),{5})),"")</f>
        <v/>
      </c>
      <c r="T280" s="514" t="str" cm="1">
        <f t="array" ref="T280">IF($O280&lt;&gt;"",-TRANSPOSE(INDEX(getcds('CDO Bespoke'!$C305,T$13,'CDO Bespoke'!$G305/10000,'CDO Bespoke'!J305,'CDO Bespoke'!$L281,'CDO Bespoke'!$C$13,'CDO Bespoke'!$C$14,'CDO Bespoke'!$C$15,'CDO Bespoke'!$C$8,,,TRUE,TRUE,FALSE,'CDO Bespoke'!$C$29:'CDO Bespoke'!$C$31,'CDO Bespoke'!$C$33),{5})),"")</f>
        <v/>
      </c>
      <c r="U280" s="493"/>
      <c r="V280" s="529"/>
      <c r="W280" s="530"/>
      <c r="X280" s="530"/>
      <c r="Y280" s="530"/>
      <c r="Z280" s="530"/>
      <c r="AA280" s="530"/>
      <c r="AB280" s="530"/>
      <c r="AC280" s="530"/>
      <c r="AD280" s="530"/>
      <c r="AE280" s="531"/>
      <c r="AF280" s="539"/>
    </row>
    <row r="281" spans="6:32" s="281" customFormat="1" ht="12" thickBot="1">
      <c r="F281" s="501" t="str">
        <f>IF('CDO Bespoke'!O282&lt;&gt;"",'CDO Bespoke'!O282,"")</f>
        <v/>
      </c>
      <c r="G281" s="502" t="str">
        <f>IF(F281&lt;&gt;"",ABS(MIN(-0.75*('CDO Bespoke'!Q282+'CDO Bespoke'!T282)+'CDO Bespoke'!T282,0)),"")</f>
        <v/>
      </c>
      <c r="H281" s="502" t="str">
        <f t="shared" si="16"/>
        <v/>
      </c>
      <c r="I281" s="502" t="str">
        <f t="shared" si="19"/>
        <v/>
      </c>
      <c r="J281" s="501" t="str">
        <f>IF('CDO Bespoke'!O282&lt;&gt;"",'CDO Bespoke'!O282,"")</f>
        <v/>
      </c>
      <c r="K281" s="502" t="str">
        <f>IF(J281&lt;&gt;"",ABS(MIN(-0.75*('CDO Bespoke'!K282+'CDO Bespoke'!T282)+'CDO Bespoke'!T282,0)),"")</f>
        <v/>
      </c>
      <c r="L281" s="502" t="str">
        <f t="shared" si="17"/>
        <v/>
      </c>
      <c r="M281" s="506" t="str">
        <f t="shared" si="18"/>
        <v/>
      </c>
      <c r="O281" s="511" t="str">
        <f>IF('CDO Bespoke'!C306&lt;&gt;"",'CDO Bespoke'!C306,"")</f>
        <v/>
      </c>
      <c r="P281" s="513" t="str" cm="1">
        <f t="array" ref="P281">IF($O281&lt;&gt;"",-TRANSPOSE(INDEX(getcds('CDO Bespoke'!$C306,P$13,'CDO Bespoke'!$G306/10000,'CDO Bespoke'!F306,'CDO Bespoke'!$L282,'CDO Bespoke'!$C$13,'CDO Bespoke'!$C$14,'CDO Bespoke'!$C$15,'CDO Bespoke'!$C$8,,,TRUE,TRUE,FALSE,'CDO Bespoke'!$C$29:'CDO Bespoke'!$C$31,'CDO Bespoke'!$C$33),{5})),"")</f>
        <v/>
      </c>
      <c r="Q281" s="542" t="str" cm="1">
        <f t="array" ref="Q281">IF($O281&lt;&gt;"",-TRANSPOSE(INDEX(getcds('CDO Bespoke'!$C306,Q$13,'CDO Bespoke'!$G306/10000,'CDO Bespoke'!G306,'CDO Bespoke'!$L282,'CDO Bespoke'!$C$13,'CDO Bespoke'!$C$14,'CDO Bespoke'!$C$15,'CDO Bespoke'!$C$8,,,TRUE,TRUE,FALSE,'CDO Bespoke'!$C$29:'CDO Bespoke'!$C$31,'CDO Bespoke'!$C$33),{5})),"")</f>
        <v/>
      </c>
      <c r="R281" s="542" t="str" cm="1">
        <f t="array" ref="R281">IF($O281&lt;&gt;"",-TRANSPOSE(INDEX(getcds('CDO Bespoke'!$C306,R$13,'CDO Bespoke'!$G306/10000,'CDO Bespoke'!H306,'CDO Bespoke'!$L282,'CDO Bespoke'!$C$13,'CDO Bespoke'!$C$14,'CDO Bespoke'!$C$15,'CDO Bespoke'!$C$8,,,TRUE,TRUE,FALSE,'CDO Bespoke'!$C$29:'CDO Bespoke'!$C$31,'CDO Bespoke'!$C$33),{5})),"")</f>
        <v/>
      </c>
      <c r="S281" s="542" t="str" cm="1">
        <f t="array" ref="S281">IF($O281&lt;&gt;"",-TRANSPOSE(INDEX(getcds('CDO Bespoke'!$C306,S$13,'CDO Bespoke'!$G306/10000,'CDO Bespoke'!I306,'CDO Bespoke'!$L282,'CDO Bespoke'!$C$13,'CDO Bespoke'!$C$14,'CDO Bespoke'!$C$15,'CDO Bespoke'!$C$8,,,TRUE,TRUE,FALSE,'CDO Bespoke'!$C$29:'CDO Bespoke'!$C$31,'CDO Bespoke'!$C$33),{5})),"")</f>
        <v/>
      </c>
      <c r="T281" s="514" t="str" cm="1">
        <f t="array" ref="T281">IF($O281&lt;&gt;"",-TRANSPOSE(INDEX(getcds('CDO Bespoke'!$C306,T$13,'CDO Bespoke'!$G306/10000,'CDO Bespoke'!J306,'CDO Bespoke'!$L282,'CDO Bespoke'!$C$13,'CDO Bespoke'!$C$14,'CDO Bespoke'!$C$15,'CDO Bespoke'!$C$8,,,TRUE,TRUE,FALSE,'CDO Bespoke'!$C$29:'CDO Bespoke'!$C$31,'CDO Bespoke'!$C$33),{5})),"")</f>
        <v/>
      </c>
      <c r="U281" s="493"/>
      <c r="V281" s="529"/>
      <c r="W281" s="530"/>
      <c r="X281" s="530"/>
      <c r="Y281" s="530"/>
      <c r="Z281" s="530"/>
      <c r="AA281" s="530"/>
      <c r="AB281" s="530"/>
      <c r="AC281" s="530"/>
      <c r="AD281" s="530"/>
      <c r="AE281" s="531"/>
      <c r="AF281" s="539"/>
    </row>
    <row r="282" spans="6:32" s="281" customFormat="1" ht="12" thickBot="1">
      <c r="F282" s="501" t="str">
        <f>IF('CDO Bespoke'!O283&lt;&gt;"",'CDO Bespoke'!O283,"")</f>
        <v/>
      </c>
      <c r="G282" s="502" t="str">
        <f>IF(F282&lt;&gt;"",ABS(MIN(-0.75*('CDO Bespoke'!Q283+'CDO Bespoke'!T283)+'CDO Bespoke'!T283,0)),"")</f>
        <v/>
      </c>
      <c r="H282" s="502" t="str">
        <f t="shared" si="16"/>
        <v/>
      </c>
      <c r="I282" s="502" t="str">
        <f t="shared" si="19"/>
        <v/>
      </c>
      <c r="J282" s="501" t="str">
        <f>IF('CDO Bespoke'!O283&lt;&gt;"",'CDO Bespoke'!O283,"")</f>
        <v/>
      </c>
      <c r="K282" s="502" t="str">
        <f>IF(J282&lt;&gt;"",ABS(MIN(-0.75*('CDO Bespoke'!K283+'CDO Bespoke'!T283)+'CDO Bespoke'!T283,0)),"")</f>
        <v/>
      </c>
      <c r="L282" s="502" t="str">
        <f t="shared" si="17"/>
        <v/>
      </c>
      <c r="M282" s="506" t="str">
        <f t="shared" si="18"/>
        <v/>
      </c>
      <c r="O282" s="511" t="str">
        <f>IF('CDO Bespoke'!C307&lt;&gt;"",'CDO Bespoke'!C307,"")</f>
        <v/>
      </c>
      <c r="P282" s="513" t="str" cm="1">
        <f t="array" ref="P282">IF($O282&lt;&gt;"",-TRANSPOSE(INDEX(getcds('CDO Bespoke'!$C307,P$13,'CDO Bespoke'!$G307/10000,'CDO Bespoke'!F307,'CDO Bespoke'!$L283,'CDO Bespoke'!$C$13,'CDO Bespoke'!$C$14,'CDO Bespoke'!$C$15,'CDO Bespoke'!$C$8,,,TRUE,TRUE,FALSE,'CDO Bespoke'!$C$29:'CDO Bespoke'!$C$31,'CDO Bespoke'!$C$33),{5})),"")</f>
        <v/>
      </c>
      <c r="Q282" s="542" t="str" cm="1">
        <f t="array" ref="Q282">IF($O282&lt;&gt;"",-TRANSPOSE(INDEX(getcds('CDO Bespoke'!$C307,Q$13,'CDO Bespoke'!$G307/10000,'CDO Bespoke'!G307,'CDO Bespoke'!$L283,'CDO Bespoke'!$C$13,'CDO Bespoke'!$C$14,'CDO Bespoke'!$C$15,'CDO Bespoke'!$C$8,,,TRUE,TRUE,FALSE,'CDO Bespoke'!$C$29:'CDO Bespoke'!$C$31,'CDO Bespoke'!$C$33),{5})),"")</f>
        <v/>
      </c>
      <c r="R282" s="542" t="str" cm="1">
        <f t="array" ref="R282">IF($O282&lt;&gt;"",-TRANSPOSE(INDEX(getcds('CDO Bespoke'!$C307,R$13,'CDO Bespoke'!$G307/10000,'CDO Bespoke'!H307,'CDO Bespoke'!$L283,'CDO Bespoke'!$C$13,'CDO Bespoke'!$C$14,'CDO Bespoke'!$C$15,'CDO Bespoke'!$C$8,,,TRUE,TRUE,FALSE,'CDO Bespoke'!$C$29:'CDO Bespoke'!$C$31,'CDO Bespoke'!$C$33),{5})),"")</f>
        <v/>
      </c>
      <c r="S282" s="542" t="str" cm="1">
        <f t="array" ref="S282">IF($O282&lt;&gt;"",-TRANSPOSE(INDEX(getcds('CDO Bespoke'!$C307,S$13,'CDO Bespoke'!$G307/10000,'CDO Bespoke'!I307,'CDO Bespoke'!$L283,'CDO Bespoke'!$C$13,'CDO Bespoke'!$C$14,'CDO Bespoke'!$C$15,'CDO Bespoke'!$C$8,,,TRUE,TRUE,FALSE,'CDO Bespoke'!$C$29:'CDO Bespoke'!$C$31,'CDO Bespoke'!$C$33),{5})),"")</f>
        <v/>
      </c>
      <c r="T282" s="514" t="str" cm="1">
        <f t="array" ref="T282">IF($O282&lt;&gt;"",-TRANSPOSE(INDEX(getcds('CDO Bespoke'!$C307,T$13,'CDO Bespoke'!$G307/10000,'CDO Bespoke'!J307,'CDO Bespoke'!$L283,'CDO Bespoke'!$C$13,'CDO Bespoke'!$C$14,'CDO Bespoke'!$C$15,'CDO Bespoke'!$C$8,,,TRUE,TRUE,FALSE,'CDO Bespoke'!$C$29:'CDO Bespoke'!$C$31,'CDO Bespoke'!$C$33),{5})),"")</f>
        <v/>
      </c>
      <c r="U282" s="493"/>
      <c r="V282" s="529"/>
      <c r="W282" s="530"/>
      <c r="X282" s="530"/>
      <c r="Y282" s="530"/>
      <c r="Z282" s="530"/>
      <c r="AA282" s="530"/>
      <c r="AB282" s="530"/>
      <c r="AC282" s="530"/>
      <c r="AD282" s="530"/>
      <c r="AE282" s="531"/>
      <c r="AF282" s="539"/>
    </row>
    <row r="283" spans="6:32" s="281" customFormat="1" ht="12" thickBot="1">
      <c r="F283" s="501" t="str">
        <f>IF('CDO Bespoke'!O284&lt;&gt;"",'CDO Bespoke'!O284,"")</f>
        <v/>
      </c>
      <c r="G283" s="502" t="str">
        <f>IF(F283&lt;&gt;"",ABS(MIN(-0.75*('CDO Bespoke'!Q284+'CDO Bespoke'!T284)+'CDO Bespoke'!T284,0)),"")</f>
        <v/>
      </c>
      <c r="H283" s="502" t="str">
        <f t="shared" si="16"/>
        <v/>
      </c>
      <c r="I283" s="502" t="str">
        <f t="shared" si="19"/>
        <v/>
      </c>
      <c r="J283" s="501" t="str">
        <f>IF('CDO Bespoke'!O284&lt;&gt;"",'CDO Bespoke'!O284,"")</f>
        <v/>
      </c>
      <c r="K283" s="502" t="str">
        <f>IF(J283&lt;&gt;"",ABS(MIN(-0.75*('CDO Bespoke'!K284+'CDO Bespoke'!T284)+'CDO Bespoke'!T284,0)),"")</f>
        <v/>
      </c>
      <c r="L283" s="502" t="str">
        <f t="shared" si="17"/>
        <v/>
      </c>
      <c r="M283" s="506" t="str">
        <f t="shared" si="18"/>
        <v/>
      </c>
      <c r="O283" s="511" t="str">
        <f>IF('CDO Bespoke'!C308&lt;&gt;"",'CDO Bespoke'!C308,"")</f>
        <v/>
      </c>
      <c r="P283" s="513" t="str" cm="1">
        <f t="array" ref="P283">IF($O283&lt;&gt;"",-TRANSPOSE(INDEX(getcds('CDO Bespoke'!$C308,P$13,'CDO Bespoke'!$G308/10000,'CDO Bespoke'!F308,'CDO Bespoke'!$L284,'CDO Bespoke'!$C$13,'CDO Bespoke'!$C$14,'CDO Bespoke'!$C$15,'CDO Bespoke'!$C$8,,,TRUE,TRUE,FALSE,'CDO Bespoke'!$C$29:'CDO Bespoke'!$C$31,'CDO Bespoke'!$C$33),{5})),"")</f>
        <v/>
      </c>
      <c r="Q283" s="542" t="str" cm="1">
        <f t="array" ref="Q283">IF($O283&lt;&gt;"",-TRANSPOSE(INDEX(getcds('CDO Bespoke'!$C308,Q$13,'CDO Bespoke'!$G308/10000,'CDO Bespoke'!G308,'CDO Bespoke'!$L284,'CDO Bespoke'!$C$13,'CDO Bespoke'!$C$14,'CDO Bespoke'!$C$15,'CDO Bespoke'!$C$8,,,TRUE,TRUE,FALSE,'CDO Bespoke'!$C$29:'CDO Bespoke'!$C$31,'CDO Bespoke'!$C$33),{5})),"")</f>
        <v/>
      </c>
      <c r="R283" s="542" t="str" cm="1">
        <f t="array" ref="R283">IF($O283&lt;&gt;"",-TRANSPOSE(INDEX(getcds('CDO Bespoke'!$C308,R$13,'CDO Bespoke'!$G308/10000,'CDO Bespoke'!H308,'CDO Bespoke'!$L284,'CDO Bespoke'!$C$13,'CDO Bespoke'!$C$14,'CDO Bespoke'!$C$15,'CDO Bespoke'!$C$8,,,TRUE,TRUE,FALSE,'CDO Bespoke'!$C$29:'CDO Bespoke'!$C$31,'CDO Bespoke'!$C$33),{5})),"")</f>
        <v/>
      </c>
      <c r="S283" s="542" t="str" cm="1">
        <f t="array" ref="S283">IF($O283&lt;&gt;"",-TRANSPOSE(INDEX(getcds('CDO Bespoke'!$C308,S$13,'CDO Bespoke'!$G308/10000,'CDO Bespoke'!I308,'CDO Bespoke'!$L284,'CDO Bespoke'!$C$13,'CDO Bespoke'!$C$14,'CDO Bespoke'!$C$15,'CDO Bespoke'!$C$8,,,TRUE,TRUE,FALSE,'CDO Bespoke'!$C$29:'CDO Bespoke'!$C$31,'CDO Bespoke'!$C$33),{5})),"")</f>
        <v/>
      </c>
      <c r="T283" s="514" t="str" cm="1">
        <f t="array" ref="T283">IF($O283&lt;&gt;"",-TRANSPOSE(INDEX(getcds('CDO Bespoke'!$C308,T$13,'CDO Bespoke'!$G308/10000,'CDO Bespoke'!J308,'CDO Bespoke'!$L284,'CDO Bespoke'!$C$13,'CDO Bespoke'!$C$14,'CDO Bespoke'!$C$15,'CDO Bespoke'!$C$8,,,TRUE,TRUE,FALSE,'CDO Bespoke'!$C$29:'CDO Bespoke'!$C$31,'CDO Bespoke'!$C$33),{5})),"")</f>
        <v/>
      </c>
      <c r="U283" s="493"/>
      <c r="V283" s="529"/>
      <c r="W283" s="530"/>
      <c r="X283" s="530"/>
      <c r="Y283" s="530"/>
      <c r="Z283" s="530"/>
      <c r="AA283" s="530"/>
      <c r="AB283" s="530"/>
      <c r="AC283" s="530"/>
      <c r="AD283" s="530"/>
      <c r="AE283" s="531"/>
      <c r="AF283" s="539"/>
    </row>
    <row r="284" spans="6:32" s="281" customFormat="1" ht="12" thickBot="1">
      <c r="F284" s="501" t="str">
        <f>IF('CDO Bespoke'!O285&lt;&gt;"",'CDO Bespoke'!O285,"")</f>
        <v/>
      </c>
      <c r="G284" s="502" t="str">
        <f>IF(F284&lt;&gt;"",ABS(MIN(-0.75*('CDO Bespoke'!Q285+'CDO Bespoke'!T285)+'CDO Bespoke'!T285,0)),"")</f>
        <v/>
      </c>
      <c r="H284" s="502" t="str">
        <f t="shared" si="16"/>
        <v/>
      </c>
      <c r="I284" s="502" t="str">
        <f t="shared" si="19"/>
        <v/>
      </c>
      <c r="J284" s="501" t="str">
        <f>IF('CDO Bespoke'!O285&lt;&gt;"",'CDO Bespoke'!O285,"")</f>
        <v/>
      </c>
      <c r="K284" s="502" t="str">
        <f>IF(J284&lt;&gt;"",ABS(MIN(-0.75*('CDO Bespoke'!K285+'CDO Bespoke'!T285)+'CDO Bespoke'!T285,0)),"")</f>
        <v/>
      </c>
      <c r="L284" s="502" t="str">
        <f t="shared" si="17"/>
        <v/>
      </c>
      <c r="M284" s="506" t="str">
        <f t="shared" si="18"/>
        <v/>
      </c>
      <c r="O284" s="511" t="str">
        <f>IF('CDO Bespoke'!C309&lt;&gt;"",'CDO Bespoke'!C309,"")</f>
        <v/>
      </c>
      <c r="P284" s="513" t="str" cm="1">
        <f t="array" ref="P284">IF($O284&lt;&gt;"",-TRANSPOSE(INDEX(getcds('CDO Bespoke'!$C309,P$13,'CDO Bespoke'!$G309/10000,'CDO Bespoke'!F309,'CDO Bespoke'!$L285,'CDO Bespoke'!$C$13,'CDO Bespoke'!$C$14,'CDO Bespoke'!$C$15,'CDO Bespoke'!$C$8,,,TRUE,TRUE,FALSE,'CDO Bespoke'!$C$29:'CDO Bespoke'!$C$31,'CDO Bespoke'!$C$33),{5})),"")</f>
        <v/>
      </c>
      <c r="Q284" s="542" t="str" cm="1">
        <f t="array" ref="Q284">IF($O284&lt;&gt;"",-TRANSPOSE(INDEX(getcds('CDO Bespoke'!$C309,Q$13,'CDO Bespoke'!$G309/10000,'CDO Bespoke'!G309,'CDO Bespoke'!$L285,'CDO Bespoke'!$C$13,'CDO Bespoke'!$C$14,'CDO Bespoke'!$C$15,'CDO Bespoke'!$C$8,,,TRUE,TRUE,FALSE,'CDO Bespoke'!$C$29:'CDO Bespoke'!$C$31,'CDO Bespoke'!$C$33),{5})),"")</f>
        <v/>
      </c>
      <c r="R284" s="542" t="str" cm="1">
        <f t="array" ref="R284">IF($O284&lt;&gt;"",-TRANSPOSE(INDEX(getcds('CDO Bespoke'!$C309,R$13,'CDO Bespoke'!$G309/10000,'CDO Bespoke'!H309,'CDO Bespoke'!$L285,'CDO Bespoke'!$C$13,'CDO Bespoke'!$C$14,'CDO Bespoke'!$C$15,'CDO Bespoke'!$C$8,,,TRUE,TRUE,FALSE,'CDO Bespoke'!$C$29:'CDO Bespoke'!$C$31,'CDO Bespoke'!$C$33),{5})),"")</f>
        <v/>
      </c>
      <c r="S284" s="542" t="str" cm="1">
        <f t="array" ref="S284">IF($O284&lt;&gt;"",-TRANSPOSE(INDEX(getcds('CDO Bespoke'!$C309,S$13,'CDO Bespoke'!$G309/10000,'CDO Bespoke'!I309,'CDO Bespoke'!$L285,'CDO Bespoke'!$C$13,'CDO Bespoke'!$C$14,'CDO Bespoke'!$C$15,'CDO Bespoke'!$C$8,,,TRUE,TRUE,FALSE,'CDO Bespoke'!$C$29:'CDO Bespoke'!$C$31,'CDO Bespoke'!$C$33),{5})),"")</f>
        <v/>
      </c>
      <c r="T284" s="514" t="str" cm="1">
        <f t="array" ref="T284">IF($O284&lt;&gt;"",-TRANSPOSE(INDEX(getcds('CDO Bespoke'!$C309,T$13,'CDO Bespoke'!$G309/10000,'CDO Bespoke'!J309,'CDO Bespoke'!$L285,'CDO Bespoke'!$C$13,'CDO Bespoke'!$C$14,'CDO Bespoke'!$C$15,'CDO Bespoke'!$C$8,,,TRUE,TRUE,FALSE,'CDO Bespoke'!$C$29:'CDO Bespoke'!$C$31,'CDO Bespoke'!$C$33),{5})),"")</f>
        <v/>
      </c>
      <c r="U284" s="493"/>
      <c r="V284" s="529"/>
      <c r="W284" s="530"/>
      <c r="X284" s="530"/>
      <c r="Y284" s="530"/>
      <c r="Z284" s="530"/>
      <c r="AA284" s="530"/>
      <c r="AB284" s="530"/>
      <c r="AC284" s="530"/>
      <c r="AD284" s="530"/>
      <c r="AE284" s="531"/>
      <c r="AF284" s="539"/>
    </row>
    <row r="285" spans="6:32" s="281" customFormat="1" ht="12" thickBot="1">
      <c r="F285" s="501" t="str">
        <f>IF('CDO Bespoke'!O286&lt;&gt;"",'CDO Bespoke'!O286,"")</f>
        <v/>
      </c>
      <c r="G285" s="502" t="str">
        <f>IF(F285&lt;&gt;"",ABS(MIN(-0.75*('CDO Bespoke'!Q286+'CDO Bespoke'!T286)+'CDO Bespoke'!T286,0)),"")</f>
        <v/>
      </c>
      <c r="H285" s="502" t="str">
        <f t="shared" si="16"/>
        <v/>
      </c>
      <c r="I285" s="502" t="str">
        <f t="shared" si="19"/>
        <v/>
      </c>
      <c r="J285" s="501" t="str">
        <f>IF('CDO Bespoke'!O286&lt;&gt;"",'CDO Bespoke'!O286,"")</f>
        <v/>
      </c>
      <c r="K285" s="502" t="str">
        <f>IF(J285&lt;&gt;"",ABS(MIN(-0.75*('CDO Bespoke'!K286+'CDO Bespoke'!T286)+'CDO Bespoke'!T286,0)),"")</f>
        <v/>
      </c>
      <c r="L285" s="502" t="str">
        <f t="shared" si="17"/>
        <v/>
      </c>
      <c r="M285" s="506" t="str">
        <f t="shared" si="18"/>
        <v/>
      </c>
      <c r="O285" s="511" t="str">
        <f>IF('CDO Bespoke'!C310&lt;&gt;"",'CDO Bespoke'!C310,"")</f>
        <v/>
      </c>
      <c r="P285" s="513" t="str" cm="1">
        <f t="array" ref="P285">IF($O285&lt;&gt;"",-TRANSPOSE(INDEX(getcds('CDO Bespoke'!$C310,P$13,'CDO Bespoke'!$G310/10000,'CDO Bespoke'!F310,'CDO Bespoke'!$L286,'CDO Bespoke'!$C$13,'CDO Bespoke'!$C$14,'CDO Bespoke'!$C$15,'CDO Bespoke'!$C$8,,,TRUE,TRUE,FALSE,'CDO Bespoke'!$C$29:'CDO Bespoke'!$C$31,'CDO Bespoke'!$C$33),{5})),"")</f>
        <v/>
      </c>
      <c r="Q285" s="542" t="str" cm="1">
        <f t="array" ref="Q285">IF($O285&lt;&gt;"",-TRANSPOSE(INDEX(getcds('CDO Bespoke'!$C310,Q$13,'CDO Bespoke'!$G310/10000,'CDO Bespoke'!G310,'CDO Bespoke'!$L286,'CDO Bespoke'!$C$13,'CDO Bespoke'!$C$14,'CDO Bespoke'!$C$15,'CDO Bespoke'!$C$8,,,TRUE,TRUE,FALSE,'CDO Bespoke'!$C$29:'CDO Bespoke'!$C$31,'CDO Bespoke'!$C$33),{5})),"")</f>
        <v/>
      </c>
      <c r="R285" s="542" t="str" cm="1">
        <f t="array" ref="R285">IF($O285&lt;&gt;"",-TRANSPOSE(INDEX(getcds('CDO Bespoke'!$C310,R$13,'CDO Bespoke'!$G310/10000,'CDO Bespoke'!H310,'CDO Bespoke'!$L286,'CDO Bespoke'!$C$13,'CDO Bespoke'!$C$14,'CDO Bespoke'!$C$15,'CDO Bespoke'!$C$8,,,TRUE,TRUE,FALSE,'CDO Bespoke'!$C$29:'CDO Bespoke'!$C$31,'CDO Bespoke'!$C$33),{5})),"")</f>
        <v/>
      </c>
      <c r="S285" s="542" t="str" cm="1">
        <f t="array" ref="S285">IF($O285&lt;&gt;"",-TRANSPOSE(INDEX(getcds('CDO Bespoke'!$C310,S$13,'CDO Bespoke'!$G310/10000,'CDO Bespoke'!I310,'CDO Bespoke'!$L286,'CDO Bespoke'!$C$13,'CDO Bespoke'!$C$14,'CDO Bespoke'!$C$15,'CDO Bespoke'!$C$8,,,TRUE,TRUE,FALSE,'CDO Bespoke'!$C$29:'CDO Bespoke'!$C$31,'CDO Bespoke'!$C$33),{5})),"")</f>
        <v/>
      </c>
      <c r="T285" s="514" t="str" cm="1">
        <f t="array" ref="T285">IF($O285&lt;&gt;"",-TRANSPOSE(INDEX(getcds('CDO Bespoke'!$C310,T$13,'CDO Bespoke'!$G310/10000,'CDO Bespoke'!J310,'CDO Bespoke'!$L286,'CDO Bespoke'!$C$13,'CDO Bespoke'!$C$14,'CDO Bespoke'!$C$15,'CDO Bespoke'!$C$8,,,TRUE,TRUE,FALSE,'CDO Bespoke'!$C$29:'CDO Bespoke'!$C$31,'CDO Bespoke'!$C$33),{5})),"")</f>
        <v/>
      </c>
      <c r="U285" s="493"/>
      <c r="V285" s="529"/>
      <c r="W285" s="530"/>
      <c r="X285" s="530"/>
      <c r="Y285" s="530"/>
      <c r="Z285" s="530"/>
      <c r="AA285" s="530"/>
      <c r="AB285" s="530"/>
      <c r="AC285" s="530"/>
      <c r="AD285" s="530"/>
      <c r="AE285" s="531"/>
      <c r="AF285" s="539"/>
    </row>
    <row r="286" spans="6:32" s="281" customFormat="1" ht="12" thickBot="1">
      <c r="F286" s="501" t="str">
        <f>IF('CDO Bespoke'!O287&lt;&gt;"",'CDO Bespoke'!O287,"")</f>
        <v/>
      </c>
      <c r="G286" s="502" t="str">
        <f>IF(F286&lt;&gt;"",ABS(MIN(-0.75*('CDO Bespoke'!Q287+'CDO Bespoke'!T287)+'CDO Bespoke'!T287,0)),"")</f>
        <v/>
      </c>
      <c r="H286" s="502" t="str">
        <f t="shared" si="16"/>
        <v/>
      </c>
      <c r="I286" s="502" t="str">
        <f t="shared" si="19"/>
        <v/>
      </c>
      <c r="J286" s="501" t="str">
        <f>IF('CDO Bespoke'!O287&lt;&gt;"",'CDO Bespoke'!O287,"")</f>
        <v/>
      </c>
      <c r="K286" s="502" t="str">
        <f>IF(J286&lt;&gt;"",ABS(MIN(-0.75*('CDO Bespoke'!K287+'CDO Bespoke'!T287)+'CDO Bespoke'!T287,0)),"")</f>
        <v/>
      </c>
      <c r="L286" s="502" t="str">
        <f t="shared" si="17"/>
        <v/>
      </c>
      <c r="M286" s="506" t="str">
        <f t="shared" si="18"/>
        <v/>
      </c>
      <c r="O286" s="511" t="str">
        <f>IF('CDO Bespoke'!C311&lt;&gt;"",'CDO Bespoke'!C311,"")</f>
        <v/>
      </c>
      <c r="P286" s="513" t="str" cm="1">
        <f t="array" ref="P286">IF($O286&lt;&gt;"",-TRANSPOSE(INDEX(getcds('CDO Bespoke'!$C311,P$13,'CDO Bespoke'!$G311/10000,'CDO Bespoke'!F311,'CDO Bespoke'!$L287,'CDO Bespoke'!$C$13,'CDO Bespoke'!$C$14,'CDO Bespoke'!$C$15,'CDO Bespoke'!$C$8,,,TRUE,TRUE,FALSE,'CDO Bespoke'!$C$29:'CDO Bespoke'!$C$31,'CDO Bespoke'!$C$33),{5})),"")</f>
        <v/>
      </c>
      <c r="Q286" s="542" t="str" cm="1">
        <f t="array" ref="Q286">IF($O286&lt;&gt;"",-TRANSPOSE(INDEX(getcds('CDO Bespoke'!$C311,Q$13,'CDO Bespoke'!$G311/10000,'CDO Bespoke'!G311,'CDO Bespoke'!$L287,'CDO Bespoke'!$C$13,'CDO Bespoke'!$C$14,'CDO Bespoke'!$C$15,'CDO Bespoke'!$C$8,,,TRUE,TRUE,FALSE,'CDO Bespoke'!$C$29:'CDO Bespoke'!$C$31,'CDO Bespoke'!$C$33),{5})),"")</f>
        <v/>
      </c>
      <c r="R286" s="542" t="str" cm="1">
        <f t="array" ref="R286">IF($O286&lt;&gt;"",-TRANSPOSE(INDEX(getcds('CDO Bespoke'!$C311,R$13,'CDO Bespoke'!$G311/10000,'CDO Bespoke'!H311,'CDO Bespoke'!$L287,'CDO Bespoke'!$C$13,'CDO Bespoke'!$C$14,'CDO Bespoke'!$C$15,'CDO Bespoke'!$C$8,,,TRUE,TRUE,FALSE,'CDO Bespoke'!$C$29:'CDO Bespoke'!$C$31,'CDO Bespoke'!$C$33),{5})),"")</f>
        <v/>
      </c>
      <c r="S286" s="542" t="str" cm="1">
        <f t="array" ref="S286">IF($O286&lt;&gt;"",-TRANSPOSE(INDEX(getcds('CDO Bespoke'!$C311,S$13,'CDO Bespoke'!$G311/10000,'CDO Bespoke'!I311,'CDO Bespoke'!$L287,'CDO Bespoke'!$C$13,'CDO Bespoke'!$C$14,'CDO Bespoke'!$C$15,'CDO Bespoke'!$C$8,,,TRUE,TRUE,FALSE,'CDO Bespoke'!$C$29:'CDO Bespoke'!$C$31,'CDO Bespoke'!$C$33),{5})),"")</f>
        <v/>
      </c>
      <c r="T286" s="514" t="str" cm="1">
        <f t="array" ref="T286">IF($O286&lt;&gt;"",-TRANSPOSE(INDEX(getcds('CDO Bespoke'!$C311,T$13,'CDO Bespoke'!$G311/10000,'CDO Bespoke'!J311,'CDO Bespoke'!$L287,'CDO Bespoke'!$C$13,'CDO Bespoke'!$C$14,'CDO Bespoke'!$C$15,'CDO Bespoke'!$C$8,,,TRUE,TRUE,FALSE,'CDO Bespoke'!$C$29:'CDO Bespoke'!$C$31,'CDO Bespoke'!$C$33),{5})),"")</f>
        <v/>
      </c>
      <c r="U286" s="493"/>
      <c r="V286" s="529"/>
      <c r="W286" s="530"/>
      <c r="X286" s="530"/>
      <c r="Y286" s="530"/>
      <c r="Z286" s="530"/>
      <c r="AA286" s="530"/>
      <c r="AB286" s="530"/>
      <c r="AC286" s="530"/>
      <c r="AD286" s="530"/>
      <c r="AE286" s="531"/>
      <c r="AF286" s="539"/>
    </row>
    <row r="287" spans="6:32" s="281" customFormat="1" ht="12" thickBot="1">
      <c r="F287" s="501" t="str">
        <f>IF('CDO Bespoke'!O288&lt;&gt;"",'CDO Bespoke'!O288,"")</f>
        <v/>
      </c>
      <c r="G287" s="502" t="str">
        <f>IF(F287&lt;&gt;"",ABS(MIN(-0.75*('CDO Bespoke'!Q288+'CDO Bespoke'!T288)+'CDO Bespoke'!T288,0)),"")</f>
        <v/>
      </c>
      <c r="H287" s="502" t="str">
        <f t="shared" si="16"/>
        <v/>
      </c>
      <c r="I287" s="502" t="str">
        <f t="shared" si="19"/>
        <v/>
      </c>
      <c r="J287" s="501" t="str">
        <f>IF('CDO Bespoke'!O288&lt;&gt;"",'CDO Bespoke'!O288,"")</f>
        <v/>
      </c>
      <c r="K287" s="502" t="str">
        <f>IF(J287&lt;&gt;"",ABS(MIN(-0.75*('CDO Bespoke'!K288+'CDO Bespoke'!T288)+'CDO Bespoke'!T288,0)),"")</f>
        <v/>
      </c>
      <c r="L287" s="502" t="str">
        <f t="shared" si="17"/>
        <v/>
      </c>
      <c r="M287" s="506" t="str">
        <f t="shared" si="18"/>
        <v/>
      </c>
      <c r="O287" s="511" t="str">
        <f>IF('CDO Bespoke'!C312&lt;&gt;"",'CDO Bespoke'!C312,"")</f>
        <v/>
      </c>
      <c r="P287" s="513" t="str" cm="1">
        <f t="array" ref="P287">IF($O287&lt;&gt;"",-TRANSPOSE(INDEX(getcds('CDO Bespoke'!$C312,P$13,'CDO Bespoke'!$G312/10000,'CDO Bespoke'!F312,'CDO Bespoke'!$L288,'CDO Bespoke'!$C$13,'CDO Bespoke'!$C$14,'CDO Bespoke'!$C$15,'CDO Bespoke'!$C$8,,,TRUE,TRUE,FALSE,'CDO Bespoke'!$C$29:'CDO Bespoke'!$C$31,'CDO Bespoke'!$C$33),{5})),"")</f>
        <v/>
      </c>
      <c r="Q287" s="542" t="str" cm="1">
        <f t="array" ref="Q287">IF($O287&lt;&gt;"",-TRANSPOSE(INDEX(getcds('CDO Bespoke'!$C312,Q$13,'CDO Bespoke'!$G312/10000,'CDO Bespoke'!G312,'CDO Bespoke'!$L288,'CDO Bespoke'!$C$13,'CDO Bespoke'!$C$14,'CDO Bespoke'!$C$15,'CDO Bespoke'!$C$8,,,TRUE,TRUE,FALSE,'CDO Bespoke'!$C$29:'CDO Bespoke'!$C$31,'CDO Bespoke'!$C$33),{5})),"")</f>
        <v/>
      </c>
      <c r="R287" s="542" t="str" cm="1">
        <f t="array" ref="R287">IF($O287&lt;&gt;"",-TRANSPOSE(INDEX(getcds('CDO Bespoke'!$C312,R$13,'CDO Bespoke'!$G312/10000,'CDO Bespoke'!H312,'CDO Bespoke'!$L288,'CDO Bespoke'!$C$13,'CDO Bespoke'!$C$14,'CDO Bespoke'!$C$15,'CDO Bespoke'!$C$8,,,TRUE,TRUE,FALSE,'CDO Bespoke'!$C$29:'CDO Bespoke'!$C$31,'CDO Bespoke'!$C$33),{5})),"")</f>
        <v/>
      </c>
      <c r="S287" s="542" t="str" cm="1">
        <f t="array" ref="S287">IF($O287&lt;&gt;"",-TRANSPOSE(INDEX(getcds('CDO Bespoke'!$C312,S$13,'CDO Bespoke'!$G312/10000,'CDO Bespoke'!I312,'CDO Bespoke'!$L288,'CDO Bespoke'!$C$13,'CDO Bespoke'!$C$14,'CDO Bespoke'!$C$15,'CDO Bespoke'!$C$8,,,TRUE,TRUE,FALSE,'CDO Bespoke'!$C$29:'CDO Bespoke'!$C$31,'CDO Bespoke'!$C$33),{5})),"")</f>
        <v/>
      </c>
      <c r="T287" s="514" t="str" cm="1">
        <f t="array" ref="T287">IF($O287&lt;&gt;"",-TRANSPOSE(INDEX(getcds('CDO Bespoke'!$C312,T$13,'CDO Bespoke'!$G312/10000,'CDO Bespoke'!J312,'CDO Bespoke'!$L288,'CDO Bespoke'!$C$13,'CDO Bespoke'!$C$14,'CDO Bespoke'!$C$15,'CDO Bespoke'!$C$8,,,TRUE,TRUE,FALSE,'CDO Bespoke'!$C$29:'CDO Bespoke'!$C$31,'CDO Bespoke'!$C$33),{5})),"")</f>
        <v/>
      </c>
      <c r="U287" s="493"/>
      <c r="V287" s="529"/>
      <c r="W287" s="530"/>
      <c r="X287" s="530"/>
      <c r="Y287" s="530"/>
      <c r="Z287" s="530"/>
      <c r="AA287" s="530"/>
      <c r="AB287" s="530"/>
      <c r="AC287" s="530"/>
      <c r="AD287" s="530"/>
      <c r="AE287" s="531"/>
      <c r="AF287" s="539"/>
    </row>
    <row r="288" spans="6:32" s="281" customFormat="1" ht="12" thickBot="1">
      <c r="F288" s="501" t="str">
        <f>IF('CDO Bespoke'!O289&lt;&gt;"",'CDO Bespoke'!O289,"")</f>
        <v/>
      </c>
      <c r="G288" s="502" t="str">
        <f>IF(F288&lt;&gt;"",ABS(MIN(-0.75*('CDO Bespoke'!Q289+'CDO Bespoke'!T289)+'CDO Bespoke'!T289,0)),"")</f>
        <v/>
      </c>
      <c r="H288" s="502" t="str">
        <f t="shared" si="16"/>
        <v/>
      </c>
      <c r="I288" s="502" t="str">
        <f t="shared" si="19"/>
        <v/>
      </c>
      <c r="J288" s="501" t="str">
        <f>IF('CDO Bespoke'!O289&lt;&gt;"",'CDO Bespoke'!O289,"")</f>
        <v/>
      </c>
      <c r="K288" s="502" t="str">
        <f>IF(J288&lt;&gt;"",ABS(MIN(-0.75*('CDO Bespoke'!K289+'CDO Bespoke'!T289)+'CDO Bespoke'!T289,0)),"")</f>
        <v/>
      </c>
      <c r="L288" s="502" t="str">
        <f t="shared" si="17"/>
        <v/>
      </c>
      <c r="M288" s="506" t="str">
        <f t="shared" si="18"/>
        <v/>
      </c>
      <c r="O288" s="511" t="str">
        <f>IF('CDO Bespoke'!C313&lt;&gt;"",'CDO Bespoke'!C313,"")</f>
        <v/>
      </c>
      <c r="P288" s="513" t="str" cm="1">
        <f t="array" ref="P288">IF($O288&lt;&gt;"",-TRANSPOSE(INDEX(getcds('CDO Bespoke'!$C313,P$13,'CDO Bespoke'!$G313/10000,'CDO Bespoke'!F313,'CDO Bespoke'!$L289,'CDO Bespoke'!$C$13,'CDO Bespoke'!$C$14,'CDO Bespoke'!$C$15,'CDO Bespoke'!$C$8,,,TRUE,TRUE,FALSE,'CDO Bespoke'!$C$29:'CDO Bespoke'!$C$31,'CDO Bespoke'!$C$33),{5})),"")</f>
        <v/>
      </c>
      <c r="Q288" s="542" t="str" cm="1">
        <f t="array" ref="Q288">IF($O288&lt;&gt;"",-TRANSPOSE(INDEX(getcds('CDO Bespoke'!$C313,Q$13,'CDO Bespoke'!$G313/10000,'CDO Bespoke'!G313,'CDO Bespoke'!$L289,'CDO Bespoke'!$C$13,'CDO Bespoke'!$C$14,'CDO Bespoke'!$C$15,'CDO Bespoke'!$C$8,,,TRUE,TRUE,FALSE,'CDO Bespoke'!$C$29:'CDO Bespoke'!$C$31,'CDO Bespoke'!$C$33),{5})),"")</f>
        <v/>
      </c>
      <c r="R288" s="542" t="str" cm="1">
        <f t="array" ref="R288">IF($O288&lt;&gt;"",-TRANSPOSE(INDEX(getcds('CDO Bespoke'!$C313,R$13,'CDO Bespoke'!$G313/10000,'CDO Bespoke'!H313,'CDO Bespoke'!$L289,'CDO Bespoke'!$C$13,'CDO Bespoke'!$C$14,'CDO Bespoke'!$C$15,'CDO Bespoke'!$C$8,,,TRUE,TRUE,FALSE,'CDO Bespoke'!$C$29:'CDO Bespoke'!$C$31,'CDO Bespoke'!$C$33),{5})),"")</f>
        <v/>
      </c>
      <c r="S288" s="542" t="str" cm="1">
        <f t="array" ref="S288">IF($O288&lt;&gt;"",-TRANSPOSE(INDEX(getcds('CDO Bespoke'!$C313,S$13,'CDO Bespoke'!$G313/10000,'CDO Bespoke'!I313,'CDO Bespoke'!$L289,'CDO Bespoke'!$C$13,'CDO Bespoke'!$C$14,'CDO Bespoke'!$C$15,'CDO Bespoke'!$C$8,,,TRUE,TRUE,FALSE,'CDO Bespoke'!$C$29:'CDO Bespoke'!$C$31,'CDO Bespoke'!$C$33),{5})),"")</f>
        <v/>
      </c>
      <c r="T288" s="514" t="str" cm="1">
        <f t="array" ref="T288">IF($O288&lt;&gt;"",-TRANSPOSE(INDEX(getcds('CDO Bespoke'!$C313,T$13,'CDO Bespoke'!$G313/10000,'CDO Bespoke'!J313,'CDO Bespoke'!$L289,'CDO Bespoke'!$C$13,'CDO Bespoke'!$C$14,'CDO Bespoke'!$C$15,'CDO Bespoke'!$C$8,,,TRUE,TRUE,FALSE,'CDO Bespoke'!$C$29:'CDO Bespoke'!$C$31,'CDO Bespoke'!$C$33),{5})),"")</f>
        <v/>
      </c>
      <c r="U288" s="493"/>
      <c r="V288" s="529"/>
      <c r="W288" s="530"/>
      <c r="X288" s="530"/>
      <c r="Y288" s="530"/>
      <c r="Z288" s="530"/>
      <c r="AA288" s="530"/>
      <c r="AB288" s="530"/>
      <c r="AC288" s="530"/>
      <c r="AD288" s="530"/>
      <c r="AE288" s="531"/>
      <c r="AF288" s="539"/>
    </row>
    <row r="289" spans="6:32" s="281" customFormat="1" ht="12" thickBot="1">
      <c r="F289" s="501" t="str">
        <f>IF('CDO Bespoke'!O290&lt;&gt;"",'CDO Bespoke'!O290,"")</f>
        <v/>
      </c>
      <c r="G289" s="502" t="str">
        <f>IF(F289&lt;&gt;"",ABS(MIN(-0.75*('CDO Bespoke'!Q290+'CDO Bespoke'!T290)+'CDO Bespoke'!T290,0)),"")</f>
        <v/>
      </c>
      <c r="H289" s="502" t="str">
        <f t="shared" si="16"/>
        <v/>
      </c>
      <c r="I289" s="502" t="str">
        <f t="shared" si="19"/>
        <v/>
      </c>
      <c r="J289" s="501" t="str">
        <f>IF('CDO Bespoke'!O290&lt;&gt;"",'CDO Bespoke'!O290,"")</f>
        <v/>
      </c>
      <c r="K289" s="502" t="str">
        <f>IF(J289&lt;&gt;"",ABS(MIN(-0.75*('CDO Bespoke'!K290+'CDO Bespoke'!T290)+'CDO Bespoke'!T290,0)),"")</f>
        <v/>
      </c>
      <c r="L289" s="502" t="str">
        <f t="shared" si="17"/>
        <v/>
      </c>
      <c r="M289" s="506" t="str">
        <f t="shared" si="18"/>
        <v/>
      </c>
      <c r="O289" s="511" t="str">
        <f>IF('CDO Bespoke'!C314&lt;&gt;"",'CDO Bespoke'!C314,"")</f>
        <v/>
      </c>
      <c r="P289" s="513" t="str" cm="1">
        <f t="array" ref="P289">IF($O289&lt;&gt;"",-TRANSPOSE(INDEX(getcds('CDO Bespoke'!$C314,P$13,'CDO Bespoke'!$G314/10000,'CDO Bespoke'!F314,'CDO Bespoke'!$L290,'CDO Bespoke'!$C$13,'CDO Bespoke'!$C$14,'CDO Bespoke'!$C$15,'CDO Bespoke'!$C$8,,,TRUE,TRUE,FALSE,'CDO Bespoke'!$C$29:'CDO Bespoke'!$C$31,'CDO Bespoke'!$C$33),{5})),"")</f>
        <v/>
      </c>
      <c r="Q289" s="542" t="str" cm="1">
        <f t="array" ref="Q289">IF($O289&lt;&gt;"",-TRANSPOSE(INDEX(getcds('CDO Bespoke'!$C314,Q$13,'CDO Bespoke'!$G314/10000,'CDO Bespoke'!G314,'CDO Bespoke'!$L290,'CDO Bespoke'!$C$13,'CDO Bespoke'!$C$14,'CDO Bespoke'!$C$15,'CDO Bespoke'!$C$8,,,TRUE,TRUE,FALSE,'CDO Bespoke'!$C$29:'CDO Bespoke'!$C$31,'CDO Bespoke'!$C$33),{5})),"")</f>
        <v/>
      </c>
      <c r="R289" s="542" t="str" cm="1">
        <f t="array" ref="R289">IF($O289&lt;&gt;"",-TRANSPOSE(INDEX(getcds('CDO Bespoke'!$C314,R$13,'CDO Bespoke'!$G314/10000,'CDO Bespoke'!H314,'CDO Bespoke'!$L290,'CDO Bespoke'!$C$13,'CDO Bespoke'!$C$14,'CDO Bespoke'!$C$15,'CDO Bespoke'!$C$8,,,TRUE,TRUE,FALSE,'CDO Bespoke'!$C$29:'CDO Bespoke'!$C$31,'CDO Bespoke'!$C$33),{5})),"")</f>
        <v/>
      </c>
      <c r="S289" s="542" t="str" cm="1">
        <f t="array" ref="S289">IF($O289&lt;&gt;"",-TRANSPOSE(INDEX(getcds('CDO Bespoke'!$C314,S$13,'CDO Bespoke'!$G314/10000,'CDO Bespoke'!I314,'CDO Bespoke'!$L290,'CDO Bespoke'!$C$13,'CDO Bespoke'!$C$14,'CDO Bespoke'!$C$15,'CDO Bespoke'!$C$8,,,TRUE,TRUE,FALSE,'CDO Bespoke'!$C$29:'CDO Bespoke'!$C$31,'CDO Bespoke'!$C$33),{5})),"")</f>
        <v/>
      </c>
      <c r="T289" s="514" t="str" cm="1">
        <f t="array" ref="T289">IF($O289&lt;&gt;"",-TRANSPOSE(INDEX(getcds('CDO Bespoke'!$C314,T$13,'CDO Bespoke'!$G314/10000,'CDO Bespoke'!J314,'CDO Bespoke'!$L290,'CDO Bespoke'!$C$13,'CDO Bespoke'!$C$14,'CDO Bespoke'!$C$15,'CDO Bespoke'!$C$8,,,TRUE,TRUE,FALSE,'CDO Bespoke'!$C$29:'CDO Bespoke'!$C$31,'CDO Bespoke'!$C$33),{5})),"")</f>
        <v/>
      </c>
      <c r="U289" s="493"/>
      <c r="V289" s="529"/>
      <c r="W289" s="530"/>
      <c r="X289" s="530"/>
      <c r="Y289" s="530"/>
      <c r="Z289" s="530"/>
      <c r="AA289" s="530"/>
      <c r="AB289" s="530"/>
      <c r="AC289" s="530"/>
      <c r="AD289" s="530"/>
      <c r="AE289" s="531"/>
      <c r="AF289" s="539"/>
    </row>
    <row r="290" spans="6:32" s="281" customFormat="1" ht="12" thickBot="1">
      <c r="F290" s="501" t="str">
        <f>IF('CDO Bespoke'!O291&lt;&gt;"",'CDO Bespoke'!O291,"")</f>
        <v/>
      </c>
      <c r="G290" s="502" t="str">
        <f>IF(F290&lt;&gt;"",ABS(MIN(-0.75*('CDO Bespoke'!Q291+'CDO Bespoke'!T291)+'CDO Bespoke'!T291,0)),"")</f>
        <v/>
      </c>
      <c r="H290" s="502" t="str">
        <f t="shared" si="16"/>
        <v/>
      </c>
      <c r="I290" s="502" t="str">
        <f t="shared" si="19"/>
        <v/>
      </c>
      <c r="J290" s="501" t="str">
        <f>IF('CDO Bespoke'!O291&lt;&gt;"",'CDO Bespoke'!O291,"")</f>
        <v/>
      </c>
      <c r="K290" s="502" t="str">
        <f>IF(J290&lt;&gt;"",ABS(MIN(-0.75*('CDO Bespoke'!K291+'CDO Bespoke'!T291)+'CDO Bespoke'!T291,0)),"")</f>
        <v/>
      </c>
      <c r="L290" s="502" t="str">
        <f t="shared" si="17"/>
        <v/>
      </c>
      <c r="M290" s="506" t="str">
        <f t="shared" si="18"/>
        <v/>
      </c>
      <c r="O290" s="511" t="str">
        <f>IF('CDO Bespoke'!C315&lt;&gt;"",'CDO Bespoke'!C315,"")</f>
        <v/>
      </c>
      <c r="P290" s="513" t="str" cm="1">
        <f t="array" ref="P290">IF($O290&lt;&gt;"",-TRANSPOSE(INDEX(getcds('CDO Bespoke'!$C315,P$13,'CDO Bespoke'!$G315/10000,'CDO Bespoke'!F315,'CDO Bespoke'!$L291,'CDO Bespoke'!$C$13,'CDO Bespoke'!$C$14,'CDO Bespoke'!$C$15,'CDO Bespoke'!$C$8,,,TRUE,TRUE,FALSE,'CDO Bespoke'!$C$29:'CDO Bespoke'!$C$31,'CDO Bespoke'!$C$33),{5})),"")</f>
        <v/>
      </c>
      <c r="Q290" s="542" t="str" cm="1">
        <f t="array" ref="Q290">IF($O290&lt;&gt;"",-TRANSPOSE(INDEX(getcds('CDO Bespoke'!$C315,Q$13,'CDO Bespoke'!$G315/10000,'CDO Bespoke'!G315,'CDO Bespoke'!$L291,'CDO Bespoke'!$C$13,'CDO Bespoke'!$C$14,'CDO Bespoke'!$C$15,'CDO Bespoke'!$C$8,,,TRUE,TRUE,FALSE,'CDO Bespoke'!$C$29:'CDO Bespoke'!$C$31,'CDO Bespoke'!$C$33),{5})),"")</f>
        <v/>
      </c>
      <c r="R290" s="542" t="str" cm="1">
        <f t="array" ref="R290">IF($O290&lt;&gt;"",-TRANSPOSE(INDEX(getcds('CDO Bespoke'!$C315,R$13,'CDO Bespoke'!$G315/10000,'CDO Bespoke'!H315,'CDO Bespoke'!$L291,'CDO Bespoke'!$C$13,'CDO Bespoke'!$C$14,'CDO Bespoke'!$C$15,'CDO Bespoke'!$C$8,,,TRUE,TRUE,FALSE,'CDO Bespoke'!$C$29:'CDO Bespoke'!$C$31,'CDO Bespoke'!$C$33),{5})),"")</f>
        <v/>
      </c>
      <c r="S290" s="542" t="str" cm="1">
        <f t="array" ref="S290">IF($O290&lt;&gt;"",-TRANSPOSE(INDEX(getcds('CDO Bespoke'!$C315,S$13,'CDO Bespoke'!$G315/10000,'CDO Bespoke'!I315,'CDO Bespoke'!$L291,'CDO Bespoke'!$C$13,'CDO Bespoke'!$C$14,'CDO Bespoke'!$C$15,'CDO Bespoke'!$C$8,,,TRUE,TRUE,FALSE,'CDO Bespoke'!$C$29:'CDO Bespoke'!$C$31,'CDO Bespoke'!$C$33),{5})),"")</f>
        <v/>
      </c>
      <c r="T290" s="514" t="str" cm="1">
        <f t="array" ref="T290">IF($O290&lt;&gt;"",-TRANSPOSE(INDEX(getcds('CDO Bespoke'!$C315,T$13,'CDO Bespoke'!$G315/10000,'CDO Bespoke'!J315,'CDO Bespoke'!$L291,'CDO Bespoke'!$C$13,'CDO Bespoke'!$C$14,'CDO Bespoke'!$C$15,'CDO Bespoke'!$C$8,,,TRUE,TRUE,FALSE,'CDO Bespoke'!$C$29:'CDO Bespoke'!$C$31,'CDO Bespoke'!$C$33),{5})),"")</f>
        <v/>
      </c>
      <c r="U290" s="493"/>
      <c r="V290" s="529"/>
      <c r="W290" s="530"/>
      <c r="X290" s="530"/>
      <c r="Y290" s="530"/>
      <c r="Z290" s="530"/>
      <c r="AA290" s="530"/>
      <c r="AB290" s="530"/>
      <c r="AC290" s="530"/>
      <c r="AD290" s="530"/>
      <c r="AE290" s="531"/>
      <c r="AF290" s="539"/>
    </row>
    <row r="291" spans="6:32" s="281" customFormat="1" ht="12" thickBot="1">
      <c r="F291" s="501" t="str">
        <f>IF('CDO Bespoke'!O292&lt;&gt;"",'CDO Bespoke'!O292,"")</f>
        <v/>
      </c>
      <c r="G291" s="502" t="str">
        <f>IF(F291&lt;&gt;"",ABS(MIN(-0.75*('CDO Bespoke'!Q292+'CDO Bespoke'!T292)+'CDO Bespoke'!T292,0)),"")</f>
        <v/>
      </c>
      <c r="H291" s="502" t="str">
        <f t="shared" si="16"/>
        <v/>
      </c>
      <c r="I291" s="502" t="str">
        <f t="shared" si="19"/>
        <v/>
      </c>
      <c r="J291" s="501" t="str">
        <f>IF('CDO Bespoke'!O292&lt;&gt;"",'CDO Bespoke'!O292,"")</f>
        <v/>
      </c>
      <c r="K291" s="502" t="str">
        <f>IF(J291&lt;&gt;"",ABS(MIN(-0.75*('CDO Bespoke'!K292+'CDO Bespoke'!T292)+'CDO Bespoke'!T292,0)),"")</f>
        <v/>
      </c>
      <c r="L291" s="502" t="str">
        <f t="shared" si="17"/>
        <v/>
      </c>
      <c r="M291" s="506" t="str">
        <f t="shared" si="18"/>
        <v/>
      </c>
      <c r="O291" s="511" t="str">
        <f>IF('CDO Bespoke'!C316&lt;&gt;"",'CDO Bespoke'!C316,"")</f>
        <v/>
      </c>
      <c r="P291" s="513" t="str" cm="1">
        <f t="array" ref="P291">IF($O291&lt;&gt;"",-TRANSPOSE(INDEX(getcds('CDO Bespoke'!$C316,P$13,'CDO Bespoke'!$G316/10000,'CDO Bespoke'!F316,'CDO Bespoke'!$L292,'CDO Bespoke'!$C$13,'CDO Bespoke'!$C$14,'CDO Bespoke'!$C$15,'CDO Bespoke'!$C$8,,,TRUE,TRUE,FALSE,'CDO Bespoke'!$C$29:'CDO Bespoke'!$C$31,'CDO Bespoke'!$C$33),{5})),"")</f>
        <v/>
      </c>
      <c r="Q291" s="542" t="str" cm="1">
        <f t="array" ref="Q291">IF($O291&lt;&gt;"",-TRANSPOSE(INDEX(getcds('CDO Bespoke'!$C316,Q$13,'CDO Bespoke'!$G316/10000,'CDO Bespoke'!G316,'CDO Bespoke'!$L292,'CDO Bespoke'!$C$13,'CDO Bespoke'!$C$14,'CDO Bespoke'!$C$15,'CDO Bespoke'!$C$8,,,TRUE,TRUE,FALSE,'CDO Bespoke'!$C$29:'CDO Bespoke'!$C$31,'CDO Bespoke'!$C$33),{5})),"")</f>
        <v/>
      </c>
      <c r="R291" s="542" t="str" cm="1">
        <f t="array" ref="R291">IF($O291&lt;&gt;"",-TRANSPOSE(INDEX(getcds('CDO Bespoke'!$C316,R$13,'CDO Bespoke'!$G316/10000,'CDO Bespoke'!H316,'CDO Bespoke'!$L292,'CDO Bespoke'!$C$13,'CDO Bespoke'!$C$14,'CDO Bespoke'!$C$15,'CDO Bespoke'!$C$8,,,TRUE,TRUE,FALSE,'CDO Bespoke'!$C$29:'CDO Bespoke'!$C$31,'CDO Bespoke'!$C$33),{5})),"")</f>
        <v/>
      </c>
      <c r="S291" s="542" t="str" cm="1">
        <f t="array" ref="S291">IF($O291&lt;&gt;"",-TRANSPOSE(INDEX(getcds('CDO Bespoke'!$C316,S$13,'CDO Bespoke'!$G316/10000,'CDO Bespoke'!I316,'CDO Bespoke'!$L292,'CDO Bespoke'!$C$13,'CDO Bespoke'!$C$14,'CDO Bespoke'!$C$15,'CDO Bespoke'!$C$8,,,TRUE,TRUE,FALSE,'CDO Bespoke'!$C$29:'CDO Bespoke'!$C$31,'CDO Bespoke'!$C$33),{5})),"")</f>
        <v/>
      </c>
      <c r="T291" s="514" t="str" cm="1">
        <f t="array" ref="T291">IF($O291&lt;&gt;"",-TRANSPOSE(INDEX(getcds('CDO Bespoke'!$C316,T$13,'CDO Bespoke'!$G316/10000,'CDO Bespoke'!J316,'CDO Bespoke'!$L292,'CDO Bespoke'!$C$13,'CDO Bespoke'!$C$14,'CDO Bespoke'!$C$15,'CDO Bespoke'!$C$8,,,TRUE,TRUE,FALSE,'CDO Bespoke'!$C$29:'CDO Bespoke'!$C$31,'CDO Bespoke'!$C$33),{5})),"")</f>
        <v/>
      </c>
      <c r="U291" s="493"/>
      <c r="V291" s="529"/>
      <c r="W291" s="530"/>
      <c r="X291" s="530"/>
      <c r="Y291" s="530"/>
      <c r="Z291" s="530"/>
      <c r="AA291" s="530"/>
      <c r="AB291" s="530"/>
      <c r="AC291" s="530"/>
      <c r="AD291" s="530"/>
      <c r="AE291" s="531"/>
      <c r="AF291" s="539"/>
    </row>
    <row r="292" spans="6:32" s="281" customFormat="1" ht="12" thickBot="1">
      <c r="F292" s="501" t="str">
        <f>IF('CDO Bespoke'!O293&lt;&gt;"",'CDO Bespoke'!O293,"")</f>
        <v/>
      </c>
      <c r="G292" s="502" t="str">
        <f>IF(F292&lt;&gt;"",ABS(MIN(-0.75*('CDO Bespoke'!Q293+'CDO Bespoke'!T293)+'CDO Bespoke'!T293,0)),"")</f>
        <v/>
      </c>
      <c r="H292" s="502" t="str">
        <f t="shared" si="16"/>
        <v/>
      </c>
      <c r="I292" s="502" t="str">
        <f t="shared" si="19"/>
        <v/>
      </c>
      <c r="J292" s="501" t="str">
        <f>IF('CDO Bespoke'!O293&lt;&gt;"",'CDO Bespoke'!O293,"")</f>
        <v/>
      </c>
      <c r="K292" s="502" t="str">
        <f>IF(J292&lt;&gt;"",ABS(MIN(-0.75*('CDO Bespoke'!K293+'CDO Bespoke'!T293)+'CDO Bespoke'!T293,0)),"")</f>
        <v/>
      </c>
      <c r="L292" s="502" t="str">
        <f t="shared" si="17"/>
        <v/>
      </c>
      <c r="M292" s="506" t="str">
        <f t="shared" si="18"/>
        <v/>
      </c>
      <c r="O292" s="511" t="str">
        <f>IF('CDO Bespoke'!C317&lt;&gt;"",'CDO Bespoke'!C317,"")</f>
        <v/>
      </c>
      <c r="P292" s="513" t="str" cm="1">
        <f t="array" ref="P292">IF($O292&lt;&gt;"",-TRANSPOSE(INDEX(getcds('CDO Bespoke'!$C317,P$13,'CDO Bespoke'!$G317/10000,'CDO Bespoke'!F317,'CDO Bespoke'!$L293,'CDO Bespoke'!$C$13,'CDO Bespoke'!$C$14,'CDO Bespoke'!$C$15,'CDO Bespoke'!$C$8,,,TRUE,TRUE,FALSE,'CDO Bespoke'!$C$29:'CDO Bespoke'!$C$31,'CDO Bespoke'!$C$33),{5})),"")</f>
        <v/>
      </c>
      <c r="Q292" s="542" t="str" cm="1">
        <f t="array" ref="Q292">IF($O292&lt;&gt;"",-TRANSPOSE(INDEX(getcds('CDO Bespoke'!$C317,Q$13,'CDO Bespoke'!$G317/10000,'CDO Bespoke'!G317,'CDO Bespoke'!$L293,'CDO Bespoke'!$C$13,'CDO Bespoke'!$C$14,'CDO Bespoke'!$C$15,'CDO Bespoke'!$C$8,,,TRUE,TRUE,FALSE,'CDO Bespoke'!$C$29:'CDO Bespoke'!$C$31,'CDO Bespoke'!$C$33),{5})),"")</f>
        <v/>
      </c>
      <c r="R292" s="542" t="str" cm="1">
        <f t="array" ref="R292">IF($O292&lt;&gt;"",-TRANSPOSE(INDEX(getcds('CDO Bespoke'!$C317,R$13,'CDO Bespoke'!$G317/10000,'CDO Bespoke'!H317,'CDO Bespoke'!$L293,'CDO Bespoke'!$C$13,'CDO Bespoke'!$C$14,'CDO Bespoke'!$C$15,'CDO Bespoke'!$C$8,,,TRUE,TRUE,FALSE,'CDO Bespoke'!$C$29:'CDO Bespoke'!$C$31,'CDO Bespoke'!$C$33),{5})),"")</f>
        <v/>
      </c>
      <c r="S292" s="542" t="str" cm="1">
        <f t="array" ref="S292">IF($O292&lt;&gt;"",-TRANSPOSE(INDEX(getcds('CDO Bespoke'!$C317,S$13,'CDO Bespoke'!$G317/10000,'CDO Bespoke'!I317,'CDO Bespoke'!$L293,'CDO Bespoke'!$C$13,'CDO Bespoke'!$C$14,'CDO Bespoke'!$C$15,'CDO Bespoke'!$C$8,,,TRUE,TRUE,FALSE,'CDO Bespoke'!$C$29:'CDO Bespoke'!$C$31,'CDO Bespoke'!$C$33),{5})),"")</f>
        <v/>
      </c>
      <c r="T292" s="514" t="str" cm="1">
        <f t="array" ref="T292">IF($O292&lt;&gt;"",-TRANSPOSE(INDEX(getcds('CDO Bespoke'!$C317,T$13,'CDO Bespoke'!$G317/10000,'CDO Bespoke'!J317,'CDO Bespoke'!$L293,'CDO Bespoke'!$C$13,'CDO Bespoke'!$C$14,'CDO Bespoke'!$C$15,'CDO Bespoke'!$C$8,,,TRUE,TRUE,FALSE,'CDO Bespoke'!$C$29:'CDO Bespoke'!$C$31,'CDO Bespoke'!$C$33),{5})),"")</f>
        <v/>
      </c>
      <c r="U292" s="493"/>
      <c r="V292" s="529"/>
      <c r="W292" s="530"/>
      <c r="X292" s="530"/>
      <c r="Y292" s="530"/>
      <c r="Z292" s="530"/>
      <c r="AA292" s="530"/>
      <c r="AB292" s="530"/>
      <c r="AC292" s="530"/>
      <c r="AD292" s="530"/>
      <c r="AE292" s="531"/>
      <c r="AF292" s="539"/>
    </row>
    <row r="293" spans="6:32" s="281" customFormat="1" ht="12" thickBot="1">
      <c r="F293" s="501" t="str">
        <f>IF('CDO Bespoke'!O294&lt;&gt;"",'CDO Bespoke'!O294,"")</f>
        <v/>
      </c>
      <c r="G293" s="502" t="str">
        <f>IF(F293&lt;&gt;"",ABS(MIN(-0.75*('CDO Bespoke'!Q294+'CDO Bespoke'!T294)+'CDO Bespoke'!T294,0)),"")</f>
        <v/>
      </c>
      <c r="H293" s="502" t="str">
        <f t="shared" si="16"/>
        <v/>
      </c>
      <c r="I293" s="502" t="str">
        <f t="shared" si="19"/>
        <v/>
      </c>
      <c r="J293" s="501" t="str">
        <f>IF('CDO Bespoke'!O294&lt;&gt;"",'CDO Bespoke'!O294,"")</f>
        <v/>
      </c>
      <c r="K293" s="502" t="str">
        <f>IF(J293&lt;&gt;"",ABS(MIN(-0.75*('CDO Bespoke'!K294+'CDO Bespoke'!T294)+'CDO Bespoke'!T294,0)),"")</f>
        <v/>
      </c>
      <c r="L293" s="502" t="str">
        <f t="shared" si="17"/>
        <v/>
      </c>
      <c r="M293" s="506" t="str">
        <f t="shared" si="18"/>
        <v/>
      </c>
      <c r="O293" s="511" t="str">
        <f>IF('CDO Bespoke'!C318&lt;&gt;"",'CDO Bespoke'!C318,"")</f>
        <v/>
      </c>
      <c r="P293" s="513" t="str" cm="1">
        <f t="array" ref="P293">IF($O293&lt;&gt;"",-TRANSPOSE(INDEX(getcds('CDO Bespoke'!$C318,P$13,'CDO Bespoke'!$G318/10000,'CDO Bespoke'!F318,'CDO Bespoke'!$L294,'CDO Bespoke'!$C$13,'CDO Bespoke'!$C$14,'CDO Bespoke'!$C$15,'CDO Bespoke'!$C$8,,,TRUE,TRUE,FALSE,'CDO Bespoke'!$C$29:'CDO Bespoke'!$C$31,'CDO Bespoke'!$C$33),{5})),"")</f>
        <v/>
      </c>
      <c r="Q293" s="542" t="str" cm="1">
        <f t="array" ref="Q293">IF($O293&lt;&gt;"",-TRANSPOSE(INDEX(getcds('CDO Bespoke'!$C318,Q$13,'CDO Bespoke'!$G318/10000,'CDO Bespoke'!G318,'CDO Bespoke'!$L294,'CDO Bespoke'!$C$13,'CDO Bespoke'!$C$14,'CDO Bespoke'!$C$15,'CDO Bespoke'!$C$8,,,TRUE,TRUE,FALSE,'CDO Bespoke'!$C$29:'CDO Bespoke'!$C$31,'CDO Bespoke'!$C$33),{5})),"")</f>
        <v/>
      </c>
      <c r="R293" s="542" t="str" cm="1">
        <f t="array" ref="R293">IF($O293&lt;&gt;"",-TRANSPOSE(INDEX(getcds('CDO Bespoke'!$C318,R$13,'CDO Bespoke'!$G318/10000,'CDO Bespoke'!H318,'CDO Bespoke'!$L294,'CDO Bespoke'!$C$13,'CDO Bespoke'!$C$14,'CDO Bespoke'!$C$15,'CDO Bespoke'!$C$8,,,TRUE,TRUE,FALSE,'CDO Bespoke'!$C$29:'CDO Bespoke'!$C$31,'CDO Bespoke'!$C$33),{5})),"")</f>
        <v/>
      </c>
      <c r="S293" s="542" t="str" cm="1">
        <f t="array" ref="S293">IF($O293&lt;&gt;"",-TRANSPOSE(INDEX(getcds('CDO Bespoke'!$C318,S$13,'CDO Bespoke'!$G318/10000,'CDO Bespoke'!I318,'CDO Bespoke'!$L294,'CDO Bespoke'!$C$13,'CDO Bespoke'!$C$14,'CDO Bespoke'!$C$15,'CDO Bespoke'!$C$8,,,TRUE,TRUE,FALSE,'CDO Bespoke'!$C$29:'CDO Bespoke'!$C$31,'CDO Bespoke'!$C$33),{5})),"")</f>
        <v/>
      </c>
      <c r="T293" s="514" t="str" cm="1">
        <f t="array" ref="T293">IF($O293&lt;&gt;"",-TRANSPOSE(INDEX(getcds('CDO Bespoke'!$C318,T$13,'CDO Bespoke'!$G318/10000,'CDO Bespoke'!J318,'CDO Bespoke'!$L294,'CDO Bespoke'!$C$13,'CDO Bespoke'!$C$14,'CDO Bespoke'!$C$15,'CDO Bespoke'!$C$8,,,TRUE,TRUE,FALSE,'CDO Bespoke'!$C$29:'CDO Bespoke'!$C$31,'CDO Bespoke'!$C$33),{5})),"")</f>
        <v/>
      </c>
      <c r="U293" s="493"/>
      <c r="V293" s="529"/>
      <c r="W293" s="530"/>
      <c r="X293" s="530"/>
      <c r="Y293" s="530"/>
      <c r="Z293" s="530"/>
      <c r="AA293" s="530"/>
      <c r="AB293" s="530"/>
      <c r="AC293" s="530"/>
      <c r="AD293" s="530"/>
      <c r="AE293" s="531"/>
      <c r="AF293" s="539"/>
    </row>
    <row r="294" spans="6:32" s="281" customFormat="1" ht="12" thickBot="1">
      <c r="F294" s="501" t="str">
        <f>IF('CDO Bespoke'!O295&lt;&gt;"",'CDO Bespoke'!O295,"")</f>
        <v/>
      </c>
      <c r="G294" s="502" t="str">
        <f>IF(F294&lt;&gt;"",ABS(MIN(-0.75*('CDO Bespoke'!Q295+'CDO Bespoke'!T295)+'CDO Bespoke'!T295,0)),"")</f>
        <v/>
      </c>
      <c r="H294" s="502" t="str">
        <f t="shared" si="16"/>
        <v/>
      </c>
      <c r="I294" s="502" t="str">
        <f t="shared" si="19"/>
        <v/>
      </c>
      <c r="J294" s="501" t="str">
        <f>IF('CDO Bespoke'!O295&lt;&gt;"",'CDO Bespoke'!O295,"")</f>
        <v/>
      </c>
      <c r="K294" s="502" t="str">
        <f>IF(J294&lt;&gt;"",ABS(MIN(-0.75*('CDO Bespoke'!K295+'CDO Bespoke'!T295)+'CDO Bespoke'!T295,0)),"")</f>
        <v/>
      </c>
      <c r="L294" s="502" t="str">
        <f t="shared" si="17"/>
        <v/>
      </c>
      <c r="M294" s="506" t="str">
        <f t="shared" si="18"/>
        <v/>
      </c>
      <c r="O294" s="511" t="str">
        <f>IF('CDO Bespoke'!C319&lt;&gt;"",'CDO Bespoke'!C319,"")</f>
        <v/>
      </c>
      <c r="P294" s="513" t="str" cm="1">
        <f t="array" ref="P294">IF($O294&lt;&gt;"",-TRANSPOSE(INDEX(getcds('CDO Bespoke'!$C319,P$13,'CDO Bespoke'!$G319/10000,'CDO Bespoke'!F319,'CDO Bespoke'!$L295,'CDO Bespoke'!$C$13,'CDO Bespoke'!$C$14,'CDO Bespoke'!$C$15,'CDO Bespoke'!$C$8,,,TRUE,TRUE,FALSE,'CDO Bespoke'!$C$29:'CDO Bespoke'!$C$31,'CDO Bespoke'!$C$33),{5})),"")</f>
        <v/>
      </c>
      <c r="Q294" s="542" t="str" cm="1">
        <f t="array" ref="Q294">IF($O294&lt;&gt;"",-TRANSPOSE(INDEX(getcds('CDO Bespoke'!$C319,Q$13,'CDO Bespoke'!$G319/10000,'CDO Bespoke'!G319,'CDO Bespoke'!$L295,'CDO Bespoke'!$C$13,'CDO Bespoke'!$C$14,'CDO Bespoke'!$C$15,'CDO Bespoke'!$C$8,,,TRUE,TRUE,FALSE,'CDO Bespoke'!$C$29:'CDO Bespoke'!$C$31,'CDO Bespoke'!$C$33),{5})),"")</f>
        <v/>
      </c>
      <c r="R294" s="542" t="str" cm="1">
        <f t="array" ref="R294">IF($O294&lt;&gt;"",-TRANSPOSE(INDEX(getcds('CDO Bespoke'!$C319,R$13,'CDO Bespoke'!$G319/10000,'CDO Bespoke'!H319,'CDO Bespoke'!$L295,'CDO Bespoke'!$C$13,'CDO Bespoke'!$C$14,'CDO Bespoke'!$C$15,'CDO Bespoke'!$C$8,,,TRUE,TRUE,FALSE,'CDO Bespoke'!$C$29:'CDO Bespoke'!$C$31,'CDO Bespoke'!$C$33),{5})),"")</f>
        <v/>
      </c>
      <c r="S294" s="542" t="str" cm="1">
        <f t="array" ref="S294">IF($O294&lt;&gt;"",-TRANSPOSE(INDEX(getcds('CDO Bespoke'!$C319,S$13,'CDO Bespoke'!$G319/10000,'CDO Bespoke'!I319,'CDO Bespoke'!$L295,'CDO Bespoke'!$C$13,'CDO Bespoke'!$C$14,'CDO Bespoke'!$C$15,'CDO Bespoke'!$C$8,,,TRUE,TRUE,FALSE,'CDO Bespoke'!$C$29:'CDO Bespoke'!$C$31,'CDO Bespoke'!$C$33),{5})),"")</f>
        <v/>
      </c>
      <c r="T294" s="514" t="str" cm="1">
        <f t="array" ref="T294">IF($O294&lt;&gt;"",-TRANSPOSE(INDEX(getcds('CDO Bespoke'!$C319,T$13,'CDO Bespoke'!$G319/10000,'CDO Bespoke'!J319,'CDO Bespoke'!$L295,'CDO Bespoke'!$C$13,'CDO Bespoke'!$C$14,'CDO Bespoke'!$C$15,'CDO Bespoke'!$C$8,,,TRUE,TRUE,FALSE,'CDO Bespoke'!$C$29:'CDO Bespoke'!$C$31,'CDO Bespoke'!$C$33),{5})),"")</f>
        <v/>
      </c>
      <c r="U294" s="493"/>
      <c r="V294" s="529"/>
      <c r="W294" s="530"/>
      <c r="X294" s="530"/>
      <c r="Y294" s="530"/>
      <c r="Z294" s="530"/>
      <c r="AA294" s="530"/>
      <c r="AB294" s="530"/>
      <c r="AC294" s="530"/>
      <c r="AD294" s="530"/>
      <c r="AE294" s="531"/>
      <c r="AF294" s="539"/>
    </row>
    <row r="295" spans="6:32" s="281" customFormat="1" ht="12" thickBot="1">
      <c r="F295" s="501" t="str">
        <f>IF('CDO Bespoke'!O296&lt;&gt;"",'CDO Bespoke'!O296,"")</f>
        <v/>
      </c>
      <c r="G295" s="502" t="str">
        <f>IF(F295&lt;&gt;"",ABS(MIN(-0.75*('CDO Bespoke'!Q296+'CDO Bespoke'!T296)+'CDO Bespoke'!T296,0)),"")</f>
        <v/>
      </c>
      <c r="H295" s="502" t="str">
        <f t="shared" si="16"/>
        <v/>
      </c>
      <c r="I295" s="502" t="str">
        <f t="shared" si="19"/>
        <v/>
      </c>
      <c r="J295" s="501" t="str">
        <f>IF('CDO Bespoke'!O296&lt;&gt;"",'CDO Bespoke'!O296,"")</f>
        <v/>
      </c>
      <c r="K295" s="502" t="str">
        <f>IF(J295&lt;&gt;"",ABS(MIN(-0.75*('CDO Bespoke'!K296+'CDO Bespoke'!T296)+'CDO Bespoke'!T296,0)),"")</f>
        <v/>
      </c>
      <c r="L295" s="502" t="str">
        <f t="shared" si="17"/>
        <v/>
      </c>
      <c r="M295" s="506" t="str">
        <f t="shared" si="18"/>
        <v/>
      </c>
      <c r="O295" s="511" t="str">
        <f>IF('CDO Bespoke'!C320&lt;&gt;"",'CDO Bespoke'!C320,"")</f>
        <v/>
      </c>
      <c r="P295" s="513" t="str" cm="1">
        <f t="array" ref="P295">IF($O295&lt;&gt;"",-TRANSPOSE(INDEX(getcds('CDO Bespoke'!$C320,P$13,'CDO Bespoke'!$G320/10000,'CDO Bespoke'!F320,'CDO Bespoke'!$L296,'CDO Bespoke'!$C$13,'CDO Bespoke'!$C$14,'CDO Bespoke'!$C$15,'CDO Bespoke'!$C$8,,,TRUE,TRUE,FALSE,'CDO Bespoke'!$C$29:'CDO Bespoke'!$C$31,'CDO Bespoke'!$C$33),{5})),"")</f>
        <v/>
      </c>
      <c r="Q295" s="542" t="str" cm="1">
        <f t="array" ref="Q295">IF($O295&lt;&gt;"",-TRANSPOSE(INDEX(getcds('CDO Bespoke'!$C320,Q$13,'CDO Bespoke'!$G320/10000,'CDO Bespoke'!G320,'CDO Bespoke'!$L296,'CDO Bespoke'!$C$13,'CDO Bespoke'!$C$14,'CDO Bespoke'!$C$15,'CDO Bespoke'!$C$8,,,TRUE,TRUE,FALSE,'CDO Bespoke'!$C$29:'CDO Bespoke'!$C$31,'CDO Bespoke'!$C$33),{5})),"")</f>
        <v/>
      </c>
      <c r="R295" s="542" t="str" cm="1">
        <f t="array" ref="R295">IF($O295&lt;&gt;"",-TRANSPOSE(INDEX(getcds('CDO Bespoke'!$C320,R$13,'CDO Bespoke'!$G320/10000,'CDO Bespoke'!H320,'CDO Bespoke'!$L296,'CDO Bespoke'!$C$13,'CDO Bespoke'!$C$14,'CDO Bespoke'!$C$15,'CDO Bespoke'!$C$8,,,TRUE,TRUE,FALSE,'CDO Bespoke'!$C$29:'CDO Bespoke'!$C$31,'CDO Bespoke'!$C$33),{5})),"")</f>
        <v/>
      </c>
      <c r="S295" s="542" t="str" cm="1">
        <f t="array" ref="S295">IF($O295&lt;&gt;"",-TRANSPOSE(INDEX(getcds('CDO Bespoke'!$C320,S$13,'CDO Bespoke'!$G320/10000,'CDO Bespoke'!I320,'CDO Bespoke'!$L296,'CDO Bespoke'!$C$13,'CDO Bespoke'!$C$14,'CDO Bespoke'!$C$15,'CDO Bespoke'!$C$8,,,TRUE,TRUE,FALSE,'CDO Bespoke'!$C$29:'CDO Bespoke'!$C$31,'CDO Bespoke'!$C$33),{5})),"")</f>
        <v/>
      </c>
      <c r="T295" s="514" t="str" cm="1">
        <f t="array" ref="T295">IF($O295&lt;&gt;"",-TRANSPOSE(INDEX(getcds('CDO Bespoke'!$C320,T$13,'CDO Bespoke'!$G320/10000,'CDO Bespoke'!J320,'CDO Bespoke'!$L296,'CDO Bespoke'!$C$13,'CDO Bespoke'!$C$14,'CDO Bespoke'!$C$15,'CDO Bespoke'!$C$8,,,TRUE,TRUE,FALSE,'CDO Bespoke'!$C$29:'CDO Bespoke'!$C$31,'CDO Bespoke'!$C$33),{5})),"")</f>
        <v/>
      </c>
      <c r="U295" s="493"/>
      <c r="V295" s="529"/>
      <c r="W295" s="530"/>
      <c r="X295" s="530"/>
      <c r="Y295" s="530"/>
      <c r="Z295" s="530"/>
      <c r="AA295" s="530"/>
      <c r="AB295" s="530"/>
      <c r="AC295" s="530"/>
      <c r="AD295" s="530"/>
      <c r="AE295" s="531"/>
      <c r="AF295" s="539"/>
    </row>
    <row r="296" spans="6:32" s="281" customFormat="1" ht="12" thickBot="1">
      <c r="F296" s="501" t="str">
        <f>IF('CDO Bespoke'!O297&lt;&gt;"",'CDO Bespoke'!O297,"")</f>
        <v/>
      </c>
      <c r="G296" s="502" t="str">
        <f>IF(F296&lt;&gt;"",ABS(MIN(-0.75*('CDO Bespoke'!Q297+'CDO Bespoke'!T297)+'CDO Bespoke'!T297,0)),"")</f>
        <v/>
      </c>
      <c r="H296" s="502" t="str">
        <f t="shared" si="16"/>
        <v/>
      </c>
      <c r="I296" s="502" t="str">
        <f t="shared" si="19"/>
        <v/>
      </c>
      <c r="J296" s="501" t="str">
        <f>IF('CDO Bespoke'!O297&lt;&gt;"",'CDO Bespoke'!O297,"")</f>
        <v/>
      </c>
      <c r="K296" s="502" t="str">
        <f>IF(J296&lt;&gt;"",ABS(MIN(-0.75*('CDO Bespoke'!K297+'CDO Bespoke'!T297)+'CDO Bespoke'!T297,0)),"")</f>
        <v/>
      </c>
      <c r="L296" s="502" t="str">
        <f t="shared" si="17"/>
        <v/>
      </c>
      <c r="M296" s="506" t="str">
        <f t="shared" si="18"/>
        <v/>
      </c>
      <c r="O296" s="511" t="str">
        <f>IF('CDO Bespoke'!C321&lt;&gt;"",'CDO Bespoke'!C321,"")</f>
        <v/>
      </c>
      <c r="P296" s="513" t="str" cm="1">
        <f t="array" ref="P296">IF($O296&lt;&gt;"",-TRANSPOSE(INDEX(getcds('CDO Bespoke'!$C321,P$13,'CDO Bespoke'!$G321/10000,'CDO Bespoke'!F321,'CDO Bespoke'!$L297,'CDO Bespoke'!$C$13,'CDO Bespoke'!$C$14,'CDO Bespoke'!$C$15,'CDO Bespoke'!$C$8,,,TRUE,TRUE,FALSE,'CDO Bespoke'!$C$29:'CDO Bespoke'!$C$31,'CDO Bespoke'!$C$33),{5})),"")</f>
        <v/>
      </c>
      <c r="Q296" s="542" t="str" cm="1">
        <f t="array" ref="Q296">IF($O296&lt;&gt;"",-TRANSPOSE(INDEX(getcds('CDO Bespoke'!$C321,Q$13,'CDO Bespoke'!$G321/10000,'CDO Bespoke'!G321,'CDO Bespoke'!$L297,'CDO Bespoke'!$C$13,'CDO Bespoke'!$C$14,'CDO Bespoke'!$C$15,'CDO Bespoke'!$C$8,,,TRUE,TRUE,FALSE,'CDO Bespoke'!$C$29:'CDO Bespoke'!$C$31,'CDO Bespoke'!$C$33),{5})),"")</f>
        <v/>
      </c>
      <c r="R296" s="542" t="str" cm="1">
        <f t="array" ref="R296">IF($O296&lt;&gt;"",-TRANSPOSE(INDEX(getcds('CDO Bespoke'!$C321,R$13,'CDO Bespoke'!$G321/10000,'CDO Bespoke'!H321,'CDO Bespoke'!$L297,'CDO Bespoke'!$C$13,'CDO Bespoke'!$C$14,'CDO Bespoke'!$C$15,'CDO Bespoke'!$C$8,,,TRUE,TRUE,FALSE,'CDO Bespoke'!$C$29:'CDO Bespoke'!$C$31,'CDO Bespoke'!$C$33),{5})),"")</f>
        <v/>
      </c>
      <c r="S296" s="542" t="str" cm="1">
        <f t="array" ref="S296">IF($O296&lt;&gt;"",-TRANSPOSE(INDEX(getcds('CDO Bespoke'!$C321,S$13,'CDO Bespoke'!$G321/10000,'CDO Bespoke'!I321,'CDO Bespoke'!$L297,'CDO Bespoke'!$C$13,'CDO Bespoke'!$C$14,'CDO Bespoke'!$C$15,'CDO Bespoke'!$C$8,,,TRUE,TRUE,FALSE,'CDO Bespoke'!$C$29:'CDO Bespoke'!$C$31,'CDO Bespoke'!$C$33),{5})),"")</f>
        <v/>
      </c>
      <c r="T296" s="514" t="str" cm="1">
        <f t="array" ref="T296">IF($O296&lt;&gt;"",-TRANSPOSE(INDEX(getcds('CDO Bespoke'!$C321,T$13,'CDO Bespoke'!$G321/10000,'CDO Bespoke'!J321,'CDO Bespoke'!$L297,'CDO Bespoke'!$C$13,'CDO Bespoke'!$C$14,'CDO Bespoke'!$C$15,'CDO Bespoke'!$C$8,,,TRUE,TRUE,FALSE,'CDO Bespoke'!$C$29:'CDO Bespoke'!$C$31,'CDO Bespoke'!$C$33),{5})),"")</f>
        <v/>
      </c>
      <c r="U296" s="493"/>
      <c r="V296" s="529"/>
      <c r="W296" s="530"/>
      <c r="X296" s="530"/>
      <c r="Y296" s="530"/>
      <c r="Z296" s="530"/>
      <c r="AA296" s="530"/>
      <c r="AB296" s="530"/>
      <c r="AC296" s="530"/>
      <c r="AD296" s="530"/>
      <c r="AE296" s="531"/>
      <c r="AF296" s="539"/>
    </row>
    <row r="297" spans="6:32" s="281" customFormat="1" ht="12" thickBot="1">
      <c r="F297" s="501" t="str">
        <f>IF('CDO Bespoke'!O298&lt;&gt;"",'CDO Bespoke'!O298,"")</f>
        <v/>
      </c>
      <c r="G297" s="502" t="str">
        <f>IF(F297&lt;&gt;"",ABS(MIN(-0.75*('CDO Bespoke'!Q298+'CDO Bespoke'!T298)+'CDO Bespoke'!T298,0)),"")</f>
        <v/>
      </c>
      <c r="H297" s="502" t="str">
        <f t="shared" si="16"/>
        <v/>
      </c>
      <c r="I297" s="502" t="str">
        <f t="shared" si="19"/>
        <v/>
      </c>
      <c r="J297" s="501" t="str">
        <f>IF('CDO Bespoke'!O298&lt;&gt;"",'CDO Bespoke'!O298,"")</f>
        <v/>
      </c>
      <c r="K297" s="502" t="str">
        <f>IF(J297&lt;&gt;"",ABS(MIN(-0.75*('CDO Bespoke'!K298+'CDO Bespoke'!T298)+'CDO Bespoke'!T298,0)),"")</f>
        <v/>
      </c>
      <c r="L297" s="502" t="str">
        <f t="shared" si="17"/>
        <v/>
      </c>
      <c r="M297" s="506" t="str">
        <f t="shared" si="18"/>
        <v/>
      </c>
      <c r="O297" s="511" t="str">
        <f>IF('CDO Bespoke'!C322&lt;&gt;"",'CDO Bespoke'!C322,"")</f>
        <v/>
      </c>
      <c r="P297" s="513" t="str" cm="1">
        <f t="array" ref="P297">IF($O297&lt;&gt;"",-TRANSPOSE(INDEX(getcds('CDO Bespoke'!$C322,P$13,'CDO Bespoke'!$G322/10000,'CDO Bespoke'!F322,'CDO Bespoke'!$L298,'CDO Bespoke'!$C$13,'CDO Bespoke'!$C$14,'CDO Bespoke'!$C$15,'CDO Bespoke'!$C$8,,,TRUE,TRUE,FALSE,'CDO Bespoke'!$C$29:'CDO Bespoke'!$C$31,'CDO Bespoke'!$C$33),{5})),"")</f>
        <v/>
      </c>
      <c r="Q297" s="542" t="str" cm="1">
        <f t="array" ref="Q297">IF($O297&lt;&gt;"",-TRANSPOSE(INDEX(getcds('CDO Bespoke'!$C322,Q$13,'CDO Bespoke'!$G322/10000,'CDO Bespoke'!G322,'CDO Bespoke'!$L298,'CDO Bespoke'!$C$13,'CDO Bespoke'!$C$14,'CDO Bespoke'!$C$15,'CDO Bespoke'!$C$8,,,TRUE,TRUE,FALSE,'CDO Bespoke'!$C$29:'CDO Bespoke'!$C$31,'CDO Bespoke'!$C$33),{5})),"")</f>
        <v/>
      </c>
      <c r="R297" s="542" t="str" cm="1">
        <f t="array" ref="R297">IF($O297&lt;&gt;"",-TRANSPOSE(INDEX(getcds('CDO Bespoke'!$C322,R$13,'CDO Bespoke'!$G322/10000,'CDO Bespoke'!H322,'CDO Bespoke'!$L298,'CDO Bespoke'!$C$13,'CDO Bespoke'!$C$14,'CDO Bespoke'!$C$15,'CDO Bespoke'!$C$8,,,TRUE,TRUE,FALSE,'CDO Bespoke'!$C$29:'CDO Bespoke'!$C$31,'CDO Bespoke'!$C$33),{5})),"")</f>
        <v/>
      </c>
      <c r="S297" s="542" t="str" cm="1">
        <f t="array" ref="S297">IF($O297&lt;&gt;"",-TRANSPOSE(INDEX(getcds('CDO Bespoke'!$C322,S$13,'CDO Bespoke'!$G322/10000,'CDO Bespoke'!I322,'CDO Bespoke'!$L298,'CDO Bespoke'!$C$13,'CDO Bespoke'!$C$14,'CDO Bespoke'!$C$15,'CDO Bespoke'!$C$8,,,TRUE,TRUE,FALSE,'CDO Bespoke'!$C$29:'CDO Bespoke'!$C$31,'CDO Bespoke'!$C$33),{5})),"")</f>
        <v/>
      </c>
      <c r="T297" s="514" t="str" cm="1">
        <f t="array" ref="T297">IF($O297&lt;&gt;"",-TRANSPOSE(INDEX(getcds('CDO Bespoke'!$C322,T$13,'CDO Bespoke'!$G322/10000,'CDO Bespoke'!J322,'CDO Bespoke'!$L298,'CDO Bespoke'!$C$13,'CDO Bespoke'!$C$14,'CDO Bespoke'!$C$15,'CDO Bespoke'!$C$8,,,TRUE,TRUE,FALSE,'CDO Bespoke'!$C$29:'CDO Bespoke'!$C$31,'CDO Bespoke'!$C$33),{5})),"")</f>
        <v/>
      </c>
      <c r="U297" s="493"/>
      <c r="V297" s="529"/>
      <c r="W297" s="530"/>
      <c r="X297" s="530"/>
      <c r="Y297" s="530"/>
      <c r="Z297" s="530"/>
      <c r="AA297" s="530"/>
      <c r="AB297" s="530"/>
      <c r="AC297" s="530"/>
      <c r="AD297" s="530"/>
      <c r="AE297" s="531"/>
      <c r="AF297" s="539"/>
    </row>
    <row r="298" spans="6:32" s="281" customFormat="1" ht="12" thickBot="1">
      <c r="F298" s="501" t="str">
        <f>IF('CDO Bespoke'!O299&lt;&gt;"",'CDO Bespoke'!O299,"")</f>
        <v/>
      </c>
      <c r="G298" s="502" t="str">
        <f>IF(F298&lt;&gt;"",ABS(MIN(-0.75*('CDO Bespoke'!Q299+'CDO Bespoke'!T299)+'CDO Bespoke'!T299,0)),"")</f>
        <v/>
      </c>
      <c r="H298" s="502" t="str">
        <f t="shared" si="16"/>
        <v/>
      </c>
      <c r="I298" s="502" t="str">
        <f t="shared" si="19"/>
        <v/>
      </c>
      <c r="J298" s="501" t="str">
        <f>IF('CDO Bespoke'!O299&lt;&gt;"",'CDO Bespoke'!O299,"")</f>
        <v/>
      </c>
      <c r="K298" s="502" t="str">
        <f>IF(J298&lt;&gt;"",ABS(MIN(-0.75*('CDO Bespoke'!K299+'CDO Bespoke'!T299)+'CDO Bespoke'!T299,0)),"")</f>
        <v/>
      </c>
      <c r="L298" s="502" t="str">
        <f t="shared" si="17"/>
        <v/>
      </c>
      <c r="M298" s="506" t="str">
        <f t="shared" si="18"/>
        <v/>
      </c>
      <c r="O298" s="511" t="str">
        <f>IF('CDO Bespoke'!C323&lt;&gt;"",'CDO Bespoke'!C323,"")</f>
        <v/>
      </c>
      <c r="P298" s="513" t="str" cm="1">
        <f t="array" ref="P298">IF($O298&lt;&gt;"",-TRANSPOSE(INDEX(getcds('CDO Bespoke'!$C323,P$13,'CDO Bespoke'!$G323/10000,'CDO Bespoke'!F323,'CDO Bespoke'!$L299,'CDO Bespoke'!$C$13,'CDO Bespoke'!$C$14,'CDO Bespoke'!$C$15,'CDO Bespoke'!$C$8,,,TRUE,TRUE,FALSE,'CDO Bespoke'!$C$29:'CDO Bespoke'!$C$31,'CDO Bespoke'!$C$33),{5})),"")</f>
        <v/>
      </c>
      <c r="Q298" s="542" t="str" cm="1">
        <f t="array" ref="Q298">IF($O298&lt;&gt;"",-TRANSPOSE(INDEX(getcds('CDO Bespoke'!$C323,Q$13,'CDO Bespoke'!$G323/10000,'CDO Bespoke'!G323,'CDO Bespoke'!$L299,'CDO Bespoke'!$C$13,'CDO Bespoke'!$C$14,'CDO Bespoke'!$C$15,'CDO Bespoke'!$C$8,,,TRUE,TRUE,FALSE,'CDO Bespoke'!$C$29:'CDO Bespoke'!$C$31,'CDO Bespoke'!$C$33),{5})),"")</f>
        <v/>
      </c>
      <c r="R298" s="542" t="str" cm="1">
        <f t="array" ref="R298">IF($O298&lt;&gt;"",-TRANSPOSE(INDEX(getcds('CDO Bespoke'!$C323,R$13,'CDO Bespoke'!$G323/10000,'CDO Bespoke'!H323,'CDO Bespoke'!$L299,'CDO Bespoke'!$C$13,'CDO Bespoke'!$C$14,'CDO Bespoke'!$C$15,'CDO Bespoke'!$C$8,,,TRUE,TRUE,FALSE,'CDO Bespoke'!$C$29:'CDO Bespoke'!$C$31,'CDO Bespoke'!$C$33),{5})),"")</f>
        <v/>
      </c>
      <c r="S298" s="542" t="str" cm="1">
        <f t="array" ref="S298">IF($O298&lt;&gt;"",-TRANSPOSE(INDEX(getcds('CDO Bespoke'!$C323,S$13,'CDO Bespoke'!$G323/10000,'CDO Bespoke'!I323,'CDO Bespoke'!$L299,'CDO Bespoke'!$C$13,'CDO Bespoke'!$C$14,'CDO Bespoke'!$C$15,'CDO Bespoke'!$C$8,,,TRUE,TRUE,FALSE,'CDO Bespoke'!$C$29:'CDO Bespoke'!$C$31,'CDO Bespoke'!$C$33),{5})),"")</f>
        <v/>
      </c>
      <c r="T298" s="514" t="str" cm="1">
        <f t="array" ref="T298">IF($O298&lt;&gt;"",-TRANSPOSE(INDEX(getcds('CDO Bespoke'!$C323,T$13,'CDO Bespoke'!$G323/10000,'CDO Bespoke'!J323,'CDO Bespoke'!$L299,'CDO Bespoke'!$C$13,'CDO Bespoke'!$C$14,'CDO Bespoke'!$C$15,'CDO Bespoke'!$C$8,,,TRUE,TRUE,FALSE,'CDO Bespoke'!$C$29:'CDO Bespoke'!$C$31,'CDO Bespoke'!$C$33),{5})),"")</f>
        <v/>
      </c>
      <c r="U298" s="493"/>
      <c r="V298" s="529"/>
      <c r="W298" s="530"/>
      <c r="X298" s="530"/>
      <c r="Y298" s="530"/>
      <c r="Z298" s="530"/>
      <c r="AA298" s="530"/>
      <c r="AB298" s="530"/>
      <c r="AC298" s="530"/>
      <c r="AD298" s="530"/>
      <c r="AE298" s="531"/>
      <c r="AF298" s="539"/>
    </row>
    <row r="299" spans="6:32" s="281" customFormat="1" ht="12" thickBot="1">
      <c r="F299" s="501" t="str">
        <f>IF('CDO Bespoke'!O300&lt;&gt;"",'CDO Bespoke'!O300,"")</f>
        <v/>
      </c>
      <c r="G299" s="502" t="str">
        <f>IF(F299&lt;&gt;"",ABS(MIN(-0.75*('CDO Bespoke'!Q300+'CDO Bespoke'!T300)+'CDO Bespoke'!T300,0)),"")</f>
        <v/>
      </c>
      <c r="H299" s="502" t="str">
        <f t="shared" si="16"/>
        <v/>
      </c>
      <c r="I299" s="502" t="str">
        <f t="shared" si="19"/>
        <v/>
      </c>
      <c r="J299" s="501" t="str">
        <f>IF('CDO Bespoke'!O300&lt;&gt;"",'CDO Bespoke'!O300,"")</f>
        <v/>
      </c>
      <c r="K299" s="502" t="str">
        <f>IF(J299&lt;&gt;"",ABS(MIN(-0.75*('CDO Bespoke'!K300+'CDO Bespoke'!T300)+'CDO Bespoke'!T300,0)),"")</f>
        <v/>
      </c>
      <c r="L299" s="502" t="str">
        <f t="shared" si="17"/>
        <v/>
      </c>
      <c r="M299" s="506" t="str">
        <f t="shared" si="18"/>
        <v/>
      </c>
      <c r="O299" s="511" t="str">
        <f>IF('CDO Bespoke'!C324&lt;&gt;"",'CDO Bespoke'!C324,"")</f>
        <v/>
      </c>
      <c r="P299" s="513" t="str" cm="1">
        <f t="array" ref="P299">IF($O299&lt;&gt;"",-TRANSPOSE(INDEX(getcds('CDO Bespoke'!$C324,P$13,'CDO Bespoke'!$G324/10000,'CDO Bespoke'!F324,'CDO Bespoke'!$L300,'CDO Bespoke'!$C$13,'CDO Bespoke'!$C$14,'CDO Bespoke'!$C$15,'CDO Bespoke'!$C$8,,,TRUE,TRUE,FALSE,'CDO Bespoke'!$C$29:'CDO Bespoke'!$C$31,'CDO Bespoke'!$C$33),{5})),"")</f>
        <v/>
      </c>
      <c r="Q299" s="542" t="str" cm="1">
        <f t="array" ref="Q299">IF($O299&lt;&gt;"",-TRANSPOSE(INDEX(getcds('CDO Bespoke'!$C324,Q$13,'CDO Bespoke'!$G324/10000,'CDO Bespoke'!G324,'CDO Bespoke'!$L300,'CDO Bespoke'!$C$13,'CDO Bespoke'!$C$14,'CDO Bespoke'!$C$15,'CDO Bespoke'!$C$8,,,TRUE,TRUE,FALSE,'CDO Bespoke'!$C$29:'CDO Bespoke'!$C$31,'CDO Bespoke'!$C$33),{5})),"")</f>
        <v/>
      </c>
      <c r="R299" s="542" t="str" cm="1">
        <f t="array" ref="R299">IF($O299&lt;&gt;"",-TRANSPOSE(INDEX(getcds('CDO Bespoke'!$C324,R$13,'CDO Bespoke'!$G324/10000,'CDO Bespoke'!H324,'CDO Bespoke'!$L300,'CDO Bespoke'!$C$13,'CDO Bespoke'!$C$14,'CDO Bespoke'!$C$15,'CDO Bespoke'!$C$8,,,TRUE,TRUE,FALSE,'CDO Bespoke'!$C$29:'CDO Bespoke'!$C$31,'CDO Bespoke'!$C$33),{5})),"")</f>
        <v/>
      </c>
      <c r="S299" s="542" t="str" cm="1">
        <f t="array" ref="S299">IF($O299&lt;&gt;"",-TRANSPOSE(INDEX(getcds('CDO Bespoke'!$C324,S$13,'CDO Bespoke'!$G324/10000,'CDO Bespoke'!I324,'CDO Bespoke'!$L300,'CDO Bespoke'!$C$13,'CDO Bespoke'!$C$14,'CDO Bespoke'!$C$15,'CDO Bespoke'!$C$8,,,TRUE,TRUE,FALSE,'CDO Bespoke'!$C$29:'CDO Bespoke'!$C$31,'CDO Bespoke'!$C$33),{5})),"")</f>
        <v/>
      </c>
      <c r="T299" s="514" t="str" cm="1">
        <f t="array" ref="T299">IF($O299&lt;&gt;"",-TRANSPOSE(INDEX(getcds('CDO Bespoke'!$C324,T$13,'CDO Bespoke'!$G324/10000,'CDO Bespoke'!J324,'CDO Bespoke'!$L300,'CDO Bespoke'!$C$13,'CDO Bespoke'!$C$14,'CDO Bespoke'!$C$15,'CDO Bespoke'!$C$8,,,TRUE,TRUE,FALSE,'CDO Bespoke'!$C$29:'CDO Bespoke'!$C$31,'CDO Bespoke'!$C$33),{5})),"")</f>
        <v/>
      </c>
      <c r="U299" s="493"/>
      <c r="V299" s="529"/>
      <c r="W299" s="530"/>
      <c r="X299" s="530"/>
      <c r="Y299" s="530"/>
      <c r="Z299" s="530"/>
      <c r="AA299" s="530"/>
      <c r="AB299" s="530"/>
      <c r="AC299" s="530"/>
      <c r="AD299" s="530"/>
      <c r="AE299" s="531"/>
      <c r="AF299" s="539"/>
    </row>
    <row r="300" spans="6:32" s="281" customFormat="1" ht="12" thickBot="1">
      <c r="F300" s="501" t="str">
        <f>IF('CDO Bespoke'!O301&lt;&gt;"",'CDO Bespoke'!O301,"")</f>
        <v/>
      </c>
      <c r="G300" s="502" t="str">
        <f>IF(F300&lt;&gt;"",ABS(MIN(-0.75*('CDO Bespoke'!Q301+'CDO Bespoke'!T301)+'CDO Bespoke'!T301,0)),"")</f>
        <v/>
      </c>
      <c r="H300" s="502" t="str">
        <f t="shared" si="16"/>
        <v/>
      </c>
      <c r="I300" s="502" t="str">
        <f t="shared" si="19"/>
        <v/>
      </c>
      <c r="J300" s="501" t="str">
        <f>IF('CDO Bespoke'!O301&lt;&gt;"",'CDO Bespoke'!O301,"")</f>
        <v/>
      </c>
      <c r="K300" s="502" t="str">
        <f>IF(J300&lt;&gt;"",ABS(MIN(-0.75*('CDO Bespoke'!K301+'CDO Bespoke'!T301)+'CDO Bespoke'!T301,0)),"")</f>
        <v/>
      </c>
      <c r="L300" s="502" t="str">
        <f t="shared" si="17"/>
        <v/>
      </c>
      <c r="M300" s="506" t="str">
        <f t="shared" si="18"/>
        <v/>
      </c>
      <c r="O300" s="511" t="str">
        <f>IF('CDO Bespoke'!C325&lt;&gt;"",'CDO Bespoke'!C325,"")</f>
        <v/>
      </c>
      <c r="P300" s="513" t="str" cm="1">
        <f t="array" ref="P300">IF($O300&lt;&gt;"",-TRANSPOSE(INDEX(getcds('CDO Bespoke'!$C325,P$13,'CDO Bespoke'!$G325/10000,'CDO Bespoke'!F325,'CDO Bespoke'!$L301,'CDO Bespoke'!$C$13,'CDO Bespoke'!$C$14,'CDO Bespoke'!$C$15,'CDO Bespoke'!$C$8,,,TRUE,TRUE,FALSE,'CDO Bespoke'!$C$29:'CDO Bespoke'!$C$31,'CDO Bespoke'!$C$33),{5})),"")</f>
        <v/>
      </c>
      <c r="Q300" s="542" t="str" cm="1">
        <f t="array" ref="Q300">IF($O300&lt;&gt;"",-TRANSPOSE(INDEX(getcds('CDO Bespoke'!$C325,Q$13,'CDO Bespoke'!$G325/10000,'CDO Bespoke'!G325,'CDO Bespoke'!$L301,'CDO Bespoke'!$C$13,'CDO Bespoke'!$C$14,'CDO Bespoke'!$C$15,'CDO Bespoke'!$C$8,,,TRUE,TRUE,FALSE,'CDO Bespoke'!$C$29:'CDO Bespoke'!$C$31,'CDO Bespoke'!$C$33),{5})),"")</f>
        <v/>
      </c>
      <c r="R300" s="542" t="str" cm="1">
        <f t="array" ref="R300">IF($O300&lt;&gt;"",-TRANSPOSE(INDEX(getcds('CDO Bespoke'!$C325,R$13,'CDO Bespoke'!$G325/10000,'CDO Bespoke'!H325,'CDO Bespoke'!$L301,'CDO Bespoke'!$C$13,'CDO Bespoke'!$C$14,'CDO Bespoke'!$C$15,'CDO Bespoke'!$C$8,,,TRUE,TRUE,FALSE,'CDO Bespoke'!$C$29:'CDO Bespoke'!$C$31,'CDO Bespoke'!$C$33),{5})),"")</f>
        <v/>
      </c>
      <c r="S300" s="542" t="str" cm="1">
        <f t="array" ref="S300">IF($O300&lt;&gt;"",-TRANSPOSE(INDEX(getcds('CDO Bespoke'!$C325,S$13,'CDO Bespoke'!$G325/10000,'CDO Bespoke'!I325,'CDO Bespoke'!$L301,'CDO Bespoke'!$C$13,'CDO Bespoke'!$C$14,'CDO Bespoke'!$C$15,'CDO Bespoke'!$C$8,,,TRUE,TRUE,FALSE,'CDO Bespoke'!$C$29:'CDO Bespoke'!$C$31,'CDO Bespoke'!$C$33),{5})),"")</f>
        <v/>
      </c>
      <c r="T300" s="514" t="str" cm="1">
        <f t="array" ref="T300">IF($O300&lt;&gt;"",-TRANSPOSE(INDEX(getcds('CDO Bespoke'!$C325,T$13,'CDO Bespoke'!$G325/10000,'CDO Bespoke'!J325,'CDO Bespoke'!$L301,'CDO Bespoke'!$C$13,'CDO Bespoke'!$C$14,'CDO Bespoke'!$C$15,'CDO Bespoke'!$C$8,,,TRUE,TRUE,FALSE,'CDO Bespoke'!$C$29:'CDO Bespoke'!$C$31,'CDO Bespoke'!$C$33),{5})),"")</f>
        <v/>
      </c>
      <c r="U300" s="493"/>
      <c r="V300" s="529"/>
      <c r="W300" s="530"/>
      <c r="X300" s="530"/>
      <c r="Y300" s="530"/>
      <c r="Z300" s="530"/>
      <c r="AA300" s="530"/>
      <c r="AB300" s="530"/>
      <c r="AC300" s="530"/>
      <c r="AD300" s="530"/>
      <c r="AE300" s="531"/>
      <c r="AF300" s="539"/>
    </row>
    <row r="301" spans="6:32" s="281" customFormat="1" ht="12" thickBot="1">
      <c r="F301" s="501" t="str">
        <f>IF('CDO Bespoke'!O302&lt;&gt;"",'CDO Bespoke'!O302,"")</f>
        <v/>
      </c>
      <c r="G301" s="502" t="str">
        <f>IF(F301&lt;&gt;"",ABS(MIN(-0.75*('CDO Bespoke'!Q302+'CDO Bespoke'!T302)+'CDO Bespoke'!T302,0)),"")</f>
        <v/>
      </c>
      <c r="H301" s="502" t="str">
        <f t="shared" si="16"/>
        <v/>
      </c>
      <c r="I301" s="502" t="str">
        <f t="shared" si="19"/>
        <v/>
      </c>
      <c r="J301" s="501" t="str">
        <f>IF('CDO Bespoke'!O302&lt;&gt;"",'CDO Bespoke'!O302,"")</f>
        <v/>
      </c>
      <c r="K301" s="502" t="str">
        <f>IF(J301&lt;&gt;"",ABS(MIN(-0.75*('CDO Bespoke'!K302+'CDO Bespoke'!T302)+'CDO Bespoke'!T302,0)),"")</f>
        <v/>
      </c>
      <c r="L301" s="502" t="str">
        <f t="shared" si="17"/>
        <v/>
      </c>
      <c r="M301" s="506" t="str">
        <f t="shared" si="18"/>
        <v/>
      </c>
      <c r="O301" s="511" t="str">
        <f>IF('CDO Bespoke'!C326&lt;&gt;"",'CDO Bespoke'!C326,"")</f>
        <v/>
      </c>
      <c r="P301" s="513" t="str" cm="1">
        <f t="array" ref="P301">IF($O301&lt;&gt;"",-TRANSPOSE(INDEX(getcds('CDO Bespoke'!$C326,P$13,'CDO Bespoke'!$G326/10000,'CDO Bespoke'!F326,'CDO Bespoke'!$L302,'CDO Bespoke'!$C$13,'CDO Bespoke'!$C$14,'CDO Bespoke'!$C$15,'CDO Bespoke'!$C$8,,,TRUE,TRUE,FALSE,'CDO Bespoke'!$C$29:'CDO Bespoke'!$C$31,'CDO Bespoke'!$C$33),{5})),"")</f>
        <v/>
      </c>
      <c r="Q301" s="542" t="str" cm="1">
        <f t="array" ref="Q301">IF($O301&lt;&gt;"",-TRANSPOSE(INDEX(getcds('CDO Bespoke'!$C326,Q$13,'CDO Bespoke'!$G326/10000,'CDO Bespoke'!G326,'CDO Bespoke'!$L302,'CDO Bespoke'!$C$13,'CDO Bespoke'!$C$14,'CDO Bespoke'!$C$15,'CDO Bespoke'!$C$8,,,TRUE,TRUE,FALSE,'CDO Bespoke'!$C$29:'CDO Bespoke'!$C$31,'CDO Bespoke'!$C$33),{5})),"")</f>
        <v/>
      </c>
      <c r="R301" s="542" t="str" cm="1">
        <f t="array" ref="R301">IF($O301&lt;&gt;"",-TRANSPOSE(INDEX(getcds('CDO Bespoke'!$C326,R$13,'CDO Bespoke'!$G326/10000,'CDO Bespoke'!H326,'CDO Bespoke'!$L302,'CDO Bespoke'!$C$13,'CDO Bespoke'!$C$14,'CDO Bespoke'!$C$15,'CDO Bespoke'!$C$8,,,TRUE,TRUE,FALSE,'CDO Bespoke'!$C$29:'CDO Bespoke'!$C$31,'CDO Bespoke'!$C$33),{5})),"")</f>
        <v/>
      </c>
      <c r="S301" s="542" t="str" cm="1">
        <f t="array" ref="S301">IF($O301&lt;&gt;"",-TRANSPOSE(INDEX(getcds('CDO Bespoke'!$C326,S$13,'CDO Bespoke'!$G326/10000,'CDO Bespoke'!I326,'CDO Bespoke'!$L302,'CDO Bespoke'!$C$13,'CDO Bespoke'!$C$14,'CDO Bespoke'!$C$15,'CDO Bespoke'!$C$8,,,TRUE,TRUE,FALSE,'CDO Bespoke'!$C$29:'CDO Bespoke'!$C$31,'CDO Bespoke'!$C$33),{5})),"")</f>
        <v/>
      </c>
      <c r="T301" s="514" t="str" cm="1">
        <f t="array" ref="T301">IF($O301&lt;&gt;"",-TRANSPOSE(INDEX(getcds('CDO Bespoke'!$C326,T$13,'CDO Bespoke'!$G326/10000,'CDO Bespoke'!J326,'CDO Bespoke'!$L302,'CDO Bespoke'!$C$13,'CDO Bespoke'!$C$14,'CDO Bespoke'!$C$15,'CDO Bespoke'!$C$8,,,TRUE,TRUE,FALSE,'CDO Bespoke'!$C$29:'CDO Bespoke'!$C$31,'CDO Bespoke'!$C$33),{5})),"")</f>
        <v/>
      </c>
      <c r="U301" s="493"/>
      <c r="V301" s="529"/>
      <c r="W301" s="530"/>
      <c r="X301" s="530"/>
      <c r="Y301" s="530"/>
      <c r="Z301" s="530"/>
      <c r="AA301" s="530"/>
      <c r="AB301" s="530"/>
      <c r="AC301" s="530"/>
      <c r="AD301" s="530"/>
      <c r="AE301" s="531"/>
      <c r="AF301" s="539"/>
    </row>
    <row r="302" spans="6:32" s="281" customFormat="1" ht="12" thickBot="1">
      <c r="F302" s="501" t="str">
        <f>IF('CDO Bespoke'!O303&lt;&gt;"",'CDO Bespoke'!O303,"")</f>
        <v/>
      </c>
      <c r="G302" s="502" t="str">
        <f>IF(F302&lt;&gt;"",ABS(MIN(-0.75*('CDO Bespoke'!Q303+'CDO Bespoke'!T303)+'CDO Bespoke'!T303,0)),"")</f>
        <v/>
      </c>
      <c r="H302" s="502" t="str">
        <f t="shared" si="16"/>
        <v/>
      </c>
      <c r="I302" s="502" t="str">
        <f t="shared" si="19"/>
        <v/>
      </c>
      <c r="J302" s="501" t="str">
        <f>IF('CDO Bespoke'!O303&lt;&gt;"",'CDO Bespoke'!O303,"")</f>
        <v/>
      </c>
      <c r="K302" s="502" t="str">
        <f>IF(J302&lt;&gt;"",ABS(MIN(-0.75*('CDO Bespoke'!K303+'CDO Bespoke'!T303)+'CDO Bespoke'!T303,0)),"")</f>
        <v/>
      </c>
      <c r="L302" s="502" t="str">
        <f t="shared" si="17"/>
        <v/>
      </c>
      <c r="M302" s="506" t="str">
        <f t="shared" si="18"/>
        <v/>
      </c>
      <c r="O302" s="511" t="str">
        <f>IF('CDO Bespoke'!C327&lt;&gt;"",'CDO Bespoke'!C327,"")</f>
        <v/>
      </c>
      <c r="P302" s="513" t="str" cm="1">
        <f t="array" ref="P302">IF($O302&lt;&gt;"",-TRANSPOSE(INDEX(getcds('CDO Bespoke'!$C327,P$13,'CDO Bespoke'!$G327/10000,'CDO Bespoke'!F327,'CDO Bespoke'!$L303,'CDO Bespoke'!$C$13,'CDO Bespoke'!$C$14,'CDO Bespoke'!$C$15,'CDO Bespoke'!$C$8,,,TRUE,TRUE,FALSE,'CDO Bespoke'!$C$29:'CDO Bespoke'!$C$31,'CDO Bespoke'!$C$33),{5})),"")</f>
        <v/>
      </c>
      <c r="Q302" s="542" t="str" cm="1">
        <f t="array" ref="Q302">IF($O302&lt;&gt;"",-TRANSPOSE(INDEX(getcds('CDO Bespoke'!$C327,Q$13,'CDO Bespoke'!$G327/10000,'CDO Bespoke'!G327,'CDO Bespoke'!$L303,'CDO Bespoke'!$C$13,'CDO Bespoke'!$C$14,'CDO Bespoke'!$C$15,'CDO Bespoke'!$C$8,,,TRUE,TRUE,FALSE,'CDO Bespoke'!$C$29:'CDO Bespoke'!$C$31,'CDO Bespoke'!$C$33),{5})),"")</f>
        <v/>
      </c>
      <c r="R302" s="542" t="str" cm="1">
        <f t="array" ref="R302">IF($O302&lt;&gt;"",-TRANSPOSE(INDEX(getcds('CDO Bespoke'!$C327,R$13,'CDO Bespoke'!$G327/10000,'CDO Bespoke'!H327,'CDO Bespoke'!$L303,'CDO Bespoke'!$C$13,'CDO Bespoke'!$C$14,'CDO Bespoke'!$C$15,'CDO Bespoke'!$C$8,,,TRUE,TRUE,FALSE,'CDO Bespoke'!$C$29:'CDO Bespoke'!$C$31,'CDO Bespoke'!$C$33),{5})),"")</f>
        <v/>
      </c>
      <c r="S302" s="542" t="str" cm="1">
        <f t="array" ref="S302">IF($O302&lt;&gt;"",-TRANSPOSE(INDEX(getcds('CDO Bespoke'!$C327,S$13,'CDO Bespoke'!$G327/10000,'CDO Bespoke'!I327,'CDO Bespoke'!$L303,'CDO Bespoke'!$C$13,'CDO Bespoke'!$C$14,'CDO Bespoke'!$C$15,'CDO Bespoke'!$C$8,,,TRUE,TRUE,FALSE,'CDO Bespoke'!$C$29:'CDO Bespoke'!$C$31,'CDO Bespoke'!$C$33),{5})),"")</f>
        <v/>
      </c>
      <c r="T302" s="514" t="str" cm="1">
        <f t="array" ref="T302">IF($O302&lt;&gt;"",-TRANSPOSE(INDEX(getcds('CDO Bespoke'!$C327,T$13,'CDO Bespoke'!$G327/10000,'CDO Bespoke'!J327,'CDO Bespoke'!$L303,'CDO Bespoke'!$C$13,'CDO Bespoke'!$C$14,'CDO Bespoke'!$C$15,'CDO Bespoke'!$C$8,,,TRUE,TRUE,FALSE,'CDO Bespoke'!$C$29:'CDO Bespoke'!$C$31,'CDO Bespoke'!$C$33),{5})),"")</f>
        <v/>
      </c>
      <c r="U302" s="493"/>
      <c r="V302" s="529"/>
      <c r="W302" s="530"/>
      <c r="X302" s="530"/>
      <c r="Y302" s="530"/>
      <c r="Z302" s="530"/>
      <c r="AA302" s="530"/>
      <c r="AB302" s="530"/>
      <c r="AC302" s="530"/>
      <c r="AD302" s="530"/>
      <c r="AE302" s="531"/>
      <c r="AF302" s="539"/>
    </row>
    <row r="303" spans="6:32" s="281" customFormat="1" ht="12" thickBot="1">
      <c r="F303" s="501" t="str">
        <f>IF('CDO Bespoke'!O304&lt;&gt;"",'CDO Bespoke'!O304,"")</f>
        <v/>
      </c>
      <c r="G303" s="502" t="str">
        <f>IF(F303&lt;&gt;"",ABS(MIN(-0.75*('CDO Bespoke'!Q304+'CDO Bespoke'!T304)+'CDO Bespoke'!T304,0)),"")</f>
        <v/>
      </c>
      <c r="H303" s="502" t="str">
        <f t="shared" si="16"/>
        <v/>
      </c>
      <c r="I303" s="502" t="str">
        <f t="shared" si="19"/>
        <v/>
      </c>
      <c r="J303" s="501" t="str">
        <f>IF('CDO Bespoke'!O304&lt;&gt;"",'CDO Bespoke'!O304,"")</f>
        <v/>
      </c>
      <c r="K303" s="502" t="str">
        <f>IF(J303&lt;&gt;"",ABS(MIN(-0.75*('CDO Bespoke'!K304+'CDO Bespoke'!T304)+'CDO Bespoke'!T304,0)),"")</f>
        <v/>
      </c>
      <c r="L303" s="502" t="str">
        <f t="shared" si="17"/>
        <v/>
      </c>
      <c r="M303" s="506" t="str">
        <f t="shared" si="18"/>
        <v/>
      </c>
      <c r="O303" s="511" t="str">
        <f>IF('CDO Bespoke'!C328&lt;&gt;"",'CDO Bespoke'!C328,"")</f>
        <v/>
      </c>
      <c r="P303" s="513" t="str" cm="1">
        <f t="array" ref="P303">IF($O303&lt;&gt;"",-TRANSPOSE(INDEX(getcds('CDO Bespoke'!$C328,P$13,'CDO Bespoke'!$G328/10000,'CDO Bespoke'!F328,'CDO Bespoke'!$L304,'CDO Bespoke'!$C$13,'CDO Bespoke'!$C$14,'CDO Bespoke'!$C$15,'CDO Bespoke'!$C$8,,,TRUE,TRUE,FALSE,'CDO Bespoke'!$C$29:'CDO Bespoke'!$C$31,'CDO Bespoke'!$C$33),{5})),"")</f>
        <v/>
      </c>
      <c r="Q303" s="542" t="str" cm="1">
        <f t="array" ref="Q303">IF($O303&lt;&gt;"",-TRANSPOSE(INDEX(getcds('CDO Bespoke'!$C328,Q$13,'CDO Bespoke'!$G328/10000,'CDO Bespoke'!G328,'CDO Bespoke'!$L304,'CDO Bespoke'!$C$13,'CDO Bespoke'!$C$14,'CDO Bespoke'!$C$15,'CDO Bespoke'!$C$8,,,TRUE,TRUE,FALSE,'CDO Bespoke'!$C$29:'CDO Bespoke'!$C$31,'CDO Bespoke'!$C$33),{5})),"")</f>
        <v/>
      </c>
      <c r="R303" s="542" t="str" cm="1">
        <f t="array" ref="R303">IF($O303&lt;&gt;"",-TRANSPOSE(INDEX(getcds('CDO Bespoke'!$C328,R$13,'CDO Bespoke'!$G328/10000,'CDO Bespoke'!H328,'CDO Bespoke'!$L304,'CDO Bespoke'!$C$13,'CDO Bespoke'!$C$14,'CDO Bespoke'!$C$15,'CDO Bespoke'!$C$8,,,TRUE,TRUE,FALSE,'CDO Bespoke'!$C$29:'CDO Bespoke'!$C$31,'CDO Bespoke'!$C$33),{5})),"")</f>
        <v/>
      </c>
      <c r="S303" s="542" t="str" cm="1">
        <f t="array" ref="S303">IF($O303&lt;&gt;"",-TRANSPOSE(INDEX(getcds('CDO Bespoke'!$C328,S$13,'CDO Bespoke'!$G328/10000,'CDO Bespoke'!I328,'CDO Bespoke'!$L304,'CDO Bespoke'!$C$13,'CDO Bespoke'!$C$14,'CDO Bespoke'!$C$15,'CDO Bespoke'!$C$8,,,TRUE,TRUE,FALSE,'CDO Bespoke'!$C$29:'CDO Bespoke'!$C$31,'CDO Bespoke'!$C$33),{5})),"")</f>
        <v/>
      </c>
      <c r="T303" s="514" t="str" cm="1">
        <f t="array" ref="T303">IF($O303&lt;&gt;"",-TRANSPOSE(INDEX(getcds('CDO Bespoke'!$C328,T$13,'CDO Bespoke'!$G328/10000,'CDO Bespoke'!J328,'CDO Bespoke'!$L304,'CDO Bespoke'!$C$13,'CDO Bespoke'!$C$14,'CDO Bespoke'!$C$15,'CDO Bespoke'!$C$8,,,TRUE,TRUE,FALSE,'CDO Bespoke'!$C$29:'CDO Bespoke'!$C$31,'CDO Bespoke'!$C$33),{5})),"")</f>
        <v/>
      </c>
      <c r="U303" s="493"/>
      <c r="V303" s="529"/>
      <c r="W303" s="530"/>
      <c r="X303" s="530"/>
      <c r="Y303" s="530"/>
      <c r="Z303" s="530"/>
      <c r="AA303" s="530"/>
      <c r="AB303" s="530"/>
      <c r="AC303" s="530"/>
      <c r="AD303" s="530"/>
      <c r="AE303" s="531"/>
      <c r="AF303" s="539"/>
    </row>
    <row r="304" spans="6:32" s="281" customFormat="1" ht="12" thickBot="1">
      <c r="F304" s="501" t="str">
        <f>IF('CDO Bespoke'!O305&lt;&gt;"",'CDO Bespoke'!O305,"")</f>
        <v/>
      </c>
      <c r="G304" s="502" t="str">
        <f>IF(F304&lt;&gt;"",ABS(MIN(-0.75*('CDO Bespoke'!Q305+'CDO Bespoke'!T305)+'CDO Bespoke'!T305,0)),"")</f>
        <v/>
      </c>
      <c r="H304" s="502" t="str">
        <f t="shared" si="16"/>
        <v/>
      </c>
      <c r="I304" s="502" t="str">
        <f t="shared" si="19"/>
        <v/>
      </c>
      <c r="J304" s="501" t="str">
        <f>IF('CDO Bespoke'!O305&lt;&gt;"",'CDO Bespoke'!O305,"")</f>
        <v/>
      </c>
      <c r="K304" s="502" t="str">
        <f>IF(J304&lt;&gt;"",ABS(MIN(-0.75*('CDO Bespoke'!K305+'CDO Bespoke'!T305)+'CDO Bespoke'!T305,0)),"")</f>
        <v/>
      </c>
      <c r="L304" s="502" t="str">
        <f t="shared" si="17"/>
        <v/>
      </c>
      <c r="M304" s="506" t="str">
        <f t="shared" si="18"/>
        <v/>
      </c>
      <c r="O304" s="511" t="str">
        <f>IF('CDO Bespoke'!C329&lt;&gt;"",'CDO Bespoke'!C329,"")</f>
        <v/>
      </c>
      <c r="P304" s="513" t="str" cm="1">
        <f t="array" ref="P304">IF($O304&lt;&gt;"",-TRANSPOSE(INDEX(getcds('CDO Bespoke'!$C329,P$13,'CDO Bespoke'!$G329/10000,'CDO Bespoke'!F329,'CDO Bespoke'!$L305,'CDO Bespoke'!$C$13,'CDO Bespoke'!$C$14,'CDO Bespoke'!$C$15,'CDO Bespoke'!$C$8,,,TRUE,TRUE,FALSE,'CDO Bespoke'!$C$29:'CDO Bespoke'!$C$31,'CDO Bespoke'!$C$33),{5})),"")</f>
        <v/>
      </c>
      <c r="Q304" s="542" t="str" cm="1">
        <f t="array" ref="Q304">IF($O304&lt;&gt;"",-TRANSPOSE(INDEX(getcds('CDO Bespoke'!$C329,Q$13,'CDO Bespoke'!$G329/10000,'CDO Bespoke'!G329,'CDO Bespoke'!$L305,'CDO Bespoke'!$C$13,'CDO Bespoke'!$C$14,'CDO Bespoke'!$C$15,'CDO Bespoke'!$C$8,,,TRUE,TRUE,FALSE,'CDO Bespoke'!$C$29:'CDO Bespoke'!$C$31,'CDO Bespoke'!$C$33),{5})),"")</f>
        <v/>
      </c>
      <c r="R304" s="542" t="str" cm="1">
        <f t="array" ref="R304">IF($O304&lt;&gt;"",-TRANSPOSE(INDEX(getcds('CDO Bespoke'!$C329,R$13,'CDO Bespoke'!$G329/10000,'CDO Bespoke'!H329,'CDO Bespoke'!$L305,'CDO Bespoke'!$C$13,'CDO Bespoke'!$C$14,'CDO Bespoke'!$C$15,'CDO Bespoke'!$C$8,,,TRUE,TRUE,FALSE,'CDO Bespoke'!$C$29:'CDO Bespoke'!$C$31,'CDO Bespoke'!$C$33),{5})),"")</f>
        <v/>
      </c>
      <c r="S304" s="542" t="str" cm="1">
        <f t="array" ref="S304">IF($O304&lt;&gt;"",-TRANSPOSE(INDEX(getcds('CDO Bespoke'!$C329,S$13,'CDO Bespoke'!$G329/10000,'CDO Bespoke'!I329,'CDO Bespoke'!$L305,'CDO Bespoke'!$C$13,'CDO Bespoke'!$C$14,'CDO Bespoke'!$C$15,'CDO Bespoke'!$C$8,,,TRUE,TRUE,FALSE,'CDO Bespoke'!$C$29:'CDO Bespoke'!$C$31,'CDO Bespoke'!$C$33),{5})),"")</f>
        <v/>
      </c>
      <c r="T304" s="514" t="str" cm="1">
        <f t="array" ref="T304">IF($O304&lt;&gt;"",-TRANSPOSE(INDEX(getcds('CDO Bespoke'!$C329,T$13,'CDO Bespoke'!$G329/10000,'CDO Bespoke'!J329,'CDO Bespoke'!$L305,'CDO Bespoke'!$C$13,'CDO Bespoke'!$C$14,'CDO Bespoke'!$C$15,'CDO Bespoke'!$C$8,,,TRUE,TRUE,FALSE,'CDO Bespoke'!$C$29:'CDO Bespoke'!$C$31,'CDO Bespoke'!$C$33),{5})),"")</f>
        <v/>
      </c>
      <c r="U304" s="493"/>
      <c r="V304" s="529"/>
      <c r="W304" s="530"/>
      <c r="X304" s="530"/>
      <c r="Y304" s="530"/>
      <c r="Z304" s="530"/>
      <c r="AA304" s="530"/>
      <c r="AB304" s="530"/>
      <c r="AC304" s="530"/>
      <c r="AD304" s="530"/>
      <c r="AE304" s="531"/>
      <c r="AF304" s="539"/>
    </row>
    <row r="305" spans="6:32" s="281" customFormat="1" ht="12" thickBot="1">
      <c r="F305" s="501" t="str">
        <f>IF('CDO Bespoke'!O306&lt;&gt;"",'CDO Bespoke'!O306,"")</f>
        <v/>
      </c>
      <c r="G305" s="502" t="str">
        <f>IF(F305&lt;&gt;"",ABS(MIN(-0.75*('CDO Bespoke'!Q306+'CDO Bespoke'!T306)+'CDO Bespoke'!T306,0)),"")</f>
        <v/>
      </c>
      <c r="H305" s="502" t="str">
        <f t="shared" si="16"/>
        <v/>
      </c>
      <c r="I305" s="502" t="str">
        <f t="shared" si="19"/>
        <v/>
      </c>
      <c r="J305" s="501" t="str">
        <f>IF('CDO Bespoke'!O306&lt;&gt;"",'CDO Bespoke'!O306,"")</f>
        <v/>
      </c>
      <c r="K305" s="502" t="str">
        <f>IF(J305&lt;&gt;"",ABS(MIN(-0.75*('CDO Bespoke'!K306+'CDO Bespoke'!T306)+'CDO Bespoke'!T306,0)),"")</f>
        <v/>
      </c>
      <c r="L305" s="502" t="str">
        <f t="shared" si="17"/>
        <v/>
      </c>
      <c r="M305" s="506" t="str">
        <f t="shared" si="18"/>
        <v/>
      </c>
      <c r="O305" s="511" t="str">
        <f>IF('CDO Bespoke'!C330&lt;&gt;"",'CDO Bespoke'!C330,"")</f>
        <v/>
      </c>
      <c r="P305" s="513" t="str" cm="1">
        <f t="array" ref="P305">IF($O305&lt;&gt;"",-TRANSPOSE(INDEX(getcds('CDO Bespoke'!$C330,P$13,'CDO Bespoke'!$G330/10000,'CDO Bespoke'!F330,'CDO Bespoke'!$L306,'CDO Bespoke'!$C$13,'CDO Bespoke'!$C$14,'CDO Bespoke'!$C$15,'CDO Bespoke'!$C$8,,,TRUE,TRUE,FALSE,'CDO Bespoke'!$C$29:'CDO Bespoke'!$C$31,'CDO Bespoke'!$C$33),{5})),"")</f>
        <v/>
      </c>
      <c r="Q305" s="542" t="str" cm="1">
        <f t="array" ref="Q305">IF($O305&lt;&gt;"",-TRANSPOSE(INDEX(getcds('CDO Bespoke'!$C330,Q$13,'CDO Bespoke'!$G330/10000,'CDO Bespoke'!G330,'CDO Bespoke'!$L306,'CDO Bespoke'!$C$13,'CDO Bespoke'!$C$14,'CDO Bespoke'!$C$15,'CDO Bespoke'!$C$8,,,TRUE,TRUE,FALSE,'CDO Bespoke'!$C$29:'CDO Bespoke'!$C$31,'CDO Bespoke'!$C$33),{5})),"")</f>
        <v/>
      </c>
      <c r="R305" s="542" t="str" cm="1">
        <f t="array" ref="R305">IF($O305&lt;&gt;"",-TRANSPOSE(INDEX(getcds('CDO Bespoke'!$C330,R$13,'CDO Bespoke'!$G330/10000,'CDO Bespoke'!H330,'CDO Bespoke'!$L306,'CDO Bespoke'!$C$13,'CDO Bespoke'!$C$14,'CDO Bespoke'!$C$15,'CDO Bespoke'!$C$8,,,TRUE,TRUE,FALSE,'CDO Bespoke'!$C$29:'CDO Bespoke'!$C$31,'CDO Bespoke'!$C$33),{5})),"")</f>
        <v/>
      </c>
      <c r="S305" s="542" t="str" cm="1">
        <f t="array" ref="S305">IF($O305&lt;&gt;"",-TRANSPOSE(INDEX(getcds('CDO Bespoke'!$C330,S$13,'CDO Bespoke'!$G330/10000,'CDO Bespoke'!I330,'CDO Bespoke'!$L306,'CDO Bespoke'!$C$13,'CDO Bespoke'!$C$14,'CDO Bespoke'!$C$15,'CDO Bespoke'!$C$8,,,TRUE,TRUE,FALSE,'CDO Bespoke'!$C$29:'CDO Bespoke'!$C$31,'CDO Bespoke'!$C$33),{5})),"")</f>
        <v/>
      </c>
      <c r="T305" s="514" t="str" cm="1">
        <f t="array" ref="T305">IF($O305&lt;&gt;"",-TRANSPOSE(INDEX(getcds('CDO Bespoke'!$C330,T$13,'CDO Bespoke'!$G330/10000,'CDO Bespoke'!J330,'CDO Bespoke'!$L306,'CDO Bespoke'!$C$13,'CDO Bespoke'!$C$14,'CDO Bespoke'!$C$15,'CDO Bespoke'!$C$8,,,TRUE,TRUE,FALSE,'CDO Bespoke'!$C$29:'CDO Bespoke'!$C$31,'CDO Bespoke'!$C$33),{5})),"")</f>
        <v/>
      </c>
      <c r="U305" s="493"/>
      <c r="V305" s="529"/>
      <c r="W305" s="530"/>
      <c r="X305" s="530"/>
      <c r="Y305" s="530"/>
      <c r="Z305" s="530"/>
      <c r="AA305" s="530"/>
      <c r="AB305" s="530"/>
      <c r="AC305" s="530"/>
      <c r="AD305" s="530"/>
      <c r="AE305" s="531"/>
      <c r="AF305" s="539"/>
    </row>
    <row r="306" spans="6:32" s="281" customFormat="1" ht="12" thickBot="1">
      <c r="F306" s="501" t="str">
        <f>IF('CDO Bespoke'!O307&lt;&gt;"",'CDO Bespoke'!O307,"")</f>
        <v/>
      </c>
      <c r="G306" s="502" t="str">
        <f>IF(F306&lt;&gt;"",ABS(MIN(-0.75*('CDO Bespoke'!Q307+'CDO Bespoke'!T307)+'CDO Bespoke'!T307,0)),"")</f>
        <v/>
      </c>
      <c r="H306" s="502" t="str">
        <f t="shared" si="16"/>
        <v/>
      </c>
      <c r="I306" s="502" t="str">
        <f t="shared" si="19"/>
        <v/>
      </c>
      <c r="J306" s="501" t="str">
        <f>IF('CDO Bespoke'!O307&lt;&gt;"",'CDO Bespoke'!O307,"")</f>
        <v/>
      </c>
      <c r="K306" s="502" t="str">
        <f>IF(J306&lt;&gt;"",ABS(MIN(-0.75*('CDO Bespoke'!K307+'CDO Bespoke'!T307)+'CDO Bespoke'!T307,0)),"")</f>
        <v/>
      </c>
      <c r="L306" s="502" t="str">
        <f t="shared" si="17"/>
        <v/>
      </c>
      <c r="M306" s="506" t="str">
        <f t="shared" si="18"/>
        <v/>
      </c>
      <c r="O306" s="511" t="str">
        <f>IF('CDO Bespoke'!C331&lt;&gt;"",'CDO Bespoke'!C331,"")</f>
        <v/>
      </c>
      <c r="P306" s="513" t="str" cm="1">
        <f t="array" ref="P306">IF($O306&lt;&gt;"",-TRANSPOSE(INDEX(getcds('CDO Bespoke'!$C331,P$13,'CDO Bespoke'!$G331/10000,'CDO Bespoke'!F331,'CDO Bespoke'!$L307,'CDO Bespoke'!$C$13,'CDO Bespoke'!$C$14,'CDO Bespoke'!$C$15,'CDO Bespoke'!$C$8,,,TRUE,TRUE,FALSE,'CDO Bespoke'!$C$29:'CDO Bespoke'!$C$31,'CDO Bespoke'!$C$33),{5})),"")</f>
        <v/>
      </c>
      <c r="Q306" s="542" t="str" cm="1">
        <f t="array" ref="Q306">IF($O306&lt;&gt;"",-TRANSPOSE(INDEX(getcds('CDO Bespoke'!$C331,Q$13,'CDO Bespoke'!$G331/10000,'CDO Bespoke'!G331,'CDO Bespoke'!$L307,'CDO Bespoke'!$C$13,'CDO Bespoke'!$C$14,'CDO Bespoke'!$C$15,'CDO Bespoke'!$C$8,,,TRUE,TRUE,FALSE,'CDO Bespoke'!$C$29:'CDO Bespoke'!$C$31,'CDO Bespoke'!$C$33),{5})),"")</f>
        <v/>
      </c>
      <c r="R306" s="542" t="str" cm="1">
        <f t="array" ref="R306">IF($O306&lt;&gt;"",-TRANSPOSE(INDEX(getcds('CDO Bespoke'!$C331,R$13,'CDO Bespoke'!$G331/10000,'CDO Bespoke'!H331,'CDO Bespoke'!$L307,'CDO Bespoke'!$C$13,'CDO Bespoke'!$C$14,'CDO Bespoke'!$C$15,'CDO Bespoke'!$C$8,,,TRUE,TRUE,FALSE,'CDO Bespoke'!$C$29:'CDO Bespoke'!$C$31,'CDO Bespoke'!$C$33),{5})),"")</f>
        <v/>
      </c>
      <c r="S306" s="542" t="str" cm="1">
        <f t="array" ref="S306">IF($O306&lt;&gt;"",-TRANSPOSE(INDEX(getcds('CDO Bespoke'!$C331,S$13,'CDO Bespoke'!$G331/10000,'CDO Bespoke'!I331,'CDO Bespoke'!$L307,'CDO Bespoke'!$C$13,'CDO Bespoke'!$C$14,'CDO Bespoke'!$C$15,'CDO Bespoke'!$C$8,,,TRUE,TRUE,FALSE,'CDO Bespoke'!$C$29:'CDO Bespoke'!$C$31,'CDO Bespoke'!$C$33),{5})),"")</f>
        <v/>
      </c>
      <c r="T306" s="514" t="str" cm="1">
        <f t="array" ref="T306">IF($O306&lt;&gt;"",-TRANSPOSE(INDEX(getcds('CDO Bespoke'!$C331,T$13,'CDO Bespoke'!$G331/10000,'CDO Bespoke'!J331,'CDO Bespoke'!$L307,'CDO Bespoke'!$C$13,'CDO Bespoke'!$C$14,'CDO Bespoke'!$C$15,'CDO Bespoke'!$C$8,,,TRUE,TRUE,FALSE,'CDO Bespoke'!$C$29:'CDO Bespoke'!$C$31,'CDO Bespoke'!$C$33),{5})),"")</f>
        <v/>
      </c>
      <c r="U306" s="493"/>
      <c r="V306" s="529"/>
      <c r="W306" s="530"/>
      <c r="X306" s="530"/>
      <c r="Y306" s="530"/>
      <c r="Z306" s="530"/>
      <c r="AA306" s="530"/>
      <c r="AB306" s="530"/>
      <c r="AC306" s="530"/>
      <c r="AD306" s="530"/>
      <c r="AE306" s="531"/>
      <c r="AF306" s="539"/>
    </row>
    <row r="307" spans="6:32" s="281" customFormat="1" ht="12" thickBot="1">
      <c r="F307" s="501" t="str">
        <f>IF('CDO Bespoke'!O308&lt;&gt;"",'CDO Bespoke'!O308,"")</f>
        <v/>
      </c>
      <c r="G307" s="502" t="str">
        <f>IF(F307&lt;&gt;"",ABS(MIN(-0.75*('CDO Bespoke'!Q308+'CDO Bespoke'!T308)+'CDO Bespoke'!T308,0)),"")</f>
        <v/>
      </c>
      <c r="H307" s="502" t="str">
        <f t="shared" si="16"/>
        <v/>
      </c>
      <c r="I307" s="502" t="str">
        <f t="shared" si="19"/>
        <v/>
      </c>
      <c r="J307" s="501" t="str">
        <f>IF('CDO Bespoke'!O308&lt;&gt;"",'CDO Bespoke'!O308,"")</f>
        <v/>
      </c>
      <c r="K307" s="502" t="str">
        <f>IF(J307&lt;&gt;"",ABS(MIN(-0.75*('CDO Bespoke'!K308+'CDO Bespoke'!T308)+'CDO Bespoke'!T308,0)),"")</f>
        <v/>
      </c>
      <c r="L307" s="502" t="str">
        <f t="shared" si="17"/>
        <v/>
      </c>
      <c r="M307" s="506" t="str">
        <f t="shared" si="18"/>
        <v/>
      </c>
      <c r="O307" s="511" t="str">
        <f>IF('CDO Bespoke'!C332&lt;&gt;"",'CDO Bespoke'!C332,"")</f>
        <v/>
      </c>
      <c r="P307" s="513" t="str" cm="1">
        <f t="array" ref="P307">IF($O307&lt;&gt;"",-TRANSPOSE(INDEX(getcds('CDO Bespoke'!$C332,P$13,'CDO Bespoke'!$G332/10000,'CDO Bespoke'!F332,'CDO Bespoke'!$L308,'CDO Bespoke'!$C$13,'CDO Bespoke'!$C$14,'CDO Bespoke'!$C$15,'CDO Bespoke'!$C$8,,,TRUE,TRUE,FALSE,'CDO Bespoke'!$C$29:'CDO Bespoke'!$C$31,'CDO Bespoke'!$C$33),{5})),"")</f>
        <v/>
      </c>
      <c r="Q307" s="542" t="str" cm="1">
        <f t="array" ref="Q307">IF($O307&lt;&gt;"",-TRANSPOSE(INDEX(getcds('CDO Bespoke'!$C332,Q$13,'CDO Bespoke'!$G332/10000,'CDO Bespoke'!G332,'CDO Bespoke'!$L308,'CDO Bespoke'!$C$13,'CDO Bespoke'!$C$14,'CDO Bespoke'!$C$15,'CDO Bespoke'!$C$8,,,TRUE,TRUE,FALSE,'CDO Bespoke'!$C$29:'CDO Bespoke'!$C$31,'CDO Bespoke'!$C$33),{5})),"")</f>
        <v/>
      </c>
      <c r="R307" s="542" t="str" cm="1">
        <f t="array" ref="R307">IF($O307&lt;&gt;"",-TRANSPOSE(INDEX(getcds('CDO Bespoke'!$C332,R$13,'CDO Bespoke'!$G332/10000,'CDO Bespoke'!H332,'CDO Bespoke'!$L308,'CDO Bespoke'!$C$13,'CDO Bespoke'!$C$14,'CDO Bespoke'!$C$15,'CDO Bespoke'!$C$8,,,TRUE,TRUE,FALSE,'CDO Bespoke'!$C$29:'CDO Bespoke'!$C$31,'CDO Bespoke'!$C$33),{5})),"")</f>
        <v/>
      </c>
      <c r="S307" s="542" t="str" cm="1">
        <f t="array" ref="S307">IF($O307&lt;&gt;"",-TRANSPOSE(INDEX(getcds('CDO Bespoke'!$C332,S$13,'CDO Bespoke'!$G332/10000,'CDO Bespoke'!I332,'CDO Bespoke'!$L308,'CDO Bespoke'!$C$13,'CDO Bespoke'!$C$14,'CDO Bespoke'!$C$15,'CDO Bespoke'!$C$8,,,TRUE,TRUE,FALSE,'CDO Bespoke'!$C$29:'CDO Bespoke'!$C$31,'CDO Bespoke'!$C$33),{5})),"")</f>
        <v/>
      </c>
      <c r="T307" s="514" t="str" cm="1">
        <f t="array" ref="T307">IF($O307&lt;&gt;"",-TRANSPOSE(INDEX(getcds('CDO Bespoke'!$C332,T$13,'CDO Bespoke'!$G332/10000,'CDO Bespoke'!J332,'CDO Bespoke'!$L308,'CDO Bespoke'!$C$13,'CDO Bespoke'!$C$14,'CDO Bespoke'!$C$15,'CDO Bespoke'!$C$8,,,TRUE,TRUE,FALSE,'CDO Bespoke'!$C$29:'CDO Bespoke'!$C$31,'CDO Bespoke'!$C$33),{5})),"")</f>
        <v/>
      </c>
      <c r="U307" s="493"/>
      <c r="V307" s="529"/>
      <c r="W307" s="530"/>
      <c r="X307" s="530"/>
      <c r="Y307" s="530"/>
      <c r="Z307" s="530"/>
      <c r="AA307" s="530"/>
      <c r="AB307" s="530"/>
      <c r="AC307" s="530"/>
      <c r="AD307" s="530"/>
      <c r="AE307" s="531"/>
      <c r="AF307" s="539"/>
    </row>
    <row r="308" spans="6:32" s="281" customFormat="1" ht="12" thickBot="1">
      <c r="F308" s="501" t="str">
        <f>IF('CDO Bespoke'!O309&lt;&gt;"",'CDO Bespoke'!O309,"")</f>
        <v/>
      </c>
      <c r="G308" s="502" t="str">
        <f>IF(F308&lt;&gt;"",ABS(MIN(-0.75*('CDO Bespoke'!Q309+'CDO Bespoke'!T309)+'CDO Bespoke'!T309,0)),"")</f>
        <v/>
      </c>
      <c r="H308" s="502" t="str">
        <f t="shared" si="16"/>
        <v/>
      </c>
      <c r="I308" s="502" t="str">
        <f t="shared" si="19"/>
        <v/>
      </c>
      <c r="J308" s="501" t="str">
        <f>IF('CDO Bespoke'!O309&lt;&gt;"",'CDO Bespoke'!O309,"")</f>
        <v/>
      </c>
      <c r="K308" s="502" t="str">
        <f>IF(J308&lt;&gt;"",ABS(MIN(-0.75*('CDO Bespoke'!K309+'CDO Bespoke'!T309)+'CDO Bespoke'!T309,0)),"")</f>
        <v/>
      </c>
      <c r="L308" s="502" t="str">
        <f t="shared" si="17"/>
        <v/>
      </c>
      <c r="M308" s="506" t="str">
        <f t="shared" si="18"/>
        <v/>
      </c>
      <c r="O308" s="511" t="str">
        <f>IF('CDO Bespoke'!C333&lt;&gt;"",'CDO Bespoke'!C333,"")</f>
        <v/>
      </c>
      <c r="P308" s="513" t="str" cm="1">
        <f t="array" ref="P308">IF($O308&lt;&gt;"",-TRANSPOSE(INDEX(getcds('CDO Bespoke'!$C333,P$13,'CDO Bespoke'!$G333/10000,'CDO Bespoke'!F333,'CDO Bespoke'!$L309,'CDO Bespoke'!$C$13,'CDO Bespoke'!$C$14,'CDO Bespoke'!$C$15,'CDO Bespoke'!$C$8,,,TRUE,TRUE,FALSE,'CDO Bespoke'!$C$29:'CDO Bespoke'!$C$31,'CDO Bespoke'!$C$33),{5})),"")</f>
        <v/>
      </c>
      <c r="Q308" s="542" t="str" cm="1">
        <f t="array" ref="Q308">IF($O308&lt;&gt;"",-TRANSPOSE(INDEX(getcds('CDO Bespoke'!$C333,Q$13,'CDO Bespoke'!$G333/10000,'CDO Bespoke'!G333,'CDO Bespoke'!$L309,'CDO Bespoke'!$C$13,'CDO Bespoke'!$C$14,'CDO Bespoke'!$C$15,'CDO Bespoke'!$C$8,,,TRUE,TRUE,FALSE,'CDO Bespoke'!$C$29:'CDO Bespoke'!$C$31,'CDO Bespoke'!$C$33),{5})),"")</f>
        <v/>
      </c>
      <c r="R308" s="542" t="str" cm="1">
        <f t="array" ref="R308">IF($O308&lt;&gt;"",-TRANSPOSE(INDEX(getcds('CDO Bespoke'!$C333,R$13,'CDO Bespoke'!$G333/10000,'CDO Bespoke'!H333,'CDO Bespoke'!$L309,'CDO Bespoke'!$C$13,'CDO Bespoke'!$C$14,'CDO Bespoke'!$C$15,'CDO Bespoke'!$C$8,,,TRUE,TRUE,FALSE,'CDO Bespoke'!$C$29:'CDO Bespoke'!$C$31,'CDO Bespoke'!$C$33),{5})),"")</f>
        <v/>
      </c>
      <c r="S308" s="542" t="str" cm="1">
        <f t="array" ref="S308">IF($O308&lt;&gt;"",-TRANSPOSE(INDEX(getcds('CDO Bespoke'!$C333,S$13,'CDO Bespoke'!$G333/10000,'CDO Bespoke'!I333,'CDO Bespoke'!$L309,'CDO Bespoke'!$C$13,'CDO Bespoke'!$C$14,'CDO Bespoke'!$C$15,'CDO Bespoke'!$C$8,,,TRUE,TRUE,FALSE,'CDO Bespoke'!$C$29:'CDO Bespoke'!$C$31,'CDO Bespoke'!$C$33),{5})),"")</f>
        <v/>
      </c>
      <c r="T308" s="514" t="str" cm="1">
        <f t="array" ref="T308">IF($O308&lt;&gt;"",-TRANSPOSE(INDEX(getcds('CDO Bespoke'!$C333,T$13,'CDO Bespoke'!$G333/10000,'CDO Bespoke'!J333,'CDO Bespoke'!$L309,'CDO Bespoke'!$C$13,'CDO Bespoke'!$C$14,'CDO Bespoke'!$C$15,'CDO Bespoke'!$C$8,,,TRUE,TRUE,FALSE,'CDO Bespoke'!$C$29:'CDO Bespoke'!$C$31,'CDO Bespoke'!$C$33),{5})),"")</f>
        <v/>
      </c>
      <c r="U308" s="493"/>
      <c r="V308" s="529"/>
      <c r="W308" s="530"/>
      <c r="X308" s="530"/>
      <c r="Y308" s="530"/>
      <c r="Z308" s="530"/>
      <c r="AA308" s="530"/>
      <c r="AB308" s="530"/>
      <c r="AC308" s="530"/>
      <c r="AD308" s="530"/>
      <c r="AE308" s="531"/>
      <c r="AF308" s="539"/>
    </row>
    <row r="309" spans="6:32" s="281" customFormat="1" ht="12" thickBot="1">
      <c r="F309" s="501" t="str">
        <f>IF('CDO Bespoke'!O310&lt;&gt;"",'CDO Bespoke'!O310,"")</f>
        <v/>
      </c>
      <c r="G309" s="502" t="str">
        <f>IF(F309&lt;&gt;"",ABS(MIN(-0.75*('CDO Bespoke'!Q310+'CDO Bespoke'!T310)+'CDO Bespoke'!T310,0)),"")</f>
        <v/>
      </c>
      <c r="H309" s="502" t="str">
        <f t="shared" si="16"/>
        <v/>
      </c>
      <c r="I309" s="502" t="str">
        <f t="shared" si="19"/>
        <v/>
      </c>
      <c r="J309" s="501" t="str">
        <f>IF('CDO Bespoke'!O310&lt;&gt;"",'CDO Bespoke'!O310,"")</f>
        <v/>
      </c>
      <c r="K309" s="502" t="str">
        <f>IF(J309&lt;&gt;"",ABS(MIN(-0.75*('CDO Bespoke'!K310+'CDO Bespoke'!T310)+'CDO Bespoke'!T310,0)),"")</f>
        <v/>
      </c>
      <c r="L309" s="502" t="str">
        <f t="shared" si="17"/>
        <v/>
      </c>
      <c r="M309" s="506" t="str">
        <f t="shared" si="18"/>
        <v/>
      </c>
      <c r="O309" s="511" t="str">
        <f>IF('CDO Bespoke'!C334&lt;&gt;"",'CDO Bespoke'!C334,"")</f>
        <v/>
      </c>
      <c r="P309" s="513" t="str" cm="1">
        <f t="array" ref="P309">IF($O309&lt;&gt;"",-TRANSPOSE(INDEX(getcds('CDO Bespoke'!$C334,P$13,'CDO Bespoke'!$G334/10000,'CDO Bespoke'!F334,'CDO Bespoke'!$L310,'CDO Bespoke'!$C$13,'CDO Bespoke'!$C$14,'CDO Bespoke'!$C$15,'CDO Bespoke'!$C$8,,,TRUE,TRUE,FALSE,'CDO Bespoke'!$C$29:'CDO Bespoke'!$C$31,'CDO Bespoke'!$C$33),{5})),"")</f>
        <v/>
      </c>
      <c r="Q309" s="542" t="str" cm="1">
        <f t="array" ref="Q309">IF($O309&lt;&gt;"",-TRANSPOSE(INDEX(getcds('CDO Bespoke'!$C334,Q$13,'CDO Bespoke'!$G334/10000,'CDO Bespoke'!G334,'CDO Bespoke'!$L310,'CDO Bespoke'!$C$13,'CDO Bespoke'!$C$14,'CDO Bespoke'!$C$15,'CDO Bespoke'!$C$8,,,TRUE,TRUE,FALSE,'CDO Bespoke'!$C$29:'CDO Bespoke'!$C$31,'CDO Bespoke'!$C$33),{5})),"")</f>
        <v/>
      </c>
      <c r="R309" s="542" t="str" cm="1">
        <f t="array" ref="R309">IF($O309&lt;&gt;"",-TRANSPOSE(INDEX(getcds('CDO Bespoke'!$C334,R$13,'CDO Bespoke'!$G334/10000,'CDO Bespoke'!H334,'CDO Bespoke'!$L310,'CDO Bespoke'!$C$13,'CDO Bespoke'!$C$14,'CDO Bespoke'!$C$15,'CDO Bespoke'!$C$8,,,TRUE,TRUE,FALSE,'CDO Bespoke'!$C$29:'CDO Bespoke'!$C$31,'CDO Bespoke'!$C$33),{5})),"")</f>
        <v/>
      </c>
      <c r="S309" s="542" t="str" cm="1">
        <f t="array" ref="S309">IF($O309&lt;&gt;"",-TRANSPOSE(INDEX(getcds('CDO Bespoke'!$C334,S$13,'CDO Bespoke'!$G334/10000,'CDO Bespoke'!I334,'CDO Bespoke'!$L310,'CDO Bespoke'!$C$13,'CDO Bespoke'!$C$14,'CDO Bespoke'!$C$15,'CDO Bespoke'!$C$8,,,TRUE,TRUE,FALSE,'CDO Bespoke'!$C$29:'CDO Bespoke'!$C$31,'CDO Bespoke'!$C$33),{5})),"")</f>
        <v/>
      </c>
      <c r="T309" s="514" t="str" cm="1">
        <f t="array" ref="T309">IF($O309&lt;&gt;"",-TRANSPOSE(INDEX(getcds('CDO Bespoke'!$C334,T$13,'CDO Bespoke'!$G334/10000,'CDO Bespoke'!J334,'CDO Bespoke'!$L310,'CDO Bespoke'!$C$13,'CDO Bespoke'!$C$14,'CDO Bespoke'!$C$15,'CDO Bespoke'!$C$8,,,TRUE,TRUE,FALSE,'CDO Bespoke'!$C$29:'CDO Bespoke'!$C$31,'CDO Bespoke'!$C$33),{5})),"")</f>
        <v/>
      </c>
      <c r="U309" s="493"/>
      <c r="V309" s="529"/>
      <c r="W309" s="530"/>
      <c r="X309" s="530"/>
      <c r="Y309" s="530"/>
      <c r="Z309" s="530"/>
      <c r="AA309" s="530"/>
      <c r="AB309" s="530"/>
      <c r="AC309" s="530"/>
      <c r="AD309" s="530"/>
      <c r="AE309" s="531"/>
      <c r="AF309" s="539"/>
    </row>
    <row r="310" spans="6:32" s="281" customFormat="1" ht="12" thickBot="1">
      <c r="F310" s="501" t="str">
        <f>IF('CDO Bespoke'!O311&lt;&gt;"",'CDO Bespoke'!O311,"")</f>
        <v/>
      </c>
      <c r="G310" s="502" t="str">
        <f>IF(F310&lt;&gt;"",ABS(MIN(-0.75*('CDO Bespoke'!Q311+'CDO Bespoke'!T311)+'CDO Bespoke'!T311,0)),"")</f>
        <v/>
      </c>
      <c r="H310" s="502" t="str">
        <f t="shared" si="16"/>
        <v/>
      </c>
      <c r="I310" s="502" t="str">
        <f t="shared" si="19"/>
        <v/>
      </c>
      <c r="J310" s="501" t="str">
        <f>IF('CDO Bespoke'!O311&lt;&gt;"",'CDO Bespoke'!O311,"")</f>
        <v/>
      </c>
      <c r="K310" s="502" t="str">
        <f>IF(J310&lt;&gt;"",ABS(MIN(-0.75*('CDO Bespoke'!K311+'CDO Bespoke'!T311)+'CDO Bespoke'!T311,0)),"")</f>
        <v/>
      </c>
      <c r="L310" s="502" t="str">
        <f t="shared" si="17"/>
        <v/>
      </c>
      <c r="M310" s="506" t="str">
        <f t="shared" si="18"/>
        <v/>
      </c>
      <c r="O310" s="511" t="str">
        <f>IF('CDO Bespoke'!C335&lt;&gt;"",'CDO Bespoke'!C335,"")</f>
        <v/>
      </c>
      <c r="P310" s="513" t="str" cm="1">
        <f t="array" ref="P310">IF($O310&lt;&gt;"",-TRANSPOSE(INDEX(getcds('CDO Bespoke'!$C335,P$13,'CDO Bespoke'!$G335/10000,'CDO Bespoke'!F335,'CDO Bespoke'!$L311,'CDO Bespoke'!$C$13,'CDO Bespoke'!$C$14,'CDO Bespoke'!$C$15,'CDO Bespoke'!$C$8,,,TRUE,TRUE,FALSE,'CDO Bespoke'!$C$29:'CDO Bespoke'!$C$31,'CDO Bespoke'!$C$33),{5})),"")</f>
        <v/>
      </c>
      <c r="Q310" s="542" t="str" cm="1">
        <f t="array" ref="Q310">IF($O310&lt;&gt;"",-TRANSPOSE(INDEX(getcds('CDO Bespoke'!$C335,Q$13,'CDO Bespoke'!$G335/10000,'CDO Bespoke'!G335,'CDO Bespoke'!$L311,'CDO Bespoke'!$C$13,'CDO Bespoke'!$C$14,'CDO Bespoke'!$C$15,'CDO Bespoke'!$C$8,,,TRUE,TRUE,FALSE,'CDO Bespoke'!$C$29:'CDO Bespoke'!$C$31,'CDO Bespoke'!$C$33),{5})),"")</f>
        <v/>
      </c>
      <c r="R310" s="542" t="str" cm="1">
        <f t="array" ref="R310">IF($O310&lt;&gt;"",-TRANSPOSE(INDEX(getcds('CDO Bespoke'!$C335,R$13,'CDO Bespoke'!$G335/10000,'CDO Bespoke'!H335,'CDO Bespoke'!$L311,'CDO Bespoke'!$C$13,'CDO Bespoke'!$C$14,'CDO Bespoke'!$C$15,'CDO Bespoke'!$C$8,,,TRUE,TRUE,FALSE,'CDO Bespoke'!$C$29:'CDO Bespoke'!$C$31,'CDO Bespoke'!$C$33),{5})),"")</f>
        <v/>
      </c>
      <c r="S310" s="542" t="str" cm="1">
        <f t="array" ref="S310">IF($O310&lt;&gt;"",-TRANSPOSE(INDEX(getcds('CDO Bespoke'!$C335,S$13,'CDO Bespoke'!$G335/10000,'CDO Bespoke'!I335,'CDO Bespoke'!$L311,'CDO Bespoke'!$C$13,'CDO Bespoke'!$C$14,'CDO Bespoke'!$C$15,'CDO Bespoke'!$C$8,,,TRUE,TRUE,FALSE,'CDO Bespoke'!$C$29:'CDO Bespoke'!$C$31,'CDO Bespoke'!$C$33),{5})),"")</f>
        <v/>
      </c>
      <c r="T310" s="514" t="str" cm="1">
        <f t="array" ref="T310">IF($O310&lt;&gt;"",-TRANSPOSE(INDEX(getcds('CDO Bespoke'!$C335,T$13,'CDO Bespoke'!$G335/10000,'CDO Bespoke'!J335,'CDO Bespoke'!$L311,'CDO Bespoke'!$C$13,'CDO Bespoke'!$C$14,'CDO Bespoke'!$C$15,'CDO Bespoke'!$C$8,,,TRUE,TRUE,FALSE,'CDO Bespoke'!$C$29:'CDO Bespoke'!$C$31,'CDO Bespoke'!$C$33),{5})),"")</f>
        <v/>
      </c>
      <c r="U310" s="493"/>
      <c r="V310" s="529"/>
      <c r="W310" s="530"/>
      <c r="X310" s="530"/>
      <c r="Y310" s="530"/>
      <c r="Z310" s="530"/>
      <c r="AA310" s="530"/>
      <c r="AB310" s="530"/>
      <c r="AC310" s="530"/>
      <c r="AD310" s="530"/>
      <c r="AE310" s="531"/>
      <c r="AF310" s="539"/>
    </row>
    <row r="311" spans="6:32" s="281" customFormat="1" ht="12" thickBot="1">
      <c r="F311" s="501" t="str">
        <f>IF('CDO Bespoke'!O312&lt;&gt;"",'CDO Bespoke'!O312,"")</f>
        <v/>
      </c>
      <c r="G311" s="502" t="str">
        <f>IF(F311&lt;&gt;"",ABS(MIN(-0.75*('CDO Bespoke'!Q312+'CDO Bespoke'!T312)+'CDO Bespoke'!T312,0)),"")</f>
        <v/>
      </c>
      <c r="H311" s="502" t="str">
        <f t="shared" si="16"/>
        <v/>
      </c>
      <c r="I311" s="502" t="str">
        <f t="shared" si="19"/>
        <v/>
      </c>
      <c r="J311" s="501" t="str">
        <f>IF('CDO Bespoke'!O312&lt;&gt;"",'CDO Bespoke'!O312,"")</f>
        <v/>
      </c>
      <c r="K311" s="502" t="str">
        <f>IF(J311&lt;&gt;"",ABS(MIN(-0.75*('CDO Bespoke'!K312+'CDO Bespoke'!T312)+'CDO Bespoke'!T312,0)),"")</f>
        <v/>
      </c>
      <c r="L311" s="502" t="str">
        <f t="shared" si="17"/>
        <v/>
      </c>
      <c r="M311" s="506" t="str">
        <f t="shared" si="18"/>
        <v/>
      </c>
      <c r="O311" s="511" t="str">
        <f>IF('CDO Bespoke'!C336&lt;&gt;"",'CDO Bespoke'!C336,"")</f>
        <v/>
      </c>
      <c r="P311" s="513" t="str" cm="1">
        <f t="array" ref="P311">IF($O311&lt;&gt;"",-TRANSPOSE(INDEX(getcds('CDO Bespoke'!$C336,P$13,'CDO Bespoke'!$G336/10000,'CDO Bespoke'!F336,'CDO Bespoke'!$L312,'CDO Bespoke'!$C$13,'CDO Bespoke'!$C$14,'CDO Bespoke'!$C$15,'CDO Bespoke'!$C$8,,,TRUE,TRUE,FALSE,'CDO Bespoke'!$C$29:'CDO Bespoke'!$C$31,'CDO Bespoke'!$C$33),{5})),"")</f>
        <v/>
      </c>
      <c r="Q311" s="542" t="str" cm="1">
        <f t="array" ref="Q311">IF($O311&lt;&gt;"",-TRANSPOSE(INDEX(getcds('CDO Bespoke'!$C336,Q$13,'CDO Bespoke'!$G336/10000,'CDO Bespoke'!G336,'CDO Bespoke'!$L312,'CDO Bespoke'!$C$13,'CDO Bespoke'!$C$14,'CDO Bespoke'!$C$15,'CDO Bespoke'!$C$8,,,TRUE,TRUE,FALSE,'CDO Bespoke'!$C$29:'CDO Bespoke'!$C$31,'CDO Bespoke'!$C$33),{5})),"")</f>
        <v/>
      </c>
      <c r="R311" s="542" t="str" cm="1">
        <f t="array" ref="R311">IF($O311&lt;&gt;"",-TRANSPOSE(INDEX(getcds('CDO Bespoke'!$C336,R$13,'CDO Bespoke'!$G336/10000,'CDO Bespoke'!H336,'CDO Bespoke'!$L312,'CDO Bespoke'!$C$13,'CDO Bespoke'!$C$14,'CDO Bespoke'!$C$15,'CDO Bespoke'!$C$8,,,TRUE,TRUE,FALSE,'CDO Bespoke'!$C$29:'CDO Bespoke'!$C$31,'CDO Bespoke'!$C$33),{5})),"")</f>
        <v/>
      </c>
      <c r="S311" s="542" t="str" cm="1">
        <f t="array" ref="S311">IF($O311&lt;&gt;"",-TRANSPOSE(INDEX(getcds('CDO Bespoke'!$C336,S$13,'CDO Bespoke'!$G336/10000,'CDO Bespoke'!I336,'CDO Bespoke'!$L312,'CDO Bespoke'!$C$13,'CDO Bespoke'!$C$14,'CDO Bespoke'!$C$15,'CDO Bespoke'!$C$8,,,TRUE,TRUE,FALSE,'CDO Bespoke'!$C$29:'CDO Bespoke'!$C$31,'CDO Bespoke'!$C$33),{5})),"")</f>
        <v/>
      </c>
      <c r="T311" s="514" t="str" cm="1">
        <f t="array" ref="T311">IF($O311&lt;&gt;"",-TRANSPOSE(INDEX(getcds('CDO Bespoke'!$C336,T$13,'CDO Bespoke'!$G336/10000,'CDO Bespoke'!J336,'CDO Bespoke'!$L312,'CDO Bespoke'!$C$13,'CDO Bespoke'!$C$14,'CDO Bespoke'!$C$15,'CDO Bespoke'!$C$8,,,TRUE,TRUE,FALSE,'CDO Bespoke'!$C$29:'CDO Bespoke'!$C$31,'CDO Bespoke'!$C$33),{5})),"")</f>
        <v/>
      </c>
      <c r="U311" s="493"/>
      <c r="V311" s="529"/>
      <c r="W311" s="530"/>
      <c r="X311" s="530"/>
      <c r="Y311" s="530"/>
      <c r="Z311" s="530"/>
      <c r="AA311" s="530"/>
      <c r="AB311" s="530"/>
      <c r="AC311" s="530"/>
      <c r="AD311" s="530"/>
      <c r="AE311" s="531"/>
      <c r="AF311" s="539"/>
    </row>
    <row r="312" spans="6:32" s="281" customFormat="1" ht="12" thickBot="1">
      <c r="F312" s="501" t="str">
        <f>IF('CDO Bespoke'!O313&lt;&gt;"",'CDO Bespoke'!O313,"")</f>
        <v/>
      </c>
      <c r="G312" s="502" t="str">
        <f>IF(F312&lt;&gt;"",ABS(MIN(-0.75*('CDO Bespoke'!Q313+'CDO Bespoke'!T313)+'CDO Bespoke'!T313,0)),"")</f>
        <v/>
      </c>
      <c r="H312" s="502" t="str">
        <f t="shared" si="16"/>
        <v/>
      </c>
      <c r="I312" s="502" t="str">
        <f t="shared" si="19"/>
        <v/>
      </c>
      <c r="J312" s="501" t="str">
        <f>IF('CDO Bespoke'!O313&lt;&gt;"",'CDO Bespoke'!O313,"")</f>
        <v/>
      </c>
      <c r="K312" s="502" t="str">
        <f>IF(J312&lt;&gt;"",ABS(MIN(-0.75*('CDO Bespoke'!K313+'CDO Bespoke'!T313)+'CDO Bespoke'!T313,0)),"")</f>
        <v/>
      </c>
      <c r="L312" s="502" t="str">
        <f t="shared" si="17"/>
        <v/>
      </c>
      <c r="M312" s="506" t="str">
        <f t="shared" si="18"/>
        <v/>
      </c>
      <c r="O312" s="511" t="str">
        <f>IF('CDO Bespoke'!C337&lt;&gt;"",'CDO Bespoke'!C337,"")</f>
        <v/>
      </c>
      <c r="P312" s="513" t="str" cm="1">
        <f t="array" ref="P312">IF($O312&lt;&gt;"",-TRANSPOSE(INDEX(getcds('CDO Bespoke'!$C337,P$13,'CDO Bespoke'!$G337/10000,'CDO Bespoke'!F337,'CDO Bespoke'!$L313,'CDO Bespoke'!$C$13,'CDO Bespoke'!$C$14,'CDO Bespoke'!$C$15,'CDO Bespoke'!$C$8,,,TRUE,TRUE,FALSE,'CDO Bespoke'!$C$29:'CDO Bespoke'!$C$31,'CDO Bespoke'!$C$33),{5})),"")</f>
        <v/>
      </c>
      <c r="Q312" s="542" t="str" cm="1">
        <f t="array" ref="Q312">IF($O312&lt;&gt;"",-TRANSPOSE(INDEX(getcds('CDO Bespoke'!$C337,Q$13,'CDO Bespoke'!$G337/10000,'CDO Bespoke'!G337,'CDO Bespoke'!$L313,'CDO Bespoke'!$C$13,'CDO Bespoke'!$C$14,'CDO Bespoke'!$C$15,'CDO Bespoke'!$C$8,,,TRUE,TRUE,FALSE,'CDO Bespoke'!$C$29:'CDO Bespoke'!$C$31,'CDO Bespoke'!$C$33),{5})),"")</f>
        <v/>
      </c>
      <c r="R312" s="542" t="str" cm="1">
        <f t="array" ref="R312">IF($O312&lt;&gt;"",-TRANSPOSE(INDEX(getcds('CDO Bespoke'!$C337,R$13,'CDO Bespoke'!$G337/10000,'CDO Bespoke'!H337,'CDO Bespoke'!$L313,'CDO Bespoke'!$C$13,'CDO Bespoke'!$C$14,'CDO Bespoke'!$C$15,'CDO Bespoke'!$C$8,,,TRUE,TRUE,FALSE,'CDO Bespoke'!$C$29:'CDO Bespoke'!$C$31,'CDO Bespoke'!$C$33),{5})),"")</f>
        <v/>
      </c>
      <c r="S312" s="542" t="str" cm="1">
        <f t="array" ref="S312">IF($O312&lt;&gt;"",-TRANSPOSE(INDEX(getcds('CDO Bespoke'!$C337,S$13,'CDO Bespoke'!$G337/10000,'CDO Bespoke'!I337,'CDO Bespoke'!$L313,'CDO Bespoke'!$C$13,'CDO Bespoke'!$C$14,'CDO Bespoke'!$C$15,'CDO Bespoke'!$C$8,,,TRUE,TRUE,FALSE,'CDO Bespoke'!$C$29:'CDO Bespoke'!$C$31,'CDO Bespoke'!$C$33),{5})),"")</f>
        <v/>
      </c>
      <c r="T312" s="514" t="str" cm="1">
        <f t="array" ref="T312">IF($O312&lt;&gt;"",-TRANSPOSE(INDEX(getcds('CDO Bespoke'!$C337,T$13,'CDO Bespoke'!$G337/10000,'CDO Bespoke'!J337,'CDO Bespoke'!$L313,'CDO Bespoke'!$C$13,'CDO Bespoke'!$C$14,'CDO Bespoke'!$C$15,'CDO Bespoke'!$C$8,,,TRUE,TRUE,FALSE,'CDO Bespoke'!$C$29:'CDO Bespoke'!$C$31,'CDO Bespoke'!$C$33),{5})),"")</f>
        <v/>
      </c>
      <c r="U312" s="493"/>
      <c r="V312" s="529"/>
      <c r="W312" s="530"/>
      <c r="X312" s="530"/>
      <c r="Y312" s="530"/>
      <c r="Z312" s="530"/>
      <c r="AA312" s="530"/>
      <c r="AB312" s="530"/>
      <c r="AC312" s="530"/>
      <c r="AD312" s="530"/>
      <c r="AE312" s="531"/>
      <c r="AF312" s="539"/>
    </row>
    <row r="313" spans="6:32" s="281" customFormat="1" ht="12" thickBot="1">
      <c r="F313" s="507" t="str">
        <f>IF('CDO Bespoke'!O314&lt;&gt;"",'CDO Bespoke'!O314,"")</f>
        <v/>
      </c>
      <c r="G313" s="508" t="str">
        <f>IF(F313&lt;&gt;"",ABS(MIN(-0.75*('CDO Bespoke'!Q314+'CDO Bespoke'!T314)+'CDO Bespoke'!T314,0)),"")</f>
        <v/>
      </c>
      <c r="H313" s="508" t="str">
        <f t="shared" si="16"/>
        <v/>
      </c>
      <c r="I313" s="502" t="str">
        <f t="shared" si="19"/>
        <v/>
      </c>
      <c r="J313" s="507" t="str">
        <f>IF('CDO Bespoke'!O314&lt;&gt;"",'CDO Bespoke'!O314,"")</f>
        <v/>
      </c>
      <c r="K313" s="508" t="str">
        <f>IF(J313&lt;&gt;"",ABS(MIN(-0.75*('CDO Bespoke'!K314+'CDO Bespoke'!T314)+'CDO Bespoke'!T314,0)),"")</f>
        <v/>
      </c>
      <c r="L313" s="508" t="str">
        <f t="shared" si="17"/>
        <v/>
      </c>
      <c r="M313" s="509" t="str">
        <f t="shared" si="18"/>
        <v/>
      </c>
      <c r="O313" s="512" t="str">
        <f>IF('CDO Bespoke'!C338&lt;&gt;"",'CDO Bespoke'!C338,"")</f>
        <v/>
      </c>
      <c r="P313" s="515" t="str" cm="1">
        <f t="array" ref="P313">IF($O313&lt;&gt;"",-TRANSPOSE(INDEX(getcds('CDO Bespoke'!$C338,P$13,'CDO Bespoke'!$G338/10000,'CDO Bespoke'!F338,'CDO Bespoke'!$L314,'CDO Bespoke'!$C$13,'CDO Bespoke'!$C$14,'CDO Bespoke'!$C$15,'CDO Bespoke'!$C$8,,,TRUE,TRUE,FALSE,'CDO Bespoke'!$C$29:'CDO Bespoke'!$C$31,'CDO Bespoke'!$C$33),{5})),"")</f>
        <v/>
      </c>
      <c r="Q313" s="516" t="str" cm="1">
        <f t="array" ref="Q313">IF($O313&lt;&gt;"",-TRANSPOSE(INDEX(getcds('CDO Bespoke'!$C338,Q$13,'CDO Bespoke'!$G338/10000,'CDO Bespoke'!G338,'CDO Bespoke'!$L314,'CDO Bespoke'!$C$13,'CDO Bespoke'!$C$14,'CDO Bespoke'!$C$15,'CDO Bespoke'!$C$8,,,TRUE,TRUE,FALSE,'CDO Bespoke'!$C$29:'CDO Bespoke'!$C$31,'CDO Bespoke'!$C$33),{5})),"")</f>
        <v/>
      </c>
      <c r="R313" s="516" t="str" cm="1">
        <f t="array" ref="R313">IF($O313&lt;&gt;"",-TRANSPOSE(INDEX(getcds('CDO Bespoke'!$C338,R$13,'CDO Bespoke'!$G338/10000,'CDO Bespoke'!H338,'CDO Bespoke'!$L314,'CDO Bespoke'!$C$13,'CDO Bespoke'!$C$14,'CDO Bespoke'!$C$15,'CDO Bespoke'!$C$8,,,TRUE,TRUE,FALSE,'CDO Bespoke'!$C$29:'CDO Bespoke'!$C$31,'CDO Bespoke'!$C$33),{5})),"")</f>
        <v/>
      </c>
      <c r="S313" s="516" t="str" cm="1">
        <f t="array" ref="S313">IF($O313&lt;&gt;"",-TRANSPOSE(INDEX(getcds('CDO Bespoke'!$C338,S$13,'CDO Bespoke'!$G338/10000,'CDO Bespoke'!I338,'CDO Bespoke'!$L314,'CDO Bespoke'!$C$13,'CDO Bespoke'!$C$14,'CDO Bespoke'!$C$15,'CDO Bespoke'!$C$8,,,TRUE,TRUE,FALSE,'CDO Bespoke'!$C$29:'CDO Bespoke'!$C$31,'CDO Bespoke'!$C$33),{5})),"")</f>
        <v/>
      </c>
      <c r="T313" s="517" t="str" cm="1">
        <f t="array" ref="T313">IF($O313&lt;&gt;"",-TRANSPOSE(INDEX(getcds('CDO Bespoke'!$C338,T$13,'CDO Bespoke'!$G338/10000,'CDO Bespoke'!J338,'CDO Bespoke'!$L314,'CDO Bespoke'!$C$13,'CDO Bespoke'!$C$14,'CDO Bespoke'!$C$15,'CDO Bespoke'!$C$8,,,TRUE,TRUE,FALSE,'CDO Bespoke'!$C$29:'CDO Bespoke'!$C$31,'CDO Bespoke'!$C$33),{5})),"")</f>
        <v/>
      </c>
      <c r="U313" s="493"/>
      <c r="V313" s="532"/>
      <c r="W313" s="533"/>
      <c r="X313" s="533"/>
      <c r="Y313" s="533"/>
      <c r="Z313" s="533"/>
      <c r="AA313" s="533"/>
      <c r="AB313" s="533"/>
      <c r="AC313" s="533"/>
      <c r="AD313" s="533"/>
      <c r="AE313" s="534"/>
      <c r="AF313" s="540"/>
    </row>
    <row r="314" spans="6:32" s="281" customFormat="1"/>
    <row r="315" spans="6:32" s="281" customFormat="1"/>
    <row r="316" spans="6:32" s="281" customFormat="1"/>
    <row r="317" spans="6:32" s="281" customFormat="1"/>
    <row r="318" spans="6:32" s="281" customFormat="1"/>
    <row r="319" spans="6:32" s="281" customFormat="1"/>
    <row r="320" spans="6:32" s="281" customFormat="1"/>
    <row r="321" s="281" customFormat="1"/>
    <row r="322" s="281" customFormat="1"/>
    <row r="323" s="281" customFormat="1"/>
    <row r="324" s="281" customFormat="1"/>
    <row r="325" s="281" customFormat="1"/>
    <row r="326" s="281" customFormat="1"/>
    <row r="327" s="281" customFormat="1"/>
    <row r="328" s="281" customFormat="1"/>
    <row r="329" s="281" customFormat="1"/>
    <row r="330" s="281" customFormat="1"/>
    <row r="331" s="281" customFormat="1"/>
    <row r="332" s="281" customFormat="1"/>
    <row r="333" s="281" customFormat="1"/>
    <row r="334" s="281" customFormat="1"/>
    <row r="335" s="281" customFormat="1"/>
    <row r="336" s="281" customFormat="1"/>
    <row r="337" s="281" customFormat="1"/>
    <row r="338" s="281" customFormat="1"/>
    <row r="339" s="281" customFormat="1"/>
    <row r="340" s="281" customFormat="1"/>
    <row r="341" s="281" customFormat="1"/>
    <row r="342" s="281" customFormat="1"/>
    <row r="343" s="281" customFormat="1"/>
    <row r="344" s="281" customFormat="1"/>
    <row r="345" s="281" customFormat="1"/>
    <row r="346" s="281" customFormat="1"/>
    <row r="347" s="281" customFormat="1"/>
    <row r="348" s="281" customFormat="1"/>
    <row r="349" s="281" customFormat="1"/>
    <row r="350" s="281" customFormat="1"/>
    <row r="351" s="281" customFormat="1"/>
    <row r="352" s="281" customFormat="1"/>
    <row r="353" s="281" customFormat="1"/>
    <row r="354" s="281" customFormat="1"/>
    <row r="355" s="281" customFormat="1"/>
    <row r="356" s="281" customFormat="1"/>
    <row r="357" s="281" customFormat="1"/>
    <row r="358" s="281" customFormat="1"/>
    <row r="359" s="281" customFormat="1"/>
    <row r="360" s="281" customFormat="1"/>
    <row r="361" s="281" customFormat="1"/>
    <row r="362" s="281" customFormat="1"/>
    <row r="363" s="281" customFormat="1"/>
    <row r="364" s="281" customFormat="1"/>
    <row r="365" s="281" customFormat="1"/>
    <row r="366" s="281" customFormat="1"/>
    <row r="367" s="281" customFormat="1"/>
    <row r="368" s="281" customFormat="1"/>
    <row r="369" s="281" customFormat="1"/>
    <row r="370" s="281" customFormat="1"/>
    <row r="371" s="281" customFormat="1"/>
    <row r="372" s="281" customFormat="1"/>
    <row r="373" s="281" customFormat="1"/>
    <row r="374" s="281" customFormat="1"/>
    <row r="375" s="281" customFormat="1"/>
    <row r="376" s="281" customFormat="1"/>
    <row r="377" s="281" customFormat="1"/>
    <row r="378" s="281" customFormat="1"/>
    <row r="379" s="281" customFormat="1"/>
    <row r="380" s="281" customFormat="1"/>
    <row r="381" s="281" customFormat="1"/>
    <row r="382" s="281" customFormat="1"/>
    <row r="383" s="281" customFormat="1"/>
    <row r="384" s="281" customFormat="1"/>
    <row r="385" s="281" customFormat="1"/>
    <row r="386" s="281" customFormat="1"/>
    <row r="387" s="281" customFormat="1"/>
    <row r="388" s="281" customFormat="1"/>
    <row r="389" s="281" customFormat="1"/>
    <row r="390" s="281" customFormat="1"/>
    <row r="391" s="281" customFormat="1"/>
    <row r="392" s="281" customFormat="1"/>
    <row r="393" s="281" customFormat="1"/>
    <row r="394" s="281" customFormat="1"/>
    <row r="395" s="281" customFormat="1"/>
    <row r="396" s="281" customFormat="1"/>
    <row r="397" s="281" customFormat="1"/>
    <row r="398" s="281" customFormat="1"/>
    <row r="399" s="281" customFormat="1"/>
    <row r="400" s="281" customFormat="1"/>
    <row r="401" s="281" customFormat="1"/>
    <row r="402" s="281" customFormat="1"/>
    <row r="403" s="281" customFormat="1"/>
    <row r="404" s="281" customFormat="1"/>
    <row r="405" s="281" customFormat="1"/>
    <row r="406" s="281" customFormat="1"/>
    <row r="407" s="281" customFormat="1"/>
    <row r="408" s="281" customFormat="1"/>
    <row r="409" s="281" customFormat="1"/>
    <row r="410" s="281" customFormat="1"/>
    <row r="411" s="281" customFormat="1"/>
    <row r="412" s="281" customFormat="1"/>
    <row r="413" s="281" customFormat="1"/>
    <row r="414" s="281" customFormat="1"/>
    <row r="415" s="281" customFormat="1"/>
    <row r="416" s="281" customFormat="1"/>
    <row r="417" s="281" customFormat="1"/>
    <row r="418" s="281" customFormat="1"/>
    <row r="419" s="281" customFormat="1"/>
    <row r="420" s="281" customFormat="1"/>
    <row r="421" s="281" customFormat="1"/>
    <row r="422" s="281" customFormat="1"/>
    <row r="423" s="281" customFormat="1"/>
    <row r="424" s="281" customFormat="1"/>
    <row r="425" s="281" customFormat="1"/>
    <row r="426" s="281" customFormat="1"/>
    <row r="427" s="281" customFormat="1"/>
    <row r="428" s="281" customFormat="1"/>
    <row r="429" s="281" customFormat="1"/>
    <row r="430" s="281" customFormat="1"/>
    <row r="431" s="281" customFormat="1"/>
    <row r="432" s="281" customFormat="1"/>
    <row r="433" s="281" customFormat="1"/>
    <row r="434" s="281" customFormat="1"/>
    <row r="435" s="281" customFormat="1"/>
    <row r="436" s="281" customFormat="1"/>
    <row r="437" s="281" customFormat="1"/>
    <row r="438" s="281" customFormat="1"/>
    <row r="439" s="281" customFormat="1"/>
    <row r="440" s="281" customFormat="1"/>
    <row r="441" s="281" customFormat="1"/>
    <row r="442" s="281" customFormat="1"/>
    <row r="443" s="281" customFormat="1"/>
    <row r="444" s="281" customFormat="1"/>
    <row r="445" s="281" customFormat="1"/>
    <row r="446" s="281" customFormat="1"/>
    <row r="447" s="281" customFormat="1"/>
    <row r="448" s="281" customFormat="1"/>
    <row r="449" s="281" customFormat="1"/>
    <row r="450" s="281" customFormat="1"/>
    <row r="451" s="281" customFormat="1"/>
    <row r="452" s="281" customFormat="1"/>
    <row r="453" s="281" customFormat="1"/>
    <row r="454" s="281" customFormat="1"/>
    <row r="455" s="281" customFormat="1"/>
    <row r="456" s="281" customFormat="1"/>
    <row r="457" s="281" customFormat="1"/>
    <row r="458" s="281" customFormat="1"/>
    <row r="459" s="281" customFormat="1"/>
    <row r="460" s="281" customFormat="1"/>
    <row r="461" s="281" customFormat="1"/>
    <row r="462" s="281" customFormat="1"/>
    <row r="463" s="281" customFormat="1"/>
    <row r="464" s="281" customFormat="1"/>
    <row r="465" s="281" customFormat="1"/>
    <row r="466" s="281" customFormat="1"/>
    <row r="467" s="281" customFormat="1"/>
    <row r="468" s="281" customFormat="1"/>
    <row r="469" s="281" customFormat="1"/>
    <row r="470" s="281" customFormat="1"/>
    <row r="471" s="281" customFormat="1"/>
    <row r="472" s="281" customFormat="1"/>
    <row r="473" s="281" customFormat="1"/>
    <row r="474" s="281" customFormat="1"/>
    <row r="475" s="281" customFormat="1"/>
    <row r="476" s="281" customFormat="1"/>
    <row r="477" s="281" customFormat="1"/>
    <row r="478" s="281" customFormat="1"/>
    <row r="479" s="281" customFormat="1"/>
    <row r="480" s="281" customFormat="1"/>
    <row r="481" s="281" customFormat="1"/>
    <row r="482" s="281" customFormat="1"/>
    <row r="483" s="281" customFormat="1"/>
    <row r="484" s="281" customFormat="1"/>
    <row r="485" s="281" customFormat="1"/>
    <row r="486" s="281" customFormat="1"/>
    <row r="487" s="281" customFormat="1"/>
    <row r="488" s="281" customFormat="1"/>
    <row r="489" s="281" customFormat="1"/>
    <row r="490" s="281" customFormat="1"/>
    <row r="491" s="281" customFormat="1"/>
    <row r="492" s="281" customFormat="1"/>
    <row r="493" s="281" customFormat="1"/>
    <row r="494" s="281" customFormat="1"/>
    <row r="495" s="281" customFormat="1"/>
    <row r="496" s="281" customFormat="1"/>
    <row r="497" s="281" customFormat="1"/>
    <row r="498" s="281" customFormat="1"/>
    <row r="499" s="281" customFormat="1"/>
    <row r="500" s="281" customFormat="1"/>
    <row r="501" s="281" customFormat="1"/>
    <row r="502" s="281" customFormat="1"/>
    <row r="503" s="281" customFormat="1"/>
    <row r="504" s="281" customFormat="1"/>
    <row r="505" s="281" customFormat="1"/>
    <row r="506" s="281" customFormat="1"/>
    <row r="507" s="281" customFormat="1"/>
    <row r="508" s="281" customFormat="1"/>
    <row r="509" s="281" customFormat="1"/>
    <row r="510" s="281" customFormat="1"/>
    <row r="511" s="281" customFormat="1"/>
    <row r="512" s="281" customFormat="1"/>
    <row r="513" s="281" customFormat="1"/>
    <row r="514" s="281" customFormat="1"/>
    <row r="515" s="281" customFormat="1"/>
    <row r="516" s="281" customFormat="1"/>
    <row r="517" s="281" customFormat="1"/>
    <row r="518" s="281" customFormat="1"/>
    <row r="519" s="281" customFormat="1"/>
    <row r="520" s="281" customFormat="1"/>
    <row r="521" s="281" customFormat="1"/>
    <row r="522" s="281" customFormat="1"/>
    <row r="523" s="281" customFormat="1"/>
    <row r="524" s="281" customFormat="1"/>
    <row r="525" s="281" customFormat="1"/>
    <row r="526" s="281" customFormat="1"/>
    <row r="527" s="281" customFormat="1"/>
    <row r="528" s="281" customFormat="1"/>
    <row r="529" s="281" customFormat="1"/>
    <row r="530" s="281" customFormat="1"/>
    <row r="531" s="281" customFormat="1"/>
    <row r="532" s="281" customFormat="1"/>
    <row r="533" s="281" customFormat="1"/>
    <row r="534" s="281" customFormat="1"/>
    <row r="535" s="281" customFormat="1"/>
    <row r="536" s="281" customFormat="1"/>
    <row r="537" s="281" customFormat="1"/>
    <row r="538" s="281" customFormat="1"/>
    <row r="539" s="281" customFormat="1"/>
    <row r="540" s="281" customFormat="1"/>
    <row r="541" s="281" customFormat="1"/>
    <row r="542" s="281" customFormat="1"/>
    <row r="543" s="281" customFormat="1"/>
    <row r="544" s="281" customFormat="1"/>
    <row r="545" s="281" customFormat="1"/>
    <row r="546" s="281" customFormat="1"/>
    <row r="547" s="281" customFormat="1"/>
    <row r="548" s="281" customFormat="1"/>
    <row r="549" s="281" customFormat="1"/>
    <row r="550" s="281" customFormat="1"/>
    <row r="551" s="281" customFormat="1"/>
    <row r="552" s="281" customFormat="1"/>
    <row r="553" s="281" customFormat="1"/>
    <row r="554" s="281" customFormat="1"/>
    <row r="555" s="281" customFormat="1"/>
    <row r="556" s="281" customFormat="1"/>
    <row r="557" s="281" customFormat="1"/>
    <row r="558" s="281" customFormat="1"/>
    <row r="559" s="281" customFormat="1"/>
    <row r="560" s="281" customFormat="1"/>
    <row r="561" s="281" customFormat="1"/>
    <row r="562" s="281" customFormat="1"/>
    <row r="563" s="281" customFormat="1"/>
    <row r="564" s="281" customFormat="1"/>
    <row r="565" s="281" customFormat="1"/>
    <row r="566" s="281" customFormat="1"/>
    <row r="567" s="281" customFormat="1"/>
    <row r="568" s="281" customFormat="1"/>
    <row r="569" s="281" customFormat="1"/>
    <row r="570" s="281" customFormat="1"/>
    <row r="571" s="281" customFormat="1"/>
    <row r="572" s="281" customFormat="1"/>
    <row r="573" s="281" customFormat="1"/>
    <row r="574" s="281" customFormat="1"/>
    <row r="575" s="281" customFormat="1"/>
    <row r="576" s="281" customFormat="1"/>
    <row r="577" s="281" customFormat="1"/>
    <row r="578" s="281" customFormat="1"/>
    <row r="579" s="281" customFormat="1"/>
    <row r="580" s="281" customFormat="1"/>
    <row r="581" s="281" customFormat="1"/>
    <row r="582" s="281" customFormat="1"/>
    <row r="583" s="281" customFormat="1"/>
    <row r="584" s="281" customFormat="1"/>
    <row r="585" s="281" customFormat="1"/>
    <row r="586" s="281" customFormat="1"/>
    <row r="587" s="281" customFormat="1"/>
    <row r="588" s="281" customFormat="1"/>
    <row r="589" s="281" customFormat="1"/>
    <row r="590" s="281" customFormat="1"/>
    <row r="591" s="281" customFormat="1"/>
    <row r="592" s="281" customFormat="1"/>
    <row r="593" s="281" customFormat="1"/>
    <row r="594" s="281" customFormat="1"/>
    <row r="595" s="281" customFormat="1"/>
    <row r="596" s="281" customFormat="1"/>
    <row r="597" s="281" customFormat="1"/>
    <row r="598" s="281" customFormat="1"/>
    <row r="599" s="281" customFormat="1"/>
    <row r="600" s="281" customFormat="1"/>
    <row r="601" s="281" customFormat="1"/>
    <row r="602" s="281" customFormat="1"/>
    <row r="603" s="281" customFormat="1"/>
    <row r="604" s="281" customFormat="1"/>
    <row r="605" s="281" customFormat="1"/>
    <row r="606" s="281" customFormat="1"/>
    <row r="607" s="281" customFormat="1"/>
    <row r="608" s="281" customFormat="1"/>
    <row r="609" s="281" customFormat="1"/>
    <row r="610" s="281" customFormat="1"/>
    <row r="611" s="281" customFormat="1"/>
    <row r="612" s="281" customFormat="1"/>
    <row r="613" s="281" customFormat="1"/>
    <row r="614" s="281" customFormat="1"/>
    <row r="615" s="281" customFormat="1"/>
    <row r="616" s="281" customFormat="1"/>
    <row r="617" s="281" customFormat="1"/>
    <row r="618" s="281" customFormat="1"/>
    <row r="619" s="281" customFormat="1"/>
    <row r="620" s="281" customFormat="1"/>
    <row r="621" s="281" customFormat="1"/>
    <row r="622" s="281" customFormat="1"/>
    <row r="623" s="281" customFormat="1"/>
    <row r="624" s="281" customFormat="1"/>
    <row r="625" s="281" customFormat="1"/>
    <row r="626" s="281" customFormat="1"/>
    <row r="627" s="281" customFormat="1"/>
    <row r="628" s="281" customFormat="1"/>
    <row r="629" s="281" customFormat="1"/>
    <row r="630" s="281" customFormat="1"/>
    <row r="631" s="281" customFormat="1"/>
    <row r="632" s="281" customFormat="1"/>
    <row r="633" s="281" customFormat="1"/>
    <row r="634" s="281" customFormat="1"/>
    <row r="635" s="281" customFormat="1"/>
    <row r="636" s="281" customFormat="1"/>
    <row r="637" s="281" customFormat="1"/>
    <row r="638" s="281" customFormat="1"/>
    <row r="639" s="281" customFormat="1"/>
    <row r="640" s="281" customFormat="1"/>
    <row r="641" s="281" customFormat="1"/>
    <row r="642" s="281" customFormat="1"/>
    <row r="643" s="281" customFormat="1"/>
    <row r="644" s="281" customFormat="1"/>
    <row r="645" s="281" customFormat="1"/>
    <row r="646" s="281" customFormat="1"/>
    <row r="647" s="281" customFormat="1"/>
    <row r="648" s="281" customFormat="1"/>
    <row r="649" s="281" customFormat="1"/>
    <row r="650" s="281" customFormat="1"/>
    <row r="651" s="281" customFormat="1"/>
    <row r="652" s="281" customFormat="1"/>
    <row r="653" s="281" customFormat="1"/>
    <row r="654" s="281" customFormat="1"/>
    <row r="655" s="281" customFormat="1"/>
    <row r="656" s="281" customFormat="1"/>
    <row r="657" s="281" customFormat="1"/>
    <row r="658" s="281" customFormat="1"/>
    <row r="659" s="281" customFormat="1"/>
    <row r="660" s="281" customFormat="1"/>
    <row r="661" s="281" customFormat="1"/>
    <row r="662" s="281" customFormat="1"/>
    <row r="663" s="281" customFormat="1"/>
    <row r="664" s="281" customFormat="1"/>
    <row r="665" s="281" customFormat="1"/>
    <row r="666" s="281" customFormat="1"/>
    <row r="667" s="281" customFormat="1"/>
    <row r="668" s="281" customFormat="1"/>
    <row r="669" s="281" customFormat="1"/>
    <row r="670" s="281" customFormat="1"/>
    <row r="671" s="281" customFormat="1"/>
    <row r="672" s="281" customFormat="1"/>
    <row r="673" s="281" customFormat="1"/>
    <row r="674" s="281" customFormat="1"/>
    <row r="675" s="281" customFormat="1"/>
    <row r="676" s="281" customFormat="1"/>
    <row r="677" s="281" customFormat="1"/>
    <row r="678" s="281" customFormat="1"/>
    <row r="679" s="281" customFormat="1"/>
    <row r="680" s="281" customFormat="1"/>
    <row r="681" s="281" customFormat="1"/>
    <row r="682" s="281" customFormat="1"/>
    <row r="683" s="281" customFormat="1"/>
    <row r="684" s="281" customFormat="1"/>
    <row r="685" s="281" customFormat="1"/>
    <row r="686" s="281" customFormat="1"/>
    <row r="687" s="281" customFormat="1"/>
    <row r="688" s="281" customFormat="1"/>
    <row r="689" s="281" customFormat="1"/>
    <row r="690" s="281" customFormat="1"/>
    <row r="691" s="281" customFormat="1"/>
    <row r="692" s="281" customFormat="1"/>
    <row r="693" s="281" customFormat="1"/>
    <row r="694" s="281" customFormat="1"/>
    <row r="695" s="281" customFormat="1"/>
    <row r="696" s="281" customFormat="1"/>
    <row r="697" s="281" customFormat="1"/>
    <row r="698" s="281" customFormat="1"/>
    <row r="699" s="281" customFormat="1"/>
    <row r="700" s="281" customFormat="1"/>
    <row r="701" s="281" customFormat="1"/>
    <row r="702" s="281" customFormat="1"/>
    <row r="703" s="281" customFormat="1"/>
    <row r="704" s="281" customFormat="1"/>
    <row r="705" s="281" customFormat="1"/>
    <row r="706" s="281" customFormat="1"/>
    <row r="707" s="281" customFormat="1"/>
    <row r="708" s="281" customFormat="1"/>
    <row r="709" s="281" customFormat="1"/>
    <row r="710" s="281" customFormat="1"/>
    <row r="711" s="281" customFormat="1"/>
    <row r="712" s="281" customFormat="1"/>
    <row r="713" s="281" customFormat="1"/>
    <row r="714" s="281" customFormat="1"/>
    <row r="715" s="281" customFormat="1"/>
    <row r="716" s="281" customFormat="1"/>
    <row r="717" s="281" customFormat="1"/>
    <row r="718" s="281" customFormat="1"/>
    <row r="719" s="281" customFormat="1"/>
    <row r="720" s="281" customFormat="1"/>
    <row r="721" s="281" customFormat="1"/>
    <row r="722" s="281" customFormat="1"/>
    <row r="723" s="281" customFormat="1"/>
    <row r="724" s="281" customFormat="1"/>
    <row r="725" s="281" customFormat="1"/>
    <row r="726" s="281" customFormat="1"/>
    <row r="727" s="281" customFormat="1"/>
    <row r="728" s="281" customFormat="1"/>
    <row r="729" s="281" customFormat="1"/>
    <row r="730" s="281" customFormat="1"/>
    <row r="731" s="281" customFormat="1"/>
    <row r="732" s="281" customFormat="1"/>
    <row r="733" s="281" customFormat="1"/>
    <row r="734" s="281" customFormat="1"/>
    <row r="735" s="281" customFormat="1"/>
    <row r="736" s="281" customFormat="1"/>
    <row r="737" s="281" customFormat="1"/>
    <row r="738" s="281" customFormat="1"/>
    <row r="739" s="281" customFormat="1"/>
    <row r="740" s="281" customFormat="1"/>
    <row r="741" s="281" customFormat="1"/>
    <row r="742" s="281" customFormat="1"/>
    <row r="743" s="281" customFormat="1"/>
    <row r="744" s="281" customFormat="1"/>
    <row r="745" s="281" customFormat="1"/>
    <row r="746" s="281" customFormat="1"/>
    <row r="747" s="281" customFormat="1"/>
    <row r="748" s="281" customFormat="1"/>
    <row r="749" s="281" customFormat="1"/>
    <row r="750" s="281" customFormat="1"/>
    <row r="751" s="281" customFormat="1"/>
    <row r="752" s="281" customFormat="1"/>
    <row r="753" spans="4:31">
      <c r="D753" s="281"/>
      <c r="E753" s="281"/>
      <c r="F753" s="281"/>
      <c r="G753" s="281"/>
      <c r="H753" s="281"/>
      <c r="I753" s="281"/>
      <c r="J753" s="281"/>
      <c r="K753" s="281"/>
      <c r="L753" s="281"/>
      <c r="M753" s="281"/>
      <c r="N753" s="281"/>
      <c r="O753" s="281"/>
      <c r="P753" s="281"/>
      <c r="Q753" s="281"/>
      <c r="R753" s="281"/>
      <c r="S753" s="281"/>
      <c r="T753" s="281"/>
      <c r="U753" s="281"/>
      <c r="V753" s="281"/>
      <c r="W753" s="281"/>
      <c r="X753" s="281"/>
      <c r="Y753" s="281"/>
      <c r="Z753" s="281"/>
      <c r="AA753" s="281"/>
      <c r="AB753" s="281"/>
      <c r="AC753" s="281"/>
      <c r="AD753" s="281"/>
      <c r="AE753" s="281"/>
    </row>
    <row r="754" spans="4:31">
      <c r="D754" s="281"/>
      <c r="E754" s="281"/>
      <c r="F754" s="281"/>
      <c r="G754" s="281"/>
      <c r="H754" s="281"/>
      <c r="I754" s="281"/>
      <c r="J754" s="281"/>
      <c r="K754" s="281"/>
      <c r="L754" s="281"/>
      <c r="M754" s="281"/>
      <c r="N754" s="281"/>
      <c r="O754" s="281"/>
      <c r="P754" s="281"/>
      <c r="Q754" s="281"/>
      <c r="R754" s="281"/>
      <c r="S754" s="281"/>
      <c r="T754" s="281"/>
      <c r="U754" s="281"/>
      <c r="V754" s="281"/>
      <c r="W754" s="281"/>
      <c r="X754" s="281"/>
      <c r="Y754" s="281"/>
      <c r="Z754" s="281"/>
      <c r="AA754" s="281"/>
      <c r="AB754" s="281"/>
      <c r="AC754" s="281"/>
      <c r="AD754" s="281"/>
      <c r="AE754" s="281"/>
    </row>
    <row r="755" spans="4:31">
      <c r="D755" s="281"/>
      <c r="E755" s="281"/>
      <c r="F755" s="281"/>
      <c r="G755" s="281"/>
      <c r="H755" s="281"/>
      <c r="I755" s="281"/>
      <c r="J755" s="281"/>
      <c r="K755" s="281"/>
      <c r="L755" s="281"/>
      <c r="M755" s="281"/>
      <c r="N755" s="281"/>
      <c r="O755" s="281"/>
      <c r="P755" s="281"/>
      <c r="Q755" s="281"/>
      <c r="R755" s="281"/>
      <c r="S755" s="281"/>
      <c r="T755" s="281"/>
      <c r="U755" s="281"/>
      <c r="V755" s="281"/>
      <c r="W755" s="281"/>
      <c r="X755" s="281"/>
      <c r="Y755" s="281"/>
      <c r="Z755" s="281"/>
      <c r="AA755" s="281"/>
      <c r="AB755" s="281"/>
      <c r="AC755" s="281"/>
      <c r="AD755" s="281"/>
      <c r="AE755" s="281"/>
    </row>
    <row r="756" spans="4:31">
      <c r="D756" s="281"/>
      <c r="E756" s="281"/>
      <c r="F756" s="281"/>
      <c r="G756" s="281"/>
      <c r="H756" s="281"/>
      <c r="I756" s="281"/>
      <c r="J756" s="281"/>
      <c r="K756" s="281"/>
      <c r="L756" s="281"/>
      <c r="M756" s="281"/>
      <c r="N756" s="281"/>
      <c r="O756" s="281"/>
      <c r="P756" s="281"/>
      <c r="Q756" s="281"/>
      <c r="R756" s="281"/>
      <c r="S756" s="281"/>
      <c r="T756" s="281"/>
      <c r="U756" s="281"/>
      <c r="V756" s="281"/>
      <c r="W756" s="281"/>
      <c r="X756" s="281"/>
      <c r="Y756" s="281"/>
      <c r="Z756" s="281"/>
      <c r="AA756" s="281"/>
      <c r="AB756" s="281"/>
      <c r="AC756" s="281"/>
      <c r="AD756" s="281"/>
      <c r="AE756" s="281"/>
    </row>
    <row r="757" spans="4:31">
      <c r="D757" s="281"/>
      <c r="E757" s="281"/>
      <c r="F757" s="281"/>
      <c r="G757" s="281"/>
      <c r="H757" s="281"/>
      <c r="I757" s="281"/>
      <c r="J757" s="281"/>
      <c r="K757" s="281"/>
      <c r="L757" s="281"/>
      <c r="M757" s="281"/>
      <c r="N757" s="281"/>
      <c r="O757" s="281"/>
      <c r="P757" s="281"/>
      <c r="Q757" s="281"/>
      <c r="R757" s="281"/>
      <c r="S757" s="281"/>
      <c r="T757" s="281"/>
      <c r="U757" s="281"/>
      <c r="V757" s="281"/>
      <c r="W757" s="281"/>
      <c r="X757" s="281"/>
      <c r="Y757" s="281"/>
      <c r="Z757" s="281"/>
      <c r="AA757" s="281"/>
      <c r="AB757" s="281"/>
      <c r="AC757" s="281"/>
      <c r="AD757" s="281"/>
      <c r="AE757" s="281"/>
    </row>
    <row r="758" spans="4:31">
      <c r="O758" s="281"/>
      <c r="P758" s="281"/>
      <c r="Q758" s="281"/>
      <c r="R758" s="281"/>
      <c r="S758" s="281"/>
      <c r="T758" s="281"/>
      <c r="U758" s="281"/>
      <c r="V758" s="281"/>
      <c r="W758" s="281"/>
      <c r="X758" s="281"/>
      <c r="Y758" s="281"/>
      <c r="Z758" s="281"/>
      <c r="AA758" s="281"/>
      <c r="AB758" s="281"/>
      <c r="AC758" s="281"/>
      <c r="AD758" s="281"/>
      <c r="AE758" s="281"/>
    </row>
    <row r="759" spans="4:31">
      <c r="O759" s="281"/>
      <c r="P759" s="281"/>
      <c r="Q759" s="281"/>
      <c r="R759" s="281"/>
      <c r="S759" s="281"/>
      <c r="T759" s="281"/>
      <c r="U759" s="281"/>
      <c r="V759" s="281"/>
      <c r="W759" s="281"/>
      <c r="X759" s="281"/>
      <c r="Y759" s="281"/>
      <c r="Z759" s="281"/>
      <c r="AA759" s="281"/>
      <c r="AB759" s="281"/>
      <c r="AC759" s="281"/>
      <c r="AD759" s="281"/>
      <c r="AE759" s="281"/>
    </row>
    <row r="760" spans="4:31">
      <c r="O760" s="281"/>
      <c r="P760" s="281"/>
      <c r="Q760" s="281"/>
      <c r="R760" s="281"/>
      <c r="S760" s="281"/>
      <c r="T760" s="281"/>
      <c r="U760" s="281"/>
      <c r="V760" s="281"/>
      <c r="W760" s="281"/>
      <c r="X760" s="281"/>
      <c r="Y760" s="281"/>
      <c r="Z760" s="281"/>
      <c r="AA760" s="281"/>
      <c r="AB760" s="281"/>
      <c r="AC760" s="281"/>
      <c r="AD760" s="281"/>
      <c r="AE760" s="281"/>
    </row>
    <row r="761" spans="4:31">
      <c r="O761" s="281"/>
      <c r="P761" s="281"/>
      <c r="Q761" s="281"/>
      <c r="R761" s="281"/>
      <c r="S761" s="281"/>
      <c r="T761" s="281"/>
      <c r="U761" s="281"/>
      <c r="V761" s="281"/>
      <c r="W761" s="281"/>
      <c r="X761" s="281"/>
      <c r="Y761" s="281"/>
      <c r="Z761" s="281"/>
      <c r="AA761" s="281"/>
      <c r="AB761" s="281"/>
      <c r="AC761" s="281"/>
      <c r="AD761" s="281"/>
      <c r="AE761" s="281"/>
    </row>
    <row r="762" spans="4:31">
      <c r="O762" s="281"/>
      <c r="P762" s="281"/>
      <c r="Q762" s="281"/>
      <c r="R762" s="281"/>
      <c r="S762" s="281"/>
      <c r="T762" s="281"/>
      <c r="U762" s="281"/>
      <c r="V762" s="281"/>
      <c r="W762" s="281"/>
      <c r="X762" s="281"/>
      <c r="Y762" s="281"/>
      <c r="Z762" s="281"/>
      <c r="AA762" s="281"/>
      <c r="AB762" s="281"/>
      <c r="AC762" s="281"/>
      <c r="AD762" s="281"/>
      <c r="AE762" s="281"/>
    </row>
    <row r="763" spans="4:31">
      <c r="O763" s="281"/>
      <c r="P763" s="281"/>
      <c r="Q763" s="281"/>
      <c r="R763" s="281"/>
      <c r="S763" s="281"/>
      <c r="T763" s="281"/>
      <c r="U763" s="281"/>
      <c r="V763" s="281"/>
      <c r="W763" s="281"/>
      <c r="X763" s="281"/>
      <c r="Y763" s="281"/>
      <c r="Z763" s="281"/>
      <c r="AA763" s="281"/>
      <c r="AB763" s="281"/>
      <c r="AC763" s="281"/>
      <c r="AD763" s="281"/>
      <c r="AE763" s="281"/>
    </row>
    <row r="764" spans="4:31">
      <c r="O764" s="281"/>
      <c r="P764" s="281"/>
      <c r="Q764" s="281"/>
      <c r="R764" s="281"/>
      <c r="S764" s="281"/>
      <c r="T764" s="281"/>
      <c r="U764" s="281"/>
      <c r="V764" s="281"/>
      <c r="W764" s="281"/>
      <c r="X764" s="281"/>
      <c r="Y764" s="281"/>
      <c r="Z764" s="281"/>
      <c r="AA764" s="281"/>
      <c r="AB764" s="281"/>
      <c r="AC764" s="281"/>
      <c r="AD764" s="281"/>
      <c r="AE764" s="281"/>
    </row>
    <row r="765" spans="4:31">
      <c r="O765" s="281"/>
      <c r="P765" s="281"/>
      <c r="Q765" s="281"/>
      <c r="R765" s="281"/>
      <c r="S765" s="281"/>
      <c r="T765" s="281"/>
      <c r="U765" s="281"/>
      <c r="V765" s="281"/>
      <c r="W765" s="281"/>
      <c r="X765" s="281"/>
      <c r="Y765" s="281"/>
      <c r="Z765" s="281"/>
      <c r="AA765" s="281"/>
      <c r="AB765" s="281"/>
      <c r="AC765" s="281"/>
      <c r="AD765" s="281"/>
      <c r="AE765" s="281"/>
    </row>
    <row r="766" spans="4:31">
      <c r="O766" s="281"/>
      <c r="P766" s="281"/>
      <c r="Q766" s="281"/>
      <c r="R766" s="281"/>
      <c r="S766" s="281"/>
      <c r="T766" s="281"/>
      <c r="U766" s="281"/>
      <c r="V766" s="281"/>
      <c r="W766" s="281"/>
      <c r="X766" s="281"/>
      <c r="Y766" s="281"/>
      <c r="Z766" s="281"/>
      <c r="AA766" s="281"/>
      <c r="AB766" s="281"/>
      <c r="AC766" s="281"/>
      <c r="AD766" s="281"/>
      <c r="AE766" s="281"/>
    </row>
    <row r="767" spans="4:31">
      <c r="O767" s="281"/>
      <c r="P767" s="281"/>
      <c r="Q767" s="281"/>
      <c r="R767" s="281"/>
      <c r="S767" s="281"/>
      <c r="T767" s="281"/>
      <c r="U767" s="281"/>
      <c r="V767" s="281"/>
      <c r="W767" s="281"/>
      <c r="X767" s="281"/>
      <c r="Y767" s="281"/>
      <c r="Z767" s="281"/>
      <c r="AA767" s="281"/>
      <c r="AB767" s="281"/>
      <c r="AC767" s="281"/>
      <c r="AD767" s="281"/>
      <c r="AE767" s="281"/>
    </row>
    <row r="768" spans="4:31">
      <c r="O768" s="281"/>
      <c r="P768" s="281"/>
      <c r="Q768" s="281"/>
      <c r="R768" s="281"/>
      <c r="S768" s="281"/>
      <c r="T768" s="281"/>
      <c r="U768" s="281"/>
      <c r="V768" s="281"/>
      <c r="W768" s="281"/>
      <c r="X768" s="281"/>
      <c r="Y768" s="281"/>
      <c r="Z768" s="281"/>
      <c r="AA768" s="281"/>
      <c r="AB768" s="281"/>
      <c r="AC768" s="281"/>
      <c r="AD768" s="281"/>
      <c r="AE768" s="281"/>
    </row>
    <row r="769" spans="15:31">
      <c r="O769" s="281"/>
      <c r="P769" s="281"/>
      <c r="Q769" s="281"/>
      <c r="R769" s="281"/>
      <c r="S769" s="281"/>
      <c r="T769" s="281"/>
      <c r="U769" s="281"/>
      <c r="V769" s="281"/>
      <c r="W769" s="281"/>
      <c r="X769" s="281"/>
      <c r="Y769" s="281"/>
      <c r="Z769" s="281"/>
      <c r="AA769" s="281"/>
      <c r="AB769" s="281"/>
      <c r="AC769" s="281"/>
      <c r="AD769" s="281"/>
      <c r="AE769" s="281"/>
    </row>
    <row r="770" spans="15:31">
      <c r="O770" s="281"/>
      <c r="P770" s="281"/>
      <c r="Q770" s="281"/>
      <c r="R770" s="281"/>
      <c r="S770" s="281"/>
      <c r="T770" s="281"/>
      <c r="U770" s="281"/>
      <c r="V770" s="281"/>
      <c r="W770" s="281"/>
      <c r="X770" s="281"/>
      <c r="Y770" s="281"/>
      <c r="Z770" s="281"/>
      <c r="AA770" s="281"/>
      <c r="AB770" s="281"/>
      <c r="AC770" s="281"/>
      <c r="AD770" s="281"/>
      <c r="AE770" s="281"/>
    </row>
    <row r="771" spans="15:31">
      <c r="O771" s="281"/>
      <c r="P771" s="281"/>
      <c r="Q771" s="281"/>
      <c r="R771" s="281"/>
      <c r="S771" s="281"/>
      <c r="T771" s="281"/>
      <c r="U771" s="281"/>
      <c r="V771" s="281"/>
      <c r="W771" s="281"/>
      <c r="X771" s="281"/>
      <c r="Y771" s="281"/>
      <c r="Z771" s="281"/>
      <c r="AA771" s="281"/>
      <c r="AB771" s="281"/>
      <c r="AC771" s="281"/>
      <c r="AD771" s="281"/>
      <c r="AE771" s="281"/>
    </row>
    <row r="772" spans="15:31">
      <c r="O772" s="281"/>
      <c r="P772" s="281"/>
      <c r="Q772" s="281"/>
      <c r="R772" s="281"/>
      <c r="S772" s="281"/>
      <c r="T772" s="281"/>
      <c r="U772" s="281"/>
      <c r="V772" s="281"/>
      <c r="W772" s="281"/>
      <c r="X772" s="281"/>
      <c r="Y772" s="281"/>
      <c r="Z772" s="281"/>
      <c r="AA772" s="281"/>
      <c r="AB772" s="281"/>
      <c r="AC772" s="281"/>
      <c r="AD772" s="281"/>
      <c r="AE772" s="281"/>
    </row>
    <row r="773" spans="15:31">
      <c r="O773" s="281"/>
      <c r="P773" s="281"/>
      <c r="Q773" s="281"/>
      <c r="R773" s="281"/>
      <c r="S773" s="281"/>
      <c r="T773" s="281"/>
      <c r="U773" s="281"/>
      <c r="V773" s="281"/>
      <c r="W773" s="281"/>
      <c r="X773" s="281"/>
      <c r="Y773" s="281"/>
      <c r="Z773" s="281"/>
      <c r="AA773" s="281"/>
      <c r="AB773" s="281"/>
      <c r="AC773" s="281"/>
      <c r="AD773" s="281"/>
      <c r="AE773" s="281"/>
    </row>
    <row r="774" spans="15:31">
      <c r="O774" s="281"/>
      <c r="P774" s="281"/>
      <c r="Q774" s="281"/>
      <c r="R774" s="281"/>
      <c r="S774" s="281"/>
      <c r="T774" s="281"/>
      <c r="U774" s="281"/>
      <c r="V774" s="281"/>
      <c r="W774" s="281"/>
      <c r="X774" s="281"/>
      <c r="Y774" s="281"/>
      <c r="Z774" s="281"/>
      <c r="AA774" s="281"/>
      <c r="AB774" s="281"/>
      <c r="AC774" s="281"/>
      <c r="AD774" s="281"/>
      <c r="AE774" s="281"/>
    </row>
    <row r="775" spans="15:31">
      <c r="O775" s="281"/>
      <c r="P775" s="281"/>
      <c r="Q775" s="281"/>
      <c r="R775" s="281"/>
      <c r="S775" s="281"/>
      <c r="T775" s="281"/>
      <c r="U775" s="281"/>
      <c r="V775" s="281"/>
      <c r="W775" s="281"/>
      <c r="X775" s="281"/>
      <c r="Y775" s="281"/>
      <c r="Z775" s="281"/>
      <c r="AA775" s="281"/>
      <c r="AB775" s="281"/>
      <c r="AC775" s="281"/>
      <c r="AD775" s="281"/>
      <c r="AE775" s="281"/>
    </row>
    <row r="776" spans="15:31">
      <c r="O776" s="281"/>
      <c r="P776" s="281"/>
      <c r="Q776" s="281"/>
      <c r="R776" s="281"/>
      <c r="S776" s="281"/>
      <c r="T776" s="281"/>
      <c r="U776" s="281"/>
      <c r="V776" s="281"/>
      <c r="W776" s="281"/>
      <c r="X776" s="281"/>
      <c r="Y776" s="281"/>
      <c r="Z776" s="281"/>
      <c r="AA776" s="281"/>
      <c r="AB776" s="281"/>
      <c r="AC776" s="281"/>
      <c r="AD776" s="281"/>
      <c r="AE776" s="281"/>
    </row>
    <row r="777" spans="15:31">
      <c r="O777" s="281"/>
      <c r="P777" s="281"/>
      <c r="Q777" s="281"/>
      <c r="R777" s="281"/>
      <c r="S777" s="281"/>
      <c r="T777" s="281"/>
      <c r="U777" s="281"/>
      <c r="V777" s="281"/>
      <c r="W777" s="281"/>
      <c r="X777" s="281"/>
      <c r="Y777" s="281"/>
      <c r="Z777" s="281"/>
      <c r="AA777" s="281"/>
      <c r="AB777" s="281"/>
      <c r="AC777" s="281"/>
      <c r="AD777" s="281"/>
      <c r="AE777" s="281"/>
    </row>
    <row r="778" spans="15:31">
      <c r="O778" s="281"/>
      <c r="P778" s="281"/>
      <c r="Q778" s="281"/>
      <c r="R778" s="281"/>
      <c r="S778" s="281"/>
      <c r="T778" s="281"/>
      <c r="U778" s="281"/>
      <c r="V778" s="281"/>
      <c r="W778" s="281"/>
      <c r="X778" s="281"/>
      <c r="Y778" s="281"/>
      <c r="Z778" s="281"/>
      <c r="AA778" s="281"/>
      <c r="AB778" s="281"/>
      <c r="AC778" s="281"/>
      <c r="AD778" s="281"/>
      <c r="AE778" s="281"/>
    </row>
    <row r="779" spans="15:31">
      <c r="O779" s="281"/>
      <c r="P779" s="281"/>
      <c r="Q779" s="281"/>
      <c r="R779" s="281"/>
      <c r="S779" s="281"/>
      <c r="T779" s="281"/>
      <c r="U779" s="281"/>
      <c r="V779" s="281"/>
      <c r="W779" s="281"/>
      <c r="X779" s="281"/>
      <c r="Y779" s="281"/>
      <c r="Z779" s="281"/>
      <c r="AA779" s="281"/>
      <c r="AB779" s="281"/>
      <c r="AC779" s="281"/>
      <c r="AD779" s="281"/>
      <c r="AE779" s="281"/>
    </row>
    <row r="780" spans="15:31">
      <c r="O780" s="281"/>
      <c r="P780" s="281"/>
      <c r="Q780" s="281"/>
      <c r="R780" s="281"/>
      <c r="S780" s="281"/>
      <c r="T780" s="281"/>
      <c r="U780" s="281"/>
      <c r="V780" s="281"/>
      <c r="W780" s="281"/>
      <c r="X780" s="281"/>
      <c r="Y780" s="281"/>
      <c r="Z780" s="281"/>
      <c r="AA780" s="281"/>
      <c r="AB780" s="281"/>
      <c r="AC780" s="281"/>
      <c r="AD780" s="281"/>
      <c r="AE780" s="281"/>
    </row>
    <row r="781" spans="15:31">
      <c r="O781" s="281"/>
      <c r="P781" s="281"/>
      <c r="Q781" s="281"/>
      <c r="R781" s="281"/>
      <c r="S781" s="281"/>
      <c r="T781" s="281"/>
      <c r="U781" s="281"/>
      <c r="V781" s="281"/>
      <c r="W781" s="281"/>
      <c r="X781" s="281"/>
      <c r="Y781" s="281"/>
      <c r="Z781" s="281"/>
      <c r="AA781" s="281"/>
      <c r="AB781" s="281"/>
      <c r="AC781" s="281"/>
      <c r="AD781" s="281"/>
      <c r="AE781" s="281"/>
    </row>
    <row r="782" spans="15:31">
      <c r="O782" s="281"/>
      <c r="P782" s="281"/>
      <c r="Q782" s="281"/>
      <c r="R782" s="281"/>
      <c r="S782" s="281"/>
      <c r="T782" s="281"/>
      <c r="U782" s="281"/>
      <c r="V782" s="281"/>
      <c r="W782" s="281"/>
      <c r="X782" s="281"/>
      <c r="Y782" s="281"/>
      <c r="Z782" s="281"/>
      <c r="AA782" s="281"/>
      <c r="AB782" s="281"/>
      <c r="AC782" s="281"/>
      <c r="AD782" s="281"/>
      <c r="AE782" s="281"/>
    </row>
    <row r="783" spans="15:31">
      <c r="O783" s="281"/>
      <c r="P783" s="281"/>
      <c r="Q783" s="281"/>
      <c r="R783" s="281"/>
      <c r="S783" s="281"/>
      <c r="T783" s="281"/>
      <c r="U783" s="281"/>
      <c r="V783" s="281"/>
      <c r="W783" s="281"/>
      <c r="X783" s="281"/>
      <c r="Y783" s="281"/>
      <c r="Z783" s="281"/>
      <c r="AA783" s="281"/>
      <c r="AB783" s="281"/>
      <c r="AC783" s="281"/>
      <c r="AD783" s="281"/>
      <c r="AE783" s="281"/>
    </row>
    <row r="784" spans="15:31">
      <c r="O784" s="281"/>
      <c r="P784" s="281"/>
      <c r="Q784" s="281"/>
      <c r="R784" s="281"/>
      <c r="S784" s="281"/>
      <c r="T784" s="281"/>
      <c r="U784" s="281"/>
      <c r="V784" s="281"/>
      <c r="W784" s="281"/>
      <c r="X784" s="281"/>
      <c r="Y784" s="281"/>
      <c r="Z784" s="281"/>
      <c r="AA784" s="281"/>
      <c r="AB784" s="281"/>
      <c r="AC784" s="281"/>
      <c r="AD784" s="281"/>
      <c r="AE784" s="281"/>
    </row>
    <row r="785" spans="15:31">
      <c r="O785" s="281"/>
      <c r="P785" s="281"/>
      <c r="Q785" s="281"/>
      <c r="R785" s="281"/>
      <c r="S785" s="281"/>
      <c r="T785" s="281"/>
      <c r="U785" s="281"/>
      <c r="V785" s="281"/>
      <c r="W785" s="281"/>
      <c r="X785" s="281"/>
      <c r="Y785" s="281"/>
      <c r="Z785" s="281"/>
      <c r="AA785" s="281"/>
      <c r="AB785" s="281"/>
      <c r="AC785" s="281"/>
      <c r="AD785" s="281"/>
      <c r="AE785" s="281"/>
    </row>
    <row r="786" spans="15:31">
      <c r="O786" s="281"/>
      <c r="P786" s="281"/>
      <c r="Q786" s="281"/>
      <c r="R786" s="281"/>
      <c r="S786" s="281"/>
      <c r="T786" s="281"/>
      <c r="U786" s="281"/>
      <c r="V786" s="281"/>
      <c r="W786" s="281"/>
      <c r="X786" s="281"/>
      <c r="Y786" s="281"/>
      <c r="Z786" s="281"/>
      <c r="AA786" s="281"/>
      <c r="AB786" s="281"/>
      <c r="AC786" s="281"/>
      <c r="AD786" s="281"/>
      <c r="AE786" s="281"/>
    </row>
    <row r="787" spans="15:31">
      <c r="O787" s="281"/>
      <c r="P787" s="281"/>
      <c r="Q787" s="281"/>
      <c r="R787" s="281"/>
      <c r="S787" s="281"/>
      <c r="T787" s="281"/>
      <c r="U787" s="281"/>
      <c r="V787" s="281"/>
      <c r="W787" s="281"/>
      <c r="X787" s="281"/>
      <c r="Y787" s="281"/>
      <c r="Z787" s="281"/>
      <c r="AA787" s="281"/>
      <c r="AB787" s="281"/>
      <c r="AC787" s="281"/>
      <c r="AD787" s="281"/>
      <c r="AE787" s="281"/>
    </row>
    <row r="788" spans="15:31">
      <c r="O788" s="281"/>
      <c r="P788" s="281"/>
      <c r="Q788" s="281"/>
      <c r="R788" s="281"/>
      <c r="S788" s="281"/>
      <c r="T788" s="281"/>
      <c r="U788" s="281"/>
      <c r="V788" s="281"/>
      <c r="W788" s="281"/>
      <c r="X788" s="281"/>
      <c r="Y788" s="281"/>
      <c r="Z788" s="281"/>
      <c r="AA788" s="281"/>
      <c r="AB788" s="281"/>
      <c r="AC788" s="281"/>
      <c r="AD788" s="281"/>
      <c r="AE788" s="281"/>
    </row>
    <row r="789" spans="15:31">
      <c r="O789" s="281"/>
      <c r="P789" s="281"/>
      <c r="Q789" s="281"/>
      <c r="R789" s="281"/>
      <c r="S789" s="281"/>
      <c r="T789" s="281"/>
      <c r="U789" s="281"/>
      <c r="V789" s="281"/>
      <c r="W789" s="281"/>
      <c r="X789" s="281"/>
      <c r="Y789" s="281"/>
      <c r="Z789" s="281"/>
      <c r="AA789" s="281"/>
      <c r="AB789" s="281"/>
      <c r="AC789" s="281"/>
      <c r="AD789" s="281"/>
      <c r="AE789" s="281"/>
    </row>
    <row r="790" spans="15:31">
      <c r="O790" s="281"/>
      <c r="P790" s="281"/>
      <c r="Q790" s="281"/>
      <c r="R790" s="281"/>
      <c r="S790" s="281"/>
      <c r="T790" s="281"/>
      <c r="U790" s="281"/>
      <c r="V790" s="281"/>
      <c r="W790" s="281"/>
      <c r="X790" s="281"/>
      <c r="Y790" s="281"/>
      <c r="Z790" s="281"/>
      <c r="AA790" s="281"/>
      <c r="AB790" s="281"/>
      <c r="AC790" s="281"/>
      <c r="AD790" s="281"/>
      <c r="AE790" s="281"/>
    </row>
    <row r="791" spans="15:31">
      <c r="O791" s="281"/>
      <c r="P791" s="281"/>
      <c r="Q791" s="281"/>
      <c r="R791" s="281"/>
      <c r="S791" s="281"/>
      <c r="T791" s="281"/>
      <c r="U791" s="281"/>
      <c r="V791" s="281"/>
      <c r="W791" s="281"/>
      <c r="X791" s="281"/>
      <c r="Y791" s="281"/>
      <c r="Z791" s="281"/>
      <c r="AA791" s="281"/>
      <c r="AB791" s="281"/>
      <c r="AC791" s="281"/>
      <c r="AD791" s="281"/>
      <c r="AE791" s="281"/>
    </row>
    <row r="792" spans="15:31">
      <c r="O792" s="281"/>
      <c r="P792" s="281"/>
      <c r="Q792" s="281"/>
      <c r="R792" s="281"/>
      <c r="S792" s="281"/>
      <c r="T792" s="281"/>
      <c r="U792" s="281"/>
      <c r="V792" s="281"/>
      <c r="W792" s="281"/>
      <c r="X792" s="281"/>
      <c r="Y792" s="281"/>
      <c r="Z792" s="281"/>
      <c r="AA792" s="281"/>
      <c r="AB792" s="281"/>
      <c r="AC792" s="281"/>
      <c r="AD792" s="281"/>
      <c r="AE792" s="281"/>
    </row>
    <row r="793" spans="15:31">
      <c r="O793" s="281"/>
      <c r="P793" s="281"/>
      <c r="Q793" s="281"/>
      <c r="R793" s="281"/>
      <c r="S793" s="281"/>
      <c r="T793" s="281"/>
      <c r="U793" s="281"/>
      <c r="V793" s="281"/>
      <c r="W793" s="281"/>
      <c r="X793" s="281"/>
      <c r="Y793" s="281"/>
      <c r="Z793" s="281"/>
      <c r="AA793" s="281"/>
      <c r="AB793" s="281"/>
      <c r="AC793" s="281"/>
      <c r="AD793" s="281"/>
      <c r="AE793" s="281"/>
    </row>
    <row r="794" spans="15:31">
      <c r="O794" s="281"/>
      <c r="P794" s="281"/>
      <c r="Q794" s="281"/>
      <c r="R794" s="281"/>
      <c r="S794" s="281"/>
      <c r="T794" s="281"/>
      <c r="U794" s="281"/>
      <c r="V794" s="281"/>
      <c r="W794" s="281"/>
      <c r="X794" s="281"/>
      <c r="Y794" s="281"/>
      <c r="Z794" s="281"/>
      <c r="AA794" s="281"/>
      <c r="AB794" s="281"/>
      <c r="AC794" s="281"/>
      <c r="AD794" s="281"/>
      <c r="AE794" s="281"/>
    </row>
    <row r="795" spans="15:31">
      <c r="O795" s="281"/>
      <c r="P795" s="281"/>
      <c r="Q795" s="281"/>
      <c r="R795" s="281"/>
      <c r="S795" s="281"/>
      <c r="T795" s="281"/>
      <c r="U795" s="281"/>
      <c r="V795" s="281"/>
      <c r="W795" s="281"/>
      <c r="X795" s="281"/>
      <c r="Y795" s="281"/>
      <c r="Z795" s="281"/>
      <c r="AA795" s="281"/>
      <c r="AB795" s="281"/>
      <c r="AC795" s="281"/>
      <c r="AD795" s="281"/>
      <c r="AE795" s="281"/>
    </row>
    <row r="796" spans="15:31">
      <c r="O796" s="281"/>
      <c r="P796" s="281"/>
      <c r="Q796" s="281"/>
      <c r="R796" s="281"/>
      <c r="S796" s="281"/>
      <c r="T796" s="281"/>
      <c r="U796" s="281"/>
      <c r="V796" s="281"/>
      <c r="W796" s="281"/>
      <c r="X796" s="281"/>
      <c r="Y796" s="281"/>
      <c r="Z796" s="281"/>
      <c r="AA796" s="281"/>
      <c r="AB796" s="281"/>
      <c r="AC796" s="281"/>
      <c r="AD796" s="281"/>
      <c r="AE796" s="281"/>
    </row>
    <row r="797" spans="15:31">
      <c r="O797" s="281"/>
      <c r="P797" s="281"/>
      <c r="Q797" s="281"/>
      <c r="R797" s="281"/>
      <c r="S797" s="281"/>
      <c r="T797" s="281"/>
      <c r="U797" s="281"/>
      <c r="V797" s="281"/>
      <c r="W797" s="281"/>
      <c r="X797" s="281"/>
      <c r="Y797" s="281"/>
      <c r="Z797" s="281"/>
      <c r="AA797" s="281"/>
      <c r="AB797" s="281"/>
      <c r="AC797" s="281"/>
      <c r="AD797" s="281"/>
      <c r="AE797" s="281"/>
    </row>
    <row r="798" spans="15:31">
      <c r="O798" s="281"/>
      <c r="P798" s="281"/>
      <c r="Q798" s="281"/>
      <c r="R798" s="281"/>
      <c r="S798" s="281"/>
      <c r="T798" s="281"/>
      <c r="U798" s="281"/>
      <c r="V798" s="281"/>
      <c r="W798" s="281"/>
      <c r="X798" s="281"/>
      <c r="Y798" s="281"/>
      <c r="Z798" s="281"/>
      <c r="AA798" s="281"/>
      <c r="AB798" s="281"/>
      <c r="AC798" s="281"/>
      <c r="AD798" s="281"/>
      <c r="AE798" s="281"/>
    </row>
    <row r="799" spans="15:31">
      <c r="O799" s="281"/>
      <c r="P799" s="281"/>
      <c r="Q799" s="281"/>
      <c r="R799" s="281"/>
      <c r="S799" s="281"/>
      <c r="T799" s="281"/>
      <c r="U799" s="281"/>
      <c r="V799" s="281"/>
      <c r="W799" s="281"/>
      <c r="X799" s="281"/>
      <c r="Y799" s="281"/>
      <c r="Z799" s="281"/>
      <c r="AA799" s="281"/>
      <c r="AB799" s="281"/>
      <c r="AC799" s="281"/>
      <c r="AD799" s="281"/>
      <c r="AE799" s="281"/>
    </row>
    <row r="800" spans="15:31">
      <c r="O800" s="281"/>
      <c r="P800" s="281"/>
      <c r="Q800" s="281"/>
      <c r="R800" s="281"/>
      <c r="S800" s="281"/>
      <c r="T800" s="281"/>
      <c r="U800" s="281"/>
      <c r="V800" s="281"/>
      <c r="W800" s="281"/>
      <c r="X800" s="281"/>
      <c r="Y800" s="281"/>
      <c r="Z800" s="281"/>
      <c r="AA800" s="281"/>
      <c r="AB800" s="281"/>
      <c r="AC800" s="281"/>
      <c r="AD800" s="281"/>
      <c r="AE800" s="281"/>
    </row>
    <row r="801" spans="15:31">
      <c r="O801" s="281"/>
      <c r="P801" s="281"/>
      <c r="Q801" s="281"/>
      <c r="R801" s="281"/>
      <c r="S801" s="281"/>
      <c r="T801" s="281"/>
      <c r="U801" s="281"/>
      <c r="V801" s="281"/>
      <c r="W801" s="281"/>
      <c r="X801" s="281"/>
      <c r="Y801" s="281"/>
      <c r="Z801" s="281"/>
      <c r="AA801" s="281"/>
      <c r="AB801" s="281"/>
      <c r="AC801" s="281"/>
      <c r="AD801" s="281"/>
      <c r="AE801" s="281"/>
    </row>
    <row r="802" spans="15:31">
      <c r="O802" s="281"/>
      <c r="P802" s="281"/>
      <c r="Q802" s="281"/>
      <c r="R802" s="281"/>
      <c r="S802" s="281"/>
      <c r="T802" s="281"/>
      <c r="U802" s="281"/>
      <c r="V802" s="281"/>
      <c r="W802" s="281"/>
      <c r="X802" s="281"/>
      <c r="Y802" s="281"/>
      <c r="Z802" s="281"/>
      <c r="AA802" s="281"/>
      <c r="AB802" s="281"/>
      <c r="AC802" s="281"/>
      <c r="AD802" s="281"/>
      <c r="AE802" s="281"/>
    </row>
    <row r="803" spans="15:31">
      <c r="O803" s="281"/>
      <c r="P803" s="281"/>
      <c r="Q803" s="281"/>
      <c r="R803" s="281"/>
      <c r="S803" s="281"/>
      <c r="T803" s="281"/>
      <c r="U803" s="281"/>
      <c r="V803" s="281"/>
      <c r="W803" s="281"/>
      <c r="X803" s="281"/>
      <c r="Y803" s="281"/>
      <c r="Z803" s="281"/>
      <c r="AA803" s="281"/>
      <c r="AB803" s="281"/>
      <c r="AC803" s="281"/>
      <c r="AD803" s="281"/>
      <c r="AE803" s="281"/>
    </row>
    <row r="804" spans="15:31">
      <c r="O804" s="281"/>
      <c r="P804" s="281"/>
      <c r="Q804" s="281"/>
      <c r="R804" s="281"/>
      <c r="S804" s="281"/>
      <c r="T804" s="281"/>
      <c r="U804" s="281"/>
      <c r="V804" s="281"/>
      <c r="W804" s="281"/>
      <c r="X804" s="281"/>
      <c r="Y804" s="281"/>
      <c r="Z804" s="281"/>
      <c r="AA804" s="281"/>
      <c r="AB804" s="281"/>
      <c r="AC804" s="281"/>
      <c r="AD804" s="281"/>
      <c r="AE804" s="281"/>
    </row>
    <row r="805" spans="15:31">
      <c r="O805" s="281"/>
      <c r="P805" s="281"/>
      <c r="Q805" s="281"/>
      <c r="R805" s="281"/>
      <c r="S805" s="281"/>
      <c r="T805" s="281"/>
      <c r="U805" s="281"/>
      <c r="V805" s="281"/>
      <c r="W805" s="281"/>
      <c r="X805" s="281"/>
      <c r="Y805" s="281"/>
      <c r="Z805" s="281"/>
      <c r="AA805" s="281"/>
      <c r="AB805" s="281"/>
      <c r="AC805" s="281"/>
      <c r="AD805" s="281"/>
      <c r="AE805" s="281"/>
    </row>
    <row r="806" spans="15:31">
      <c r="O806" s="281"/>
      <c r="P806" s="281"/>
      <c r="Q806" s="281"/>
      <c r="R806" s="281"/>
      <c r="S806" s="281"/>
      <c r="T806" s="281"/>
      <c r="U806" s="281"/>
      <c r="V806" s="281"/>
      <c r="W806" s="281"/>
      <c r="X806" s="281"/>
      <c r="Y806" s="281"/>
      <c r="Z806" s="281"/>
      <c r="AA806" s="281"/>
      <c r="AB806" s="281"/>
      <c r="AC806" s="281"/>
      <c r="AD806" s="281"/>
      <c r="AE806" s="281"/>
    </row>
    <row r="807" spans="15:31">
      <c r="O807" s="281"/>
      <c r="P807" s="281"/>
      <c r="Q807" s="281"/>
      <c r="R807" s="281"/>
      <c r="S807" s="281"/>
      <c r="T807" s="281"/>
      <c r="U807" s="281"/>
      <c r="V807" s="281"/>
      <c r="W807" s="281"/>
      <c r="X807" s="281"/>
      <c r="Y807" s="281"/>
      <c r="Z807" s="281"/>
      <c r="AA807" s="281"/>
      <c r="AB807" s="281"/>
      <c r="AC807" s="281"/>
      <c r="AD807" s="281"/>
      <c r="AE807" s="281"/>
    </row>
    <row r="808" spans="15:31">
      <c r="O808" s="281"/>
      <c r="P808" s="281"/>
      <c r="Q808" s="281"/>
      <c r="R808" s="281"/>
      <c r="S808" s="281"/>
      <c r="T808" s="281"/>
      <c r="U808" s="281"/>
      <c r="V808" s="281"/>
      <c r="W808" s="281"/>
      <c r="X808" s="281"/>
      <c r="Y808" s="281"/>
      <c r="Z808" s="281"/>
      <c r="AA808" s="281"/>
      <c r="AB808" s="281"/>
      <c r="AC808" s="281"/>
      <c r="AD808" s="281"/>
      <c r="AE808" s="281"/>
    </row>
  </sheetData>
  <dataValidations disablePrompts="1" count="1">
    <dataValidation type="list" allowBlank="1" showInputMessage="1" showErrorMessage="1" sqref="G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11</xdr:col>
                    <xdr:colOff>666750</xdr:colOff>
                    <xdr:row>5</xdr:row>
                    <xdr:rowOff>123825</xdr:rowOff>
                  </from>
                  <to>
                    <xdr:col>12</xdr:col>
                    <xdr:colOff>428625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81" customWidth="1"/>
    <col min="2" max="2" width="17" style="281" bestFit="1" customWidth="1"/>
    <col min="3" max="3" width="26.5703125" style="281" bestFit="1" customWidth="1"/>
    <col min="4" max="4" width="10.5703125" style="282" customWidth="1"/>
    <col min="5" max="14" width="9.85546875" style="282" customWidth="1"/>
    <col min="15" max="31" width="9.140625" style="79"/>
    <col min="32" max="16384" width="9.140625" style="281"/>
  </cols>
  <sheetData>
    <row r="1" spans="1:228" customFormat="1" ht="29.25" customHeight="1">
      <c r="A1" s="278"/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8"/>
      <c r="AM1" s="278"/>
      <c r="AN1" s="278"/>
      <c r="AO1" s="278"/>
      <c r="AP1" s="278"/>
      <c r="AQ1" s="278"/>
      <c r="AR1" s="278"/>
      <c r="AS1" s="278"/>
      <c r="AT1" s="278"/>
      <c r="AU1" s="278"/>
      <c r="AV1" s="278"/>
      <c r="AW1" s="278"/>
      <c r="AX1" s="278"/>
      <c r="AY1" s="278"/>
      <c r="AZ1" s="278"/>
      <c r="BA1" s="278"/>
      <c r="BB1" s="278"/>
      <c r="BC1" s="278"/>
      <c r="BD1" s="278"/>
      <c r="BE1" s="278"/>
      <c r="BF1" s="278"/>
      <c r="BG1" s="278"/>
      <c r="BH1" s="278"/>
      <c r="BI1" s="278"/>
      <c r="BJ1" s="278"/>
      <c r="BK1" s="278"/>
      <c r="BL1" s="278"/>
      <c r="BM1" s="278"/>
      <c r="BN1" s="278"/>
      <c r="BO1" s="278"/>
      <c r="BP1" s="278"/>
      <c r="BQ1" s="278"/>
      <c r="BR1" s="278"/>
      <c r="BS1" s="278"/>
      <c r="BT1" s="278"/>
      <c r="BU1" s="278"/>
      <c r="BV1" s="278"/>
      <c r="BW1" s="278"/>
      <c r="BX1" s="278"/>
      <c r="BY1" s="278"/>
      <c r="BZ1" s="278"/>
      <c r="CA1" s="278"/>
      <c r="CB1" s="278"/>
      <c r="CC1" s="278"/>
      <c r="CD1" s="278"/>
      <c r="CE1" s="278"/>
      <c r="CF1" s="278"/>
      <c r="CG1" s="278"/>
      <c r="CH1" s="278"/>
      <c r="CI1" s="278"/>
      <c r="CJ1" s="278"/>
      <c r="CK1" s="278"/>
      <c r="CL1" s="278"/>
      <c r="CM1" s="278"/>
      <c r="CN1" s="278"/>
      <c r="CO1" s="278"/>
      <c r="CP1" s="278"/>
      <c r="CQ1" s="278"/>
      <c r="CR1" s="278"/>
      <c r="CS1" s="278"/>
      <c r="CT1" s="278"/>
      <c r="CU1" s="278"/>
      <c r="CV1" s="278"/>
      <c r="CW1" s="278"/>
      <c r="CX1" s="278"/>
      <c r="CY1" s="278"/>
      <c r="CZ1" s="278"/>
      <c r="DA1" s="278"/>
      <c r="DB1" s="278"/>
      <c r="DC1" s="278"/>
      <c r="DD1" s="278"/>
      <c r="DE1" s="278"/>
      <c r="DF1" s="278"/>
      <c r="DG1" s="278"/>
      <c r="DH1" s="278"/>
      <c r="DI1" s="278"/>
      <c r="DJ1" s="278"/>
      <c r="DK1" s="278"/>
      <c r="DL1" s="278"/>
      <c r="DM1" s="278"/>
      <c r="DN1" s="278"/>
      <c r="DO1" s="278"/>
      <c r="DP1" s="278"/>
      <c r="DQ1" s="278"/>
      <c r="DR1" s="278"/>
      <c r="DS1" s="278"/>
      <c r="DT1" s="278"/>
      <c r="DU1" s="278"/>
      <c r="DV1" s="278"/>
      <c r="DW1" s="278"/>
      <c r="DX1" s="278"/>
      <c r="DY1" s="278"/>
      <c r="DZ1" s="278"/>
      <c r="EA1" s="278"/>
      <c r="EB1" s="278"/>
      <c r="EC1" s="278"/>
      <c r="ED1" s="278"/>
      <c r="EE1" s="278"/>
      <c r="EF1" s="278"/>
      <c r="EG1" s="278"/>
      <c r="EH1" s="278"/>
      <c r="EI1" s="278"/>
      <c r="EJ1" s="278"/>
      <c r="EK1" s="278"/>
      <c r="EL1" s="278"/>
      <c r="EM1" s="278"/>
      <c r="EN1" s="278"/>
      <c r="EO1" s="278"/>
      <c r="EP1" s="278"/>
      <c r="EQ1" s="278"/>
      <c r="ER1" s="278"/>
      <c r="ES1" s="278"/>
      <c r="ET1" s="278"/>
      <c r="EU1" s="278"/>
      <c r="EV1" s="278"/>
      <c r="EW1" s="278"/>
      <c r="EX1" s="278"/>
      <c r="EY1" s="278"/>
      <c r="EZ1" s="278"/>
      <c r="FA1" s="278"/>
      <c r="FB1" s="278"/>
      <c r="FC1" s="278"/>
      <c r="FD1" s="278"/>
      <c r="FE1" s="278"/>
      <c r="FF1" s="278"/>
      <c r="FG1" s="278"/>
      <c r="FH1" s="278"/>
      <c r="FI1" s="278"/>
      <c r="FJ1" s="278"/>
      <c r="FK1" s="278"/>
      <c r="FL1" s="278"/>
      <c r="FM1" s="278"/>
      <c r="FN1" s="278"/>
      <c r="FO1" s="278"/>
      <c r="FP1" s="278"/>
      <c r="FQ1" s="278"/>
      <c r="FR1" s="278"/>
      <c r="FS1" s="278"/>
      <c r="FT1" s="278"/>
      <c r="FU1" s="278"/>
      <c r="FV1" s="278"/>
      <c r="FW1" s="278"/>
      <c r="FX1" s="278"/>
      <c r="FY1" s="278"/>
      <c r="FZ1" s="278"/>
      <c r="GA1" s="278"/>
      <c r="GB1" s="278"/>
      <c r="GC1" s="278"/>
      <c r="GD1" s="278"/>
      <c r="GE1" s="278"/>
      <c r="GF1" s="278"/>
      <c r="GG1" s="278"/>
      <c r="GH1" s="278"/>
      <c r="GI1" s="278"/>
      <c r="GJ1" s="278"/>
      <c r="GK1" s="278"/>
      <c r="GL1" s="278"/>
      <c r="GM1" s="278"/>
      <c r="GN1" s="278"/>
      <c r="GO1" s="278"/>
      <c r="GP1" s="278"/>
      <c r="GQ1" s="278"/>
      <c r="GR1" s="278"/>
      <c r="GS1" s="278"/>
      <c r="GT1" s="278"/>
      <c r="GU1" s="278"/>
      <c r="GV1" s="278"/>
      <c r="GW1" s="278"/>
      <c r="GX1" s="278"/>
      <c r="GY1" s="278"/>
      <c r="GZ1" s="278"/>
      <c r="HA1" s="278"/>
      <c r="HB1" s="278"/>
      <c r="HC1" s="278"/>
      <c r="HD1" s="278"/>
      <c r="HE1" s="278"/>
      <c r="HF1" s="278"/>
      <c r="HG1" s="278"/>
      <c r="HH1" s="278"/>
      <c r="HI1" s="278"/>
      <c r="HJ1" s="278"/>
      <c r="HK1" s="278"/>
      <c r="HL1" s="278"/>
      <c r="HM1" s="278"/>
      <c r="HN1" s="278"/>
      <c r="HO1" s="278"/>
      <c r="HP1" s="278"/>
      <c r="HQ1" s="278"/>
      <c r="HR1" s="278"/>
      <c r="HS1" s="278"/>
      <c r="HT1" s="278"/>
    </row>
    <row r="2" spans="1:228" customFormat="1" ht="54.75" customHeight="1">
      <c r="A2" s="278"/>
      <c r="B2" s="278"/>
      <c r="C2" s="279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8"/>
      <c r="AP2" s="278"/>
      <c r="AQ2" s="278"/>
      <c r="AR2" s="278"/>
      <c r="AS2" s="278"/>
      <c r="AT2" s="278"/>
      <c r="AU2" s="278"/>
      <c r="AV2" s="278"/>
      <c r="AW2" s="278"/>
      <c r="AX2" s="278"/>
      <c r="AY2" s="278"/>
      <c r="AZ2" s="278"/>
      <c r="BA2" s="278"/>
      <c r="BB2" s="278"/>
      <c r="BC2" s="278"/>
      <c r="BD2" s="278"/>
      <c r="BE2" s="278"/>
      <c r="BF2" s="278"/>
      <c r="BG2" s="278"/>
      <c r="BH2" s="278"/>
      <c r="BI2" s="278"/>
      <c r="BJ2" s="278"/>
      <c r="BK2" s="278"/>
      <c r="BL2" s="278"/>
      <c r="BM2" s="278"/>
      <c r="BN2" s="278"/>
      <c r="BO2" s="278"/>
      <c r="BP2" s="278"/>
      <c r="BQ2" s="278"/>
      <c r="BR2" s="278"/>
      <c r="BS2" s="278"/>
      <c r="BT2" s="278"/>
      <c r="BU2" s="278"/>
      <c r="BV2" s="278"/>
      <c r="BW2" s="278"/>
      <c r="BX2" s="278"/>
      <c r="BY2" s="278"/>
      <c r="BZ2" s="278"/>
      <c r="CA2" s="278"/>
      <c r="CB2" s="278"/>
      <c r="CC2" s="278"/>
      <c r="CD2" s="278"/>
      <c r="CE2" s="278"/>
      <c r="CF2" s="278"/>
      <c r="CG2" s="278"/>
      <c r="CH2" s="278"/>
      <c r="CI2" s="278"/>
      <c r="CJ2" s="278"/>
      <c r="CK2" s="278"/>
      <c r="CL2" s="278"/>
      <c r="CM2" s="278"/>
      <c r="CN2" s="278"/>
      <c r="CO2" s="278"/>
      <c r="CP2" s="278"/>
      <c r="CQ2" s="278"/>
      <c r="CR2" s="278"/>
      <c r="CS2" s="278"/>
      <c r="CT2" s="278"/>
      <c r="CU2" s="278"/>
      <c r="CV2" s="278"/>
      <c r="CW2" s="278"/>
      <c r="CX2" s="278"/>
      <c r="CY2" s="278"/>
      <c r="CZ2" s="278"/>
      <c r="DA2" s="278"/>
      <c r="DB2" s="278"/>
      <c r="DC2" s="278"/>
      <c r="DD2" s="278"/>
      <c r="DE2" s="278"/>
      <c r="DF2" s="278"/>
      <c r="DG2" s="278"/>
      <c r="DH2" s="278"/>
      <c r="DI2" s="278"/>
      <c r="DJ2" s="278"/>
      <c r="DK2" s="278"/>
      <c r="DL2" s="278"/>
      <c r="DM2" s="278"/>
      <c r="DN2" s="278"/>
      <c r="DO2" s="278"/>
      <c r="DP2" s="278"/>
      <c r="DQ2" s="278"/>
      <c r="DR2" s="278"/>
      <c r="DS2" s="278"/>
      <c r="DT2" s="278"/>
      <c r="DU2" s="278"/>
      <c r="DV2" s="278"/>
      <c r="DW2" s="278"/>
      <c r="DX2" s="278"/>
      <c r="DY2" s="278"/>
      <c r="DZ2" s="278"/>
      <c r="EA2" s="278"/>
      <c r="EB2" s="278"/>
      <c r="EC2" s="278"/>
      <c r="ED2" s="278"/>
      <c r="EE2" s="278"/>
      <c r="EF2" s="278"/>
      <c r="EG2" s="278"/>
      <c r="EH2" s="278"/>
      <c r="EI2" s="278"/>
      <c r="EJ2" s="278"/>
      <c r="EK2" s="278"/>
      <c r="EL2" s="278"/>
      <c r="EM2" s="278"/>
      <c r="EN2" s="278"/>
      <c r="EO2" s="278"/>
      <c r="EP2" s="278"/>
      <c r="EQ2" s="278"/>
      <c r="ER2" s="278"/>
      <c r="ES2" s="278"/>
      <c r="ET2" s="278"/>
      <c r="EU2" s="278"/>
      <c r="EV2" s="278"/>
      <c r="EW2" s="278"/>
      <c r="EX2" s="278"/>
      <c r="EY2" s="278"/>
      <c r="EZ2" s="278"/>
      <c r="FA2" s="278"/>
      <c r="FB2" s="278"/>
      <c r="FC2" s="278"/>
      <c r="FD2" s="278"/>
      <c r="FE2" s="278"/>
      <c r="FF2" s="278"/>
      <c r="FG2" s="278"/>
      <c r="FH2" s="278"/>
      <c r="FI2" s="278"/>
      <c r="FJ2" s="278"/>
      <c r="FK2" s="278"/>
      <c r="FL2" s="278"/>
      <c r="FM2" s="278"/>
      <c r="FN2" s="278"/>
      <c r="FO2" s="278"/>
      <c r="FP2" s="278"/>
      <c r="FQ2" s="278"/>
      <c r="FR2" s="278"/>
      <c r="FS2" s="278"/>
      <c r="FT2" s="278"/>
      <c r="FU2" s="278"/>
      <c r="FV2" s="278"/>
      <c r="FW2" s="278"/>
      <c r="FX2" s="278"/>
      <c r="FY2" s="278"/>
      <c r="FZ2" s="278"/>
      <c r="GA2" s="278"/>
      <c r="GB2" s="278"/>
      <c r="GC2" s="278"/>
      <c r="GD2" s="278"/>
      <c r="GE2" s="278"/>
      <c r="GF2" s="278"/>
      <c r="GG2" s="278"/>
      <c r="GH2" s="278"/>
      <c r="GI2" s="278"/>
      <c r="GJ2" s="278"/>
      <c r="GK2" s="278"/>
      <c r="GL2" s="278"/>
      <c r="GM2" s="278"/>
      <c r="GN2" s="278"/>
      <c r="GO2" s="278"/>
      <c r="GP2" s="278"/>
      <c r="GQ2" s="278"/>
      <c r="GR2" s="278"/>
      <c r="GS2" s="278"/>
      <c r="GT2" s="278"/>
      <c r="GU2" s="278"/>
      <c r="GV2" s="278"/>
      <c r="GW2" s="278"/>
      <c r="GX2" s="278"/>
      <c r="GY2" s="278"/>
      <c r="GZ2" s="278"/>
      <c r="HA2" s="278"/>
      <c r="HB2" s="278"/>
      <c r="HC2" s="278"/>
      <c r="HD2" s="278"/>
      <c r="HE2" s="278"/>
      <c r="HF2" s="278"/>
      <c r="HG2" s="278"/>
      <c r="HH2" s="278"/>
      <c r="HI2" s="278"/>
      <c r="HJ2" s="278"/>
      <c r="HK2" s="278"/>
      <c r="HL2" s="278"/>
      <c r="HM2" s="278"/>
      <c r="HN2" s="278"/>
      <c r="HO2" s="278"/>
      <c r="HP2" s="278"/>
      <c r="HQ2" s="278"/>
      <c r="HR2" s="278"/>
      <c r="HS2" s="278"/>
      <c r="HT2" s="278"/>
    </row>
    <row r="3" spans="1:228" customFormat="1" ht="36.75" customHeight="1">
      <c r="A3" s="278"/>
      <c r="B3" s="278"/>
      <c r="C3" s="278"/>
      <c r="D3" s="278"/>
      <c r="E3" s="278"/>
      <c r="F3" s="278"/>
      <c r="G3" s="278"/>
      <c r="H3" s="278"/>
      <c r="I3" s="280"/>
      <c r="J3" s="280"/>
      <c r="K3" s="280"/>
      <c r="L3" s="280"/>
      <c r="M3" s="280"/>
      <c r="N3" s="280"/>
      <c r="O3" s="280"/>
      <c r="P3" s="280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80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278"/>
      <c r="AP3" s="278"/>
      <c r="AQ3" s="278"/>
      <c r="AR3" s="278"/>
      <c r="AS3" s="278"/>
      <c r="AT3" s="278"/>
      <c r="AU3" s="278"/>
      <c r="AV3" s="278"/>
      <c r="AW3" s="278"/>
      <c r="AX3" s="278"/>
      <c r="AY3" s="278"/>
      <c r="AZ3" s="278"/>
      <c r="BA3" s="278"/>
      <c r="BB3" s="278"/>
      <c r="BC3" s="278"/>
      <c r="BD3" s="278"/>
      <c r="BE3" s="278"/>
      <c r="BF3" s="278"/>
      <c r="BG3" s="278"/>
      <c r="BH3" s="278"/>
      <c r="BI3" s="278"/>
      <c r="BJ3" s="278"/>
      <c r="BK3" s="278"/>
      <c r="BL3" s="278"/>
      <c r="BM3" s="278"/>
      <c r="BN3" s="278"/>
      <c r="BO3" s="278"/>
      <c r="BP3" s="278"/>
      <c r="BQ3" s="278"/>
      <c r="BR3" s="278"/>
      <c r="BS3" s="278"/>
      <c r="BT3" s="278"/>
      <c r="BU3" s="278"/>
      <c r="BV3" s="278"/>
      <c r="BW3" s="278"/>
      <c r="BX3" s="278"/>
      <c r="BY3" s="278"/>
      <c r="BZ3" s="278"/>
      <c r="CA3" s="278"/>
      <c r="CB3" s="278"/>
      <c r="CC3" s="278"/>
      <c r="CD3" s="278"/>
      <c r="CE3" s="278"/>
      <c r="CF3" s="278"/>
      <c r="CG3" s="278"/>
      <c r="CH3" s="278"/>
      <c r="CI3" s="278"/>
      <c r="CJ3" s="278"/>
      <c r="CK3" s="278"/>
      <c r="CL3" s="278"/>
      <c r="CM3" s="278"/>
      <c r="CN3" s="278"/>
      <c r="CO3" s="278"/>
      <c r="CP3" s="278"/>
      <c r="CQ3" s="278"/>
      <c r="CR3" s="278"/>
      <c r="CS3" s="278"/>
      <c r="CT3" s="278"/>
      <c r="CU3" s="278"/>
      <c r="CV3" s="278"/>
      <c r="CW3" s="278"/>
      <c r="CX3" s="278"/>
      <c r="CY3" s="278"/>
      <c r="CZ3" s="278"/>
      <c r="DA3" s="278"/>
      <c r="DB3" s="278"/>
      <c r="DC3" s="278"/>
      <c r="DD3" s="278"/>
      <c r="DE3" s="278"/>
      <c r="DF3" s="278"/>
      <c r="DG3" s="278"/>
      <c r="DH3" s="278"/>
      <c r="DI3" s="278"/>
      <c r="DJ3" s="278"/>
      <c r="DK3" s="278"/>
      <c r="DL3" s="278"/>
      <c r="DM3" s="278"/>
      <c r="DN3" s="278"/>
      <c r="DO3" s="278"/>
      <c r="DP3" s="278"/>
      <c r="DQ3" s="278"/>
      <c r="DR3" s="278"/>
      <c r="DS3" s="278"/>
      <c r="DT3" s="278"/>
      <c r="DU3" s="278"/>
      <c r="DV3" s="278"/>
      <c r="DW3" s="278"/>
      <c r="DX3" s="278"/>
      <c r="DY3" s="278"/>
      <c r="DZ3" s="278"/>
      <c r="EA3" s="278"/>
      <c r="EB3" s="278"/>
      <c r="EC3" s="278"/>
      <c r="ED3" s="278"/>
      <c r="EE3" s="278"/>
      <c r="EF3" s="278"/>
      <c r="EG3" s="278"/>
      <c r="EH3" s="278"/>
      <c r="EI3" s="278"/>
      <c r="EJ3" s="278"/>
      <c r="EK3" s="278"/>
      <c r="EL3" s="278"/>
      <c r="EM3" s="278"/>
      <c r="EN3" s="278"/>
      <c r="EO3" s="278"/>
      <c r="EP3" s="278"/>
      <c r="EQ3" s="278"/>
      <c r="ER3" s="278"/>
      <c r="ES3" s="278"/>
      <c r="ET3" s="278"/>
      <c r="EU3" s="278"/>
      <c r="EV3" s="278"/>
      <c r="EW3" s="278"/>
      <c r="EX3" s="278"/>
      <c r="EY3" s="278"/>
      <c r="EZ3" s="278"/>
      <c r="FA3" s="278"/>
      <c r="FB3" s="278"/>
      <c r="FC3" s="278"/>
      <c r="FD3" s="278"/>
      <c r="FE3" s="278"/>
      <c r="FF3" s="278"/>
      <c r="FG3" s="278"/>
      <c r="FH3" s="278"/>
      <c r="FI3" s="278"/>
      <c r="FJ3" s="278"/>
      <c r="FK3" s="278"/>
      <c r="FL3" s="278"/>
      <c r="FM3" s="278"/>
      <c r="FN3" s="278"/>
      <c r="FO3" s="278"/>
      <c r="FP3" s="278"/>
      <c r="FQ3" s="278"/>
      <c r="FR3" s="278"/>
      <c r="FS3" s="278"/>
      <c r="FT3" s="278"/>
      <c r="FU3" s="278"/>
      <c r="FV3" s="278"/>
      <c r="FW3" s="278"/>
      <c r="FX3" s="278"/>
      <c r="FY3" s="278"/>
      <c r="FZ3" s="278"/>
      <c r="GA3" s="278"/>
      <c r="GB3" s="278"/>
      <c r="GC3" s="278"/>
      <c r="GD3" s="278"/>
      <c r="GE3" s="278"/>
      <c r="GF3" s="278"/>
      <c r="GG3" s="278"/>
      <c r="GH3" s="278"/>
      <c r="GI3" s="278"/>
      <c r="GJ3" s="278"/>
      <c r="GK3" s="278"/>
      <c r="GL3" s="278"/>
      <c r="GM3" s="278"/>
      <c r="GN3" s="278"/>
      <c r="GO3" s="278"/>
      <c r="GP3" s="278"/>
      <c r="GQ3" s="278"/>
      <c r="GR3" s="278"/>
      <c r="GS3" s="278"/>
      <c r="GT3" s="278"/>
      <c r="GU3" s="278"/>
      <c r="GV3" s="278"/>
      <c r="GW3" s="278"/>
      <c r="GX3" s="278"/>
      <c r="GY3" s="278"/>
      <c r="GZ3" s="278"/>
      <c r="HA3" s="278"/>
      <c r="HB3" s="278"/>
      <c r="HC3" s="278"/>
      <c r="HD3" s="278"/>
      <c r="HE3" s="278"/>
      <c r="HF3" s="278"/>
      <c r="HG3" s="278"/>
      <c r="HH3" s="278"/>
      <c r="HI3" s="278"/>
      <c r="HJ3" s="278"/>
      <c r="HK3" s="278"/>
      <c r="HL3" s="278"/>
      <c r="HM3" s="278"/>
      <c r="HN3" s="278"/>
      <c r="HO3" s="278"/>
      <c r="HP3" s="278"/>
      <c r="HQ3" s="278"/>
      <c r="HR3" s="278"/>
      <c r="HS3" s="278"/>
      <c r="HT3" s="278"/>
    </row>
    <row r="4" spans="1:228" ht="12" thickBot="1">
      <c r="O4" s="281"/>
      <c r="P4" s="281"/>
      <c r="Q4" s="281"/>
      <c r="R4" s="281"/>
      <c r="S4" s="281"/>
      <c r="T4" s="281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1"/>
    </row>
    <row r="5" spans="1:228">
      <c r="B5" s="283" t="s">
        <v>432</v>
      </c>
      <c r="C5" s="284">
        <v>46828</v>
      </c>
      <c r="O5" s="281"/>
      <c r="P5" s="281"/>
      <c r="Q5" s="281"/>
      <c r="R5" s="281"/>
      <c r="S5" s="281"/>
      <c r="T5" s="281"/>
      <c r="U5" s="281"/>
      <c r="V5" s="281"/>
      <c r="W5" s="281"/>
      <c r="X5" s="281"/>
      <c r="Y5" s="281"/>
      <c r="Z5" s="281"/>
      <c r="AA5" s="281"/>
      <c r="AB5" s="281"/>
      <c r="AC5" s="281"/>
      <c r="AD5" s="281"/>
      <c r="AE5" s="281"/>
    </row>
    <row r="6" spans="1:228">
      <c r="B6" s="285" t="s">
        <v>475</v>
      </c>
      <c r="C6" s="286">
        <v>5000</v>
      </c>
      <c r="D6" s="281"/>
      <c r="E6" s="585"/>
      <c r="F6" s="585"/>
      <c r="G6" s="585"/>
      <c r="H6" s="585"/>
      <c r="I6" s="585"/>
      <c r="J6" s="585"/>
      <c r="K6" s="585"/>
      <c r="L6" s="585"/>
      <c r="M6" s="585"/>
      <c r="N6" s="585"/>
      <c r="O6" s="281"/>
      <c r="P6" s="281"/>
      <c r="Q6" s="281"/>
      <c r="R6" s="281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1"/>
    </row>
    <row r="7" spans="1:228" ht="12" thickBot="1">
      <c r="B7" s="287" t="s">
        <v>476</v>
      </c>
      <c r="C7" s="288" t="b">
        <v>0</v>
      </c>
      <c r="D7" s="281"/>
      <c r="E7" s="281"/>
      <c r="H7" s="289"/>
      <c r="O7" s="585"/>
      <c r="P7" s="585"/>
      <c r="Q7" s="585"/>
      <c r="R7" s="585"/>
      <c r="S7" s="585"/>
      <c r="T7" s="585"/>
      <c r="U7" s="585"/>
      <c r="V7" s="585"/>
      <c r="W7" s="585"/>
      <c r="X7" s="585"/>
      <c r="Y7" s="281"/>
      <c r="Z7" s="281"/>
      <c r="AA7" s="281"/>
      <c r="AB7" s="281"/>
      <c r="AC7" s="281"/>
      <c r="AD7" s="281"/>
      <c r="AE7" s="281"/>
    </row>
    <row r="8" spans="1:228" ht="12" thickBot="1">
      <c r="B8" s="287" t="s">
        <v>477</v>
      </c>
      <c r="C8" s="290">
        <v>0.3</v>
      </c>
      <c r="D8" s="291"/>
      <c r="E8" s="281"/>
      <c r="H8" s="289"/>
      <c r="O8" s="281"/>
      <c r="P8" s="281"/>
      <c r="Q8" s="281"/>
      <c r="R8" s="281"/>
      <c r="S8" s="281"/>
      <c r="T8" s="281"/>
      <c r="U8" s="281"/>
      <c r="V8" s="281"/>
      <c r="W8" s="281"/>
      <c r="X8" s="281"/>
      <c r="Y8" s="281"/>
      <c r="Z8" s="281"/>
      <c r="AA8" s="281"/>
      <c r="AB8" s="281"/>
      <c r="AC8" s="281"/>
      <c r="AD8" s="281"/>
      <c r="AE8" s="281"/>
    </row>
    <row r="9" spans="1:228" ht="12" thickBot="1">
      <c r="B9" s="287" t="s">
        <v>478</v>
      </c>
      <c r="C9" s="292">
        <v>125</v>
      </c>
      <c r="D9" s="291"/>
      <c r="E9" s="281"/>
      <c r="H9" s="289"/>
      <c r="O9" s="281"/>
      <c r="P9" s="281"/>
      <c r="Q9" s="281"/>
      <c r="R9" s="281"/>
      <c r="S9" s="281"/>
      <c r="T9" s="281"/>
      <c r="U9" s="281"/>
      <c r="V9" s="281"/>
      <c r="W9" s="281"/>
      <c r="X9" s="281"/>
      <c r="Y9" s="281"/>
      <c r="Z9" s="281"/>
      <c r="AA9" s="281"/>
      <c r="AB9" s="281"/>
      <c r="AC9" s="281"/>
      <c r="AD9" s="281"/>
      <c r="AE9" s="281"/>
    </row>
    <row r="10" spans="1:228" ht="12" thickBot="1">
      <c r="B10" s="293"/>
      <c r="C10" s="294"/>
      <c r="D10" s="291"/>
      <c r="E10" s="281"/>
      <c r="H10" s="289"/>
      <c r="O10" s="281"/>
      <c r="P10" s="281"/>
      <c r="Q10" s="281"/>
      <c r="R10" s="281"/>
      <c r="S10" s="281"/>
      <c r="T10" s="281"/>
      <c r="U10" s="281"/>
      <c r="V10" s="281"/>
      <c r="W10" s="281"/>
      <c r="X10" s="281"/>
      <c r="Y10" s="281"/>
      <c r="Z10" s="281"/>
      <c r="AA10" s="281"/>
      <c r="AB10" s="281"/>
      <c r="AC10" s="281"/>
      <c r="AD10" s="281"/>
      <c r="AE10" s="281"/>
    </row>
    <row r="11" spans="1:228">
      <c r="B11" s="295" t="s">
        <v>82</v>
      </c>
      <c r="C11" s="296" t="s">
        <v>67</v>
      </c>
      <c r="D11" s="281"/>
      <c r="E11" s="281"/>
      <c r="H11" s="289"/>
      <c r="O11" s="281"/>
      <c r="P11" s="281"/>
      <c r="Q11" s="281"/>
      <c r="R11" s="281"/>
      <c r="S11" s="281"/>
      <c r="T11" s="281"/>
      <c r="U11" s="281"/>
      <c r="V11" s="281"/>
      <c r="W11" s="281"/>
      <c r="X11" s="281"/>
      <c r="Y11" s="281"/>
      <c r="Z11" s="281"/>
      <c r="AA11" s="281"/>
      <c r="AB11" s="281"/>
      <c r="AC11" s="281"/>
      <c r="AD11" s="281"/>
      <c r="AE11" s="281"/>
    </row>
    <row r="12" spans="1:228">
      <c r="B12" s="297" t="s">
        <v>437</v>
      </c>
      <c r="C12" s="298">
        <v>-0.1</v>
      </c>
      <c r="D12" s="291"/>
      <c r="E12" s="281"/>
      <c r="H12" s="289"/>
      <c r="O12" s="281"/>
      <c r="P12" s="281"/>
      <c r="Q12" s="281"/>
      <c r="R12" s="281"/>
      <c r="S12" s="281"/>
      <c r="T12" s="281"/>
      <c r="U12" s="281"/>
      <c r="V12" s="281"/>
      <c r="W12" s="281"/>
      <c r="X12" s="281"/>
      <c r="Y12" s="281"/>
      <c r="Z12" s="281"/>
      <c r="AA12" s="281"/>
      <c r="AB12" s="281"/>
      <c r="AC12" s="281"/>
      <c r="AD12" s="281"/>
      <c r="AE12" s="281"/>
    </row>
    <row r="13" spans="1:228" ht="12" thickBot="1">
      <c r="B13" s="299" t="s">
        <v>439</v>
      </c>
      <c r="C13" s="233">
        <v>0.1</v>
      </c>
      <c r="E13" s="300"/>
      <c r="H13" s="289"/>
      <c r="O13" s="281"/>
      <c r="P13" s="281"/>
      <c r="Q13" s="281"/>
      <c r="R13" s="281"/>
      <c r="S13" s="281"/>
      <c r="T13" s="281"/>
      <c r="U13" s="281"/>
      <c r="V13" s="281"/>
      <c r="W13" s="281"/>
      <c r="X13" s="281"/>
      <c r="Y13" s="281"/>
      <c r="Z13" s="281"/>
      <c r="AA13" s="281"/>
      <c r="AB13" s="281"/>
      <c r="AC13" s="281"/>
      <c r="AD13" s="281"/>
      <c r="AE13" s="281"/>
    </row>
    <row r="14" spans="1:228" ht="12" thickBot="1">
      <c r="B14" s="301"/>
      <c r="C14" s="302"/>
      <c r="E14" s="300"/>
      <c r="H14" s="289"/>
      <c r="O14" s="281"/>
      <c r="P14" s="281"/>
      <c r="Q14" s="281"/>
      <c r="R14" s="281"/>
      <c r="S14" s="281"/>
      <c r="T14" s="281"/>
      <c r="U14" s="281"/>
      <c r="V14" s="281"/>
      <c r="W14" s="281"/>
      <c r="X14" s="281"/>
      <c r="Y14" s="281"/>
      <c r="Z14" s="281"/>
      <c r="AA14" s="281"/>
      <c r="AB14" s="281"/>
      <c r="AC14" s="281"/>
      <c r="AD14" s="281"/>
      <c r="AE14" s="281"/>
    </row>
    <row r="15" spans="1:228">
      <c r="B15" s="283" t="s">
        <v>458</v>
      </c>
      <c r="C15" s="303" t="s">
        <v>459</v>
      </c>
      <c r="E15" s="300"/>
      <c r="H15" s="289"/>
      <c r="O15" s="281"/>
      <c r="P15" s="281"/>
      <c r="Q15" s="281"/>
      <c r="R15" s="281"/>
      <c r="S15" s="281"/>
      <c r="T15" s="281"/>
      <c r="U15" s="281"/>
      <c r="V15" s="281"/>
      <c r="W15" s="281"/>
      <c r="X15" s="281"/>
      <c r="Y15" s="281"/>
      <c r="Z15" s="281"/>
      <c r="AA15" s="281"/>
      <c r="AB15" s="281"/>
      <c r="AC15" s="281"/>
      <c r="AD15" s="281"/>
      <c r="AE15" s="281"/>
    </row>
    <row r="16" spans="1:228">
      <c r="B16" s="285" t="s">
        <v>461</v>
      </c>
      <c r="C16" s="304" t="s">
        <v>479</v>
      </c>
      <c r="E16" s="300"/>
      <c r="H16" s="289"/>
      <c r="O16" s="281"/>
      <c r="P16" s="281"/>
      <c r="Q16" s="281"/>
      <c r="R16" s="281"/>
      <c r="S16" s="281"/>
      <c r="T16" s="281"/>
      <c r="U16" s="281"/>
      <c r="V16" s="281"/>
      <c r="W16" s="281"/>
      <c r="X16" s="281"/>
      <c r="Y16" s="281"/>
      <c r="Z16" s="281"/>
      <c r="AA16" s="281"/>
      <c r="AB16" s="281"/>
      <c r="AC16" s="281"/>
      <c r="AD16" s="281"/>
      <c r="AE16" s="281"/>
    </row>
    <row r="17" spans="2:31" ht="12" thickBot="1">
      <c r="B17" s="287" t="s">
        <v>462</v>
      </c>
      <c r="C17" s="305"/>
      <c r="E17" s="300"/>
      <c r="H17" s="289"/>
      <c r="O17" s="281"/>
      <c r="P17" s="281"/>
      <c r="Q17" s="281"/>
      <c r="R17" s="281"/>
      <c r="S17" s="281"/>
      <c r="T17" s="281"/>
      <c r="U17" s="281"/>
      <c r="V17" s="281"/>
      <c r="W17" s="281"/>
      <c r="X17" s="281"/>
      <c r="Y17" s="281"/>
      <c r="Z17" s="281"/>
      <c r="AA17" s="281"/>
      <c r="AB17" s="281"/>
      <c r="AC17" s="281"/>
      <c r="AD17" s="281"/>
      <c r="AE17" s="281"/>
    </row>
    <row r="18" spans="2:31" ht="12" thickBot="1">
      <c r="B18" s="293"/>
      <c r="C18" s="306"/>
      <c r="E18" s="300"/>
      <c r="H18" s="289"/>
      <c r="O18" s="281"/>
      <c r="P18" s="281"/>
      <c r="Q18" s="281"/>
      <c r="R18" s="281"/>
      <c r="S18" s="281"/>
      <c r="T18" s="281"/>
      <c r="U18" s="281"/>
      <c r="V18" s="281"/>
      <c r="W18" s="281"/>
      <c r="X18" s="281"/>
      <c r="Y18" s="281"/>
      <c r="Z18" s="281"/>
      <c r="AA18" s="281"/>
      <c r="AB18" s="281"/>
      <c r="AC18" s="281"/>
      <c r="AD18" s="281"/>
      <c r="AE18" s="281"/>
    </row>
    <row r="19" spans="2:31" ht="12" thickBot="1">
      <c r="B19" s="295" t="s">
        <v>480</v>
      </c>
      <c r="C19" s="307"/>
      <c r="D19" s="308"/>
      <c r="E19" s="586" t="s">
        <v>481</v>
      </c>
      <c r="F19" s="586"/>
      <c r="G19" s="586"/>
      <c r="H19" s="586"/>
      <c r="I19" s="586"/>
      <c r="J19" s="586"/>
      <c r="K19" s="586"/>
      <c r="L19" s="586"/>
      <c r="M19" s="586"/>
      <c r="N19" s="587"/>
      <c r="O19" s="281"/>
      <c r="P19" s="281"/>
      <c r="Q19" s="281"/>
      <c r="R19" s="281"/>
      <c r="S19" s="281"/>
      <c r="T19" s="281"/>
      <c r="U19" s="281"/>
      <c r="V19" s="281"/>
      <c r="W19" s="281"/>
      <c r="X19" s="281"/>
      <c r="Y19" s="281"/>
      <c r="Z19" s="281"/>
      <c r="AA19" s="281"/>
      <c r="AB19" s="281"/>
      <c r="AC19" s="281"/>
      <c r="AD19" s="281"/>
      <c r="AE19" s="281"/>
    </row>
    <row r="20" spans="2:31" ht="12" thickBot="1">
      <c r="B20" s="310"/>
      <c r="C20" s="311"/>
      <c r="D20" s="312" t="s">
        <v>482</v>
      </c>
      <c r="E20" s="313">
        <v>1</v>
      </c>
      <c r="F20" s="314">
        <v>2</v>
      </c>
      <c r="G20" s="313">
        <v>3</v>
      </c>
      <c r="H20" s="315">
        <v>4</v>
      </c>
      <c r="I20" s="315">
        <v>5</v>
      </c>
      <c r="J20" s="315">
        <v>6</v>
      </c>
      <c r="K20" s="315">
        <v>7</v>
      </c>
      <c r="L20" s="314">
        <v>8</v>
      </c>
      <c r="M20" s="315">
        <v>9</v>
      </c>
      <c r="N20" s="316">
        <v>10</v>
      </c>
      <c r="O20" s="281"/>
      <c r="P20" s="281"/>
      <c r="Q20" s="281"/>
      <c r="R20" s="281"/>
      <c r="S20" s="281"/>
      <c r="T20" s="281"/>
      <c r="U20" s="281"/>
      <c r="V20" s="281"/>
      <c r="W20" s="293"/>
      <c r="X20" s="281"/>
      <c r="Y20" s="281"/>
      <c r="Z20" s="281"/>
      <c r="AA20" s="281"/>
      <c r="AB20" s="281"/>
      <c r="AC20" s="281"/>
      <c r="AD20" s="281"/>
      <c r="AE20" s="281"/>
    </row>
    <row r="21" spans="2:31">
      <c r="B21" s="283" t="s">
        <v>465</v>
      </c>
      <c r="C21" s="317">
        <v>0.54</v>
      </c>
      <c r="D21" s="318" t="s">
        <v>465</v>
      </c>
      <c r="E21" s="319">
        <v>6.0999999999999999E-2</v>
      </c>
      <c r="F21" s="319">
        <v>6.0999999999999999E-2</v>
      </c>
      <c r="G21" s="319">
        <v>6.0999999999999999E-2</v>
      </c>
      <c r="H21" s="319">
        <v>6.0999999999999999E-2</v>
      </c>
      <c r="I21" s="320">
        <v>0.06</v>
      </c>
      <c r="J21" s="320">
        <v>0.06</v>
      </c>
      <c r="K21" s="321"/>
      <c r="L21" s="322"/>
      <c r="M21" s="321"/>
      <c r="N21" s="323"/>
      <c r="O21" s="281"/>
      <c r="P21" s="281"/>
      <c r="Q21" s="281"/>
      <c r="R21" s="281"/>
      <c r="S21" s="281"/>
      <c r="T21" s="281"/>
      <c r="U21" s="281"/>
      <c r="V21" s="281"/>
      <c r="W21" s="281"/>
      <c r="X21" s="281"/>
      <c r="Y21" s="281"/>
      <c r="Z21" s="281"/>
      <c r="AA21" s="281"/>
      <c r="AB21" s="281"/>
      <c r="AC21" s="281"/>
      <c r="AD21" s="281"/>
      <c r="AE21" s="281"/>
    </row>
    <row r="22" spans="2:31" ht="12" thickBot="1">
      <c r="B22" s="287" t="s">
        <v>466</v>
      </c>
      <c r="C22" s="324">
        <v>0.84</v>
      </c>
      <c r="D22" s="318" t="s">
        <v>483</v>
      </c>
      <c r="E22" s="325">
        <v>0.111</v>
      </c>
      <c r="F22" s="325">
        <v>0.111</v>
      </c>
      <c r="G22" s="325">
        <v>0.111</v>
      </c>
      <c r="H22" s="325">
        <v>0.111</v>
      </c>
      <c r="I22" s="326">
        <v>0.11</v>
      </c>
      <c r="J22" s="326">
        <v>0.11</v>
      </c>
      <c r="K22" s="327"/>
      <c r="L22" s="328"/>
      <c r="M22" s="327"/>
      <c r="N22" s="329"/>
      <c r="O22" s="281"/>
      <c r="P22" s="281"/>
      <c r="Q22" s="330"/>
      <c r="R22" s="281"/>
      <c r="S22" s="281"/>
      <c r="T22" s="281"/>
      <c r="U22" s="281"/>
      <c r="V22" s="281"/>
      <c r="W22" s="281"/>
      <c r="X22" s="281"/>
      <c r="Y22" s="281"/>
      <c r="Z22" s="281"/>
      <c r="AA22" s="281"/>
      <c r="AB22" s="281"/>
      <c r="AC22" s="281"/>
      <c r="AD22" s="281"/>
      <c r="AE22" s="281"/>
    </row>
    <row r="23" spans="2:31" ht="12" thickBot="1">
      <c r="B23" s="331"/>
      <c r="C23" s="332"/>
      <c r="D23" s="333" t="s">
        <v>484</v>
      </c>
      <c r="E23" s="334">
        <f t="shared" ref="E23:J23" si="0">0.166666666666667%*100</f>
        <v>0.16666666666666699</v>
      </c>
      <c r="F23" s="334">
        <f t="shared" si="0"/>
        <v>0.16666666666666699</v>
      </c>
      <c r="G23" s="334">
        <f t="shared" si="0"/>
        <v>0.16666666666666699</v>
      </c>
      <c r="H23" s="334">
        <f t="shared" si="0"/>
        <v>0.16666666666666699</v>
      </c>
      <c r="I23" s="334">
        <f t="shared" si="0"/>
        <v>0.16666666666666699</v>
      </c>
      <c r="J23" s="334">
        <f t="shared" si="0"/>
        <v>0.16666666666666699</v>
      </c>
      <c r="K23" s="327"/>
      <c r="L23" s="328"/>
      <c r="M23" s="327"/>
      <c r="N23" s="329"/>
      <c r="O23" s="281"/>
      <c r="P23" s="281"/>
      <c r="Q23" s="281"/>
      <c r="R23" s="281"/>
      <c r="S23" s="281"/>
      <c r="T23" s="281"/>
      <c r="U23" s="281"/>
      <c r="V23" s="281"/>
      <c r="W23" s="281"/>
      <c r="X23" s="281"/>
      <c r="Y23" s="281"/>
      <c r="Z23" s="281"/>
      <c r="AA23" s="281"/>
      <c r="AB23" s="281"/>
      <c r="AC23" s="281"/>
      <c r="AD23" s="281"/>
      <c r="AE23" s="281"/>
    </row>
    <row r="24" spans="2:31" ht="12" thickBot="1">
      <c r="B24" s="331"/>
      <c r="C24" s="332"/>
      <c r="D24" s="335"/>
      <c r="E24" s="336"/>
      <c r="F24" s="337"/>
      <c r="G24" s="337"/>
      <c r="H24" s="337"/>
      <c r="I24" s="337"/>
      <c r="J24" s="337"/>
      <c r="K24" s="337"/>
      <c r="L24" s="337"/>
      <c r="M24" s="337"/>
      <c r="N24" s="126"/>
      <c r="O24" s="281"/>
      <c r="P24" s="281"/>
      <c r="Q24" s="281"/>
      <c r="R24" s="281"/>
      <c r="S24" s="281"/>
      <c r="T24" s="281"/>
      <c r="U24" s="281"/>
      <c r="V24" s="281"/>
      <c r="W24" s="281"/>
      <c r="X24" s="281"/>
      <c r="Y24" s="281"/>
      <c r="Z24" s="281"/>
      <c r="AA24" s="281"/>
      <c r="AB24" s="281"/>
      <c r="AC24" s="281"/>
      <c r="AD24" s="281"/>
      <c r="AE24" s="281"/>
    </row>
    <row r="25" spans="2:31" ht="12" thickBot="1">
      <c r="B25" s="283" t="s">
        <v>485</v>
      </c>
      <c r="C25" s="338">
        <v>8.3836702003960026E-2</v>
      </c>
      <c r="D25" s="339"/>
      <c r="E25" s="584" t="s">
        <v>486</v>
      </c>
      <c r="F25" s="584"/>
      <c r="G25" s="584"/>
      <c r="H25" s="584"/>
      <c r="I25" s="584"/>
      <c r="J25" s="584"/>
      <c r="K25" s="584"/>
      <c r="L25" s="584"/>
      <c r="M25" s="584"/>
      <c r="N25" s="583"/>
      <c r="O25" s="281"/>
      <c r="P25" s="281"/>
      <c r="Q25" s="281"/>
      <c r="R25" s="281"/>
      <c r="S25" s="281"/>
      <c r="T25" s="281"/>
      <c r="U25" s="281"/>
      <c r="V25" s="281"/>
      <c r="W25" s="281"/>
      <c r="X25" s="281"/>
      <c r="Y25" s="281"/>
      <c r="Z25" s="281"/>
      <c r="AA25" s="281"/>
      <c r="AB25" s="281"/>
      <c r="AC25" s="281"/>
      <c r="AD25" s="281"/>
      <c r="AE25" s="281"/>
    </row>
    <row r="26" spans="2:31" ht="12" thickBot="1">
      <c r="B26" s="287" t="s">
        <v>487</v>
      </c>
      <c r="C26" s="340" t="b">
        <v>1</v>
      </c>
      <c r="D26" s="312" t="s">
        <v>488</v>
      </c>
      <c r="E26" s="341">
        <v>1</v>
      </c>
      <c r="F26" s="59">
        <f t="shared" ref="F26:N26" si="1">E26+1</f>
        <v>2</v>
      </c>
      <c r="G26" s="342">
        <f t="shared" si="1"/>
        <v>3</v>
      </c>
      <c r="H26" s="343">
        <f t="shared" si="1"/>
        <v>4</v>
      </c>
      <c r="I26" s="343">
        <f t="shared" si="1"/>
        <v>5</v>
      </c>
      <c r="J26" s="343">
        <f t="shared" si="1"/>
        <v>6</v>
      </c>
      <c r="K26" s="343">
        <f t="shared" si="1"/>
        <v>7</v>
      </c>
      <c r="L26" s="59">
        <f t="shared" si="1"/>
        <v>8</v>
      </c>
      <c r="M26" s="343">
        <f t="shared" si="1"/>
        <v>9</v>
      </c>
      <c r="N26" s="344">
        <f t="shared" si="1"/>
        <v>10</v>
      </c>
      <c r="O26" s="281"/>
      <c r="P26" s="281"/>
      <c r="Q26" s="281"/>
      <c r="R26" s="281"/>
      <c r="S26" s="281"/>
      <c r="T26" s="281"/>
      <c r="U26" s="281"/>
      <c r="V26" s="281"/>
      <c r="W26" s="281"/>
      <c r="X26" s="281"/>
      <c r="Y26" s="281"/>
      <c r="Z26" s="281"/>
      <c r="AA26" s="281"/>
      <c r="AB26" s="281"/>
      <c r="AC26" s="281"/>
      <c r="AD26" s="281"/>
      <c r="AE26" s="281"/>
    </row>
    <row r="27" spans="2:31">
      <c r="B27" s="331"/>
      <c r="D27" s="345">
        <v>0</v>
      </c>
      <c r="E27" s="346">
        <v>1.9E-2</v>
      </c>
      <c r="F27" s="347">
        <v>2.1000000000000001E-2</v>
      </c>
      <c r="G27" s="348">
        <v>2.1999999999999999E-2</v>
      </c>
      <c r="H27" s="349">
        <v>2.1000000000000001E-2</v>
      </c>
      <c r="I27" s="348">
        <v>2.1999999999999999E-2</v>
      </c>
      <c r="J27" s="348">
        <v>2.1000000000000001E-2</v>
      </c>
      <c r="K27" s="322"/>
      <c r="L27" s="350"/>
      <c r="M27" s="322"/>
      <c r="N27" s="298"/>
      <c r="O27" s="281"/>
      <c r="P27" s="281"/>
      <c r="Q27" s="281"/>
      <c r="R27" s="281"/>
      <c r="S27" s="281"/>
      <c r="T27" s="281"/>
      <c r="U27" s="281"/>
      <c r="V27" s="281"/>
      <c r="W27" s="281"/>
      <c r="X27" s="281"/>
      <c r="Y27" s="281"/>
      <c r="Z27" s="281"/>
      <c r="AA27" s="281"/>
      <c r="AB27" s="281"/>
      <c r="AC27" s="281"/>
      <c r="AD27" s="281"/>
      <c r="AE27" s="281"/>
    </row>
    <row r="28" spans="2:31">
      <c r="B28" s="331"/>
      <c r="D28" s="351">
        <v>2.4E-2</v>
      </c>
      <c r="E28" s="346">
        <v>3.5999999999999997E-2</v>
      </c>
      <c r="F28" s="352">
        <v>0.04</v>
      </c>
      <c r="G28" s="353">
        <v>4.1000000000000002E-2</v>
      </c>
      <c r="H28" s="354">
        <v>0.04</v>
      </c>
      <c r="I28" s="354">
        <v>4.1000000000000002E-2</v>
      </c>
      <c r="J28" s="354">
        <v>0.04</v>
      </c>
      <c r="K28" s="355"/>
      <c r="L28" s="355"/>
      <c r="M28" s="355"/>
      <c r="N28" s="355"/>
      <c r="O28" s="281"/>
      <c r="P28" s="281"/>
      <c r="Q28" s="281"/>
      <c r="R28" s="281"/>
      <c r="S28" s="281"/>
      <c r="T28" s="281"/>
      <c r="U28" s="281"/>
      <c r="V28" s="281"/>
      <c r="W28" s="281"/>
      <c r="X28" s="281"/>
      <c r="Y28" s="281"/>
      <c r="Z28" s="281"/>
      <c r="AA28" s="281"/>
      <c r="AB28" s="281"/>
      <c r="AC28" s="281"/>
      <c r="AD28" s="281"/>
      <c r="AE28" s="281"/>
    </row>
    <row r="29" spans="2:31">
      <c r="B29" s="331"/>
      <c r="D29" s="351">
        <v>4.9000000000000002E-2</v>
      </c>
      <c r="E29" s="346">
        <v>6.3E-2</v>
      </c>
      <c r="F29" s="352">
        <v>6.9000000000000006E-2</v>
      </c>
      <c r="G29" s="353">
        <v>7.0999999999999994E-2</v>
      </c>
      <c r="H29" s="354">
        <v>6.9000000000000006E-2</v>
      </c>
      <c r="I29" s="354">
        <v>7.0999999999999994E-2</v>
      </c>
      <c r="J29" s="354">
        <v>6.9000000000000006E-2</v>
      </c>
      <c r="K29" s="355"/>
      <c r="L29" s="355"/>
      <c r="M29" s="355"/>
      <c r="N29" s="355"/>
      <c r="O29" s="281"/>
      <c r="P29" s="281"/>
      <c r="Q29" s="281"/>
      <c r="R29" s="281"/>
      <c r="S29" s="281"/>
      <c r="T29" s="281"/>
      <c r="U29" s="281"/>
      <c r="V29" s="281"/>
      <c r="W29" s="281"/>
      <c r="X29" s="281"/>
      <c r="Y29" s="281"/>
      <c r="Z29" s="281"/>
      <c r="AA29" s="281"/>
      <c r="AB29" s="281"/>
      <c r="AC29" s="281"/>
      <c r="AD29" s="281"/>
      <c r="AE29" s="281"/>
    </row>
    <row r="30" spans="2:31">
      <c r="B30" s="331"/>
      <c r="D30" s="351">
        <v>6.5000000000000002E-2</v>
      </c>
      <c r="E30" s="346">
        <v>9.2999999999999999E-2</v>
      </c>
      <c r="F30" s="352">
        <v>0.107</v>
      </c>
      <c r="G30" s="353">
        <v>0.111</v>
      </c>
      <c r="H30" s="354">
        <v>0.108</v>
      </c>
      <c r="I30" s="354">
        <v>0.112</v>
      </c>
      <c r="J30" s="354">
        <v>0.108</v>
      </c>
      <c r="K30" s="355"/>
      <c r="L30" s="355"/>
      <c r="M30" s="355"/>
      <c r="N30" s="355"/>
      <c r="O30" s="281"/>
      <c r="P30" s="281"/>
      <c r="Q30" s="281"/>
      <c r="R30" s="281"/>
      <c r="S30" s="281"/>
      <c r="T30" s="281"/>
      <c r="U30" s="281"/>
      <c r="V30" s="281"/>
      <c r="W30" s="281"/>
      <c r="X30" s="281"/>
      <c r="Y30" s="281"/>
      <c r="Z30" s="281"/>
      <c r="AA30" s="281"/>
      <c r="AB30" s="281"/>
      <c r="AC30" s="281"/>
      <c r="AD30" s="281"/>
      <c r="AE30" s="281"/>
    </row>
    <row r="31" spans="2:31">
      <c r="B31" s="331"/>
      <c r="D31" s="351">
        <v>8.1000000000000003E-2</v>
      </c>
      <c r="E31" s="346">
        <v>0.13300000000000001</v>
      </c>
      <c r="F31" s="352">
        <v>0.14899999999999999</v>
      </c>
      <c r="G31" s="353">
        <v>0.154</v>
      </c>
      <c r="H31" s="354">
        <v>0.151</v>
      </c>
      <c r="I31" s="354">
        <v>0.154</v>
      </c>
      <c r="J31" s="354">
        <v>0.14899999999999999</v>
      </c>
      <c r="K31" s="355"/>
      <c r="L31" s="355"/>
      <c r="M31" s="355"/>
      <c r="N31" s="355"/>
      <c r="O31" s="281"/>
      <c r="P31" s="281"/>
      <c r="Q31" s="281"/>
      <c r="R31" s="281"/>
      <c r="S31" s="281"/>
      <c r="T31" s="281"/>
      <c r="U31" s="281"/>
      <c r="V31" s="281"/>
      <c r="W31" s="281"/>
      <c r="X31" s="281"/>
      <c r="Y31" s="281"/>
      <c r="Z31" s="281"/>
      <c r="AA31" s="281"/>
      <c r="AB31" s="281"/>
      <c r="AC31" s="281"/>
      <c r="AD31" s="281"/>
      <c r="AE31" s="281"/>
    </row>
    <row r="32" spans="2:31">
      <c r="B32" s="331"/>
      <c r="D32" s="351">
        <v>9.8000000000000004E-2</v>
      </c>
      <c r="E32" s="346">
        <v>0.17399999999999999</v>
      </c>
      <c r="F32" s="352">
        <v>0.191</v>
      </c>
      <c r="G32" s="353">
        <v>0.19600000000000001</v>
      </c>
      <c r="H32" s="354">
        <v>0.19400000000000001</v>
      </c>
      <c r="I32" s="354">
        <v>0.19700000000000001</v>
      </c>
      <c r="J32" s="354">
        <v>0.191</v>
      </c>
      <c r="K32" s="355"/>
      <c r="L32" s="355"/>
      <c r="M32" s="355"/>
      <c r="N32" s="355"/>
      <c r="O32" s="281"/>
      <c r="P32" s="281"/>
      <c r="Q32" s="281"/>
      <c r="R32" s="281"/>
      <c r="S32" s="281"/>
      <c r="T32" s="281"/>
      <c r="U32" s="281"/>
      <c r="V32" s="281"/>
      <c r="W32" s="281"/>
      <c r="X32" s="281"/>
      <c r="Y32" s="281"/>
      <c r="Z32" s="281"/>
      <c r="AA32" s="281"/>
      <c r="AB32" s="281"/>
      <c r="AC32" s="281"/>
      <c r="AD32" s="281"/>
      <c r="AE32" s="281"/>
    </row>
    <row r="33" spans="1:31" ht="12" thickBot="1">
      <c r="B33" s="356"/>
      <c r="C33" s="357"/>
      <c r="D33" s="358">
        <v>0.114</v>
      </c>
      <c r="E33" s="359">
        <v>0.214</v>
      </c>
      <c r="F33" s="360">
        <v>0.23200000000000001</v>
      </c>
      <c r="G33" s="361">
        <v>0.23799999999999999</v>
      </c>
      <c r="H33" s="362">
        <v>0.23499999999999999</v>
      </c>
      <c r="I33" s="361">
        <v>0.23899999999999999</v>
      </c>
      <c r="J33" s="361">
        <v>0.23200000000000001</v>
      </c>
      <c r="K33" s="328"/>
      <c r="L33" s="363"/>
      <c r="M33" s="328"/>
      <c r="N33" s="324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281"/>
    </row>
    <row r="34" spans="1:31" ht="12" thickBot="1">
      <c r="D34" s="281"/>
      <c r="E34" s="281"/>
      <c r="F34" s="281"/>
      <c r="G34" s="281"/>
      <c r="H34" s="281"/>
      <c r="I34" s="281"/>
      <c r="J34" s="281"/>
      <c r="K34" s="281"/>
      <c r="L34" s="281"/>
      <c r="M34" s="281"/>
      <c r="N34" s="281"/>
      <c r="O34" s="281"/>
      <c r="P34" s="281"/>
      <c r="Q34" s="281"/>
      <c r="R34" s="281"/>
      <c r="S34" s="281"/>
      <c r="T34" s="281"/>
      <c r="U34" s="281"/>
      <c r="V34" s="281"/>
      <c r="W34" s="281"/>
      <c r="X34" s="281"/>
      <c r="Y34" s="281"/>
      <c r="Z34" s="281"/>
      <c r="AA34" s="281"/>
      <c r="AB34" s="281"/>
      <c r="AC34" s="281"/>
      <c r="AD34" s="281"/>
      <c r="AE34" s="281"/>
    </row>
    <row r="35" spans="1:31" ht="12" thickBot="1">
      <c r="D35" s="364" t="s">
        <v>423</v>
      </c>
      <c r="E35" s="365" t="b">
        <v>1</v>
      </c>
      <c r="F35" s="281"/>
      <c r="G35" s="281"/>
      <c r="H35" s="281"/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281"/>
    </row>
    <row r="36" spans="1:31" ht="12" thickBot="1">
      <c r="B36" s="366"/>
      <c r="C36" s="79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281"/>
    </row>
    <row r="37" spans="1:31" ht="13.5" customHeight="1" thickBot="1">
      <c r="B37" s="366"/>
      <c r="C37" s="582" t="s">
        <v>480</v>
      </c>
      <c r="D37" s="583"/>
      <c r="E37" s="584" t="s">
        <v>489</v>
      </c>
      <c r="F37" s="584"/>
      <c r="G37" s="584"/>
      <c r="H37" s="584"/>
      <c r="I37" s="584"/>
      <c r="J37" s="584"/>
      <c r="K37" s="584"/>
      <c r="L37" s="584"/>
      <c r="M37" s="584"/>
      <c r="N37" s="583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281"/>
    </row>
    <row r="38" spans="1:31" ht="12" thickBot="1">
      <c r="B38" s="293"/>
      <c r="C38" s="367" t="s">
        <v>434</v>
      </c>
      <c r="D38" s="368" t="s">
        <v>490</v>
      </c>
      <c r="E38" s="282">
        <v>1</v>
      </c>
      <c r="F38" s="282">
        <f t="shared" ref="F38:N38" si="2">E38+1</f>
        <v>2</v>
      </c>
      <c r="G38" s="282">
        <f t="shared" si="2"/>
        <v>3</v>
      </c>
      <c r="H38" s="282">
        <f t="shared" si="2"/>
        <v>4</v>
      </c>
      <c r="I38" s="282">
        <f t="shared" si="2"/>
        <v>5</v>
      </c>
      <c r="J38" s="282">
        <f t="shared" si="2"/>
        <v>6</v>
      </c>
      <c r="K38" s="282">
        <f t="shared" si="2"/>
        <v>7</v>
      </c>
      <c r="L38" s="282">
        <f t="shared" si="2"/>
        <v>8</v>
      </c>
      <c r="M38" s="282">
        <f t="shared" si="2"/>
        <v>9</v>
      </c>
      <c r="N38" s="369">
        <f t="shared" si="2"/>
        <v>10</v>
      </c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281"/>
    </row>
    <row r="39" spans="1:31" ht="12" thickBot="1">
      <c r="A39" s="79"/>
      <c r="B39" s="367" t="s">
        <v>491</v>
      </c>
      <c r="C39" s="370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1" t="e">
        <f ca="1"/>
        <v>#NAME?</v>
      </c>
      <c r="E39" s="372" t="e">
        <f ca="1"/>
        <v>#NAME?</v>
      </c>
      <c r="F39" s="372" t="e">
        <f ca="1"/>
        <v>#NAME?</v>
      </c>
      <c r="G39" s="372" t="e">
        <f ca="1"/>
        <v>#NAME?</v>
      </c>
      <c r="H39" s="372" t="e">
        <f ca="1"/>
        <v>#NAME?</v>
      </c>
      <c r="I39" s="372" t="e">
        <f ca="1"/>
        <v>#NAME?</v>
      </c>
      <c r="J39" s="372" t="e">
        <f ca="1"/>
        <v>#NAME?</v>
      </c>
      <c r="K39" s="372" t="e">
        <f ca="1"/>
        <v>#NAME?</v>
      </c>
      <c r="L39" s="372" t="e">
        <f ca="1"/>
        <v>#NAME?</v>
      </c>
      <c r="M39" s="372" t="e">
        <f ca="1"/>
        <v>#NAME?</v>
      </c>
      <c r="N39" s="373" t="e">
        <f ca="1"/>
        <v>#NAME?</v>
      </c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281"/>
    </row>
    <row r="40" spans="1:31" ht="12" thickBot="1">
      <c r="B40" s="367" t="s">
        <v>492</v>
      </c>
      <c r="C40" s="374" t="e">
        <f ca="1"/>
        <v>#NAME?</v>
      </c>
      <c r="D40" s="375" t="e">
        <f ca="1"/>
        <v>#NAME?</v>
      </c>
      <c r="E40" s="376" t="e">
        <f ca="1"/>
        <v>#NAME?</v>
      </c>
      <c r="F40" s="376" t="e">
        <f ca="1"/>
        <v>#NAME?</v>
      </c>
      <c r="G40" s="376" t="e">
        <f ca="1"/>
        <v>#NAME?</v>
      </c>
      <c r="H40" s="376" t="e">
        <f ca="1"/>
        <v>#NAME?</v>
      </c>
      <c r="I40" s="376" t="e">
        <f ca="1"/>
        <v>#NAME?</v>
      </c>
      <c r="J40" s="376" t="e">
        <f ca="1"/>
        <v>#NAME?</v>
      </c>
      <c r="K40" s="376" t="e">
        <f ca="1"/>
        <v>#NAME?</v>
      </c>
      <c r="L40" s="376" t="e">
        <f ca="1"/>
        <v>#NAME?</v>
      </c>
      <c r="M40" s="376" t="e">
        <f ca="1"/>
        <v>#NAME?</v>
      </c>
      <c r="N40" s="377" t="e">
        <f ca="1"/>
        <v>#NAME?</v>
      </c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281"/>
    </row>
    <row r="41" spans="1:31">
      <c r="C41" s="378"/>
      <c r="D41" s="379" t="e" cm="1">
        <f t="array" aca="1" ref="D41" ca="1">GetTest2(E21:N23)</f>
        <v>#NAME?</v>
      </c>
      <c r="E41" s="379"/>
      <c r="F41" s="380"/>
      <c r="G41" s="379"/>
      <c r="H41" s="380"/>
      <c r="I41" s="378"/>
      <c r="J41" s="380"/>
      <c r="K41" s="378"/>
      <c r="L41" s="380"/>
      <c r="M41" s="378"/>
      <c r="N41" s="378"/>
      <c r="O41" s="281"/>
      <c r="P41" s="585"/>
      <c r="Q41" s="585"/>
      <c r="R41" s="585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81"/>
    </row>
    <row r="42" spans="1:31">
      <c r="B42" s="281" t="e" cm="1">
        <f t="array" aca="1" ref="B42" ca="1">GetTest2(E21:N23,C21,C22,C26,D46:N345,Parameter_Date,C5,C11)</f>
        <v>#NAME?</v>
      </c>
      <c r="D42" s="379"/>
      <c r="E42" s="379"/>
      <c r="F42" s="380"/>
      <c r="G42" s="379"/>
      <c r="H42" s="380"/>
      <c r="I42" s="378"/>
      <c r="J42" s="380"/>
      <c r="K42" s="378"/>
      <c r="L42" s="380"/>
      <c r="M42" s="378"/>
      <c r="N42" s="378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81"/>
    </row>
    <row r="43" spans="1:31" ht="12" thickBot="1">
      <c r="D43" s="281"/>
      <c r="E43" s="381"/>
      <c r="O43" s="281"/>
      <c r="P43" s="281"/>
      <c r="Q43" s="281"/>
      <c r="R43" s="281"/>
      <c r="S43" s="281"/>
      <c r="T43" s="281"/>
      <c r="U43" s="281"/>
      <c r="V43" s="281"/>
      <c r="W43" s="281"/>
      <c r="X43" s="281"/>
      <c r="Y43" s="281"/>
      <c r="Z43" s="281"/>
      <c r="AA43" s="281"/>
      <c r="AB43" s="281"/>
      <c r="AC43" s="281"/>
      <c r="AD43" s="281"/>
      <c r="AE43" s="281"/>
    </row>
    <row r="44" spans="1:31" ht="12" thickBot="1">
      <c r="C44" s="332"/>
      <c r="D44" s="382"/>
      <c r="E44" s="582" t="s">
        <v>493</v>
      </c>
      <c r="F44" s="584"/>
      <c r="G44" s="584"/>
      <c r="H44" s="584"/>
      <c r="I44" s="584"/>
      <c r="J44" s="584"/>
      <c r="K44" s="584"/>
      <c r="L44" s="584"/>
      <c r="M44" s="584"/>
      <c r="N44" s="583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</row>
    <row r="45" spans="1:31" ht="12" thickBot="1">
      <c r="B45" s="312" t="s">
        <v>494</v>
      </c>
      <c r="C45" s="309" t="s">
        <v>495</v>
      </c>
      <c r="D45" s="367" t="s">
        <v>474</v>
      </c>
      <c r="E45" s="383">
        <v>1</v>
      </c>
      <c r="F45" s="384">
        <f t="shared" ref="F45:N45" si="3">E45+1</f>
        <v>2</v>
      </c>
      <c r="G45" s="384">
        <f t="shared" si="3"/>
        <v>3</v>
      </c>
      <c r="H45" s="384">
        <f t="shared" si="3"/>
        <v>4</v>
      </c>
      <c r="I45" s="384">
        <f t="shared" si="3"/>
        <v>5</v>
      </c>
      <c r="J45" s="384">
        <f t="shared" si="3"/>
        <v>6</v>
      </c>
      <c r="K45" s="384">
        <f t="shared" si="3"/>
        <v>7</v>
      </c>
      <c r="L45" s="384">
        <f t="shared" si="3"/>
        <v>8</v>
      </c>
      <c r="M45" s="384">
        <f t="shared" si="3"/>
        <v>9</v>
      </c>
      <c r="N45" s="385">
        <f t="shared" si="3"/>
        <v>10</v>
      </c>
      <c r="O45" s="281"/>
      <c r="P45" s="281"/>
      <c r="Q45" s="281"/>
      <c r="R45" s="281"/>
      <c r="S45" s="281"/>
      <c r="T45" s="281"/>
      <c r="U45" s="281"/>
      <c r="V45" s="281"/>
      <c r="W45" s="281"/>
      <c r="X45" s="281"/>
      <c r="Y45" s="281"/>
      <c r="Z45" s="281"/>
      <c r="AA45" s="281"/>
      <c r="AB45" s="281"/>
      <c r="AC45" s="281"/>
      <c r="AD45" s="281"/>
      <c r="AE45" s="281"/>
    </row>
    <row r="46" spans="1:31" ht="15">
      <c r="B46" s="386">
        <v>1</v>
      </c>
      <c r="C46" s="394" t="str" cm="1">
        <f t="array" ref="C46">IF(B46&lt;=$C$9,GetGetCDSName(B46),"")</f>
        <v>ABNAMRO_MMR.EUR.SU</v>
      </c>
      <c r="D46" s="354">
        <v>0</v>
      </c>
      <c r="E46" s="387">
        <v>0</v>
      </c>
      <c r="F46" s="306">
        <v>0</v>
      </c>
      <c r="G46" s="306">
        <v>1</v>
      </c>
      <c r="H46" s="306">
        <v>0</v>
      </c>
      <c r="I46" s="306">
        <v>0</v>
      </c>
      <c r="J46" s="306">
        <v>0</v>
      </c>
      <c r="K46" s="306"/>
      <c r="L46" s="306"/>
      <c r="M46" s="306"/>
      <c r="N46" s="388"/>
      <c r="O46" s="281"/>
      <c r="P46" s="281"/>
      <c r="Q46" s="281"/>
      <c r="R46" s="281"/>
      <c r="S46" s="281"/>
      <c r="T46" s="281"/>
      <c r="U46" s="281"/>
      <c r="V46" s="281"/>
      <c r="W46" s="281"/>
      <c r="X46" s="281"/>
      <c r="Y46" s="281"/>
      <c r="Z46" s="281"/>
      <c r="AA46" s="281"/>
      <c r="AB46" s="281"/>
      <c r="AC46" s="281"/>
      <c r="AD46" s="281"/>
      <c r="AE46" s="281"/>
    </row>
    <row r="47" spans="1:31" ht="15">
      <c r="B47" s="386">
        <f t="shared" ref="B47:B110" si="4">B46+1</f>
        <v>2</v>
      </c>
      <c r="C47" s="394" t="str" cm="1">
        <f t="array" ref="C47">IF(B47&lt;=$C$9,GetGetCDSName(B47),"")</f>
        <v>ACCOR_MMR.EUR.SU</v>
      </c>
      <c r="D47" s="354">
        <v>0</v>
      </c>
      <c r="E47" s="387">
        <v>0</v>
      </c>
      <c r="F47" s="306">
        <v>0</v>
      </c>
      <c r="G47" s="306">
        <v>0</v>
      </c>
      <c r="H47" s="306">
        <v>0</v>
      </c>
      <c r="I47" s="306">
        <v>1</v>
      </c>
      <c r="J47" s="306">
        <v>1</v>
      </c>
      <c r="K47" s="306"/>
      <c r="L47" s="306"/>
      <c r="M47" s="306"/>
      <c r="N47" s="388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81"/>
      <c r="Z47" s="281"/>
      <c r="AA47" s="281"/>
      <c r="AB47" s="281"/>
      <c r="AC47" s="281"/>
      <c r="AD47" s="281"/>
      <c r="AE47" s="281"/>
    </row>
    <row r="48" spans="1:31" ht="15">
      <c r="B48" s="386">
        <f t="shared" si="4"/>
        <v>3</v>
      </c>
      <c r="C48" s="394" t="str" cm="1">
        <f t="array" ref="C48">IF(B48&lt;=$C$9,GetGetCDSName(B48),"")</f>
        <v>ADECCO_MMR.EUR.SU</v>
      </c>
      <c r="D48" s="354">
        <v>0</v>
      </c>
      <c r="E48" s="387">
        <v>0</v>
      </c>
      <c r="F48" s="306">
        <v>0</v>
      </c>
      <c r="G48" s="306">
        <v>1</v>
      </c>
      <c r="H48" s="306">
        <v>0</v>
      </c>
      <c r="I48" s="306">
        <v>1</v>
      </c>
      <c r="J48" s="306">
        <v>0</v>
      </c>
      <c r="K48" s="306"/>
      <c r="L48" s="306"/>
      <c r="M48" s="306"/>
      <c r="N48" s="388"/>
      <c r="O48" s="281"/>
      <c r="P48" s="281"/>
      <c r="Q48" s="281"/>
      <c r="R48" s="281"/>
      <c r="S48" s="281"/>
      <c r="T48" s="281"/>
      <c r="U48" s="281"/>
      <c r="V48" s="281"/>
      <c r="W48" s="281"/>
      <c r="X48" s="281"/>
      <c r="Y48" s="281"/>
      <c r="Z48" s="281"/>
      <c r="AA48" s="281"/>
      <c r="AB48" s="281"/>
      <c r="AC48" s="281"/>
      <c r="AD48" s="281"/>
      <c r="AE48" s="281"/>
    </row>
    <row r="49" spans="2:31" ht="15">
      <c r="B49" s="386">
        <f t="shared" si="4"/>
        <v>4</v>
      </c>
      <c r="C49" s="394" t="str" cm="1">
        <f t="array" ref="C49">IF(B49&lt;=$C$9,GetGetCDSName(B49),"")</f>
        <v>AEGON_MMR.EUR.SU</v>
      </c>
      <c r="D49" s="354">
        <v>0</v>
      </c>
      <c r="E49" s="387">
        <v>0</v>
      </c>
      <c r="F49" s="306">
        <v>0</v>
      </c>
      <c r="G49" s="306">
        <v>0</v>
      </c>
      <c r="H49" s="306">
        <v>0</v>
      </c>
      <c r="I49" s="306">
        <v>0</v>
      </c>
      <c r="J49" s="306">
        <v>1</v>
      </c>
      <c r="K49" s="306"/>
      <c r="L49" s="306"/>
      <c r="M49" s="306"/>
      <c r="N49" s="388"/>
      <c r="O49" s="281"/>
      <c r="P49" s="281"/>
      <c r="Q49" s="281"/>
      <c r="R49" s="281"/>
      <c r="S49" s="281"/>
      <c r="T49" s="281"/>
      <c r="U49" s="281"/>
      <c r="V49" s="281"/>
      <c r="W49" s="281"/>
      <c r="X49" s="281"/>
      <c r="Y49" s="281"/>
      <c r="Z49" s="281"/>
      <c r="AA49" s="281"/>
      <c r="AB49" s="281"/>
      <c r="AC49" s="281"/>
      <c r="AD49" s="281"/>
      <c r="AE49" s="281"/>
    </row>
    <row r="50" spans="2:31" ht="15">
      <c r="B50" s="386">
        <f t="shared" si="4"/>
        <v>5</v>
      </c>
      <c r="C50" s="394" t="str" cm="1">
        <f t="array" ref="C50">IF(B50&lt;=$C$9,GetGetCDSName(B50),"")</f>
        <v>AKZONOBEL_MMR.EUR.SU</v>
      </c>
      <c r="D50" s="354">
        <v>0</v>
      </c>
      <c r="E50" s="387">
        <v>0</v>
      </c>
      <c r="F50" s="306">
        <v>0</v>
      </c>
      <c r="G50" s="306">
        <v>0</v>
      </c>
      <c r="H50" s="306">
        <v>1</v>
      </c>
      <c r="I50" s="306">
        <v>0</v>
      </c>
      <c r="J50" s="306">
        <v>0</v>
      </c>
      <c r="K50" s="306"/>
      <c r="L50" s="306"/>
      <c r="M50" s="306"/>
      <c r="N50" s="388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</row>
    <row r="51" spans="2:31" ht="15">
      <c r="B51" s="386">
        <f t="shared" si="4"/>
        <v>6</v>
      </c>
      <c r="C51" s="394" t="str" cm="1">
        <f t="array" ref="C51">IF(B51&lt;=$C$9,GetGetCDSName(B51),"")</f>
        <v>ALLIANZ_MMR.EUR.SU</v>
      </c>
      <c r="D51" s="354">
        <v>0</v>
      </c>
      <c r="E51" s="387">
        <v>1</v>
      </c>
      <c r="F51" s="306">
        <v>1</v>
      </c>
      <c r="G51" s="306">
        <v>0</v>
      </c>
      <c r="H51" s="306">
        <v>0</v>
      </c>
      <c r="I51" s="306">
        <v>0</v>
      </c>
      <c r="J51" s="306">
        <v>1</v>
      </c>
      <c r="K51" s="306"/>
      <c r="L51" s="306"/>
      <c r="M51" s="306"/>
      <c r="N51" s="388"/>
      <c r="O51" s="281"/>
      <c r="P51" s="281"/>
      <c r="Q51" s="281"/>
      <c r="R51" s="281"/>
      <c r="S51" s="281"/>
      <c r="T51" s="281"/>
      <c r="U51" s="281"/>
      <c r="V51" s="281"/>
      <c r="W51" s="281"/>
      <c r="X51" s="281"/>
      <c r="Y51" s="281"/>
      <c r="Z51" s="281"/>
      <c r="AA51" s="281"/>
      <c r="AB51" s="281"/>
      <c r="AC51" s="281"/>
      <c r="AD51" s="281"/>
      <c r="AE51" s="281"/>
    </row>
    <row r="52" spans="2:31" ht="15">
      <c r="B52" s="386">
        <f t="shared" si="4"/>
        <v>7</v>
      </c>
      <c r="C52" s="394" t="str" cm="1">
        <f t="array" ref="C52">IF(B52&lt;=$C$9,GetGetCDSName(B52),"")</f>
        <v>ALTADIS_MMR.EUR.SU</v>
      </c>
      <c r="D52" s="354">
        <v>0</v>
      </c>
      <c r="E52" s="387">
        <v>0</v>
      </c>
      <c r="F52" s="306">
        <v>0</v>
      </c>
      <c r="G52" s="306">
        <v>1</v>
      </c>
      <c r="H52" s="306">
        <v>1</v>
      </c>
      <c r="I52" s="306">
        <v>1</v>
      </c>
      <c r="J52" s="306">
        <v>0</v>
      </c>
      <c r="K52" s="306"/>
      <c r="L52" s="306"/>
      <c r="M52" s="306"/>
      <c r="N52" s="388"/>
      <c r="O52" s="281"/>
      <c r="P52" s="281"/>
      <c r="Q52" s="281"/>
      <c r="R52" s="281"/>
      <c r="S52" s="281"/>
      <c r="T52" s="281"/>
      <c r="U52" s="281"/>
      <c r="V52" s="281"/>
      <c r="W52" s="281"/>
      <c r="X52" s="281"/>
      <c r="Y52" s="281"/>
      <c r="Z52" s="281"/>
      <c r="AA52" s="281"/>
      <c r="AB52" s="281"/>
      <c r="AC52" s="281"/>
      <c r="AD52" s="281"/>
      <c r="AE52" s="281"/>
    </row>
    <row r="53" spans="2:31" ht="15">
      <c r="B53" s="386">
        <f t="shared" si="4"/>
        <v>8</v>
      </c>
      <c r="C53" s="394" t="str" cm="1">
        <f t="array" ref="C53">IF(B53&lt;=$C$9,GetGetCDSName(B53),"")</f>
        <v>ARCELORFINANCESCA_MMR.EUR.SU</v>
      </c>
      <c r="D53" s="354">
        <v>0</v>
      </c>
      <c r="E53" s="387">
        <v>1</v>
      </c>
      <c r="F53" s="306">
        <v>1</v>
      </c>
      <c r="G53" s="306">
        <v>0</v>
      </c>
      <c r="H53" s="306">
        <v>0</v>
      </c>
      <c r="I53" s="306">
        <v>1</v>
      </c>
      <c r="J53" s="306">
        <v>0</v>
      </c>
      <c r="K53" s="306"/>
      <c r="L53" s="306"/>
      <c r="M53" s="306"/>
      <c r="N53" s="388"/>
      <c r="O53" s="281"/>
      <c r="P53" s="281"/>
      <c r="Q53" s="281"/>
      <c r="R53" s="281"/>
      <c r="S53" s="281"/>
      <c r="T53" s="281"/>
      <c r="U53" s="281"/>
      <c r="V53" s="281"/>
      <c r="W53" s="281"/>
      <c r="X53" s="281"/>
      <c r="Y53" s="281"/>
      <c r="Z53" s="281"/>
      <c r="AA53" s="281"/>
      <c r="AB53" s="281"/>
      <c r="AC53" s="281"/>
      <c r="AD53" s="281"/>
      <c r="AE53" s="281"/>
    </row>
    <row r="54" spans="2:31" ht="15">
      <c r="B54" s="386">
        <f t="shared" si="4"/>
        <v>9</v>
      </c>
      <c r="C54" s="394" t="str" cm="1">
        <f t="array" ref="C54">IF(B54&lt;=$C$9,GetGetCDSName(B54),"")</f>
        <v>AUCHAN_MMR.EUR.SU</v>
      </c>
      <c r="D54" s="354">
        <v>0</v>
      </c>
      <c r="E54" s="387">
        <v>0</v>
      </c>
      <c r="F54" s="306">
        <v>0</v>
      </c>
      <c r="G54" s="306">
        <v>0</v>
      </c>
      <c r="H54" s="306">
        <v>0</v>
      </c>
      <c r="I54" s="306">
        <v>0</v>
      </c>
      <c r="J54" s="306">
        <v>1</v>
      </c>
      <c r="K54" s="306"/>
      <c r="L54" s="306"/>
      <c r="M54" s="306"/>
      <c r="N54" s="388"/>
      <c r="O54" s="281"/>
      <c r="P54" s="281"/>
      <c r="Q54" s="281"/>
      <c r="R54" s="281"/>
      <c r="S54" s="281"/>
      <c r="T54" s="281"/>
      <c r="U54" s="281"/>
      <c r="V54" s="281"/>
      <c r="W54" s="281"/>
      <c r="X54" s="281"/>
      <c r="Y54" s="281"/>
      <c r="Z54" s="281"/>
      <c r="AA54" s="281"/>
      <c r="AB54" s="281"/>
      <c r="AC54" s="281"/>
      <c r="AD54" s="281"/>
      <c r="AE54" s="281"/>
    </row>
    <row r="55" spans="2:31" ht="15">
      <c r="B55" s="386">
        <f t="shared" si="4"/>
        <v>10</v>
      </c>
      <c r="C55" s="394" t="str" cm="1">
        <f t="array" ref="C55">IF(B55&lt;=$C$9,GetGetCDSName(B55),"")</f>
        <v>AVIVA_MMR.EUR.SU</v>
      </c>
      <c r="D55" s="354">
        <v>0</v>
      </c>
      <c r="E55" s="387">
        <v>0</v>
      </c>
      <c r="F55" s="306">
        <v>0</v>
      </c>
      <c r="G55" s="306">
        <v>1</v>
      </c>
      <c r="H55" s="306">
        <v>1</v>
      </c>
      <c r="I55" s="306">
        <v>0</v>
      </c>
      <c r="J55" s="306">
        <v>0</v>
      </c>
      <c r="K55" s="306"/>
      <c r="L55" s="306"/>
      <c r="M55" s="306"/>
      <c r="N55" s="388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1"/>
      <c r="AA55" s="281"/>
      <c r="AB55" s="281"/>
      <c r="AC55" s="281"/>
      <c r="AD55" s="281"/>
      <c r="AE55" s="281"/>
    </row>
    <row r="56" spans="2:31" ht="15">
      <c r="B56" s="386">
        <f t="shared" si="4"/>
        <v>11</v>
      </c>
      <c r="C56" s="394" t="str" cm="1">
        <f t="array" ref="C56">IF(B56&lt;=$C$9,GetGetCDSName(B56),"")</f>
        <v>AXA_MMR.EUR.SU</v>
      </c>
      <c r="D56" s="354">
        <v>0</v>
      </c>
      <c r="E56" s="387">
        <v>1</v>
      </c>
      <c r="F56" s="306">
        <v>0</v>
      </c>
      <c r="G56" s="306">
        <v>0</v>
      </c>
      <c r="H56" s="306">
        <v>0</v>
      </c>
      <c r="I56" s="306">
        <v>0</v>
      </c>
      <c r="J56" s="306">
        <v>0</v>
      </c>
      <c r="K56" s="306"/>
      <c r="L56" s="306"/>
      <c r="M56" s="306"/>
      <c r="N56" s="388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</row>
    <row r="57" spans="2:31" ht="15">
      <c r="B57" s="386">
        <f t="shared" si="4"/>
        <v>12</v>
      </c>
      <c r="C57" s="394" t="str" cm="1">
        <f t="array" ref="C57">IF(B57&lt;=$C$9,GetGetCDSName(B57),"")</f>
        <v>BANCOESPIRITOSANTO_MMR.EUR.SU</v>
      </c>
      <c r="D57" s="354">
        <v>0</v>
      </c>
      <c r="E57" s="387">
        <v>0</v>
      </c>
      <c r="F57" s="306">
        <v>1</v>
      </c>
      <c r="G57" s="306">
        <v>0</v>
      </c>
      <c r="H57" s="306">
        <v>0</v>
      </c>
      <c r="I57" s="306">
        <v>0</v>
      </c>
      <c r="J57" s="306">
        <v>0</v>
      </c>
      <c r="K57" s="306"/>
      <c r="L57" s="306"/>
      <c r="M57" s="306"/>
      <c r="N57" s="388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</row>
    <row r="58" spans="2:31" ht="15">
      <c r="B58" s="386">
        <f t="shared" si="4"/>
        <v>13</v>
      </c>
      <c r="C58" s="394" t="str" cm="1">
        <f t="array" ref="C58">IF(B58&lt;=$C$9,GetGetCDSName(B58),"")</f>
        <v>BARCLAYS_MMR.EUR.SU</v>
      </c>
      <c r="D58" s="354">
        <v>0</v>
      </c>
      <c r="E58" s="387">
        <v>0</v>
      </c>
      <c r="F58" s="306">
        <v>0</v>
      </c>
      <c r="G58" s="306">
        <v>0</v>
      </c>
      <c r="H58" s="306">
        <v>1</v>
      </c>
      <c r="I58" s="306">
        <v>0</v>
      </c>
      <c r="J58" s="306">
        <v>0</v>
      </c>
      <c r="K58" s="306"/>
      <c r="L58" s="306"/>
      <c r="M58" s="306"/>
      <c r="N58" s="388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</row>
    <row r="59" spans="2:31" ht="15">
      <c r="B59" s="386">
        <f t="shared" si="4"/>
        <v>14</v>
      </c>
      <c r="C59" s="394" t="str" cm="1">
        <f t="array" ref="C59">IF(B59&lt;=$C$9,GetGetCDSName(B59),"")</f>
        <v>BASF_MMR.EUR.SU</v>
      </c>
      <c r="D59" s="354">
        <v>0</v>
      </c>
      <c r="E59" s="387">
        <v>0</v>
      </c>
      <c r="F59" s="306">
        <v>0</v>
      </c>
      <c r="G59" s="306">
        <v>0</v>
      </c>
      <c r="H59" s="306">
        <v>1</v>
      </c>
      <c r="I59" s="306">
        <v>1</v>
      </c>
      <c r="J59" s="306">
        <v>0</v>
      </c>
      <c r="K59" s="306"/>
      <c r="L59" s="306"/>
      <c r="M59" s="306"/>
      <c r="N59" s="388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</row>
    <row r="60" spans="2:31" ht="15">
      <c r="B60" s="386">
        <f t="shared" si="4"/>
        <v>15</v>
      </c>
      <c r="C60" s="394" t="str" cm="1">
        <f t="array" ref="C60">IF(B60&lt;=$C$9,GetGetCDSName(B60),"")</f>
        <v>BAT_MMR.EUR.SU</v>
      </c>
      <c r="D60" s="354">
        <v>0</v>
      </c>
      <c r="E60" s="387">
        <v>1</v>
      </c>
      <c r="F60" s="306">
        <v>0</v>
      </c>
      <c r="G60" s="306">
        <v>0</v>
      </c>
      <c r="H60" s="306">
        <v>1</v>
      </c>
      <c r="I60" s="306">
        <v>1</v>
      </c>
      <c r="J60" s="306">
        <v>0</v>
      </c>
      <c r="K60" s="306"/>
      <c r="L60" s="306"/>
      <c r="M60" s="306"/>
      <c r="N60" s="388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</row>
    <row r="61" spans="2:31" ht="15">
      <c r="B61" s="386">
        <f t="shared" si="4"/>
        <v>16</v>
      </c>
      <c r="C61" s="394" t="str" cm="1">
        <f t="array" ref="C61">IF(B61&lt;=$C$9,GetGetCDSName(B61),"")</f>
        <v>BAYER_MMR.EUR.SU</v>
      </c>
      <c r="D61" s="354">
        <v>0</v>
      </c>
      <c r="E61" s="387">
        <v>0</v>
      </c>
      <c r="F61" s="306">
        <v>0</v>
      </c>
      <c r="G61" s="306">
        <v>0</v>
      </c>
      <c r="H61" s="306">
        <v>0</v>
      </c>
      <c r="I61" s="306">
        <v>1</v>
      </c>
      <c r="J61" s="306">
        <v>0</v>
      </c>
      <c r="K61" s="306"/>
      <c r="L61" s="306"/>
      <c r="M61" s="306"/>
      <c r="N61" s="388"/>
      <c r="O61" s="281"/>
      <c r="P61" s="281"/>
      <c r="Q61" s="281"/>
      <c r="R61" s="281"/>
      <c r="S61" s="281"/>
      <c r="T61" s="281"/>
      <c r="U61" s="281"/>
      <c r="V61" s="281"/>
      <c r="W61" s="281"/>
      <c r="X61" s="281"/>
      <c r="Y61" s="281"/>
      <c r="Z61" s="281"/>
      <c r="AA61" s="281"/>
      <c r="AB61" s="281"/>
      <c r="AC61" s="281"/>
      <c r="AD61" s="281"/>
      <c r="AE61" s="281"/>
    </row>
    <row r="62" spans="2:31" ht="15">
      <c r="B62" s="386">
        <f t="shared" si="4"/>
        <v>17</v>
      </c>
      <c r="C62" s="394" t="str" cm="1">
        <f t="array" ref="C62">IF(B62&lt;=$C$9,GetGetCDSName(B62),"")</f>
        <v>BBVA_MMR.EUR.SU</v>
      </c>
      <c r="D62" s="354">
        <v>0</v>
      </c>
      <c r="E62" s="387">
        <v>1</v>
      </c>
      <c r="F62" s="306">
        <v>0</v>
      </c>
      <c r="G62" s="306">
        <v>0</v>
      </c>
      <c r="H62" s="306">
        <v>0</v>
      </c>
      <c r="I62" s="306">
        <v>0</v>
      </c>
      <c r="J62" s="306">
        <v>0</v>
      </c>
      <c r="K62" s="306"/>
      <c r="L62" s="306"/>
      <c r="M62" s="306"/>
      <c r="N62" s="388"/>
      <c r="O62" s="281"/>
      <c r="P62" s="281"/>
      <c r="Q62" s="281"/>
      <c r="R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  <c r="AC62" s="281"/>
      <c r="AD62" s="281"/>
      <c r="AE62" s="281"/>
    </row>
    <row r="63" spans="2:31" ht="15">
      <c r="B63" s="386">
        <f t="shared" si="4"/>
        <v>18</v>
      </c>
      <c r="C63" s="394" t="str" cm="1">
        <f t="array" ref="C63">IF(B63&lt;=$C$9,GetGetCDSName(B63),"")</f>
        <v>BERTELSMANNAG_MMR.EUR.SU</v>
      </c>
      <c r="D63" s="354">
        <v>0</v>
      </c>
      <c r="E63" s="387">
        <v>0</v>
      </c>
      <c r="F63" s="306">
        <v>1</v>
      </c>
      <c r="G63" s="306">
        <v>0</v>
      </c>
      <c r="H63" s="306">
        <v>0</v>
      </c>
      <c r="I63" s="306">
        <v>0</v>
      </c>
      <c r="J63" s="306">
        <v>0</v>
      </c>
      <c r="K63" s="306"/>
      <c r="L63" s="306"/>
      <c r="M63" s="306"/>
      <c r="N63" s="388"/>
      <c r="O63" s="281"/>
      <c r="P63" s="281"/>
      <c r="Q63" s="281"/>
      <c r="R63" s="281"/>
      <c r="S63" s="281"/>
      <c r="T63" s="281"/>
      <c r="U63" s="281"/>
      <c r="V63" s="281"/>
      <c r="W63" s="281"/>
      <c r="X63" s="281"/>
      <c r="Y63" s="281"/>
      <c r="Z63" s="281"/>
      <c r="AA63" s="281"/>
      <c r="AB63" s="281"/>
      <c r="AC63" s="281"/>
      <c r="AD63" s="281"/>
      <c r="AE63" s="281"/>
    </row>
    <row r="64" spans="2:31" ht="15">
      <c r="B64" s="386">
        <f t="shared" si="4"/>
        <v>19</v>
      </c>
      <c r="C64" s="394" t="str" cm="1">
        <f t="array" ref="C64">IF(B64&lt;=$C$9,GetGetCDSName(B64),"")</f>
        <v>BMW_MMR.EUR.SU</v>
      </c>
      <c r="D64" s="354">
        <v>0</v>
      </c>
      <c r="E64" s="387">
        <v>0</v>
      </c>
      <c r="F64" s="306">
        <v>0</v>
      </c>
      <c r="G64" s="306">
        <v>1</v>
      </c>
      <c r="H64" s="306">
        <v>0</v>
      </c>
      <c r="I64" s="306">
        <v>0</v>
      </c>
      <c r="J64" s="306">
        <v>0</v>
      </c>
      <c r="K64" s="306"/>
      <c r="L64" s="306"/>
      <c r="M64" s="306"/>
      <c r="N64" s="388"/>
      <c r="O64" s="281"/>
      <c r="P64" s="281"/>
      <c r="Q64" s="281"/>
      <c r="R64" s="281"/>
      <c r="S64" s="281"/>
      <c r="T64" s="281"/>
      <c r="U64" s="281"/>
      <c r="V64" s="281"/>
      <c r="W64" s="281"/>
      <c r="X64" s="281"/>
      <c r="Y64" s="281"/>
      <c r="Z64" s="281"/>
      <c r="AA64" s="281"/>
      <c r="AB64" s="281"/>
      <c r="AC64" s="281"/>
      <c r="AD64" s="281"/>
      <c r="AE64" s="281"/>
    </row>
    <row r="65" spans="2:31" ht="15">
      <c r="B65" s="386">
        <f t="shared" si="4"/>
        <v>20</v>
      </c>
      <c r="C65" s="394" t="str" cm="1">
        <f t="array" ref="C65">IF(B65&lt;=$C$9,GetGetCDSName(B65),"")</f>
        <v>BNPPARIBAS_MMR.EUR.SU</v>
      </c>
      <c r="D65" s="354">
        <v>0</v>
      </c>
      <c r="E65" s="387">
        <v>1</v>
      </c>
      <c r="F65" s="306">
        <v>0</v>
      </c>
      <c r="G65" s="306">
        <v>1</v>
      </c>
      <c r="H65" s="306">
        <v>1</v>
      </c>
      <c r="I65" s="306">
        <v>0</v>
      </c>
      <c r="J65" s="306">
        <v>0</v>
      </c>
      <c r="K65" s="306"/>
      <c r="L65" s="306"/>
      <c r="M65" s="306"/>
      <c r="N65" s="388"/>
      <c r="O65" s="281"/>
      <c r="P65" s="281"/>
      <c r="Q65" s="281"/>
      <c r="R65" s="281"/>
      <c r="S65" s="281"/>
      <c r="T65" s="281"/>
      <c r="U65" s="281"/>
      <c r="V65" s="281"/>
      <c r="W65" s="281"/>
      <c r="X65" s="281"/>
      <c r="Y65" s="281"/>
      <c r="Z65" s="281"/>
      <c r="AA65" s="281"/>
      <c r="AB65" s="281"/>
      <c r="AC65" s="281"/>
      <c r="AD65" s="281"/>
      <c r="AE65" s="281"/>
    </row>
    <row r="66" spans="2:31" ht="15">
      <c r="B66" s="386">
        <f t="shared" si="4"/>
        <v>21</v>
      </c>
      <c r="C66" s="394" t="str" cm="1">
        <f t="array" ref="C66">IF(B66&lt;=$C$9,GetGetCDSName(B66),"")</f>
        <v>BRITISHTELECOM_MMR.EUR.SU</v>
      </c>
      <c r="D66" s="354">
        <v>0</v>
      </c>
      <c r="E66" s="387">
        <v>0</v>
      </c>
      <c r="F66" s="306">
        <v>1</v>
      </c>
      <c r="G66" s="306">
        <v>1</v>
      </c>
      <c r="H66" s="306">
        <v>0</v>
      </c>
      <c r="I66" s="306">
        <v>0</v>
      </c>
      <c r="J66" s="306">
        <v>1</v>
      </c>
      <c r="K66" s="306"/>
      <c r="L66" s="306"/>
      <c r="M66" s="306"/>
      <c r="N66" s="388"/>
      <c r="O66" s="281"/>
      <c r="P66" s="281"/>
      <c r="Q66" s="281"/>
      <c r="R66" s="281"/>
      <c r="S66" s="281"/>
      <c r="T66" s="281"/>
      <c r="U66" s="281"/>
      <c r="V66" s="281"/>
      <c r="W66" s="281"/>
      <c r="X66" s="281"/>
      <c r="Y66" s="281"/>
      <c r="Z66" s="281"/>
      <c r="AA66" s="281"/>
      <c r="AB66" s="281"/>
      <c r="AC66" s="281"/>
      <c r="AD66" s="281"/>
      <c r="AE66" s="281"/>
    </row>
    <row r="67" spans="2:31" ht="15">
      <c r="B67" s="386">
        <f t="shared" si="4"/>
        <v>22</v>
      </c>
      <c r="C67" s="394" t="str" cm="1">
        <f t="array" ref="C67">IF(B67&lt;=$C$9,GetGetCDSName(B67),"")</f>
        <v>BSCH_MMR.EUR.SU</v>
      </c>
      <c r="D67" s="354">
        <v>0</v>
      </c>
      <c r="E67" s="387">
        <v>0</v>
      </c>
      <c r="F67" s="306">
        <v>0</v>
      </c>
      <c r="G67" s="306">
        <v>1</v>
      </c>
      <c r="H67" s="306">
        <v>0</v>
      </c>
      <c r="I67" s="306">
        <v>0</v>
      </c>
      <c r="J67" s="306">
        <v>1</v>
      </c>
      <c r="K67" s="306"/>
      <c r="L67" s="306"/>
      <c r="M67" s="306"/>
      <c r="N67" s="388"/>
      <c r="O67" s="281"/>
      <c r="P67" s="281"/>
      <c r="Q67" s="281"/>
      <c r="R67" s="281"/>
      <c r="S67" s="281"/>
      <c r="T67" s="281"/>
      <c r="U67" s="281"/>
      <c r="V67" s="281"/>
      <c r="W67" s="281"/>
      <c r="X67" s="281"/>
      <c r="Y67" s="281"/>
      <c r="Z67" s="281"/>
      <c r="AA67" s="281"/>
      <c r="AB67" s="281"/>
      <c r="AC67" s="281"/>
      <c r="AD67" s="281"/>
      <c r="AE67" s="281"/>
    </row>
    <row r="68" spans="2:31" ht="15">
      <c r="B68" s="386">
        <f t="shared" si="4"/>
        <v>23</v>
      </c>
      <c r="C68" s="394" t="str" cm="1">
        <f t="array" ref="C68">IF(B68&lt;=$C$9,GetGetCDSName(B68),"")</f>
        <v>CADBURYSCHWEPPES_MMR.EUR.SU</v>
      </c>
      <c r="D68" s="354">
        <v>0</v>
      </c>
      <c r="E68" s="387">
        <v>0</v>
      </c>
      <c r="F68" s="306">
        <v>0</v>
      </c>
      <c r="G68" s="306">
        <v>0</v>
      </c>
      <c r="H68" s="306">
        <v>0</v>
      </c>
      <c r="I68" s="306">
        <v>0</v>
      </c>
      <c r="J68" s="306">
        <v>1</v>
      </c>
      <c r="K68" s="306"/>
      <c r="L68" s="306"/>
      <c r="M68" s="306"/>
      <c r="N68" s="388"/>
      <c r="O68" s="281"/>
      <c r="P68" s="281"/>
      <c r="Q68" s="281"/>
      <c r="R68" s="281"/>
      <c r="S68" s="281"/>
      <c r="T68" s="281"/>
      <c r="U68" s="281"/>
      <c r="V68" s="281"/>
      <c r="W68" s="281"/>
      <c r="X68" s="281"/>
      <c r="Y68" s="281"/>
      <c r="Z68" s="281"/>
      <c r="AA68" s="281"/>
      <c r="AB68" s="281"/>
      <c r="AC68" s="281"/>
      <c r="AD68" s="281"/>
      <c r="AE68" s="281"/>
    </row>
    <row r="69" spans="2:31" ht="15">
      <c r="B69" s="386">
        <f t="shared" si="4"/>
        <v>24</v>
      </c>
      <c r="C69" s="394" t="str" cm="1">
        <f t="array" ref="C69">IF(B69&lt;=$C$9,GetGetCDSName(B69),"")</f>
        <v>CAPITALIA_MMR.EUR.SU</v>
      </c>
      <c r="D69" s="354">
        <v>0</v>
      </c>
      <c r="E69" s="387">
        <v>0</v>
      </c>
      <c r="F69" s="306">
        <v>1</v>
      </c>
      <c r="G69" s="306">
        <v>1</v>
      </c>
      <c r="H69" s="306">
        <v>0</v>
      </c>
      <c r="I69" s="306">
        <v>0</v>
      </c>
      <c r="J69" s="306">
        <v>0</v>
      </c>
      <c r="K69" s="306"/>
      <c r="L69" s="306"/>
      <c r="M69" s="306"/>
      <c r="N69" s="388"/>
      <c r="O69" s="281"/>
      <c r="P69" s="281"/>
      <c r="Q69" s="281"/>
      <c r="R69" s="281"/>
      <c r="S69" s="281"/>
      <c r="T69" s="281"/>
      <c r="U69" s="281"/>
      <c r="V69" s="281"/>
      <c r="W69" s="281"/>
      <c r="X69" s="281"/>
      <c r="Y69" s="281"/>
      <c r="Z69" s="281"/>
      <c r="AA69" s="281"/>
      <c r="AB69" s="281"/>
      <c r="AC69" s="281"/>
      <c r="AD69" s="281"/>
      <c r="AE69" s="281"/>
    </row>
    <row r="70" spans="2:31" ht="15">
      <c r="B70" s="386">
        <f t="shared" si="4"/>
        <v>25</v>
      </c>
      <c r="C70" s="394" t="str" cm="1">
        <f t="array" ref="C70">IF(B70&lt;=$C$9,GetGetCDSName(B70),"")</f>
        <v>CARREFOUR_MMR.EUR.SU</v>
      </c>
      <c r="D70" s="354">
        <v>0</v>
      </c>
      <c r="E70" s="387">
        <v>0</v>
      </c>
      <c r="F70" s="306">
        <v>0</v>
      </c>
      <c r="G70" s="306">
        <v>0</v>
      </c>
      <c r="H70" s="306">
        <v>0</v>
      </c>
      <c r="I70" s="306">
        <v>1</v>
      </c>
      <c r="J70" s="306">
        <v>0</v>
      </c>
      <c r="K70" s="306"/>
      <c r="L70" s="306"/>
      <c r="M70" s="306"/>
      <c r="N70" s="388"/>
      <c r="O70" s="281"/>
      <c r="P70" s="281"/>
      <c r="Q70" s="281"/>
      <c r="R70" s="281"/>
      <c r="S70" s="281"/>
      <c r="T70" s="281"/>
      <c r="U70" s="281"/>
      <c r="V70" s="281"/>
      <c r="W70" s="281"/>
      <c r="X70" s="281"/>
      <c r="Y70" s="281"/>
      <c r="Z70" s="281"/>
      <c r="AA70" s="281"/>
      <c r="AB70" s="281"/>
      <c r="AC70" s="281"/>
      <c r="AD70" s="281"/>
      <c r="AE70" s="281"/>
    </row>
    <row r="71" spans="2:31" ht="15">
      <c r="B71" s="386">
        <f t="shared" si="4"/>
        <v>26</v>
      </c>
      <c r="C71" s="394" t="str" cm="1">
        <f t="array" ref="C71">IF(B71&lt;=$C$9,GetGetCDSName(B71),"")</f>
        <v>CASINOGUICHARD_MMR.EUR.SU</v>
      </c>
      <c r="D71" s="354">
        <v>0</v>
      </c>
      <c r="E71" s="387">
        <v>1</v>
      </c>
      <c r="F71" s="306">
        <v>0</v>
      </c>
      <c r="G71" s="306">
        <v>0</v>
      </c>
      <c r="H71" s="306">
        <v>0</v>
      </c>
      <c r="I71" s="306">
        <v>1</v>
      </c>
      <c r="J71" s="306">
        <v>1</v>
      </c>
      <c r="K71" s="306"/>
      <c r="L71" s="306"/>
      <c r="M71" s="306"/>
      <c r="N71" s="388"/>
      <c r="O71" s="281"/>
      <c r="P71" s="281"/>
      <c r="Q71" s="281"/>
      <c r="R71" s="281"/>
      <c r="S71" s="281"/>
      <c r="T71" s="281"/>
      <c r="U71" s="281"/>
      <c r="V71" s="281"/>
      <c r="W71" s="281"/>
      <c r="X71" s="281"/>
      <c r="Y71" s="281"/>
      <c r="Z71" s="281"/>
      <c r="AA71" s="281"/>
      <c r="AB71" s="281"/>
      <c r="AC71" s="281"/>
      <c r="AD71" s="281"/>
      <c r="AE71" s="281"/>
    </row>
    <row r="72" spans="2:31" ht="15">
      <c r="B72" s="386">
        <f t="shared" si="4"/>
        <v>27</v>
      </c>
      <c r="C72" s="394" t="str" cm="1">
        <f t="array" ref="C72">IF(B72&lt;=$C$9,GetGetCDSName(B72),"")</f>
        <v>CENTRICA_MMR.EUR.SU</v>
      </c>
      <c r="D72" s="354">
        <v>0</v>
      </c>
      <c r="E72" s="387">
        <v>0</v>
      </c>
      <c r="F72" s="306">
        <v>1</v>
      </c>
      <c r="G72" s="306">
        <v>0</v>
      </c>
      <c r="H72" s="306">
        <v>1</v>
      </c>
      <c r="I72" s="306">
        <v>0</v>
      </c>
      <c r="J72" s="306">
        <v>0</v>
      </c>
      <c r="K72" s="306"/>
      <c r="L72" s="306"/>
      <c r="M72" s="306"/>
      <c r="N72" s="388"/>
      <c r="O72" s="281"/>
      <c r="P72" s="281"/>
      <c r="Q72" s="281"/>
      <c r="R72" s="281"/>
      <c r="S72" s="281"/>
      <c r="T72" s="281"/>
      <c r="U72" s="281"/>
      <c r="V72" s="281"/>
      <c r="W72" s="281"/>
      <c r="X72" s="281"/>
      <c r="Y72" s="281"/>
      <c r="Z72" s="281"/>
      <c r="AA72" s="281"/>
      <c r="AB72" s="281"/>
      <c r="AC72" s="281"/>
      <c r="AD72" s="281"/>
      <c r="AE72" s="281"/>
    </row>
    <row r="73" spans="2:31" ht="15">
      <c r="B73" s="386">
        <f t="shared" si="4"/>
        <v>28</v>
      </c>
      <c r="C73" s="394" t="str" cm="1">
        <f t="array" ref="C73">IF(B73&lt;=$C$9,GetGetCDSName(B73),"")</f>
        <v>CIBASC_MMR.EUR.SU</v>
      </c>
      <c r="D73" s="354">
        <v>0</v>
      </c>
      <c r="E73" s="387">
        <v>1</v>
      </c>
      <c r="F73" s="306">
        <v>0</v>
      </c>
      <c r="G73" s="306">
        <v>0</v>
      </c>
      <c r="H73" s="306">
        <v>0</v>
      </c>
      <c r="I73" s="306">
        <v>0</v>
      </c>
      <c r="J73" s="306">
        <v>1</v>
      </c>
      <c r="K73" s="306"/>
      <c r="L73" s="306"/>
      <c r="M73" s="306"/>
      <c r="N73" s="388"/>
      <c r="O73" s="281"/>
      <c r="P73" s="281"/>
      <c r="Q73" s="281"/>
      <c r="R73" s="281"/>
      <c r="S73" s="281"/>
      <c r="T73" s="281"/>
      <c r="U73" s="281"/>
      <c r="V73" s="281"/>
      <c r="W73" s="281"/>
      <c r="X73" s="281"/>
      <c r="Y73" s="281"/>
      <c r="Z73" s="281"/>
      <c r="AA73" s="281"/>
      <c r="AB73" s="281"/>
      <c r="AC73" s="281"/>
      <c r="AD73" s="281"/>
      <c r="AE73" s="281"/>
    </row>
    <row r="74" spans="2:31" ht="15">
      <c r="B74" s="386">
        <f t="shared" si="4"/>
        <v>29</v>
      </c>
      <c r="C74" s="394" t="str" cm="1">
        <f t="array" ref="C74">IF(B74&lt;=$C$9,GetGetCDSName(B74),"")</f>
        <v>COMMERZBANK_MMR.EUR.SU</v>
      </c>
      <c r="D74" s="354">
        <v>0</v>
      </c>
      <c r="E74" s="387">
        <v>1</v>
      </c>
      <c r="F74" s="306">
        <v>0</v>
      </c>
      <c r="G74" s="306">
        <v>0</v>
      </c>
      <c r="H74" s="306">
        <v>0</v>
      </c>
      <c r="I74" s="306">
        <v>0</v>
      </c>
      <c r="J74" s="306">
        <v>0</v>
      </c>
      <c r="K74" s="306"/>
      <c r="L74" s="306"/>
      <c r="M74" s="306"/>
      <c r="N74" s="388"/>
      <c r="O74" s="281"/>
      <c r="P74" s="281"/>
      <c r="Q74" s="281"/>
      <c r="R74" s="281"/>
      <c r="S74" s="281"/>
      <c r="T74" s="281"/>
      <c r="U74" s="281"/>
      <c r="V74" s="281"/>
      <c r="W74" s="281"/>
      <c r="X74" s="281"/>
      <c r="Y74" s="281"/>
      <c r="Z74" s="281"/>
      <c r="AA74" s="281"/>
      <c r="AB74" s="281"/>
      <c r="AC74" s="281"/>
      <c r="AD74" s="281"/>
      <c r="AE74" s="281"/>
    </row>
    <row r="75" spans="2:31" ht="15">
      <c r="B75" s="386">
        <f t="shared" si="4"/>
        <v>30</v>
      </c>
      <c r="C75" s="394" t="str" cm="1">
        <f t="array" ref="C75">IF(B75&lt;=$C$9,GetGetCDSName(B75),"")</f>
        <v>COMPASS_MMR.EUR.SU</v>
      </c>
      <c r="D75" s="354">
        <v>0</v>
      </c>
      <c r="E75" s="387">
        <v>0</v>
      </c>
      <c r="F75" s="306">
        <v>1</v>
      </c>
      <c r="G75" s="306">
        <v>0</v>
      </c>
      <c r="H75" s="306">
        <v>0</v>
      </c>
      <c r="I75" s="306">
        <v>1</v>
      </c>
      <c r="J75" s="306">
        <v>1</v>
      </c>
      <c r="K75" s="306"/>
      <c r="L75" s="306"/>
      <c r="M75" s="306"/>
      <c r="N75" s="388"/>
      <c r="O75" s="281"/>
      <c r="P75" s="281"/>
      <c r="Q75" s="281"/>
      <c r="R75" s="281"/>
      <c r="S75" s="281"/>
      <c r="T75" s="281"/>
      <c r="U75" s="281"/>
      <c r="V75" s="281"/>
      <c r="W75" s="281"/>
      <c r="X75" s="281"/>
      <c r="Y75" s="281"/>
      <c r="Z75" s="281"/>
      <c r="AA75" s="281"/>
      <c r="AB75" s="281"/>
      <c r="AC75" s="281"/>
      <c r="AD75" s="281"/>
      <c r="AE75" s="281"/>
    </row>
    <row r="76" spans="2:31" ht="15">
      <c r="B76" s="386">
        <f t="shared" si="4"/>
        <v>31</v>
      </c>
      <c r="C76" s="394" t="str" cm="1">
        <f t="array" ref="C76">IF(B76&lt;=$C$9,GetGetCDSName(B76),"")</f>
        <v>CONTINENTAL_MMR.EUR.SU</v>
      </c>
      <c r="D76" s="354">
        <v>0</v>
      </c>
      <c r="E76" s="387">
        <v>0</v>
      </c>
      <c r="F76" s="306">
        <v>0</v>
      </c>
      <c r="G76" s="306">
        <v>1</v>
      </c>
      <c r="H76" s="306">
        <v>1</v>
      </c>
      <c r="I76" s="306">
        <v>0</v>
      </c>
      <c r="J76" s="306">
        <v>1</v>
      </c>
      <c r="K76" s="306"/>
      <c r="L76" s="306"/>
      <c r="M76" s="306"/>
      <c r="N76" s="388"/>
      <c r="O76" s="281"/>
      <c r="P76" s="281"/>
      <c r="Q76" s="281"/>
      <c r="R76" s="281"/>
      <c r="S76" s="281"/>
      <c r="T76" s="281"/>
      <c r="U76" s="281"/>
      <c r="V76" s="281"/>
      <c r="W76" s="281"/>
      <c r="X76" s="281"/>
      <c r="Y76" s="281"/>
      <c r="Z76" s="281"/>
      <c r="AA76" s="281"/>
      <c r="AB76" s="281"/>
      <c r="AC76" s="281"/>
      <c r="AD76" s="281"/>
      <c r="AE76" s="281"/>
    </row>
    <row r="77" spans="2:31" ht="15">
      <c r="B77" s="386">
        <f t="shared" si="4"/>
        <v>32</v>
      </c>
      <c r="C77" s="394" t="str" cm="1">
        <f t="array" ref="C77">IF(B77&lt;=$C$9,GetGetCDSName(B77),"")</f>
        <v>CREDITAGRICOLE_MMR.EUR.SU</v>
      </c>
      <c r="D77" s="354">
        <v>0</v>
      </c>
      <c r="E77" s="387">
        <v>0</v>
      </c>
      <c r="F77" s="306">
        <v>0</v>
      </c>
      <c r="G77" s="306">
        <v>1</v>
      </c>
      <c r="H77" s="306">
        <v>0</v>
      </c>
      <c r="I77" s="306">
        <v>0</v>
      </c>
      <c r="J77" s="306">
        <v>1</v>
      </c>
      <c r="K77" s="306"/>
      <c r="L77" s="306"/>
      <c r="M77" s="306"/>
      <c r="N77" s="388"/>
      <c r="O77" s="281"/>
      <c r="P77" s="281"/>
      <c r="Q77" s="281"/>
      <c r="R77" s="281"/>
      <c r="S77" s="281"/>
      <c r="T77" s="281"/>
      <c r="U77" s="281"/>
      <c r="V77" s="281"/>
      <c r="W77" s="281"/>
      <c r="X77" s="281"/>
      <c r="Y77" s="281"/>
      <c r="Z77" s="281"/>
      <c r="AA77" s="281"/>
      <c r="AB77" s="281"/>
      <c r="AC77" s="281"/>
      <c r="AD77" s="281"/>
      <c r="AE77" s="281"/>
    </row>
    <row r="78" spans="2:31" ht="15">
      <c r="B78" s="386">
        <f t="shared" si="4"/>
        <v>33</v>
      </c>
      <c r="C78" s="394" t="str" cm="1">
        <f t="array" ref="C78">IF(B78&lt;=$C$9,GetGetCDSName(B78),"")</f>
        <v>CREDITSUISSEGROUP_MMR.EUR.SU</v>
      </c>
      <c r="D78" s="354">
        <v>0</v>
      </c>
      <c r="E78" s="387">
        <v>1</v>
      </c>
      <c r="F78" s="306">
        <v>0</v>
      </c>
      <c r="G78" s="306">
        <v>0</v>
      </c>
      <c r="H78" s="306">
        <v>1</v>
      </c>
      <c r="I78" s="306">
        <v>0</v>
      </c>
      <c r="J78" s="306">
        <v>0</v>
      </c>
      <c r="K78" s="306"/>
      <c r="L78" s="306"/>
      <c r="M78" s="306"/>
      <c r="N78" s="388"/>
      <c r="O78" s="281"/>
      <c r="P78" s="281"/>
      <c r="Q78" s="281"/>
      <c r="R78" s="281"/>
      <c r="S78" s="281"/>
      <c r="T78" s="281"/>
      <c r="U78" s="281"/>
      <c r="V78" s="281"/>
      <c r="W78" s="281"/>
      <c r="X78" s="281"/>
      <c r="Y78" s="281"/>
      <c r="Z78" s="281"/>
      <c r="AA78" s="281"/>
      <c r="AB78" s="281"/>
      <c r="AC78" s="281"/>
      <c r="AD78" s="281"/>
      <c r="AE78" s="281"/>
    </row>
    <row r="79" spans="2:31" ht="15">
      <c r="B79" s="386">
        <f t="shared" si="4"/>
        <v>34</v>
      </c>
      <c r="C79" s="394" t="str" cm="1">
        <f t="array" ref="C79">IF(B79&lt;=$C$9,GetGetCDSName(B79),"")</f>
        <v>DAIMLERCHRYSLER_MMR.EUR.SU</v>
      </c>
      <c r="D79" s="354">
        <v>0</v>
      </c>
      <c r="E79" s="387">
        <v>1</v>
      </c>
      <c r="F79" s="306">
        <v>0</v>
      </c>
      <c r="G79" s="306">
        <v>1</v>
      </c>
      <c r="H79" s="306">
        <v>0</v>
      </c>
      <c r="I79" s="306">
        <v>0</v>
      </c>
      <c r="J79" s="306">
        <v>1</v>
      </c>
      <c r="K79" s="306"/>
      <c r="L79" s="306"/>
      <c r="M79" s="306"/>
      <c r="N79" s="388"/>
      <c r="O79" s="281"/>
      <c r="P79" s="281"/>
      <c r="Q79" s="281"/>
      <c r="R79" s="281"/>
      <c r="S79" s="281"/>
      <c r="T79" s="281"/>
      <c r="U79" s="281"/>
      <c r="V79" s="281"/>
      <c r="W79" s="281"/>
      <c r="X79" s="281"/>
      <c r="Y79" s="281"/>
      <c r="Z79" s="281"/>
      <c r="AA79" s="281"/>
      <c r="AB79" s="281"/>
      <c r="AC79" s="281"/>
      <c r="AD79" s="281"/>
      <c r="AE79" s="281"/>
    </row>
    <row r="80" spans="2:31" ht="15">
      <c r="B80" s="386">
        <f t="shared" si="4"/>
        <v>35</v>
      </c>
      <c r="C80" s="394" t="str" cm="1">
        <f t="array" ref="C80">IF(B80&lt;=$C$9,GetGetCDSName(B80),"")</f>
        <v>DANONE_MMR.EUR.SU</v>
      </c>
      <c r="D80" s="354">
        <v>0</v>
      </c>
      <c r="E80" s="387">
        <v>0</v>
      </c>
      <c r="F80" s="306">
        <v>1</v>
      </c>
      <c r="G80" s="306">
        <v>1</v>
      </c>
      <c r="H80" s="306">
        <v>1</v>
      </c>
      <c r="I80" s="306">
        <v>0</v>
      </c>
      <c r="J80" s="306">
        <v>0</v>
      </c>
      <c r="K80" s="306"/>
      <c r="L80" s="306"/>
      <c r="M80" s="306"/>
      <c r="N80" s="388"/>
      <c r="O80" s="281"/>
      <c r="P80" s="281"/>
      <c r="Q80" s="281"/>
      <c r="R80" s="281"/>
      <c r="S80" s="281"/>
      <c r="T80" s="281"/>
      <c r="U80" s="281"/>
      <c r="V80" s="281"/>
      <c r="W80" s="281"/>
      <c r="X80" s="281"/>
      <c r="Y80" s="281"/>
      <c r="Z80" s="281"/>
      <c r="AA80" s="281"/>
      <c r="AB80" s="281"/>
      <c r="AC80" s="281"/>
      <c r="AD80" s="281"/>
      <c r="AE80" s="281"/>
    </row>
    <row r="81" spans="2:31" ht="15">
      <c r="B81" s="386">
        <f t="shared" si="4"/>
        <v>36</v>
      </c>
      <c r="C81" s="394" t="str" cm="1">
        <f t="array" ref="C81">IF(B81&lt;=$C$9,GetGetCDSName(B81),"")</f>
        <v>DEUTSCHEBANK_MMR.EUR.SU</v>
      </c>
      <c r="D81" s="354">
        <v>0</v>
      </c>
      <c r="E81" s="387">
        <v>0</v>
      </c>
      <c r="F81" s="306">
        <v>1</v>
      </c>
      <c r="G81" s="306">
        <v>0</v>
      </c>
      <c r="H81" s="306">
        <v>0</v>
      </c>
      <c r="I81" s="306">
        <v>1</v>
      </c>
      <c r="J81" s="306">
        <v>0</v>
      </c>
      <c r="K81" s="306"/>
      <c r="L81" s="306"/>
      <c r="M81" s="306"/>
      <c r="N81" s="388"/>
      <c r="O81" s="281"/>
      <c r="P81" s="281"/>
      <c r="Q81" s="281"/>
      <c r="R81" s="281"/>
      <c r="S81" s="281"/>
      <c r="T81" s="281"/>
      <c r="U81" s="281"/>
      <c r="V81" s="281"/>
      <c r="W81" s="281"/>
      <c r="X81" s="281"/>
      <c r="Y81" s="281"/>
      <c r="Z81" s="281"/>
      <c r="AA81" s="281"/>
      <c r="AB81" s="281"/>
      <c r="AC81" s="281"/>
      <c r="AD81" s="281"/>
      <c r="AE81" s="281"/>
    </row>
    <row r="82" spans="2:31" ht="15">
      <c r="B82" s="386">
        <f t="shared" si="4"/>
        <v>37</v>
      </c>
      <c r="C82" s="394" t="str" cm="1">
        <f t="array" ref="C82">IF(B82&lt;=$C$9,GetGetCDSName(B82),"")</f>
        <v>DEUTSCHEPOSTAG_MMR.EUR.SU</v>
      </c>
      <c r="D82" s="354">
        <v>0</v>
      </c>
      <c r="E82" s="387">
        <v>0</v>
      </c>
      <c r="F82" s="306">
        <v>0</v>
      </c>
      <c r="G82" s="306">
        <v>1</v>
      </c>
      <c r="H82" s="306">
        <v>0</v>
      </c>
      <c r="I82" s="306">
        <v>1</v>
      </c>
      <c r="J82" s="306">
        <v>0</v>
      </c>
      <c r="K82" s="306"/>
      <c r="L82" s="306"/>
      <c r="M82" s="306"/>
      <c r="N82" s="388"/>
      <c r="O82" s="281"/>
      <c r="P82" s="281"/>
      <c r="Q82" s="281"/>
      <c r="R82" s="281"/>
      <c r="S82" s="281"/>
      <c r="T82" s="281"/>
      <c r="U82" s="281"/>
      <c r="V82" s="281"/>
      <c r="W82" s="281"/>
      <c r="X82" s="281"/>
      <c r="Y82" s="281"/>
      <c r="Z82" s="281"/>
      <c r="AA82" s="281"/>
      <c r="AB82" s="281"/>
      <c r="AC82" s="281"/>
      <c r="AD82" s="281"/>
      <c r="AE82" s="281"/>
    </row>
    <row r="83" spans="2:31" ht="15">
      <c r="B83" s="386">
        <f t="shared" si="4"/>
        <v>38</v>
      </c>
      <c r="C83" s="394" t="str" cm="1">
        <f t="array" ref="C83">IF(B83&lt;=$C$9,GetGetCDSName(B83),"")</f>
        <v>DEUTSCHETELEKOM_MMR.EUR.SU</v>
      </c>
      <c r="D83" s="354">
        <v>0</v>
      </c>
      <c r="E83" s="387">
        <v>0</v>
      </c>
      <c r="F83" s="306">
        <v>1</v>
      </c>
      <c r="G83" s="306">
        <v>0</v>
      </c>
      <c r="H83" s="306">
        <v>0</v>
      </c>
      <c r="I83" s="306">
        <v>0</v>
      </c>
      <c r="J83" s="306">
        <v>1</v>
      </c>
      <c r="K83" s="306"/>
      <c r="L83" s="306"/>
      <c r="M83" s="306"/>
      <c r="N83" s="388"/>
      <c r="O83" s="281"/>
      <c r="P83" s="281"/>
      <c r="Q83" s="281"/>
      <c r="R83" s="281"/>
      <c r="S83" s="281"/>
      <c r="T83" s="281"/>
      <c r="U83" s="281"/>
      <c r="V83" s="281"/>
      <c r="W83" s="281"/>
      <c r="X83" s="281"/>
      <c r="Y83" s="281"/>
      <c r="Z83" s="281"/>
      <c r="AA83" s="281"/>
      <c r="AB83" s="281"/>
      <c r="AC83" s="281"/>
      <c r="AD83" s="281"/>
      <c r="AE83" s="281"/>
    </row>
    <row r="84" spans="2:31" ht="15">
      <c r="B84" s="386">
        <f t="shared" si="4"/>
        <v>39</v>
      </c>
      <c r="C84" s="394" t="str" cm="1">
        <f t="array" ref="C84">IF(B84&lt;=$C$9,GetGetCDSName(B84),"")</f>
        <v>DIAGEO_MMR.EUR.SU</v>
      </c>
      <c r="D84" s="354">
        <v>0</v>
      </c>
      <c r="E84" s="387">
        <v>1</v>
      </c>
      <c r="F84" s="306">
        <v>0</v>
      </c>
      <c r="G84" s="306">
        <v>0</v>
      </c>
      <c r="H84" s="306">
        <v>0</v>
      </c>
      <c r="I84" s="306">
        <v>1</v>
      </c>
      <c r="J84" s="306">
        <v>0</v>
      </c>
      <c r="K84" s="306"/>
      <c r="L84" s="306"/>
      <c r="M84" s="306"/>
      <c r="N84" s="388"/>
      <c r="O84" s="281"/>
      <c r="P84" s="281"/>
      <c r="Q84" s="281"/>
      <c r="R84" s="281"/>
      <c r="S84" s="281"/>
      <c r="T84" s="281"/>
      <c r="U84" s="281"/>
      <c r="V84" s="281"/>
      <c r="W84" s="281"/>
      <c r="X84" s="281"/>
      <c r="Y84" s="281"/>
      <c r="Z84" s="281"/>
      <c r="AA84" s="281"/>
      <c r="AB84" s="281"/>
      <c r="AC84" s="281"/>
      <c r="AD84" s="281"/>
      <c r="AE84" s="281"/>
    </row>
    <row r="85" spans="2:31" ht="15">
      <c r="B85" s="386">
        <f t="shared" si="4"/>
        <v>40</v>
      </c>
      <c r="C85" s="394" t="str" cm="1">
        <f t="array" ref="C85">IF(B85&lt;=$C$9,GetGetCDSName(B85),"")</f>
        <v>DIXONSGROUPPLC_MMR.EUR.SU</v>
      </c>
      <c r="D85" s="354">
        <v>0</v>
      </c>
      <c r="E85" s="387">
        <v>0</v>
      </c>
      <c r="F85" s="306">
        <v>0</v>
      </c>
      <c r="G85" s="306">
        <v>0</v>
      </c>
      <c r="H85" s="306">
        <v>1</v>
      </c>
      <c r="I85" s="306">
        <v>1</v>
      </c>
      <c r="J85" s="306">
        <v>1</v>
      </c>
      <c r="K85" s="306"/>
      <c r="L85" s="306"/>
      <c r="M85" s="306"/>
      <c r="N85" s="388"/>
      <c r="O85" s="281"/>
      <c r="P85" s="281"/>
      <c r="Q85" s="281"/>
      <c r="R85" s="281"/>
      <c r="S85" s="281"/>
      <c r="T85" s="281"/>
      <c r="U85" s="281"/>
      <c r="V85" s="281"/>
      <c r="W85" s="281"/>
      <c r="X85" s="281"/>
      <c r="Y85" s="281"/>
      <c r="Z85" s="281"/>
      <c r="AA85" s="281"/>
      <c r="AB85" s="281"/>
      <c r="AC85" s="281"/>
      <c r="AD85" s="281"/>
      <c r="AE85" s="281"/>
    </row>
    <row r="86" spans="2:31" ht="15">
      <c r="B86" s="386">
        <f t="shared" si="4"/>
        <v>41</v>
      </c>
      <c r="C86" s="394" t="str" cm="1">
        <f t="array" ref="C86">IF(B86&lt;=$C$9,GetGetCDSName(B86),"")</f>
        <v>DSM_MMR.EUR.SU</v>
      </c>
      <c r="D86" s="354">
        <v>0</v>
      </c>
      <c r="E86" s="387">
        <v>0</v>
      </c>
      <c r="F86" s="306">
        <v>0</v>
      </c>
      <c r="G86" s="306">
        <v>0</v>
      </c>
      <c r="H86" s="306">
        <v>1</v>
      </c>
      <c r="I86" s="306">
        <v>0</v>
      </c>
      <c r="J86" s="306">
        <v>1</v>
      </c>
      <c r="K86" s="306"/>
      <c r="L86" s="306"/>
      <c r="M86" s="306"/>
      <c r="N86" s="388"/>
      <c r="O86" s="281"/>
      <c r="P86" s="281"/>
      <c r="Q86" s="281"/>
      <c r="R86" s="281"/>
      <c r="S86" s="281"/>
      <c r="T86" s="281"/>
      <c r="U86" s="281"/>
      <c r="V86" s="281"/>
      <c r="W86" s="281"/>
      <c r="X86" s="281"/>
      <c r="Y86" s="281"/>
      <c r="Z86" s="281"/>
      <c r="AA86" s="281"/>
      <c r="AB86" s="281"/>
      <c r="AC86" s="281"/>
      <c r="AD86" s="281"/>
      <c r="AE86" s="281"/>
    </row>
    <row r="87" spans="2:31" ht="15">
      <c r="B87" s="386">
        <f t="shared" si="4"/>
        <v>42</v>
      </c>
      <c r="C87" s="394" t="str" cm="1">
        <f t="array" ref="C87">IF(B87&lt;=$C$9,GetGetCDSName(B87),"")</f>
        <v>EADS_MMR.EUR.SU</v>
      </c>
      <c r="D87" s="354">
        <v>0</v>
      </c>
      <c r="E87" s="387">
        <v>1</v>
      </c>
      <c r="F87" s="306">
        <v>0</v>
      </c>
      <c r="G87" s="306">
        <v>1</v>
      </c>
      <c r="H87" s="306">
        <v>0</v>
      </c>
      <c r="I87" s="306">
        <v>0</v>
      </c>
      <c r="J87" s="306">
        <v>0</v>
      </c>
      <c r="K87" s="306"/>
      <c r="L87" s="306"/>
      <c r="M87" s="306"/>
      <c r="N87" s="388"/>
      <c r="O87" s="281"/>
      <c r="P87" s="281"/>
      <c r="Q87" s="281"/>
      <c r="R87" s="281"/>
      <c r="S87" s="281"/>
      <c r="T87" s="281"/>
      <c r="U87" s="281"/>
      <c r="V87" s="281"/>
      <c r="W87" s="281"/>
      <c r="X87" s="281"/>
      <c r="Y87" s="281"/>
      <c r="Z87" s="281"/>
      <c r="AA87" s="281"/>
      <c r="AB87" s="281"/>
      <c r="AC87" s="281"/>
      <c r="AD87" s="281"/>
      <c r="AE87" s="281"/>
    </row>
    <row r="88" spans="2:31" ht="15">
      <c r="B88" s="386">
        <f t="shared" si="4"/>
        <v>43</v>
      </c>
      <c r="C88" s="394" t="str" cm="1">
        <f t="array" ref="C88">IF(B88&lt;=$C$9,GetGetCDSName(B88),"")</f>
        <v>EDF_MMR.EUR.SU</v>
      </c>
      <c r="D88" s="354">
        <v>0</v>
      </c>
      <c r="E88" s="387">
        <v>0</v>
      </c>
      <c r="F88" s="306">
        <v>1</v>
      </c>
      <c r="G88" s="306">
        <v>0</v>
      </c>
      <c r="H88" s="306">
        <v>0</v>
      </c>
      <c r="I88" s="306">
        <v>0</v>
      </c>
      <c r="J88" s="306">
        <v>0</v>
      </c>
      <c r="K88" s="306"/>
      <c r="L88" s="306"/>
      <c r="M88" s="306"/>
      <c r="N88" s="388"/>
      <c r="O88" s="281"/>
      <c r="P88" s="281"/>
      <c r="Q88" s="281"/>
      <c r="R88" s="281"/>
      <c r="S88" s="281"/>
      <c r="T88" s="281"/>
      <c r="U88" s="281"/>
      <c r="V88" s="281"/>
      <c r="W88" s="281"/>
      <c r="X88" s="281"/>
      <c r="Y88" s="281"/>
      <c r="Z88" s="281"/>
      <c r="AA88" s="281"/>
      <c r="AB88" s="281"/>
      <c r="AC88" s="281"/>
      <c r="AD88" s="281"/>
      <c r="AE88" s="281"/>
    </row>
    <row r="89" spans="2:31" ht="15">
      <c r="B89" s="386">
        <f t="shared" si="4"/>
        <v>44</v>
      </c>
      <c r="C89" s="394" t="str" cm="1">
        <f t="array" ref="C89">IF(B89&lt;=$C$9,GetGetCDSName(B89),"")</f>
        <v>EDISON_MMR.EUR.SU</v>
      </c>
      <c r="D89" s="354">
        <v>0</v>
      </c>
      <c r="E89" s="387">
        <v>1</v>
      </c>
      <c r="F89" s="306">
        <v>0</v>
      </c>
      <c r="G89" s="306">
        <v>0</v>
      </c>
      <c r="H89" s="306">
        <v>0</v>
      </c>
      <c r="I89" s="306">
        <v>0</v>
      </c>
      <c r="J89" s="306">
        <v>0</v>
      </c>
      <c r="K89" s="306"/>
      <c r="L89" s="306"/>
      <c r="M89" s="306"/>
      <c r="N89" s="388"/>
      <c r="O89" s="281"/>
      <c r="P89" s="281"/>
      <c r="Q89" s="281"/>
      <c r="R89" s="281"/>
      <c r="S89" s="281"/>
      <c r="T89" s="281"/>
      <c r="U89" s="281"/>
      <c r="V89" s="281"/>
      <c r="W89" s="281"/>
      <c r="X89" s="281"/>
      <c r="Y89" s="281"/>
      <c r="Z89" s="281"/>
      <c r="AA89" s="281"/>
      <c r="AB89" s="281"/>
      <c r="AC89" s="281"/>
      <c r="AD89" s="281"/>
      <c r="AE89" s="281"/>
    </row>
    <row r="90" spans="2:31" ht="15">
      <c r="B90" s="386">
        <f t="shared" si="4"/>
        <v>45</v>
      </c>
      <c r="C90" s="394" t="str" cm="1">
        <f t="array" ref="C90">IF(B90&lt;=$C$9,GetGetCDSName(B90),"")</f>
        <v>ELECTRICITEDEPORTUGAL_MMR.EUR.SU</v>
      </c>
      <c r="D90" s="354">
        <v>0</v>
      </c>
      <c r="E90" s="387">
        <v>0</v>
      </c>
      <c r="F90" s="306">
        <v>0</v>
      </c>
      <c r="G90" s="306">
        <v>1</v>
      </c>
      <c r="H90" s="306">
        <v>0</v>
      </c>
      <c r="I90" s="306">
        <v>0</v>
      </c>
      <c r="J90" s="306">
        <v>0</v>
      </c>
      <c r="K90" s="306"/>
      <c r="L90" s="306"/>
      <c r="M90" s="306"/>
      <c r="N90" s="388"/>
      <c r="O90" s="281"/>
      <c r="P90" s="281"/>
      <c r="Q90" s="281"/>
      <c r="R90" s="281"/>
      <c r="S90" s="281"/>
      <c r="T90" s="281"/>
      <c r="U90" s="281"/>
      <c r="V90" s="281"/>
      <c r="W90" s="281"/>
      <c r="X90" s="281"/>
      <c r="Y90" s="281"/>
      <c r="Z90" s="281"/>
      <c r="AA90" s="281"/>
      <c r="AB90" s="281"/>
      <c r="AC90" s="281"/>
      <c r="AD90" s="281"/>
      <c r="AE90" s="281"/>
    </row>
    <row r="91" spans="2:31" ht="15">
      <c r="B91" s="386">
        <f t="shared" si="4"/>
        <v>46</v>
      </c>
      <c r="C91" s="394" t="str" cm="1">
        <f t="array" ref="C91">IF(B91&lt;=$C$9,GetGetCDSName(B91),"")</f>
        <v>ELECTROLUX_MMR.EUR.SU</v>
      </c>
      <c r="D91" s="354">
        <v>0</v>
      </c>
      <c r="E91" s="387">
        <v>1</v>
      </c>
      <c r="F91" s="306">
        <v>1</v>
      </c>
      <c r="G91" s="306">
        <v>1</v>
      </c>
      <c r="H91" s="306">
        <v>0</v>
      </c>
      <c r="I91" s="306">
        <v>0</v>
      </c>
      <c r="J91" s="306">
        <v>0</v>
      </c>
      <c r="K91" s="306"/>
      <c r="L91" s="306"/>
      <c r="M91" s="306"/>
      <c r="N91" s="388"/>
      <c r="O91" s="281"/>
      <c r="P91" s="281"/>
      <c r="Q91" s="281"/>
      <c r="R91" s="281"/>
      <c r="S91" s="281"/>
      <c r="T91" s="281"/>
      <c r="U91" s="281"/>
      <c r="V91" s="281"/>
      <c r="W91" s="281"/>
      <c r="X91" s="281"/>
      <c r="Y91" s="281"/>
      <c r="Z91" s="281"/>
      <c r="AA91" s="281"/>
      <c r="AB91" s="281"/>
      <c r="AC91" s="281"/>
      <c r="AD91" s="281"/>
      <c r="AE91" s="281"/>
    </row>
    <row r="92" spans="2:31" ht="15">
      <c r="B92" s="386">
        <f t="shared" si="4"/>
        <v>47</v>
      </c>
      <c r="C92" s="394" t="str" cm="1">
        <f t="array" ref="C92">IF(B92&lt;=$C$9,GetGetCDSName(B92),"")</f>
        <v>ENDESA_MMR.EUR.SU</v>
      </c>
      <c r="D92" s="354">
        <v>0</v>
      </c>
      <c r="E92" s="387">
        <v>0</v>
      </c>
      <c r="F92" s="306">
        <v>1</v>
      </c>
      <c r="G92" s="306">
        <v>0</v>
      </c>
      <c r="H92" s="306">
        <v>1</v>
      </c>
      <c r="I92" s="306">
        <v>1</v>
      </c>
      <c r="J92" s="306">
        <v>0</v>
      </c>
      <c r="K92" s="306"/>
      <c r="L92" s="306"/>
      <c r="M92" s="306"/>
      <c r="N92" s="388"/>
      <c r="O92" s="281"/>
      <c r="P92" s="281"/>
      <c r="Q92" s="281"/>
      <c r="R92" s="281"/>
      <c r="S92" s="281"/>
      <c r="T92" s="281"/>
      <c r="U92" s="281"/>
      <c r="V92" s="281"/>
      <c r="W92" s="281"/>
      <c r="X92" s="281"/>
      <c r="Y92" s="281"/>
      <c r="Z92" s="281"/>
      <c r="AA92" s="281"/>
      <c r="AB92" s="281"/>
      <c r="AC92" s="281"/>
      <c r="AD92" s="281"/>
      <c r="AE92" s="281"/>
    </row>
    <row r="93" spans="2:31" ht="15">
      <c r="B93" s="386">
        <f t="shared" si="4"/>
        <v>48</v>
      </c>
      <c r="C93" s="394" t="str" cm="1">
        <f t="array" ref="C93">IF(B93&lt;=$C$9,GetGetCDSName(B93),"")</f>
        <v>ENEL_MMR.EUR.SU</v>
      </c>
      <c r="D93" s="354">
        <v>0</v>
      </c>
      <c r="E93" s="387">
        <v>1</v>
      </c>
      <c r="F93" s="306">
        <v>1</v>
      </c>
      <c r="G93" s="306">
        <v>1</v>
      </c>
      <c r="H93" s="306">
        <v>0</v>
      </c>
      <c r="I93" s="306">
        <v>0</v>
      </c>
      <c r="J93" s="306">
        <v>0</v>
      </c>
      <c r="K93" s="306"/>
      <c r="L93" s="306"/>
      <c r="M93" s="306"/>
      <c r="N93" s="388"/>
      <c r="O93" s="281"/>
      <c r="P93" s="281"/>
      <c r="Q93" s="281"/>
      <c r="R93" s="281"/>
      <c r="S93" s="281"/>
      <c r="T93" s="281"/>
      <c r="U93" s="281"/>
      <c r="V93" s="281"/>
      <c r="W93" s="281"/>
      <c r="X93" s="281"/>
      <c r="Y93" s="281"/>
      <c r="Z93" s="281"/>
      <c r="AA93" s="281"/>
      <c r="AB93" s="281"/>
      <c r="AC93" s="281"/>
      <c r="AD93" s="281"/>
      <c r="AE93" s="281"/>
    </row>
    <row r="94" spans="2:31" ht="15">
      <c r="B94" s="386">
        <f t="shared" si="4"/>
        <v>49</v>
      </c>
      <c r="C94" s="394" t="str" cm="1">
        <f t="array" ref="C94">IF(B94&lt;=$C$9,GetGetCDSName(B94),"")</f>
        <v>ENERGIEBADENWUERTTEMBERG_MMR.EUR.SU</v>
      </c>
      <c r="D94" s="354">
        <v>0</v>
      </c>
      <c r="E94" s="387">
        <v>0</v>
      </c>
      <c r="F94" s="306">
        <v>1</v>
      </c>
      <c r="G94" s="306">
        <v>0</v>
      </c>
      <c r="H94" s="306">
        <v>0</v>
      </c>
      <c r="I94" s="306">
        <v>0</v>
      </c>
      <c r="J94" s="306">
        <v>1</v>
      </c>
      <c r="K94" s="306"/>
      <c r="L94" s="306"/>
      <c r="M94" s="306"/>
      <c r="N94" s="388"/>
      <c r="O94" s="281"/>
      <c r="P94" s="281"/>
      <c r="Q94" s="281"/>
      <c r="R94" s="281"/>
      <c r="S94" s="281"/>
      <c r="T94" s="281"/>
      <c r="U94" s="281"/>
      <c r="V94" s="281"/>
      <c r="W94" s="281"/>
      <c r="X94" s="281"/>
      <c r="Y94" s="281"/>
      <c r="Z94" s="281"/>
      <c r="AA94" s="281"/>
      <c r="AB94" s="281"/>
      <c r="AC94" s="281"/>
      <c r="AD94" s="281"/>
      <c r="AE94" s="281"/>
    </row>
    <row r="95" spans="2:31" ht="15">
      <c r="B95" s="386">
        <f t="shared" si="4"/>
        <v>50</v>
      </c>
      <c r="C95" s="394" t="str" cm="1">
        <f t="array" ref="C95">IF(B95&lt;=$C$9,GetGetCDSName(B95),"")</f>
        <v>EON_MMR.EUR.SU</v>
      </c>
      <c r="D95" s="354">
        <v>0</v>
      </c>
      <c r="E95" s="387">
        <v>0</v>
      </c>
      <c r="F95" s="306">
        <v>0</v>
      </c>
      <c r="G95" s="306">
        <v>1</v>
      </c>
      <c r="H95" s="306">
        <v>0</v>
      </c>
      <c r="I95" s="306">
        <v>0</v>
      </c>
      <c r="J95" s="306">
        <v>0</v>
      </c>
      <c r="K95" s="306"/>
      <c r="L95" s="306"/>
      <c r="M95" s="306"/>
      <c r="N95" s="388"/>
      <c r="O95" s="281"/>
      <c r="P95" s="281"/>
      <c r="Q95" s="281"/>
      <c r="R95" s="281"/>
      <c r="S95" s="281"/>
      <c r="T95" s="281"/>
      <c r="U95" s="281"/>
      <c r="V95" s="281"/>
      <c r="W95" s="281"/>
      <c r="X95" s="281"/>
      <c r="Y95" s="281"/>
      <c r="Z95" s="281"/>
      <c r="AA95" s="281"/>
      <c r="AB95" s="281"/>
      <c r="AC95" s="281"/>
      <c r="AD95" s="281"/>
      <c r="AE95" s="281"/>
    </row>
    <row r="96" spans="2:31" ht="15">
      <c r="B96" s="386">
        <f t="shared" si="4"/>
        <v>51</v>
      </c>
      <c r="C96" s="394" t="str" cm="1">
        <f t="array" ref="C96">IF(B96&lt;=$C$9,GetGetCDSName(B96),"")</f>
        <v>FORTUMOYJ_MMR.EUR.SU</v>
      </c>
      <c r="D96" s="354">
        <v>0</v>
      </c>
      <c r="E96" s="387">
        <v>0</v>
      </c>
      <c r="F96" s="306">
        <v>0</v>
      </c>
      <c r="G96" s="306">
        <v>0</v>
      </c>
      <c r="H96" s="306">
        <v>0</v>
      </c>
      <c r="I96" s="306">
        <v>1</v>
      </c>
      <c r="J96" s="306">
        <v>0</v>
      </c>
      <c r="K96" s="306"/>
      <c r="L96" s="306"/>
      <c r="M96" s="306"/>
      <c r="N96" s="388"/>
      <c r="O96" s="281"/>
      <c r="P96" s="281"/>
      <c r="Q96" s="281"/>
      <c r="R96" s="281"/>
      <c r="S96" s="281"/>
      <c r="T96" s="281"/>
      <c r="U96" s="281"/>
      <c r="V96" s="281"/>
      <c r="W96" s="281"/>
      <c r="X96" s="281"/>
      <c r="Y96" s="281"/>
      <c r="Z96" s="281"/>
      <c r="AA96" s="281"/>
      <c r="AB96" s="281"/>
      <c r="AC96" s="281"/>
      <c r="AD96" s="281"/>
      <c r="AE96" s="281"/>
    </row>
    <row r="97" spans="2:31" ht="15">
      <c r="B97" s="386">
        <f t="shared" si="4"/>
        <v>52</v>
      </c>
      <c r="C97" s="394" t="str" cm="1">
        <f t="array" ref="C97">IF(B97&lt;=$C$9,GetGetCDSName(B97),"")</f>
        <v>FRANCETELECOM_MMR.EUR.SU</v>
      </c>
      <c r="D97" s="354">
        <v>0</v>
      </c>
      <c r="E97" s="387">
        <v>1</v>
      </c>
      <c r="F97" s="306">
        <v>0</v>
      </c>
      <c r="G97" s="306">
        <v>0</v>
      </c>
      <c r="H97" s="306">
        <v>1</v>
      </c>
      <c r="I97" s="306">
        <v>0</v>
      </c>
      <c r="J97" s="306">
        <v>1</v>
      </c>
      <c r="K97" s="306"/>
      <c r="L97" s="306"/>
      <c r="M97" s="306"/>
      <c r="N97" s="388"/>
      <c r="O97" s="281"/>
      <c r="P97" s="281"/>
      <c r="Q97" s="281"/>
      <c r="R97" s="281"/>
      <c r="S97" s="281"/>
      <c r="T97" s="281"/>
      <c r="U97" s="281"/>
      <c r="V97" s="281"/>
      <c r="W97" s="281"/>
      <c r="X97" s="281"/>
      <c r="Y97" s="281"/>
      <c r="Z97" s="281"/>
      <c r="AA97" s="281"/>
      <c r="AB97" s="281"/>
      <c r="AC97" s="281"/>
      <c r="AD97" s="281"/>
      <c r="AE97" s="281"/>
    </row>
    <row r="98" spans="2:31" ht="15">
      <c r="B98" s="386">
        <f t="shared" si="4"/>
        <v>53</v>
      </c>
      <c r="C98" s="394" t="str" cm="1">
        <f t="array" ref="C98">IF(B98&lt;=$C$9,GetGetCDSName(B98),"")</f>
        <v>GALLAHERGROUPPLC_MMR.EUR.SU</v>
      </c>
      <c r="D98" s="354">
        <v>0</v>
      </c>
      <c r="E98" s="387">
        <v>0</v>
      </c>
      <c r="F98" s="306">
        <v>0</v>
      </c>
      <c r="G98" s="306">
        <v>0</v>
      </c>
      <c r="H98" s="306">
        <v>1</v>
      </c>
      <c r="I98" s="306">
        <v>1</v>
      </c>
      <c r="J98" s="306">
        <v>1</v>
      </c>
      <c r="K98" s="306"/>
      <c r="L98" s="306"/>
      <c r="M98" s="306"/>
      <c r="N98" s="388"/>
      <c r="O98" s="281"/>
      <c r="P98" s="281"/>
      <c r="Q98" s="281"/>
      <c r="R98" s="281"/>
      <c r="S98" s="281"/>
      <c r="T98" s="281"/>
      <c r="U98" s="281"/>
      <c r="V98" s="281"/>
      <c r="W98" s="281"/>
      <c r="X98" s="281"/>
      <c r="Y98" s="281"/>
      <c r="Z98" s="281"/>
      <c r="AA98" s="281"/>
      <c r="AB98" s="281"/>
      <c r="AC98" s="281"/>
      <c r="AD98" s="281"/>
      <c r="AE98" s="281"/>
    </row>
    <row r="99" spans="2:31" ht="15">
      <c r="B99" s="386">
        <f t="shared" si="4"/>
        <v>54</v>
      </c>
      <c r="C99" s="394" t="str" cm="1">
        <f t="array" ref="C99">IF(B99&lt;=$C$9,GetGetCDSName(B99),"")</f>
        <v>GASNATURALSDGSA_MMR.EUR.SU</v>
      </c>
      <c r="D99" s="354">
        <v>0</v>
      </c>
      <c r="E99" s="387">
        <v>1</v>
      </c>
      <c r="F99" s="306">
        <v>0</v>
      </c>
      <c r="G99" s="306">
        <v>0</v>
      </c>
      <c r="H99" s="306">
        <v>1</v>
      </c>
      <c r="I99" s="306">
        <v>0</v>
      </c>
      <c r="J99" s="306">
        <v>0</v>
      </c>
      <c r="K99" s="306"/>
      <c r="L99" s="306"/>
      <c r="M99" s="306"/>
      <c r="N99" s="388"/>
      <c r="O99" s="281"/>
      <c r="P99" s="281"/>
      <c r="Q99" s="281"/>
      <c r="R99" s="281"/>
      <c r="S99" s="281"/>
      <c r="T99" s="281"/>
      <c r="U99" s="281"/>
      <c r="V99" s="281"/>
      <c r="W99" s="281"/>
      <c r="X99" s="281"/>
      <c r="Y99" s="281"/>
      <c r="Z99" s="281"/>
      <c r="AA99" s="281"/>
      <c r="AB99" s="281"/>
      <c r="AC99" s="281"/>
      <c r="AD99" s="281"/>
      <c r="AE99" s="281"/>
    </row>
    <row r="100" spans="2:31" ht="15">
      <c r="B100" s="386">
        <f t="shared" si="4"/>
        <v>55</v>
      </c>
      <c r="C100" s="394" t="str" cm="1">
        <f t="array" ref="C100">IF(B100&lt;=$C$9,GetGetCDSName(B100),"")</f>
        <v>GAZDEFRANCE_MMR.EUR.SU</v>
      </c>
      <c r="D100" s="354">
        <v>0</v>
      </c>
      <c r="E100" s="387">
        <v>0</v>
      </c>
      <c r="F100" s="306">
        <v>0</v>
      </c>
      <c r="G100" s="306">
        <v>0</v>
      </c>
      <c r="H100" s="306">
        <v>0</v>
      </c>
      <c r="I100" s="306">
        <v>1</v>
      </c>
      <c r="J100" s="306">
        <v>0</v>
      </c>
      <c r="K100" s="306"/>
      <c r="L100" s="306"/>
      <c r="M100" s="306"/>
      <c r="N100" s="388"/>
      <c r="O100" s="281"/>
      <c r="P100" s="281"/>
      <c r="Q100" s="281"/>
      <c r="R100" s="281"/>
      <c r="S100" s="281"/>
      <c r="T100" s="281"/>
      <c r="U100" s="281"/>
      <c r="V100" s="281"/>
      <c r="W100" s="281"/>
      <c r="X100" s="281"/>
      <c r="Y100" s="281"/>
      <c r="Z100" s="281"/>
      <c r="AA100" s="281"/>
      <c r="AB100" s="281"/>
      <c r="AC100" s="281"/>
      <c r="AD100" s="281"/>
      <c r="AE100" s="281"/>
    </row>
    <row r="101" spans="2:31" ht="15">
      <c r="B101" s="386">
        <f t="shared" si="4"/>
        <v>56</v>
      </c>
      <c r="C101" s="394" t="str" cm="1">
        <f t="array" ref="C101">IF(B101&lt;=$C$9,GetGetCDSName(B101),"")</f>
        <v>GENERALI_MMR.EUR.SU</v>
      </c>
      <c r="D101" s="354">
        <v>0</v>
      </c>
      <c r="E101" s="387">
        <v>0</v>
      </c>
      <c r="F101" s="306">
        <v>0</v>
      </c>
      <c r="G101" s="306">
        <v>0</v>
      </c>
      <c r="H101" s="306">
        <v>1</v>
      </c>
      <c r="I101" s="306">
        <v>0</v>
      </c>
      <c r="J101" s="306">
        <v>0</v>
      </c>
      <c r="K101" s="306"/>
      <c r="L101" s="306"/>
      <c r="M101" s="306"/>
      <c r="N101" s="388"/>
      <c r="O101" s="281"/>
      <c r="P101" s="281"/>
      <c r="Q101" s="281"/>
      <c r="R101" s="281"/>
      <c r="S101" s="281"/>
      <c r="T101" s="281"/>
      <c r="U101" s="281"/>
      <c r="V101" s="281"/>
      <c r="W101" s="281"/>
      <c r="X101" s="281"/>
      <c r="Y101" s="281"/>
      <c r="Z101" s="281"/>
      <c r="AA101" s="281"/>
      <c r="AB101" s="281"/>
      <c r="AC101" s="281"/>
      <c r="AD101" s="281"/>
      <c r="AE101" s="281"/>
    </row>
    <row r="102" spans="2:31" ht="15">
      <c r="B102" s="386">
        <f t="shared" si="4"/>
        <v>57</v>
      </c>
      <c r="C102" s="394" t="str" cm="1">
        <f t="array" ref="C102">IF(B102&lt;=$C$9,GetGetCDSName(B102),"")</f>
        <v>GKN HOLDINGS  PLC_MMR.EUR.SU</v>
      </c>
      <c r="D102" s="354">
        <v>0</v>
      </c>
      <c r="E102" s="387">
        <v>0</v>
      </c>
      <c r="F102" s="306">
        <v>0</v>
      </c>
      <c r="G102" s="306">
        <v>0</v>
      </c>
      <c r="H102" s="306">
        <v>0</v>
      </c>
      <c r="I102" s="306">
        <v>0</v>
      </c>
      <c r="J102" s="306">
        <v>1</v>
      </c>
      <c r="K102" s="306"/>
      <c r="L102" s="306"/>
      <c r="M102" s="306"/>
      <c r="N102" s="388"/>
      <c r="O102" s="281"/>
      <c r="P102" s="281"/>
      <c r="Q102" s="281"/>
      <c r="R102" s="281"/>
      <c r="S102" s="281"/>
      <c r="T102" s="281"/>
      <c r="U102" s="281"/>
      <c r="V102" s="281"/>
      <c r="W102" s="281"/>
      <c r="X102" s="281"/>
      <c r="Y102" s="281"/>
      <c r="Z102" s="281"/>
      <c r="AA102" s="281"/>
      <c r="AB102" s="281"/>
      <c r="AC102" s="281"/>
      <c r="AD102" s="281"/>
      <c r="AE102" s="281"/>
    </row>
    <row r="103" spans="2:31" ht="15">
      <c r="B103" s="386">
        <f t="shared" si="4"/>
        <v>58</v>
      </c>
      <c r="C103" s="394" t="str" cm="1">
        <f t="array" ref="C103">IF(B103&lt;=$C$9,GetGetCDSName(B103),"")</f>
        <v>GLENCOREINTAG_MMR.EUR.SU</v>
      </c>
      <c r="D103" s="354">
        <v>0</v>
      </c>
      <c r="E103" s="387">
        <v>0</v>
      </c>
      <c r="F103" s="306">
        <v>0</v>
      </c>
      <c r="G103" s="306">
        <v>0</v>
      </c>
      <c r="H103" s="306">
        <v>1</v>
      </c>
      <c r="I103" s="306">
        <v>0</v>
      </c>
      <c r="J103" s="306">
        <v>0</v>
      </c>
      <c r="K103" s="306"/>
      <c r="L103" s="306"/>
      <c r="M103" s="306"/>
      <c r="N103" s="388"/>
      <c r="O103" s="281"/>
      <c r="P103" s="281"/>
      <c r="Q103" s="281"/>
      <c r="R103" s="281"/>
      <c r="S103" s="281"/>
      <c r="T103" s="281"/>
      <c r="U103" s="281"/>
      <c r="V103" s="281"/>
      <c r="W103" s="281"/>
      <c r="X103" s="281"/>
      <c r="Y103" s="281"/>
      <c r="Z103" s="281"/>
      <c r="AA103" s="281"/>
      <c r="AB103" s="281"/>
      <c r="AC103" s="281"/>
      <c r="AD103" s="281"/>
      <c r="AE103" s="281"/>
    </row>
    <row r="104" spans="2:31" ht="15">
      <c r="B104" s="386">
        <f t="shared" si="4"/>
        <v>59</v>
      </c>
      <c r="C104" s="394" t="str" cm="1">
        <f t="array" ref="C104">IF(B104&lt;=$C$9,GetGetCDSName(B104),"")</f>
        <v>GREATUNIVERSALSTORES_MMR.EUR.SU</v>
      </c>
      <c r="D104" s="354">
        <v>0</v>
      </c>
      <c r="E104" s="387">
        <v>0</v>
      </c>
      <c r="F104" s="306">
        <v>1</v>
      </c>
      <c r="G104" s="306">
        <v>1</v>
      </c>
      <c r="H104" s="306">
        <v>0</v>
      </c>
      <c r="I104" s="306">
        <v>1</v>
      </c>
      <c r="J104" s="306">
        <v>0</v>
      </c>
      <c r="K104" s="306"/>
      <c r="L104" s="306"/>
      <c r="M104" s="306"/>
      <c r="N104" s="388"/>
      <c r="O104" s="281"/>
      <c r="P104" s="281"/>
      <c r="Q104" s="281"/>
      <c r="R104" s="281"/>
      <c r="S104" s="281"/>
      <c r="T104" s="281"/>
      <c r="U104" s="281"/>
      <c r="V104" s="281"/>
      <c r="W104" s="281"/>
      <c r="X104" s="281"/>
      <c r="Y104" s="281"/>
      <c r="Z104" s="281"/>
      <c r="AA104" s="281"/>
      <c r="AB104" s="281"/>
      <c r="AC104" s="281"/>
      <c r="AD104" s="281"/>
      <c r="AE104" s="281"/>
    </row>
    <row r="105" spans="2:31" ht="15">
      <c r="B105" s="386">
        <f t="shared" si="4"/>
        <v>60</v>
      </c>
      <c r="C105" s="394" t="str" cm="1">
        <f t="array" ref="C105">IF(B105&lt;=$C$9,GetGetCDSName(B105),"")</f>
        <v>HANNOVERRUECK_MMR.EUR.SU</v>
      </c>
      <c r="D105" s="354">
        <v>0</v>
      </c>
      <c r="E105" s="387">
        <v>0</v>
      </c>
      <c r="F105" s="306">
        <v>1</v>
      </c>
      <c r="G105" s="306">
        <v>0</v>
      </c>
      <c r="H105" s="306">
        <v>0</v>
      </c>
      <c r="I105" s="306">
        <v>0</v>
      </c>
      <c r="J105" s="306">
        <v>1</v>
      </c>
      <c r="K105" s="306"/>
      <c r="L105" s="306"/>
      <c r="M105" s="306"/>
      <c r="N105" s="388"/>
      <c r="O105" s="281"/>
      <c r="P105" s="281"/>
      <c r="Q105" s="281"/>
      <c r="R105" s="281"/>
      <c r="S105" s="281"/>
      <c r="T105" s="281"/>
      <c r="U105" s="281"/>
      <c r="V105" s="281"/>
      <c r="W105" s="281"/>
      <c r="X105" s="281"/>
      <c r="Y105" s="281"/>
      <c r="Z105" s="281"/>
      <c r="AA105" s="281"/>
      <c r="AB105" s="281"/>
      <c r="AC105" s="281"/>
      <c r="AD105" s="281"/>
      <c r="AE105" s="281"/>
    </row>
    <row r="106" spans="2:31" ht="15">
      <c r="B106" s="386">
        <f t="shared" si="4"/>
        <v>61</v>
      </c>
      <c r="C106" s="394" t="str" cm="1">
        <f t="array" ref="C106">IF(B106&lt;=$C$9,GetGetCDSName(B106),"")</f>
        <v>HELLENIC TELCOM_MMR.EUR.SU</v>
      </c>
      <c r="D106" s="354">
        <v>0</v>
      </c>
      <c r="E106" s="387">
        <v>0</v>
      </c>
      <c r="F106" s="306">
        <v>1</v>
      </c>
      <c r="G106" s="306">
        <v>0</v>
      </c>
      <c r="H106" s="306">
        <v>1</v>
      </c>
      <c r="I106" s="306">
        <v>0</v>
      </c>
      <c r="J106" s="306">
        <v>0</v>
      </c>
      <c r="K106" s="306"/>
      <c r="L106" s="306"/>
      <c r="M106" s="306"/>
      <c r="N106" s="388"/>
      <c r="O106" s="281"/>
      <c r="P106" s="281"/>
      <c r="Q106" s="281"/>
      <c r="R106" s="281"/>
      <c r="S106" s="281"/>
      <c r="T106" s="281"/>
      <c r="U106" s="281"/>
      <c r="V106" s="281"/>
      <c r="W106" s="281"/>
      <c r="X106" s="281"/>
      <c r="Y106" s="281"/>
      <c r="Z106" s="281"/>
      <c r="AA106" s="281"/>
      <c r="AB106" s="281"/>
      <c r="AC106" s="281"/>
      <c r="AD106" s="281"/>
      <c r="AE106" s="281"/>
    </row>
    <row r="107" spans="2:31" ht="15">
      <c r="B107" s="386">
        <f t="shared" si="4"/>
        <v>62</v>
      </c>
      <c r="C107" s="394" t="str" cm="1">
        <f t="array" ref="C107">IF(B107&lt;=$C$9,GetGetCDSName(B107),"")</f>
        <v>HENKELKG_MMR.EUR.SU</v>
      </c>
      <c r="D107" s="354">
        <v>0</v>
      </c>
      <c r="E107" s="387">
        <v>1</v>
      </c>
      <c r="F107" s="306">
        <v>0</v>
      </c>
      <c r="G107" s="306">
        <v>0</v>
      </c>
      <c r="H107" s="306">
        <v>0</v>
      </c>
      <c r="I107" s="306">
        <v>0</v>
      </c>
      <c r="J107" s="306">
        <v>1</v>
      </c>
      <c r="K107" s="306"/>
      <c r="L107" s="306"/>
      <c r="M107" s="306"/>
      <c r="N107" s="388"/>
      <c r="O107" s="281"/>
      <c r="P107" s="281"/>
      <c r="Q107" s="281"/>
      <c r="R107" s="281"/>
      <c r="S107" s="281"/>
      <c r="T107" s="281"/>
      <c r="U107" s="281"/>
      <c r="V107" s="281"/>
      <c r="W107" s="281"/>
      <c r="X107" s="281"/>
      <c r="Y107" s="281"/>
      <c r="Z107" s="281"/>
      <c r="AA107" s="281"/>
      <c r="AB107" s="281"/>
      <c r="AC107" s="281"/>
      <c r="AD107" s="281"/>
      <c r="AE107" s="281"/>
    </row>
    <row r="108" spans="2:31" ht="15">
      <c r="B108" s="386">
        <f t="shared" si="4"/>
        <v>63</v>
      </c>
      <c r="C108" s="394" t="str" cm="1">
        <f t="array" ref="C108">IF(B108&lt;=$C$9,GetGetCDSName(B108),"")</f>
        <v>IBERDROLA_MMR.EUR.SU</v>
      </c>
      <c r="D108" s="354">
        <v>0</v>
      </c>
      <c r="E108" s="387">
        <v>1</v>
      </c>
      <c r="F108" s="306">
        <v>1</v>
      </c>
      <c r="G108" s="306">
        <v>0</v>
      </c>
      <c r="H108" s="306">
        <v>1</v>
      </c>
      <c r="I108" s="306">
        <v>0</v>
      </c>
      <c r="J108" s="306">
        <v>0</v>
      </c>
      <c r="K108" s="306"/>
      <c r="L108" s="306"/>
      <c r="M108" s="306"/>
      <c r="N108" s="388"/>
      <c r="O108" s="281"/>
      <c r="P108" s="281"/>
      <c r="Q108" s="281"/>
      <c r="R108" s="281"/>
      <c r="S108" s="281"/>
      <c r="T108" s="281"/>
      <c r="U108" s="281"/>
      <c r="V108" s="281"/>
      <c r="W108" s="281"/>
      <c r="X108" s="281"/>
      <c r="Y108" s="281"/>
      <c r="Z108" s="281"/>
      <c r="AA108" s="281"/>
      <c r="AB108" s="281"/>
      <c r="AC108" s="281"/>
      <c r="AD108" s="281"/>
      <c r="AE108" s="281"/>
    </row>
    <row r="109" spans="2:31" ht="15">
      <c r="B109" s="386">
        <f t="shared" si="4"/>
        <v>64</v>
      </c>
      <c r="C109" s="394" t="str" cm="1">
        <f t="array" ref="C109">IF(B109&lt;=$C$9,GetGetCDSName(B109),"")</f>
        <v>ICI_MMR.EUR.SU</v>
      </c>
      <c r="D109" s="354">
        <v>0</v>
      </c>
      <c r="E109" s="387">
        <v>1</v>
      </c>
      <c r="F109" s="306">
        <v>0</v>
      </c>
      <c r="G109" s="306">
        <v>0</v>
      </c>
      <c r="H109" s="306">
        <v>1</v>
      </c>
      <c r="I109" s="306">
        <v>0</v>
      </c>
      <c r="J109" s="306">
        <v>1</v>
      </c>
      <c r="K109" s="306"/>
      <c r="L109" s="306"/>
      <c r="M109" s="306"/>
      <c r="N109" s="388"/>
      <c r="O109" s="281"/>
      <c r="P109" s="281"/>
      <c r="Q109" s="281"/>
      <c r="R109" s="281"/>
      <c r="S109" s="281"/>
      <c r="T109" s="281"/>
      <c r="U109" s="281"/>
      <c r="V109" s="281"/>
      <c r="W109" s="281"/>
      <c r="X109" s="281"/>
      <c r="Y109" s="281"/>
      <c r="Z109" s="281"/>
      <c r="AA109" s="281"/>
      <c r="AB109" s="281"/>
      <c r="AC109" s="281"/>
      <c r="AD109" s="281"/>
      <c r="AE109" s="281"/>
    </row>
    <row r="110" spans="2:31" ht="15">
      <c r="B110" s="386">
        <f t="shared" si="4"/>
        <v>65</v>
      </c>
      <c r="C110" s="394" t="str" cm="1">
        <f t="array" ref="C110">IF(B110&lt;=$C$9,GetGetCDSName(B110),"")</f>
        <v>INTESA_MMR.EUR.SU</v>
      </c>
      <c r="D110" s="354">
        <v>0</v>
      </c>
      <c r="E110" s="387">
        <v>0</v>
      </c>
      <c r="F110" s="306">
        <v>1</v>
      </c>
      <c r="G110" s="306">
        <v>1</v>
      </c>
      <c r="H110" s="306">
        <v>0</v>
      </c>
      <c r="I110" s="306">
        <v>1</v>
      </c>
      <c r="J110" s="306">
        <v>0</v>
      </c>
      <c r="K110" s="306"/>
      <c r="L110" s="306"/>
      <c r="M110" s="306"/>
      <c r="N110" s="388"/>
      <c r="O110" s="281"/>
      <c r="P110" s="281"/>
      <c r="Q110" s="281"/>
      <c r="R110" s="281"/>
      <c r="S110" s="281"/>
      <c r="T110" s="281"/>
      <c r="U110" s="281"/>
      <c r="V110" s="281"/>
      <c r="W110" s="281"/>
      <c r="X110" s="281"/>
      <c r="Y110" s="281"/>
      <c r="Z110" s="281"/>
      <c r="AA110" s="281"/>
      <c r="AB110" s="281"/>
      <c r="AC110" s="281"/>
      <c r="AD110" s="281"/>
      <c r="AE110" s="281"/>
    </row>
    <row r="111" spans="2:31" ht="15">
      <c r="B111" s="386">
        <f t="shared" ref="B111:B174" si="5">B110+1</f>
        <v>66</v>
      </c>
      <c r="C111" s="394" t="str" cm="1">
        <f t="array" ref="C111">IF(B111&lt;=$C$9,GetGetCDSName(B111),"")</f>
        <v>KINGFISHER_MMR.EUR.SU</v>
      </c>
      <c r="D111" s="354">
        <v>0</v>
      </c>
      <c r="E111" s="387">
        <v>1</v>
      </c>
      <c r="F111" s="306">
        <v>0</v>
      </c>
      <c r="G111" s="306">
        <v>1</v>
      </c>
      <c r="H111" s="306">
        <v>0</v>
      </c>
      <c r="I111" s="306">
        <v>1</v>
      </c>
      <c r="J111" s="306">
        <v>0</v>
      </c>
      <c r="K111" s="306"/>
      <c r="L111" s="306"/>
      <c r="M111" s="306"/>
      <c r="N111" s="388"/>
      <c r="O111" s="281"/>
      <c r="P111" s="281"/>
      <c r="Q111" s="281"/>
      <c r="R111" s="281"/>
      <c r="S111" s="281"/>
      <c r="T111" s="281"/>
      <c r="U111" s="281"/>
      <c r="V111" s="281"/>
      <c r="W111" s="281"/>
      <c r="X111" s="281"/>
      <c r="Y111" s="281"/>
      <c r="Z111" s="281"/>
      <c r="AA111" s="281"/>
      <c r="AB111" s="281"/>
      <c r="AC111" s="281"/>
      <c r="AD111" s="281"/>
      <c r="AE111" s="281"/>
    </row>
    <row r="112" spans="2:31" ht="15">
      <c r="B112" s="386">
        <f t="shared" si="5"/>
        <v>67</v>
      </c>
      <c r="C112" s="394" t="str" cm="1">
        <f t="array" ref="C112">IF(B112&lt;=$C$9,GetGetCDSName(B112),"")</f>
        <v>KPN_MMR.EUR.SU</v>
      </c>
      <c r="D112" s="354">
        <v>0</v>
      </c>
      <c r="E112" s="387">
        <v>1</v>
      </c>
      <c r="F112" s="306">
        <v>0</v>
      </c>
      <c r="G112" s="306">
        <v>0</v>
      </c>
      <c r="H112" s="306">
        <v>1</v>
      </c>
      <c r="I112" s="306">
        <v>0</v>
      </c>
      <c r="J112" s="306">
        <v>1</v>
      </c>
      <c r="K112" s="306"/>
      <c r="L112" s="306"/>
      <c r="M112" s="306"/>
      <c r="N112" s="388"/>
      <c r="O112" s="281"/>
      <c r="P112" s="281"/>
      <c r="Q112" s="281"/>
      <c r="R112" s="281"/>
      <c r="S112" s="281"/>
      <c r="T112" s="281"/>
      <c r="U112" s="281"/>
      <c r="V112" s="281"/>
      <c r="W112" s="281"/>
      <c r="X112" s="281"/>
      <c r="Y112" s="281"/>
      <c r="Z112" s="281"/>
      <c r="AA112" s="281"/>
      <c r="AB112" s="281"/>
      <c r="AC112" s="281"/>
      <c r="AD112" s="281"/>
      <c r="AE112" s="281"/>
    </row>
    <row r="113" spans="2:31" ht="15">
      <c r="B113" s="386">
        <f t="shared" si="5"/>
        <v>68</v>
      </c>
      <c r="C113" s="394" t="str" cm="1">
        <f t="array" ref="C113">IF(B113&lt;=$C$9,GetGetCDSName(B113),"")</f>
        <v>LAFARGE_MMR.EUR.SU</v>
      </c>
      <c r="D113" s="354">
        <v>0</v>
      </c>
      <c r="E113" s="387">
        <v>0</v>
      </c>
      <c r="F113" s="306">
        <v>1</v>
      </c>
      <c r="G113" s="306">
        <v>0</v>
      </c>
      <c r="H113" s="306">
        <v>1</v>
      </c>
      <c r="I113" s="306">
        <v>0</v>
      </c>
      <c r="J113" s="306">
        <v>1</v>
      </c>
      <c r="K113" s="306"/>
      <c r="L113" s="306"/>
      <c r="M113" s="306"/>
      <c r="N113" s="388"/>
      <c r="O113" s="281"/>
      <c r="P113" s="281"/>
      <c r="Q113" s="281"/>
      <c r="R113" s="281"/>
      <c r="S113" s="281"/>
      <c r="T113" s="281"/>
      <c r="U113" s="281"/>
      <c r="V113" s="281"/>
      <c r="W113" s="281"/>
      <c r="X113" s="281"/>
      <c r="Y113" s="281"/>
      <c r="Z113" s="281"/>
      <c r="AA113" s="281"/>
      <c r="AB113" s="281"/>
      <c r="AC113" s="281"/>
      <c r="AD113" s="281"/>
      <c r="AE113" s="281"/>
    </row>
    <row r="114" spans="2:31" ht="15">
      <c r="B114" s="386">
        <f t="shared" si="5"/>
        <v>69</v>
      </c>
      <c r="C114" s="394" t="str" cm="1">
        <f t="array" ref="C114">IF(B114&lt;=$C$9,GetGetCDSName(B114),"")</f>
        <v>LINDE_MMR.EUR.SU</v>
      </c>
      <c r="D114" s="354">
        <v>0</v>
      </c>
      <c r="E114" s="387">
        <v>0</v>
      </c>
      <c r="F114" s="306">
        <v>0</v>
      </c>
      <c r="G114" s="306">
        <v>1</v>
      </c>
      <c r="H114" s="306">
        <v>0</v>
      </c>
      <c r="I114" s="306">
        <v>1</v>
      </c>
      <c r="J114" s="306">
        <v>1</v>
      </c>
      <c r="K114" s="306"/>
      <c r="L114" s="306"/>
      <c r="M114" s="306"/>
      <c r="N114" s="388"/>
      <c r="O114" s="281"/>
      <c r="P114" s="281"/>
      <c r="Q114" s="281"/>
      <c r="R114" s="281"/>
      <c r="S114" s="281"/>
      <c r="T114" s="281"/>
      <c r="U114" s="281"/>
      <c r="V114" s="281"/>
      <c r="W114" s="281"/>
      <c r="X114" s="281"/>
      <c r="Y114" s="281"/>
      <c r="Z114" s="281"/>
      <c r="AA114" s="281"/>
      <c r="AB114" s="281"/>
      <c r="AC114" s="281"/>
      <c r="AD114" s="281"/>
      <c r="AE114" s="281"/>
    </row>
    <row r="115" spans="2:31" ht="15">
      <c r="B115" s="386">
        <f t="shared" si="5"/>
        <v>70</v>
      </c>
      <c r="C115" s="394" t="str" cm="1">
        <f t="array" ref="C115">IF(B115&lt;=$C$9,GetGetCDSName(B115),"")</f>
        <v>LUFTHANSA_MMR.EUR.SU</v>
      </c>
      <c r="D115" s="354">
        <v>0</v>
      </c>
      <c r="E115" s="387">
        <v>1</v>
      </c>
      <c r="F115" s="306">
        <v>0</v>
      </c>
      <c r="G115" s="306">
        <v>0</v>
      </c>
      <c r="H115" s="306">
        <v>0</v>
      </c>
      <c r="I115" s="306">
        <v>1</v>
      </c>
      <c r="J115" s="306">
        <v>1</v>
      </c>
      <c r="K115" s="306"/>
      <c r="L115" s="306"/>
      <c r="M115" s="306"/>
      <c r="N115" s="388"/>
      <c r="O115" s="281"/>
      <c r="P115" s="281"/>
      <c r="Q115" s="281"/>
      <c r="R115" s="281"/>
      <c r="S115" s="281"/>
      <c r="T115" s="281"/>
      <c r="U115" s="281"/>
      <c r="V115" s="281"/>
      <c r="W115" s="281"/>
      <c r="X115" s="281"/>
      <c r="Y115" s="281"/>
      <c r="Z115" s="281"/>
      <c r="AA115" s="281"/>
      <c r="AB115" s="281"/>
      <c r="AC115" s="281"/>
      <c r="AD115" s="281"/>
      <c r="AE115" s="281"/>
    </row>
    <row r="116" spans="2:31" ht="15">
      <c r="B116" s="386">
        <f t="shared" si="5"/>
        <v>71</v>
      </c>
      <c r="C116" s="394" t="str" cm="1">
        <f t="array" ref="C116">IF(B116&lt;=$C$9,GetGetCDSName(B116),"")</f>
        <v>LVMH_MMR.EUR.SU</v>
      </c>
      <c r="D116" s="354">
        <v>0</v>
      </c>
      <c r="E116" s="387">
        <v>1</v>
      </c>
      <c r="F116" s="306">
        <v>1</v>
      </c>
      <c r="G116" s="306">
        <v>0</v>
      </c>
      <c r="H116" s="306">
        <v>0</v>
      </c>
      <c r="I116" s="306">
        <v>0</v>
      </c>
      <c r="J116" s="306">
        <v>1</v>
      </c>
      <c r="K116" s="306"/>
      <c r="L116" s="306"/>
      <c r="M116" s="306"/>
      <c r="N116" s="388"/>
      <c r="O116" s="281"/>
      <c r="P116" s="281"/>
      <c r="Q116" s="281"/>
      <c r="R116" s="281"/>
      <c r="S116" s="281"/>
      <c r="T116" s="281"/>
      <c r="U116" s="281"/>
      <c r="V116" s="281"/>
      <c r="W116" s="281"/>
      <c r="X116" s="281"/>
      <c r="Y116" s="281"/>
      <c r="Z116" s="281"/>
      <c r="AA116" s="281"/>
      <c r="AB116" s="281"/>
      <c r="AC116" s="281"/>
      <c r="AD116" s="281"/>
      <c r="AE116" s="281"/>
    </row>
    <row r="117" spans="2:31" ht="15">
      <c r="B117" s="386">
        <f t="shared" si="5"/>
        <v>72</v>
      </c>
      <c r="C117" s="394" t="str" cm="1">
        <f t="array" ref="C117">IF(B117&lt;=$C$9,GetGetCDSName(B117),"")</f>
        <v>MARKSANDSPENCERPLC_MMR.EUR.SU</v>
      </c>
      <c r="D117" s="354">
        <v>0</v>
      </c>
      <c r="E117" s="387">
        <v>1</v>
      </c>
      <c r="F117" s="306">
        <v>1</v>
      </c>
      <c r="G117" s="306">
        <v>0</v>
      </c>
      <c r="H117" s="306">
        <v>0</v>
      </c>
      <c r="I117" s="306">
        <v>0</v>
      </c>
      <c r="J117" s="306">
        <v>0</v>
      </c>
      <c r="K117" s="306"/>
      <c r="L117" s="306"/>
      <c r="M117" s="306"/>
      <c r="N117" s="388"/>
      <c r="O117" s="281"/>
      <c r="P117" s="281"/>
      <c r="Q117" s="281"/>
      <c r="R117" s="281"/>
      <c r="S117" s="281"/>
      <c r="T117" s="281"/>
      <c r="U117" s="281"/>
      <c r="V117" s="281"/>
      <c r="W117" s="281"/>
      <c r="X117" s="281"/>
      <c r="Y117" s="281"/>
      <c r="Z117" s="281"/>
      <c r="AA117" s="281"/>
      <c r="AB117" s="281"/>
      <c r="AC117" s="281"/>
      <c r="AD117" s="281"/>
      <c r="AE117" s="281"/>
    </row>
    <row r="118" spans="2:31" ht="15">
      <c r="B118" s="386">
        <f t="shared" si="5"/>
        <v>73</v>
      </c>
      <c r="C118" s="394" t="str" cm="1">
        <f t="array" ref="C118">IF(B118&lt;=$C$9,GetGetCDSName(B118),"")</f>
        <v>METRO_MMR.EUR.SU</v>
      </c>
      <c r="D118" s="354">
        <v>0</v>
      </c>
      <c r="E118" s="387">
        <v>0</v>
      </c>
      <c r="F118" s="306">
        <v>1</v>
      </c>
      <c r="G118" s="306">
        <v>0</v>
      </c>
      <c r="H118" s="306">
        <v>1</v>
      </c>
      <c r="I118" s="306">
        <v>0</v>
      </c>
      <c r="J118" s="306">
        <v>1</v>
      </c>
      <c r="K118" s="306"/>
      <c r="L118" s="306"/>
      <c r="M118" s="306"/>
      <c r="N118" s="388"/>
      <c r="O118" s="281"/>
      <c r="P118" s="281"/>
      <c r="Q118" s="281"/>
      <c r="R118" s="281"/>
      <c r="S118" s="281"/>
      <c r="T118" s="281"/>
      <c r="U118" s="281"/>
      <c r="V118" s="281"/>
      <c r="W118" s="281"/>
      <c r="X118" s="281"/>
      <c r="Y118" s="281"/>
      <c r="Z118" s="281"/>
      <c r="AA118" s="281"/>
      <c r="AB118" s="281"/>
      <c r="AC118" s="281"/>
      <c r="AD118" s="281"/>
      <c r="AE118" s="281"/>
    </row>
    <row r="119" spans="2:31" ht="15">
      <c r="B119" s="386">
        <f t="shared" si="5"/>
        <v>74</v>
      </c>
      <c r="C119" s="394" t="str" cm="1">
        <f t="array" ref="C119">IF(B119&lt;=$C$9,GetGetCDSName(B119),"")</f>
        <v>MICHELIN_MMR.EUR.SU</v>
      </c>
      <c r="D119" s="354">
        <v>0</v>
      </c>
      <c r="E119" s="387">
        <v>1</v>
      </c>
      <c r="F119" s="306">
        <v>1</v>
      </c>
      <c r="G119" s="306">
        <v>0</v>
      </c>
      <c r="H119" s="306">
        <v>1</v>
      </c>
      <c r="I119" s="306">
        <v>0</v>
      </c>
      <c r="J119" s="306">
        <v>0</v>
      </c>
      <c r="K119" s="306"/>
      <c r="L119" s="306"/>
      <c r="M119" s="306"/>
      <c r="N119" s="388"/>
      <c r="O119" s="281"/>
      <c r="P119" s="281"/>
      <c r="Q119" s="281"/>
      <c r="R119" s="281"/>
      <c r="S119" s="281"/>
      <c r="T119" s="281"/>
      <c r="U119" s="281"/>
      <c r="V119" s="281"/>
      <c r="W119" s="281"/>
      <c r="X119" s="281"/>
      <c r="Y119" s="281"/>
      <c r="Z119" s="281"/>
      <c r="AA119" s="281"/>
      <c r="AB119" s="281"/>
      <c r="AC119" s="281"/>
      <c r="AD119" s="281"/>
      <c r="AE119" s="281"/>
    </row>
    <row r="120" spans="2:31" ht="15">
      <c r="B120" s="386">
        <f t="shared" si="5"/>
        <v>75</v>
      </c>
      <c r="C120" s="394" t="str" cm="1">
        <f t="array" ref="C120">IF(B120&lt;=$C$9,GetGetCDSName(B120),"")</f>
        <v>MONTEDEIPASCHI_MMR.EUR.SU</v>
      </c>
      <c r="D120" s="354">
        <v>0</v>
      </c>
      <c r="E120" s="387">
        <v>0</v>
      </c>
      <c r="F120" s="306">
        <v>0</v>
      </c>
      <c r="G120" s="306">
        <v>0</v>
      </c>
      <c r="H120" s="306">
        <v>1</v>
      </c>
      <c r="I120" s="306">
        <v>0</v>
      </c>
      <c r="J120" s="306">
        <v>1</v>
      </c>
      <c r="K120" s="306"/>
      <c r="L120" s="306"/>
      <c r="M120" s="306"/>
      <c r="N120" s="388"/>
      <c r="O120" s="281"/>
      <c r="P120" s="281"/>
      <c r="Q120" s="281"/>
      <c r="R120" s="281"/>
      <c r="S120" s="281"/>
      <c r="T120" s="281"/>
      <c r="U120" s="281"/>
      <c r="V120" s="281"/>
      <c r="W120" s="281"/>
      <c r="X120" s="281"/>
      <c r="Y120" s="281"/>
      <c r="Z120" s="281"/>
      <c r="AA120" s="281"/>
      <c r="AB120" s="281"/>
      <c r="AC120" s="281"/>
      <c r="AD120" s="281"/>
      <c r="AE120" s="281"/>
    </row>
    <row r="121" spans="2:31" ht="15">
      <c r="B121" s="386">
        <f t="shared" si="5"/>
        <v>76</v>
      </c>
      <c r="C121" s="394" t="str" cm="1">
        <f t="array" ref="C121">IF(B121&lt;=$C$9,GetGetCDSName(B121),"")</f>
        <v>MUNICHRE_MMR.EUR.SU</v>
      </c>
      <c r="D121" s="354">
        <v>0</v>
      </c>
      <c r="E121" s="387">
        <v>0</v>
      </c>
      <c r="F121" s="306">
        <v>0</v>
      </c>
      <c r="G121" s="306">
        <v>1</v>
      </c>
      <c r="H121" s="306">
        <v>1</v>
      </c>
      <c r="I121" s="306">
        <v>0</v>
      </c>
      <c r="J121" s="306">
        <v>1</v>
      </c>
      <c r="K121" s="306"/>
      <c r="L121" s="306"/>
      <c r="M121" s="306"/>
      <c r="N121" s="388"/>
      <c r="O121" s="281"/>
      <c r="P121" s="281"/>
      <c r="Q121" s="281"/>
      <c r="R121" s="281"/>
      <c r="S121" s="281"/>
      <c r="T121" s="281"/>
      <c r="U121" s="281"/>
      <c r="V121" s="281"/>
      <c r="W121" s="281"/>
      <c r="X121" s="281"/>
      <c r="Y121" s="281"/>
      <c r="Z121" s="281"/>
      <c r="AA121" s="281"/>
      <c r="AB121" s="281"/>
      <c r="AC121" s="281"/>
      <c r="AD121" s="281"/>
      <c r="AE121" s="281"/>
    </row>
    <row r="122" spans="2:31" ht="15">
      <c r="B122" s="386">
        <f t="shared" si="5"/>
        <v>77</v>
      </c>
      <c r="C122" s="394" t="str" cm="1">
        <f t="array" ref="C122">IF(B122&lt;=$C$9,GetGetCDSName(B122),"")</f>
        <v>NATIONALGRIDTRANSCOPLC_MMR.EUR.SU</v>
      </c>
      <c r="D122" s="354">
        <v>0</v>
      </c>
      <c r="E122" s="387">
        <v>1</v>
      </c>
      <c r="F122" s="306">
        <v>0</v>
      </c>
      <c r="G122" s="306">
        <v>1</v>
      </c>
      <c r="H122" s="306">
        <v>0</v>
      </c>
      <c r="I122" s="306">
        <v>1</v>
      </c>
      <c r="J122" s="306">
        <v>0</v>
      </c>
      <c r="K122" s="306"/>
      <c r="L122" s="306"/>
      <c r="M122" s="306"/>
      <c r="N122" s="388"/>
      <c r="O122" s="281"/>
      <c r="P122" s="281"/>
      <c r="Q122" s="281"/>
      <c r="R122" s="281"/>
      <c r="S122" s="281"/>
      <c r="T122" s="281"/>
      <c r="U122" s="281"/>
      <c r="V122" s="281"/>
      <c r="W122" s="281"/>
      <c r="X122" s="281"/>
      <c r="Y122" s="281"/>
      <c r="Z122" s="281"/>
      <c r="AA122" s="281"/>
      <c r="AB122" s="281"/>
      <c r="AC122" s="281"/>
      <c r="AD122" s="281"/>
      <c r="AE122" s="281"/>
    </row>
    <row r="123" spans="2:31" ht="15">
      <c r="B123" s="386">
        <f t="shared" si="5"/>
        <v>78</v>
      </c>
      <c r="C123" s="394" t="str" cm="1">
        <f t="array" ref="C123">IF(B123&lt;=$C$9,GetGetCDSName(B123),"")</f>
        <v>NEXTPLC_MMR.EUR.SU</v>
      </c>
      <c r="D123" s="354">
        <v>0</v>
      </c>
      <c r="E123" s="387">
        <v>0</v>
      </c>
      <c r="F123" s="306">
        <v>0</v>
      </c>
      <c r="G123" s="306">
        <v>0</v>
      </c>
      <c r="H123" s="306">
        <v>0</v>
      </c>
      <c r="I123" s="306">
        <v>1</v>
      </c>
      <c r="J123" s="306">
        <v>1</v>
      </c>
      <c r="K123" s="306"/>
      <c r="L123" s="306"/>
      <c r="M123" s="306"/>
      <c r="N123" s="388"/>
      <c r="O123" s="281"/>
      <c r="P123" s="281"/>
      <c r="Q123" s="281"/>
      <c r="R123" s="281"/>
      <c r="S123" s="281"/>
      <c r="T123" s="281"/>
      <c r="U123" s="281"/>
      <c r="V123" s="281"/>
      <c r="W123" s="281"/>
      <c r="X123" s="281"/>
      <c r="Y123" s="281"/>
      <c r="Z123" s="281"/>
      <c r="AA123" s="281"/>
      <c r="AB123" s="281"/>
      <c r="AC123" s="281"/>
      <c r="AD123" s="281"/>
      <c r="AE123" s="281"/>
    </row>
    <row r="124" spans="2:31" ht="15">
      <c r="B124" s="386">
        <f t="shared" si="5"/>
        <v>79</v>
      </c>
      <c r="C124" s="394" t="str" cm="1">
        <f t="array" ref="C124">IF(B124&lt;=$C$9,GetGetCDSName(B124),"")</f>
        <v>PEARSON_MMR.EUR.SU</v>
      </c>
      <c r="D124" s="354">
        <v>0</v>
      </c>
      <c r="E124" s="387">
        <v>0</v>
      </c>
      <c r="F124" s="306">
        <v>0</v>
      </c>
      <c r="G124" s="306">
        <v>1</v>
      </c>
      <c r="H124" s="306">
        <v>0</v>
      </c>
      <c r="I124" s="306">
        <v>0</v>
      </c>
      <c r="J124" s="306">
        <v>1</v>
      </c>
      <c r="K124" s="306"/>
      <c r="L124" s="306"/>
      <c r="M124" s="306"/>
      <c r="N124" s="388"/>
      <c r="O124" s="281"/>
      <c r="P124" s="281"/>
      <c r="Q124" s="281"/>
      <c r="R124" s="281"/>
      <c r="S124" s="281"/>
      <c r="T124" s="281"/>
      <c r="U124" s="281"/>
      <c r="V124" s="281"/>
      <c r="W124" s="281"/>
      <c r="X124" s="281"/>
      <c r="Y124" s="281"/>
      <c r="Z124" s="281"/>
      <c r="AA124" s="281"/>
      <c r="AB124" s="281"/>
      <c r="AC124" s="281"/>
      <c r="AD124" s="281"/>
      <c r="AE124" s="281"/>
    </row>
    <row r="125" spans="2:31" ht="15">
      <c r="B125" s="386">
        <f t="shared" si="5"/>
        <v>80</v>
      </c>
      <c r="C125" s="394" t="str" cm="1">
        <f t="array" ref="C125">IF(B125&lt;=$C$9,GetGetCDSName(B125),"")</f>
        <v>PEUGEOT_MMR.EUR.SU</v>
      </c>
      <c r="D125" s="354">
        <v>0</v>
      </c>
      <c r="E125" s="387">
        <v>1</v>
      </c>
      <c r="F125" s="306">
        <v>1</v>
      </c>
      <c r="G125" s="306">
        <v>0</v>
      </c>
      <c r="H125" s="306">
        <v>0</v>
      </c>
      <c r="I125" s="306">
        <v>0</v>
      </c>
      <c r="J125" s="306">
        <v>0</v>
      </c>
      <c r="K125" s="306"/>
      <c r="L125" s="306"/>
      <c r="M125" s="306"/>
      <c r="N125" s="388"/>
      <c r="O125" s="281"/>
      <c r="P125" s="281"/>
      <c r="Q125" s="281"/>
      <c r="R125" s="281"/>
      <c r="S125" s="281"/>
      <c r="T125" s="281"/>
      <c r="U125" s="281"/>
      <c r="V125" s="281"/>
      <c r="W125" s="281"/>
      <c r="X125" s="281"/>
      <c r="Y125" s="281"/>
      <c r="Z125" s="281"/>
      <c r="AA125" s="281"/>
      <c r="AB125" s="281"/>
      <c r="AC125" s="281"/>
      <c r="AD125" s="281"/>
      <c r="AE125" s="281"/>
    </row>
    <row r="126" spans="2:31" ht="15">
      <c r="B126" s="386">
        <f t="shared" si="5"/>
        <v>81</v>
      </c>
      <c r="C126" s="394" t="str" cm="1">
        <f t="array" ref="C126">IF(B126&lt;=$C$9,GetGetCDSName(B126),"")</f>
        <v>PHILIPSELEC_MMR.EUR.SU</v>
      </c>
      <c r="D126" s="354">
        <v>0</v>
      </c>
      <c r="E126" s="387">
        <v>0</v>
      </c>
      <c r="F126" s="306">
        <v>0</v>
      </c>
      <c r="G126" s="306">
        <v>0</v>
      </c>
      <c r="H126" s="306">
        <v>1</v>
      </c>
      <c r="I126" s="306">
        <v>0</v>
      </c>
      <c r="J126" s="306">
        <v>1</v>
      </c>
      <c r="K126" s="306"/>
      <c r="L126" s="306"/>
      <c r="M126" s="306"/>
      <c r="N126" s="388"/>
      <c r="O126" s="281"/>
      <c r="P126" s="281"/>
      <c r="Q126" s="281"/>
      <c r="R126" s="281"/>
      <c r="S126" s="281"/>
      <c r="T126" s="281"/>
      <c r="U126" s="281"/>
      <c r="V126" s="281"/>
      <c r="W126" s="281"/>
      <c r="X126" s="281"/>
      <c r="Y126" s="281"/>
      <c r="Z126" s="281"/>
      <c r="AA126" s="281"/>
      <c r="AB126" s="281"/>
      <c r="AC126" s="281"/>
      <c r="AD126" s="281"/>
      <c r="AE126" s="281"/>
    </row>
    <row r="127" spans="2:31" ht="15">
      <c r="B127" s="386">
        <f t="shared" si="5"/>
        <v>82</v>
      </c>
      <c r="C127" s="394" t="str" cm="1">
        <f t="array" ref="C127">IF(B127&lt;=$C$9,GetGetCDSName(B127),"")</f>
        <v>PINAULTPRINTEMPS_MMR.EUR.SU</v>
      </c>
      <c r="D127" s="354">
        <v>0</v>
      </c>
      <c r="E127" s="387">
        <v>0</v>
      </c>
      <c r="F127" s="306">
        <v>0</v>
      </c>
      <c r="G127" s="306">
        <v>1</v>
      </c>
      <c r="H127" s="306">
        <v>1</v>
      </c>
      <c r="I127" s="306">
        <v>0</v>
      </c>
      <c r="J127" s="306">
        <v>0</v>
      </c>
      <c r="K127" s="306"/>
      <c r="L127" s="306"/>
      <c r="M127" s="306"/>
      <c r="N127" s="388"/>
      <c r="O127" s="281"/>
      <c r="P127" s="281"/>
      <c r="Q127" s="281"/>
      <c r="R127" s="281"/>
      <c r="S127" s="281"/>
      <c r="T127" s="281"/>
      <c r="U127" s="281"/>
      <c r="V127" s="281"/>
      <c r="W127" s="281"/>
      <c r="X127" s="281"/>
      <c r="Y127" s="281"/>
      <c r="Z127" s="281"/>
      <c r="AA127" s="281"/>
      <c r="AB127" s="281"/>
      <c r="AC127" s="281"/>
      <c r="AD127" s="281"/>
      <c r="AE127" s="281"/>
    </row>
    <row r="128" spans="2:31" ht="15">
      <c r="B128" s="386">
        <f t="shared" si="5"/>
        <v>83</v>
      </c>
      <c r="C128" s="394" t="str" cm="1">
        <f t="array" ref="C128">IF(B128&lt;=$C$9,GetGetCDSName(B128),"")</f>
        <v>PORTUGALTELECOM_MMR.EUR.SU</v>
      </c>
      <c r="D128" s="354">
        <v>0</v>
      </c>
      <c r="E128" s="387">
        <v>0</v>
      </c>
      <c r="F128" s="306">
        <v>0</v>
      </c>
      <c r="G128" s="306">
        <v>1</v>
      </c>
      <c r="H128" s="306">
        <v>0</v>
      </c>
      <c r="I128" s="306">
        <v>1</v>
      </c>
      <c r="J128" s="306">
        <v>1</v>
      </c>
      <c r="K128" s="306"/>
      <c r="L128" s="306"/>
      <c r="M128" s="306"/>
      <c r="N128" s="388"/>
      <c r="O128" s="281"/>
      <c r="P128" s="281"/>
      <c r="Q128" s="281"/>
      <c r="R128" s="281"/>
      <c r="S128" s="281"/>
      <c r="T128" s="281"/>
      <c r="U128" s="281"/>
      <c r="V128" s="281"/>
      <c r="W128" s="281"/>
      <c r="X128" s="281"/>
      <c r="Y128" s="281"/>
      <c r="Z128" s="281"/>
      <c r="AA128" s="281"/>
      <c r="AB128" s="281"/>
      <c r="AC128" s="281"/>
      <c r="AD128" s="281"/>
      <c r="AE128" s="281"/>
    </row>
    <row r="129" spans="2:31" ht="15">
      <c r="B129" s="386">
        <f t="shared" si="5"/>
        <v>84</v>
      </c>
      <c r="C129" s="394" t="str" cm="1">
        <f t="array" ref="C129">IF(B129&lt;=$C$9,GetGetCDSName(B129),"")</f>
        <v>REEDELSEVIER_MMR.EUR.SU</v>
      </c>
      <c r="D129" s="354">
        <v>0</v>
      </c>
      <c r="E129" s="387">
        <v>1</v>
      </c>
      <c r="F129" s="306">
        <v>0</v>
      </c>
      <c r="G129" s="306">
        <v>1</v>
      </c>
      <c r="H129" s="306">
        <v>1</v>
      </c>
      <c r="I129" s="306">
        <v>0</v>
      </c>
      <c r="J129" s="306">
        <v>0</v>
      </c>
      <c r="K129" s="306"/>
      <c r="L129" s="306"/>
      <c r="M129" s="306"/>
      <c r="N129" s="388"/>
      <c r="O129" s="281"/>
      <c r="P129" s="281"/>
      <c r="Q129" s="281"/>
      <c r="R129" s="281"/>
      <c r="S129" s="281"/>
      <c r="T129" s="281"/>
      <c r="U129" s="281"/>
      <c r="V129" s="281"/>
      <c r="W129" s="281"/>
      <c r="X129" s="281"/>
      <c r="Y129" s="281"/>
      <c r="Z129" s="281"/>
      <c r="AA129" s="281"/>
      <c r="AB129" s="281"/>
      <c r="AC129" s="281"/>
      <c r="AD129" s="281"/>
      <c r="AE129" s="281"/>
    </row>
    <row r="130" spans="2:31" ht="15">
      <c r="B130" s="386">
        <f t="shared" si="5"/>
        <v>85</v>
      </c>
      <c r="C130" s="394" t="str" cm="1">
        <f t="array" ref="C130">IF(B130&lt;=$C$9,GetGetCDSName(B130),"")</f>
        <v>RENAULT_MMR.EUR.SU</v>
      </c>
      <c r="D130" s="354">
        <v>0</v>
      </c>
      <c r="E130" s="387">
        <v>0</v>
      </c>
      <c r="F130" s="306">
        <v>1</v>
      </c>
      <c r="G130" s="306">
        <v>0</v>
      </c>
      <c r="H130" s="306">
        <v>0</v>
      </c>
      <c r="I130" s="306">
        <v>1</v>
      </c>
      <c r="J130" s="306">
        <v>0</v>
      </c>
      <c r="K130" s="306"/>
      <c r="L130" s="306"/>
      <c r="M130" s="306"/>
      <c r="N130" s="388"/>
      <c r="O130" s="281"/>
      <c r="P130" s="281"/>
      <c r="Q130" s="281"/>
      <c r="R130" s="281"/>
      <c r="S130" s="281"/>
      <c r="T130" s="281"/>
      <c r="U130" s="281"/>
      <c r="V130" s="281"/>
      <c r="W130" s="281"/>
      <c r="X130" s="281"/>
      <c r="Y130" s="281"/>
      <c r="Z130" s="281"/>
      <c r="AA130" s="281"/>
      <c r="AB130" s="281"/>
      <c r="AC130" s="281"/>
      <c r="AD130" s="281"/>
      <c r="AE130" s="281"/>
    </row>
    <row r="131" spans="2:31" ht="15">
      <c r="B131" s="386">
        <f t="shared" si="5"/>
        <v>86</v>
      </c>
      <c r="C131" s="394" t="str" cm="1">
        <f t="array" ref="C131">IF(B131&lt;=$C$9,GetGetCDSName(B131),"")</f>
        <v>REPSOL_MMR.EUR.SU</v>
      </c>
      <c r="D131" s="354">
        <v>0</v>
      </c>
      <c r="E131" s="387">
        <v>1</v>
      </c>
      <c r="F131" s="306">
        <v>0</v>
      </c>
      <c r="G131" s="306">
        <v>1</v>
      </c>
      <c r="H131" s="306">
        <v>0</v>
      </c>
      <c r="I131" s="306">
        <v>0</v>
      </c>
      <c r="J131" s="306">
        <v>0</v>
      </c>
      <c r="K131" s="306"/>
      <c r="L131" s="306"/>
      <c r="M131" s="306"/>
      <c r="N131" s="388"/>
      <c r="O131" s="281"/>
      <c r="P131" s="281"/>
      <c r="Q131" s="281"/>
      <c r="R131" s="281"/>
      <c r="S131" s="281"/>
      <c r="T131" s="281"/>
      <c r="U131" s="281"/>
      <c r="V131" s="281"/>
      <c r="W131" s="281"/>
      <c r="X131" s="281"/>
      <c r="Y131" s="281"/>
      <c r="Z131" s="281"/>
      <c r="AA131" s="281"/>
      <c r="AB131" s="281"/>
      <c r="AC131" s="281"/>
      <c r="AD131" s="281"/>
      <c r="AE131" s="281"/>
    </row>
    <row r="132" spans="2:31" ht="15">
      <c r="B132" s="386">
        <f t="shared" si="5"/>
        <v>87</v>
      </c>
      <c r="C132" s="394" t="str" cm="1">
        <f t="array" ref="C132">IF(B132&lt;=$C$9,GetGetCDSName(B132),"")</f>
        <v>REUTERS_MMR.EUR.SU</v>
      </c>
      <c r="D132" s="354">
        <v>0</v>
      </c>
      <c r="E132" s="387">
        <v>1</v>
      </c>
      <c r="F132" s="306">
        <v>0</v>
      </c>
      <c r="G132" s="306">
        <v>0</v>
      </c>
      <c r="H132" s="306">
        <v>1</v>
      </c>
      <c r="I132" s="306">
        <v>0</v>
      </c>
      <c r="J132" s="306">
        <v>0</v>
      </c>
      <c r="K132" s="306"/>
      <c r="L132" s="306"/>
      <c r="M132" s="306"/>
      <c r="N132" s="388"/>
      <c r="O132" s="281"/>
      <c r="P132" s="281"/>
      <c r="Q132" s="281"/>
      <c r="R132" s="281"/>
      <c r="S132" s="281"/>
      <c r="T132" s="281"/>
      <c r="U132" s="281"/>
      <c r="V132" s="281"/>
      <c r="W132" s="281"/>
      <c r="X132" s="281"/>
      <c r="Y132" s="281"/>
      <c r="Z132" s="281"/>
      <c r="AA132" s="281"/>
      <c r="AB132" s="281"/>
      <c r="AC132" s="281"/>
      <c r="AD132" s="281"/>
      <c r="AE132" s="281"/>
    </row>
    <row r="133" spans="2:31" ht="15">
      <c r="B133" s="386">
        <f t="shared" si="5"/>
        <v>88</v>
      </c>
      <c r="C133" s="394" t="str" cm="1">
        <f t="array" ref="C133">IF(B133&lt;=$C$9,GetGetCDSName(B133),"")</f>
        <v>ROYALBANKSCOTLAND_MMR.EUR.SU</v>
      </c>
      <c r="D133" s="354">
        <v>0</v>
      </c>
      <c r="E133" s="387">
        <v>0</v>
      </c>
      <c r="F133" s="306">
        <v>0</v>
      </c>
      <c r="G133" s="306">
        <v>1</v>
      </c>
      <c r="H133" s="306">
        <v>1</v>
      </c>
      <c r="I133" s="306">
        <v>1</v>
      </c>
      <c r="J133" s="306">
        <v>0</v>
      </c>
      <c r="K133" s="306"/>
      <c r="L133" s="306"/>
      <c r="M133" s="306"/>
      <c r="N133" s="388"/>
      <c r="O133" s="281"/>
      <c r="P133" s="281"/>
      <c r="Q133" s="281"/>
      <c r="R133" s="281"/>
      <c r="S133" s="281"/>
      <c r="T133" s="281"/>
      <c r="U133" s="281"/>
      <c r="V133" s="281"/>
      <c r="W133" s="281"/>
      <c r="X133" s="281"/>
      <c r="Y133" s="281"/>
      <c r="Z133" s="281"/>
      <c r="AA133" s="281"/>
      <c r="AB133" s="281"/>
      <c r="AC133" s="281"/>
      <c r="AD133" s="281"/>
      <c r="AE133" s="281"/>
    </row>
    <row r="134" spans="2:31" ht="15">
      <c r="B134" s="386">
        <f t="shared" si="5"/>
        <v>89</v>
      </c>
      <c r="C134" s="394" t="str" cm="1">
        <f t="array" ref="C134">IF(B134&lt;=$C$9,GetGetCDSName(B134),"")</f>
        <v>RWE_MMR.EUR.SU</v>
      </c>
      <c r="D134" s="354">
        <v>0</v>
      </c>
      <c r="E134" s="387">
        <v>0</v>
      </c>
      <c r="F134" s="306">
        <v>0</v>
      </c>
      <c r="G134" s="306">
        <v>0</v>
      </c>
      <c r="H134" s="306">
        <v>1</v>
      </c>
      <c r="I134" s="306">
        <v>1</v>
      </c>
      <c r="J134" s="306">
        <v>0</v>
      </c>
      <c r="K134" s="306"/>
      <c r="L134" s="306"/>
      <c r="M134" s="306"/>
      <c r="N134" s="388"/>
      <c r="O134" s="281"/>
      <c r="P134" s="281"/>
      <c r="Q134" s="281"/>
      <c r="R134" s="281"/>
      <c r="S134" s="281"/>
      <c r="T134" s="281"/>
      <c r="U134" s="281"/>
      <c r="V134" s="281"/>
      <c r="W134" s="281"/>
      <c r="X134" s="281"/>
      <c r="Y134" s="281"/>
      <c r="Z134" s="281"/>
      <c r="AA134" s="281"/>
      <c r="AB134" s="281"/>
      <c r="AC134" s="281"/>
      <c r="AD134" s="281"/>
      <c r="AE134" s="281"/>
    </row>
    <row r="135" spans="2:31" ht="15">
      <c r="B135" s="386">
        <f t="shared" si="5"/>
        <v>90</v>
      </c>
      <c r="C135" s="394" t="str" cm="1">
        <f t="array" ref="C135">IF(B135&lt;=$C$9,GetGetCDSName(B135),"")</f>
        <v>SAFEWAYPLC_MMR.EUR.SU</v>
      </c>
      <c r="D135" s="354">
        <v>0</v>
      </c>
      <c r="E135" s="387">
        <v>0</v>
      </c>
      <c r="F135" s="306">
        <v>1</v>
      </c>
      <c r="G135" s="306">
        <v>0</v>
      </c>
      <c r="H135" s="306">
        <v>1</v>
      </c>
      <c r="I135" s="306">
        <v>0</v>
      </c>
      <c r="J135" s="306">
        <v>0</v>
      </c>
      <c r="K135" s="306"/>
      <c r="L135" s="306"/>
      <c r="M135" s="306"/>
      <c r="N135" s="388"/>
      <c r="O135" s="281"/>
      <c r="P135" s="281"/>
      <c r="Q135" s="281"/>
      <c r="R135" s="281"/>
      <c r="S135" s="281"/>
      <c r="T135" s="281"/>
      <c r="U135" s="281"/>
      <c r="V135" s="281"/>
      <c r="W135" s="281"/>
      <c r="X135" s="281"/>
      <c r="Y135" s="281"/>
      <c r="Z135" s="281"/>
      <c r="AA135" s="281"/>
      <c r="AB135" s="281"/>
      <c r="AC135" s="281"/>
      <c r="AD135" s="281"/>
      <c r="AE135" s="281"/>
    </row>
    <row r="136" spans="2:31" ht="15">
      <c r="B136" s="386">
        <f t="shared" si="5"/>
        <v>91</v>
      </c>
      <c r="C136" s="394" t="str" cm="1">
        <f t="array" ref="C136">IF(B136&lt;=$C$9,GetGetCDSName(B136),"")</f>
        <v>SANOFIAVENTIS_MMR.EUR.SU</v>
      </c>
      <c r="D136" s="354">
        <v>0</v>
      </c>
      <c r="E136" s="387">
        <v>0</v>
      </c>
      <c r="F136" s="306">
        <v>1</v>
      </c>
      <c r="G136" s="306">
        <v>1</v>
      </c>
      <c r="H136" s="306">
        <v>0</v>
      </c>
      <c r="I136" s="306">
        <v>0</v>
      </c>
      <c r="J136" s="306">
        <v>1</v>
      </c>
      <c r="K136" s="306"/>
      <c r="L136" s="306"/>
      <c r="M136" s="306"/>
      <c r="N136" s="388"/>
      <c r="O136" s="281"/>
      <c r="P136" s="281"/>
      <c r="Q136" s="281"/>
      <c r="R136" s="281"/>
      <c r="S136" s="281"/>
      <c r="T136" s="281"/>
      <c r="U136" s="281"/>
      <c r="V136" s="281"/>
      <c r="W136" s="281"/>
      <c r="X136" s="281"/>
      <c r="Y136" s="281"/>
      <c r="Z136" s="281"/>
      <c r="AA136" s="281"/>
      <c r="AB136" s="281"/>
      <c r="AC136" s="281"/>
      <c r="AD136" s="281"/>
      <c r="AE136" s="281"/>
    </row>
    <row r="137" spans="2:31" ht="15">
      <c r="B137" s="386">
        <f t="shared" si="5"/>
        <v>92</v>
      </c>
      <c r="C137" s="394" t="str" cm="1">
        <f t="array" ref="C137">IF(B137&lt;=$C$9,GetGetCDSName(B137),"")</f>
        <v>SIEMENS_MMR.EUR.SU</v>
      </c>
      <c r="D137" s="354">
        <v>0</v>
      </c>
      <c r="E137" s="387">
        <v>0</v>
      </c>
      <c r="F137" s="306">
        <v>1</v>
      </c>
      <c r="G137" s="306">
        <v>0</v>
      </c>
      <c r="H137" s="306">
        <v>0</v>
      </c>
      <c r="I137" s="306">
        <v>1</v>
      </c>
      <c r="J137" s="306">
        <v>1</v>
      </c>
      <c r="K137" s="306"/>
      <c r="L137" s="306"/>
      <c r="M137" s="306"/>
      <c r="N137" s="388"/>
      <c r="O137" s="281"/>
      <c r="P137" s="281"/>
      <c r="Q137" s="281"/>
      <c r="R137" s="281"/>
      <c r="S137" s="281"/>
      <c r="T137" s="281"/>
      <c r="U137" s="281"/>
      <c r="V137" s="281"/>
      <c r="W137" s="281"/>
      <c r="X137" s="281"/>
      <c r="Y137" s="281"/>
      <c r="Z137" s="281"/>
      <c r="AA137" s="281"/>
      <c r="AB137" s="281"/>
      <c r="AC137" s="281"/>
      <c r="AD137" s="281"/>
      <c r="AE137" s="281"/>
    </row>
    <row r="138" spans="2:31" ht="15">
      <c r="B138" s="386">
        <f t="shared" si="5"/>
        <v>93</v>
      </c>
      <c r="C138" s="394" t="str" cm="1">
        <f t="array" ref="C138">IF(B138&lt;=$C$9,GetGetCDSName(B138),"")</f>
        <v>SODEXHOALLIANCE_MMR.EUR.SU</v>
      </c>
      <c r="D138" s="354">
        <v>0</v>
      </c>
      <c r="E138" s="387">
        <v>1</v>
      </c>
      <c r="F138" s="306">
        <v>1</v>
      </c>
      <c r="G138" s="306">
        <v>0</v>
      </c>
      <c r="H138" s="306">
        <v>0</v>
      </c>
      <c r="I138" s="306">
        <v>1</v>
      </c>
      <c r="J138" s="306">
        <v>0</v>
      </c>
      <c r="K138" s="306"/>
      <c r="L138" s="306"/>
      <c r="M138" s="306"/>
      <c r="N138" s="388"/>
      <c r="O138" s="281"/>
      <c r="P138" s="281"/>
      <c r="Q138" s="281"/>
      <c r="R138" s="281"/>
      <c r="S138" s="281"/>
      <c r="T138" s="281"/>
      <c r="U138" s="281"/>
      <c r="V138" s="281"/>
      <c r="W138" s="281"/>
      <c r="X138" s="281"/>
      <c r="Y138" s="281"/>
      <c r="Z138" s="281"/>
      <c r="AA138" s="281"/>
      <c r="AB138" s="281"/>
      <c r="AC138" s="281"/>
      <c r="AD138" s="281"/>
      <c r="AE138" s="281"/>
    </row>
    <row r="139" spans="2:31" ht="15">
      <c r="B139" s="386">
        <f t="shared" si="5"/>
        <v>94</v>
      </c>
      <c r="C139" s="394" t="str" cm="1">
        <f t="array" ref="C139">IF(B139&lt;=$C$9,GetGetCDSName(B139),"")</f>
        <v>SOLVAY_MMR.EUR.SU</v>
      </c>
      <c r="D139" s="354">
        <v>0</v>
      </c>
      <c r="E139" s="387">
        <v>1</v>
      </c>
      <c r="F139" s="306">
        <v>0</v>
      </c>
      <c r="G139" s="306">
        <v>0</v>
      </c>
      <c r="H139" s="306">
        <v>0</v>
      </c>
      <c r="I139" s="306">
        <v>1</v>
      </c>
      <c r="J139" s="306">
        <v>0</v>
      </c>
      <c r="K139" s="306"/>
      <c r="L139" s="306"/>
      <c r="M139" s="306"/>
      <c r="N139" s="388"/>
      <c r="O139" s="281"/>
      <c r="P139" s="281"/>
      <c r="Q139" s="281"/>
      <c r="R139" s="281"/>
      <c r="S139" s="281"/>
      <c r="T139" s="281"/>
      <c r="U139" s="281"/>
      <c r="V139" s="281"/>
      <c r="W139" s="281"/>
      <c r="X139" s="281"/>
      <c r="Y139" s="281"/>
      <c r="Z139" s="281"/>
      <c r="AA139" s="281"/>
      <c r="AB139" s="281"/>
      <c r="AC139" s="281"/>
      <c r="AD139" s="281"/>
      <c r="AE139" s="281"/>
    </row>
    <row r="140" spans="2:31" ht="15">
      <c r="B140" s="386">
        <f t="shared" si="5"/>
        <v>95</v>
      </c>
      <c r="C140" s="394" t="str" cm="1">
        <f t="array" ref="C140">IF(B140&lt;=$C$9,GetGetCDSName(B140),"")</f>
        <v>STGOBAIN_MMR.EUR.SU</v>
      </c>
      <c r="D140" s="354">
        <v>0</v>
      </c>
      <c r="E140" s="387">
        <v>1</v>
      </c>
      <c r="F140" s="306">
        <v>1</v>
      </c>
      <c r="G140" s="306">
        <v>0</v>
      </c>
      <c r="H140" s="306">
        <v>0</v>
      </c>
      <c r="I140" s="306">
        <v>1</v>
      </c>
      <c r="J140" s="306">
        <v>0</v>
      </c>
      <c r="K140" s="306"/>
      <c r="L140" s="306"/>
      <c r="M140" s="306"/>
      <c r="N140" s="388"/>
      <c r="O140" s="281"/>
      <c r="P140" s="281"/>
      <c r="Q140" s="281"/>
      <c r="R140" s="281"/>
      <c r="S140" s="281"/>
      <c r="T140" s="281"/>
      <c r="U140" s="281"/>
      <c r="V140" s="281"/>
      <c r="W140" s="281"/>
      <c r="X140" s="281"/>
      <c r="Y140" s="281"/>
      <c r="Z140" s="281"/>
      <c r="AA140" s="281"/>
      <c r="AB140" s="281"/>
      <c r="AC140" s="281"/>
      <c r="AD140" s="281"/>
      <c r="AE140" s="281"/>
    </row>
    <row r="141" spans="2:31" ht="15">
      <c r="B141" s="386">
        <f t="shared" si="5"/>
        <v>96</v>
      </c>
      <c r="C141" s="394" t="str" cm="1">
        <f t="array" ref="C141">IF(B141&lt;=$C$9,GetGetCDSName(B141),"")</f>
        <v>STMICRO_MMR.EUR.SU</v>
      </c>
      <c r="D141" s="354">
        <v>0</v>
      </c>
      <c r="E141" s="387">
        <v>0</v>
      </c>
      <c r="F141" s="306">
        <v>0</v>
      </c>
      <c r="G141" s="306">
        <v>0</v>
      </c>
      <c r="H141" s="306">
        <v>0</v>
      </c>
      <c r="I141" s="306">
        <v>0</v>
      </c>
      <c r="J141" s="306">
        <v>1</v>
      </c>
      <c r="K141" s="306"/>
      <c r="L141" s="306"/>
      <c r="M141" s="306"/>
      <c r="N141" s="388"/>
      <c r="O141" s="281"/>
      <c r="P141" s="281"/>
      <c r="Q141" s="281"/>
      <c r="R141" s="281"/>
      <c r="S141" s="281"/>
      <c r="T141" s="281"/>
      <c r="U141" s="281"/>
      <c r="V141" s="281"/>
      <c r="W141" s="281"/>
      <c r="X141" s="281"/>
      <c r="Y141" s="281"/>
      <c r="Z141" s="281"/>
      <c r="AA141" s="281"/>
      <c r="AB141" s="281"/>
      <c r="AC141" s="281"/>
      <c r="AD141" s="281"/>
      <c r="AE141" s="281"/>
    </row>
    <row r="142" spans="2:31" ht="15">
      <c r="B142" s="386">
        <f t="shared" si="5"/>
        <v>97</v>
      </c>
      <c r="C142" s="394" t="str" cm="1">
        <f t="array" ref="C142">IF(B142&lt;=$C$9,GetGetCDSName(B142),"")</f>
        <v>SUEDZUCKERAG_MMR.EUR.SU</v>
      </c>
      <c r="D142" s="354">
        <v>0</v>
      </c>
      <c r="E142" s="387">
        <v>1</v>
      </c>
      <c r="F142" s="306">
        <v>0</v>
      </c>
      <c r="G142" s="306">
        <v>0</v>
      </c>
      <c r="H142" s="306">
        <v>0</v>
      </c>
      <c r="I142" s="306">
        <v>0</v>
      </c>
      <c r="J142" s="306">
        <v>0</v>
      </c>
      <c r="K142" s="306"/>
      <c r="L142" s="306"/>
      <c r="M142" s="306"/>
      <c r="N142" s="388"/>
      <c r="O142" s="281"/>
      <c r="P142" s="281"/>
      <c r="Q142" s="281"/>
      <c r="R142" s="281"/>
      <c r="S142" s="281"/>
      <c r="T142" s="281"/>
      <c r="U142" s="281"/>
      <c r="V142" s="281"/>
      <c r="W142" s="281"/>
      <c r="X142" s="281"/>
      <c r="Y142" s="281"/>
      <c r="Z142" s="281"/>
      <c r="AA142" s="281"/>
      <c r="AB142" s="281"/>
      <c r="AC142" s="281"/>
      <c r="AD142" s="281"/>
      <c r="AE142" s="281"/>
    </row>
    <row r="143" spans="2:31" ht="15">
      <c r="B143" s="386">
        <f t="shared" si="5"/>
        <v>98</v>
      </c>
      <c r="C143" s="394" t="str" cm="1">
        <f t="array" ref="C143">IF(B143&lt;=$C$9,GetGetCDSName(B143),"")</f>
        <v>SUEZLYONNAISE_MMR.EUR.SU</v>
      </c>
      <c r="D143" s="354">
        <v>0</v>
      </c>
      <c r="E143" s="387">
        <v>0</v>
      </c>
      <c r="F143" s="306">
        <v>0</v>
      </c>
      <c r="G143" s="306">
        <v>1</v>
      </c>
      <c r="H143" s="306">
        <v>0</v>
      </c>
      <c r="I143" s="306">
        <v>0</v>
      </c>
      <c r="J143" s="306">
        <v>0</v>
      </c>
      <c r="K143" s="306"/>
      <c r="L143" s="306"/>
      <c r="M143" s="306"/>
      <c r="N143" s="388"/>
      <c r="O143" s="281"/>
      <c r="P143" s="281"/>
      <c r="Q143" s="281"/>
      <c r="R143" s="281"/>
      <c r="S143" s="281"/>
      <c r="T143" s="281"/>
      <c r="U143" s="281"/>
      <c r="V143" s="281"/>
      <c r="W143" s="281"/>
      <c r="X143" s="281"/>
      <c r="Y143" s="281"/>
      <c r="Z143" s="281"/>
      <c r="AA143" s="281"/>
      <c r="AB143" s="281"/>
      <c r="AC143" s="281"/>
      <c r="AD143" s="281"/>
      <c r="AE143" s="281"/>
    </row>
    <row r="144" spans="2:31" ht="15">
      <c r="B144" s="386">
        <f t="shared" si="5"/>
        <v>99</v>
      </c>
      <c r="C144" s="394" t="str" cm="1">
        <f t="array" ref="C144">IF(B144&lt;=$C$9,GetGetCDSName(B144),"")</f>
        <v>SVENSKACELLULOSAAB_MMR.EUR.SU</v>
      </c>
      <c r="D144" s="354">
        <v>0</v>
      </c>
      <c r="E144" s="387">
        <v>0</v>
      </c>
      <c r="F144" s="306">
        <v>0</v>
      </c>
      <c r="G144" s="306">
        <v>0</v>
      </c>
      <c r="H144" s="306">
        <v>0</v>
      </c>
      <c r="I144" s="306">
        <v>1</v>
      </c>
      <c r="J144" s="306">
        <v>0</v>
      </c>
      <c r="K144" s="306"/>
      <c r="L144" s="306"/>
      <c r="M144" s="306"/>
      <c r="N144" s="388"/>
      <c r="O144" s="281"/>
      <c r="P144" s="281"/>
      <c r="Q144" s="281"/>
      <c r="R144" s="281"/>
      <c r="S144" s="281"/>
      <c r="T144" s="281"/>
      <c r="U144" s="281"/>
      <c r="V144" s="281"/>
      <c r="W144" s="281"/>
      <c r="X144" s="281"/>
      <c r="Y144" s="281"/>
      <c r="Z144" s="281"/>
      <c r="AA144" s="281"/>
      <c r="AB144" s="281"/>
      <c r="AC144" s="281"/>
      <c r="AD144" s="281"/>
      <c r="AE144" s="281"/>
    </row>
    <row r="145" spans="2:31" ht="15">
      <c r="B145" s="386">
        <f t="shared" si="5"/>
        <v>100</v>
      </c>
      <c r="C145" s="394" t="str" cm="1">
        <f t="array" ref="C145">IF(B145&lt;=$C$9,GetGetCDSName(B145),"")</f>
        <v>SWISSRE_MMR.EUR.SU</v>
      </c>
      <c r="D145" s="354">
        <v>0</v>
      </c>
      <c r="E145" s="387">
        <v>0</v>
      </c>
      <c r="F145" s="306">
        <v>0</v>
      </c>
      <c r="G145" s="306">
        <v>1</v>
      </c>
      <c r="H145" s="306">
        <v>0</v>
      </c>
      <c r="I145" s="306">
        <v>1</v>
      </c>
      <c r="J145" s="306">
        <v>1</v>
      </c>
      <c r="K145" s="306"/>
      <c r="L145" s="306"/>
      <c r="M145" s="306"/>
      <c r="N145" s="388"/>
      <c r="O145" s="281"/>
      <c r="P145" s="281"/>
      <c r="Q145" s="281"/>
      <c r="R145" s="281"/>
      <c r="S145" s="281"/>
      <c r="T145" s="281"/>
      <c r="U145" s="281"/>
      <c r="V145" s="281"/>
      <c r="W145" s="281"/>
      <c r="X145" s="281"/>
      <c r="Y145" s="281"/>
      <c r="Z145" s="281"/>
      <c r="AA145" s="281"/>
      <c r="AB145" s="281"/>
      <c r="AC145" s="281"/>
      <c r="AD145" s="281"/>
      <c r="AE145" s="281"/>
    </row>
    <row r="146" spans="2:31" ht="15">
      <c r="B146" s="386">
        <f t="shared" si="5"/>
        <v>101</v>
      </c>
      <c r="C146" s="394" t="str" cm="1">
        <f t="array" ref="C146">IF(B146&lt;=$C$9,GetGetCDSName(B146),"")</f>
        <v>TATE&amp;LYLE_MMR.EUR.SU</v>
      </c>
      <c r="D146" s="354">
        <v>0</v>
      </c>
      <c r="E146" s="387">
        <v>0</v>
      </c>
      <c r="F146" s="306">
        <v>1</v>
      </c>
      <c r="G146" s="306">
        <v>1</v>
      </c>
      <c r="H146" s="306">
        <v>0</v>
      </c>
      <c r="I146" s="306">
        <v>0</v>
      </c>
      <c r="J146" s="306">
        <v>0</v>
      </c>
      <c r="K146" s="306"/>
      <c r="L146" s="306"/>
      <c r="M146" s="306"/>
      <c r="N146" s="388"/>
      <c r="O146" s="281"/>
      <c r="P146" s="281"/>
      <c r="Q146" s="281"/>
      <c r="R146" s="281"/>
      <c r="S146" s="281"/>
      <c r="T146" s="281"/>
      <c r="U146" s="281"/>
      <c r="V146" s="281"/>
      <c r="W146" s="281"/>
      <c r="X146" s="281"/>
      <c r="Y146" s="281"/>
      <c r="Z146" s="281"/>
      <c r="AA146" s="281"/>
      <c r="AB146" s="281"/>
      <c r="AC146" s="281"/>
      <c r="AD146" s="281"/>
      <c r="AE146" s="281"/>
    </row>
    <row r="147" spans="2:31" ht="15">
      <c r="B147" s="386">
        <f t="shared" si="5"/>
        <v>102</v>
      </c>
      <c r="C147" s="394" t="str" cm="1">
        <f t="array" ref="C147">IF(B147&lt;=$C$9,GetGetCDSName(B147),"")</f>
        <v>TELECOMITALIA_MMR.EUR.SU</v>
      </c>
      <c r="D147" s="354">
        <v>0</v>
      </c>
      <c r="E147" s="387">
        <v>1</v>
      </c>
      <c r="F147" s="306">
        <v>1</v>
      </c>
      <c r="G147" s="306">
        <v>0</v>
      </c>
      <c r="H147" s="306">
        <v>0</v>
      </c>
      <c r="I147" s="306">
        <v>0</v>
      </c>
      <c r="J147" s="306">
        <v>0</v>
      </c>
      <c r="K147" s="306"/>
      <c r="L147" s="306"/>
      <c r="M147" s="306"/>
      <c r="N147" s="388"/>
      <c r="O147" s="281"/>
      <c r="P147" s="281"/>
      <c r="Q147" s="281"/>
      <c r="R147" s="281"/>
      <c r="S147" s="281"/>
      <c r="T147" s="281"/>
      <c r="U147" s="281"/>
      <c r="V147" s="281"/>
      <c r="W147" s="281"/>
      <c r="X147" s="281"/>
      <c r="Y147" s="281"/>
      <c r="Z147" s="281"/>
      <c r="AA147" s="281"/>
      <c r="AB147" s="281"/>
      <c r="AC147" s="281"/>
      <c r="AD147" s="281"/>
      <c r="AE147" s="281"/>
    </row>
    <row r="148" spans="2:31" ht="15">
      <c r="B148" s="386">
        <f t="shared" si="5"/>
        <v>103</v>
      </c>
      <c r="C148" s="394" t="str" cm="1">
        <f t="array" ref="C148">IF(B148&lt;=$C$9,GetGetCDSName(B148),"")</f>
        <v>TELEFONICA_MMR.EUR.SU</v>
      </c>
      <c r="D148" s="354">
        <v>0</v>
      </c>
      <c r="E148" s="387">
        <v>0</v>
      </c>
      <c r="F148" s="306">
        <v>0</v>
      </c>
      <c r="G148" s="306">
        <v>0</v>
      </c>
      <c r="H148" s="306">
        <v>1</v>
      </c>
      <c r="I148" s="306">
        <v>0</v>
      </c>
      <c r="J148" s="306">
        <v>0</v>
      </c>
      <c r="K148" s="306"/>
      <c r="L148" s="306"/>
      <c r="M148" s="306"/>
      <c r="N148" s="388"/>
      <c r="O148" s="281"/>
      <c r="P148" s="281"/>
      <c r="Q148" s="281"/>
      <c r="R148" s="281"/>
      <c r="S148" s="281"/>
      <c r="T148" s="281"/>
      <c r="U148" s="281"/>
      <c r="V148" s="281"/>
      <c r="W148" s="281"/>
      <c r="X148" s="281"/>
      <c r="Y148" s="281"/>
      <c r="Z148" s="281"/>
      <c r="AA148" s="281"/>
      <c r="AB148" s="281"/>
      <c r="AC148" s="281"/>
      <c r="AD148" s="281"/>
      <c r="AE148" s="281"/>
    </row>
    <row r="149" spans="2:31" ht="15">
      <c r="B149" s="386">
        <f t="shared" si="5"/>
        <v>104</v>
      </c>
      <c r="C149" s="394" t="str" cm="1">
        <f t="array" ref="C149">IF(B149&lt;=$C$9,GetGetCDSName(B149),"")</f>
        <v>TELEKOMAUSTRIA_MMR.EUR.SU</v>
      </c>
      <c r="D149" s="354">
        <v>0</v>
      </c>
      <c r="E149" s="387">
        <v>0</v>
      </c>
      <c r="F149" s="306">
        <v>0</v>
      </c>
      <c r="G149" s="306">
        <v>0</v>
      </c>
      <c r="H149" s="306">
        <v>0</v>
      </c>
      <c r="I149" s="306">
        <v>0</v>
      </c>
      <c r="J149" s="306">
        <v>1</v>
      </c>
      <c r="K149" s="306"/>
      <c r="L149" s="306"/>
      <c r="M149" s="306"/>
      <c r="N149" s="388"/>
      <c r="O149" s="281"/>
      <c r="P149" s="281"/>
      <c r="Q149" s="281"/>
      <c r="R149" s="281"/>
      <c r="S149" s="281"/>
      <c r="T149" s="281"/>
      <c r="U149" s="281"/>
      <c r="V149" s="281"/>
      <c r="W149" s="281"/>
      <c r="X149" s="281"/>
      <c r="Y149" s="281"/>
      <c r="Z149" s="281"/>
      <c r="AA149" s="281"/>
      <c r="AB149" s="281"/>
      <c r="AC149" s="281"/>
      <c r="AD149" s="281"/>
      <c r="AE149" s="281"/>
    </row>
    <row r="150" spans="2:31" ht="15">
      <c r="B150" s="386">
        <f t="shared" si="5"/>
        <v>105</v>
      </c>
      <c r="C150" s="394" t="str" cm="1">
        <f t="array" ref="C150">IF(B150&lt;=$C$9,GetGetCDSName(B150),"")</f>
        <v>TELENOR_MMR.EUR.SU</v>
      </c>
      <c r="D150" s="354">
        <v>0</v>
      </c>
      <c r="E150" s="387">
        <v>0</v>
      </c>
      <c r="F150" s="306">
        <v>1</v>
      </c>
      <c r="G150" s="306">
        <v>0</v>
      </c>
      <c r="H150" s="306">
        <v>1</v>
      </c>
      <c r="I150" s="306">
        <v>1</v>
      </c>
      <c r="J150" s="306">
        <v>0</v>
      </c>
      <c r="K150" s="306"/>
      <c r="L150" s="306"/>
      <c r="M150" s="306"/>
      <c r="N150" s="388"/>
      <c r="O150" s="281"/>
      <c r="P150" s="281"/>
      <c r="Q150" s="281"/>
      <c r="R150" s="281"/>
      <c r="S150" s="281"/>
      <c r="T150" s="281"/>
      <c r="U150" s="281"/>
      <c r="V150" s="281"/>
      <c r="W150" s="281"/>
      <c r="X150" s="281"/>
      <c r="Y150" s="281"/>
      <c r="Z150" s="281"/>
      <c r="AA150" s="281"/>
      <c r="AB150" s="281"/>
      <c r="AC150" s="281"/>
      <c r="AD150" s="281"/>
      <c r="AE150" s="281"/>
    </row>
    <row r="151" spans="2:31" ht="15">
      <c r="B151" s="386">
        <f t="shared" si="5"/>
        <v>106</v>
      </c>
      <c r="C151" s="394" t="str" cm="1">
        <f t="array" ref="C151">IF(B151&lt;=$C$9,GetGetCDSName(B151),"")</f>
        <v>TELIA_MMR.EUR.SU</v>
      </c>
      <c r="D151" s="354">
        <v>0</v>
      </c>
      <c r="E151" s="387">
        <v>0</v>
      </c>
      <c r="F151" s="306">
        <v>0</v>
      </c>
      <c r="G151" s="306">
        <v>0</v>
      </c>
      <c r="H151" s="306">
        <v>0</v>
      </c>
      <c r="I151" s="306">
        <v>1</v>
      </c>
      <c r="J151" s="306">
        <v>0</v>
      </c>
      <c r="K151" s="306"/>
      <c r="L151" s="306"/>
      <c r="M151" s="306"/>
      <c r="N151" s="388"/>
      <c r="O151" s="281"/>
      <c r="P151" s="281"/>
      <c r="Q151" s="281"/>
      <c r="R151" s="281"/>
      <c r="S151" s="281"/>
      <c r="T151" s="281"/>
      <c r="U151" s="281"/>
      <c r="V151" s="281"/>
      <c r="W151" s="281"/>
      <c r="X151" s="281"/>
      <c r="Y151" s="281"/>
      <c r="Z151" s="281"/>
      <c r="AA151" s="281"/>
      <c r="AB151" s="281"/>
      <c r="AC151" s="281"/>
      <c r="AD151" s="281"/>
      <c r="AE151" s="281"/>
    </row>
    <row r="152" spans="2:31" ht="15">
      <c r="B152" s="386">
        <f t="shared" si="5"/>
        <v>107</v>
      </c>
      <c r="C152" s="394" t="str" cm="1">
        <f t="array" ref="C152">IF(B152&lt;=$C$9,GetGetCDSName(B152),"")</f>
        <v>TESCO_MMR.EUR.SU</v>
      </c>
      <c r="D152" s="354">
        <v>0</v>
      </c>
      <c r="E152" s="387">
        <v>0</v>
      </c>
      <c r="F152" s="306">
        <v>0</v>
      </c>
      <c r="G152" s="306">
        <v>1</v>
      </c>
      <c r="H152" s="306">
        <v>0</v>
      </c>
      <c r="I152" s="306">
        <v>0</v>
      </c>
      <c r="J152" s="306">
        <v>0</v>
      </c>
      <c r="K152" s="306"/>
      <c r="L152" s="306"/>
      <c r="M152" s="306"/>
      <c r="N152" s="388"/>
      <c r="O152" s="281"/>
      <c r="P152" s="281"/>
      <c r="Q152" s="281"/>
      <c r="R152" s="281"/>
      <c r="S152" s="281"/>
      <c r="T152" s="281"/>
      <c r="U152" s="281"/>
      <c r="V152" s="281"/>
      <c r="W152" s="281"/>
      <c r="X152" s="281"/>
      <c r="Y152" s="281"/>
      <c r="Z152" s="281"/>
      <c r="AA152" s="281"/>
      <c r="AB152" s="281"/>
      <c r="AC152" s="281"/>
      <c r="AD152" s="281"/>
      <c r="AE152" s="281"/>
    </row>
    <row r="153" spans="2:31" ht="15">
      <c r="B153" s="386">
        <f t="shared" si="5"/>
        <v>108</v>
      </c>
      <c r="C153" s="394" t="str" cm="1">
        <f t="array" ref="C153">IF(B153&lt;=$C$9,GetGetCDSName(B153),"")</f>
        <v>THYSSENKRUPPAG_MMR.EUR.SU</v>
      </c>
      <c r="D153" s="354">
        <v>0</v>
      </c>
      <c r="E153" s="387">
        <v>0</v>
      </c>
      <c r="F153" s="306">
        <v>0</v>
      </c>
      <c r="G153" s="306">
        <v>0</v>
      </c>
      <c r="H153" s="306">
        <v>1</v>
      </c>
      <c r="I153" s="306">
        <v>1</v>
      </c>
      <c r="J153" s="306">
        <v>1</v>
      </c>
      <c r="K153" s="306"/>
      <c r="L153" s="306"/>
      <c r="M153" s="306"/>
      <c r="N153" s="388"/>
      <c r="O153" s="281"/>
      <c r="P153" s="281"/>
      <c r="Q153" s="281"/>
      <c r="R153" s="281"/>
      <c r="S153" s="281"/>
      <c r="T153" s="281"/>
      <c r="U153" s="281"/>
      <c r="V153" s="281"/>
      <c r="W153" s="281"/>
      <c r="X153" s="281"/>
      <c r="Y153" s="281"/>
      <c r="Z153" s="281"/>
      <c r="AA153" s="281"/>
      <c r="AB153" s="281"/>
      <c r="AC153" s="281"/>
      <c r="AD153" s="281"/>
      <c r="AE153" s="281"/>
    </row>
    <row r="154" spans="2:31" ht="15">
      <c r="B154" s="386">
        <f t="shared" si="5"/>
        <v>109</v>
      </c>
      <c r="C154" s="394" t="str" cm="1">
        <f t="array" ref="C154">IF(B154&lt;=$C$9,GetGetCDSName(B154),"")</f>
        <v>UBS_MMR.EUR.SU</v>
      </c>
      <c r="D154" s="354">
        <v>0</v>
      </c>
      <c r="E154" s="387">
        <v>1</v>
      </c>
      <c r="F154" s="306">
        <v>0</v>
      </c>
      <c r="G154" s="306">
        <v>0</v>
      </c>
      <c r="H154" s="306">
        <v>0</v>
      </c>
      <c r="I154" s="306">
        <v>0</v>
      </c>
      <c r="J154" s="306">
        <v>0</v>
      </c>
      <c r="K154" s="306"/>
      <c r="L154" s="306"/>
      <c r="M154" s="306"/>
      <c r="N154" s="388"/>
      <c r="O154" s="281"/>
      <c r="P154" s="281"/>
      <c r="Q154" s="281"/>
      <c r="R154" s="281"/>
      <c r="S154" s="281"/>
      <c r="T154" s="281"/>
      <c r="U154" s="281"/>
      <c r="V154" s="281"/>
      <c r="W154" s="281"/>
      <c r="X154" s="281"/>
      <c r="Y154" s="281"/>
      <c r="Z154" s="281"/>
      <c r="AA154" s="281"/>
      <c r="AB154" s="281"/>
      <c r="AC154" s="281"/>
      <c r="AD154" s="281"/>
      <c r="AE154" s="281"/>
    </row>
    <row r="155" spans="2:31" ht="15">
      <c r="B155" s="386">
        <f t="shared" si="5"/>
        <v>110</v>
      </c>
      <c r="C155" s="394" t="str" cm="1">
        <f t="array" ref="C155">IF(B155&lt;=$C$9,GetGetCDSName(B155),"")</f>
        <v>UNICREDITOITALIANO_MMR.EUR.SU</v>
      </c>
      <c r="D155" s="354">
        <v>0</v>
      </c>
      <c r="E155" s="387">
        <v>1</v>
      </c>
      <c r="F155" s="306">
        <v>0</v>
      </c>
      <c r="G155" s="306">
        <v>0</v>
      </c>
      <c r="H155" s="306">
        <v>1</v>
      </c>
      <c r="I155" s="306">
        <v>1</v>
      </c>
      <c r="J155" s="306">
        <v>0</v>
      </c>
      <c r="K155" s="306"/>
      <c r="L155" s="306"/>
      <c r="M155" s="306"/>
      <c r="N155" s="388"/>
      <c r="O155" s="281"/>
      <c r="P155" s="281"/>
      <c r="Q155" s="281"/>
      <c r="R155" s="281"/>
      <c r="S155" s="281"/>
      <c r="T155" s="281"/>
      <c r="U155" s="281"/>
      <c r="V155" s="281"/>
      <c r="W155" s="281"/>
      <c r="X155" s="281"/>
      <c r="Y155" s="281"/>
      <c r="Z155" s="281"/>
      <c r="AA155" s="281"/>
      <c r="AB155" s="281"/>
      <c r="AC155" s="281"/>
      <c r="AD155" s="281"/>
      <c r="AE155" s="281"/>
    </row>
    <row r="156" spans="2:31" ht="15">
      <c r="B156" s="386">
        <f t="shared" si="5"/>
        <v>111</v>
      </c>
      <c r="C156" s="394" t="str" cm="1">
        <f t="array" ref="C156">IF(B156&lt;=$C$9,GetGetCDSName(B156),"")</f>
        <v>UNILEVER_MMR.EUR.SU</v>
      </c>
      <c r="D156" s="354">
        <v>0</v>
      </c>
      <c r="E156" s="387">
        <v>0</v>
      </c>
      <c r="F156" s="306">
        <v>0</v>
      </c>
      <c r="G156" s="306">
        <v>0</v>
      </c>
      <c r="H156" s="306">
        <v>0</v>
      </c>
      <c r="I156" s="306">
        <v>1</v>
      </c>
      <c r="J156" s="306">
        <v>1</v>
      </c>
      <c r="K156" s="306"/>
      <c r="L156" s="306"/>
      <c r="M156" s="306"/>
      <c r="N156" s="388"/>
      <c r="O156" s="281"/>
      <c r="P156" s="281"/>
      <c r="Q156" s="281"/>
      <c r="R156" s="281"/>
      <c r="S156" s="281"/>
      <c r="T156" s="281"/>
      <c r="U156" s="281"/>
      <c r="V156" s="281"/>
      <c r="W156" s="281"/>
      <c r="X156" s="281"/>
      <c r="Y156" s="281"/>
      <c r="Z156" s="281"/>
      <c r="AA156" s="281"/>
      <c r="AB156" s="281"/>
      <c r="AC156" s="281"/>
      <c r="AD156" s="281"/>
      <c r="AE156" s="281"/>
    </row>
    <row r="157" spans="2:31" ht="15">
      <c r="B157" s="386">
        <f t="shared" si="5"/>
        <v>112</v>
      </c>
      <c r="C157" s="394" t="str" cm="1">
        <f t="array" ref="C157">IF(B157&lt;=$C$9,GetGetCDSName(B157),"")</f>
        <v>UNIONFENOSA_MMR.EUR.SU</v>
      </c>
      <c r="D157" s="354">
        <v>0</v>
      </c>
      <c r="E157" s="387">
        <v>0</v>
      </c>
      <c r="F157" s="306">
        <v>0</v>
      </c>
      <c r="G157" s="306">
        <v>1</v>
      </c>
      <c r="H157" s="306">
        <v>1</v>
      </c>
      <c r="I157" s="306">
        <v>0</v>
      </c>
      <c r="J157" s="306">
        <v>0</v>
      </c>
      <c r="K157" s="306"/>
      <c r="L157" s="306"/>
      <c r="M157" s="306"/>
      <c r="N157" s="388"/>
      <c r="O157" s="281"/>
      <c r="P157" s="281"/>
      <c r="Q157" s="281"/>
      <c r="R157" s="281"/>
      <c r="S157" s="281"/>
      <c r="T157" s="281"/>
      <c r="U157" s="281"/>
      <c r="V157" s="281"/>
      <c r="W157" s="281"/>
      <c r="X157" s="281"/>
      <c r="Y157" s="281"/>
      <c r="Z157" s="281"/>
      <c r="AA157" s="281"/>
      <c r="AB157" s="281"/>
      <c r="AC157" s="281"/>
      <c r="AD157" s="281"/>
      <c r="AE157" s="281"/>
    </row>
    <row r="158" spans="2:31" ht="15">
      <c r="B158" s="386">
        <f t="shared" si="5"/>
        <v>113</v>
      </c>
      <c r="C158" s="394" t="str" cm="1">
        <f t="array" ref="C158">IF(B158&lt;=$C$9,GetGetCDSName(B158),"")</f>
        <v>UNITEDUTILITIES_MMR.EUR.SU</v>
      </c>
      <c r="D158" s="354">
        <v>0</v>
      </c>
      <c r="E158" s="387">
        <v>0</v>
      </c>
      <c r="F158" s="306">
        <v>0</v>
      </c>
      <c r="G158" s="306">
        <v>0</v>
      </c>
      <c r="H158" s="306">
        <v>0</v>
      </c>
      <c r="I158" s="306">
        <v>0</v>
      </c>
      <c r="J158" s="306">
        <v>1</v>
      </c>
      <c r="K158" s="306"/>
      <c r="L158" s="306"/>
      <c r="M158" s="306"/>
      <c r="N158" s="388"/>
      <c r="O158" s="281"/>
      <c r="P158" s="281"/>
      <c r="Q158" s="281"/>
      <c r="R158" s="281"/>
      <c r="S158" s="281"/>
      <c r="T158" s="281"/>
      <c r="U158" s="281"/>
      <c r="V158" s="281"/>
      <c r="W158" s="281"/>
      <c r="X158" s="281"/>
      <c r="Y158" s="281"/>
      <c r="Z158" s="281"/>
      <c r="AA158" s="281"/>
      <c r="AB158" s="281"/>
      <c r="AC158" s="281"/>
      <c r="AD158" s="281"/>
      <c r="AE158" s="281"/>
    </row>
    <row r="159" spans="2:31" ht="15">
      <c r="B159" s="386">
        <f t="shared" si="5"/>
        <v>114</v>
      </c>
      <c r="C159" s="394" t="str" cm="1">
        <f t="array" ref="C159">IF(B159&lt;=$C$9,GetGetCDSName(B159),"")</f>
        <v>UPMKYMMENE_MMR.EUR.SU</v>
      </c>
      <c r="D159" s="354">
        <v>0</v>
      </c>
      <c r="E159" s="387">
        <v>0</v>
      </c>
      <c r="F159" s="306">
        <v>1</v>
      </c>
      <c r="G159" s="306">
        <v>0</v>
      </c>
      <c r="H159" s="306">
        <v>0</v>
      </c>
      <c r="I159" s="306">
        <v>0</v>
      </c>
      <c r="J159" s="306">
        <v>0</v>
      </c>
      <c r="K159" s="306"/>
      <c r="L159" s="306"/>
      <c r="M159" s="306"/>
      <c r="N159" s="388"/>
      <c r="O159" s="281"/>
      <c r="P159" s="281"/>
      <c r="Q159" s="281"/>
      <c r="R159" s="281"/>
      <c r="S159" s="281"/>
      <c r="T159" s="281"/>
      <c r="U159" s="281"/>
      <c r="V159" s="281"/>
      <c r="W159" s="281"/>
      <c r="X159" s="281"/>
      <c r="Y159" s="281"/>
      <c r="Z159" s="281"/>
      <c r="AA159" s="281"/>
      <c r="AB159" s="281"/>
      <c r="AC159" s="281"/>
      <c r="AD159" s="281"/>
      <c r="AE159" s="281"/>
    </row>
    <row r="160" spans="2:31" ht="15">
      <c r="B160" s="386">
        <f t="shared" si="5"/>
        <v>115</v>
      </c>
      <c r="C160" s="394" t="str" cm="1">
        <f t="array" ref="C160">IF(B160&lt;=$C$9,GetGetCDSName(B160),"")</f>
        <v>VALEO_MMR.EUR.SU</v>
      </c>
      <c r="D160" s="354">
        <v>0</v>
      </c>
      <c r="E160" s="387">
        <v>0</v>
      </c>
      <c r="F160" s="306">
        <v>0</v>
      </c>
      <c r="G160" s="306">
        <v>1</v>
      </c>
      <c r="H160" s="306">
        <v>0</v>
      </c>
      <c r="I160" s="306">
        <v>0</v>
      </c>
      <c r="J160" s="306">
        <v>1</v>
      </c>
      <c r="K160" s="306"/>
      <c r="L160" s="306"/>
      <c r="M160" s="306"/>
      <c r="N160" s="388"/>
      <c r="O160" s="281"/>
      <c r="P160" s="281"/>
      <c r="Q160" s="281"/>
      <c r="R160" s="281"/>
      <c r="S160" s="281"/>
      <c r="T160" s="281"/>
      <c r="U160" s="281"/>
      <c r="V160" s="281"/>
      <c r="W160" s="281"/>
      <c r="X160" s="281"/>
      <c r="Y160" s="281"/>
      <c r="Z160" s="281"/>
      <c r="AA160" s="281"/>
      <c r="AB160" s="281"/>
      <c r="AC160" s="281"/>
      <c r="AD160" s="281"/>
      <c r="AE160" s="281"/>
    </row>
    <row r="161" spans="2:31" ht="15">
      <c r="B161" s="386">
        <f t="shared" si="5"/>
        <v>116</v>
      </c>
      <c r="C161" s="394" t="str" cm="1">
        <f t="array" ref="C161">IF(B161&lt;=$C$9,GetGetCDSName(B161),"")</f>
        <v>VATTENFALLAB_MMR.EUR.SU</v>
      </c>
      <c r="D161" s="354">
        <v>0</v>
      </c>
      <c r="E161" s="387">
        <v>0</v>
      </c>
      <c r="F161" s="306">
        <v>0</v>
      </c>
      <c r="G161" s="306">
        <v>0</v>
      </c>
      <c r="H161" s="306">
        <v>0</v>
      </c>
      <c r="I161" s="306">
        <v>0</v>
      </c>
      <c r="J161" s="306">
        <v>1</v>
      </c>
      <c r="K161" s="306"/>
      <c r="L161" s="306"/>
      <c r="M161" s="306"/>
      <c r="N161" s="388"/>
      <c r="O161" s="281"/>
      <c r="P161" s="281"/>
      <c r="Q161" s="281"/>
      <c r="R161" s="281"/>
      <c r="S161" s="281"/>
      <c r="T161" s="281"/>
      <c r="U161" s="281"/>
      <c r="V161" s="281"/>
      <c r="W161" s="281"/>
      <c r="X161" s="281"/>
      <c r="Y161" s="281"/>
      <c r="Z161" s="281"/>
      <c r="AA161" s="281"/>
      <c r="AB161" s="281"/>
      <c r="AC161" s="281"/>
      <c r="AD161" s="281"/>
      <c r="AE161" s="281"/>
    </row>
    <row r="162" spans="2:31" ht="15">
      <c r="B162" s="386">
        <f t="shared" si="5"/>
        <v>117</v>
      </c>
      <c r="C162" s="394" t="str" cm="1">
        <f t="array" ref="C162">IF(B162&lt;=$C$9,GetGetCDSName(B162),"")</f>
        <v>VEOLIAENVIRONNEMENT_MMR.EUR.SU</v>
      </c>
      <c r="D162" s="354">
        <v>0</v>
      </c>
      <c r="E162" s="387">
        <v>0</v>
      </c>
      <c r="F162" s="306">
        <v>0</v>
      </c>
      <c r="G162" s="306">
        <v>1</v>
      </c>
      <c r="H162" s="306">
        <v>0</v>
      </c>
      <c r="I162" s="306">
        <v>1</v>
      </c>
      <c r="J162" s="306">
        <v>0</v>
      </c>
      <c r="K162" s="306"/>
      <c r="L162" s="306"/>
      <c r="M162" s="306"/>
      <c r="N162" s="388"/>
      <c r="O162" s="281"/>
      <c r="P162" s="281"/>
      <c r="Q162" s="281"/>
      <c r="R162" s="281"/>
      <c r="S162" s="281"/>
      <c r="T162" s="281"/>
      <c r="U162" s="281"/>
      <c r="V162" s="281"/>
      <c r="W162" s="281"/>
      <c r="X162" s="281"/>
      <c r="Y162" s="281"/>
      <c r="Z162" s="281"/>
      <c r="AA162" s="281"/>
      <c r="AB162" s="281"/>
      <c r="AC162" s="281"/>
      <c r="AD162" s="281"/>
      <c r="AE162" s="281"/>
    </row>
    <row r="163" spans="2:31" ht="15">
      <c r="B163" s="386">
        <f t="shared" si="5"/>
        <v>118</v>
      </c>
      <c r="C163" s="394" t="str" cm="1">
        <f t="array" ref="C163">IF(B163&lt;=$C$9,GetGetCDSName(B163),"")</f>
        <v>VINCI_MMR.EUR.SU</v>
      </c>
      <c r="D163" s="354">
        <v>0</v>
      </c>
      <c r="E163" s="387">
        <v>0</v>
      </c>
      <c r="F163" s="306">
        <v>1</v>
      </c>
      <c r="G163" s="306">
        <v>0</v>
      </c>
      <c r="H163" s="306">
        <v>0</v>
      </c>
      <c r="I163" s="306">
        <v>0</v>
      </c>
      <c r="J163" s="306">
        <v>0</v>
      </c>
      <c r="K163" s="306"/>
      <c r="L163" s="306"/>
      <c r="M163" s="306"/>
      <c r="N163" s="388"/>
      <c r="O163" s="281"/>
      <c r="P163" s="281"/>
      <c r="Q163" s="281"/>
      <c r="R163" s="281"/>
      <c r="S163" s="281"/>
      <c r="T163" s="281"/>
      <c r="U163" s="281"/>
      <c r="V163" s="281"/>
      <c r="W163" s="281"/>
      <c r="X163" s="281"/>
      <c r="Y163" s="281"/>
      <c r="Z163" s="281"/>
      <c r="AA163" s="281"/>
      <c r="AB163" s="281"/>
      <c r="AC163" s="281"/>
      <c r="AD163" s="281"/>
      <c r="AE163" s="281"/>
    </row>
    <row r="164" spans="2:31" ht="15">
      <c r="B164" s="386">
        <f t="shared" si="5"/>
        <v>119</v>
      </c>
      <c r="C164" s="394" t="str" cm="1">
        <f t="array" ref="C164">IF(B164&lt;=$C$9,GetGetCDSName(B164),"")</f>
        <v>VIVENDI_MMR.EUR.SU</v>
      </c>
      <c r="D164" s="354">
        <v>0</v>
      </c>
      <c r="E164" s="387">
        <v>0</v>
      </c>
      <c r="F164" s="306">
        <v>0</v>
      </c>
      <c r="G164" s="306">
        <v>1</v>
      </c>
      <c r="H164" s="306">
        <v>0</v>
      </c>
      <c r="I164" s="306">
        <v>0</v>
      </c>
      <c r="J164" s="306">
        <v>0</v>
      </c>
      <c r="K164" s="306"/>
      <c r="L164" s="306"/>
      <c r="M164" s="306"/>
      <c r="N164" s="388"/>
      <c r="O164" s="281"/>
      <c r="P164" s="281"/>
      <c r="Q164" s="281"/>
      <c r="R164" s="281"/>
      <c r="S164" s="281"/>
      <c r="T164" s="281"/>
      <c r="U164" s="281"/>
      <c r="V164" s="281"/>
      <c r="W164" s="281"/>
      <c r="X164" s="281"/>
      <c r="Y164" s="281"/>
      <c r="Z164" s="281"/>
      <c r="AA164" s="281"/>
      <c r="AB164" s="281"/>
      <c r="AC164" s="281"/>
      <c r="AD164" s="281"/>
      <c r="AE164" s="281"/>
    </row>
    <row r="165" spans="2:31" ht="15">
      <c r="B165" s="386">
        <f t="shared" si="5"/>
        <v>120</v>
      </c>
      <c r="C165" s="394" t="str" cm="1">
        <f t="array" ref="C165">IF(B165&lt;=$C$9,GetGetCDSName(B165),"")</f>
        <v>VODAFONE_MMR.EUR.SU</v>
      </c>
      <c r="D165" s="354">
        <v>0</v>
      </c>
      <c r="E165" s="387">
        <v>1</v>
      </c>
      <c r="F165" s="306">
        <v>0</v>
      </c>
      <c r="G165" s="306">
        <v>0</v>
      </c>
      <c r="H165" s="306">
        <v>0</v>
      </c>
      <c r="I165" s="306">
        <v>0</v>
      </c>
      <c r="J165" s="306">
        <v>0</v>
      </c>
      <c r="K165" s="306"/>
      <c r="L165" s="306"/>
      <c r="M165" s="306"/>
      <c r="N165" s="388"/>
      <c r="O165" s="281"/>
      <c r="P165" s="281"/>
      <c r="Q165" s="281"/>
      <c r="R165" s="281"/>
      <c r="S165" s="281"/>
      <c r="T165" s="281"/>
      <c r="U165" s="281"/>
      <c r="V165" s="281"/>
      <c r="W165" s="281"/>
      <c r="X165" s="281"/>
      <c r="Y165" s="281"/>
      <c r="Z165" s="281"/>
      <c r="AA165" s="281"/>
      <c r="AB165" s="281"/>
      <c r="AC165" s="281"/>
      <c r="AD165" s="281"/>
      <c r="AE165" s="281"/>
    </row>
    <row r="166" spans="2:31" ht="15">
      <c r="B166" s="386">
        <f t="shared" si="5"/>
        <v>121</v>
      </c>
      <c r="C166" s="394" t="str" cm="1">
        <f t="array" ref="C166">IF(B166&lt;=$C$9,GetGetCDSName(B166),"")</f>
        <v>VOLVO_MMR.EUR.SU</v>
      </c>
      <c r="D166" s="354">
        <v>0</v>
      </c>
      <c r="E166" s="387">
        <v>0</v>
      </c>
      <c r="F166" s="306">
        <v>0</v>
      </c>
      <c r="G166" s="306">
        <v>0</v>
      </c>
      <c r="H166" s="306">
        <v>1</v>
      </c>
      <c r="I166" s="306">
        <v>0</v>
      </c>
      <c r="J166" s="306">
        <v>1</v>
      </c>
      <c r="K166" s="306"/>
      <c r="L166" s="306"/>
      <c r="M166" s="306"/>
      <c r="N166" s="388"/>
      <c r="O166" s="281"/>
      <c r="P166" s="281"/>
      <c r="Q166" s="281"/>
      <c r="R166" s="281"/>
      <c r="S166" s="281"/>
      <c r="T166" s="281"/>
      <c r="U166" s="281"/>
      <c r="V166" s="281"/>
      <c r="W166" s="281"/>
      <c r="X166" s="281"/>
      <c r="Y166" s="281"/>
      <c r="Z166" s="281"/>
      <c r="AA166" s="281"/>
      <c r="AB166" s="281"/>
      <c r="AC166" s="281"/>
      <c r="AD166" s="281"/>
      <c r="AE166" s="281"/>
    </row>
    <row r="167" spans="2:31" ht="15">
      <c r="B167" s="386">
        <f t="shared" si="5"/>
        <v>122</v>
      </c>
      <c r="C167" s="394" t="str" cm="1">
        <f t="array" ref="C167">IF(B167&lt;=$C$9,GetGetCDSName(B167),"")</f>
        <v>VW_MMR.EUR.SU</v>
      </c>
      <c r="D167" s="354">
        <v>0</v>
      </c>
      <c r="E167" s="387">
        <v>1</v>
      </c>
      <c r="F167" s="306">
        <v>0</v>
      </c>
      <c r="G167" s="306">
        <v>0</v>
      </c>
      <c r="H167" s="306">
        <v>0</v>
      </c>
      <c r="I167" s="306">
        <v>0</v>
      </c>
      <c r="J167" s="306">
        <v>0</v>
      </c>
      <c r="K167" s="306"/>
      <c r="L167" s="306"/>
      <c r="M167" s="306"/>
      <c r="N167" s="388"/>
      <c r="O167" s="281"/>
      <c r="P167" s="281"/>
      <c r="Q167" s="281"/>
      <c r="R167" s="281"/>
      <c r="S167" s="281"/>
      <c r="T167" s="281"/>
      <c r="U167" s="281"/>
      <c r="V167" s="281"/>
      <c r="W167" s="281"/>
      <c r="X167" s="281"/>
      <c r="Y167" s="281"/>
      <c r="Z167" s="281"/>
      <c r="AA167" s="281"/>
      <c r="AB167" s="281"/>
      <c r="AC167" s="281"/>
      <c r="AD167" s="281"/>
      <c r="AE167" s="281"/>
    </row>
    <row r="168" spans="2:31" ht="15">
      <c r="B168" s="386">
        <f t="shared" si="5"/>
        <v>123</v>
      </c>
      <c r="C168" s="394" t="str" cm="1">
        <f t="array" ref="C168">IF(B168&lt;=$C$9,GetGetCDSName(B168),"")</f>
        <v>WOLTERSKLUWERCVA_MMR.EUR.SU</v>
      </c>
      <c r="D168" s="354">
        <v>0</v>
      </c>
      <c r="E168" s="387">
        <v>0</v>
      </c>
      <c r="F168" s="306">
        <v>1</v>
      </c>
      <c r="G168" s="306">
        <v>0</v>
      </c>
      <c r="H168" s="306">
        <v>0</v>
      </c>
      <c r="I168" s="306">
        <v>0</v>
      </c>
      <c r="J168" s="306">
        <v>0</v>
      </c>
      <c r="K168" s="306"/>
      <c r="L168" s="306"/>
      <c r="M168" s="306"/>
      <c r="N168" s="388"/>
      <c r="O168" s="281"/>
      <c r="P168" s="281"/>
      <c r="Q168" s="281"/>
      <c r="R168" s="281"/>
      <c r="S168" s="281"/>
      <c r="T168" s="281"/>
      <c r="U168" s="281"/>
      <c r="V168" s="281"/>
      <c r="W168" s="281"/>
      <c r="X168" s="281"/>
      <c r="Y168" s="281"/>
      <c r="Z168" s="281"/>
      <c r="AA168" s="281"/>
      <c r="AB168" s="281"/>
      <c r="AC168" s="281"/>
      <c r="AD168" s="281"/>
      <c r="AE168" s="281"/>
    </row>
    <row r="169" spans="2:31" ht="15">
      <c r="B169" s="386">
        <f t="shared" si="5"/>
        <v>124</v>
      </c>
      <c r="C169" s="394" t="str" cm="1">
        <f t="array" ref="C169">IF(B169&lt;=$C$9,GetGetCDSName(B169),"")</f>
        <v>WPPGROUP_MMR.EUR.SU</v>
      </c>
      <c r="D169" s="354">
        <v>0</v>
      </c>
      <c r="E169" s="387">
        <v>1</v>
      </c>
      <c r="F169" s="306">
        <v>0</v>
      </c>
      <c r="G169" s="306">
        <v>1</v>
      </c>
      <c r="H169" s="306">
        <v>0</v>
      </c>
      <c r="I169" s="306">
        <v>1</v>
      </c>
      <c r="J169" s="306">
        <v>0</v>
      </c>
      <c r="K169" s="306"/>
      <c r="L169" s="306"/>
      <c r="M169" s="306"/>
      <c r="N169" s="388"/>
      <c r="O169" s="281"/>
      <c r="P169" s="281"/>
      <c r="Q169" s="281"/>
      <c r="R169" s="281"/>
      <c r="S169" s="281"/>
      <c r="T169" s="281"/>
      <c r="U169" s="281"/>
      <c r="V169" s="281"/>
      <c r="W169" s="281"/>
      <c r="X169" s="281"/>
      <c r="Y169" s="281"/>
      <c r="Z169" s="281"/>
      <c r="AA169" s="281"/>
      <c r="AB169" s="281"/>
      <c r="AC169" s="281"/>
      <c r="AD169" s="281"/>
      <c r="AE169" s="281"/>
    </row>
    <row r="170" spans="2:31" ht="15">
      <c r="B170" s="386">
        <f t="shared" si="5"/>
        <v>125</v>
      </c>
      <c r="C170" s="394" t="str" cm="1">
        <f t="array" ref="C170">IF(B170&lt;=$C$9,GetGetCDSName(B170),"")</f>
        <v>ZURICHINSURANCE_MMR.EUR.SU</v>
      </c>
      <c r="D170" s="354">
        <v>0</v>
      </c>
      <c r="E170" s="387">
        <v>0</v>
      </c>
      <c r="F170" s="306">
        <v>0</v>
      </c>
      <c r="G170" s="306">
        <v>0</v>
      </c>
      <c r="H170" s="306">
        <v>1</v>
      </c>
      <c r="I170" s="306">
        <v>0</v>
      </c>
      <c r="J170" s="306">
        <v>0</v>
      </c>
      <c r="K170" s="306"/>
      <c r="L170" s="306"/>
      <c r="M170" s="306"/>
      <c r="N170" s="388"/>
      <c r="O170" s="281"/>
      <c r="P170" s="281"/>
      <c r="Q170" s="281"/>
      <c r="R170" s="281"/>
      <c r="S170" s="281"/>
      <c r="T170" s="281"/>
      <c r="U170" s="281"/>
      <c r="V170" s="281"/>
      <c r="W170" s="281"/>
      <c r="X170" s="281"/>
      <c r="Y170" s="281"/>
      <c r="Z170" s="281"/>
      <c r="AA170" s="281"/>
      <c r="AB170" s="281"/>
      <c r="AC170" s="281"/>
      <c r="AD170" s="281"/>
      <c r="AE170" s="281"/>
    </row>
    <row r="171" spans="2:31" ht="15">
      <c r="B171" s="386">
        <f t="shared" si="5"/>
        <v>126</v>
      </c>
      <c r="C171" s="394" t="str" cm="1">
        <f t="array" ref="C171">IF(B171&lt;=$C$9,GetGetCDSName(B171),"")</f>
        <v/>
      </c>
      <c r="D171" s="354"/>
      <c r="E171" s="387"/>
      <c r="F171" s="306"/>
      <c r="G171" s="306"/>
      <c r="H171" s="306"/>
      <c r="I171" s="306"/>
      <c r="J171" s="306"/>
      <c r="K171" s="306"/>
      <c r="L171" s="306"/>
      <c r="M171" s="306"/>
      <c r="N171" s="388"/>
      <c r="O171" s="281"/>
      <c r="P171" s="281"/>
      <c r="Q171" s="281"/>
      <c r="R171" s="281"/>
      <c r="S171" s="281"/>
      <c r="T171" s="281"/>
      <c r="U171" s="281"/>
      <c r="V171" s="281"/>
      <c r="W171" s="281"/>
      <c r="X171" s="281"/>
      <c r="Y171" s="281"/>
      <c r="Z171" s="281"/>
      <c r="AA171" s="281"/>
      <c r="AB171" s="281"/>
      <c r="AC171" s="281"/>
      <c r="AD171" s="281"/>
      <c r="AE171" s="281"/>
    </row>
    <row r="172" spans="2:31" ht="15">
      <c r="B172" s="386">
        <f t="shared" si="5"/>
        <v>127</v>
      </c>
      <c r="C172" s="394" t="str" cm="1">
        <f t="array" ref="C172">IF(B172&lt;=$C$9,GetGetCDSName(B172),"")</f>
        <v/>
      </c>
      <c r="D172" s="354"/>
      <c r="E172" s="387"/>
      <c r="F172" s="306"/>
      <c r="G172" s="306"/>
      <c r="H172" s="306"/>
      <c r="I172" s="306"/>
      <c r="J172" s="306"/>
      <c r="K172" s="306"/>
      <c r="L172" s="306"/>
      <c r="M172" s="306"/>
      <c r="N172" s="388"/>
      <c r="O172" s="281"/>
      <c r="P172" s="281"/>
      <c r="Q172" s="281"/>
      <c r="R172" s="281"/>
      <c r="S172" s="281"/>
      <c r="T172" s="281"/>
      <c r="U172" s="281"/>
      <c r="V172" s="281"/>
      <c r="W172" s="281"/>
      <c r="X172" s="281"/>
      <c r="Y172" s="281"/>
      <c r="Z172" s="281"/>
      <c r="AA172" s="281"/>
      <c r="AB172" s="281"/>
      <c r="AC172" s="281"/>
      <c r="AD172" s="281"/>
      <c r="AE172" s="281"/>
    </row>
    <row r="173" spans="2:31" ht="15">
      <c r="B173" s="386">
        <f t="shared" si="5"/>
        <v>128</v>
      </c>
      <c r="C173" s="394" t="str" cm="1">
        <f t="array" ref="C173">IF(B173&lt;=$C$9,GetGetCDSName(B173),"")</f>
        <v/>
      </c>
      <c r="D173" s="354"/>
      <c r="E173" s="387"/>
      <c r="F173" s="306"/>
      <c r="G173" s="306"/>
      <c r="H173" s="306"/>
      <c r="I173" s="306"/>
      <c r="J173" s="306"/>
      <c r="K173" s="306"/>
      <c r="L173" s="306"/>
      <c r="M173" s="306"/>
      <c r="N173" s="388"/>
      <c r="O173" s="281"/>
      <c r="P173" s="281"/>
      <c r="Q173" s="281"/>
      <c r="R173" s="281"/>
      <c r="S173" s="281"/>
      <c r="T173" s="281"/>
      <c r="U173" s="281"/>
      <c r="V173" s="281"/>
      <c r="W173" s="281"/>
      <c r="X173" s="281"/>
      <c r="Y173" s="281"/>
      <c r="Z173" s="281"/>
      <c r="AA173" s="281"/>
      <c r="AB173" s="281"/>
      <c r="AC173" s="281"/>
      <c r="AD173" s="281"/>
      <c r="AE173" s="281"/>
    </row>
    <row r="174" spans="2:31" ht="15">
      <c r="B174" s="386">
        <f t="shared" si="5"/>
        <v>129</v>
      </c>
      <c r="C174" s="394" t="str" cm="1">
        <f t="array" ref="C174">IF(B174&lt;=$C$9,GetGetCDSName(B174),"")</f>
        <v/>
      </c>
      <c r="D174" s="354"/>
      <c r="E174" s="387"/>
      <c r="F174" s="306"/>
      <c r="G174" s="306"/>
      <c r="H174" s="306"/>
      <c r="I174" s="306"/>
      <c r="J174" s="306"/>
      <c r="K174" s="306"/>
      <c r="L174" s="306"/>
      <c r="M174" s="306"/>
      <c r="N174" s="388"/>
      <c r="O174" s="281"/>
      <c r="P174" s="281"/>
      <c r="Q174" s="281"/>
      <c r="R174" s="281"/>
      <c r="S174" s="281"/>
      <c r="T174" s="281"/>
      <c r="U174" s="281"/>
      <c r="V174" s="281"/>
      <c r="W174" s="281"/>
      <c r="X174" s="281"/>
      <c r="Y174" s="281"/>
      <c r="Z174" s="281"/>
      <c r="AA174" s="281"/>
      <c r="AB174" s="281"/>
      <c r="AC174" s="281"/>
      <c r="AD174" s="281"/>
      <c r="AE174" s="281"/>
    </row>
    <row r="175" spans="2:31" ht="15">
      <c r="B175" s="386">
        <f t="shared" ref="B175:B238" si="6">B174+1</f>
        <v>130</v>
      </c>
      <c r="C175" s="394" t="str" cm="1">
        <f t="array" ref="C175">IF(B175&lt;=$C$9,GetGetCDSName(B175),"")</f>
        <v/>
      </c>
      <c r="D175" s="354"/>
      <c r="E175" s="387"/>
      <c r="F175" s="306"/>
      <c r="G175" s="306"/>
      <c r="H175" s="306"/>
      <c r="I175" s="306"/>
      <c r="J175" s="306"/>
      <c r="K175" s="306"/>
      <c r="L175" s="306"/>
      <c r="M175" s="306"/>
      <c r="N175" s="388"/>
      <c r="O175" s="281"/>
      <c r="P175" s="281"/>
      <c r="Q175" s="281"/>
      <c r="R175" s="281"/>
      <c r="S175" s="281"/>
      <c r="T175" s="281"/>
      <c r="U175" s="281"/>
      <c r="V175" s="281"/>
      <c r="W175" s="281"/>
      <c r="X175" s="281"/>
      <c r="Y175" s="281"/>
      <c r="Z175" s="281"/>
      <c r="AA175" s="281"/>
      <c r="AB175" s="281"/>
      <c r="AC175" s="281"/>
      <c r="AD175" s="281"/>
      <c r="AE175" s="281"/>
    </row>
    <row r="176" spans="2:31" ht="15">
      <c r="B176" s="386">
        <f t="shared" si="6"/>
        <v>131</v>
      </c>
      <c r="C176" s="394" t="str" cm="1">
        <f t="array" ref="C176">IF(B176&lt;=$C$9,GetGetCDSName(B176),"")</f>
        <v/>
      </c>
      <c r="D176" s="354"/>
      <c r="E176" s="387"/>
      <c r="F176" s="306"/>
      <c r="G176" s="306"/>
      <c r="H176" s="306"/>
      <c r="I176" s="306"/>
      <c r="J176" s="306"/>
      <c r="K176" s="306"/>
      <c r="L176" s="306"/>
      <c r="M176" s="306"/>
      <c r="N176" s="388"/>
      <c r="O176" s="281"/>
      <c r="P176" s="281"/>
      <c r="Q176" s="281"/>
      <c r="R176" s="281"/>
      <c r="S176" s="281"/>
      <c r="T176" s="281"/>
      <c r="U176" s="281"/>
      <c r="V176" s="281"/>
      <c r="W176" s="281"/>
      <c r="X176" s="281"/>
      <c r="Y176" s="281"/>
      <c r="Z176" s="281"/>
      <c r="AA176" s="281"/>
      <c r="AB176" s="281"/>
      <c r="AC176" s="281"/>
      <c r="AD176" s="281"/>
      <c r="AE176" s="281"/>
    </row>
    <row r="177" spans="2:31" ht="15">
      <c r="B177" s="386">
        <f t="shared" si="6"/>
        <v>132</v>
      </c>
      <c r="C177" s="394" t="str" cm="1">
        <f t="array" ref="C177">IF(B177&lt;=$C$9,GetGetCDSName(B177),"")</f>
        <v/>
      </c>
      <c r="D177" s="354"/>
      <c r="E177" s="387"/>
      <c r="F177" s="306"/>
      <c r="G177" s="306"/>
      <c r="H177" s="306"/>
      <c r="I177" s="306"/>
      <c r="J177" s="306"/>
      <c r="K177" s="306"/>
      <c r="L177" s="306"/>
      <c r="M177" s="306"/>
      <c r="N177" s="388"/>
      <c r="O177" s="281"/>
      <c r="P177" s="281"/>
      <c r="Q177" s="281"/>
      <c r="R177" s="281"/>
      <c r="S177" s="281"/>
      <c r="T177" s="281"/>
      <c r="U177" s="281"/>
      <c r="V177" s="281"/>
      <c r="W177" s="281"/>
      <c r="X177" s="281"/>
      <c r="Y177" s="281"/>
      <c r="Z177" s="281"/>
      <c r="AA177" s="281"/>
      <c r="AB177" s="281"/>
      <c r="AC177" s="281"/>
      <c r="AD177" s="281"/>
      <c r="AE177" s="281"/>
    </row>
    <row r="178" spans="2:31" ht="15">
      <c r="B178" s="386">
        <f t="shared" si="6"/>
        <v>133</v>
      </c>
      <c r="C178" s="394" t="str" cm="1">
        <f t="array" ref="C178">IF(B178&lt;=$C$9,GetGetCDSName(B178),"")</f>
        <v/>
      </c>
      <c r="D178" s="354"/>
      <c r="E178" s="387"/>
      <c r="F178" s="306"/>
      <c r="G178" s="306"/>
      <c r="H178" s="306"/>
      <c r="I178" s="306"/>
      <c r="J178" s="306"/>
      <c r="K178" s="306"/>
      <c r="L178" s="306"/>
      <c r="M178" s="306"/>
      <c r="N178" s="388"/>
      <c r="O178" s="281"/>
      <c r="P178" s="281"/>
      <c r="Q178" s="281"/>
      <c r="R178" s="281"/>
      <c r="S178" s="281"/>
      <c r="T178" s="281"/>
      <c r="U178" s="281"/>
      <c r="V178" s="281"/>
      <c r="W178" s="281"/>
      <c r="X178" s="281"/>
      <c r="Y178" s="281"/>
      <c r="Z178" s="281"/>
      <c r="AA178" s="281"/>
      <c r="AB178" s="281"/>
      <c r="AC178" s="281"/>
      <c r="AD178" s="281"/>
      <c r="AE178" s="281"/>
    </row>
    <row r="179" spans="2:31" ht="15">
      <c r="B179" s="386">
        <f t="shared" si="6"/>
        <v>134</v>
      </c>
      <c r="C179" s="394" t="str" cm="1">
        <f t="array" ref="C179">IF(B179&lt;=$C$9,GetGetCDSName(B179),"")</f>
        <v/>
      </c>
      <c r="D179" s="354"/>
      <c r="E179" s="387"/>
      <c r="F179" s="306"/>
      <c r="G179" s="306"/>
      <c r="H179" s="306"/>
      <c r="I179" s="306"/>
      <c r="J179" s="306"/>
      <c r="K179" s="306"/>
      <c r="L179" s="306"/>
      <c r="M179" s="306"/>
      <c r="N179" s="388"/>
      <c r="O179" s="281"/>
      <c r="P179" s="281"/>
      <c r="Q179" s="281"/>
      <c r="R179" s="281"/>
      <c r="S179" s="281"/>
      <c r="T179" s="281"/>
      <c r="U179" s="281"/>
      <c r="V179" s="281"/>
      <c r="W179" s="281"/>
      <c r="X179" s="281"/>
      <c r="Y179" s="281"/>
      <c r="Z179" s="281"/>
      <c r="AA179" s="281"/>
      <c r="AB179" s="281"/>
      <c r="AC179" s="281"/>
      <c r="AD179" s="281"/>
      <c r="AE179" s="281"/>
    </row>
    <row r="180" spans="2:31" ht="15">
      <c r="B180" s="386">
        <f t="shared" si="6"/>
        <v>135</v>
      </c>
      <c r="C180" s="394" t="str" cm="1">
        <f t="array" ref="C180">IF(B180&lt;=$C$9,GetGetCDSName(B180),"")</f>
        <v/>
      </c>
      <c r="D180" s="354"/>
      <c r="E180" s="387"/>
      <c r="F180" s="306"/>
      <c r="G180" s="306"/>
      <c r="H180" s="306"/>
      <c r="I180" s="306"/>
      <c r="J180" s="306"/>
      <c r="K180" s="306"/>
      <c r="L180" s="306"/>
      <c r="M180" s="306"/>
      <c r="N180" s="388"/>
      <c r="O180" s="281"/>
      <c r="P180" s="281"/>
      <c r="Q180" s="281"/>
      <c r="R180" s="281"/>
      <c r="S180" s="281"/>
      <c r="T180" s="281"/>
      <c r="U180" s="281"/>
      <c r="V180" s="281"/>
      <c r="W180" s="281"/>
      <c r="X180" s="281"/>
      <c r="Y180" s="281"/>
      <c r="Z180" s="281"/>
      <c r="AA180" s="281"/>
      <c r="AB180" s="281"/>
      <c r="AC180" s="281"/>
      <c r="AD180" s="281"/>
      <c r="AE180" s="281"/>
    </row>
    <row r="181" spans="2:31" ht="15">
      <c r="B181" s="386">
        <f t="shared" si="6"/>
        <v>136</v>
      </c>
      <c r="C181" s="394" t="str" cm="1">
        <f t="array" ref="C181">IF(B181&lt;=$C$9,GetGetCDSName(B181),"")</f>
        <v/>
      </c>
      <c r="D181" s="354"/>
      <c r="E181" s="387"/>
      <c r="F181" s="306"/>
      <c r="G181" s="306"/>
      <c r="H181" s="306"/>
      <c r="I181" s="306"/>
      <c r="J181" s="306"/>
      <c r="K181" s="306"/>
      <c r="L181" s="306"/>
      <c r="M181" s="306"/>
      <c r="N181" s="388"/>
      <c r="O181" s="281"/>
      <c r="P181" s="281"/>
      <c r="Q181" s="281"/>
      <c r="R181" s="281"/>
      <c r="S181" s="281"/>
      <c r="T181" s="281"/>
      <c r="U181" s="281"/>
      <c r="V181" s="281"/>
      <c r="W181" s="281"/>
      <c r="X181" s="281"/>
      <c r="Y181" s="281"/>
      <c r="Z181" s="281"/>
      <c r="AA181" s="281"/>
      <c r="AB181" s="281"/>
      <c r="AC181" s="281"/>
      <c r="AD181" s="281"/>
      <c r="AE181" s="281"/>
    </row>
    <row r="182" spans="2:31" ht="15">
      <c r="B182" s="386">
        <f t="shared" si="6"/>
        <v>137</v>
      </c>
      <c r="C182" s="394" t="str" cm="1">
        <f t="array" ref="C182">IF(B182&lt;=$C$9,GetGetCDSName(B182),"")</f>
        <v/>
      </c>
      <c r="D182" s="354"/>
      <c r="E182" s="387"/>
      <c r="F182" s="306"/>
      <c r="G182" s="306"/>
      <c r="H182" s="306"/>
      <c r="I182" s="306"/>
      <c r="J182" s="306"/>
      <c r="K182" s="306"/>
      <c r="L182" s="306"/>
      <c r="M182" s="306"/>
      <c r="N182" s="388"/>
      <c r="O182" s="281"/>
      <c r="P182" s="281"/>
      <c r="Q182" s="281"/>
      <c r="R182" s="281"/>
      <c r="S182" s="281"/>
      <c r="T182" s="281"/>
      <c r="U182" s="281"/>
      <c r="V182" s="281"/>
      <c r="W182" s="281"/>
      <c r="X182" s="281"/>
      <c r="Y182" s="281"/>
      <c r="Z182" s="281"/>
      <c r="AA182" s="281"/>
      <c r="AB182" s="281"/>
      <c r="AC182" s="281"/>
      <c r="AD182" s="281"/>
      <c r="AE182" s="281"/>
    </row>
    <row r="183" spans="2:31" ht="15">
      <c r="B183" s="386">
        <f t="shared" si="6"/>
        <v>138</v>
      </c>
      <c r="C183" s="394" t="str" cm="1">
        <f t="array" ref="C183">IF(B183&lt;=$C$9,GetGetCDSName(B183),"")</f>
        <v/>
      </c>
      <c r="D183" s="354"/>
      <c r="E183" s="387"/>
      <c r="F183" s="306"/>
      <c r="G183" s="306"/>
      <c r="H183" s="306"/>
      <c r="I183" s="306"/>
      <c r="J183" s="306"/>
      <c r="K183" s="306"/>
      <c r="L183" s="306"/>
      <c r="M183" s="306"/>
      <c r="N183" s="388"/>
      <c r="O183" s="281"/>
      <c r="P183" s="281"/>
      <c r="Q183" s="281"/>
      <c r="R183" s="281"/>
      <c r="S183" s="281"/>
      <c r="T183" s="281"/>
      <c r="U183" s="281"/>
      <c r="V183" s="281"/>
      <c r="W183" s="281"/>
      <c r="X183" s="281"/>
      <c r="Y183" s="281"/>
      <c r="Z183" s="281"/>
      <c r="AA183" s="281"/>
      <c r="AB183" s="281"/>
      <c r="AC183" s="281"/>
      <c r="AD183" s="281"/>
      <c r="AE183" s="281"/>
    </row>
    <row r="184" spans="2:31" ht="15">
      <c r="B184" s="386">
        <f t="shared" si="6"/>
        <v>139</v>
      </c>
      <c r="C184" s="394" t="str" cm="1">
        <f t="array" ref="C184">IF(B184&lt;=$C$9,GetGetCDSName(B184),"")</f>
        <v/>
      </c>
      <c r="D184" s="354"/>
      <c r="E184" s="387"/>
      <c r="F184" s="306"/>
      <c r="G184" s="306"/>
      <c r="H184" s="306"/>
      <c r="I184" s="306"/>
      <c r="J184" s="306"/>
      <c r="K184" s="306"/>
      <c r="L184" s="306"/>
      <c r="M184" s="306"/>
      <c r="N184" s="388"/>
      <c r="O184" s="281"/>
      <c r="P184" s="281"/>
      <c r="Q184" s="281"/>
      <c r="R184" s="281"/>
      <c r="S184" s="281"/>
      <c r="T184" s="281"/>
      <c r="U184" s="281"/>
      <c r="V184" s="281"/>
      <c r="W184" s="281"/>
      <c r="X184" s="281"/>
      <c r="Y184" s="281"/>
      <c r="Z184" s="281"/>
      <c r="AA184" s="281"/>
      <c r="AB184" s="281"/>
      <c r="AC184" s="281"/>
      <c r="AD184" s="281"/>
      <c r="AE184" s="281"/>
    </row>
    <row r="185" spans="2:31" ht="15">
      <c r="B185" s="386">
        <f t="shared" si="6"/>
        <v>140</v>
      </c>
      <c r="C185" s="394" t="str" cm="1">
        <f t="array" ref="C185">IF(B185&lt;=$C$9,GetGetCDSName(B185),"")</f>
        <v/>
      </c>
      <c r="D185" s="354"/>
      <c r="E185" s="387"/>
      <c r="F185" s="306"/>
      <c r="G185" s="306"/>
      <c r="H185" s="306"/>
      <c r="I185" s="306"/>
      <c r="J185" s="306"/>
      <c r="K185" s="306"/>
      <c r="L185" s="306"/>
      <c r="M185" s="306"/>
      <c r="N185" s="388"/>
      <c r="O185" s="281"/>
      <c r="P185" s="281"/>
      <c r="Q185" s="281"/>
      <c r="R185" s="281"/>
      <c r="S185" s="281"/>
      <c r="T185" s="281"/>
      <c r="U185" s="281"/>
      <c r="V185" s="281"/>
      <c r="W185" s="281"/>
      <c r="X185" s="281"/>
      <c r="Y185" s="281"/>
      <c r="Z185" s="281"/>
      <c r="AA185" s="281"/>
      <c r="AB185" s="281"/>
      <c r="AC185" s="281"/>
      <c r="AD185" s="281"/>
      <c r="AE185" s="281"/>
    </row>
    <row r="186" spans="2:31" ht="15">
      <c r="B186" s="386">
        <f t="shared" si="6"/>
        <v>141</v>
      </c>
      <c r="C186" s="394" t="str" cm="1">
        <f t="array" ref="C186">IF(B186&lt;=$C$9,GetGetCDSName(B186),"")</f>
        <v/>
      </c>
      <c r="D186" s="354"/>
      <c r="E186" s="387"/>
      <c r="F186" s="306"/>
      <c r="G186" s="306"/>
      <c r="H186" s="306"/>
      <c r="I186" s="306"/>
      <c r="J186" s="306"/>
      <c r="K186" s="306"/>
      <c r="L186" s="306"/>
      <c r="M186" s="306"/>
      <c r="N186" s="388"/>
      <c r="O186" s="281"/>
      <c r="P186" s="281"/>
      <c r="Q186" s="281"/>
      <c r="R186" s="281"/>
      <c r="S186" s="281"/>
      <c r="T186" s="281"/>
      <c r="U186" s="281"/>
      <c r="V186" s="281"/>
      <c r="W186" s="281"/>
      <c r="X186" s="281"/>
      <c r="Y186" s="281"/>
      <c r="Z186" s="281"/>
      <c r="AA186" s="281"/>
      <c r="AB186" s="281"/>
      <c r="AC186" s="281"/>
      <c r="AD186" s="281"/>
      <c r="AE186" s="281"/>
    </row>
    <row r="187" spans="2:31" ht="15">
      <c r="B187" s="386">
        <f t="shared" si="6"/>
        <v>142</v>
      </c>
      <c r="C187" s="394" t="str" cm="1">
        <f t="array" ref="C187">IF(B187&lt;=$C$9,GetGetCDSName(B187),"")</f>
        <v/>
      </c>
      <c r="D187" s="354"/>
      <c r="E187" s="387"/>
      <c r="F187" s="306"/>
      <c r="G187" s="306"/>
      <c r="H187" s="306"/>
      <c r="I187" s="306"/>
      <c r="J187" s="306"/>
      <c r="K187" s="306"/>
      <c r="L187" s="306"/>
      <c r="M187" s="306"/>
      <c r="N187" s="388"/>
      <c r="O187" s="281"/>
      <c r="P187" s="281"/>
      <c r="Q187" s="281"/>
      <c r="R187" s="281"/>
      <c r="S187" s="281"/>
      <c r="T187" s="281"/>
      <c r="U187" s="281"/>
      <c r="V187" s="281"/>
      <c r="W187" s="281"/>
      <c r="X187" s="281"/>
      <c r="Y187" s="281"/>
      <c r="Z187" s="281"/>
      <c r="AA187" s="281"/>
      <c r="AB187" s="281"/>
      <c r="AC187" s="281"/>
      <c r="AD187" s="281"/>
      <c r="AE187" s="281"/>
    </row>
    <row r="188" spans="2:31" ht="15">
      <c r="B188" s="386">
        <f t="shared" si="6"/>
        <v>143</v>
      </c>
      <c r="C188" s="394" t="str" cm="1">
        <f t="array" ref="C188">IF(B188&lt;=$C$9,GetGetCDSName(B188),"")</f>
        <v/>
      </c>
      <c r="D188" s="354"/>
      <c r="E188" s="387"/>
      <c r="F188" s="306"/>
      <c r="G188" s="306"/>
      <c r="H188" s="306"/>
      <c r="I188" s="306"/>
      <c r="J188" s="306"/>
      <c r="K188" s="306"/>
      <c r="L188" s="306"/>
      <c r="M188" s="306"/>
      <c r="N188" s="388"/>
      <c r="O188" s="281"/>
      <c r="P188" s="281"/>
      <c r="Q188" s="281"/>
      <c r="R188" s="281"/>
      <c r="S188" s="281"/>
      <c r="T188" s="281"/>
      <c r="U188" s="281"/>
      <c r="V188" s="281"/>
      <c r="W188" s="281"/>
      <c r="X188" s="281"/>
      <c r="Y188" s="281"/>
      <c r="Z188" s="281"/>
      <c r="AA188" s="281"/>
      <c r="AB188" s="281"/>
      <c r="AC188" s="281"/>
      <c r="AD188" s="281"/>
      <c r="AE188" s="281"/>
    </row>
    <row r="189" spans="2:31" ht="15">
      <c r="B189" s="386">
        <f t="shared" si="6"/>
        <v>144</v>
      </c>
      <c r="C189" s="394" t="str" cm="1">
        <f t="array" ref="C189">IF(B189&lt;=$C$9,GetGetCDSName(B189),"")</f>
        <v/>
      </c>
      <c r="D189" s="354"/>
      <c r="E189" s="387"/>
      <c r="F189" s="306"/>
      <c r="G189" s="306"/>
      <c r="H189" s="306"/>
      <c r="I189" s="306"/>
      <c r="J189" s="306"/>
      <c r="K189" s="306"/>
      <c r="L189" s="306"/>
      <c r="M189" s="306"/>
      <c r="N189" s="388"/>
      <c r="O189" s="281"/>
      <c r="P189" s="281"/>
      <c r="Q189" s="281"/>
      <c r="R189" s="281"/>
      <c r="S189" s="281"/>
      <c r="T189" s="281"/>
      <c r="U189" s="281"/>
      <c r="V189" s="281"/>
      <c r="W189" s="281"/>
      <c r="X189" s="281"/>
      <c r="Y189" s="281"/>
      <c r="Z189" s="281"/>
      <c r="AA189" s="281"/>
      <c r="AB189" s="281"/>
      <c r="AC189" s="281"/>
      <c r="AD189" s="281"/>
      <c r="AE189" s="281"/>
    </row>
    <row r="190" spans="2:31" ht="15">
      <c r="B190" s="386">
        <f t="shared" si="6"/>
        <v>145</v>
      </c>
      <c r="C190" s="394" t="str" cm="1">
        <f t="array" ref="C190">IF(B190&lt;=$C$9,GetGetCDSName(B190),"")</f>
        <v/>
      </c>
      <c r="D190" s="354"/>
      <c r="E190" s="387"/>
      <c r="F190" s="306"/>
      <c r="G190" s="306"/>
      <c r="H190" s="306"/>
      <c r="I190" s="306"/>
      <c r="J190" s="306"/>
      <c r="K190" s="306"/>
      <c r="L190" s="306"/>
      <c r="M190" s="306"/>
      <c r="N190" s="388"/>
      <c r="O190" s="281"/>
      <c r="P190" s="281"/>
      <c r="Q190" s="281"/>
      <c r="R190" s="281"/>
      <c r="S190" s="281"/>
      <c r="T190" s="281"/>
      <c r="U190" s="281"/>
      <c r="V190" s="281"/>
      <c r="W190" s="281"/>
      <c r="X190" s="281"/>
      <c r="Y190" s="281"/>
      <c r="Z190" s="281"/>
      <c r="AA190" s="281"/>
      <c r="AB190" s="281"/>
      <c r="AC190" s="281"/>
      <c r="AD190" s="281"/>
      <c r="AE190" s="281"/>
    </row>
    <row r="191" spans="2:31" ht="15">
      <c r="B191" s="386">
        <f t="shared" si="6"/>
        <v>146</v>
      </c>
      <c r="C191" s="394" t="str" cm="1">
        <f t="array" ref="C191">IF(B191&lt;=$C$9,GetGetCDSName(B191),"")</f>
        <v/>
      </c>
      <c r="D191" s="354"/>
      <c r="E191" s="387"/>
      <c r="F191" s="306"/>
      <c r="G191" s="306"/>
      <c r="H191" s="306"/>
      <c r="I191" s="306"/>
      <c r="J191" s="306"/>
      <c r="K191" s="306"/>
      <c r="L191" s="306"/>
      <c r="M191" s="306"/>
      <c r="N191" s="388"/>
      <c r="O191" s="281"/>
      <c r="P191" s="281"/>
      <c r="Q191" s="281"/>
      <c r="R191" s="281"/>
      <c r="S191" s="281"/>
      <c r="T191" s="281"/>
      <c r="U191" s="281"/>
      <c r="V191" s="281"/>
      <c r="W191" s="281"/>
      <c r="X191" s="281"/>
      <c r="Y191" s="281"/>
      <c r="Z191" s="281"/>
      <c r="AA191" s="281"/>
      <c r="AB191" s="281"/>
      <c r="AC191" s="281"/>
      <c r="AD191" s="281"/>
      <c r="AE191" s="281"/>
    </row>
    <row r="192" spans="2:31" ht="15">
      <c r="B192" s="386">
        <f t="shared" si="6"/>
        <v>147</v>
      </c>
      <c r="C192" s="394" t="str" cm="1">
        <f t="array" ref="C192">IF(B192&lt;=$C$9,GetGetCDSName(B192),"")</f>
        <v/>
      </c>
      <c r="D192" s="354"/>
      <c r="E192" s="387"/>
      <c r="F192" s="306"/>
      <c r="G192" s="306"/>
      <c r="H192" s="306"/>
      <c r="I192" s="306"/>
      <c r="J192" s="306"/>
      <c r="K192" s="306"/>
      <c r="L192" s="306"/>
      <c r="M192" s="306"/>
      <c r="N192" s="388"/>
      <c r="O192" s="281"/>
      <c r="P192" s="281"/>
      <c r="Q192" s="281"/>
      <c r="R192" s="281"/>
      <c r="S192" s="281"/>
      <c r="T192" s="281"/>
      <c r="U192" s="281"/>
      <c r="V192" s="281"/>
      <c r="W192" s="281"/>
      <c r="X192" s="281"/>
      <c r="Y192" s="281"/>
      <c r="Z192" s="281"/>
      <c r="AA192" s="281"/>
      <c r="AB192" s="281"/>
      <c r="AC192" s="281"/>
      <c r="AD192" s="281"/>
      <c r="AE192" s="281"/>
    </row>
    <row r="193" spans="2:31" ht="15">
      <c r="B193" s="386">
        <f t="shared" si="6"/>
        <v>148</v>
      </c>
      <c r="C193" s="394" t="str" cm="1">
        <f t="array" ref="C193">IF(B193&lt;=$C$9,GetGetCDSName(B193),"")</f>
        <v/>
      </c>
      <c r="D193" s="354"/>
      <c r="E193" s="387"/>
      <c r="F193" s="306"/>
      <c r="G193" s="306"/>
      <c r="H193" s="306"/>
      <c r="I193" s="306"/>
      <c r="J193" s="306"/>
      <c r="K193" s="306"/>
      <c r="L193" s="306"/>
      <c r="M193" s="306"/>
      <c r="N193" s="388"/>
      <c r="O193" s="281"/>
      <c r="P193" s="281"/>
      <c r="Q193" s="281"/>
      <c r="R193" s="281"/>
      <c r="S193" s="281"/>
      <c r="T193" s="281"/>
      <c r="U193" s="281"/>
      <c r="V193" s="281"/>
      <c r="W193" s="281"/>
      <c r="X193" s="281"/>
      <c r="Y193" s="281"/>
      <c r="Z193" s="281"/>
      <c r="AA193" s="281"/>
      <c r="AB193" s="281"/>
      <c r="AC193" s="281"/>
      <c r="AD193" s="281"/>
      <c r="AE193" s="281"/>
    </row>
    <row r="194" spans="2:31" ht="15">
      <c r="B194" s="386">
        <f t="shared" si="6"/>
        <v>149</v>
      </c>
      <c r="C194" s="394" t="str" cm="1">
        <f t="array" ref="C194">IF(B194&lt;=$C$9,GetGetCDSName(B194),"")</f>
        <v/>
      </c>
      <c r="D194" s="354"/>
      <c r="E194" s="387"/>
      <c r="F194" s="306"/>
      <c r="G194" s="306"/>
      <c r="H194" s="306"/>
      <c r="I194" s="306"/>
      <c r="J194" s="306"/>
      <c r="K194" s="306"/>
      <c r="L194" s="306"/>
      <c r="M194" s="306"/>
      <c r="N194" s="388"/>
      <c r="O194" s="281"/>
      <c r="P194" s="281"/>
      <c r="Q194" s="281"/>
      <c r="R194" s="281"/>
      <c r="S194" s="281"/>
      <c r="T194" s="281"/>
      <c r="U194" s="281"/>
      <c r="V194" s="281"/>
      <c r="W194" s="281"/>
      <c r="X194" s="281"/>
      <c r="Y194" s="281"/>
      <c r="Z194" s="281"/>
      <c r="AA194" s="281"/>
      <c r="AB194" s="281"/>
      <c r="AC194" s="281"/>
      <c r="AD194" s="281"/>
      <c r="AE194" s="281"/>
    </row>
    <row r="195" spans="2:31" ht="15">
      <c r="B195" s="386">
        <f t="shared" si="6"/>
        <v>150</v>
      </c>
      <c r="C195" s="394" t="str" cm="1">
        <f t="array" ref="C195">IF(B195&lt;=$C$9,GetGetCDSName(B195),"")</f>
        <v/>
      </c>
      <c r="D195" s="354"/>
      <c r="E195" s="387"/>
      <c r="F195" s="306"/>
      <c r="G195" s="306"/>
      <c r="H195" s="306"/>
      <c r="I195" s="306"/>
      <c r="J195" s="306"/>
      <c r="K195" s="306"/>
      <c r="L195" s="306"/>
      <c r="M195" s="306"/>
      <c r="N195" s="388"/>
      <c r="O195" s="281"/>
      <c r="P195" s="281"/>
      <c r="Q195" s="281"/>
      <c r="R195" s="281"/>
      <c r="S195" s="281"/>
      <c r="T195" s="281"/>
      <c r="U195" s="281"/>
      <c r="V195" s="281"/>
      <c r="W195" s="281"/>
      <c r="X195" s="281"/>
      <c r="Y195" s="281"/>
      <c r="Z195" s="281"/>
      <c r="AA195" s="281"/>
      <c r="AB195" s="281"/>
      <c r="AC195" s="281"/>
      <c r="AD195" s="281"/>
      <c r="AE195" s="281"/>
    </row>
    <row r="196" spans="2:31" ht="15">
      <c r="B196" s="386">
        <f t="shared" si="6"/>
        <v>151</v>
      </c>
      <c r="C196" s="394" t="str" cm="1">
        <f t="array" ref="C196">IF(B196&lt;=$C$9,GetGetCDSName(B196),"")</f>
        <v/>
      </c>
      <c r="D196" s="354"/>
      <c r="E196" s="387"/>
      <c r="F196" s="306"/>
      <c r="G196" s="306"/>
      <c r="H196" s="306"/>
      <c r="I196" s="306"/>
      <c r="J196" s="306"/>
      <c r="K196" s="306"/>
      <c r="L196" s="306"/>
      <c r="M196" s="306"/>
      <c r="N196" s="388"/>
      <c r="O196" s="281"/>
      <c r="P196" s="281"/>
      <c r="Q196" s="281"/>
      <c r="R196" s="281"/>
      <c r="S196" s="281"/>
      <c r="T196" s="281"/>
      <c r="U196" s="281"/>
      <c r="V196" s="281"/>
      <c r="W196" s="281"/>
      <c r="X196" s="281"/>
      <c r="Y196" s="281"/>
      <c r="Z196" s="281"/>
      <c r="AA196" s="281"/>
      <c r="AB196" s="281"/>
      <c r="AC196" s="281"/>
      <c r="AD196" s="281"/>
      <c r="AE196" s="281"/>
    </row>
    <row r="197" spans="2:31" ht="15">
      <c r="B197" s="386">
        <f t="shared" si="6"/>
        <v>152</v>
      </c>
      <c r="C197" s="394" t="str" cm="1">
        <f t="array" ref="C197">IF(B197&lt;=$C$9,GetGetCDSName(B197),"")</f>
        <v/>
      </c>
      <c r="D197" s="354"/>
      <c r="E197" s="387"/>
      <c r="F197" s="306"/>
      <c r="G197" s="306"/>
      <c r="H197" s="306"/>
      <c r="I197" s="306"/>
      <c r="J197" s="306"/>
      <c r="K197" s="306"/>
      <c r="L197" s="306"/>
      <c r="M197" s="306"/>
      <c r="N197" s="388"/>
      <c r="O197" s="281"/>
      <c r="P197" s="281"/>
      <c r="Q197" s="281"/>
      <c r="R197" s="281"/>
      <c r="S197" s="281"/>
      <c r="T197" s="281"/>
      <c r="U197" s="281"/>
      <c r="V197" s="281"/>
      <c r="W197" s="281"/>
      <c r="X197" s="281"/>
      <c r="Y197" s="281"/>
      <c r="Z197" s="281"/>
      <c r="AA197" s="281"/>
      <c r="AB197" s="281"/>
      <c r="AC197" s="281"/>
      <c r="AD197" s="281"/>
      <c r="AE197" s="281"/>
    </row>
    <row r="198" spans="2:31" ht="15">
      <c r="B198" s="386">
        <f t="shared" si="6"/>
        <v>153</v>
      </c>
      <c r="C198" s="394" t="str" cm="1">
        <f t="array" ref="C198">IF(B198&lt;=$C$9,GetGetCDSName(B198),"")</f>
        <v/>
      </c>
      <c r="D198" s="354"/>
      <c r="E198" s="387"/>
      <c r="F198" s="306"/>
      <c r="G198" s="306"/>
      <c r="H198" s="306"/>
      <c r="I198" s="306"/>
      <c r="J198" s="306"/>
      <c r="K198" s="306"/>
      <c r="L198" s="306"/>
      <c r="M198" s="306"/>
      <c r="N198" s="388"/>
      <c r="O198" s="281"/>
      <c r="P198" s="281"/>
      <c r="Q198" s="281"/>
      <c r="R198" s="281"/>
      <c r="S198" s="281"/>
      <c r="T198" s="281"/>
      <c r="U198" s="281"/>
      <c r="V198" s="281"/>
      <c r="W198" s="281"/>
      <c r="X198" s="281"/>
      <c r="Y198" s="281"/>
      <c r="Z198" s="281"/>
      <c r="AA198" s="281"/>
      <c r="AB198" s="281"/>
      <c r="AC198" s="281"/>
      <c r="AD198" s="281"/>
      <c r="AE198" s="281"/>
    </row>
    <row r="199" spans="2:31" ht="15">
      <c r="B199" s="386">
        <f t="shared" si="6"/>
        <v>154</v>
      </c>
      <c r="C199" s="394" t="str" cm="1">
        <f t="array" ref="C199">IF(B199&lt;=$C$9,GetGetCDSName(B199),"")</f>
        <v/>
      </c>
      <c r="D199" s="354"/>
      <c r="E199" s="387"/>
      <c r="F199" s="306"/>
      <c r="G199" s="306"/>
      <c r="H199" s="306"/>
      <c r="I199" s="306"/>
      <c r="J199" s="306"/>
      <c r="K199" s="306"/>
      <c r="L199" s="306"/>
      <c r="M199" s="306"/>
      <c r="N199" s="388"/>
      <c r="O199" s="281"/>
      <c r="P199" s="281"/>
      <c r="Q199" s="281"/>
      <c r="R199" s="281"/>
      <c r="S199" s="281"/>
      <c r="T199" s="281"/>
      <c r="U199" s="281"/>
      <c r="V199" s="281"/>
      <c r="W199" s="281"/>
      <c r="X199" s="281"/>
      <c r="Y199" s="281"/>
      <c r="Z199" s="281"/>
      <c r="AA199" s="281"/>
      <c r="AB199" s="281"/>
      <c r="AC199" s="281"/>
      <c r="AD199" s="281"/>
      <c r="AE199" s="281"/>
    </row>
    <row r="200" spans="2:31" ht="15">
      <c r="B200" s="386">
        <f t="shared" si="6"/>
        <v>155</v>
      </c>
      <c r="C200" s="394" t="str" cm="1">
        <f t="array" ref="C200">IF(B200&lt;=$C$9,GetGetCDSName(B200),"")</f>
        <v/>
      </c>
      <c r="D200" s="354"/>
      <c r="E200" s="387"/>
      <c r="F200" s="306"/>
      <c r="G200" s="306"/>
      <c r="H200" s="306"/>
      <c r="I200" s="306"/>
      <c r="J200" s="306"/>
      <c r="K200" s="306"/>
      <c r="L200" s="306"/>
      <c r="M200" s="306"/>
      <c r="N200" s="388"/>
      <c r="O200" s="281"/>
      <c r="P200" s="281"/>
      <c r="Q200" s="281"/>
      <c r="R200" s="281"/>
      <c r="S200" s="281"/>
      <c r="T200" s="281"/>
      <c r="U200" s="281"/>
      <c r="V200" s="281"/>
      <c r="W200" s="281"/>
      <c r="X200" s="281"/>
      <c r="Y200" s="281"/>
      <c r="Z200" s="281"/>
      <c r="AA200" s="281"/>
      <c r="AB200" s="281"/>
      <c r="AC200" s="281"/>
      <c r="AD200" s="281"/>
      <c r="AE200" s="281"/>
    </row>
    <row r="201" spans="2:31" ht="15">
      <c r="B201" s="386">
        <f t="shared" si="6"/>
        <v>156</v>
      </c>
      <c r="C201" s="394" t="str" cm="1">
        <f t="array" ref="C201">IF(B201&lt;=$C$9,GetGetCDSName(B201),"")</f>
        <v/>
      </c>
      <c r="D201" s="354"/>
      <c r="E201" s="387"/>
      <c r="F201" s="306"/>
      <c r="G201" s="306"/>
      <c r="H201" s="306"/>
      <c r="I201" s="306"/>
      <c r="J201" s="306"/>
      <c r="K201" s="306"/>
      <c r="L201" s="306"/>
      <c r="M201" s="306"/>
      <c r="N201" s="388"/>
      <c r="O201" s="281"/>
      <c r="P201" s="281"/>
      <c r="Q201" s="281"/>
      <c r="R201" s="281"/>
      <c r="S201" s="281"/>
      <c r="T201" s="281"/>
      <c r="U201" s="281"/>
      <c r="V201" s="281"/>
      <c r="W201" s="281"/>
      <c r="X201" s="281"/>
      <c r="Y201" s="281"/>
      <c r="Z201" s="281"/>
      <c r="AA201" s="281"/>
      <c r="AB201" s="281"/>
      <c r="AC201" s="281"/>
      <c r="AD201" s="281"/>
      <c r="AE201" s="281"/>
    </row>
    <row r="202" spans="2:31" ht="15">
      <c r="B202" s="386">
        <f t="shared" si="6"/>
        <v>157</v>
      </c>
      <c r="C202" s="394" t="str" cm="1">
        <f t="array" ref="C202">IF(B202&lt;=$C$9,GetGetCDSName(B202),"")</f>
        <v/>
      </c>
      <c r="D202" s="354"/>
      <c r="E202" s="387"/>
      <c r="F202" s="306"/>
      <c r="G202" s="306"/>
      <c r="H202" s="306"/>
      <c r="I202" s="306"/>
      <c r="J202" s="306"/>
      <c r="K202" s="306"/>
      <c r="L202" s="306"/>
      <c r="M202" s="306"/>
      <c r="N202" s="388"/>
      <c r="O202" s="281"/>
      <c r="P202" s="281"/>
      <c r="Q202" s="281"/>
      <c r="R202" s="281"/>
      <c r="S202" s="281"/>
      <c r="T202" s="281"/>
      <c r="U202" s="281"/>
      <c r="V202" s="281"/>
      <c r="W202" s="281"/>
      <c r="X202" s="281"/>
      <c r="Y202" s="281"/>
      <c r="Z202" s="281"/>
      <c r="AA202" s="281"/>
      <c r="AB202" s="281"/>
      <c r="AC202" s="281"/>
      <c r="AD202" s="281"/>
      <c r="AE202" s="281"/>
    </row>
    <row r="203" spans="2:31" ht="15">
      <c r="B203" s="386">
        <f t="shared" si="6"/>
        <v>158</v>
      </c>
      <c r="C203" s="394" t="str" cm="1">
        <f t="array" ref="C203">IF(B203&lt;=$C$9,GetGetCDSName(B203),"")</f>
        <v/>
      </c>
      <c r="D203" s="354"/>
      <c r="E203" s="387"/>
      <c r="F203" s="306"/>
      <c r="G203" s="306"/>
      <c r="H203" s="306"/>
      <c r="I203" s="306"/>
      <c r="J203" s="306"/>
      <c r="K203" s="306"/>
      <c r="L203" s="306"/>
      <c r="M203" s="306"/>
      <c r="N203" s="388"/>
      <c r="O203" s="281"/>
      <c r="P203" s="281"/>
      <c r="Q203" s="281"/>
      <c r="R203" s="281"/>
      <c r="S203" s="281"/>
      <c r="T203" s="281"/>
      <c r="U203" s="281"/>
      <c r="V203" s="281"/>
      <c r="W203" s="281"/>
      <c r="X203" s="281"/>
      <c r="Y203" s="281"/>
      <c r="Z203" s="281"/>
      <c r="AA203" s="281"/>
      <c r="AB203" s="281"/>
      <c r="AC203" s="281"/>
      <c r="AD203" s="281"/>
      <c r="AE203" s="281"/>
    </row>
    <row r="204" spans="2:31" ht="15">
      <c r="B204" s="386">
        <f t="shared" si="6"/>
        <v>159</v>
      </c>
      <c r="C204" s="394" t="str" cm="1">
        <f t="array" ref="C204">IF(B204&lt;=$C$9,GetGetCDSName(B204),"")</f>
        <v/>
      </c>
      <c r="D204" s="354"/>
      <c r="E204" s="387"/>
      <c r="F204" s="306"/>
      <c r="G204" s="306"/>
      <c r="H204" s="306"/>
      <c r="I204" s="306"/>
      <c r="J204" s="306"/>
      <c r="K204" s="306"/>
      <c r="L204" s="306"/>
      <c r="M204" s="306"/>
      <c r="N204" s="388"/>
      <c r="O204" s="281"/>
      <c r="P204" s="281"/>
      <c r="Q204" s="281"/>
      <c r="R204" s="281"/>
      <c r="S204" s="281"/>
      <c r="T204" s="281"/>
      <c r="U204" s="281"/>
      <c r="V204" s="281"/>
      <c r="W204" s="281"/>
      <c r="X204" s="281"/>
      <c r="Y204" s="281"/>
      <c r="Z204" s="281"/>
      <c r="AA204" s="281"/>
      <c r="AB204" s="281"/>
      <c r="AC204" s="281"/>
      <c r="AD204" s="281"/>
      <c r="AE204" s="281"/>
    </row>
    <row r="205" spans="2:31" ht="15">
      <c r="B205" s="386">
        <f t="shared" si="6"/>
        <v>160</v>
      </c>
      <c r="C205" s="394" t="str" cm="1">
        <f t="array" ref="C205">IF(B205&lt;=$C$9,GetGetCDSName(B205),"")</f>
        <v/>
      </c>
      <c r="D205" s="354"/>
      <c r="E205" s="387"/>
      <c r="F205" s="306"/>
      <c r="G205" s="306"/>
      <c r="H205" s="306"/>
      <c r="I205" s="306"/>
      <c r="J205" s="306"/>
      <c r="K205" s="306"/>
      <c r="L205" s="306"/>
      <c r="M205" s="306"/>
      <c r="N205" s="388"/>
      <c r="O205" s="281"/>
      <c r="P205" s="281"/>
      <c r="Q205" s="281"/>
      <c r="R205" s="281"/>
      <c r="S205" s="281"/>
      <c r="T205" s="281"/>
      <c r="U205" s="281"/>
      <c r="V205" s="281"/>
      <c r="W205" s="281"/>
      <c r="X205" s="281"/>
      <c r="Y205" s="281"/>
      <c r="Z205" s="281"/>
      <c r="AA205" s="281"/>
      <c r="AB205" s="281"/>
      <c r="AC205" s="281"/>
      <c r="AD205" s="281"/>
      <c r="AE205" s="281"/>
    </row>
    <row r="206" spans="2:31" ht="15">
      <c r="B206" s="386">
        <f t="shared" si="6"/>
        <v>161</v>
      </c>
      <c r="C206" s="394" t="str" cm="1">
        <f t="array" ref="C206">IF(B206&lt;=$C$9,GetGetCDSName(B206),"")</f>
        <v/>
      </c>
      <c r="D206" s="354"/>
      <c r="E206" s="387"/>
      <c r="F206" s="306"/>
      <c r="G206" s="306"/>
      <c r="H206" s="306"/>
      <c r="I206" s="306"/>
      <c r="J206" s="306"/>
      <c r="K206" s="306"/>
      <c r="L206" s="306"/>
      <c r="M206" s="306"/>
      <c r="N206" s="388"/>
      <c r="O206" s="281"/>
      <c r="P206" s="281"/>
      <c r="Q206" s="281"/>
      <c r="R206" s="281"/>
      <c r="S206" s="281"/>
      <c r="T206" s="281"/>
      <c r="U206" s="281"/>
      <c r="V206" s="281"/>
      <c r="W206" s="281"/>
      <c r="X206" s="281"/>
      <c r="Y206" s="281"/>
      <c r="Z206" s="281"/>
      <c r="AA206" s="281"/>
      <c r="AB206" s="281"/>
      <c r="AC206" s="281"/>
      <c r="AD206" s="281"/>
      <c r="AE206" s="281"/>
    </row>
    <row r="207" spans="2:31" ht="15">
      <c r="B207" s="386">
        <f t="shared" si="6"/>
        <v>162</v>
      </c>
      <c r="C207" s="394" t="str" cm="1">
        <f t="array" ref="C207">IF(B207&lt;=$C$9,GetGetCDSName(B207),"")</f>
        <v/>
      </c>
      <c r="D207" s="354"/>
      <c r="E207" s="387"/>
      <c r="F207" s="306"/>
      <c r="G207" s="306"/>
      <c r="H207" s="306"/>
      <c r="I207" s="306"/>
      <c r="J207" s="306"/>
      <c r="K207" s="306"/>
      <c r="L207" s="306"/>
      <c r="M207" s="306"/>
      <c r="N207" s="388"/>
      <c r="O207" s="281"/>
      <c r="P207" s="281"/>
      <c r="Q207" s="281"/>
      <c r="R207" s="281"/>
      <c r="S207" s="281"/>
      <c r="T207" s="281"/>
      <c r="U207" s="281"/>
      <c r="V207" s="281"/>
      <c r="W207" s="281"/>
      <c r="X207" s="281"/>
      <c r="Y207" s="281"/>
      <c r="Z207" s="281"/>
      <c r="AA207" s="281"/>
      <c r="AB207" s="281"/>
      <c r="AC207" s="281"/>
      <c r="AD207" s="281"/>
      <c r="AE207" s="281"/>
    </row>
    <row r="208" spans="2:31" ht="15">
      <c r="B208" s="386">
        <f t="shared" si="6"/>
        <v>163</v>
      </c>
      <c r="C208" s="394" t="str" cm="1">
        <f t="array" ref="C208">IF(B208&lt;=$C$9,GetGetCDSName(B208),"")</f>
        <v/>
      </c>
      <c r="D208" s="354"/>
      <c r="E208" s="387"/>
      <c r="F208" s="306"/>
      <c r="G208" s="306"/>
      <c r="H208" s="306"/>
      <c r="I208" s="306"/>
      <c r="J208" s="306"/>
      <c r="K208" s="306"/>
      <c r="L208" s="306"/>
      <c r="M208" s="306"/>
      <c r="N208" s="388"/>
      <c r="O208" s="281"/>
      <c r="P208" s="281"/>
      <c r="Q208" s="281"/>
      <c r="R208" s="281"/>
      <c r="S208" s="281"/>
      <c r="T208" s="281"/>
      <c r="U208" s="281"/>
      <c r="V208" s="281"/>
      <c r="W208" s="281"/>
      <c r="X208" s="281"/>
      <c r="Y208" s="281"/>
      <c r="Z208" s="281"/>
      <c r="AA208" s="281"/>
      <c r="AB208" s="281"/>
      <c r="AC208" s="281"/>
      <c r="AD208" s="281"/>
      <c r="AE208" s="281"/>
    </row>
    <row r="209" spans="2:31" ht="15">
      <c r="B209" s="386">
        <f t="shared" si="6"/>
        <v>164</v>
      </c>
      <c r="C209" s="394" t="str" cm="1">
        <f t="array" ref="C209">IF(B209&lt;=$C$9,GetGetCDSName(B209),"")</f>
        <v/>
      </c>
      <c r="D209" s="354"/>
      <c r="E209" s="387"/>
      <c r="F209" s="306"/>
      <c r="G209" s="306"/>
      <c r="H209" s="306"/>
      <c r="I209" s="306"/>
      <c r="J209" s="306"/>
      <c r="K209" s="306"/>
      <c r="L209" s="306"/>
      <c r="M209" s="306"/>
      <c r="N209" s="388"/>
      <c r="O209" s="281"/>
      <c r="P209" s="281"/>
      <c r="Q209" s="281"/>
      <c r="R209" s="281"/>
      <c r="S209" s="281"/>
      <c r="T209" s="281"/>
      <c r="U209" s="281"/>
      <c r="V209" s="281"/>
      <c r="W209" s="281"/>
      <c r="X209" s="281"/>
      <c r="Y209" s="281"/>
      <c r="Z209" s="281"/>
      <c r="AA209" s="281"/>
      <c r="AB209" s="281"/>
      <c r="AC209" s="281"/>
      <c r="AD209" s="281"/>
      <c r="AE209" s="281"/>
    </row>
    <row r="210" spans="2:31" ht="15">
      <c r="B210" s="386">
        <f t="shared" si="6"/>
        <v>165</v>
      </c>
      <c r="C210" s="394" t="str" cm="1">
        <f t="array" ref="C210">IF(B210&lt;=$C$9,GetGetCDSName(B210),"")</f>
        <v/>
      </c>
      <c r="D210" s="354"/>
      <c r="E210" s="387"/>
      <c r="F210" s="306"/>
      <c r="G210" s="306"/>
      <c r="H210" s="306"/>
      <c r="I210" s="306"/>
      <c r="J210" s="306"/>
      <c r="K210" s="306"/>
      <c r="L210" s="306"/>
      <c r="M210" s="306"/>
      <c r="N210" s="388"/>
      <c r="O210" s="281"/>
      <c r="P210" s="281"/>
      <c r="Q210" s="281"/>
      <c r="R210" s="281"/>
      <c r="S210" s="281"/>
      <c r="T210" s="281"/>
      <c r="U210" s="281"/>
      <c r="V210" s="281"/>
      <c r="W210" s="281"/>
      <c r="X210" s="281"/>
      <c r="Y210" s="281"/>
      <c r="Z210" s="281"/>
      <c r="AA210" s="281"/>
      <c r="AB210" s="281"/>
      <c r="AC210" s="281"/>
      <c r="AD210" s="281"/>
      <c r="AE210" s="281"/>
    </row>
    <row r="211" spans="2:31" ht="15">
      <c r="B211" s="386">
        <f t="shared" si="6"/>
        <v>166</v>
      </c>
      <c r="C211" s="394" t="str" cm="1">
        <f t="array" ref="C211">IF(B211&lt;=$C$9,GetGetCDSName(B211),"")</f>
        <v/>
      </c>
      <c r="D211" s="354"/>
      <c r="E211" s="387"/>
      <c r="F211" s="306"/>
      <c r="G211" s="306"/>
      <c r="H211" s="306"/>
      <c r="I211" s="306"/>
      <c r="J211" s="306"/>
      <c r="K211" s="306"/>
      <c r="L211" s="306"/>
      <c r="M211" s="306"/>
      <c r="N211" s="388"/>
      <c r="O211" s="281"/>
      <c r="P211" s="281"/>
      <c r="Q211" s="281"/>
      <c r="R211" s="281"/>
      <c r="S211" s="281"/>
      <c r="T211" s="281"/>
      <c r="U211" s="281"/>
      <c r="V211" s="281"/>
      <c r="W211" s="281"/>
      <c r="X211" s="281"/>
      <c r="Y211" s="281"/>
      <c r="Z211" s="281"/>
      <c r="AA211" s="281"/>
      <c r="AB211" s="281"/>
      <c r="AC211" s="281"/>
      <c r="AD211" s="281"/>
      <c r="AE211" s="281"/>
    </row>
    <row r="212" spans="2:31" ht="15">
      <c r="B212" s="386">
        <f t="shared" si="6"/>
        <v>167</v>
      </c>
      <c r="C212" s="394" t="str" cm="1">
        <f t="array" ref="C212">IF(B212&lt;=$C$9,GetGetCDSName(B212),"")</f>
        <v/>
      </c>
      <c r="D212" s="354"/>
      <c r="E212" s="387"/>
      <c r="F212" s="306"/>
      <c r="G212" s="306"/>
      <c r="H212" s="306"/>
      <c r="I212" s="306"/>
      <c r="J212" s="306"/>
      <c r="K212" s="306"/>
      <c r="L212" s="306"/>
      <c r="M212" s="306"/>
      <c r="N212" s="388"/>
      <c r="O212" s="281"/>
      <c r="P212" s="281"/>
      <c r="Q212" s="281"/>
      <c r="R212" s="281"/>
      <c r="S212" s="281"/>
      <c r="T212" s="281"/>
      <c r="U212" s="281"/>
      <c r="V212" s="281"/>
      <c r="W212" s="281"/>
      <c r="X212" s="281"/>
      <c r="Y212" s="281"/>
      <c r="Z212" s="281"/>
      <c r="AA212" s="281"/>
      <c r="AB212" s="281"/>
      <c r="AC212" s="281"/>
      <c r="AD212" s="281"/>
      <c r="AE212" s="281"/>
    </row>
    <row r="213" spans="2:31" ht="15">
      <c r="B213" s="386">
        <f t="shared" si="6"/>
        <v>168</v>
      </c>
      <c r="C213" s="394" t="str" cm="1">
        <f t="array" ref="C213">IF(B213&lt;=$C$9,GetGetCDSName(B213),"")</f>
        <v/>
      </c>
      <c r="D213" s="354"/>
      <c r="E213" s="387"/>
      <c r="F213" s="306"/>
      <c r="G213" s="306"/>
      <c r="H213" s="306"/>
      <c r="I213" s="306"/>
      <c r="J213" s="306"/>
      <c r="K213" s="306"/>
      <c r="L213" s="306"/>
      <c r="M213" s="306"/>
      <c r="N213" s="388"/>
      <c r="O213" s="281"/>
      <c r="P213" s="281"/>
      <c r="Q213" s="281"/>
      <c r="R213" s="281"/>
      <c r="S213" s="281"/>
      <c r="T213" s="281"/>
      <c r="U213" s="281"/>
      <c r="V213" s="281"/>
      <c r="W213" s="281"/>
      <c r="X213" s="281"/>
      <c r="Y213" s="281"/>
      <c r="Z213" s="281"/>
      <c r="AA213" s="281"/>
      <c r="AB213" s="281"/>
      <c r="AC213" s="281"/>
      <c r="AD213" s="281"/>
      <c r="AE213" s="281"/>
    </row>
    <row r="214" spans="2:31" ht="15">
      <c r="B214" s="386">
        <f t="shared" si="6"/>
        <v>169</v>
      </c>
      <c r="C214" s="394" t="str" cm="1">
        <f t="array" ref="C214">IF(B214&lt;=$C$9,GetGetCDSName(B214),"")</f>
        <v/>
      </c>
      <c r="D214" s="354"/>
      <c r="E214" s="387"/>
      <c r="F214" s="306"/>
      <c r="G214" s="306"/>
      <c r="H214" s="306"/>
      <c r="I214" s="306"/>
      <c r="J214" s="306"/>
      <c r="K214" s="306"/>
      <c r="L214" s="306"/>
      <c r="M214" s="306"/>
      <c r="N214" s="388"/>
      <c r="O214" s="281"/>
      <c r="P214" s="281"/>
      <c r="Q214" s="281"/>
      <c r="R214" s="281"/>
      <c r="S214" s="281"/>
      <c r="T214" s="281"/>
      <c r="U214" s="281"/>
      <c r="V214" s="281"/>
      <c r="W214" s="281"/>
      <c r="X214" s="281"/>
      <c r="Y214" s="281"/>
      <c r="Z214" s="281"/>
      <c r="AA214" s="281"/>
      <c r="AB214" s="281"/>
      <c r="AC214" s="281"/>
      <c r="AD214" s="281"/>
      <c r="AE214" s="281"/>
    </row>
    <row r="215" spans="2:31" ht="15">
      <c r="B215" s="386">
        <f t="shared" si="6"/>
        <v>170</v>
      </c>
      <c r="C215" s="394" t="str" cm="1">
        <f t="array" ref="C215">IF(B215&lt;=$C$9,GetGetCDSName(B215),"")</f>
        <v/>
      </c>
      <c r="D215" s="354"/>
      <c r="E215" s="387"/>
      <c r="F215" s="306"/>
      <c r="G215" s="306"/>
      <c r="H215" s="306"/>
      <c r="I215" s="306"/>
      <c r="J215" s="306"/>
      <c r="K215" s="306"/>
      <c r="L215" s="306"/>
      <c r="M215" s="306"/>
      <c r="N215" s="388"/>
      <c r="O215" s="281"/>
      <c r="P215" s="281"/>
      <c r="Q215" s="281"/>
      <c r="R215" s="281"/>
      <c r="S215" s="281"/>
      <c r="T215" s="281"/>
      <c r="U215" s="281"/>
      <c r="V215" s="281"/>
      <c r="W215" s="281"/>
      <c r="X215" s="281"/>
      <c r="Y215" s="281"/>
      <c r="Z215" s="281"/>
      <c r="AA215" s="281"/>
      <c r="AB215" s="281"/>
      <c r="AC215" s="281"/>
      <c r="AD215" s="281"/>
      <c r="AE215" s="281"/>
    </row>
    <row r="216" spans="2:31" ht="15">
      <c r="B216" s="386">
        <f t="shared" si="6"/>
        <v>171</v>
      </c>
      <c r="C216" s="394" t="str" cm="1">
        <f t="array" ref="C216">IF(B216&lt;=$C$9,GetGetCDSName(B216),"")</f>
        <v/>
      </c>
      <c r="D216" s="354"/>
      <c r="E216" s="387"/>
      <c r="F216" s="306"/>
      <c r="G216" s="306"/>
      <c r="H216" s="306"/>
      <c r="I216" s="306"/>
      <c r="J216" s="306"/>
      <c r="K216" s="306"/>
      <c r="L216" s="306"/>
      <c r="M216" s="306"/>
      <c r="N216" s="388"/>
      <c r="O216" s="281"/>
      <c r="P216" s="281"/>
      <c r="Q216" s="281"/>
      <c r="R216" s="281"/>
      <c r="S216" s="281"/>
      <c r="T216" s="281"/>
      <c r="U216" s="281"/>
      <c r="V216" s="281"/>
      <c r="W216" s="281"/>
      <c r="X216" s="281"/>
      <c r="Y216" s="281"/>
      <c r="Z216" s="281"/>
      <c r="AA216" s="281"/>
      <c r="AB216" s="281"/>
      <c r="AC216" s="281"/>
      <c r="AD216" s="281"/>
      <c r="AE216" s="281"/>
    </row>
    <row r="217" spans="2:31" ht="15">
      <c r="B217" s="386">
        <f t="shared" si="6"/>
        <v>172</v>
      </c>
      <c r="C217" s="394" t="str" cm="1">
        <f t="array" ref="C217">IF(B217&lt;=$C$9,GetGetCDSName(B217),"")</f>
        <v/>
      </c>
      <c r="D217" s="354"/>
      <c r="E217" s="387"/>
      <c r="F217" s="306"/>
      <c r="G217" s="306"/>
      <c r="H217" s="306"/>
      <c r="I217" s="306"/>
      <c r="J217" s="306"/>
      <c r="K217" s="306"/>
      <c r="L217" s="306"/>
      <c r="M217" s="306"/>
      <c r="N217" s="388"/>
      <c r="O217" s="281"/>
      <c r="P217" s="281"/>
      <c r="Q217" s="281"/>
      <c r="R217" s="281"/>
      <c r="S217" s="281"/>
      <c r="T217" s="281"/>
      <c r="U217" s="281"/>
      <c r="V217" s="281"/>
      <c r="W217" s="281"/>
      <c r="X217" s="281"/>
      <c r="Y217" s="281"/>
      <c r="Z217" s="281"/>
      <c r="AA217" s="281"/>
      <c r="AB217" s="281"/>
      <c r="AC217" s="281"/>
      <c r="AD217" s="281"/>
      <c r="AE217" s="281"/>
    </row>
    <row r="218" spans="2:31" ht="15">
      <c r="B218" s="386">
        <f t="shared" si="6"/>
        <v>173</v>
      </c>
      <c r="C218" s="394" t="str" cm="1">
        <f t="array" ref="C218">IF(B218&lt;=$C$9,GetGetCDSName(B218),"")</f>
        <v/>
      </c>
      <c r="D218" s="354"/>
      <c r="E218" s="387"/>
      <c r="F218" s="306"/>
      <c r="G218" s="306"/>
      <c r="H218" s="306"/>
      <c r="I218" s="306"/>
      <c r="J218" s="306"/>
      <c r="K218" s="306"/>
      <c r="L218" s="306"/>
      <c r="M218" s="306"/>
      <c r="N218" s="388"/>
      <c r="O218" s="281"/>
      <c r="P218" s="281"/>
      <c r="Q218" s="281"/>
      <c r="R218" s="281"/>
      <c r="S218" s="281"/>
      <c r="T218" s="281"/>
      <c r="U218" s="281"/>
      <c r="V218" s="281"/>
      <c r="W218" s="281"/>
      <c r="X218" s="281"/>
      <c r="Y218" s="281"/>
      <c r="Z218" s="281"/>
      <c r="AA218" s="281"/>
      <c r="AB218" s="281"/>
      <c r="AC218" s="281"/>
      <c r="AD218" s="281"/>
      <c r="AE218" s="281"/>
    </row>
    <row r="219" spans="2:31" ht="15">
      <c r="B219" s="386">
        <f t="shared" si="6"/>
        <v>174</v>
      </c>
      <c r="C219" s="394" t="str" cm="1">
        <f t="array" ref="C219">IF(B219&lt;=$C$9,GetGetCDSName(B219),"")</f>
        <v/>
      </c>
      <c r="D219" s="354"/>
      <c r="E219" s="387"/>
      <c r="F219" s="306"/>
      <c r="G219" s="306"/>
      <c r="H219" s="306"/>
      <c r="I219" s="306"/>
      <c r="J219" s="306"/>
      <c r="K219" s="306"/>
      <c r="L219" s="306"/>
      <c r="M219" s="306"/>
      <c r="N219" s="388"/>
      <c r="O219" s="281"/>
      <c r="P219" s="281"/>
      <c r="Q219" s="281"/>
      <c r="R219" s="281"/>
      <c r="S219" s="281"/>
      <c r="T219" s="281"/>
      <c r="U219" s="281"/>
      <c r="V219" s="281"/>
      <c r="W219" s="281"/>
      <c r="X219" s="281"/>
      <c r="Y219" s="281"/>
      <c r="Z219" s="281"/>
      <c r="AA219" s="281"/>
      <c r="AB219" s="281"/>
      <c r="AC219" s="281"/>
      <c r="AD219" s="281"/>
      <c r="AE219" s="281"/>
    </row>
    <row r="220" spans="2:31" ht="15">
      <c r="B220" s="386">
        <f t="shared" si="6"/>
        <v>175</v>
      </c>
      <c r="C220" s="394" t="str" cm="1">
        <f t="array" ref="C220">IF(B220&lt;=$C$9,GetGetCDSName(B220),"")</f>
        <v/>
      </c>
      <c r="D220" s="354"/>
      <c r="E220" s="387"/>
      <c r="F220" s="306"/>
      <c r="G220" s="306"/>
      <c r="H220" s="306"/>
      <c r="I220" s="306"/>
      <c r="J220" s="306"/>
      <c r="K220" s="306"/>
      <c r="L220" s="306"/>
      <c r="M220" s="306"/>
      <c r="N220" s="388"/>
      <c r="O220" s="281"/>
      <c r="P220" s="281"/>
      <c r="Q220" s="281"/>
      <c r="R220" s="281"/>
      <c r="S220" s="281"/>
      <c r="T220" s="281"/>
      <c r="U220" s="281"/>
      <c r="V220" s="281"/>
      <c r="W220" s="281"/>
      <c r="X220" s="281"/>
      <c r="Y220" s="281"/>
      <c r="Z220" s="281"/>
      <c r="AA220" s="281"/>
      <c r="AB220" s="281"/>
      <c r="AC220" s="281"/>
      <c r="AD220" s="281"/>
      <c r="AE220" s="281"/>
    </row>
    <row r="221" spans="2:31" ht="15">
      <c r="B221" s="386">
        <f t="shared" si="6"/>
        <v>176</v>
      </c>
      <c r="C221" s="394" t="str" cm="1">
        <f t="array" ref="C221">IF(B221&lt;=$C$9,GetGetCDSName(B221),"")</f>
        <v/>
      </c>
      <c r="D221" s="354"/>
      <c r="E221" s="387"/>
      <c r="F221" s="306"/>
      <c r="G221" s="306"/>
      <c r="H221" s="306"/>
      <c r="I221" s="306"/>
      <c r="J221" s="306"/>
      <c r="K221" s="306"/>
      <c r="L221" s="306"/>
      <c r="M221" s="306"/>
      <c r="N221" s="388"/>
      <c r="O221" s="281"/>
      <c r="P221" s="281"/>
      <c r="Q221" s="281"/>
      <c r="R221" s="281"/>
      <c r="S221" s="281"/>
      <c r="T221" s="281"/>
      <c r="U221" s="281"/>
      <c r="V221" s="281"/>
      <c r="W221" s="281"/>
      <c r="X221" s="281"/>
      <c r="Y221" s="281"/>
      <c r="Z221" s="281"/>
      <c r="AA221" s="281"/>
      <c r="AB221" s="281"/>
      <c r="AC221" s="281"/>
      <c r="AD221" s="281"/>
      <c r="AE221" s="281"/>
    </row>
    <row r="222" spans="2:31" ht="15">
      <c r="B222" s="386">
        <f t="shared" si="6"/>
        <v>177</v>
      </c>
      <c r="C222" s="394" t="str" cm="1">
        <f t="array" ref="C222">IF(B222&lt;=$C$9,GetGetCDSName(B222),"")</f>
        <v/>
      </c>
      <c r="D222" s="354"/>
      <c r="E222" s="387"/>
      <c r="F222" s="306"/>
      <c r="G222" s="306"/>
      <c r="H222" s="306"/>
      <c r="I222" s="306"/>
      <c r="J222" s="306"/>
      <c r="K222" s="306"/>
      <c r="L222" s="306"/>
      <c r="M222" s="306"/>
      <c r="N222" s="388"/>
      <c r="O222" s="281"/>
      <c r="P222" s="281"/>
      <c r="Q222" s="281"/>
      <c r="R222" s="281"/>
      <c r="S222" s="281"/>
      <c r="T222" s="281"/>
      <c r="U222" s="281"/>
      <c r="V222" s="281"/>
      <c r="W222" s="281"/>
      <c r="X222" s="281"/>
      <c r="Y222" s="281"/>
      <c r="Z222" s="281"/>
      <c r="AA222" s="281"/>
      <c r="AB222" s="281"/>
      <c r="AC222" s="281"/>
      <c r="AD222" s="281"/>
      <c r="AE222" s="281"/>
    </row>
    <row r="223" spans="2:31" ht="15">
      <c r="B223" s="386">
        <f t="shared" si="6"/>
        <v>178</v>
      </c>
      <c r="C223" s="394" t="str" cm="1">
        <f t="array" ref="C223">IF(B223&lt;=$C$9,GetGetCDSName(B223),"")</f>
        <v/>
      </c>
      <c r="D223" s="354"/>
      <c r="E223" s="387"/>
      <c r="F223" s="306"/>
      <c r="G223" s="306"/>
      <c r="H223" s="306"/>
      <c r="I223" s="306"/>
      <c r="J223" s="306"/>
      <c r="K223" s="306"/>
      <c r="L223" s="306"/>
      <c r="M223" s="306"/>
      <c r="N223" s="388"/>
      <c r="O223" s="281"/>
      <c r="P223" s="281"/>
      <c r="Q223" s="281"/>
      <c r="R223" s="281"/>
      <c r="S223" s="281"/>
      <c r="T223" s="281"/>
      <c r="U223" s="281"/>
      <c r="V223" s="281"/>
      <c r="W223" s="281"/>
      <c r="X223" s="281"/>
      <c r="Y223" s="281"/>
      <c r="Z223" s="281"/>
      <c r="AA223" s="281"/>
      <c r="AB223" s="281"/>
      <c r="AC223" s="281"/>
      <c r="AD223" s="281"/>
      <c r="AE223" s="281"/>
    </row>
    <row r="224" spans="2:31" ht="15">
      <c r="B224" s="386">
        <f t="shared" si="6"/>
        <v>179</v>
      </c>
      <c r="C224" s="394" t="str" cm="1">
        <f t="array" ref="C224">IF(B224&lt;=$C$9,GetGetCDSName(B224),"")</f>
        <v/>
      </c>
      <c r="D224" s="354"/>
      <c r="E224" s="387"/>
      <c r="F224" s="306"/>
      <c r="G224" s="306"/>
      <c r="H224" s="306"/>
      <c r="I224" s="306"/>
      <c r="J224" s="306"/>
      <c r="K224" s="306"/>
      <c r="L224" s="306"/>
      <c r="M224" s="306"/>
      <c r="N224" s="388"/>
      <c r="O224" s="281"/>
      <c r="P224" s="281"/>
      <c r="Q224" s="281"/>
      <c r="R224" s="281"/>
      <c r="S224" s="281"/>
      <c r="T224" s="281"/>
      <c r="U224" s="281"/>
      <c r="V224" s="281"/>
      <c r="W224" s="281"/>
      <c r="X224" s="281"/>
      <c r="Y224" s="281"/>
      <c r="Z224" s="281"/>
      <c r="AA224" s="281"/>
      <c r="AB224" s="281"/>
      <c r="AC224" s="281"/>
      <c r="AD224" s="281"/>
      <c r="AE224" s="281"/>
    </row>
    <row r="225" spans="2:31" ht="15">
      <c r="B225" s="386">
        <f t="shared" si="6"/>
        <v>180</v>
      </c>
      <c r="C225" s="394" t="str" cm="1">
        <f t="array" ref="C225">IF(B225&lt;=$C$9,GetGetCDSName(B225),"")</f>
        <v/>
      </c>
      <c r="D225" s="354"/>
      <c r="E225" s="387"/>
      <c r="F225" s="306"/>
      <c r="G225" s="306"/>
      <c r="H225" s="306"/>
      <c r="I225" s="306"/>
      <c r="J225" s="306"/>
      <c r="K225" s="306"/>
      <c r="L225" s="306"/>
      <c r="M225" s="306"/>
      <c r="N225" s="388"/>
      <c r="O225" s="281"/>
      <c r="P225" s="281"/>
      <c r="Q225" s="281"/>
      <c r="R225" s="281"/>
      <c r="S225" s="281"/>
      <c r="T225" s="281"/>
      <c r="U225" s="281"/>
      <c r="V225" s="281"/>
      <c r="W225" s="281"/>
      <c r="X225" s="281"/>
      <c r="Y225" s="281"/>
      <c r="Z225" s="281"/>
      <c r="AA225" s="281"/>
      <c r="AB225" s="281"/>
      <c r="AC225" s="281"/>
      <c r="AD225" s="281"/>
      <c r="AE225" s="281"/>
    </row>
    <row r="226" spans="2:31" ht="15">
      <c r="B226" s="386">
        <f t="shared" si="6"/>
        <v>181</v>
      </c>
      <c r="C226" s="394" t="str" cm="1">
        <f t="array" ref="C226">IF(B226&lt;=$C$9,GetGetCDSName(B226),"")</f>
        <v/>
      </c>
      <c r="D226" s="354"/>
      <c r="E226" s="387"/>
      <c r="F226" s="306"/>
      <c r="G226" s="306"/>
      <c r="H226" s="306"/>
      <c r="I226" s="306"/>
      <c r="J226" s="306"/>
      <c r="K226" s="306"/>
      <c r="L226" s="306"/>
      <c r="M226" s="306"/>
      <c r="N226" s="388"/>
      <c r="O226" s="281"/>
      <c r="P226" s="281"/>
      <c r="Q226" s="281"/>
      <c r="R226" s="281"/>
      <c r="S226" s="281"/>
      <c r="T226" s="281"/>
      <c r="U226" s="281"/>
      <c r="V226" s="281"/>
      <c r="W226" s="281"/>
      <c r="X226" s="281"/>
      <c r="Y226" s="281"/>
      <c r="Z226" s="281"/>
      <c r="AA226" s="281"/>
      <c r="AB226" s="281"/>
      <c r="AC226" s="281"/>
      <c r="AD226" s="281"/>
      <c r="AE226" s="281"/>
    </row>
    <row r="227" spans="2:31" ht="15">
      <c r="B227" s="386">
        <f t="shared" si="6"/>
        <v>182</v>
      </c>
      <c r="C227" s="394" t="str" cm="1">
        <f t="array" ref="C227">IF(B227&lt;=$C$9,GetGetCDSName(B227),"")</f>
        <v/>
      </c>
      <c r="D227" s="354"/>
      <c r="E227" s="387"/>
      <c r="F227" s="306"/>
      <c r="G227" s="306"/>
      <c r="H227" s="306"/>
      <c r="I227" s="306"/>
      <c r="J227" s="306"/>
      <c r="K227" s="306"/>
      <c r="L227" s="306"/>
      <c r="M227" s="306"/>
      <c r="N227" s="388"/>
      <c r="O227" s="281"/>
      <c r="P227" s="281"/>
      <c r="Q227" s="281"/>
      <c r="R227" s="281"/>
      <c r="S227" s="281"/>
      <c r="T227" s="281"/>
      <c r="U227" s="281"/>
      <c r="V227" s="281"/>
      <c r="W227" s="281"/>
      <c r="X227" s="281"/>
      <c r="Y227" s="281"/>
      <c r="Z227" s="281"/>
      <c r="AA227" s="281"/>
      <c r="AB227" s="281"/>
      <c r="AC227" s="281"/>
      <c r="AD227" s="281"/>
      <c r="AE227" s="281"/>
    </row>
    <row r="228" spans="2:31" ht="15">
      <c r="B228" s="386">
        <f t="shared" si="6"/>
        <v>183</v>
      </c>
      <c r="C228" s="394" t="str" cm="1">
        <f t="array" ref="C228">IF(B228&lt;=$C$9,GetGetCDSName(B228),"")</f>
        <v/>
      </c>
      <c r="D228" s="354"/>
      <c r="E228" s="387"/>
      <c r="F228" s="306"/>
      <c r="G228" s="306"/>
      <c r="H228" s="306"/>
      <c r="I228" s="306"/>
      <c r="J228" s="306"/>
      <c r="K228" s="306"/>
      <c r="L228" s="306"/>
      <c r="M228" s="306"/>
      <c r="N228" s="388"/>
      <c r="O228" s="281"/>
      <c r="P228" s="281"/>
      <c r="Q228" s="281"/>
      <c r="R228" s="281"/>
      <c r="S228" s="281"/>
      <c r="T228" s="281"/>
      <c r="U228" s="281"/>
      <c r="V228" s="281"/>
      <c r="W228" s="281"/>
      <c r="X228" s="281"/>
      <c r="Y228" s="281"/>
      <c r="Z228" s="281"/>
      <c r="AA228" s="281"/>
      <c r="AB228" s="281"/>
      <c r="AC228" s="281"/>
      <c r="AD228" s="281"/>
      <c r="AE228" s="281"/>
    </row>
    <row r="229" spans="2:31" ht="15">
      <c r="B229" s="386">
        <f t="shared" si="6"/>
        <v>184</v>
      </c>
      <c r="C229" s="394" t="str" cm="1">
        <f t="array" ref="C229">IF(B229&lt;=$C$9,GetGetCDSName(B229),"")</f>
        <v/>
      </c>
      <c r="D229" s="354"/>
      <c r="E229" s="387"/>
      <c r="F229" s="306"/>
      <c r="G229" s="306"/>
      <c r="H229" s="306"/>
      <c r="I229" s="306"/>
      <c r="J229" s="306"/>
      <c r="K229" s="306"/>
      <c r="L229" s="306"/>
      <c r="M229" s="306"/>
      <c r="N229" s="388"/>
      <c r="O229" s="281"/>
      <c r="P229" s="281"/>
      <c r="Q229" s="281"/>
      <c r="R229" s="281"/>
      <c r="S229" s="281"/>
      <c r="T229" s="281"/>
      <c r="U229" s="281"/>
      <c r="V229" s="281"/>
      <c r="W229" s="281"/>
      <c r="X229" s="281"/>
      <c r="Y229" s="281"/>
      <c r="Z229" s="281"/>
      <c r="AA229" s="281"/>
      <c r="AB229" s="281"/>
      <c r="AC229" s="281"/>
      <c r="AD229" s="281"/>
      <c r="AE229" s="281"/>
    </row>
    <row r="230" spans="2:31" ht="15">
      <c r="B230" s="386">
        <f t="shared" si="6"/>
        <v>185</v>
      </c>
      <c r="C230" s="394" t="str" cm="1">
        <f t="array" ref="C230">IF(B230&lt;=$C$9,GetGetCDSName(B230),"")</f>
        <v/>
      </c>
      <c r="D230" s="354"/>
      <c r="E230" s="387"/>
      <c r="F230" s="306"/>
      <c r="G230" s="306"/>
      <c r="H230" s="306"/>
      <c r="I230" s="306"/>
      <c r="J230" s="306"/>
      <c r="K230" s="306"/>
      <c r="L230" s="306"/>
      <c r="M230" s="306"/>
      <c r="N230" s="388"/>
      <c r="O230" s="281"/>
      <c r="P230" s="281"/>
      <c r="Q230" s="281"/>
      <c r="R230" s="281"/>
      <c r="S230" s="281"/>
      <c r="T230" s="281"/>
      <c r="U230" s="281"/>
      <c r="V230" s="281"/>
      <c r="W230" s="281"/>
      <c r="X230" s="281"/>
      <c r="Y230" s="281"/>
      <c r="Z230" s="281"/>
      <c r="AA230" s="281"/>
      <c r="AB230" s="281"/>
      <c r="AC230" s="281"/>
      <c r="AD230" s="281"/>
      <c r="AE230" s="281"/>
    </row>
    <row r="231" spans="2:31" ht="15">
      <c r="B231" s="386">
        <f t="shared" si="6"/>
        <v>186</v>
      </c>
      <c r="C231" s="394" t="str" cm="1">
        <f t="array" ref="C231">IF(B231&lt;=$C$9,GetGetCDSName(B231),"")</f>
        <v/>
      </c>
      <c r="D231" s="354"/>
      <c r="E231" s="387"/>
      <c r="F231" s="306"/>
      <c r="G231" s="306"/>
      <c r="H231" s="306"/>
      <c r="I231" s="306"/>
      <c r="J231" s="306"/>
      <c r="K231" s="306"/>
      <c r="L231" s="306"/>
      <c r="M231" s="306"/>
      <c r="N231" s="388"/>
      <c r="O231" s="281"/>
      <c r="P231" s="281"/>
      <c r="Q231" s="281"/>
      <c r="R231" s="281"/>
      <c r="S231" s="281"/>
      <c r="T231" s="281"/>
      <c r="U231" s="281"/>
      <c r="V231" s="281"/>
      <c r="W231" s="281"/>
      <c r="X231" s="281"/>
      <c r="Y231" s="281"/>
      <c r="Z231" s="281"/>
      <c r="AA231" s="281"/>
      <c r="AB231" s="281"/>
      <c r="AC231" s="281"/>
      <c r="AD231" s="281"/>
      <c r="AE231" s="281"/>
    </row>
    <row r="232" spans="2:31" ht="15">
      <c r="B232" s="386">
        <f t="shared" si="6"/>
        <v>187</v>
      </c>
      <c r="C232" s="394" t="str" cm="1">
        <f t="array" ref="C232">IF(B232&lt;=$C$9,GetGetCDSName(B232),"")</f>
        <v/>
      </c>
      <c r="D232" s="354"/>
      <c r="E232" s="387"/>
      <c r="F232" s="306"/>
      <c r="G232" s="306"/>
      <c r="H232" s="306"/>
      <c r="I232" s="306"/>
      <c r="J232" s="306"/>
      <c r="K232" s="306"/>
      <c r="L232" s="306"/>
      <c r="M232" s="306"/>
      <c r="N232" s="388"/>
      <c r="O232" s="281"/>
      <c r="P232" s="281"/>
      <c r="Q232" s="281"/>
      <c r="R232" s="281"/>
      <c r="S232" s="281"/>
      <c r="T232" s="281"/>
      <c r="U232" s="281"/>
      <c r="V232" s="281"/>
      <c r="W232" s="281"/>
      <c r="X232" s="281"/>
      <c r="Y232" s="281"/>
      <c r="Z232" s="281"/>
      <c r="AA232" s="281"/>
      <c r="AB232" s="281"/>
      <c r="AC232" s="281"/>
      <c r="AD232" s="281"/>
      <c r="AE232" s="281"/>
    </row>
    <row r="233" spans="2:31" ht="15">
      <c r="B233" s="386">
        <f t="shared" si="6"/>
        <v>188</v>
      </c>
      <c r="C233" s="394" t="str" cm="1">
        <f t="array" ref="C233">IF(B233&lt;=$C$9,GetGetCDSName(B233),"")</f>
        <v/>
      </c>
      <c r="D233" s="354"/>
      <c r="E233" s="387"/>
      <c r="F233" s="306"/>
      <c r="G233" s="306"/>
      <c r="H233" s="306"/>
      <c r="I233" s="306"/>
      <c r="J233" s="306"/>
      <c r="K233" s="306"/>
      <c r="L233" s="306"/>
      <c r="M233" s="306"/>
      <c r="N233" s="388"/>
      <c r="O233" s="281"/>
      <c r="P233" s="281"/>
      <c r="Q233" s="281"/>
      <c r="R233" s="281"/>
      <c r="S233" s="281"/>
      <c r="T233" s="281"/>
      <c r="U233" s="281"/>
      <c r="V233" s="281"/>
      <c r="W233" s="281"/>
      <c r="X233" s="281"/>
      <c r="Y233" s="281"/>
      <c r="Z233" s="281"/>
      <c r="AA233" s="281"/>
      <c r="AB233" s="281"/>
      <c r="AC233" s="281"/>
      <c r="AD233" s="281"/>
      <c r="AE233" s="281"/>
    </row>
    <row r="234" spans="2:31" ht="15">
      <c r="B234" s="386">
        <f t="shared" si="6"/>
        <v>189</v>
      </c>
      <c r="C234" s="394" t="str" cm="1">
        <f t="array" ref="C234">IF(B234&lt;=$C$9,GetGetCDSName(B234),"")</f>
        <v/>
      </c>
      <c r="D234" s="354"/>
      <c r="E234" s="387"/>
      <c r="F234" s="306"/>
      <c r="G234" s="306"/>
      <c r="H234" s="306"/>
      <c r="I234" s="306"/>
      <c r="J234" s="306"/>
      <c r="K234" s="306"/>
      <c r="L234" s="306"/>
      <c r="M234" s="306"/>
      <c r="N234" s="388"/>
      <c r="O234" s="281"/>
      <c r="P234" s="281"/>
      <c r="Q234" s="281"/>
      <c r="R234" s="281"/>
      <c r="S234" s="281"/>
      <c r="T234" s="281"/>
      <c r="U234" s="281"/>
      <c r="V234" s="281"/>
      <c r="W234" s="281"/>
      <c r="X234" s="281"/>
      <c r="Y234" s="281"/>
      <c r="Z234" s="281"/>
      <c r="AA234" s="281"/>
      <c r="AB234" s="281"/>
      <c r="AC234" s="281"/>
      <c r="AD234" s="281"/>
      <c r="AE234" s="281"/>
    </row>
    <row r="235" spans="2:31" ht="15">
      <c r="B235" s="386">
        <f t="shared" si="6"/>
        <v>190</v>
      </c>
      <c r="C235" s="394" t="str" cm="1">
        <f t="array" ref="C235">IF(B235&lt;=$C$9,GetGetCDSName(B235),"")</f>
        <v/>
      </c>
      <c r="D235" s="354"/>
      <c r="E235" s="387"/>
      <c r="F235" s="306"/>
      <c r="G235" s="306"/>
      <c r="H235" s="306"/>
      <c r="I235" s="306"/>
      <c r="J235" s="306"/>
      <c r="K235" s="306"/>
      <c r="L235" s="306"/>
      <c r="M235" s="306"/>
      <c r="N235" s="388"/>
      <c r="O235" s="281"/>
      <c r="P235" s="281"/>
      <c r="Q235" s="281"/>
      <c r="R235" s="281"/>
      <c r="S235" s="281"/>
      <c r="T235" s="281"/>
      <c r="U235" s="281"/>
      <c r="V235" s="281"/>
      <c r="W235" s="281"/>
      <c r="X235" s="281"/>
      <c r="Y235" s="281"/>
      <c r="Z235" s="281"/>
      <c r="AA235" s="281"/>
      <c r="AB235" s="281"/>
      <c r="AC235" s="281"/>
      <c r="AD235" s="281"/>
      <c r="AE235" s="281"/>
    </row>
    <row r="236" spans="2:31" ht="15">
      <c r="B236" s="386">
        <f t="shared" si="6"/>
        <v>191</v>
      </c>
      <c r="C236" s="394" t="str" cm="1">
        <f t="array" ref="C236">IF(B236&lt;=$C$9,GetGetCDSName(B236),"")</f>
        <v/>
      </c>
      <c r="D236" s="354"/>
      <c r="E236" s="387"/>
      <c r="F236" s="306"/>
      <c r="G236" s="306"/>
      <c r="H236" s="306"/>
      <c r="I236" s="306"/>
      <c r="J236" s="306"/>
      <c r="K236" s="306"/>
      <c r="L236" s="306"/>
      <c r="M236" s="306"/>
      <c r="N236" s="388"/>
      <c r="O236" s="281"/>
      <c r="P236" s="281"/>
      <c r="Q236" s="281"/>
      <c r="R236" s="281"/>
      <c r="S236" s="281"/>
      <c r="T236" s="281"/>
      <c r="U236" s="281"/>
      <c r="V236" s="281"/>
      <c r="W236" s="281"/>
      <c r="X236" s="281"/>
      <c r="Y236" s="281"/>
      <c r="Z236" s="281"/>
      <c r="AA236" s="281"/>
      <c r="AB236" s="281"/>
      <c r="AC236" s="281"/>
      <c r="AD236" s="281"/>
      <c r="AE236" s="281"/>
    </row>
    <row r="237" spans="2:31" ht="15">
      <c r="B237" s="386">
        <f t="shared" si="6"/>
        <v>192</v>
      </c>
      <c r="C237" s="394" t="str" cm="1">
        <f t="array" ref="C237">IF(B237&lt;=$C$9,GetGetCDSName(B237),"")</f>
        <v/>
      </c>
      <c r="D237" s="354"/>
      <c r="E237" s="387"/>
      <c r="F237" s="306"/>
      <c r="G237" s="306"/>
      <c r="H237" s="306"/>
      <c r="I237" s="306"/>
      <c r="J237" s="306"/>
      <c r="K237" s="306"/>
      <c r="L237" s="306"/>
      <c r="M237" s="306"/>
      <c r="N237" s="388"/>
      <c r="O237" s="281"/>
      <c r="P237" s="281"/>
      <c r="Q237" s="281"/>
      <c r="R237" s="281"/>
      <c r="S237" s="281"/>
      <c r="T237" s="281"/>
      <c r="U237" s="281"/>
      <c r="V237" s="281"/>
      <c r="W237" s="281"/>
      <c r="X237" s="281"/>
      <c r="Y237" s="281"/>
      <c r="Z237" s="281"/>
      <c r="AA237" s="281"/>
      <c r="AB237" s="281"/>
      <c r="AC237" s="281"/>
      <c r="AD237" s="281"/>
      <c r="AE237" s="281"/>
    </row>
    <row r="238" spans="2:31" ht="15">
      <c r="B238" s="386">
        <f t="shared" si="6"/>
        <v>193</v>
      </c>
      <c r="C238" s="394" t="str" cm="1">
        <f t="array" ref="C238">IF(B238&lt;=$C$9,GetGetCDSName(B238),"")</f>
        <v/>
      </c>
      <c r="D238" s="354"/>
      <c r="E238" s="387"/>
      <c r="F238" s="306"/>
      <c r="G238" s="306"/>
      <c r="H238" s="306"/>
      <c r="I238" s="306"/>
      <c r="J238" s="306"/>
      <c r="K238" s="306"/>
      <c r="L238" s="306"/>
      <c r="M238" s="306"/>
      <c r="N238" s="388"/>
      <c r="O238" s="281"/>
      <c r="P238" s="281"/>
      <c r="Q238" s="281"/>
      <c r="R238" s="281"/>
      <c r="S238" s="281"/>
      <c r="T238" s="281"/>
      <c r="U238" s="281"/>
      <c r="V238" s="281"/>
      <c r="W238" s="281"/>
      <c r="X238" s="281"/>
      <c r="Y238" s="281"/>
      <c r="Z238" s="281"/>
      <c r="AA238" s="281"/>
      <c r="AB238" s="281"/>
      <c r="AC238" s="281"/>
      <c r="AD238" s="281"/>
      <c r="AE238" s="281"/>
    </row>
    <row r="239" spans="2:31" ht="15">
      <c r="B239" s="386">
        <f t="shared" ref="B239:B302" si="7">B238+1</f>
        <v>194</v>
      </c>
      <c r="C239" s="394" t="str" cm="1">
        <f t="array" ref="C239">IF(B239&lt;=$C$9,GetGetCDSName(B239),"")</f>
        <v/>
      </c>
      <c r="D239" s="354"/>
      <c r="E239" s="387"/>
      <c r="F239" s="306"/>
      <c r="G239" s="306"/>
      <c r="H239" s="306"/>
      <c r="I239" s="306"/>
      <c r="J239" s="306"/>
      <c r="K239" s="306"/>
      <c r="L239" s="306"/>
      <c r="M239" s="306"/>
      <c r="N239" s="388"/>
      <c r="O239" s="281"/>
      <c r="P239" s="281"/>
      <c r="Q239" s="281"/>
      <c r="R239" s="281"/>
      <c r="S239" s="281"/>
      <c r="T239" s="281"/>
      <c r="U239" s="281"/>
      <c r="V239" s="281"/>
      <c r="W239" s="281"/>
      <c r="X239" s="281"/>
      <c r="Y239" s="281"/>
      <c r="Z239" s="281"/>
      <c r="AA239" s="281"/>
      <c r="AB239" s="281"/>
      <c r="AC239" s="281"/>
      <c r="AD239" s="281"/>
      <c r="AE239" s="281"/>
    </row>
    <row r="240" spans="2:31" ht="15">
      <c r="B240" s="386">
        <f t="shared" si="7"/>
        <v>195</v>
      </c>
      <c r="C240" s="394" t="str" cm="1">
        <f t="array" ref="C240">IF(B240&lt;=$C$9,GetGetCDSName(B240),"")</f>
        <v/>
      </c>
      <c r="D240" s="354"/>
      <c r="E240" s="387"/>
      <c r="F240" s="306"/>
      <c r="G240" s="306"/>
      <c r="H240" s="306"/>
      <c r="I240" s="306"/>
      <c r="J240" s="306"/>
      <c r="K240" s="306"/>
      <c r="L240" s="306"/>
      <c r="M240" s="306"/>
      <c r="N240" s="388"/>
      <c r="O240" s="281"/>
      <c r="P240" s="281"/>
      <c r="Q240" s="281"/>
      <c r="R240" s="281"/>
      <c r="S240" s="281"/>
      <c r="T240" s="281"/>
      <c r="U240" s="281"/>
      <c r="V240" s="281"/>
      <c r="W240" s="281"/>
      <c r="X240" s="281"/>
      <c r="Y240" s="281"/>
      <c r="Z240" s="281"/>
      <c r="AA240" s="281"/>
      <c r="AB240" s="281"/>
      <c r="AC240" s="281"/>
      <c r="AD240" s="281"/>
      <c r="AE240" s="281"/>
    </row>
    <row r="241" spans="2:31" ht="15">
      <c r="B241" s="386">
        <f t="shared" si="7"/>
        <v>196</v>
      </c>
      <c r="C241" s="394" t="str" cm="1">
        <f t="array" ref="C241">IF(B241&lt;=$C$9,GetGetCDSName(B241),"")</f>
        <v/>
      </c>
      <c r="D241" s="354"/>
      <c r="E241" s="387"/>
      <c r="F241" s="306"/>
      <c r="G241" s="306"/>
      <c r="H241" s="306"/>
      <c r="I241" s="306"/>
      <c r="J241" s="306"/>
      <c r="K241" s="306"/>
      <c r="L241" s="306"/>
      <c r="M241" s="306"/>
      <c r="N241" s="388"/>
      <c r="O241" s="281"/>
      <c r="P241" s="281"/>
      <c r="Q241" s="281"/>
      <c r="R241" s="281"/>
      <c r="S241" s="281"/>
      <c r="T241" s="281"/>
      <c r="U241" s="281"/>
      <c r="V241" s="281"/>
      <c r="W241" s="281"/>
      <c r="X241" s="281"/>
      <c r="Y241" s="281"/>
      <c r="Z241" s="281"/>
      <c r="AA241" s="281"/>
      <c r="AB241" s="281"/>
      <c r="AC241" s="281"/>
      <c r="AD241" s="281"/>
      <c r="AE241" s="281"/>
    </row>
    <row r="242" spans="2:31" ht="15">
      <c r="B242" s="386">
        <f t="shared" si="7"/>
        <v>197</v>
      </c>
      <c r="C242" s="394" t="str" cm="1">
        <f t="array" ref="C242">IF(B242&lt;=$C$9,GetGetCDSName(B242),"")</f>
        <v/>
      </c>
      <c r="D242" s="354"/>
      <c r="E242" s="387"/>
      <c r="F242" s="306"/>
      <c r="G242" s="306"/>
      <c r="H242" s="306"/>
      <c r="I242" s="306"/>
      <c r="J242" s="306"/>
      <c r="K242" s="306"/>
      <c r="L242" s="306"/>
      <c r="M242" s="306"/>
      <c r="N242" s="388"/>
      <c r="O242" s="281"/>
      <c r="P242" s="281"/>
      <c r="Q242" s="281"/>
      <c r="R242" s="281"/>
      <c r="S242" s="281"/>
      <c r="T242" s="281"/>
      <c r="U242" s="281"/>
      <c r="V242" s="281"/>
      <c r="W242" s="281"/>
      <c r="X242" s="281"/>
      <c r="Y242" s="281"/>
      <c r="Z242" s="281"/>
      <c r="AA242" s="281"/>
      <c r="AB242" s="281"/>
      <c r="AC242" s="281"/>
      <c r="AD242" s="281"/>
      <c r="AE242" s="281"/>
    </row>
    <row r="243" spans="2:31" ht="15">
      <c r="B243" s="386">
        <f t="shared" si="7"/>
        <v>198</v>
      </c>
      <c r="C243" s="394" t="str" cm="1">
        <f t="array" ref="C243">IF(B243&lt;=$C$9,GetGetCDSName(B243),"")</f>
        <v/>
      </c>
      <c r="D243" s="354"/>
      <c r="E243" s="387"/>
      <c r="F243" s="306"/>
      <c r="G243" s="306"/>
      <c r="H243" s="306"/>
      <c r="I243" s="306"/>
      <c r="J243" s="306"/>
      <c r="K243" s="306"/>
      <c r="L243" s="306"/>
      <c r="M243" s="306"/>
      <c r="N243" s="388"/>
      <c r="O243" s="281"/>
      <c r="P243" s="281"/>
      <c r="Q243" s="281"/>
      <c r="R243" s="281"/>
      <c r="S243" s="281"/>
      <c r="T243" s="281"/>
      <c r="U243" s="281"/>
      <c r="V243" s="281"/>
      <c r="W243" s="281"/>
      <c r="X243" s="281"/>
      <c r="Y243" s="281"/>
      <c r="Z243" s="281"/>
      <c r="AA243" s="281"/>
      <c r="AB243" s="281"/>
      <c r="AC243" s="281"/>
      <c r="AD243" s="281"/>
      <c r="AE243" s="281"/>
    </row>
    <row r="244" spans="2:31" ht="15">
      <c r="B244" s="386">
        <f t="shared" si="7"/>
        <v>199</v>
      </c>
      <c r="C244" s="394" t="str" cm="1">
        <f t="array" ref="C244">IF(B244&lt;=$C$9,GetGetCDSName(B244),"")</f>
        <v/>
      </c>
      <c r="D244" s="354"/>
      <c r="E244" s="387"/>
      <c r="F244" s="306"/>
      <c r="G244" s="306"/>
      <c r="H244" s="306"/>
      <c r="I244" s="306"/>
      <c r="J244" s="306"/>
      <c r="K244" s="306"/>
      <c r="L244" s="306"/>
      <c r="M244" s="306"/>
      <c r="N244" s="388"/>
      <c r="O244" s="281"/>
      <c r="P244" s="281"/>
      <c r="Q244" s="281"/>
      <c r="R244" s="281"/>
      <c r="S244" s="281"/>
      <c r="T244" s="281"/>
      <c r="U244" s="281"/>
      <c r="V244" s="281"/>
      <c r="W244" s="281"/>
      <c r="X244" s="281"/>
      <c r="Y244" s="281"/>
      <c r="Z244" s="281"/>
      <c r="AA244" s="281"/>
      <c r="AB244" s="281"/>
      <c r="AC244" s="281"/>
      <c r="AD244" s="281"/>
      <c r="AE244" s="281"/>
    </row>
    <row r="245" spans="2:31" ht="15">
      <c r="B245" s="386">
        <f t="shared" si="7"/>
        <v>200</v>
      </c>
      <c r="C245" s="394" t="str" cm="1">
        <f t="array" ref="C245">IF(B245&lt;=$C$9,GetGetCDSName(B245),"")</f>
        <v/>
      </c>
      <c r="D245" s="354"/>
      <c r="E245" s="387"/>
      <c r="F245" s="306"/>
      <c r="G245" s="306"/>
      <c r="H245" s="306"/>
      <c r="I245" s="306"/>
      <c r="J245" s="306"/>
      <c r="K245" s="306"/>
      <c r="L245" s="306"/>
      <c r="M245" s="306"/>
      <c r="N245" s="388"/>
      <c r="O245" s="281"/>
      <c r="P245" s="281"/>
      <c r="Q245" s="281"/>
      <c r="R245" s="281"/>
      <c r="S245" s="281"/>
      <c r="T245" s="281"/>
      <c r="U245" s="281"/>
      <c r="V245" s="281"/>
      <c r="W245" s="281"/>
      <c r="X245" s="281"/>
      <c r="Y245" s="281"/>
      <c r="Z245" s="281"/>
      <c r="AA245" s="281"/>
      <c r="AB245" s="281"/>
      <c r="AC245" s="281"/>
      <c r="AD245" s="281"/>
      <c r="AE245" s="281"/>
    </row>
    <row r="246" spans="2:31" ht="15">
      <c r="B246" s="386">
        <f t="shared" si="7"/>
        <v>201</v>
      </c>
      <c r="C246" s="394" t="str" cm="1">
        <f t="array" ref="C246">IF(B246&lt;=$C$9,GetGetCDSName(B246),"")</f>
        <v/>
      </c>
      <c r="D246" s="354"/>
      <c r="E246" s="387"/>
      <c r="F246" s="306"/>
      <c r="G246" s="306"/>
      <c r="H246" s="306"/>
      <c r="I246" s="306"/>
      <c r="J246" s="306"/>
      <c r="K246" s="306"/>
      <c r="L246" s="306"/>
      <c r="M246" s="306"/>
      <c r="N246" s="388"/>
      <c r="O246" s="281"/>
      <c r="P246" s="281"/>
      <c r="Q246" s="281"/>
      <c r="R246" s="281"/>
      <c r="S246" s="281"/>
      <c r="T246" s="281"/>
      <c r="U246" s="281"/>
      <c r="V246" s="281"/>
      <c r="W246" s="281"/>
      <c r="X246" s="281"/>
      <c r="Y246" s="281"/>
      <c r="Z246" s="281"/>
      <c r="AA246" s="281"/>
      <c r="AB246" s="281"/>
      <c r="AC246" s="281"/>
      <c r="AD246" s="281"/>
      <c r="AE246" s="281"/>
    </row>
    <row r="247" spans="2:31" ht="15">
      <c r="B247" s="386">
        <f t="shared" si="7"/>
        <v>202</v>
      </c>
      <c r="C247" s="394" t="str" cm="1">
        <f t="array" ref="C247">IF(B247&lt;=$C$9,GetGetCDSName(B247),"")</f>
        <v/>
      </c>
      <c r="D247" s="354"/>
      <c r="E247" s="387"/>
      <c r="F247" s="306"/>
      <c r="G247" s="306"/>
      <c r="H247" s="306"/>
      <c r="I247" s="306"/>
      <c r="J247" s="306"/>
      <c r="K247" s="306"/>
      <c r="L247" s="306"/>
      <c r="M247" s="306"/>
      <c r="N247" s="388"/>
      <c r="O247" s="281"/>
      <c r="P247" s="281"/>
      <c r="Q247" s="281"/>
      <c r="R247" s="281"/>
      <c r="S247" s="281"/>
      <c r="T247" s="281"/>
      <c r="U247" s="281"/>
      <c r="V247" s="281"/>
      <c r="W247" s="281"/>
      <c r="X247" s="281"/>
      <c r="Y247" s="281"/>
      <c r="Z247" s="281"/>
      <c r="AA247" s="281"/>
      <c r="AB247" s="281"/>
      <c r="AC247" s="281"/>
      <c r="AD247" s="281"/>
      <c r="AE247" s="281"/>
    </row>
    <row r="248" spans="2:31" ht="15">
      <c r="B248" s="386">
        <f t="shared" si="7"/>
        <v>203</v>
      </c>
      <c r="C248" s="394" t="str" cm="1">
        <f t="array" ref="C248">IF(B248&lt;=$C$9,GetGetCDSName(B248),"")</f>
        <v/>
      </c>
      <c r="D248" s="354"/>
      <c r="E248" s="387"/>
      <c r="F248" s="306"/>
      <c r="G248" s="306"/>
      <c r="H248" s="306"/>
      <c r="I248" s="306"/>
      <c r="J248" s="306"/>
      <c r="K248" s="306"/>
      <c r="L248" s="306"/>
      <c r="M248" s="306"/>
      <c r="N248" s="388"/>
      <c r="O248" s="281"/>
      <c r="P248" s="281"/>
      <c r="Q248" s="281"/>
      <c r="R248" s="281"/>
      <c r="S248" s="281"/>
      <c r="T248" s="281"/>
      <c r="U248" s="281"/>
      <c r="V248" s="281"/>
      <c r="W248" s="281"/>
      <c r="X248" s="281"/>
      <c r="Y248" s="281"/>
      <c r="Z248" s="281"/>
      <c r="AA248" s="281"/>
      <c r="AB248" s="281"/>
      <c r="AC248" s="281"/>
      <c r="AD248" s="281"/>
      <c r="AE248" s="281"/>
    </row>
    <row r="249" spans="2:31" ht="15">
      <c r="B249" s="386">
        <f t="shared" si="7"/>
        <v>204</v>
      </c>
      <c r="C249" s="394" t="str" cm="1">
        <f t="array" ref="C249">IF(B249&lt;=$C$9,GetGetCDSName(B249),"")</f>
        <v/>
      </c>
      <c r="D249" s="354"/>
      <c r="E249" s="387"/>
      <c r="F249" s="306"/>
      <c r="G249" s="306"/>
      <c r="H249" s="306"/>
      <c r="I249" s="306"/>
      <c r="J249" s="306"/>
      <c r="K249" s="306"/>
      <c r="L249" s="306"/>
      <c r="M249" s="306"/>
      <c r="N249" s="388"/>
      <c r="O249" s="281"/>
      <c r="P249" s="281"/>
      <c r="Q249" s="281"/>
      <c r="R249" s="281"/>
      <c r="S249" s="281"/>
      <c r="T249" s="281"/>
      <c r="U249" s="281"/>
      <c r="V249" s="281"/>
      <c r="W249" s="281"/>
      <c r="X249" s="281"/>
      <c r="Y249" s="281"/>
      <c r="Z249" s="281"/>
      <c r="AA249" s="281"/>
      <c r="AB249" s="281"/>
      <c r="AC249" s="281"/>
      <c r="AD249" s="281"/>
      <c r="AE249" s="281"/>
    </row>
    <row r="250" spans="2:31" ht="15">
      <c r="B250" s="386">
        <f t="shared" si="7"/>
        <v>205</v>
      </c>
      <c r="C250" s="394" t="str" cm="1">
        <f t="array" ref="C250">IF(B250&lt;=$C$9,GetGetCDSName(B250),"")</f>
        <v/>
      </c>
      <c r="D250" s="354"/>
      <c r="E250" s="387"/>
      <c r="F250" s="306"/>
      <c r="G250" s="306"/>
      <c r="H250" s="306"/>
      <c r="I250" s="306"/>
      <c r="J250" s="306"/>
      <c r="K250" s="306"/>
      <c r="L250" s="306"/>
      <c r="M250" s="306"/>
      <c r="N250" s="388"/>
      <c r="O250" s="281"/>
      <c r="P250" s="281"/>
      <c r="Q250" s="281"/>
      <c r="R250" s="281"/>
      <c r="S250" s="281"/>
      <c r="T250" s="281"/>
      <c r="U250" s="281"/>
      <c r="V250" s="281"/>
      <c r="W250" s="281"/>
      <c r="X250" s="281"/>
      <c r="Y250" s="281"/>
      <c r="Z250" s="281"/>
      <c r="AA250" s="281"/>
      <c r="AB250" s="281"/>
      <c r="AC250" s="281"/>
      <c r="AD250" s="281"/>
      <c r="AE250" s="281"/>
    </row>
    <row r="251" spans="2:31" ht="15">
      <c r="B251" s="386">
        <f t="shared" si="7"/>
        <v>206</v>
      </c>
      <c r="C251" s="394" t="str" cm="1">
        <f t="array" ref="C251">IF(B251&lt;=$C$9,GetGetCDSName(B251),"")</f>
        <v/>
      </c>
      <c r="D251" s="354"/>
      <c r="E251" s="387"/>
      <c r="F251" s="306"/>
      <c r="G251" s="306"/>
      <c r="H251" s="306"/>
      <c r="I251" s="306"/>
      <c r="J251" s="306"/>
      <c r="K251" s="306"/>
      <c r="L251" s="306"/>
      <c r="M251" s="306"/>
      <c r="N251" s="388"/>
      <c r="O251" s="281"/>
      <c r="P251" s="281"/>
      <c r="Q251" s="281"/>
      <c r="R251" s="281"/>
      <c r="S251" s="281"/>
      <c r="T251" s="281"/>
      <c r="U251" s="281"/>
      <c r="V251" s="281"/>
      <c r="W251" s="281"/>
      <c r="X251" s="281"/>
      <c r="Y251" s="281"/>
      <c r="Z251" s="281"/>
      <c r="AA251" s="281"/>
      <c r="AB251" s="281"/>
      <c r="AC251" s="281"/>
      <c r="AD251" s="281"/>
      <c r="AE251" s="281"/>
    </row>
    <row r="252" spans="2:31" ht="15">
      <c r="B252" s="386">
        <f t="shared" si="7"/>
        <v>207</v>
      </c>
      <c r="C252" s="394" t="str" cm="1">
        <f t="array" ref="C252">IF(B252&lt;=$C$9,GetGetCDSName(B252),"")</f>
        <v/>
      </c>
      <c r="D252" s="354"/>
      <c r="E252" s="387"/>
      <c r="F252" s="306"/>
      <c r="G252" s="306"/>
      <c r="H252" s="306"/>
      <c r="I252" s="306"/>
      <c r="J252" s="306"/>
      <c r="K252" s="306"/>
      <c r="L252" s="306"/>
      <c r="M252" s="306"/>
      <c r="N252" s="388"/>
      <c r="O252" s="281"/>
      <c r="P252" s="281"/>
      <c r="Q252" s="281"/>
      <c r="R252" s="281"/>
      <c r="S252" s="281"/>
      <c r="T252" s="281"/>
      <c r="U252" s="281"/>
      <c r="V252" s="281"/>
      <c r="W252" s="281"/>
      <c r="X252" s="281"/>
      <c r="Y252" s="281"/>
      <c r="Z252" s="281"/>
      <c r="AA252" s="281"/>
      <c r="AB252" s="281"/>
      <c r="AC252" s="281"/>
      <c r="AD252" s="281"/>
      <c r="AE252" s="281"/>
    </row>
    <row r="253" spans="2:31" ht="15">
      <c r="B253" s="386">
        <f t="shared" si="7"/>
        <v>208</v>
      </c>
      <c r="C253" s="394" t="str" cm="1">
        <f t="array" ref="C253">IF(B253&lt;=$C$9,GetGetCDSName(B253),"")</f>
        <v/>
      </c>
      <c r="D253" s="354"/>
      <c r="E253" s="387"/>
      <c r="F253" s="306"/>
      <c r="G253" s="306"/>
      <c r="H253" s="306"/>
      <c r="I253" s="306"/>
      <c r="J253" s="306"/>
      <c r="K253" s="306"/>
      <c r="L253" s="306"/>
      <c r="M253" s="306"/>
      <c r="N253" s="388"/>
      <c r="O253" s="281"/>
      <c r="P253" s="281"/>
      <c r="Q253" s="281"/>
      <c r="R253" s="281"/>
      <c r="S253" s="281"/>
      <c r="T253" s="281"/>
      <c r="U253" s="281"/>
      <c r="V253" s="281"/>
      <c r="W253" s="281"/>
      <c r="X253" s="281"/>
      <c r="Y253" s="281"/>
      <c r="Z253" s="281"/>
      <c r="AA253" s="281"/>
      <c r="AB253" s="281"/>
      <c r="AC253" s="281"/>
      <c r="AD253" s="281"/>
      <c r="AE253" s="281"/>
    </row>
    <row r="254" spans="2:31" ht="15">
      <c r="B254" s="386">
        <f t="shared" si="7"/>
        <v>209</v>
      </c>
      <c r="C254" s="394" t="str" cm="1">
        <f t="array" ref="C254">IF(B254&lt;=$C$9,GetGetCDSName(B254),"")</f>
        <v/>
      </c>
      <c r="D254" s="354"/>
      <c r="E254" s="387"/>
      <c r="F254" s="306"/>
      <c r="G254" s="306"/>
      <c r="H254" s="306"/>
      <c r="I254" s="306"/>
      <c r="J254" s="306"/>
      <c r="K254" s="306"/>
      <c r="L254" s="306"/>
      <c r="M254" s="306"/>
      <c r="N254" s="388"/>
      <c r="O254" s="281"/>
      <c r="P254" s="281"/>
      <c r="Q254" s="281"/>
      <c r="R254" s="281"/>
      <c r="S254" s="281"/>
      <c r="T254" s="281"/>
      <c r="U254" s="281"/>
      <c r="V254" s="281"/>
      <c r="W254" s="281"/>
      <c r="X254" s="281"/>
      <c r="Y254" s="281"/>
      <c r="Z254" s="281"/>
      <c r="AA254" s="281"/>
      <c r="AB254" s="281"/>
      <c r="AC254" s="281"/>
      <c r="AD254" s="281"/>
      <c r="AE254" s="281"/>
    </row>
    <row r="255" spans="2:31" ht="15">
      <c r="B255" s="386">
        <f t="shared" si="7"/>
        <v>210</v>
      </c>
      <c r="C255" s="394" t="str" cm="1">
        <f t="array" ref="C255">IF(B255&lt;=$C$9,GetGetCDSName(B255),"")</f>
        <v/>
      </c>
      <c r="D255" s="354"/>
      <c r="E255" s="387"/>
      <c r="F255" s="306"/>
      <c r="G255" s="306"/>
      <c r="H255" s="306"/>
      <c r="I255" s="306"/>
      <c r="J255" s="306"/>
      <c r="K255" s="306"/>
      <c r="L255" s="306"/>
      <c r="M255" s="306"/>
      <c r="N255" s="388"/>
      <c r="O255" s="281"/>
      <c r="P255" s="281"/>
      <c r="Q255" s="281"/>
      <c r="R255" s="281"/>
      <c r="S255" s="281"/>
      <c r="T255" s="281"/>
      <c r="U255" s="281"/>
      <c r="V255" s="281"/>
      <c r="W255" s="281"/>
      <c r="X255" s="281"/>
      <c r="Y255" s="281"/>
      <c r="Z255" s="281"/>
      <c r="AA255" s="281"/>
      <c r="AB255" s="281"/>
      <c r="AC255" s="281"/>
      <c r="AD255" s="281"/>
      <c r="AE255" s="281"/>
    </row>
    <row r="256" spans="2:31" ht="15">
      <c r="B256" s="386">
        <f t="shared" si="7"/>
        <v>211</v>
      </c>
      <c r="C256" s="394" t="str" cm="1">
        <f t="array" ref="C256">IF(B256&lt;=$C$9,GetGetCDSName(B256),"")</f>
        <v/>
      </c>
      <c r="D256" s="354"/>
      <c r="E256" s="387"/>
      <c r="F256" s="306"/>
      <c r="G256" s="306"/>
      <c r="H256" s="306"/>
      <c r="I256" s="306"/>
      <c r="J256" s="306"/>
      <c r="K256" s="306"/>
      <c r="L256" s="306"/>
      <c r="M256" s="306"/>
      <c r="N256" s="388"/>
      <c r="O256" s="281"/>
      <c r="P256" s="281"/>
      <c r="Q256" s="281"/>
      <c r="R256" s="281"/>
      <c r="S256" s="281"/>
      <c r="T256" s="281"/>
      <c r="U256" s="281"/>
      <c r="V256" s="281"/>
      <c r="W256" s="281"/>
      <c r="X256" s="281"/>
      <c r="Y256" s="281"/>
      <c r="Z256" s="281"/>
      <c r="AA256" s="281"/>
      <c r="AB256" s="281"/>
      <c r="AC256" s="281"/>
      <c r="AD256" s="281"/>
      <c r="AE256" s="281"/>
    </row>
    <row r="257" spans="2:31" ht="15">
      <c r="B257" s="386">
        <f t="shared" si="7"/>
        <v>212</v>
      </c>
      <c r="C257" s="394" t="str" cm="1">
        <f t="array" ref="C257">IF(B257&lt;=$C$9,GetGetCDSName(B257),"")</f>
        <v/>
      </c>
      <c r="D257" s="354"/>
      <c r="E257" s="387"/>
      <c r="F257" s="306"/>
      <c r="G257" s="306"/>
      <c r="H257" s="306"/>
      <c r="I257" s="306"/>
      <c r="J257" s="306"/>
      <c r="K257" s="306"/>
      <c r="L257" s="306"/>
      <c r="M257" s="306"/>
      <c r="N257" s="388"/>
      <c r="O257" s="281"/>
      <c r="P257" s="281"/>
      <c r="Q257" s="281"/>
      <c r="R257" s="281"/>
      <c r="S257" s="281"/>
      <c r="T257" s="281"/>
      <c r="U257" s="281"/>
      <c r="V257" s="281"/>
      <c r="W257" s="281"/>
      <c r="X257" s="281"/>
      <c r="Y257" s="281"/>
      <c r="Z257" s="281"/>
      <c r="AA257" s="281"/>
      <c r="AB257" s="281"/>
      <c r="AC257" s="281"/>
      <c r="AD257" s="281"/>
      <c r="AE257" s="281"/>
    </row>
    <row r="258" spans="2:31" ht="15">
      <c r="B258" s="386">
        <f t="shared" si="7"/>
        <v>213</v>
      </c>
      <c r="C258" s="394" t="str" cm="1">
        <f t="array" ref="C258">IF(B258&lt;=$C$9,GetGetCDSName(B258),"")</f>
        <v/>
      </c>
      <c r="D258" s="354"/>
      <c r="E258" s="387"/>
      <c r="F258" s="306"/>
      <c r="G258" s="306"/>
      <c r="H258" s="306"/>
      <c r="I258" s="306"/>
      <c r="J258" s="306"/>
      <c r="K258" s="306"/>
      <c r="L258" s="306"/>
      <c r="M258" s="306"/>
      <c r="N258" s="388"/>
      <c r="O258" s="281"/>
      <c r="P258" s="281"/>
      <c r="Q258" s="281"/>
      <c r="R258" s="281"/>
      <c r="S258" s="281"/>
      <c r="T258" s="281"/>
      <c r="U258" s="281"/>
      <c r="V258" s="281"/>
      <c r="W258" s="281"/>
      <c r="X258" s="281"/>
      <c r="Y258" s="281"/>
      <c r="Z258" s="281"/>
      <c r="AA258" s="281"/>
      <c r="AB258" s="281"/>
      <c r="AC258" s="281"/>
      <c r="AD258" s="281"/>
      <c r="AE258" s="281"/>
    </row>
    <row r="259" spans="2:31" ht="15">
      <c r="B259" s="386">
        <f t="shared" si="7"/>
        <v>214</v>
      </c>
      <c r="C259" s="394" t="str" cm="1">
        <f t="array" ref="C259">IF(B259&lt;=$C$9,GetGetCDSName(B259),"")</f>
        <v/>
      </c>
      <c r="D259" s="354"/>
      <c r="E259" s="387"/>
      <c r="F259" s="306"/>
      <c r="G259" s="306"/>
      <c r="H259" s="306"/>
      <c r="I259" s="306"/>
      <c r="J259" s="306"/>
      <c r="K259" s="306"/>
      <c r="L259" s="306"/>
      <c r="M259" s="306"/>
      <c r="N259" s="388"/>
      <c r="O259" s="281"/>
      <c r="P259" s="281"/>
      <c r="Q259" s="281"/>
      <c r="R259" s="281"/>
      <c r="S259" s="281"/>
      <c r="T259" s="281"/>
      <c r="U259" s="281"/>
      <c r="V259" s="281"/>
      <c r="W259" s="281"/>
      <c r="X259" s="281"/>
      <c r="Y259" s="281"/>
      <c r="Z259" s="281"/>
      <c r="AA259" s="281"/>
      <c r="AB259" s="281"/>
      <c r="AC259" s="281"/>
      <c r="AD259" s="281"/>
      <c r="AE259" s="281"/>
    </row>
    <row r="260" spans="2:31" ht="15">
      <c r="B260" s="386">
        <f t="shared" si="7"/>
        <v>215</v>
      </c>
      <c r="C260" s="394" t="str" cm="1">
        <f t="array" ref="C260">IF(B260&lt;=$C$9,GetGetCDSName(B260),"")</f>
        <v/>
      </c>
      <c r="D260" s="354"/>
      <c r="E260" s="387"/>
      <c r="F260" s="306"/>
      <c r="G260" s="306"/>
      <c r="H260" s="306"/>
      <c r="I260" s="306"/>
      <c r="J260" s="306"/>
      <c r="K260" s="306"/>
      <c r="L260" s="306"/>
      <c r="M260" s="306"/>
      <c r="N260" s="388"/>
      <c r="O260" s="281"/>
      <c r="P260" s="281"/>
      <c r="Q260" s="281"/>
      <c r="R260" s="281"/>
      <c r="S260" s="281"/>
      <c r="T260" s="281"/>
      <c r="U260" s="281"/>
      <c r="V260" s="281"/>
      <c r="W260" s="281"/>
      <c r="X260" s="281"/>
      <c r="Y260" s="281"/>
      <c r="Z260" s="281"/>
      <c r="AA260" s="281"/>
      <c r="AB260" s="281"/>
      <c r="AC260" s="281"/>
      <c r="AD260" s="281"/>
      <c r="AE260" s="281"/>
    </row>
    <row r="261" spans="2:31" ht="15">
      <c r="B261" s="386">
        <f t="shared" si="7"/>
        <v>216</v>
      </c>
      <c r="C261" s="394" t="str" cm="1">
        <f t="array" ref="C261">IF(B261&lt;=$C$9,GetGetCDSName(B261),"")</f>
        <v/>
      </c>
      <c r="D261" s="354"/>
      <c r="E261" s="387"/>
      <c r="F261" s="306"/>
      <c r="G261" s="306"/>
      <c r="H261" s="306"/>
      <c r="I261" s="306"/>
      <c r="J261" s="306"/>
      <c r="K261" s="306"/>
      <c r="L261" s="306"/>
      <c r="M261" s="306"/>
      <c r="N261" s="388"/>
      <c r="O261" s="281"/>
      <c r="P261" s="281"/>
      <c r="Q261" s="281"/>
      <c r="R261" s="281"/>
      <c r="S261" s="281"/>
      <c r="T261" s="281"/>
      <c r="U261" s="281"/>
      <c r="V261" s="281"/>
      <c r="W261" s="281"/>
      <c r="X261" s="281"/>
      <c r="Y261" s="281"/>
      <c r="Z261" s="281"/>
      <c r="AA261" s="281"/>
      <c r="AB261" s="281"/>
      <c r="AC261" s="281"/>
      <c r="AD261" s="281"/>
      <c r="AE261" s="281"/>
    </row>
    <row r="262" spans="2:31" ht="15">
      <c r="B262" s="386">
        <f t="shared" si="7"/>
        <v>217</v>
      </c>
      <c r="C262" s="394" t="str" cm="1">
        <f t="array" ref="C262">IF(B262&lt;=$C$9,GetGetCDSName(B262),"")</f>
        <v/>
      </c>
      <c r="D262" s="354"/>
      <c r="E262" s="387"/>
      <c r="F262" s="306"/>
      <c r="G262" s="306"/>
      <c r="H262" s="306"/>
      <c r="I262" s="306"/>
      <c r="J262" s="306"/>
      <c r="K262" s="306"/>
      <c r="L262" s="306"/>
      <c r="M262" s="306"/>
      <c r="N262" s="388"/>
      <c r="O262" s="281"/>
      <c r="P262" s="281"/>
      <c r="Q262" s="281"/>
      <c r="R262" s="281"/>
      <c r="S262" s="281"/>
      <c r="T262" s="281"/>
      <c r="U262" s="281"/>
      <c r="V262" s="281"/>
      <c r="W262" s="281"/>
      <c r="X262" s="281"/>
      <c r="Y262" s="281"/>
      <c r="Z262" s="281"/>
      <c r="AA262" s="281"/>
      <c r="AB262" s="281"/>
      <c r="AC262" s="281"/>
      <c r="AD262" s="281"/>
      <c r="AE262" s="281"/>
    </row>
    <row r="263" spans="2:31" ht="15">
      <c r="B263" s="386">
        <f t="shared" si="7"/>
        <v>218</v>
      </c>
      <c r="C263" s="394" t="str" cm="1">
        <f t="array" ref="C263">IF(B263&lt;=$C$9,GetGetCDSName(B263),"")</f>
        <v/>
      </c>
      <c r="D263" s="354"/>
      <c r="E263" s="387"/>
      <c r="F263" s="306"/>
      <c r="G263" s="306"/>
      <c r="H263" s="306"/>
      <c r="I263" s="306"/>
      <c r="J263" s="306"/>
      <c r="K263" s="306"/>
      <c r="L263" s="306"/>
      <c r="M263" s="306"/>
      <c r="N263" s="388"/>
      <c r="O263" s="281"/>
      <c r="P263" s="281"/>
      <c r="Q263" s="281"/>
      <c r="R263" s="281"/>
      <c r="S263" s="281"/>
      <c r="T263" s="281"/>
      <c r="U263" s="281"/>
      <c r="V263" s="281"/>
      <c r="W263" s="281"/>
      <c r="X263" s="281"/>
      <c r="Y263" s="281"/>
      <c r="Z263" s="281"/>
      <c r="AA263" s="281"/>
      <c r="AB263" s="281"/>
      <c r="AC263" s="281"/>
      <c r="AD263" s="281"/>
      <c r="AE263" s="281"/>
    </row>
    <row r="264" spans="2:31" ht="15">
      <c r="B264" s="386">
        <f t="shared" si="7"/>
        <v>219</v>
      </c>
      <c r="C264" s="394" t="str" cm="1">
        <f t="array" ref="C264">IF(B264&lt;=$C$9,GetGetCDSName(B264),"")</f>
        <v/>
      </c>
      <c r="D264" s="354"/>
      <c r="E264" s="387"/>
      <c r="F264" s="306"/>
      <c r="G264" s="306"/>
      <c r="H264" s="306"/>
      <c r="I264" s="306"/>
      <c r="J264" s="306"/>
      <c r="K264" s="306"/>
      <c r="L264" s="306"/>
      <c r="M264" s="306"/>
      <c r="N264" s="388"/>
      <c r="O264" s="281"/>
      <c r="P264" s="281"/>
      <c r="Q264" s="281"/>
      <c r="R264" s="281"/>
      <c r="S264" s="281"/>
      <c r="T264" s="281"/>
      <c r="U264" s="281"/>
      <c r="V264" s="281"/>
      <c r="W264" s="281"/>
      <c r="X264" s="281"/>
      <c r="Y264" s="281"/>
      <c r="Z264" s="281"/>
      <c r="AA264" s="281"/>
      <c r="AB264" s="281"/>
      <c r="AC264" s="281"/>
      <c r="AD264" s="281"/>
      <c r="AE264" s="281"/>
    </row>
    <row r="265" spans="2:31" ht="15">
      <c r="B265" s="386">
        <f t="shared" si="7"/>
        <v>220</v>
      </c>
      <c r="C265" s="394" t="str" cm="1">
        <f t="array" ref="C265">IF(B265&lt;=$C$9,GetGetCDSName(B265),"")</f>
        <v/>
      </c>
      <c r="D265" s="354"/>
      <c r="E265" s="387"/>
      <c r="F265" s="306"/>
      <c r="G265" s="306"/>
      <c r="H265" s="306"/>
      <c r="I265" s="306"/>
      <c r="J265" s="306"/>
      <c r="K265" s="306"/>
      <c r="L265" s="306"/>
      <c r="M265" s="306"/>
      <c r="N265" s="388"/>
      <c r="O265" s="281"/>
      <c r="P265" s="281"/>
      <c r="Q265" s="281"/>
      <c r="R265" s="281"/>
      <c r="S265" s="281"/>
      <c r="T265" s="281"/>
      <c r="U265" s="281"/>
      <c r="V265" s="281"/>
      <c r="W265" s="281"/>
      <c r="X265" s="281"/>
      <c r="Y265" s="281"/>
      <c r="Z265" s="281"/>
      <c r="AA265" s="281"/>
      <c r="AB265" s="281"/>
      <c r="AC265" s="281"/>
      <c r="AD265" s="281"/>
      <c r="AE265" s="281"/>
    </row>
    <row r="266" spans="2:31" ht="15">
      <c r="B266" s="386">
        <f t="shared" si="7"/>
        <v>221</v>
      </c>
      <c r="C266" s="394" t="str" cm="1">
        <f t="array" ref="C266">IF(B266&lt;=$C$9,GetGetCDSName(B266),"")</f>
        <v/>
      </c>
      <c r="D266" s="354"/>
      <c r="E266" s="387"/>
      <c r="F266" s="306"/>
      <c r="G266" s="306"/>
      <c r="H266" s="306"/>
      <c r="I266" s="306"/>
      <c r="J266" s="306"/>
      <c r="K266" s="306"/>
      <c r="L266" s="306"/>
      <c r="M266" s="306"/>
      <c r="N266" s="388"/>
      <c r="O266" s="281"/>
      <c r="P266" s="281"/>
      <c r="Q266" s="281"/>
      <c r="R266" s="281"/>
      <c r="S266" s="281"/>
      <c r="T266" s="281"/>
      <c r="U266" s="281"/>
      <c r="V266" s="281"/>
      <c r="W266" s="281"/>
      <c r="X266" s="281"/>
      <c r="Y266" s="281"/>
      <c r="Z266" s="281"/>
      <c r="AA266" s="281"/>
      <c r="AB266" s="281"/>
      <c r="AC266" s="281"/>
      <c r="AD266" s="281"/>
      <c r="AE266" s="281"/>
    </row>
    <row r="267" spans="2:31" ht="15">
      <c r="B267" s="386">
        <f t="shared" si="7"/>
        <v>222</v>
      </c>
      <c r="C267" s="394" t="str" cm="1">
        <f t="array" ref="C267">IF(B267&lt;=$C$9,GetGetCDSName(B267),"")</f>
        <v/>
      </c>
      <c r="D267" s="354"/>
      <c r="E267" s="387"/>
      <c r="F267" s="306"/>
      <c r="G267" s="306"/>
      <c r="H267" s="306"/>
      <c r="I267" s="306"/>
      <c r="J267" s="306"/>
      <c r="K267" s="306"/>
      <c r="L267" s="306"/>
      <c r="M267" s="306"/>
      <c r="N267" s="388"/>
      <c r="O267" s="281"/>
      <c r="P267" s="281"/>
      <c r="Q267" s="281"/>
      <c r="R267" s="281"/>
      <c r="S267" s="281"/>
      <c r="T267" s="281"/>
      <c r="U267" s="281"/>
      <c r="V267" s="281"/>
      <c r="W267" s="281"/>
      <c r="X267" s="281"/>
      <c r="Y267" s="281"/>
      <c r="Z267" s="281"/>
      <c r="AA267" s="281"/>
      <c r="AB267" s="281"/>
      <c r="AC267" s="281"/>
      <c r="AD267" s="281"/>
      <c r="AE267" s="281"/>
    </row>
    <row r="268" spans="2:31" ht="15">
      <c r="B268" s="386">
        <f t="shared" si="7"/>
        <v>223</v>
      </c>
      <c r="C268" s="394" t="str" cm="1">
        <f t="array" ref="C268">IF(B268&lt;=$C$9,GetGetCDSName(B268),"")</f>
        <v/>
      </c>
      <c r="D268" s="354"/>
      <c r="E268" s="387"/>
      <c r="F268" s="306"/>
      <c r="G268" s="306"/>
      <c r="H268" s="306"/>
      <c r="I268" s="306"/>
      <c r="J268" s="306"/>
      <c r="K268" s="306"/>
      <c r="L268" s="306"/>
      <c r="M268" s="306"/>
      <c r="N268" s="388"/>
      <c r="O268" s="281"/>
      <c r="P268" s="281"/>
      <c r="Q268" s="281"/>
      <c r="R268" s="281"/>
      <c r="S268" s="281"/>
      <c r="T268" s="281"/>
      <c r="U268" s="281"/>
      <c r="V268" s="281"/>
      <c r="W268" s="281"/>
      <c r="X268" s="281"/>
      <c r="Y268" s="281"/>
      <c r="Z268" s="281"/>
      <c r="AA268" s="281"/>
      <c r="AB268" s="281"/>
      <c r="AC268" s="281"/>
      <c r="AD268" s="281"/>
      <c r="AE268" s="281"/>
    </row>
    <row r="269" spans="2:31" ht="15">
      <c r="B269" s="386">
        <f t="shared" si="7"/>
        <v>224</v>
      </c>
      <c r="C269" s="394" t="str" cm="1">
        <f t="array" ref="C269">IF(B269&lt;=$C$9,GetGetCDSName(B269),"")</f>
        <v/>
      </c>
      <c r="D269" s="354"/>
      <c r="E269" s="387"/>
      <c r="F269" s="306"/>
      <c r="G269" s="306"/>
      <c r="H269" s="306"/>
      <c r="I269" s="306"/>
      <c r="J269" s="306"/>
      <c r="K269" s="306"/>
      <c r="L269" s="306"/>
      <c r="M269" s="306"/>
      <c r="N269" s="388"/>
      <c r="O269" s="281"/>
      <c r="P269" s="281"/>
      <c r="Q269" s="281"/>
      <c r="R269" s="281"/>
      <c r="S269" s="281"/>
      <c r="T269" s="281"/>
      <c r="U269" s="281"/>
      <c r="V269" s="281"/>
      <c r="W269" s="281"/>
      <c r="X269" s="281"/>
      <c r="Y269" s="281"/>
      <c r="Z269" s="281"/>
      <c r="AA269" s="281"/>
      <c r="AB269" s="281"/>
      <c r="AC269" s="281"/>
      <c r="AD269" s="281"/>
      <c r="AE269" s="281"/>
    </row>
    <row r="270" spans="2:31" ht="15">
      <c r="B270" s="386">
        <f t="shared" si="7"/>
        <v>225</v>
      </c>
      <c r="C270" s="394" t="str" cm="1">
        <f t="array" ref="C270">IF(B270&lt;=$C$9,GetGetCDSName(B270),"")</f>
        <v/>
      </c>
      <c r="D270" s="354"/>
      <c r="E270" s="387"/>
      <c r="F270" s="306"/>
      <c r="G270" s="306"/>
      <c r="H270" s="306"/>
      <c r="I270" s="306"/>
      <c r="J270" s="306"/>
      <c r="K270" s="306"/>
      <c r="L270" s="306"/>
      <c r="M270" s="306"/>
      <c r="N270" s="388"/>
      <c r="O270" s="281"/>
      <c r="P270" s="281"/>
      <c r="Q270" s="281"/>
      <c r="R270" s="281"/>
      <c r="S270" s="281"/>
      <c r="T270" s="281"/>
      <c r="U270" s="281"/>
      <c r="V270" s="281"/>
      <c r="W270" s="281"/>
      <c r="X270" s="281"/>
      <c r="Y270" s="281"/>
      <c r="Z270" s="281"/>
      <c r="AA270" s="281"/>
      <c r="AB270" s="281"/>
      <c r="AC270" s="281"/>
      <c r="AD270" s="281"/>
      <c r="AE270" s="281"/>
    </row>
    <row r="271" spans="2:31" ht="15">
      <c r="B271" s="386">
        <f t="shared" si="7"/>
        <v>226</v>
      </c>
      <c r="C271" s="394" t="str" cm="1">
        <f t="array" ref="C271">IF(B271&lt;=$C$9,GetGetCDSName(B271),"")</f>
        <v/>
      </c>
      <c r="D271" s="354"/>
      <c r="E271" s="387"/>
      <c r="F271" s="306"/>
      <c r="G271" s="306"/>
      <c r="H271" s="306"/>
      <c r="I271" s="306"/>
      <c r="J271" s="306"/>
      <c r="K271" s="306"/>
      <c r="L271" s="306"/>
      <c r="M271" s="306"/>
      <c r="N271" s="388"/>
      <c r="O271" s="281"/>
      <c r="P271" s="281"/>
      <c r="Q271" s="281"/>
      <c r="R271" s="281"/>
      <c r="S271" s="281"/>
      <c r="T271" s="281"/>
      <c r="U271" s="281"/>
      <c r="V271" s="281"/>
      <c r="W271" s="281"/>
      <c r="X271" s="281"/>
      <c r="Y271" s="281"/>
      <c r="Z271" s="281"/>
      <c r="AA271" s="281"/>
      <c r="AB271" s="281"/>
      <c r="AC271" s="281"/>
      <c r="AD271" s="281"/>
      <c r="AE271" s="281"/>
    </row>
    <row r="272" spans="2:31" ht="15">
      <c r="B272" s="386">
        <f t="shared" si="7"/>
        <v>227</v>
      </c>
      <c r="C272" s="394" t="str" cm="1">
        <f t="array" ref="C272">IF(B272&lt;=$C$9,GetGetCDSName(B272),"")</f>
        <v/>
      </c>
      <c r="D272" s="354"/>
      <c r="E272" s="387"/>
      <c r="F272" s="306"/>
      <c r="G272" s="306"/>
      <c r="H272" s="306"/>
      <c r="I272" s="306"/>
      <c r="J272" s="306"/>
      <c r="K272" s="306"/>
      <c r="L272" s="306"/>
      <c r="M272" s="306"/>
      <c r="N272" s="388"/>
      <c r="O272" s="281"/>
      <c r="P272" s="281"/>
      <c r="Q272" s="281"/>
      <c r="R272" s="281"/>
      <c r="S272" s="281"/>
      <c r="T272" s="281"/>
      <c r="U272" s="281"/>
      <c r="V272" s="281"/>
      <c r="W272" s="281"/>
      <c r="X272" s="281"/>
      <c r="Y272" s="281"/>
      <c r="Z272" s="281"/>
      <c r="AA272" s="281"/>
      <c r="AB272" s="281"/>
      <c r="AC272" s="281"/>
      <c r="AD272" s="281"/>
      <c r="AE272" s="281"/>
    </row>
    <row r="273" spans="2:31" ht="15">
      <c r="B273" s="386">
        <f t="shared" si="7"/>
        <v>228</v>
      </c>
      <c r="C273" s="394" t="str" cm="1">
        <f t="array" ref="C273">IF(B273&lt;=$C$9,GetGetCDSName(B273),"")</f>
        <v/>
      </c>
      <c r="D273" s="354"/>
      <c r="E273" s="387"/>
      <c r="F273" s="306"/>
      <c r="G273" s="306"/>
      <c r="H273" s="306"/>
      <c r="I273" s="306"/>
      <c r="J273" s="306"/>
      <c r="K273" s="306"/>
      <c r="L273" s="306"/>
      <c r="M273" s="306"/>
      <c r="N273" s="388"/>
      <c r="O273" s="281"/>
      <c r="P273" s="281"/>
      <c r="Q273" s="281"/>
      <c r="R273" s="281"/>
      <c r="S273" s="281"/>
      <c r="T273" s="281"/>
      <c r="U273" s="281"/>
      <c r="V273" s="281"/>
      <c r="W273" s="281"/>
      <c r="X273" s="281"/>
      <c r="Y273" s="281"/>
      <c r="Z273" s="281"/>
      <c r="AA273" s="281"/>
      <c r="AB273" s="281"/>
      <c r="AC273" s="281"/>
      <c r="AD273" s="281"/>
      <c r="AE273" s="281"/>
    </row>
    <row r="274" spans="2:31" ht="15">
      <c r="B274" s="386">
        <f t="shared" si="7"/>
        <v>229</v>
      </c>
      <c r="C274" s="394" t="str" cm="1">
        <f t="array" ref="C274">IF(B274&lt;=$C$9,GetGetCDSName(B274),"")</f>
        <v/>
      </c>
      <c r="D274" s="354"/>
      <c r="E274" s="387"/>
      <c r="F274" s="306"/>
      <c r="G274" s="306"/>
      <c r="H274" s="306"/>
      <c r="I274" s="306"/>
      <c r="J274" s="306"/>
      <c r="K274" s="306"/>
      <c r="L274" s="306"/>
      <c r="M274" s="306"/>
      <c r="N274" s="388"/>
      <c r="O274" s="281"/>
      <c r="P274" s="281"/>
      <c r="Q274" s="281"/>
      <c r="R274" s="281"/>
      <c r="S274" s="281"/>
      <c r="T274" s="281"/>
      <c r="U274" s="281"/>
      <c r="V274" s="281"/>
      <c r="W274" s="281"/>
      <c r="X274" s="281"/>
      <c r="Y274" s="281"/>
      <c r="Z274" s="281"/>
      <c r="AA274" s="281"/>
      <c r="AB274" s="281"/>
      <c r="AC274" s="281"/>
      <c r="AD274" s="281"/>
      <c r="AE274" s="281"/>
    </row>
    <row r="275" spans="2:31" ht="15">
      <c r="B275" s="386">
        <f t="shared" si="7"/>
        <v>230</v>
      </c>
      <c r="C275" s="394" t="str" cm="1">
        <f t="array" ref="C275">IF(B275&lt;=$C$9,GetGetCDSName(B275),"")</f>
        <v/>
      </c>
      <c r="D275" s="354"/>
      <c r="E275" s="387"/>
      <c r="F275" s="306"/>
      <c r="G275" s="306"/>
      <c r="H275" s="306"/>
      <c r="I275" s="306"/>
      <c r="J275" s="306"/>
      <c r="K275" s="306"/>
      <c r="L275" s="306"/>
      <c r="M275" s="306"/>
      <c r="N275" s="388"/>
      <c r="O275" s="281"/>
      <c r="P275" s="281"/>
      <c r="Q275" s="281"/>
      <c r="R275" s="281"/>
      <c r="S275" s="281"/>
      <c r="T275" s="281"/>
      <c r="U275" s="281"/>
      <c r="V275" s="281"/>
      <c r="W275" s="281"/>
      <c r="X275" s="281"/>
      <c r="Y275" s="281"/>
      <c r="Z275" s="281"/>
      <c r="AA275" s="281"/>
      <c r="AB275" s="281"/>
      <c r="AC275" s="281"/>
      <c r="AD275" s="281"/>
      <c r="AE275" s="281"/>
    </row>
    <row r="276" spans="2:31" ht="15">
      <c r="B276" s="386">
        <f t="shared" si="7"/>
        <v>231</v>
      </c>
      <c r="C276" s="394" t="str" cm="1">
        <f t="array" ref="C276">IF(B276&lt;=$C$9,GetGetCDSName(B276),"")</f>
        <v/>
      </c>
      <c r="D276" s="354"/>
      <c r="E276" s="387"/>
      <c r="F276" s="306"/>
      <c r="G276" s="306"/>
      <c r="H276" s="306"/>
      <c r="I276" s="306"/>
      <c r="J276" s="306"/>
      <c r="K276" s="306"/>
      <c r="L276" s="306"/>
      <c r="M276" s="306"/>
      <c r="N276" s="388"/>
      <c r="O276" s="281"/>
      <c r="P276" s="281"/>
      <c r="Q276" s="281"/>
      <c r="R276" s="281"/>
      <c r="S276" s="281"/>
      <c r="T276" s="281"/>
      <c r="U276" s="281"/>
      <c r="V276" s="281"/>
      <c r="W276" s="281"/>
      <c r="X276" s="281"/>
      <c r="Y276" s="281"/>
      <c r="Z276" s="281"/>
      <c r="AA276" s="281"/>
      <c r="AB276" s="281"/>
      <c r="AC276" s="281"/>
      <c r="AD276" s="281"/>
      <c r="AE276" s="281"/>
    </row>
    <row r="277" spans="2:31" ht="15">
      <c r="B277" s="386">
        <f t="shared" si="7"/>
        <v>232</v>
      </c>
      <c r="C277" s="394" t="str" cm="1">
        <f t="array" ref="C277">IF(B277&lt;=$C$9,GetGetCDSName(B277),"")</f>
        <v/>
      </c>
      <c r="D277" s="354"/>
      <c r="E277" s="387"/>
      <c r="F277" s="306"/>
      <c r="G277" s="306"/>
      <c r="H277" s="306"/>
      <c r="I277" s="306"/>
      <c r="J277" s="306"/>
      <c r="K277" s="306"/>
      <c r="L277" s="306"/>
      <c r="M277" s="306"/>
      <c r="N277" s="388"/>
      <c r="O277" s="281"/>
      <c r="P277" s="281"/>
      <c r="Q277" s="281"/>
      <c r="R277" s="281"/>
      <c r="S277" s="281"/>
      <c r="T277" s="281"/>
      <c r="U277" s="281"/>
      <c r="V277" s="281"/>
      <c r="W277" s="281"/>
      <c r="X277" s="281"/>
      <c r="Y277" s="281"/>
      <c r="Z277" s="281"/>
      <c r="AA277" s="281"/>
      <c r="AB277" s="281"/>
      <c r="AC277" s="281"/>
      <c r="AD277" s="281"/>
      <c r="AE277" s="281"/>
    </row>
    <row r="278" spans="2:31" ht="15">
      <c r="B278" s="386">
        <f t="shared" si="7"/>
        <v>233</v>
      </c>
      <c r="C278" s="394" t="str" cm="1">
        <f t="array" ref="C278">IF(B278&lt;=$C$9,GetGetCDSName(B278),"")</f>
        <v/>
      </c>
      <c r="D278" s="354"/>
      <c r="E278" s="387"/>
      <c r="F278" s="306"/>
      <c r="G278" s="306"/>
      <c r="H278" s="306"/>
      <c r="I278" s="306"/>
      <c r="J278" s="306"/>
      <c r="K278" s="306"/>
      <c r="L278" s="306"/>
      <c r="M278" s="306"/>
      <c r="N278" s="388"/>
      <c r="O278" s="281"/>
      <c r="P278" s="281"/>
      <c r="Q278" s="281"/>
      <c r="R278" s="281"/>
      <c r="S278" s="281"/>
      <c r="T278" s="281"/>
      <c r="U278" s="281"/>
      <c r="V278" s="281"/>
      <c r="W278" s="281"/>
      <c r="X278" s="281"/>
      <c r="Y278" s="281"/>
      <c r="Z278" s="281"/>
      <c r="AA278" s="281"/>
      <c r="AB278" s="281"/>
      <c r="AC278" s="281"/>
      <c r="AD278" s="281"/>
      <c r="AE278" s="281"/>
    </row>
    <row r="279" spans="2:31" ht="15">
      <c r="B279" s="386">
        <f t="shared" si="7"/>
        <v>234</v>
      </c>
      <c r="C279" s="394" t="str" cm="1">
        <f t="array" ref="C279">IF(B279&lt;=$C$9,GetGetCDSName(B279),"")</f>
        <v/>
      </c>
      <c r="D279" s="354"/>
      <c r="E279" s="387"/>
      <c r="F279" s="306"/>
      <c r="G279" s="306"/>
      <c r="H279" s="306"/>
      <c r="I279" s="306"/>
      <c r="J279" s="306"/>
      <c r="K279" s="306"/>
      <c r="L279" s="306"/>
      <c r="M279" s="306"/>
      <c r="N279" s="388"/>
      <c r="O279" s="281"/>
      <c r="P279" s="281"/>
      <c r="Q279" s="281"/>
      <c r="R279" s="281"/>
      <c r="S279" s="281"/>
      <c r="T279" s="281"/>
      <c r="U279" s="281"/>
      <c r="V279" s="281"/>
      <c r="W279" s="281"/>
      <c r="X279" s="281"/>
      <c r="Y279" s="281"/>
      <c r="Z279" s="281"/>
      <c r="AA279" s="281"/>
      <c r="AB279" s="281"/>
      <c r="AC279" s="281"/>
      <c r="AD279" s="281"/>
      <c r="AE279" s="281"/>
    </row>
    <row r="280" spans="2:31" ht="15">
      <c r="B280" s="386">
        <f t="shared" si="7"/>
        <v>235</v>
      </c>
      <c r="C280" s="394" t="str" cm="1">
        <f t="array" ref="C280">IF(B280&lt;=$C$9,GetGetCDSName(B280),"")</f>
        <v/>
      </c>
      <c r="D280" s="354"/>
      <c r="E280" s="387"/>
      <c r="F280" s="306"/>
      <c r="G280" s="306"/>
      <c r="H280" s="306"/>
      <c r="I280" s="306"/>
      <c r="J280" s="306"/>
      <c r="K280" s="306"/>
      <c r="L280" s="306"/>
      <c r="M280" s="306"/>
      <c r="N280" s="388"/>
      <c r="O280" s="281"/>
      <c r="P280" s="281"/>
      <c r="Q280" s="281"/>
      <c r="R280" s="281"/>
      <c r="S280" s="281"/>
      <c r="T280" s="281"/>
      <c r="U280" s="281"/>
      <c r="V280" s="281"/>
      <c r="W280" s="281"/>
      <c r="X280" s="281"/>
      <c r="Y280" s="281"/>
      <c r="Z280" s="281"/>
      <c r="AA280" s="281"/>
      <c r="AB280" s="281"/>
      <c r="AC280" s="281"/>
      <c r="AD280" s="281"/>
      <c r="AE280" s="281"/>
    </row>
    <row r="281" spans="2:31" ht="15">
      <c r="B281" s="386">
        <f t="shared" si="7"/>
        <v>236</v>
      </c>
      <c r="C281" s="394" t="str" cm="1">
        <f t="array" ref="C281">IF(B281&lt;=$C$9,GetGetCDSName(B281),"")</f>
        <v/>
      </c>
      <c r="D281" s="354"/>
      <c r="E281" s="387"/>
      <c r="F281" s="306"/>
      <c r="G281" s="306"/>
      <c r="H281" s="306"/>
      <c r="I281" s="306"/>
      <c r="J281" s="306"/>
      <c r="K281" s="306"/>
      <c r="L281" s="306"/>
      <c r="M281" s="306"/>
      <c r="N281" s="388"/>
      <c r="O281" s="281"/>
      <c r="P281" s="281"/>
      <c r="Q281" s="281"/>
      <c r="R281" s="281"/>
      <c r="S281" s="281"/>
      <c r="T281" s="281"/>
      <c r="U281" s="281"/>
      <c r="V281" s="281"/>
      <c r="W281" s="281"/>
      <c r="X281" s="281"/>
      <c r="Y281" s="281"/>
      <c r="Z281" s="281"/>
      <c r="AA281" s="281"/>
      <c r="AB281" s="281"/>
      <c r="AC281" s="281"/>
      <c r="AD281" s="281"/>
      <c r="AE281" s="281"/>
    </row>
    <row r="282" spans="2:31" ht="15">
      <c r="B282" s="386">
        <f t="shared" si="7"/>
        <v>237</v>
      </c>
      <c r="C282" s="394" t="str" cm="1">
        <f t="array" ref="C282">IF(B282&lt;=$C$9,GetGetCDSName(B282),"")</f>
        <v/>
      </c>
      <c r="D282" s="354"/>
      <c r="E282" s="387"/>
      <c r="F282" s="306"/>
      <c r="G282" s="306"/>
      <c r="H282" s="306"/>
      <c r="I282" s="306"/>
      <c r="J282" s="306"/>
      <c r="K282" s="306"/>
      <c r="L282" s="306"/>
      <c r="M282" s="306"/>
      <c r="N282" s="388"/>
      <c r="O282" s="281"/>
      <c r="P282" s="281"/>
      <c r="Q282" s="281"/>
      <c r="R282" s="281"/>
      <c r="S282" s="281"/>
      <c r="T282" s="281"/>
      <c r="U282" s="281"/>
      <c r="V282" s="281"/>
      <c r="W282" s="281"/>
      <c r="X282" s="281"/>
      <c r="Y282" s="281"/>
      <c r="Z282" s="281"/>
      <c r="AA282" s="281"/>
      <c r="AB282" s="281"/>
      <c r="AC282" s="281"/>
      <c r="AD282" s="281"/>
      <c r="AE282" s="281"/>
    </row>
    <row r="283" spans="2:31" ht="15">
      <c r="B283" s="386">
        <f t="shared" si="7"/>
        <v>238</v>
      </c>
      <c r="C283" s="394" t="str" cm="1">
        <f t="array" ref="C283">IF(B283&lt;=$C$9,GetGetCDSName(B283),"")</f>
        <v/>
      </c>
      <c r="D283" s="354"/>
      <c r="E283" s="387"/>
      <c r="F283" s="306"/>
      <c r="G283" s="306"/>
      <c r="H283" s="306"/>
      <c r="I283" s="306"/>
      <c r="J283" s="306"/>
      <c r="K283" s="306"/>
      <c r="L283" s="306"/>
      <c r="M283" s="306"/>
      <c r="N283" s="388"/>
      <c r="O283" s="281"/>
      <c r="P283" s="281"/>
      <c r="Q283" s="281"/>
      <c r="R283" s="281"/>
      <c r="S283" s="281"/>
      <c r="T283" s="281"/>
      <c r="U283" s="281"/>
      <c r="V283" s="281"/>
      <c r="W283" s="281"/>
      <c r="X283" s="281"/>
      <c r="Y283" s="281"/>
      <c r="Z283" s="281"/>
      <c r="AA283" s="281"/>
      <c r="AB283" s="281"/>
      <c r="AC283" s="281"/>
      <c r="AD283" s="281"/>
      <c r="AE283" s="281"/>
    </row>
    <row r="284" spans="2:31" ht="15">
      <c r="B284" s="386">
        <f t="shared" si="7"/>
        <v>239</v>
      </c>
      <c r="C284" s="394" t="str" cm="1">
        <f t="array" ref="C284">IF(B284&lt;=$C$9,GetGetCDSName(B284),"")</f>
        <v/>
      </c>
      <c r="D284" s="354"/>
      <c r="E284" s="387"/>
      <c r="F284" s="306"/>
      <c r="G284" s="306"/>
      <c r="H284" s="306"/>
      <c r="I284" s="306"/>
      <c r="J284" s="306"/>
      <c r="K284" s="306"/>
      <c r="L284" s="306"/>
      <c r="M284" s="306"/>
      <c r="N284" s="388"/>
      <c r="O284" s="281"/>
      <c r="P284" s="281"/>
      <c r="Q284" s="281"/>
      <c r="R284" s="281"/>
      <c r="S284" s="281"/>
      <c r="T284" s="281"/>
      <c r="U284" s="281"/>
      <c r="V284" s="281"/>
      <c r="W284" s="281"/>
      <c r="X284" s="281"/>
      <c r="Y284" s="281"/>
      <c r="Z284" s="281"/>
      <c r="AA284" s="281"/>
      <c r="AB284" s="281"/>
      <c r="AC284" s="281"/>
      <c r="AD284" s="281"/>
      <c r="AE284" s="281"/>
    </row>
    <row r="285" spans="2:31" ht="15">
      <c r="B285" s="386">
        <f t="shared" si="7"/>
        <v>240</v>
      </c>
      <c r="C285" s="394" t="str" cm="1">
        <f t="array" ref="C285">IF(B285&lt;=$C$9,GetGetCDSName(B285),"")</f>
        <v/>
      </c>
      <c r="D285" s="354"/>
      <c r="E285" s="387"/>
      <c r="F285" s="306"/>
      <c r="G285" s="306"/>
      <c r="H285" s="306"/>
      <c r="I285" s="306"/>
      <c r="J285" s="306"/>
      <c r="K285" s="306"/>
      <c r="L285" s="306"/>
      <c r="M285" s="306"/>
      <c r="N285" s="388"/>
      <c r="O285" s="281"/>
      <c r="P285" s="281"/>
      <c r="Q285" s="281"/>
      <c r="R285" s="281"/>
      <c r="S285" s="281"/>
      <c r="T285" s="281"/>
      <c r="U285" s="281"/>
      <c r="V285" s="281"/>
      <c r="W285" s="281"/>
      <c r="X285" s="281"/>
      <c r="Y285" s="281"/>
      <c r="Z285" s="281"/>
      <c r="AA285" s="281"/>
      <c r="AB285" s="281"/>
      <c r="AC285" s="281"/>
      <c r="AD285" s="281"/>
      <c r="AE285" s="281"/>
    </row>
    <row r="286" spans="2:31" ht="15">
      <c r="B286" s="386">
        <f t="shared" si="7"/>
        <v>241</v>
      </c>
      <c r="C286" s="394" t="str" cm="1">
        <f t="array" ref="C286">IF(B286&lt;=$C$9,GetGetCDSName(B286),"")</f>
        <v/>
      </c>
      <c r="D286" s="354"/>
      <c r="E286" s="387"/>
      <c r="F286" s="306"/>
      <c r="G286" s="306"/>
      <c r="H286" s="306"/>
      <c r="I286" s="306"/>
      <c r="J286" s="306"/>
      <c r="K286" s="306"/>
      <c r="L286" s="306"/>
      <c r="M286" s="306"/>
      <c r="N286" s="388"/>
      <c r="O286" s="281"/>
      <c r="P286" s="281"/>
      <c r="Q286" s="281"/>
      <c r="R286" s="281"/>
      <c r="S286" s="281"/>
      <c r="T286" s="281"/>
      <c r="U286" s="281"/>
      <c r="V286" s="281"/>
      <c r="W286" s="281"/>
      <c r="X286" s="281"/>
      <c r="Y286" s="281"/>
      <c r="Z286" s="281"/>
      <c r="AA286" s="281"/>
      <c r="AB286" s="281"/>
      <c r="AC286" s="281"/>
      <c r="AD286" s="281"/>
      <c r="AE286" s="281"/>
    </row>
    <row r="287" spans="2:31" ht="15">
      <c r="B287" s="386">
        <f t="shared" si="7"/>
        <v>242</v>
      </c>
      <c r="C287" s="394" t="str" cm="1">
        <f t="array" ref="C287">IF(B287&lt;=$C$9,GetGetCDSName(B287),"")</f>
        <v/>
      </c>
      <c r="D287" s="354"/>
      <c r="E287" s="387"/>
      <c r="F287" s="306"/>
      <c r="G287" s="306"/>
      <c r="H287" s="306"/>
      <c r="I287" s="306"/>
      <c r="J287" s="306"/>
      <c r="K287" s="306"/>
      <c r="L287" s="306"/>
      <c r="M287" s="306"/>
      <c r="N287" s="388"/>
      <c r="O287" s="281"/>
      <c r="P287" s="281"/>
      <c r="Q287" s="281"/>
      <c r="R287" s="281"/>
      <c r="S287" s="281"/>
      <c r="T287" s="281"/>
      <c r="U287" s="281"/>
      <c r="V287" s="281"/>
      <c r="W287" s="281"/>
      <c r="X287" s="281"/>
      <c r="Y287" s="281"/>
      <c r="Z287" s="281"/>
      <c r="AA287" s="281"/>
      <c r="AB287" s="281"/>
      <c r="AC287" s="281"/>
      <c r="AD287" s="281"/>
      <c r="AE287" s="281"/>
    </row>
    <row r="288" spans="2:31" ht="15">
      <c r="B288" s="386">
        <f t="shared" si="7"/>
        <v>243</v>
      </c>
      <c r="C288" s="394" t="str" cm="1">
        <f t="array" ref="C288">IF(B288&lt;=$C$9,GetGetCDSName(B288),"")</f>
        <v/>
      </c>
      <c r="D288" s="354"/>
      <c r="E288" s="387"/>
      <c r="F288" s="306"/>
      <c r="G288" s="306"/>
      <c r="H288" s="306"/>
      <c r="I288" s="306"/>
      <c r="J288" s="306"/>
      <c r="K288" s="306"/>
      <c r="L288" s="306"/>
      <c r="M288" s="306"/>
      <c r="N288" s="388"/>
      <c r="O288" s="281"/>
      <c r="P288" s="281"/>
      <c r="Q288" s="281"/>
      <c r="R288" s="281"/>
      <c r="S288" s="281"/>
      <c r="T288" s="281"/>
      <c r="U288" s="281"/>
      <c r="V288" s="281"/>
      <c r="W288" s="281"/>
      <c r="X288" s="281"/>
      <c r="Y288" s="281"/>
      <c r="Z288" s="281"/>
      <c r="AA288" s="281"/>
      <c r="AB288" s="281"/>
      <c r="AC288" s="281"/>
      <c r="AD288" s="281"/>
      <c r="AE288" s="281"/>
    </row>
    <row r="289" spans="2:31" ht="15">
      <c r="B289" s="386">
        <f t="shared" si="7"/>
        <v>244</v>
      </c>
      <c r="C289" s="394" t="str" cm="1">
        <f t="array" ref="C289">IF(B289&lt;=$C$9,GetGetCDSName(B289),"")</f>
        <v/>
      </c>
      <c r="D289" s="354"/>
      <c r="E289" s="387"/>
      <c r="F289" s="306"/>
      <c r="G289" s="306"/>
      <c r="H289" s="306"/>
      <c r="I289" s="306"/>
      <c r="J289" s="306"/>
      <c r="K289" s="306"/>
      <c r="L289" s="306"/>
      <c r="M289" s="306"/>
      <c r="N289" s="388"/>
      <c r="O289" s="281"/>
      <c r="P289" s="281"/>
      <c r="Q289" s="281"/>
      <c r="R289" s="281"/>
      <c r="S289" s="281"/>
      <c r="T289" s="281"/>
      <c r="U289" s="281"/>
      <c r="V289" s="281"/>
      <c r="W289" s="281"/>
      <c r="X289" s="281"/>
      <c r="Y289" s="281"/>
      <c r="Z289" s="281"/>
      <c r="AA289" s="281"/>
      <c r="AB289" s="281"/>
      <c r="AC289" s="281"/>
      <c r="AD289" s="281"/>
      <c r="AE289" s="281"/>
    </row>
    <row r="290" spans="2:31" ht="15">
      <c r="B290" s="386">
        <f t="shared" si="7"/>
        <v>245</v>
      </c>
      <c r="C290" s="394" t="str" cm="1">
        <f t="array" ref="C290">IF(B290&lt;=$C$9,GetGetCDSName(B290),"")</f>
        <v/>
      </c>
      <c r="D290" s="354"/>
      <c r="E290" s="387"/>
      <c r="F290" s="306"/>
      <c r="G290" s="306"/>
      <c r="H290" s="306"/>
      <c r="I290" s="306"/>
      <c r="J290" s="306"/>
      <c r="K290" s="306"/>
      <c r="L290" s="306"/>
      <c r="M290" s="306"/>
      <c r="N290" s="388"/>
      <c r="O290" s="281"/>
      <c r="P290" s="281"/>
      <c r="Q290" s="281"/>
      <c r="R290" s="281"/>
      <c r="S290" s="281"/>
      <c r="T290" s="281"/>
      <c r="U290" s="281"/>
      <c r="V290" s="281"/>
      <c r="W290" s="281"/>
      <c r="X290" s="281"/>
      <c r="Y290" s="281"/>
      <c r="Z290" s="281"/>
      <c r="AA290" s="281"/>
      <c r="AB290" s="281"/>
      <c r="AC290" s="281"/>
      <c r="AD290" s="281"/>
      <c r="AE290" s="281"/>
    </row>
    <row r="291" spans="2:31" ht="15">
      <c r="B291" s="386">
        <f t="shared" si="7"/>
        <v>246</v>
      </c>
      <c r="C291" s="394" t="str" cm="1">
        <f t="array" ref="C291">IF(B291&lt;=$C$9,GetGetCDSName(B291),"")</f>
        <v/>
      </c>
      <c r="D291" s="354"/>
      <c r="E291" s="387"/>
      <c r="F291" s="306"/>
      <c r="G291" s="306"/>
      <c r="H291" s="306"/>
      <c r="I291" s="306"/>
      <c r="J291" s="306"/>
      <c r="K291" s="306"/>
      <c r="L291" s="306"/>
      <c r="M291" s="306"/>
      <c r="N291" s="388"/>
      <c r="O291" s="281"/>
      <c r="P291" s="281"/>
      <c r="Q291" s="281"/>
      <c r="R291" s="281"/>
      <c r="S291" s="281"/>
      <c r="T291" s="281"/>
      <c r="U291" s="281"/>
      <c r="V291" s="281"/>
      <c r="W291" s="281"/>
      <c r="X291" s="281"/>
      <c r="Y291" s="281"/>
      <c r="Z291" s="281"/>
      <c r="AA291" s="281"/>
      <c r="AB291" s="281"/>
      <c r="AC291" s="281"/>
      <c r="AD291" s="281"/>
      <c r="AE291" s="281"/>
    </row>
    <row r="292" spans="2:31" ht="15">
      <c r="B292" s="386">
        <f t="shared" si="7"/>
        <v>247</v>
      </c>
      <c r="C292" s="394" t="str" cm="1">
        <f t="array" ref="C292">IF(B292&lt;=$C$9,GetGetCDSName(B292),"")</f>
        <v/>
      </c>
      <c r="D292" s="354"/>
      <c r="E292" s="387"/>
      <c r="F292" s="306"/>
      <c r="G292" s="306"/>
      <c r="H292" s="306"/>
      <c r="I292" s="306"/>
      <c r="J292" s="306"/>
      <c r="K292" s="306"/>
      <c r="L292" s="306"/>
      <c r="M292" s="306"/>
      <c r="N292" s="388"/>
      <c r="O292" s="281"/>
      <c r="P292" s="281"/>
      <c r="Q292" s="281"/>
      <c r="R292" s="281"/>
      <c r="S292" s="281"/>
      <c r="T292" s="281"/>
      <c r="U292" s="281"/>
      <c r="V292" s="281"/>
      <c r="W292" s="281"/>
      <c r="X292" s="281"/>
      <c r="Y292" s="281"/>
      <c r="Z292" s="281"/>
      <c r="AA292" s="281"/>
      <c r="AB292" s="281"/>
      <c r="AC292" s="281"/>
      <c r="AD292" s="281"/>
      <c r="AE292" s="281"/>
    </row>
    <row r="293" spans="2:31" ht="15">
      <c r="B293" s="386">
        <f t="shared" si="7"/>
        <v>248</v>
      </c>
      <c r="C293" s="394" t="str" cm="1">
        <f t="array" ref="C293">IF(B293&lt;=$C$9,GetGetCDSName(B293),"")</f>
        <v/>
      </c>
      <c r="D293" s="354"/>
      <c r="E293" s="387"/>
      <c r="F293" s="306"/>
      <c r="G293" s="306"/>
      <c r="H293" s="306"/>
      <c r="I293" s="306"/>
      <c r="J293" s="306"/>
      <c r="K293" s="306"/>
      <c r="L293" s="306"/>
      <c r="M293" s="306"/>
      <c r="N293" s="388"/>
      <c r="O293" s="281"/>
      <c r="P293" s="281"/>
      <c r="Q293" s="281"/>
      <c r="R293" s="281"/>
      <c r="S293" s="281"/>
      <c r="T293" s="281"/>
      <c r="U293" s="281"/>
      <c r="V293" s="281"/>
      <c r="W293" s="281"/>
      <c r="X293" s="281"/>
      <c r="Y293" s="281"/>
      <c r="Z293" s="281"/>
      <c r="AA293" s="281"/>
      <c r="AB293" s="281"/>
      <c r="AC293" s="281"/>
      <c r="AD293" s="281"/>
      <c r="AE293" s="281"/>
    </row>
    <row r="294" spans="2:31" ht="15">
      <c r="B294" s="386">
        <f t="shared" si="7"/>
        <v>249</v>
      </c>
      <c r="C294" s="394" t="str" cm="1">
        <f t="array" ref="C294">IF(B294&lt;=$C$9,GetGetCDSName(B294),"")</f>
        <v/>
      </c>
      <c r="D294" s="354"/>
      <c r="E294" s="387"/>
      <c r="F294" s="306"/>
      <c r="G294" s="306"/>
      <c r="H294" s="306"/>
      <c r="I294" s="306"/>
      <c r="J294" s="306"/>
      <c r="K294" s="306"/>
      <c r="L294" s="306"/>
      <c r="M294" s="306"/>
      <c r="N294" s="388"/>
      <c r="O294" s="281"/>
      <c r="P294" s="281"/>
      <c r="Q294" s="281"/>
      <c r="R294" s="281"/>
      <c r="S294" s="281"/>
      <c r="T294" s="281"/>
      <c r="U294" s="281"/>
      <c r="V294" s="281"/>
      <c r="W294" s="281"/>
      <c r="X294" s="281"/>
      <c r="Y294" s="281"/>
      <c r="Z294" s="281"/>
      <c r="AA294" s="281"/>
      <c r="AB294" s="281"/>
      <c r="AC294" s="281"/>
      <c r="AD294" s="281"/>
      <c r="AE294" s="281"/>
    </row>
    <row r="295" spans="2:31" ht="15">
      <c r="B295" s="386">
        <f t="shared" si="7"/>
        <v>250</v>
      </c>
      <c r="C295" s="394" t="str" cm="1">
        <f t="array" ref="C295">IF(B295&lt;=$C$9,GetGetCDSName(B295),"")</f>
        <v/>
      </c>
      <c r="D295" s="354"/>
      <c r="E295" s="387"/>
      <c r="F295" s="306"/>
      <c r="G295" s="306"/>
      <c r="H295" s="306"/>
      <c r="I295" s="306"/>
      <c r="J295" s="306"/>
      <c r="K295" s="306"/>
      <c r="L295" s="306"/>
      <c r="M295" s="306"/>
      <c r="N295" s="388"/>
      <c r="O295" s="281"/>
      <c r="P295" s="281"/>
      <c r="Q295" s="281"/>
      <c r="R295" s="281"/>
      <c r="S295" s="281"/>
      <c r="T295" s="281"/>
      <c r="U295" s="281"/>
      <c r="V295" s="281"/>
      <c r="W295" s="281"/>
      <c r="X295" s="281"/>
      <c r="Y295" s="281"/>
      <c r="Z295" s="281"/>
      <c r="AA295" s="281"/>
      <c r="AB295" s="281"/>
      <c r="AC295" s="281"/>
      <c r="AD295" s="281"/>
      <c r="AE295" s="281"/>
    </row>
    <row r="296" spans="2:31" ht="15">
      <c r="B296" s="386">
        <f t="shared" si="7"/>
        <v>251</v>
      </c>
      <c r="C296" s="394" t="str" cm="1">
        <f t="array" ref="C296">IF(B296&lt;=$C$9,GetGetCDSName(B296),"")</f>
        <v/>
      </c>
      <c r="D296" s="354"/>
      <c r="E296" s="387"/>
      <c r="F296" s="306"/>
      <c r="G296" s="306"/>
      <c r="H296" s="306"/>
      <c r="I296" s="306"/>
      <c r="J296" s="306"/>
      <c r="K296" s="306"/>
      <c r="L296" s="306"/>
      <c r="M296" s="306"/>
      <c r="N296" s="388"/>
      <c r="O296" s="281"/>
      <c r="P296" s="281"/>
      <c r="Q296" s="281"/>
      <c r="R296" s="281"/>
      <c r="S296" s="281"/>
      <c r="T296" s="281"/>
      <c r="U296" s="281"/>
      <c r="V296" s="281"/>
      <c r="W296" s="281"/>
      <c r="X296" s="281"/>
      <c r="Y296" s="281"/>
      <c r="Z296" s="281"/>
      <c r="AA296" s="281"/>
      <c r="AB296" s="281"/>
      <c r="AC296" s="281"/>
      <c r="AD296" s="281"/>
      <c r="AE296" s="281"/>
    </row>
    <row r="297" spans="2:31" ht="15">
      <c r="B297" s="386">
        <f t="shared" si="7"/>
        <v>252</v>
      </c>
      <c r="C297" s="394" t="str" cm="1">
        <f t="array" ref="C297">IF(B297&lt;=$C$9,GetGetCDSName(B297),"")</f>
        <v/>
      </c>
      <c r="D297" s="354"/>
      <c r="E297" s="387"/>
      <c r="F297" s="306"/>
      <c r="G297" s="306"/>
      <c r="H297" s="306"/>
      <c r="I297" s="306"/>
      <c r="J297" s="306"/>
      <c r="K297" s="306"/>
      <c r="L297" s="306"/>
      <c r="M297" s="306"/>
      <c r="N297" s="388"/>
      <c r="O297" s="281"/>
      <c r="P297" s="281"/>
      <c r="Q297" s="281"/>
      <c r="R297" s="281"/>
      <c r="S297" s="281"/>
      <c r="T297" s="281"/>
      <c r="U297" s="281"/>
      <c r="V297" s="281"/>
      <c r="W297" s="281"/>
      <c r="X297" s="281"/>
      <c r="Y297" s="281"/>
      <c r="Z297" s="281"/>
      <c r="AA297" s="281"/>
      <c r="AB297" s="281"/>
      <c r="AC297" s="281"/>
      <c r="AD297" s="281"/>
      <c r="AE297" s="281"/>
    </row>
    <row r="298" spans="2:31" ht="15">
      <c r="B298" s="386">
        <f t="shared" si="7"/>
        <v>253</v>
      </c>
      <c r="C298" s="394" t="str" cm="1">
        <f t="array" ref="C298">IF(B298&lt;=$C$9,GetGetCDSName(B298),"")</f>
        <v/>
      </c>
      <c r="D298" s="354"/>
      <c r="E298" s="387"/>
      <c r="F298" s="306"/>
      <c r="G298" s="306"/>
      <c r="H298" s="306"/>
      <c r="I298" s="306"/>
      <c r="J298" s="306"/>
      <c r="K298" s="306"/>
      <c r="L298" s="306"/>
      <c r="M298" s="306"/>
      <c r="N298" s="388"/>
      <c r="O298" s="281"/>
      <c r="P298" s="281"/>
      <c r="Q298" s="281"/>
      <c r="R298" s="281"/>
      <c r="S298" s="281"/>
      <c r="T298" s="281"/>
      <c r="U298" s="281"/>
      <c r="V298" s="281"/>
      <c r="W298" s="281"/>
      <c r="X298" s="281"/>
      <c r="Y298" s="281"/>
      <c r="Z298" s="281"/>
      <c r="AA298" s="281"/>
      <c r="AB298" s="281"/>
      <c r="AC298" s="281"/>
      <c r="AD298" s="281"/>
      <c r="AE298" s="281"/>
    </row>
    <row r="299" spans="2:31" ht="15">
      <c r="B299" s="386">
        <f t="shared" si="7"/>
        <v>254</v>
      </c>
      <c r="C299" s="394" t="str" cm="1">
        <f t="array" ref="C299">IF(B299&lt;=$C$9,GetGetCDSName(B299),"")</f>
        <v/>
      </c>
      <c r="D299" s="354"/>
      <c r="E299" s="387"/>
      <c r="F299" s="306"/>
      <c r="G299" s="306"/>
      <c r="H299" s="306"/>
      <c r="I299" s="306"/>
      <c r="J299" s="306"/>
      <c r="K299" s="306"/>
      <c r="L299" s="306"/>
      <c r="M299" s="306"/>
      <c r="N299" s="388"/>
      <c r="O299" s="281"/>
      <c r="P299" s="281"/>
      <c r="Q299" s="281"/>
      <c r="R299" s="281"/>
      <c r="S299" s="281"/>
      <c r="T299" s="281"/>
      <c r="U299" s="281"/>
      <c r="V299" s="281"/>
      <c r="W299" s="281"/>
      <c r="X299" s="281"/>
      <c r="Y299" s="281"/>
      <c r="Z299" s="281"/>
      <c r="AA299" s="281"/>
      <c r="AB299" s="281"/>
      <c r="AC299" s="281"/>
      <c r="AD299" s="281"/>
      <c r="AE299" s="281"/>
    </row>
    <row r="300" spans="2:31" ht="15">
      <c r="B300" s="386">
        <f t="shared" si="7"/>
        <v>255</v>
      </c>
      <c r="C300" s="394" t="str" cm="1">
        <f t="array" ref="C300">IF(B300&lt;=$C$9,GetGetCDSName(B300),"")</f>
        <v/>
      </c>
      <c r="D300" s="354"/>
      <c r="E300" s="387"/>
      <c r="F300" s="306"/>
      <c r="G300" s="306"/>
      <c r="H300" s="306"/>
      <c r="I300" s="306"/>
      <c r="J300" s="306"/>
      <c r="K300" s="306"/>
      <c r="L300" s="306"/>
      <c r="M300" s="306"/>
      <c r="N300" s="388"/>
      <c r="O300" s="281"/>
      <c r="P300" s="281"/>
      <c r="Q300" s="281"/>
      <c r="R300" s="281"/>
      <c r="S300" s="281"/>
      <c r="T300" s="281"/>
      <c r="U300" s="281"/>
      <c r="V300" s="281"/>
      <c r="W300" s="281"/>
      <c r="X300" s="281"/>
      <c r="Y300" s="281"/>
      <c r="Z300" s="281"/>
      <c r="AA300" s="281"/>
      <c r="AB300" s="281"/>
      <c r="AC300" s="281"/>
      <c r="AD300" s="281"/>
      <c r="AE300" s="281"/>
    </row>
    <row r="301" spans="2:31" ht="15">
      <c r="B301" s="386">
        <f t="shared" si="7"/>
        <v>256</v>
      </c>
      <c r="C301" s="394" t="str" cm="1">
        <f t="array" ref="C301">IF(B301&lt;=$C$9,GetGetCDSName(B301),"")</f>
        <v/>
      </c>
      <c r="D301" s="354"/>
      <c r="E301" s="387"/>
      <c r="F301" s="306"/>
      <c r="G301" s="306"/>
      <c r="H301" s="306"/>
      <c r="I301" s="306"/>
      <c r="J301" s="306"/>
      <c r="K301" s="306"/>
      <c r="L301" s="306"/>
      <c r="M301" s="306"/>
      <c r="N301" s="388"/>
      <c r="O301" s="281"/>
      <c r="P301" s="281"/>
      <c r="Q301" s="281"/>
      <c r="R301" s="281"/>
      <c r="S301" s="281"/>
      <c r="T301" s="281"/>
      <c r="U301" s="281"/>
      <c r="V301" s="281"/>
      <c r="W301" s="281"/>
      <c r="X301" s="281"/>
      <c r="Y301" s="281"/>
      <c r="Z301" s="281"/>
      <c r="AA301" s="281"/>
      <c r="AB301" s="281"/>
      <c r="AC301" s="281"/>
      <c r="AD301" s="281"/>
      <c r="AE301" s="281"/>
    </row>
    <row r="302" spans="2:31" ht="15">
      <c r="B302" s="386">
        <f t="shared" si="7"/>
        <v>257</v>
      </c>
      <c r="C302" s="394" t="str" cm="1">
        <f t="array" ref="C302">IF(B302&lt;=$C$9,GetGetCDSName(B302),"")</f>
        <v/>
      </c>
      <c r="D302" s="354"/>
      <c r="E302" s="387"/>
      <c r="F302" s="306"/>
      <c r="G302" s="306"/>
      <c r="H302" s="306"/>
      <c r="I302" s="306"/>
      <c r="J302" s="306"/>
      <c r="K302" s="306"/>
      <c r="L302" s="306"/>
      <c r="M302" s="306"/>
      <c r="N302" s="388"/>
      <c r="O302" s="281"/>
      <c r="P302" s="281"/>
      <c r="Q302" s="281"/>
      <c r="R302" s="281"/>
      <c r="S302" s="281"/>
      <c r="T302" s="281"/>
      <c r="U302" s="281"/>
      <c r="V302" s="281"/>
      <c r="W302" s="281"/>
      <c r="X302" s="281"/>
      <c r="Y302" s="281"/>
      <c r="Z302" s="281"/>
      <c r="AA302" s="281"/>
      <c r="AB302" s="281"/>
      <c r="AC302" s="281"/>
      <c r="AD302" s="281"/>
      <c r="AE302" s="281"/>
    </row>
    <row r="303" spans="2:31" ht="15">
      <c r="B303" s="386">
        <f t="shared" ref="B303:B345" si="8">B302+1</f>
        <v>258</v>
      </c>
      <c r="C303" s="394" t="str" cm="1">
        <f t="array" ref="C303">IF(B303&lt;=$C$9,GetGetCDSName(B303),"")</f>
        <v/>
      </c>
      <c r="D303" s="354"/>
      <c r="E303" s="387"/>
      <c r="F303" s="306"/>
      <c r="G303" s="306"/>
      <c r="H303" s="306"/>
      <c r="I303" s="306"/>
      <c r="J303" s="306"/>
      <c r="K303" s="306"/>
      <c r="L303" s="306"/>
      <c r="M303" s="306"/>
      <c r="N303" s="388"/>
      <c r="O303" s="281"/>
      <c r="P303" s="281"/>
      <c r="Q303" s="281"/>
      <c r="R303" s="281"/>
      <c r="S303" s="281"/>
      <c r="T303" s="281"/>
      <c r="U303" s="281"/>
      <c r="V303" s="281"/>
      <c r="W303" s="281"/>
      <c r="X303" s="281"/>
      <c r="Y303" s="281"/>
      <c r="Z303" s="281"/>
      <c r="AA303" s="281"/>
      <c r="AB303" s="281"/>
      <c r="AC303" s="281"/>
      <c r="AD303" s="281"/>
      <c r="AE303" s="281"/>
    </row>
    <row r="304" spans="2:31" ht="15">
      <c r="B304" s="386">
        <f t="shared" si="8"/>
        <v>259</v>
      </c>
      <c r="C304" s="394" t="str" cm="1">
        <f t="array" ref="C304">IF(B304&lt;=$C$9,GetGetCDSName(B304),"")</f>
        <v/>
      </c>
      <c r="D304" s="354"/>
      <c r="E304" s="387"/>
      <c r="F304" s="306"/>
      <c r="G304" s="306"/>
      <c r="H304" s="306"/>
      <c r="I304" s="306"/>
      <c r="J304" s="306"/>
      <c r="K304" s="306"/>
      <c r="L304" s="306"/>
      <c r="M304" s="306"/>
      <c r="N304" s="388"/>
      <c r="O304" s="281"/>
      <c r="P304" s="281"/>
      <c r="Q304" s="281"/>
      <c r="R304" s="281"/>
      <c r="S304" s="281"/>
      <c r="T304" s="281"/>
      <c r="U304" s="281"/>
      <c r="V304" s="281"/>
      <c r="W304" s="281"/>
      <c r="X304" s="281"/>
      <c r="Y304" s="281"/>
      <c r="Z304" s="281"/>
      <c r="AA304" s="281"/>
      <c r="AB304" s="281"/>
      <c r="AC304" s="281"/>
      <c r="AD304" s="281"/>
      <c r="AE304" s="281"/>
    </row>
    <row r="305" spans="2:31" ht="15">
      <c r="B305" s="386">
        <f t="shared" si="8"/>
        <v>260</v>
      </c>
      <c r="C305" s="394" t="str" cm="1">
        <f t="array" ref="C305">IF(B305&lt;=$C$9,GetGetCDSName(B305),"")</f>
        <v/>
      </c>
      <c r="D305" s="354"/>
      <c r="E305" s="387"/>
      <c r="F305" s="306"/>
      <c r="G305" s="306"/>
      <c r="H305" s="306"/>
      <c r="I305" s="306"/>
      <c r="J305" s="306"/>
      <c r="K305" s="306"/>
      <c r="L305" s="306"/>
      <c r="M305" s="306"/>
      <c r="N305" s="388"/>
      <c r="O305" s="281"/>
      <c r="P305" s="281"/>
      <c r="Q305" s="281"/>
      <c r="R305" s="281"/>
      <c r="S305" s="281"/>
      <c r="T305" s="281"/>
      <c r="U305" s="281"/>
      <c r="V305" s="281"/>
      <c r="W305" s="281"/>
      <c r="X305" s="281"/>
      <c r="Y305" s="281"/>
      <c r="Z305" s="281"/>
      <c r="AA305" s="281"/>
      <c r="AB305" s="281"/>
      <c r="AC305" s="281"/>
      <c r="AD305" s="281"/>
      <c r="AE305" s="281"/>
    </row>
    <row r="306" spans="2:31" ht="15">
      <c r="B306" s="386">
        <f t="shared" si="8"/>
        <v>261</v>
      </c>
      <c r="C306" s="394" t="str" cm="1">
        <f t="array" ref="C306">IF(B306&lt;=$C$9,GetGetCDSName(B306),"")</f>
        <v/>
      </c>
      <c r="D306" s="354"/>
      <c r="E306" s="387"/>
      <c r="F306" s="306"/>
      <c r="G306" s="306"/>
      <c r="H306" s="306"/>
      <c r="I306" s="306"/>
      <c r="J306" s="306"/>
      <c r="K306" s="306"/>
      <c r="L306" s="306"/>
      <c r="M306" s="306"/>
      <c r="N306" s="388"/>
      <c r="O306" s="281"/>
      <c r="P306" s="281"/>
      <c r="Q306" s="281"/>
      <c r="R306" s="281"/>
      <c r="S306" s="281"/>
      <c r="T306" s="281"/>
      <c r="U306" s="281"/>
      <c r="V306" s="281"/>
      <c r="W306" s="281"/>
      <c r="X306" s="281"/>
      <c r="Y306" s="281"/>
      <c r="Z306" s="281"/>
      <c r="AA306" s="281"/>
      <c r="AB306" s="281"/>
      <c r="AC306" s="281"/>
      <c r="AD306" s="281"/>
      <c r="AE306" s="281"/>
    </row>
    <row r="307" spans="2:31" ht="15">
      <c r="B307" s="386">
        <f t="shared" si="8"/>
        <v>262</v>
      </c>
      <c r="C307" s="394" t="str" cm="1">
        <f t="array" ref="C307">IF(B307&lt;=$C$9,GetGetCDSName(B307),"")</f>
        <v/>
      </c>
      <c r="D307" s="354"/>
      <c r="E307" s="387"/>
      <c r="F307" s="306"/>
      <c r="G307" s="306"/>
      <c r="H307" s="306"/>
      <c r="I307" s="306"/>
      <c r="J307" s="306"/>
      <c r="K307" s="306"/>
      <c r="L307" s="306"/>
      <c r="M307" s="306"/>
      <c r="N307" s="388"/>
      <c r="O307" s="281"/>
      <c r="P307" s="281"/>
      <c r="Q307" s="281"/>
      <c r="R307" s="281"/>
      <c r="S307" s="281"/>
      <c r="T307" s="281"/>
      <c r="U307" s="281"/>
      <c r="V307" s="281"/>
      <c r="W307" s="281"/>
      <c r="X307" s="281"/>
      <c r="Y307" s="281"/>
      <c r="Z307" s="281"/>
      <c r="AA307" s="281"/>
      <c r="AB307" s="281"/>
      <c r="AC307" s="281"/>
      <c r="AD307" s="281"/>
      <c r="AE307" s="281"/>
    </row>
    <row r="308" spans="2:31" ht="15">
      <c r="B308" s="386">
        <f t="shared" si="8"/>
        <v>263</v>
      </c>
      <c r="C308" s="394" t="str" cm="1">
        <f t="array" ref="C308">IF(B308&lt;=$C$9,GetGetCDSName(B308),"")</f>
        <v/>
      </c>
      <c r="D308" s="354"/>
      <c r="E308" s="387"/>
      <c r="F308" s="306"/>
      <c r="G308" s="306"/>
      <c r="H308" s="306"/>
      <c r="I308" s="306"/>
      <c r="J308" s="306"/>
      <c r="K308" s="306"/>
      <c r="L308" s="306"/>
      <c r="M308" s="306"/>
      <c r="N308" s="388"/>
      <c r="O308" s="281"/>
      <c r="P308" s="281"/>
      <c r="Q308" s="281"/>
      <c r="R308" s="281"/>
      <c r="S308" s="281"/>
      <c r="T308" s="281"/>
      <c r="U308" s="281"/>
      <c r="V308" s="281"/>
      <c r="W308" s="281"/>
      <c r="X308" s="281"/>
      <c r="Y308" s="281"/>
      <c r="Z308" s="281"/>
      <c r="AA308" s="281"/>
      <c r="AB308" s="281"/>
      <c r="AC308" s="281"/>
      <c r="AD308" s="281"/>
      <c r="AE308" s="281"/>
    </row>
    <row r="309" spans="2:31" ht="15">
      <c r="B309" s="386">
        <f t="shared" si="8"/>
        <v>264</v>
      </c>
      <c r="C309" s="394" t="str" cm="1">
        <f t="array" ref="C309">IF(B309&lt;=$C$9,GetGetCDSName(B309),"")</f>
        <v/>
      </c>
      <c r="D309" s="354"/>
      <c r="E309" s="387"/>
      <c r="F309" s="306"/>
      <c r="G309" s="306"/>
      <c r="H309" s="306"/>
      <c r="I309" s="306"/>
      <c r="J309" s="306"/>
      <c r="K309" s="306"/>
      <c r="L309" s="306"/>
      <c r="M309" s="306"/>
      <c r="N309" s="388"/>
      <c r="O309" s="281"/>
      <c r="P309" s="281"/>
      <c r="Q309" s="281"/>
      <c r="R309" s="281"/>
      <c r="S309" s="281"/>
      <c r="T309" s="281"/>
      <c r="U309" s="281"/>
      <c r="V309" s="281"/>
      <c r="W309" s="281"/>
      <c r="X309" s="281"/>
      <c r="Y309" s="281"/>
      <c r="Z309" s="281"/>
      <c r="AA309" s="281"/>
      <c r="AB309" s="281"/>
      <c r="AC309" s="281"/>
      <c r="AD309" s="281"/>
      <c r="AE309" s="281"/>
    </row>
    <row r="310" spans="2:31" ht="15">
      <c r="B310" s="386">
        <f t="shared" si="8"/>
        <v>265</v>
      </c>
      <c r="C310" s="394" t="str" cm="1">
        <f t="array" ref="C310">IF(B310&lt;=$C$9,GetGetCDSName(B310),"")</f>
        <v/>
      </c>
      <c r="D310" s="354"/>
      <c r="E310" s="387"/>
      <c r="F310" s="306"/>
      <c r="G310" s="306"/>
      <c r="H310" s="306"/>
      <c r="I310" s="306"/>
      <c r="J310" s="306"/>
      <c r="K310" s="306"/>
      <c r="L310" s="306"/>
      <c r="M310" s="306"/>
      <c r="N310" s="388"/>
      <c r="O310" s="281"/>
      <c r="P310" s="281"/>
      <c r="Q310" s="281"/>
      <c r="R310" s="281"/>
      <c r="S310" s="281"/>
      <c r="T310" s="281"/>
      <c r="U310" s="281"/>
      <c r="V310" s="281"/>
      <c r="W310" s="281"/>
      <c r="X310" s="281"/>
      <c r="Y310" s="281"/>
      <c r="Z310" s="281"/>
      <c r="AA310" s="281"/>
      <c r="AB310" s="281"/>
      <c r="AC310" s="281"/>
      <c r="AD310" s="281"/>
      <c r="AE310" s="281"/>
    </row>
    <row r="311" spans="2:31" ht="15">
      <c r="B311" s="386">
        <f t="shared" si="8"/>
        <v>266</v>
      </c>
      <c r="C311" s="394" t="str" cm="1">
        <f t="array" ref="C311">IF(B311&lt;=$C$9,GetGetCDSName(B311),"")</f>
        <v/>
      </c>
      <c r="D311" s="354"/>
      <c r="E311" s="387"/>
      <c r="F311" s="306"/>
      <c r="G311" s="306"/>
      <c r="H311" s="306"/>
      <c r="I311" s="306"/>
      <c r="J311" s="306"/>
      <c r="K311" s="306"/>
      <c r="L311" s="306"/>
      <c r="M311" s="306"/>
      <c r="N311" s="388"/>
      <c r="O311" s="281"/>
      <c r="P311" s="281"/>
      <c r="Q311" s="281"/>
      <c r="R311" s="281"/>
      <c r="S311" s="281"/>
      <c r="T311" s="281"/>
      <c r="U311" s="281"/>
      <c r="V311" s="281"/>
      <c r="W311" s="281"/>
      <c r="X311" s="281"/>
      <c r="Y311" s="281"/>
      <c r="Z311" s="281"/>
      <c r="AA311" s="281"/>
      <c r="AB311" s="281"/>
      <c r="AC311" s="281"/>
      <c r="AD311" s="281"/>
      <c r="AE311" s="281"/>
    </row>
    <row r="312" spans="2:31" ht="15">
      <c r="B312" s="386">
        <f t="shared" si="8"/>
        <v>267</v>
      </c>
      <c r="C312" s="394" t="str" cm="1">
        <f t="array" ref="C312">IF(B312&lt;=$C$9,GetGetCDSName(B312),"")</f>
        <v/>
      </c>
      <c r="D312" s="354"/>
      <c r="E312" s="387"/>
      <c r="F312" s="306"/>
      <c r="G312" s="306"/>
      <c r="H312" s="306"/>
      <c r="I312" s="306"/>
      <c r="J312" s="306"/>
      <c r="K312" s="306"/>
      <c r="L312" s="306"/>
      <c r="M312" s="306"/>
      <c r="N312" s="388"/>
      <c r="O312" s="281"/>
      <c r="P312" s="281"/>
      <c r="Q312" s="281"/>
      <c r="R312" s="281"/>
      <c r="S312" s="281"/>
      <c r="T312" s="281"/>
      <c r="U312" s="281"/>
      <c r="V312" s="281"/>
      <c r="W312" s="281"/>
      <c r="X312" s="281"/>
      <c r="Y312" s="281"/>
      <c r="Z312" s="281"/>
      <c r="AA312" s="281"/>
      <c r="AB312" s="281"/>
      <c r="AC312" s="281"/>
      <c r="AD312" s="281"/>
      <c r="AE312" s="281"/>
    </row>
    <row r="313" spans="2:31" ht="15">
      <c r="B313" s="386">
        <f t="shared" si="8"/>
        <v>268</v>
      </c>
      <c r="C313" s="394" t="str" cm="1">
        <f t="array" ref="C313">IF(B313&lt;=$C$9,GetGetCDSName(B313),"")</f>
        <v/>
      </c>
      <c r="D313" s="354"/>
      <c r="E313" s="387"/>
      <c r="F313" s="306"/>
      <c r="G313" s="306"/>
      <c r="H313" s="306"/>
      <c r="I313" s="306"/>
      <c r="J313" s="306"/>
      <c r="K313" s="306"/>
      <c r="L313" s="306"/>
      <c r="M313" s="306"/>
      <c r="N313" s="388"/>
      <c r="O313" s="281"/>
      <c r="P313" s="281"/>
      <c r="Q313" s="281"/>
      <c r="R313" s="281"/>
      <c r="S313" s="281"/>
      <c r="T313" s="281"/>
      <c r="U313" s="281"/>
      <c r="V313" s="281"/>
      <c r="W313" s="281"/>
      <c r="X313" s="281"/>
      <c r="Y313" s="281"/>
      <c r="Z313" s="281"/>
      <c r="AA313" s="281"/>
      <c r="AB313" s="281"/>
      <c r="AC313" s="281"/>
      <c r="AD313" s="281"/>
      <c r="AE313" s="281"/>
    </row>
    <row r="314" spans="2:31" ht="15">
      <c r="B314" s="386">
        <f t="shared" si="8"/>
        <v>269</v>
      </c>
      <c r="C314" s="394" t="str" cm="1">
        <f t="array" ref="C314">IF(B314&lt;=$C$9,GetGetCDSName(B314),"")</f>
        <v/>
      </c>
      <c r="D314" s="354"/>
      <c r="E314" s="387"/>
      <c r="F314" s="306"/>
      <c r="G314" s="306"/>
      <c r="H314" s="306"/>
      <c r="I314" s="306"/>
      <c r="J314" s="306"/>
      <c r="K314" s="306"/>
      <c r="L314" s="306"/>
      <c r="M314" s="306"/>
      <c r="N314" s="388"/>
      <c r="O314" s="281"/>
      <c r="P314" s="281"/>
      <c r="Q314" s="281"/>
      <c r="R314" s="281"/>
      <c r="S314" s="281"/>
      <c r="T314" s="281"/>
      <c r="U314" s="281"/>
      <c r="V314" s="281"/>
      <c r="W314" s="281"/>
      <c r="X314" s="281"/>
      <c r="Y314" s="281"/>
      <c r="Z314" s="281"/>
      <c r="AA314" s="281"/>
      <c r="AB314" s="281"/>
      <c r="AC314" s="281"/>
      <c r="AD314" s="281"/>
      <c r="AE314" s="281"/>
    </row>
    <row r="315" spans="2:31" ht="15">
      <c r="B315" s="386">
        <f t="shared" si="8"/>
        <v>270</v>
      </c>
      <c r="C315" s="394" t="str" cm="1">
        <f t="array" ref="C315">IF(B315&lt;=$C$9,GetGetCDSName(B315),"")</f>
        <v/>
      </c>
      <c r="D315" s="354"/>
      <c r="E315" s="387"/>
      <c r="F315" s="306"/>
      <c r="G315" s="306"/>
      <c r="H315" s="306"/>
      <c r="I315" s="306"/>
      <c r="J315" s="306"/>
      <c r="K315" s="306"/>
      <c r="L315" s="306"/>
      <c r="M315" s="306"/>
      <c r="N315" s="388"/>
      <c r="O315" s="281"/>
      <c r="P315" s="281"/>
      <c r="Q315" s="281"/>
      <c r="R315" s="281"/>
      <c r="S315" s="281"/>
      <c r="T315" s="281"/>
      <c r="U315" s="281"/>
      <c r="V315" s="281"/>
      <c r="W315" s="281"/>
      <c r="X315" s="281"/>
      <c r="Y315" s="281"/>
      <c r="Z315" s="281"/>
      <c r="AA315" s="281"/>
      <c r="AB315" s="281"/>
      <c r="AC315" s="281"/>
      <c r="AD315" s="281"/>
      <c r="AE315" s="281"/>
    </row>
    <row r="316" spans="2:31" ht="15">
      <c r="B316" s="386">
        <f t="shared" si="8"/>
        <v>271</v>
      </c>
      <c r="C316" s="394" t="str" cm="1">
        <f t="array" ref="C316">IF(B316&lt;=$C$9,GetGetCDSName(B316),"")</f>
        <v/>
      </c>
      <c r="D316" s="354"/>
      <c r="E316" s="387"/>
      <c r="F316" s="306"/>
      <c r="G316" s="306"/>
      <c r="H316" s="306"/>
      <c r="I316" s="306"/>
      <c r="J316" s="306"/>
      <c r="K316" s="306"/>
      <c r="L316" s="306"/>
      <c r="M316" s="306"/>
      <c r="N316" s="388"/>
      <c r="O316" s="281"/>
      <c r="P316" s="281"/>
      <c r="Q316" s="281"/>
      <c r="R316" s="281"/>
      <c r="S316" s="281"/>
      <c r="T316" s="281"/>
      <c r="U316" s="281"/>
      <c r="V316" s="281"/>
      <c r="W316" s="281"/>
      <c r="X316" s="281"/>
      <c r="Y316" s="281"/>
      <c r="Z316" s="281"/>
      <c r="AA316" s="281"/>
      <c r="AB316" s="281"/>
      <c r="AC316" s="281"/>
      <c r="AD316" s="281"/>
      <c r="AE316" s="281"/>
    </row>
    <row r="317" spans="2:31" ht="15">
      <c r="B317" s="386">
        <f t="shared" si="8"/>
        <v>272</v>
      </c>
      <c r="C317" s="394" t="str" cm="1">
        <f t="array" ref="C317">IF(B317&lt;=$C$9,GetGetCDSName(B317),"")</f>
        <v/>
      </c>
      <c r="D317" s="354"/>
      <c r="E317" s="387"/>
      <c r="F317" s="306"/>
      <c r="G317" s="306"/>
      <c r="H317" s="306"/>
      <c r="I317" s="306"/>
      <c r="J317" s="306"/>
      <c r="K317" s="306"/>
      <c r="L317" s="306"/>
      <c r="M317" s="306"/>
      <c r="N317" s="388"/>
      <c r="O317" s="281"/>
      <c r="P317" s="281"/>
      <c r="Q317" s="281"/>
      <c r="R317" s="281"/>
      <c r="S317" s="281"/>
      <c r="T317" s="281"/>
      <c r="U317" s="281"/>
      <c r="V317" s="281"/>
      <c r="W317" s="281"/>
      <c r="X317" s="281"/>
      <c r="Y317" s="281"/>
      <c r="Z317" s="281"/>
      <c r="AA317" s="281"/>
      <c r="AB317" s="281"/>
      <c r="AC317" s="281"/>
      <c r="AD317" s="281"/>
      <c r="AE317" s="281"/>
    </row>
    <row r="318" spans="2:31" ht="15">
      <c r="B318" s="386">
        <f t="shared" si="8"/>
        <v>273</v>
      </c>
      <c r="C318" s="394" t="str" cm="1">
        <f t="array" ref="C318">IF(B318&lt;=$C$9,GetGetCDSName(B318),"")</f>
        <v/>
      </c>
      <c r="D318" s="354"/>
      <c r="E318" s="387"/>
      <c r="F318" s="306"/>
      <c r="G318" s="306"/>
      <c r="H318" s="306"/>
      <c r="I318" s="306"/>
      <c r="J318" s="306"/>
      <c r="K318" s="306"/>
      <c r="L318" s="306"/>
      <c r="M318" s="306"/>
      <c r="N318" s="388"/>
      <c r="O318" s="281"/>
      <c r="P318" s="281"/>
      <c r="Q318" s="281"/>
      <c r="R318" s="281"/>
      <c r="S318" s="281"/>
      <c r="T318" s="281"/>
      <c r="U318" s="281"/>
      <c r="V318" s="281"/>
      <c r="W318" s="281"/>
      <c r="X318" s="281"/>
      <c r="Y318" s="281"/>
      <c r="Z318" s="281"/>
      <c r="AA318" s="281"/>
      <c r="AB318" s="281"/>
      <c r="AC318" s="281"/>
      <c r="AD318" s="281"/>
      <c r="AE318" s="281"/>
    </row>
    <row r="319" spans="2:31" ht="15">
      <c r="B319" s="386">
        <f t="shared" si="8"/>
        <v>274</v>
      </c>
      <c r="C319" s="394" t="str" cm="1">
        <f t="array" ref="C319">IF(B319&lt;=$C$9,GetGetCDSName(B319),"")</f>
        <v/>
      </c>
      <c r="D319" s="354"/>
      <c r="E319" s="387"/>
      <c r="F319" s="306"/>
      <c r="G319" s="306"/>
      <c r="H319" s="306"/>
      <c r="I319" s="306"/>
      <c r="J319" s="306"/>
      <c r="K319" s="306"/>
      <c r="L319" s="306"/>
      <c r="M319" s="306"/>
      <c r="N319" s="388"/>
      <c r="O319" s="281"/>
      <c r="P319" s="281"/>
      <c r="Q319" s="281"/>
      <c r="R319" s="281"/>
      <c r="S319" s="281"/>
      <c r="T319" s="281"/>
      <c r="U319" s="281"/>
      <c r="V319" s="281"/>
      <c r="W319" s="281"/>
      <c r="X319" s="281"/>
      <c r="Y319" s="281"/>
      <c r="Z319" s="281"/>
      <c r="AA319" s="281"/>
      <c r="AB319" s="281"/>
      <c r="AC319" s="281"/>
      <c r="AD319" s="281"/>
      <c r="AE319" s="281"/>
    </row>
    <row r="320" spans="2:31" ht="15">
      <c r="B320" s="386">
        <f t="shared" si="8"/>
        <v>275</v>
      </c>
      <c r="C320" s="394" t="str" cm="1">
        <f t="array" ref="C320">IF(B320&lt;=$C$9,GetGetCDSName(B320),"")</f>
        <v/>
      </c>
      <c r="D320" s="354"/>
      <c r="E320" s="387"/>
      <c r="F320" s="306"/>
      <c r="G320" s="306"/>
      <c r="H320" s="306"/>
      <c r="I320" s="306"/>
      <c r="J320" s="306"/>
      <c r="K320" s="306"/>
      <c r="L320" s="306"/>
      <c r="M320" s="306"/>
      <c r="N320" s="388"/>
      <c r="O320" s="281"/>
      <c r="P320" s="281"/>
      <c r="Q320" s="281"/>
      <c r="R320" s="281"/>
      <c r="S320" s="281"/>
      <c r="T320" s="281"/>
      <c r="U320" s="281"/>
      <c r="V320" s="281"/>
      <c r="W320" s="281"/>
      <c r="X320" s="281"/>
      <c r="Y320" s="281"/>
      <c r="Z320" s="281"/>
      <c r="AA320" s="281"/>
      <c r="AB320" s="281"/>
      <c r="AC320" s="281"/>
      <c r="AD320" s="281"/>
      <c r="AE320" s="281"/>
    </row>
    <row r="321" spans="2:31" ht="15">
      <c r="B321" s="386">
        <f t="shared" si="8"/>
        <v>276</v>
      </c>
      <c r="C321" s="394" t="str" cm="1">
        <f t="array" ref="C321">IF(B321&lt;=$C$9,GetGetCDSName(B321),"")</f>
        <v/>
      </c>
      <c r="D321" s="354"/>
      <c r="E321" s="387"/>
      <c r="F321" s="306"/>
      <c r="G321" s="306"/>
      <c r="H321" s="306"/>
      <c r="I321" s="306"/>
      <c r="J321" s="306"/>
      <c r="K321" s="306"/>
      <c r="L321" s="306"/>
      <c r="M321" s="306"/>
      <c r="N321" s="388"/>
      <c r="O321" s="281"/>
      <c r="P321" s="281"/>
      <c r="Q321" s="281"/>
      <c r="R321" s="281"/>
      <c r="S321" s="281"/>
      <c r="T321" s="281"/>
      <c r="U321" s="281"/>
      <c r="V321" s="281"/>
      <c r="W321" s="281"/>
      <c r="X321" s="281"/>
      <c r="Y321" s="281"/>
      <c r="Z321" s="281"/>
      <c r="AA321" s="281"/>
      <c r="AB321" s="281"/>
      <c r="AC321" s="281"/>
      <c r="AD321" s="281"/>
      <c r="AE321" s="281"/>
    </row>
    <row r="322" spans="2:31" ht="15">
      <c r="B322" s="386">
        <f t="shared" si="8"/>
        <v>277</v>
      </c>
      <c r="C322" s="394" t="str" cm="1">
        <f t="array" ref="C322">IF(B322&lt;=$C$9,GetGetCDSName(B322),"")</f>
        <v/>
      </c>
      <c r="D322" s="354"/>
      <c r="E322" s="387"/>
      <c r="F322" s="306"/>
      <c r="G322" s="306"/>
      <c r="H322" s="306"/>
      <c r="I322" s="306"/>
      <c r="J322" s="306"/>
      <c r="K322" s="306"/>
      <c r="L322" s="306"/>
      <c r="M322" s="306"/>
      <c r="N322" s="388"/>
      <c r="O322" s="281"/>
      <c r="P322" s="281"/>
      <c r="Q322" s="281"/>
      <c r="R322" s="281"/>
      <c r="S322" s="281"/>
      <c r="T322" s="281"/>
      <c r="U322" s="281"/>
      <c r="V322" s="281"/>
      <c r="W322" s="281"/>
      <c r="X322" s="281"/>
      <c r="Y322" s="281"/>
      <c r="Z322" s="281"/>
      <c r="AA322" s="281"/>
      <c r="AB322" s="281"/>
      <c r="AC322" s="281"/>
      <c r="AD322" s="281"/>
      <c r="AE322" s="281"/>
    </row>
    <row r="323" spans="2:31" ht="15">
      <c r="B323" s="386">
        <f t="shared" si="8"/>
        <v>278</v>
      </c>
      <c r="C323" s="394" t="str" cm="1">
        <f t="array" ref="C323">IF(B323&lt;=$C$9,GetGetCDSName(B323),"")</f>
        <v/>
      </c>
      <c r="D323" s="354"/>
      <c r="E323" s="387"/>
      <c r="F323" s="306"/>
      <c r="G323" s="306"/>
      <c r="H323" s="306"/>
      <c r="I323" s="306"/>
      <c r="J323" s="306"/>
      <c r="K323" s="306"/>
      <c r="L323" s="306"/>
      <c r="M323" s="306"/>
      <c r="N323" s="388"/>
      <c r="O323" s="281"/>
      <c r="P323" s="281"/>
      <c r="Q323" s="281"/>
      <c r="R323" s="281"/>
      <c r="S323" s="281"/>
      <c r="T323" s="281"/>
      <c r="U323" s="281"/>
      <c r="V323" s="281"/>
      <c r="W323" s="281"/>
      <c r="X323" s="281"/>
      <c r="Y323" s="281"/>
      <c r="Z323" s="281"/>
      <c r="AA323" s="281"/>
      <c r="AB323" s="281"/>
      <c r="AC323" s="281"/>
      <c r="AD323" s="281"/>
      <c r="AE323" s="281"/>
    </row>
    <row r="324" spans="2:31" ht="15">
      <c r="B324" s="386">
        <f t="shared" si="8"/>
        <v>279</v>
      </c>
      <c r="C324" s="394" t="str" cm="1">
        <f t="array" ref="C324">IF(B324&lt;=$C$9,GetGetCDSName(B324),"")</f>
        <v/>
      </c>
      <c r="D324" s="354"/>
      <c r="E324" s="387"/>
      <c r="F324" s="306"/>
      <c r="G324" s="306"/>
      <c r="H324" s="306"/>
      <c r="I324" s="306"/>
      <c r="J324" s="306"/>
      <c r="K324" s="306"/>
      <c r="L324" s="306"/>
      <c r="M324" s="306"/>
      <c r="N324" s="388"/>
      <c r="O324" s="281"/>
      <c r="P324" s="281"/>
      <c r="Q324" s="281"/>
      <c r="R324" s="281"/>
      <c r="S324" s="281"/>
      <c r="T324" s="281"/>
      <c r="U324" s="281"/>
      <c r="V324" s="281"/>
      <c r="W324" s="281"/>
      <c r="X324" s="281"/>
      <c r="Y324" s="281"/>
      <c r="Z324" s="281"/>
      <c r="AA324" s="281"/>
      <c r="AB324" s="281"/>
      <c r="AC324" s="281"/>
      <c r="AD324" s="281"/>
      <c r="AE324" s="281"/>
    </row>
    <row r="325" spans="2:31" ht="15">
      <c r="B325" s="386">
        <f t="shared" si="8"/>
        <v>280</v>
      </c>
      <c r="C325" s="394" t="str" cm="1">
        <f t="array" ref="C325">IF(B325&lt;=$C$9,GetGetCDSName(B325),"")</f>
        <v/>
      </c>
      <c r="D325" s="354"/>
      <c r="E325" s="387"/>
      <c r="F325" s="306"/>
      <c r="G325" s="306"/>
      <c r="H325" s="306"/>
      <c r="I325" s="306"/>
      <c r="J325" s="306"/>
      <c r="K325" s="306"/>
      <c r="L325" s="306"/>
      <c r="M325" s="306"/>
      <c r="N325" s="388"/>
      <c r="O325" s="281"/>
      <c r="P325" s="281"/>
      <c r="Q325" s="281"/>
      <c r="R325" s="281"/>
      <c r="S325" s="281"/>
      <c r="T325" s="281"/>
      <c r="U325" s="281"/>
      <c r="V325" s="281"/>
      <c r="W325" s="281"/>
      <c r="X325" s="281"/>
      <c r="Y325" s="281"/>
      <c r="Z325" s="281"/>
      <c r="AA325" s="281"/>
      <c r="AB325" s="281"/>
      <c r="AC325" s="281"/>
      <c r="AD325" s="281"/>
      <c r="AE325" s="281"/>
    </row>
    <row r="326" spans="2:31" ht="15">
      <c r="B326" s="386">
        <f t="shared" si="8"/>
        <v>281</v>
      </c>
      <c r="C326" s="394" t="str" cm="1">
        <f t="array" ref="C326">IF(B326&lt;=$C$9,GetGetCDSName(B326),"")</f>
        <v/>
      </c>
      <c r="D326" s="354"/>
      <c r="E326" s="387"/>
      <c r="F326" s="306"/>
      <c r="G326" s="306"/>
      <c r="H326" s="306"/>
      <c r="I326" s="306"/>
      <c r="J326" s="306"/>
      <c r="K326" s="306"/>
      <c r="L326" s="306"/>
      <c r="M326" s="306"/>
      <c r="N326" s="388"/>
      <c r="O326" s="281"/>
      <c r="P326" s="281"/>
      <c r="Q326" s="281"/>
      <c r="R326" s="281"/>
      <c r="S326" s="281"/>
      <c r="T326" s="281"/>
      <c r="U326" s="281"/>
      <c r="V326" s="281"/>
      <c r="W326" s="281"/>
      <c r="X326" s="281"/>
      <c r="Y326" s="281"/>
      <c r="Z326" s="281"/>
      <c r="AA326" s="281"/>
      <c r="AB326" s="281"/>
      <c r="AC326" s="281"/>
      <c r="AD326" s="281"/>
      <c r="AE326" s="281"/>
    </row>
    <row r="327" spans="2:31" ht="15">
      <c r="B327" s="386">
        <f t="shared" si="8"/>
        <v>282</v>
      </c>
      <c r="C327" s="394" t="str" cm="1">
        <f t="array" ref="C327">IF(B327&lt;=$C$9,GetGetCDSName(B327),"")</f>
        <v/>
      </c>
      <c r="D327" s="354"/>
      <c r="E327" s="387"/>
      <c r="F327" s="306"/>
      <c r="G327" s="306"/>
      <c r="H327" s="306"/>
      <c r="I327" s="306"/>
      <c r="J327" s="306"/>
      <c r="K327" s="306"/>
      <c r="L327" s="306"/>
      <c r="M327" s="306"/>
      <c r="N327" s="388"/>
      <c r="O327" s="281"/>
      <c r="P327" s="281"/>
      <c r="Q327" s="281"/>
      <c r="R327" s="281"/>
      <c r="S327" s="281"/>
      <c r="T327" s="281"/>
      <c r="U327" s="281"/>
      <c r="V327" s="281"/>
      <c r="W327" s="281"/>
      <c r="X327" s="281"/>
      <c r="Y327" s="281"/>
      <c r="Z327" s="281"/>
      <c r="AA327" s="281"/>
      <c r="AB327" s="281"/>
      <c r="AC327" s="281"/>
      <c r="AD327" s="281"/>
      <c r="AE327" s="281"/>
    </row>
    <row r="328" spans="2:31" ht="15">
      <c r="B328" s="386">
        <f t="shared" si="8"/>
        <v>283</v>
      </c>
      <c r="C328" s="394" t="str" cm="1">
        <f t="array" ref="C328">IF(B328&lt;=$C$9,GetGetCDSName(B328),"")</f>
        <v/>
      </c>
      <c r="D328" s="354"/>
      <c r="E328" s="387"/>
      <c r="F328" s="306"/>
      <c r="G328" s="306"/>
      <c r="H328" s="306"/>
      <c r="I328" s="306"/>
      <c r="J328" s="306"/>
      <c r="K328" s="306"/>
      <c r="L328" s="306"/>
      <c r="M328" s="306"/>
      <c r="N328" s="388"/>
      <c r="O328" s="281"/>
      <c r="P328" s="281"/>
      <c r="Q328" s="281"/>
      <c r="R328" s="281"/>
      <c r="S328" s="281"/>
      <c r="T328" s="281"/>
      <c r="U328" s="281"/>
      <c r="V328" s="281"/>
      <c r="W328" s="281"/>
      <c r="X328" s="281"/>
      <c r="Y328" s="281"/>
      <c r="Z328" s="281"/>
      <c r="AA328" s="281"/>
      <c r="AB328" s="281"/>
      <c r="AC328" s="281"/>
      <c r="AD328" s="281"/>
      <c r="AE328" s="281"/>
    </row>
    <row r="329" spans="2:31" ht="15">
      <c r="B329" s="386">
        <f t="shared" si="8"/>
        <v>284</v>
      </c>
      <c r="C329" s="394" t="str" cm="1">
        <f t="array" ref="C329">IF(B329&lt;=$C$9,GetGetCDSName(B329),"")</f>
        <v/>
      </c>
      <c r="D329" s="354"/>
      <c r="E329" s="387"/>
      <c r="F329" s="306"/>
      <c r="G329" s="306"/>
      <c r="H329" s="306"/>
      <c r="I329" s="306"/>
      <c r="J329" s="306"/>
      <c r="K329" s="306"/>
      <c r="L329" s="306"/>
      <c r="M329" s="306"/>
      <c r="N329" s="388"/>
      <c r="O329" s="281"/>
      <c r="P329" s="281"/>
      <c r="Q329" s="281"/>
      <c r="R329" s="281"/>
      <c r="S329" s="281"/>
      <c r="T329" s="281"/>
      <c r="U329" s="281"/>
      <c r="V329" s="281"/>
      <c r="W329" s="281"/>
      <c r="X329" s="281"/>
      <c r="Y329" s="281"/>
      <c r="Z329" s="281"/>
      <c r="AA329" s="281"/>
      <c r="AB329" s="281"/>
      <c r="AC329" s="281"/>
      <c r="AD329" s="281"/>
      <c r="AE329" s="281"/>
    </row>
    <row r="330" spans="2:31" ht="15">
      <c r="B330" s="386">
        <f t="shared" si="8"/>
        <v>285</v>
      </c>
      <c r="C330" s="394" t="str" cm="1">
        <f t="array" ref="C330">IF(B330&lt;=$C$9,GetGetCDSName(B330),"")</f>
        <v/>
      </c>
      <c r="D330" s="354"/>
      <c r="E330" s="387"/>
      <c r="F330" s="306"/>
      <c r="G330" s="306"/>
      <c r="H330" s="306"/>
      <c r="I330" s="306"/>
      <c r="J330" s="306"/>
      <c r="K330" s="306"/>
      <c r="L330" s="306"/>
      <c r="M330" s="306"/>
      <c r="N330" s="388"/>
      <c r="O330" s="281"/>
      <c r="P330" s="281"/>
      <c r="Q330" s="281"/>
      <c r="R330" s="281"/>
      <c r="S330" s="281"/>
      <c r="T330" s="281"/>
      <c r="U330" s="281"/>
      <c r="V330" s="281"/>
      <c r="W330" s="281"/>
      <c r="X330" s="281"/>
      <c r="Y330" s="281"/>
      <c r="Z330" s="281"/>
      <c r="AA330" s="281"/>
      <c r="AB330" s="281"/>
      <c r="AC330" s="281"/>
      <c r="AD330" s="281"/>
      <c r="AE330" s="281"/>
    </row>
    <row r="331" spans="2:31" ht="15">
      <c r="B331" s="386">
        <f t="shared" si="8"/>
        <v>286</v>
      </c>
      <c r="C331" s="394" t="str" cm="1">
        <f t="array" ref="C331">IF(B331&lt;=$C$9,GetGetCDSName(B331),"")</f>
        <v/>
      </c>
      <c r="D331" s="354"/>
      <c r="E331" s="387"/>
      <c r="F331" s="306"/>
      <c r="G331" s="306"/>
      <c r="H331" s="306"/>
      <c r="I331" s="306"/>
      <c r="J331" s="306"/>
      <c r="K331" s="306"/>
      <c r="L331" s="306"/>
      <c r="M331" s="306"/>
      <c r="N331" s="388"/>
      <c r="O331" s="281"/>
      <c r="P331" s="281"/>
      <c r="Q331" s="281"/>
      <c r="R331" s="281"/>
      <c r="S331" s="281"/>
      <c r="T331" s="281"/>
      <c r="U331" s="281"/>
      <c r="V331" s="281"/>
      <c r="W331" s="281"/>
      <c r="X331" s="281"/>
      <c r="Y331" s="281"/>
      <c r="Z331" s="281"/>
      <c r="AA331" s="281"/>
      <c r="AB331" s="281"/>
      <c r="AC331" s="281"/>
      <c r="AD331" s="281"/>
      <c r="AE331" s="281"/>
    </row>
    <row r="332" spans="2:31" ht="15">
      <c r="B332" s="386">
        <f t="shared" si="8"/>
        <v>287</v>
      </c>
      <c r="C332" s="394" t="str" cm="1">
        <f t="array" ref="C332">IF(B332&lt;=$C$9,GetGetCDSName(B332),"")</f>
        <v/>
      </c>
      <c r="D332" s="354"/>
      <c r="E332" s="387"/>
      <c r="F332" s="306"/>
      <c r="G332" s="306"/>
      <c r="H332" s="306"/>
      <c r="I332" s="306"/>
      <c r="J332" s="306"/>
      <c r="K332" s="306"/>
      <c r="L332" s="306"/>
      <c r="M332" s="306"/>
      <c r="N332" s="388"/>
      <c r="O332" s="281"/>
      <c r="P332" s="281"/>
      <c r="Q332" s="281"/>
      <c r="R332" s="281"/>
      <c r="S332" s="281"/>
      <c r="T332" s="281"/>
      <c r="U332" s="281"/>
      <c r="V332" s="281"/>
      <c r="W332" s="281"/>
      <c r="X332" s="281"/>
      <c r="Y332" s="281"/>
      <c r="Z332" s="281"/>
      <c r="AA332" s="281"/>
      <c r="AB332" s="281"/>
      <c r="AC332" s="281"/>
      <c r="AD332" s="281"/>
      <c r="AE332" s="281"/>
    </row>
    <row r="333" spans="2:31" ht="15">
      <c r="B333" s="386">
        <f t="shared" si="8"/>
        <v>288</v>
      </c>
      <c r="C333" s="394" t="str" cm="1">
        <f t="array" ref="C333">IF(B333&lt;=$C$9,GetGetCDSName(B333),"")</f>
        <v/>
      </c>
      <c r="D333" s="354"/>
      <c r="E333" s="387"/>
      <c r="F333" s="306"/>
      <c r="G333" s="306"/>
      <c r="H333" s="306"/>
      <c r="I333" s="306"/>
      <c r="J333" s="306"/>
      <c r="K333" s="306"/>
      <c r="L333" s="306"/>
      <c r="M333" s="306"/>
      <c r="N333" s="388"/>
      <c r="O333" s="281"/>
      <c r="P333" s="281"/>
      <c r="Q333" s="281"/>
      <c r="R333" s="281"/>
      <c r="S333" s="281"/>
      <c r="T333" s="281"/>
      <c r="U333" s="281"/>
      <c r="V333" s="281"/>
      <c r="W333" s="281"/>
      <c r="X333" s="281"/>
      <c r="Y333" s="281"/>
      <c r="Z333" s="281"/>
      <c r="AA333" s="281"/>
      <c r="AB333" s="281"/>
      <c r="AC333" s="281"/>
      <c r="AD333" s="281"/>
      <c r="AE333" s="281"/>
    </row>
    <row r="334" spans="2:31" ht="15">
      <c r="B334" s="386">
        <f t="shared" si="8"/>
        <v>289</v>
      </c>
      <c r="C334" s="394" t="str" cm="1">
        <f t="array" ref="C334">IF(B334&lt;=$C$9,GetGetCDSName(B334),"")</f>
        <v/>
      </c>
      <c r="D334" s="354"/>
      <c r="E334" s="387"/>
      <c r="F334" s="306"/>
      <c r="G334" s="306"/>
      <c r="H334" s="306"/>
      <c r="I334" s="306"/>
      <c r="J334" s="306"/>
      <c r="K334" s="306"/>
      <c r="L334" s="306"/>
      <c r="M334" s="306"/>
      <c r="N334" s="388"/>
      <c r="O334" s="281"/>
      <c r="P334" s="281"/>
      <c r="Q334" s="281"/>
      <c r="R334" s="281"/>
      <c r="S334" s="281"/>
      <c r="T334" s="281"/>
      <c r="U334" s="281"/>
      <c r="V334" s="281"/>
      <c r="W334" s="281"/>
      <c r="X334" s="281"/>
      <c r="Y334" s="281"/>
      <c r="Z334" s="281"/>
      <c r="AA334" s="281"/>
      <c r="AB334" s="281"/>
      <c r="AC334" s="281"/>
      <c r="AD334" s="281"/>
      <c r="AE334" s="281"/>
    </row>
    <row r="335" spans="2:31" ht="15">
      <c r="B335" s="386">
        <f t="shared" si="8"/>
        <v>290</v>
      </c>
      <c r="C335" s="394" t="str" cm="1">
        <f t="array" ref="C335">IF(B335&lt;=$C$9,GetGetCDSName(B335),"")</f>
        <v/>
      </c>
      <c r="D335" s="354"/>
      <c r="E335" s="387"/>
      <c r="F335" s="306"/>
      <c r="G335" s="306"/>
      <c r="H335" s="306"/>
      <c r="I335" s="306"/>
      <c r="J335" s="306"/>
      <c r="K335" s="306"/>
      <c r="L335" s="306"/>
      <c r="M335" s="306"/>
      <c r="N335" s="388"/>
      <c r="O335" s="281"/>
      <c r="P335" s="281"/>
      <c r="Q335" s="281"/>
      <c r="R335" s="281"/>
      <c r="S335" s="281"/>
      <c r="T335" s="281"/>
      <c r="U335" s="281"/>
      <c r="V335" s="281"/>
      <c r="W335" s="281"/>
      <c r="X335" s="281"/>
      <c r="Y335" s="281"/>
      <c r="Z335" s="281"/>
      <c r="AA335" s="281"/>
      <c r="AB335" s="281"/>
      <c r="AC335" s="281"/>
      <c r="AD335" s="281"/>
      <c r="AE335" s="281"/>
    </row>
    <row r="336" spans="2:31" ht="15">
      <c r="B336" s="386">
        <f t="shared" si="8"/>
        <v>291</v>
      </c>
      <c r="C336" s="394" t="str" cm="1">
        <f t="array" ref="C336">IF(B336&lt;=$C$9,GetGetCDSName(B336),"")</f>
        <v/>
      </c>
      <c r="D336" s="354"/>
      <c r="E336" s="387"/>
      <c r="F336" s="306"/>
      <c r="G336" s="306"/>
      <c r="H336" s="306"/>
      <c r="I336" s="306"/>
      <c r="J336" s="306"/>
      <c r="K336" s="306"/>
      <c r="L336" s="306"/>
      <c r="M336" s="306"/>
      <c r="N336" s="388"/>
      <c r="O336" s="281"/>
      <c r="P336" s="281"/>
      <c r="Q336" s="281"/>
      <c r="R336" s="281"/>
      <c r="S336" s="281"/>
      <c r="T336" s="281"/>
      <c r="U336" s="281"/>
      <c r="V336" s="281"/>
      <c r="W336" s="281"/>
      <c r="X336" s="281"/>
      <c r="Y336" s="281"/>
      <c r="Z336" s="281"/>
      <c r="AA336" s="281"/>
      <c r="AB336" s="281"/>
      <c r="AC336" s="281"/>
      <c r="AD336" s="281"/>
      <c r="AE336" s="281"/>
    </row>
    <row r="337" spans="2:31" ht="15">
      <c r="B337" s="386">
        <f t="shared" si="8"/>
        <v>292</v>
      </c>
      <c r="C337" s="394" t="str" cm="1">
        <f t="array" ref="C337">IF(B337&lt;=$C$9,GetGetCDSName(B337),"")</f>
        <v/>
      </c>
      <c r="D337" s="354"/>
      <c r="E337" s="387"/>
      <c r="F337" s="306"/>
      <c r="G337" s="306"/>
      <c r="H337" s="306"/>
      <c r="I337" s="306"/>
      <c r="J337" s="306"/>
      <c r="K337" s="306"/>
      <c r="L337" s="306"/>
      <c r="M337" s="306"/>
      <c r="N337" s="388"/>
      <c r="O337" s="281"/>
      <c r="P337" s="281"/>
      <c r="Q337" s="281"/>
      <c r="R337" s="281"/>
      <c r="S337" s="281"/>
      <c r="T337" s="281"/>
      <c r="U337" s="281"/>
      <c r="V337" s="281"/>
      <c r="W337" s="281"/>
      <c r="X337" s="281"/>
      <c r="Y337" s="281"/>
      <c r="Z337" s="281"/>
      <c r="AA337" s="281"/>
      <c r="AB337" s="281"/>
      <c r="AC337" s="281"/>
      <c r="AD337" s="281"/>
      <c r="AE337" s="281"/>
    </row>
    <row r="338" spans="2:31" ht="15">
      <c r="B338" s="386">
        <f t="shared" si="8"/>
        <v>293</v>
      </c>
      <c r="C338" s="394" t="str" cm="1">
        <f t="array" ref="C338">IF(B338&lt;=$C$9,GetGetCDSName(B338),"")</f>
        <v/>
      </c>
      <c r="D338" s="354"/>
      <c r="E338" s="387"/>
      <c r="F338" s="306"/>
      <c r="G338" s="306"/>
      <c r="H338" s="306"/>
      <c r="I338" s="306"/>
      <c r="J338" s="306"/>
      <c r="K338" s="306"/>
      <c r="L338" s="306"/>
      <c r="M338" s="306"/>
      <c r="N338" s="388"/>
      <c r="O338" s="281"/>
      <c r="P338" s="281"/>
      <c r="Q338" s="281"/>
      <c r="R338" s="281"/>
      <c r="S338" s="281"/>
      <c r="T338" s="281"/>
      <c r="U338" s="281"/>
      <c r="V338" s="281"/>
      <c r="W338" s="281"/>
      <c r="X338" s="281"/>
      <c r="Y338" s="281"/>
      <c r="Z338" s="281"/>
      <c r="AA338" s="281"/>
      <c r="AB338" s="281"/>
      <c r="AC338" s="281"/>
      <c r="AD338" s="281"/>
      <c r="AE338" s="281"/>
    </row>
    <row r="339" spans="2:31" ht="15">
      <c r="B339" s="386">
        <f t="shared" si="8"/>
        <v>294</v>
      </c>
      <c r="C339" s="394" t="str" cm="1">
        <f t="array" ref="C339">IF(B339&lt;=$C$9,GetGetCDSName(B339),"")</f>
        <v/>
      </c>
      <c r="D339" s="354"/>
      <c r="E339" s="387"/>
      <c r="F339" s="306"/>
      <c r="G339" s="306"/>
      <c r="H339" s="306"/>
      <c r="I339" s="306"/>
      <c r="J339" s="306"/>
      <c r="K339" s="306"/>
      <c r="L339" s="306"/>
      <c r="M339" s="306"/>
      <c r="N339" s="388"/>
      <c r="O339" s="281"/>
      <c r="P339" s="281"/>
      <c r="Q339" s="281"/>
      <c r="R339" s="281"/>
      <c r="S339" s="281"/>
      <c r="T339" s="281"/>
      <c r="U339" s="281"/>
      <c r="V339" s="281"/>
      <c r="W339" s="281"/>
      <c r="X339" s="281"/>
      <c r="Y339" s="281"/>
      <c r="Z339" s="281"/>
      <c r="AA339" s="281"/>
      <c r="AB339" s="281"/>
      <c r="AC339" s="281"/>
      <c r="AD339" s="281"/>
      <c r="AE339" s="281"/>
    </row>
    <row r="340" spans="2:31" ht="15">
      <c r="B340" s="386">
        <f t="shared" si="8"/>
        <v>295</v>
      </c>
      <c r="C340" s="394" t="str" cm="1">
        <f t="array" ref="C340">IF(B340&lt;=$C$9,GetGetCDSName(B340),"")</f>
        <v/>
      </c>
      <c r="D340" s="354"/>
      <c r="E340" s="387"/>
      <c r="F340" s="306"/>
      <c r="G340" s="306"/>
      <c r="H340" s="306"/>
      <c r="I340" s="306"/>
      <c r="J340" s="306"/>
      <c r="K340" s="306"/>
      <c r="L340" s="306"/>
      <c r="M340" s="306"/>
      <c r="N340" s="388"/>
      <c r="O340" s="281"/>
      <c r="P340" s="281"/>
      <c r="Q340" s="281"/>
      <c r="R340" s="281"/>
      <c r="S340" s="281"/>
      <c r="T340" s="281"/>
      <c r="U340" s="281"/>
      <c r="V340" s="281"/>
      <c r="W340" s="281"/>
      <c r="X340" s="281"/>
      <c r="Y340" s="281"/>
      <c r="Z340" s="281"/>
      <c r="AA340" s="281"/>
      <c r="AB340" s="281"/>
      <c r="AC340" s="281"/>
      <c r="AD340" s="281"/>
      <c r="AE340" s="281"/>
    </row>
    <row r="341" spans="2:31" ht="15">
      <c r="B341" s="386">
        <f t="shared" si="8"/>
        <v>296</v>
      </c>
      <c r="C341" s="394" t="str" cm="1">
        <f t="array" ref="C341">IF(B341&lt;=$C$9,GetGetCDSName(B341),"")</f>
        <v/>
      </c>
      <c r="D341" s="354"/>
      <c r="E341" s="387"/>
      <c r="F341" s="306"/>
      <c r="G341" s="306"/>
      <c r="H341" s="306"/>
      <c r="I341" s="306"/>
      <c r="J341" s="306"/>
      <c r="K341" s="306"/>
      <c r="L341" s="306"/>
      <c r="M341" s="306"/>
      <c r="N341" s="388"/>
      <c r="O341" s="281"/>
      <c r="P341" s="281"/>
      <c r="Q341" s="281"/>
      <c r="R341" s="281"/>
      <c r="S341" s="281"/>
      <c r="T341" s="281"/>
      <c r="U341" s="281"/>
      <c r="V341" s="281"/>
      <c r="W341" s="281"/>
      <c r="X341" s="281"/>
      <c r="Y341" s="281"/>
      <c r="Z341" s="281"/>
      <c r="AA341" s="281"/>
      <c r="AB341" s="281"/>
      <c r="AC341" s="281"/>
      <c r="AD341" s="281"/>
      <c r="AE341" s="281"/>
    </row>
    <row r="342" spans="2:31" ht="15">
      <c r="B342" s="386">
        <f t="shared" si="8"/>
        <v>297</v>
      </c>
      <c r="C342" s="394" t="str" cm="1">
        <f t="array" ref="C342">IF(B342&lt;=$C$9,GetGetCDSName(B342),"")</f>
        <v/>
      </c>
      <c r="D342" s="354"/>
      <c r="E342" s="387"/>
      <c r="F342" s="306"/>
      <c r="G342" s="306"/>
      <c r="H342" s="306"/>
      <c r="I342" s="306"/>
      <c r="J342" s="306"/>
      <c r="K342" s="306"/>
      <c r="L342" s="306"/>
      <c r="M342" s="306"/>
      <c r="N342" s="388"/>
      <c r="O342" s="281"/>
      <c r="P342" s="281"/>
      <c r="Q342" s="281"/>
      <c r="R342" s="281"/>
      <c r="S342" s="281"/>
      <c r="T342" s="281"/>
      <c r="U342" s="281"/>
      <c r="V342" s="281"/>
      <c r="W342" s="281"/>
      <c r="X342" s="281"/>
      <c r="Y342" s="281"/>
      <c r="Z342" s="281"/>
      <c r="AA342" s="281"/>
      <c r="AB342" s="281"/>
      <c r="AC342" s="281"/>
      <c r="AD342" s="281"/>
      <c r="AE342" s="281"/>
    </row>
    <row r="343" spans="2:31" ht="15">
      <c r="B343" s="386">
        <f t="shared" si="8"/>
        <v>298</v>
      </c>
      <c r="C343" s="394" t="str" cm="1">
        <f t="array" ref="C343">IF(B343&lt;=$C$9,GetGetCDSName(B343),"")</f>
        <v/>
      </c>
      <c r="D343" s="354"/>
      <c r="E343" s="387"/>
      <c r="F343" s="306"/>
      <c r="G343" s="306"/>
      <c r="H343" s="306"/>
      <c r="I343" s="306"/>
      <c r="J343" s="306"/>
      <c r="K343" s="306"/>
      <c r="L343" s="306"/>
      <c r="M343" s="306"/>
      <c r="N343" s="388"/>
      <c r="O343" s="281"/>
      <c r="P343" s="281"/>
      <c r="Q343" s="281"/>
      <c r="R343" s="281"/>
      <c r="S343" s="281"/>
      <c r="T343" s="281"/>
      <c r="U343" s="281"/>
      <c r="V343" s="281"/>
      <c r="W343" s="281"/>
      <c r="X343" s="281"/>
      <c r="Y343" s="281"/>
      <c r="Z343" s="281"/>
      <c r="AA343" s="281"/>
      <c r="AB343" s="281"/>
      <c r="AC343" s="281"/>
      <c r="AD343" s="281"/>
      <c r="AE343" s="281"/>
    </row>
    <row r="344" spans="2:31" ht="15">
      <c r="B344" s="386">
        <f t="shared" si="8"/>
        <v>299</v>
      </c>
      <c r="C344" s="394" t="str" cm="1">
        <f t="array" ref="C344">IF(B344&lt;=$C$9,GetGetCDSName(B344),"")</f>
        <v/>
      </c>
      <c r="D344" s="354"/>
      <c r="E344" s="387"/>
      <c r="F344" s="306"/>
      <c r="G344" s="306"/>
      <c r="H344" s="306"/>
      <c r="I344" s="306"/>
      <c r="J344" s="306"/>
      <c r="K344" s="306"/>
      <c r="L344" s="306"/>
      <c r="M344" s="306"/>
      <c r="N344" s="388"/>
      <c r="O344" s="281"/>
      <c r="P344" s="281"/>
      <c r="Q344" s="281"/>
      <c r="R344" s="281"/>
      <c r="S344" s="281"/>
      <c r="T344" s="281"/>
      <c r="U344" s="281"/>
      <c r="V344" s="281"/>
      <c r="W344" s="281"/>
      <c r="X344" s="281"/>
      <c r="Y344" s="281"/>
      <c r="Z344" s="281"/>
      <c r="AA344" s="281"/>
      <c r="AB344" s="281"/>
      <c r="AC344" s="281"/>
      <c r="AD344" s="281"/>
      <c r="AE344" s="281"/>
    </row>
    <row r="345" spans="2:31" ht="15.75" thickBot="1">
      <c r="B345" s="389">
        <f t="shared" si="8"/>
        <v>300</v>
      </c>
      <c r="C345" s="394" t="str" cm="1">
        <f t="array" ref="C345">IF(B345&lt;=$C$9,GetGetCDSName(B345),"")</f>
        <v/>
      </c>
      <c r="D345" s="390"/>
      <c r="E345" s="391"/>
      <c r="F345" s="392"/>
      <c r="G345" s="392"/>
      <c r="H345" s="392"/>
      <c r="I345" s="392"/>
      <c r="J345" s="392"/>
      <c r="K345" s="392"/>
      <c r="L345" s="392"/>
      <c r="M345" s="392"/>
      <c r="N345" s="393"/>
      <c r="O345" s="281"/>
      <c r="P345" s="281"/>
      <c r="Q345" s="281"/>
      <c r="R345" s="281"/>
      <c r="S345" s="281"/>
      <c r="T345" s="281"/>
      <c r="U345" s="281"/>
      <c r="V345" s="281"/>
      <c r="W345" s="281"/>
      <c r="X345" s="281"/>
      <c r="Y345" s="281"/>
      <c r="Z345" s="281"/>
      <c r="AA345" s="281"/>
      <c r="AB345" s="281"/>
      <c r="AC345" s="281"/>
      <c r="AD345" s="281"/>
      <c r="AE345" s="281"/>
    </row>
    <row r="346" spans="2:31">
      <c r="O346" s="281"/>
      <c r="P346" s="281"/>
      <c r="Q346" s="281"/>
      <c r="R346" s="281"/>
      <c r="S346" s="281"/>
      <c r="T346" s="281"/>
      <c r="U346" s="281"/>
      <c r="V346" s="281"/>
      <c r="W346" s="281"/>
      <c r="X346" s="281"/>
      <c r="Y346" s="281"/>
      <c r="Z346" s="281"/>
      <c r="AA346" s="281"/>
      <c r="AB346" s="281"/>
      <c r="AC346" s="281"/>
      <c r="AD346" s="281"/>
      <c r="AE346" s="281"/>
    </row>
    <row r="347" spans="2:31">
      <c r="O347" s="281"/>
      <c r="P347" s="281"/>
      <c r="Q347" s="281"/>
      <c r="R347" s="281"/>
      <c r="S347" s="281"/>
      <c r="T347" s="281"/>
      <c r="U347" s="281"/>
      <c r="V347" s="281"/>
      <c r="W347" s="281"/>
      <c r="X347" s="281"/>
      <c r="Y347" s="281"/>
      <c r="Z347" s="281"/>
      <c r="AA347" s="281"/>
      <c r="AB347" s="281"/>
      <c r="AC347" s="281"/>
      <c r="AD347" s="281"/>
      <c r="AE347" s="281"/>
    </row>
    <row r="348" spans="2:31">
      <c r="O348" s="281"/>
      <c r="P348" s="281"/>
      <c r="Q348" s="281"/>
      <c r="R348" s="281"/>
      <c r="S348" s="281"/>
      <c r="T348" s="281"/>
      <c r="U348" s="281"/>
      <c r="V348" s="281"/>
      <c r="W348" s="281"/>
      <c r="X348" s="281"/>
      <c r="Y348" s="281"/>
      <c r="Z348" s="281"/>
      <c r="AA348" s="281"/>
      <c r="AB348" s="281"/>
      <c r="AC348" s="281"/>
      <c r="AD348" s="281"/>
      <c r="AE348" s="281"/>
    </row>
    <row r="349" spans="2:31">
      <c r="O349" s="281"/>
      <c r="P349" s="281"/>
      <c r="Q349" s="281"/>
      <c r="R349" s="281"/>
      <c r="S349" s="281"/>
      <c r="T349" s="281"/>
      <c r="U349" s="281"/>
      <c r="V349" s="281"/>
      <c r="W349" s="281"/>
      <c r="X349" s="281"/>
      <c r="Y349" s="281"/>
      <c r="Z349" s="281"/>
      <c r="AA349" s="281"/>
      <c r="AB349" s="281"/>
      <c r="AC349" s="281"/>
      <c r="AD349" s="281"/>
      <c r="AE349" s="281"/>
    </row>
    <row r="350" spans="2:31">
      <c r="O350" s="281"/>
      <c r="P350" s="281"/>
      <c r="Q350" s="281"/>
      <c r="R350" s="281"/>
      <c r="S350" s="281"/>
      <c r="T350" s="281"/>
      <c r="U350" s="281"/>
      <c r="V350" s="281"/>
      <c r="W350" s="281"/>
      <c r="X350" s="281"/>
      <c r="Y350" s="281"/>
      <c r="Z350" s="281"/>
      <c r="AA350" s="281"/>
      <c r="AB350" s="281"/>
      <c r="AC350" s="281"/>
      <c r="AD350" s="281"/>
      <c r="AE350" s="281"/>
    </row>
    <row r="351" spans="2:31">
      <c r="O351" s="281"/>
      <c r="P351" s="281"/>
      <c r="Q351" s="281"/>
      <c r="R351" s="281"/>
      <c r="S351" s="281"/>
      <c r="T351" s="281"/>
      <c r="U351" s="281"/>
      <c r="V351" s="281"/>
      <c r="W351" s="281"/>
      <c r="X351" s="281"/>
      <c r="Y351" s="281"/>
      <c r="Z351" s="281"/>
      <c r="AA351" s="281"/>
      <c r="AB351" s="281"/>
      <c r="AC351" s="281"/>
      <c r="AD351" s="281"/>
      <c r="AE351" s="281"/>
    </row>
    <row r="352" spans="2:31">
      <c r="O352" s="281"/>
      <c r="P352" s="281"/>
      <c r="Q352" s="281"/>
      <c r="R352" s="281"/>
      <c r="S352" s="281"/>
      <c r="T352" s="281"/>
      <c r="U352" s="281"/>
      <c r="V352" s="281"/>
      <c r="W352" s="281"/>
      <c r="X352" s="281"/>
      <c r="Y352" s="281"/>
      <c r="Z352" s="281"/>
      <c r="AA352" s="281"/>
      <c r="AB352" s="281"/>
      <c r="AC352" s="281"/>
      <c r="AD352" s="281"/>
      <c r="AE352" s="281"/>
    </row>
    <row r="353" spans="15:31">
      <c r="O353" s="281"/>
      <c r="P353" s="281"/>
      <c r="Q353" s="281"/>
      <c r="R353" s="281"/>
      <c r="S353" s="281"/>
      <c r="T353" s="281"/>
      <c r="U353" s="281"/>
      <c r="V353" s="281"/>
      <c r="W353" s="281"/>
      <c r="X353" s="281"/>
      <c r="Y353" s="281"/>
      <c r="Z353" s="281"/>
      <c r="AA353" s="281"/>
      <c r="AB353" s="281"/>
      <c r="AC353" s="281"/>
      <c r="AD353" s="281"/>
      <c r="AE353" s="281"/>
    </row>
    <row r="354" spans="15:31">
      <c r="O354" s="281"/>
      <c r="P354" s="281"/>
      <c r="Q354" s="281"/>
      <c r="R354" s="281"/>
      <c r="S354" s="281"/>
      <c r="T354" s="281"/>
      <c r="U354" s="281"/>
      <c r="V354" s="281"/>
      <c r="W354" s="281"/>
      <c r="X354" s="281"/>
      <c r="Y354" s="281"/>
      <c r="Z354" s="281"/>
      <c r="AA354" s="281"/>
      <c r="AB354" s="281"/>
      <c r="AC354" s="281"/>
      <c r="AD354" s="281"/>
      <c r="AE354" s="281"/>
    </row>
    <row r="355" spans="15:31">
      <c r="O355" s="281"/>
      <c r="P355" s="281"/>
      <c r="Q355" s="281"/>
      <c r="R355" s="281"/>
      <c r="S355" s="281"/>
      <c r="T355" s="281"/>
      <c r="U355" s="281"/>
      <c r="V355" s="281"/>
      <c r="W355" s="281"/>
      <c r="X355" s="281"/>
      <c r="Y355" s="281"/>
      <c r="Z355" s="281"/>
      <c r="AA355" s="281"/>
      <c r="AB355" s="281"/>
      <c r="AC355" s="281"/>
      <c r="AD355" s="281"/>
      <c r="AE355" s="281"/>
    </row>
    <row r="356" spans="15:31">
      <c r="O356" s="281"/>
      <c r="P356" s="281"/>
      <c r="Q356" s="281"/>
      <c r="R356" s="281"/>
      <c r="S356" s="281"/>
      <c r="T356" s="281"/>
      <c r="U356" s="281"/>
      <c r="V356" s="281"/>
      <c r="W356" s="281"/>
      <c r="X356" s="281"/>
      <c r="Y356" s="281"/>
      <c r="Z356" s="281"/>
      <c r="AA356" s="281"/>
      <c r="AB356" s="281"/>
      <c r="AC356" s="281"/>
      <c r="AD356" s="281"/>
      <c r="AE356" s="281"/>
    </row>
    <row r="357" spans="15:31">
      <c r="O357" s="281"/>
      <c r="P357" s="281"/>
      <c r="Q357" s="281"/>
      <c r="R357" s="281"/>
      <c r="S357" s="281"/>
      <c r="T357" s="281"/>
      <c r="U357" s="281"/>
      <c r="V357" s="281"/>
      <c r="W357" s="281"/>
      <c r="X357" s="281"/>
      <c r="Y357" s="281"/>
      <c r="Z357" s="281"/>
      <c r="AA357" s="281"/>
      <c r="AB357" s="281"/>
      <c r="AC357" s="281"/>
      <c r="AD357" s="281"/>
      <c r="AE357" s="281"/>
    </row>
    <row r="358" spans="15:31">
      <c r="O358" s="281"/>
      <c r="P358" s="281"/>
      <c r="Q358" s="281"/>
      <c r="R358" s="281"/>
      <c r="S358" s="281"/>
      <c r="T358" s="281"/>
      <c r="U358" s="281"/>
      <c r="V358" s="281"/>
      <c r="W358" s="281"/>
      <c r="X358" s="281"/>
      <c r="Y358" s="281"/>
      <c r="Z358" s="281"/>
      <c r="AA358" s="281"/>
      <c r="AB358" s="281"/>
      <c r="AC358" s="281"/>
      <c r="AD358" s="281"/>
      <c r="AE358" s="281"/>
    </row>
    <row r="359" spans="15:31">
      <c r="O359" s="281"/>
      <c r="P359" s="281"/>
      <c r="Q359" s="281"/>
      <c r="R359" s="281"/>
      <c r="S359" s="281"/>
      <c r="T359" s="281"/>
      <c r="U359" s="281"/>
      <c r="V359" s="281"/>
      <c r="W359" s="281"/>
      <c r="X359" s="281"/>
      <c r="Y359" s="281"/>
      <c r="Z359" s="281"/>
      <c r="AA359" s="281"/>
      <c r="AB359" s="281"/>
      <c r="AC359" s="281"/>
      <c r="AD359" s="281"/>
      <c r="AE359" s="281"/>
    </row>
    <row r="360" spans="15:31">
      <c r="O360" s="281"/>
      <c r="P360" s="281"/>
      <c r="Q360" s="281"/>
      <c r="R360" s="281"/>
      <c r="S360" s="281"/>
      <c r="T360" s="281"/>
      <c r="U360" s="281"/>
      <c r="V360" s="281"/>
      <c r="W360" s="281"/>
      <c r="X360" s="281"/>
      <c r="Y360" s="281"/>
      <c r="Z360" s="281"/>
      <c r="AA360" s="281"/>
      <c r="AB360" s="281"/>
      <c r="AC360" s="281"/>
      <c r="AD360" s="281"/>
      <c r="AE360" s="281"/>
    </row>
    <row r="361" spans="15:31">
      <c r="O361" s="281"/>
      <c r="P361" s="281"/>
      <c r="Q361" s="281"/>
      <c r="R361" s="281"/>
      <c r="S361" s="281"/>
      <c r="T361" s="281"/>
      <c r="U361" s="281"/>
      <c r="V361" s="281"/>
      <c r="W361" s="281"/>
      <c r="X361" s="281"/>
      <c r="Y361" s="281"/>
      <c r="Z361" s="281"/>
      <c r="AA361" s="281"/>
      <c r="AB361" s="281"/>
      <c r="AC361" s="281"/>
      <c r="AD361" s="281"/>
      <c r="AE361" s="281"/>
    </row>
    <row r="362" spans="15:31">
      <c r="O362" s="281"/>
      <c r="P362" s="281"/>
      <c r="Q362" s="281"/>
      <c r="R362" s="281"/>
      <c r="S362" s="281"/>
      <c r="T362" s="281"/>
      <c r="U362" s="281"/>
      <c r="V362" s="281"/>
      <c r="W362" s="281"/>
      <c r="X362" s="281"/>
      <c r="Y362" s="281"/>
      <c r="Z362" s="281"/>
      <c r="AA362" s="281"/>
      <c r="AB362" s="281"/>
      <c r="AC362" s="281"/>
      <c r="AD362" s="281"/>
      <c r="AE362" s="281"/>
    </row>
    <row r="363" spans="15:31">
      <c r="O363" s="281"/>
      <c r="P363" s="281"/>
      <c r="Q363" s="281"/>
      <c r="R363" s="281"/>
      <c r="S363" s="281"/>
      <c r="T363" s="281"/>
      <c r="U363" s="281"/>
      <c r="V363" s="281"/>
      <c r="W363" s="281"/>
      <c r="X363" s="281"/>
      <c r="Y363" s="281"/>
      <c r="Z363" s="281"/>
      <c r="AA363" s="281"/>
      <c r="AB363" s="281"/>
      <c r="AC363" s="281"/>
      <c r="AD363" s="281"/>
      <c r="AE363" s="281"/>
    </row>
    <row r="364" spans="15:31">
      <c r="O364" s="281"/>
      <c r="P364" s="281"/>
      <c r="Q364" s="281"/>
      <c r="R364" s="281"/>
      <c r="S364" s="281"/>
      <c r="T364" s="281"/>
      <c r="U364" s="281"/>
      <c r="V364" s="281"/>
      <c r="W364" s="281"/>
      <c r="X364" s="281"/>
      <c r="Y364" s="281"/>
      <c r="Z364" s="281"/>
      <c r="AA364" s="281"/>
      <c r="AB364" s="281"/>
      <c r="AC364" s="281"/>
      <c r="AD364" s="281"/>
      <c r="AE364" s="281"/>
    </row>
    <row r="365" spans="15:31">
      <c r="O365" s="281"/>
      <c r="P365" s="281"/>
      <c r="Q365" s="281"/>
      <c r="R365" s="281"/>
      <c r="S365" s="281"/>
      <c r="T365" s="281"/>
      <c r="U365" s="281"/>
      <c r="V365" s="281"/>
      <c r="W365" s="281"/>
      <c r="X365" s="281"/>
      <c r="Y365" s="281"/>
      <c r="Z365" s="281"/>
      <c r="AA365" s="281"/>
      <c r="AB365" s="281"/>
      <c r="AC365" s="281"/>
      <c r="AD365" s="281"/>
      <c r="AE365" s="281"/>
    </row>
    <row r="366" spans="15:31">
      <c r="O366" s="281"/>
      <c r="P366" s="281"/>
      <c r="Q366" s="281"/>
      <c r="R366" s="281"/>
      <c r="S366" s="281"/>
      <c r="T366" s="281"/>
      <c r="U366" s="281"/>
      <c r="V366" s="281"/>
      <c r="W366" s="281"/>
      <c r="X366" s="281"/>
      <c r="Y366" s="281"/>
      <c r="Z366" s="281"/>
      <c r="AA366" s="281"/>
      <c r="AB366" s="281"/>
      <c r="AC366" s="281"/>
      <c r="AD366" s="281"/>
      <c r="AE366" s="281"/>
    </row>
    <row r="367" spans="15:31">
      <c r="O367" s="281"/>
      <c r="P367" s="281"/>
      <c r="Q367" s="281"/>
      <c r="R367" s="281"/>
      <c r="S367" s="281"/>
      <c r="T367" s="281"/>
      <c r="U367" s="281"/>
      <c r="V367" s="281"/>
      <c r="W367" s="281"/>
      <c r="X367" s="281"/>
      <c r="Y367" s="281"/>
      <c r="Z367" s="281"/>
      <c r="AA367" s="281"/>
      <c r="AB367" s="281"/>
      <c r="AC367" s="281"/>
      <c r="AD367" s="281"/>
      <c r="AE367" s="281"/>
    </row>
    <row r="368" spans="15:31">
      <c r="O368" s="281"/>
      <c r="P368" s="281"/>
      <c r="Q368" s="281"/>
      <c r="R368" s="281"/>
      <c r="S368" s="281"/>
      <c r="T368" s="281"/>
      <c r="U368" s="281"/>
      <c r="V368" s="281"/>
      <c r="W368" s="281"/>
      <c r="X368" s="281"/>
      <c r="Y368" s="281"/>
      <c r="Z368" s="281"/>
      <c r="AA368" s="281"/>
      <c r="AB368" s="281"/>
      <c r="AC368" s="281"/>
      <c r="AD368" s="281"/>
      <c r="AE368" s="281"/>
    </row>
    <row r="369" spans="15:31">
      <c r="O369" s="281"/>
      <c r="P369" s="281"/>
      <c r="Q369" s="281"/>
      <c r="R369" s="281"/>
      <c r="S369" s="281"/>
      <c r="T369" s="281"/>
      <c r="U369" s="281"/>
      <c r="V369" s="281"/>
      <c r="W369" s="281"/>
      <c r="X369" s="281"/>
      <c r="Y369" s="281"/>
      <c r="Z369" s="281"/>
      <c r="AA369" s="281"/>
      <c r="AB369" s="281"/>
      <c r="AC369" s="281"/>
      <c r="AD369" s="281"/>
      <c r="AE369" s="281"/>
    </row>
    <row r="370" spans="15:31">
      <c r="O370" s="281"/>
      <c r="P370" s="281"/>
      <c r="Q370" s="281"/>
      <c r="R370" s="281"/>
      <c r="S370" s="281"/>
      <c r="T370" s="281"/>
      <c r="U370" s="281"/>
      <c r="V370" s="281"/>
      <c r="W370" s="281"/>
      <c r="X370" s="281"/>
      <c r="Y370" s="281"/>
      <c r="Z370" s="281"/>
      <c r="AA370" s="281"/>
      <c r="AB370" s="281"/>
      <c r="AC370" s="281"/>
      <c r="AD370" s="281"/>
      <c r="AE370" s="281"/>
    </row>
    <row r="371" spans="15:31">
      <c r="O371" s="281"/>
      <c r="P371" s="281"/>
      <c r="Q371" s="281"/>
      <c r="R371" s="281"/>
      <c r="S371" s="281"/>
      <c r="T371" s="281"/>
      <c r="U371" s="281"/>
      <c r="V371" s="281"/>
      <c r="W371" s="281"/>
      <c r="X371" s="281"/>
      <c r="Y371" s="281"/>
      <c r="Z371" s="281"/>
      <c r="AA371" s="281"/>
      <c r="AB371" s="281"/>
      <c r="AC371" s="281"/>
      <c r="AD371" s="281"/>
      <c r="AE371" s="281"/>
    </row>
    <row r="372" spans="15:31">
      <c r="O372" s="281"/>
      <c r="P372" s="281"/>
      <c r="Q372" s="281"/>
      <c r="R372" s="281"/>
      <c r="S372" s="281"/>
      <c r="T372" s="281"/>
      <c r="U372" s="281"/>
      <c r="V372" s="281"/>
      <c r="W372" s="281"/>
      <c r="X372" s="281"/>
      <c r="Y372" s="281"/>
      <c r="Z372" s="281"/>
      <c r="AA372" s="281"/>
      <c r="AB372" s="281"/>
      <c r="AC372" s="281"/>
      <c r="AD372" s="281"/>
      <c r="AE372" s="281"/>
    </row>
    <row r="373" spans="15:31">
      <c r="O373" s="281"/>
      <c r="P373" s="281"/>
      <c r="Q373" s="281"/>
      <c r="R373" s="281"/>
      <c r="S373" s="281"/>
      <c r="T373" s="281"/>
      <c r="U373" s="281"/>
      <c r="V373" s="281"/>
      <c r="W373" s="281"/>
      <c r="X373" s="281"/>
      <c r="Y373" s="281"/>
      <c r="Z373" s="281"/>
      <c r="AA373" s="281"/>
      <c r="AB373" s="281"/>
      <c r="AC373" s="281"/>
      <c r="AD373" s="281"/>
      <c r="AE373" s="281"/>
    </row>
    <row r="374" spans="15:31">
      <c r="O374" s="281"/>
      <c r="P374" s="281"/>
      <c r="Q374" s="281"/>
      <c r="R374" s="281"/>
      <c r="S374" s="281"/>
      <c r="T374" s="281"/>
      <c r="U374" s="281"/>
      <c r="V374" s="281"/>
      <c r="W374" s="281"/>
      <c r="X374" s="281"/>
      <c r="Y374" s="281"/>
      <c r="Z374" s="281"/>
      <c r="AA374" s="281"/>
      <c r="AB374" s="281"/>
      <c r="AC374" s="281"/>
      <c r="AD374" s="281"/>
      <c r="AE374" s="281"/>
    </row>
    <row r="375" spans="15:31">
      <c r="O375" s="281"/>
      <c r="P375" s="281"/>
      <c r="Q375" s="281"/>
      <c r="R375" s="281"/>
      <c r="S375" s="281"/>
      <c r="T375" s="281"/>
      <c r="U375" s="281"/>
      <c r="V375" s="281"/>
      <c r="W375" s="281"/>
      <c r="X375" s="281"/>
      <c r="Y375" s="281"/>
      <c r="Z375" s="281"/>
      <c r="AA375" s="281"/>
      <c r="AB375" s="281"/>
      <c r="AC375" s="281"/>
      <c r="AD375" s="281"/>
      <c r="AE375" s="281"/>
    </row>
    <row r="376" spans="15:31">
      <c r="O376" s="281"/>
      <c r="P376" s="281"/>
      <c r="Q376" s="281"/>
      <c r="R376" s="281"/>
      <c r="S376" s="281"/>
      <c r="T376" s="281"/>
      <c r="U376" s="281"/>
      <c r="V376" s="281"/>
      <c r="W376" s="281"/>
      <c r="X376" s="281"/>
      <c r="Y376" s="281"/>
      <c r="Z376" s="281"/>
      <c r="AA376" s="281"/>
      <c r="AB376" s="281"/>
      <c r="AC376" s="281"/>
      <c r="AD376" s="281"/>
      <c r="AE376" s="281"/>
    </row>
    <row r="377" spans="15:31">
      <c r="O377" s="281"/>
      <c r="P377" s="281"/>
      <c r="Q377" s="281"/>
      <c r="R377" s="281"/>
      <c r="S377" s="281"/>
      <c r="T377" s="281"/>
      <c r="U377" s="281"/>
      <c r="V377" s="281"/>
      <c r="W377" s="281"/>
      <c r="X377" s="281"/>
      <c r="Y377" s="281"/>
      <c r="Z377" s="281"/>
      <c r="AA377" s="281"/>
      <c r="AB377" s="281"/>
      <c r="AC377" s="281"/>
      <c r="AD377" s="281"/>
      <c r="AE377" s="281"/>
    </row>
    <row r="378" spans="15:31">
      <c r="O378" s="281"/>
      <c r="P378" s="281"/>
      <c r="Q378" s="281"/>
      <c r="R378" s="281"/>
      <c r="S378" s="281"/>
      <c r="T378" s="281"/>
      <c r="U378" s="281"/>
      <c r="V378" s="281"/>
      <c r="W378" s="281"/>
      <c r="X378" s="281"/>
      <c r="Y378" s="281"/>
      <c r="Z378" s="281"/>
      <c r="AA378" s="281"/>
      <c r="AB378" s="281"/>
      <c r="AC378" s="281"/>
      <c r="AD378" s="281"/>
      <c r="AE378" s="281"/>
    </row>
    <row r="379" spans="15:31">
      <c r="O379" s="281"/>
      <c r="P379" s="281"/>
      <c r="Q379" s="281"/>
      <c r="R379" s="281"/>
      <c r="S379" s="281"/>
      <c r="T379" s="281"/>
      <c r="U379" s="281"/>
      <c r="V379" s="281"/>
      <c r="W379" s="281"/>
      <c r="X379" s="281"/>
      <c r="Y379" s="281"/>
      <c r="Z379" s="281"/>
      <c r="AA379" s="281"/>
      <c r="AB379" s="281"/>
      <c r="AC379" s="281"/>
      <c r="AD379" s="281"/>
      <c r="AE379" s="281"/>
    </row>
    <row r="380" spans="15:31">
      <c r="O380" s="281"/>
      <c r="P380" s="281"/>
      <c r="Q380" s="281"/>
      <c r="R380" s="281"/>
      <c r="S380" s="281"/>
      <c r="T380" s="281"/>
      <c r="U380" s="281"/>
      <c r="V380" s="281"/>
      <c r="W380" s="281"/>
      <c r="X380" s="281"/>
      <c r="Y380" s="281"/>
      <c r="Z380" s="281"/>
      <c r="AA380" s="281"/>
      <c r="AB380" s="281"/>
      <c r="AC380" s="281"/>
      <c r="AD380" s="281"/>
      <c r="AE380" s="281"/>
    </row>
    <row r="381" spans="15:31">
      <c r="O381" s="281"/>
      <c r="P381" s="281"/>
      <c r="Q381" s="281"/>
      <c r="R381" s="281"/>
      <c r="S381" s="281"/>
      <c r="T381" s="281"/>
      <c r="U381" s="281"/>
      <c r="V381" s="281"/>
      <c r="W381" s="281"/>
      <c r="X381" s="281"/>
      <c r="Y381" s="281"/>
      <c r="Z381" s="281"/>
      <c r="AA381" s="281"/>
      <c r="AB381" s="281"/>
      <c r="AC381" s="281"/>
      <c r="AD381" s="281"/>
      <c r="AE381" s="281"/>
    </row>
    <row r="382" spans="15:31">
      <c r="O382" s="281"/>
      <c r="P382" s="281"/>
      <c r="Q382" s="281"/>
      <c r="R382" s="281"/>
      <c r="S382" s="281"/>
      <c r="T382" s="281"/>
      <c r="U382" s="281"/>
      <c r="V382" s="281"/>
      <c r="W382" s="281"/>
      <c r="X382" s="281"/>
      <c r="Y382" s="281"/>
      <c r="Z382" s="281"/>
      <c r="AA382" s="281"/>
      <c r="AB382" s="281"/>
      <c r="AC382" s="281"/>
      <c r="AD382" s="281"/>
      <c r="AE382" s="281"/>
    </row>
    <row r="383" spans="15:31">
      <c r="O383" s="281"/>
      <c r="P383" s="281"/>
      <c r="Q383" s="281"/>
      <c r="R383" s="281"/>
      <c r="S383" s="281"/>
      <c r="T383" s="281"/>
      <c r="U383" s="281"/>
      <c r="V383" s="281"/>
      <c r="W383" s="281"/>
      <c r="X383" s="281"/>
      <c r="Y383" s="281"/>
      <c r="Z383" s="281"/>
      <c r="AA383" s="281"/>
      <c r="AB383" s="281"/>
      <c r="AC383" s="281"/>
      <c r="AD383" s="281"/>
      <c r="AE383" s="281"/>
    </row>
    <row r="384" spans="15:31">
      <c r="O384" s="281"/>
      <c r="P384" s="281"/>
      <c r="Q384" s="281"/>
      <c r="R384" s="281"/>
      <c r="S384" s="281"/>
      <c r="T384" s="281"/>
      <c r="U384" s="281"/>
      <c r="V384" s="281"/>
      <c r="W384" s="281"/>
      <c r="X384" s="281"/>
      <c r="Y384" s="281"/>
      <c r="Z384" s="281"/>
      <c r="AA384" s="281"/>
      <c r="AB384" s="281"/>
      <c r="AC384" s="281"/>
      <c r="AD384" s="281"/>
      <c r="AE384" s="281"/>
    </row>
    <row r="385" spans="15:31">
      <c r="O385" s="281"/>
      <c r="P385" s="281"/>
      <c r="Q385" s="281"/>
      <c r="R385" s="281"/>
      <c r="S385" s="281"/>
      <c r="T385" s="281"/>
      <c r="U385" s="281"/>
      <c r="V385" s="281"/>
      <c r="W385" s="281"/>
      <c r="X385" s="281"/>
      <c r="Y385" s="281"/>
      <c r="Z385" s="281"/>
      <c r="AA385" s="281"/>
      <c r="AB385" s="281"/>
      <c r="AC385" s="281"/>
      <c r="AD385" s="281"/>
      <c r="AE385" s="281"/>
    </row>
    <row r="386" spans="15:31">
      <c r="O386" s="281"/>
      <c r="P386" s="281"/>
      <c r="Q386" s="281"/>
      <c r="R386" s="281"/>
      <c r="S386" s="281"/>
      <c r="T386" s="281"/>
      <c r="U386" s="281"/>
      <c r="V386" s="281"/>
      <c r="W386" s="281"/>
      <c r="X386" s="281"/>
      <c r="Y386" s="281"/>
      <c r="Z386" s="281"/>
      <c r="AA386" s="281"/>
      <c r="AB386" s="281"/>
      <c r="AC386" s="281"/>
      <c r="AD386" s="281"/>
      <c r="AE386" s="281"/>
    </row>
    <row r="387" spans="15:31">
      <c r="O387" s="281"/>
      <c r="P387" s="281"/>
      <c r="Q387" s="281"/>
      <c r="R387" s="281"/>
      <c r="S387" s="281"/>
      <c r="T387" s="281"/>
      <c r="U387" s="281"/>
      <c r="V387" s="281"/>
      <c r="W387" s="281"/>
      <c r="X387" s="281"/>
      <c r="Y387" s="281"/>
      <c r="Z387" s="281"/>
      <c r="AA387" s="281"/>
      <c r="AB387" s="281"/>
      <c r="AC387" s="281"/>
      <c r="AD387" s="281"/>
      <c r="AE387" s="281"/>
    </row>
    <row r="388" spans="15:31">
      <c r="O388" s="281"/>
      <c r="P388" s="281"/>
      <c r="Q388" s="281"/>
      <c r="R388" s="281"/>
      <c r="S388" s="281"/>
      <c r="T388" s="281"/>
      <c r="U388" s="281"/>
      <c r="V388" s="281"/>
      <c r="W388" s="281"/>
      <c r="X388" s="281"/>
      <c r="Y388" s="281"/>
      <c r="Z388" s="281"/>
      <c r="AA388" s="281"/>
      <c r="AB388" s="281"/>
      <c r="AC388" s="281"/>
      <c r="AD388" s="281"/>
      <c r="AE388" s="281"/>
    </row>
    <row r="389" spans="15:31">
      <c r="O389" s="281"/>
      <c r="P389" s="281"/>
      <c r="Q389" s="281"/>
      <c r="R389" s="281"/>
      <c r="S389" s="281"/>
      <c r="T389" s="281"/>
      <c r="U389" s="281"/>
      <c r="V389" s="281"/>
      <c r="W389" s="281"/>
      <c r="X389" s="281"/>
      <c r="Y389" s="281"/>
      <c r="Z389" s="281"/>
      <c r="AA389" s="281"/>
      <c r="AB389" s="281"/>
      <c r="AC389" s="281"/>
      <c r="AD389" s="281"/>
      <c r="AE389" s="281"/>
    </row>
    <row r="390" spans="15:31">
      <c r="O390" s="281"/>
      <c r="P390" s="281"/>
      <c r="Q390" s="281"/>
      <c r="R390" s="281"/>
      <c r="S390" s="281"/>
      <c r="T390" s="281"/>
      <c r="U390" s="281"/>
      <c r="V390" s="281"/>
      <c r="W390" s="281"/>
      <c r="X390" s="281"/>
      <c r="Y390" s="281"/>
      <c r="Z390" s="281"/>
      <c r="AA390" s="281"/>
      <c r="AB390" s="281"/>
      <c r="AC390" s="281"/>
      <c r="AD390" s="281"/>
      <c r="AE390" s="281"/>
    </row>
    <row r="391" spans="15:31">
      <c r="O391" s="281"/>
      <c r="P391" s="281"/>
      <c r="Q391" s="281"/>
      <c r="R391" s="281"/>
      <c r="S391" s="281"/>
      <c r="T391" s="281"/>
      <c r="U391" s="281"/>
      <c r="V391" s="281"/>
      <c r="W391" s="281"/>
      <c r="X391" s="281"/>
      <c r="Y391" s="281"/>
      <c r="Z391" s="281"/>
      <c r="AA391" s="281"/>
      <c r="AB391" s="281"/>
      <c r="AC391" s="281"/>
      <c r="AD391" s="281"/>
      <c r="AE391" s="281"/>
    </row>
    <row r="392" spans="15:31">
      <c r="O392" s="281"/>
      <c r="P392" s="281"/>
      <c r="Q392" s="281"/>
      <c r="R392" s="281"/>
      <c r="S392" s="281"/>
      <c r="T392" s="281"/>
      <c r="U392" s="281"/>
      <c r="V392" s="281"/>
      <c r="W392" s="281"/>
      <c r="X392" s="281"/>
      <c r="Y392" s="281"/>
      <c r="Z392" s="281"/>
      <c r="AA392" s="281"/>
      <c r="AB392" s="281"/>
      <c r="AC392" s="281"/>
      <c r="AD392" s="281"/>
      <c r="AE392" s="281"/>
    </row>
    <row r="393" spans="15:31">
      <c r="O393" s="281"/>
      <c r="P393" s="281"/>
      <c r="Q393" s="281"/>
      <c r="R393" s="281"/>
      <c r="S393" s="281"/>
      <c r="T393" s="281"/>
      <c r="U393" s="281"/>
      <c r="V393" s="281"/>
      <c r="W393" s="281"/>
      <c r="X393" s="281"/>
      <c r="Y393" s="281"/>
      <c r="Z393" s="281"/>
      <c r="AA393" s="281"/>
      <c r="AB393" s="281"/>
      <c r="AC393" s="281"/>
      <c r="AD393" s="281"/>
      <c r="AE393" s="281"/>
    </row>
    <row r="394" spans="15:31">
      <c r="O394" s="281"/>
      <c r="P394" s="281"/>
      <c r="Q394" s="281"/>
      <c r="R394" s="281"/>
      <c r="S394" s="281"/>
      <c r="T394" s="281"/>
      <c r="U394" s="281"/>
      <c r="V394" s="281"/>
      <c r="W394" s="281"/>
      <c r="X394" s="281"/>
      <c r="Y394" s="281"/>
      <c r="Z394" s="281"/>
      <c r="AA394" s="281"/>
      <c r="AB394" s="281"/>
      <c r="AC394" s="281"/>
      <c r="AD394" s="281"/>
      <c r="AE394" s="281"/>
    </row>
    <row r="395" spans="15:31">
      <c r="O395" s="281"/>
      <c r="P395" s="281"/>
      <c r="Q395" s="281"/>
      <c r="R395" s="281"/>
      <c r="S395" s="281"/>
      <c r="T395" s="281"/>
      <c r="U395" s="281"/>
      <c r="V395" s="281"/>
      <c r="W395" s="281"/>
      <c r="X395" s="281"/>
      <c r="Y395" s="281"/>
      <c r="Z395" s="281"/>
      <c r="AA395" s="281"/>
      <c r="AB395" s="281"/>
      <c r="AC395" s="281"/>
      <c r="AD395" s="281"/>
      <c r="AE395" s="281"/>
    </row>
    <row r="396" spans="15:31">
      <c r="O396" s="281"/>
      <c r="P396" s="281"/>
      <c r="Q396" s="281"/>
      <c r="R396" s="281"/>
      <c r="S396" s="281"/>
      <c r="T396" s="281"/>
      <c r="U396" s="281"/>
      <c r="V396" s="281"/>
      <c r="W396" s="281"/>
      <c r="X396" s="281"/>
      <c r="Y396" s="281"/>
      <c r="Z396" s="281"/>
      <c r="AA396" s="281"/>
      <c r="AB396" s="281"/>
      <c r="AC396" s="281"/>
      <c r="AD396" s="281"/>
      <c r="AE396" s="281"/>
    </row>
    <row r="397" spans="15:31">
      <c r="O397" s="281"/>
      <c r="P397" s="281"/>
      <c r="Q397" s="281"/>
      <c r="R397" s="281"/>
      <c r="S397" s="281"/>
      <c r="T397" s="281"/>
      <c r="U397" s="281"/>
      <c r="V397" s="281"/>
      <c r="W397" s="281"/>
      <c r="X397" s="281"/>
      <c r="Y397" s="281"/>
      <c r="Z397" s="281"/>
      <c r="AA397" s="281"/>
      <c r="AB397" s="281"/>
      <c r="AC397" s="281"/>
      <c r="AD397" s="281"/>
      <c r="AE397" s="281"/>
    </row>
    <row r="398" spans="15:31">
      <c r="O398" s="281"/>
      <c r="P398" s="281"/>
      <c r="Q398" s="281"/>
      <c r="R398" s="281"/>
      <c r="S398" s="281"/>
      <c r="T398" s="281"/>
      <c r="U398" s="281"/>
      <c r="V398" s="281"/>
      <c r="W398" s="281"/>
      <c r="X398" s="281"/>
      <c r="Y398" s="281"/>
      <c r="Z398" s="281"/>
      <c r="AA398" s="281"/>
      <c r="AB398" s="281"/>
      <c r="AC398" s="281"/>
      <c r="AD398" s="281"/>
      <c r="AE398" s="281"/>
    </row>
    <row r="399" spans="15:31">
      <c r="O399" s="281"/>
      <c r="P399" s="281"/>
      <c r="Q399" s="281"/>
      <c r="R399" s="281"/>
      <c r="S399" s="281"/>
      <c r="T399" s="281"/>
      <c r="U399" s="281"/>
      <c r="V399" s="281"/>
      <c r="W399" s="281"/>
      <c r="X399" s="281"/>
      <c r="Y399" s="281"/>
      <c r="Z399" s="281"/>
      <c r="AA399" s="281"/>
      <c r="AB399" s="281"/>
      <c r="AC399" s="281"/>
      <c r="AD399" s="281"/>
      <c r="AE399" s="281"/>
    </row>
    <row r="400" spans="15:31">
      <c r="O400" s="281"/>
      <c r="P400" s="281"/>
      <c r="Q400" s="281"/>
      <c r="R400" s="281"/>
      <c r="S400" s="281"/>
      <c r="T400" s="281"/>
      <c r="U400" s="281"/>
      <c r="V400" s="281"/>
      <c r="W400" s="281"/>
      <c r="X400" s="281"/>
      <c r="Y400" s="281"/>
      <c r="Z400" s="281"/>
      <c r="AA400" s="281"/>
      <c r="AB400" s="281"/>
      <c r="AC400" s="281"/>
      <c r="AD400" s="281"/>
      <c r="AE400" s="281"/>
    </row>
    <row r="401" spans="15:31">
      <c r="O401" s="281"/>
      <c r="P401" s="281"/>
      <c r="Q401" s="281"/>
      <c r="R401" s="281"/>
      <c r="S401" s="281"/>
      <c r="T401" s="281"/>
      <c r="U401" s="281"/>
      <c r="V401" s="281"/>
      <c r="W401" s="281"/>
      <c r="X401" s="281"/>
      <c r="Y401" s="281"/>
      <c r="Z401" s="281"/>
      <c r="AA401" s="281"/>
      <c r="AB401" s="281"/>
      <c r="AC401" s="281"/>
      <c r="AD401" s="281"/>
      <c r="AE401" s="281"/>
    </row>
    <row r="402" spans="15:31">
      <c r="O402" s="281"/>
      <c r="P402" s="281"/>
      <c r="Q402" s="281"/>
      <c r="R402" s="281"/>
      <c r="S402" s="281"/>
      <c r="T402" s="281"/>
      <c r="U402" s="281"/>
      <c r="V402" s="281"/>
      <c r="W402" s="281"/>
      <c r="X402" s="281"/>
      <c r="Y402" s="281"/>
      <c r="Z402" s="281"/>
      <c r="AA402" s="281"/>
      <c r="AB402" s="281"/>
      <c r="AC402" s="281"/>
      <c r="AD402" s="281"/>
      <c r="AE402" s="281"/>
    </row>
    <row r="403" spans="15:31">
      <c r="O403" s="281"/>
      <c r="P403" s="281"/>
      <c r="Q403" s="281"/>
      <c r="R403" s="281"/>
      <c r="S403" s="281"/>
      <c r="T403" s="281"/>
      <c r="U403" s="281"/>
      <c r="V403" s="281"/>
      <c r="W403" s="281"/>
      <c r="X403" s="281"/>
      <c r="Y403" s="281"/>
      <c r="Z403" s="281"/>
      <c r="AA403" s="281"/>
      <c r="AB403" s="281"/>
      <c r="AC403" s="281"/>
      <c r="AD403" s="281"/>
      <c r="AE403" s="281"/>
    </row>
    <row r="404" spans="15:31">
      <c r="O404" s="281"/>
      <c r="P404" s="281"/>
      <c r="Q404" s="281"/>
      <c r="R404" s="281"/>
      <c r="S404" s="281"/>
      <c r="T404" s="281"/>
      <c r="U404" s="281"/>
      <c r="V404" s="281"/>
      <c r="W404" s="281"/>
      <c r="X404" s="281"/>
      <c r="Y404" s="281"/>
      <c r="Z404" s="281"/>
      <c r="AA404" s="281"/>
      <c r="AB404" s="281"/>
      <c r="AC404" s="281"/>
      <c r="AD404" s="281"/>
      <c r="AE404" s="281"/>
    </row>
    <row r="405" spans="15:31">
      <c r="O405" s="281"/>
      <c r="P405" s="281"/>
      <c r="Q405" s="281"/>
      <c r="R405" s="281"/>
      <c r="S405" s="281"/>
      <c r="T405" s="281"/>
      <c r="U405" s="281"/>
      <c r="V405" s="281"/>
      <c r="W405" s="281"/>
      <c r="X405" s="281"/>
      <c r="Y405" s="281"/>
      <c r="Z405" s="281"/>
      <c r="AA405" s="281"/>
      <c r="AB405" s="281"/>
      <c r="AC405" s="281"/>
      <c r="AD405" s="281"/>
      <c r="AE405" s="281"/>
    </row>
    <row r="406" spans="15:31">
      <c r="O406" s="281"/>
      <c r="P406" s="281"/>
      <c r="Q406" s="281"/>
      <c r="R406" s="281"/>
      <c r="S406" s="281"/>
      <c r="T406" s="281"/>
      <c r="U406" s="281"/>
      <c r="V406" s="281"/>
      <c r="W406" s="281"/>
      <c r="X406" s="281"/>
      <c r="Y406" s="281"/>
      <c r="Z406" s="281"/>
      <c r="AA406" s="281"/>
      <c r="AB406" s="281"/>
      <c r="AC406" s="281"/>
      <c r="AD406" s="281"/>
      <c r="AE406" s="281"/>
    </row>
    <row r="407" spans="15:31">
      <c r="O407" s="281"/>
      <c r="P407" s="281"/>
      <c r="Q407" s="281"/>
      <c r="R407" s="281"/>
      <c r="S407" s="281"/>
      <c r="T407" s="281"/>
      <c r="U407" s="281"/>
      <c r="V407" s="281"/>
      <c r="W407" s="281"/>
      <c r="X407" s="281"/>
      <c r="Y407" s="281"/>
      <c r="Z407" s="281"/>
      <c r="AA407" s="281"/>
      <c r="AB407" s="281"/>
      <c r="AC407" s="281"/>
      <c r="AD407" s="281"/>
      <c r="AE407" s="281"/>
    </row>
    <row r="408" spans="15:31">
      <c r="O408" s="281"/>
      <c r="P408" s="281"/>
      <c r="Q408" s="281"/>
      <c r="R408" s="281"/>
      <c r="S408" s="281"/>
      <c r="T408" s="281"/>
      <c r="U408" s="281"/>
      <c r="V408" s="281"/>
      <c r="W408" s="281"/>
      <c r="X408" s="281"/>
      <c r="Y408" s="281"/>
      <c r="Z408" s="281"/>
      <c r="AA408" s="281"/>
      <c r="AB408" s="281"/>
      <c r="AC408" s="281"/>
      <c r="AD408" s="281"/>
      <c r="AE408" s="281"/>
    </row>
    <row r="409" spans="15:31">
      <c r="O409" s="281"/>
      <c r="P409" s="281"/>
      <c r="Q409" s="281"/>
      <c r="R409" s="281"/>
      <c r="S409" s="281"/>
      <c r="T409" s="281"/>
      <c r="U409" s="281"/>
      <c r="V409" s="281"/>
      <c r="W409" s="281"/>
      <c r="X409" s="281"/>
      <c r="Y409" s="281"/>
      <c r="Z409" s="281"/>
      <c r="AA409" s="281"/>
      <c r="AB409" s="281"/>
      <c r="AC409" s="281"/>
      <c r="AD409" s="281"/>
      <c r="AE409" s="281"/>
    </row>
    <row r="410" spans="15:31">
      <c r="O410" s="281"/>
      <c r="P410" s="281"/>
      <c r="Q410" s="281"/>
      <c r="R410" s="281"/>
      <c r="S410" s="281"/>
      <c r="T410" s="281"/>
      <c r="U410" s="281"/>
      <c r="V410" s="281"/>
      <c r="W410" s="281"/>
      <c r="X410" s="281"/>
      <c r="Y410" s="281"/>
      <c r="Z410" s="281"/>
      <c r="AA410" s="281"/>
      <c r="AB410" s="281"/>
      <c r="AC410" s="281"/>
      <c r="AD410" s="281"/>
      <c r="AE410" s="281"/>
    </row>
    <row r="411" spans="15:31">
      <c r="O411" s="281"/>
      <c r="P411" s="281"/>
      <c r="Q411" s="281"/>
      <c r="R411" s="281"/>
      <c r="S411" s="281"/>
      <c r="T411" s="281"/>
      <c r="U411" s="281"/>
      <c r="V411" s="281"/>
      <c r="W411" s="281"/>
      <c r="X411" s="281"/>
      <c r="Y411" s="281"/>
      <c r="Z411" s="281"/>
      <c r="AA411" s="281"/>
      <c r="AB411" s="281"/>
      <c r="AC411" s="281"/>
      <c r="AD411" s="281"/>
      <c r="AE411" s="281"/>
    </row>
    <row r="412" spans="15:31">
      <c r="O412" s="281"/>
      <c r="P412" s="281"/>
      <c r="Q412" s="281"/>
      <c r="R412" s="281"/>
      <c r="S412" s="281"/>
      <c r="T412" s="281"/>
      <c r="U412" s="281"/>
      <c r="V412" s="281"/>
      <c r="W412" s="281"/>
      <c r="X412" s="281"/>
      <c r="Y412" s="281"/>
      <c r="Z412" s="281"/>
      <c r="AA412" s="281"/>
      <c r="AB412" s="281"/>
      <c r="AC412" s="281"/>
      <c r="AD412" s="281"/>
      <c r="AE412" s="281"/>
    </row>
    <row r="413" spans="15:31">
      <c r="O413" s="281"/>
      <c r="P413" s="281"/>
      <c r="Q413" s="281"/>
      <c r="R413" s="281"/>
      <c r="S413" s="281"/>
      <c r="T413" s="281"/>
      <c r="U413" s="281"/>
      <c r="V413" s="281"/>
      <c r="W413" s="281"/>
      <c r="X413" s="281"/>
      <c r="Y413" s="281"/>
      <c r="Z413" s="281"/>
      <c r="AA413" s="281"/>
      <c r="AB413" s="281"/>
      <c r="AC413" s="281"/>
      <c r="AD413" s="281"/>
      <c r="AE413" s="281"/>
    </row>
    <row r="414" spans="15:31">
      <c r="O414" s="281"/>
      <c r="P414" s="281"/>
      <c r="Q414" s="281"/>
      <c r="R414" s="281"/>
      <c r="S414" s="281"/>
      <c r="T414" s="281"/>
      <c r="U414" s="281"/>
      <c r="V414" s="281"/>
      <c r="W414" s="281"/>
      <c r="X414" s="281"/>
      <c r="Y414" s="281"/>
      <c r="Z414" s="281"/>
      <c r="AA414" s="281"/>
      <c r="AB414" s="281"/>
      <c r="AC414" s="281"/>
      <c r="AD414" s="281"/>
      <c r="AE414" s="281"/>
    </row>
    <row r="415" spans="15:31">
      <c r="O415" s="281"/>
      <c r="P415" s="281"/>
      <c r="Q415" s="281"/>
      <c r="R415" s="281"/>
      <c r="S415" s="281"/>
      <c r="T415" s="281"/>
      <c r="U415" s="281"/>
      <c r="V415" s="281"/>
      <c r="W415" s="281"/>
      <c r="X415" s="281"/>
      <c r="Y415" s="281"/>
      <c r="Z415" s="281"/>
      <c r="AA415" s="281"/>
      <c r="AB415" s="281"/>
      <c r="AC415" s="281"/>
      <c r="AD415" s="281"/>
      <c r="AE415" s="281"/>
    </row>
    <row r="416" spans="15:31">
      <c r="O416" s="281"/>
      <c r="P416" s="281"/>
      <c r="Q416" s="281"/>
      <c r="R416" s="281"/>
      <c r="S416" s="281"/>
      <c r="T416" s="281"/>
      <c r="U416" s="281"/>
      <c r="V416" s="281"/>
      <c r="W416" s="281"/>
      <c r="X416" s="281"/>
      <c r="Y416" s="281"/>
      <c r="Z416" s="281"/>
      <c r="AA416" s="281"/>
      <c r="AB416" s="281"/>
      <c r="AC416" s="281"/>
      <c r="AD416" s="281"/>
      <c r="AE416" s="281"/>
    </row>
    <row r="417" spans="15:31">
      <c r="O417" s="281"/>
      <c r="P417" s="281"/>
      <c r="Q417" s="281"/>
      <c r="R417" s="281"/>
      <c r="S417" s="281"/>
      <c r="T417" s="281"/>
      <c r="U417" s="281"/>
      <c r="V417" s="281"/>
      <c r="W417" s="281"/>
      <c r="X417" s="281"/>
      <c r="Y417" s="281"/>
      <c r="Z417" s="281"/>
      <c r="AA417" s="281"/>
      <c r="AB417" s="281"/>
      <c r="AC417" s="281"/>
      <c r="AD417" s="281"/>
      <c r="AE417" s="281"/>
    </row>
    <row r="418" spans="15:31">
      <c r="O418" s="281"/>
      <c r="P418" s="281"/>
      <c r="Q418" s="281"/>
      <c r="R418" s="281"/>
      <c r="S418" s="281"/>
      <c r="T418" s="281"/>
      <c r="U418" s="281"/>
      <c r="V418" s="281"/>
      <c r="W418" s="281"/>
      <c r="X418" s="281"/>
      <c r="Y418" s="281"/>
      <c r="Z418" s="281"/>
      <c r="AA418" s="281"/>
      <c r="AB418" s="281"/>
      <c r="AC418" s="281"/>
      <c r="AD418" s="281"/>
      <c r="AE418" s="281"/>
    </row>
    <row r="419" spans="15:31">
      <c r="O419" s="281"/>
      <c r="P419" s="281"/>
      <c r="Q419" s="281"/>
      <c r="R419" s="281"/>
      <c r="S419" s="281"/>
      <c r="T419" s="281"/>
      <c r="U419" s="281"/>
      <c r="V419" s="281"/>
      <c r="W419" s="281"/>
      <c r="X419" s="281"/>
      <c r="Y419" s="281"/>
      <c r="Z419" s="281"/>
      <c r="AA419" s="281"/>
      <c r="AB419" s="281"/>
      <c r="AC419" s="281"/>
      <c r="AD419" s="281"/>
      <c r="AE419" s="281"/>
    </row>
    <row r="420" spans="15:31">
      <c r="O420" s="281"/>
      <c r="P420" s="281"/>
      <c r="Q420" s="281"/>
      <c r="R420" s="281"/>
      <c r="S420" s="281"/>
      <c r="T420" s="281"/>
      <c r="U420" s="281"/>
      <c r="V420" s="281"/>
      <c r="W420" s="281"/>
      <c r="X420" s="281"/>
      <c r="Y420" s="281"/>
      <c r="Z420" s="281"/>
      <c r="AA420" s="281"/>
      <c r="AB420" s="281"/>
      <c r="AC420" s="281"/>
      <c r="AD420" s="281"/>
      <c r="AE420" s="281"/>
    </row>
    <row r="421" spans="15:31">
      <c r="O421" s="281"/>
      <c r="P421" s="281"/>
      <c r="Q421" s="281"/>
      <c r="R421" s="281"/>
      <c r="S421" s="281"/>
      <c r="T421" s="281"/>
      <c r="U421" s="281"/>
      <c r="V421" s="281"/>
      <c r="W421" s="281"/>
      <c r="X421" s="281"/>
      <c r="Y421" s="281"/>
      <c r="Z421" s="281"/>
      <c r="AA421" s="281"/>
      <c r="AB421" s="281"/>
      <c r="AC421" s="281"/>
      <c r="AD421" s="281"/>
      <c r="AE421" s="281"/>
    </row>
    <row r="422" spans="15:31">
      <c r="O422" s="281"/>
      <c r="P422" s="281"/>
      <c r="Q422" s="281"/>
      <c r="R422" s="281"/>
      <c r="S422" s="281"/>
      <c r="T422" s="281"/>
      <c r="U422" s="281"/>
      <c r="V422" s="281"/>
      <c r="W422" s="281"/>
      <c r="X422" s="281"/>
      <c r="Y422" s="281"/>
      <c r="Z422" s="281"/>
      <c r="AA422" s="281"/>
      <c r="AB422" s="281"/>
      <c r="AC422" s="281"/>
      <c r="AD422" s="281"/>
      <c r="AE422" s="281"/>
    </row>
    <row r="423" spans="15:31">
      <c r="O423" s="281"/>
      <c r="P423" s="281"/>
      <c r="Q423" s="281"/>
      <c r="R423" s="281"/>
      <c r="S423" s="281"/>
      <c r="T423" s="281"/>
      <c r="U423" s="281"/>
      <c r="V423" s="281"/>
      <c r="W423" s="281"/>
      <c r="X423" s="281"/>
      <c r="Y423" s="281"/>
      <c r="Z423" s="281"/>
      <c r="AA423" s="281"/>
      <c r="AB423" s="281"/>
      <c r="AC423" s="281"/>
      <c r="AD423" s="281"/>
      <c r="AE423" s="281"/>
    </row>
    <row r="424" spans="15:31">
      <c r="O424" s="281"/>
      <c r="P424" s="281"/>
      <c r="Q424" s="281"/>
      <c r="R424" s="281"/>
      <c r="S424" s="281"/>
      <c r="T424" s="281"/>
      <c r="U424" s="281"/>
      <c r="V424" s="281"/>
      <c r="W424" s="281"/>
      <c r="X424" s="281"/>
      <c r="Y424" s="281"/>
      <c r="Z424" s="281"/>
      <c r="AA424" s="281"/>
      <c r="AB424" s="281"/>
      <c r="AC424" s="281"/>
      <c r="AD424" s="281"/>
      <c r="AE424" s="281"/>
    </row>
    <row r="425" spans="15:31">
      <c r="O425" s="281"/>
      <c r="P425" s="281"/>
      <c r="Q425" s="281"/>
      <c r="R425" s="281"/>
      <c r="S425" s="281"/>
      <c r="T425" s="281"/>
      <c r="U425" s="281"/>
      <c r="V425" s="281"/>
      <c r="W425" s="281"/>
      <c r="X425" s="281"/>
      <c r="Y425" s="281"/>
      <c r="Z425" s="281"/>
      <c r="AA425" s="281"/>
      <c r="AB425" s="281"/>
      <c r="AC425" s="281"/>
      <c r="AD425" s="281"/>
      <c r="AE425" s="281"/>
    </row>
    <row r="426" spans="15:31">
      <c r="O426" s="281"/>
      <c r="P426" s="281"/>
      <c r="Q426" s="281"/>
      <c r="R426" s="281"/>
      <c r="S426" s="281"/>
      <c r="T426" s="281"/>
      <c r="U426" s="281"/>
      <c r="V426" s="281"/>
      <c r="W426" s="281"/>
      <c r="X426" s="281"/>
      <c r="Y426" s="281"/>
      <c r="Z426" s="281"/>
      <c r="AA426" s="281"/>
      <c r="AB426" s="281"/>
      <c r="AC426" s="281"/>
      <c r="AD426" s="281"/>
      <c r="AE426" s="281"/>
    </row>
    <row r="427" spans="15:31">
      <c r="O427" s="281"/>
      <c r="P427" s="281"/>
      <c r="Q427" s="281"/>
      <c r="R427" s="281"/>
      <c r="S427" s="281"/>
      <c r="T427" s="281"/>
      <c r="U427" s="281"/>
      <c r="V427" s="281"/>
      <c r="W427" s="281"/>
      <c r="X427" s="281"/>
      <c r="Y427" s="281"/>
      <c r="Z427" s="281"/>
      <c r="AA427" s="281"/>
      <c r="AB427" s="281"/>
      <c r="AC427" s="281"/>
      <c r="AD427" s="281"/>
      <c r="AE427" s="281"/>
    </row>
    <row r="428" spans="15:31">
      <c r="O428" s="281"/>
      <c r="P428" s="281"/>
      <c r="Q428" s="281"/>
      <c r="R428" s="281"/>
      <c r="S428" s="281"/>
      <c r="T428" s="281"/>
      <c r="U428" s="281"/>
      <c r="V428" s="281"/>
      <c r="W428" s="281"/>
      <c r="X428" s="281"/>
      <c r="Y428" s="281"/>
      <c r="Z428" s="281"/>
      <c r="AA428" s="281"/>
      <c r="AB428" s="281"/>
      <c r="AC428" s="281"/>
      <c r="AD428" s="281"/>
      <c r="AE428" s="281"/>
    </row>
    <row r="429" spans="15:31">
      <c r="O429" s="281"/>
      <c r="P429" s="281"/>
      <c r="Q429" s="281"/>
      <c r="R429" s="281"/>
      <c r="S429" s="281"/>
      <c r="T429" s="281"/>
      <c r="U429" s="281"/>
      <c r="V429" s="281"/>
      <c r="W429" s="281"/>
      <c r="X429" s="281"/>
      <c r="Y429" s="281"/>
      <c r="Z429" s="281"/>
      <c r="AA429" s="281"/>
      <c r="AB429" s="281"/>
      <c r="AC429" s="281"/>
      <c r="AD429" s="281"/>
      <c r="AE429" s="281"/>
    </row>
    <row r="430" spans="15:31">
      <c r="O430" s="281"/>
      <c r="P430" s="281"/>
      <c r="Q430" s="281"/>
      <c r="R430" s="281"/>
      <c r="S430" s="281"/>
      <c r="T430" s="281"/>
      <c r="U430" s="281"/>
      <c r="V430" s="281"/>
      <c r="W430" s="281"/>
      <c r="X430" s="281"/>
      <c r="Y430" s="281"/>
      <c r="Z430" s="281"/>
      <c r="AA430" s="281"/>
      <c r="AB430" s="281"/>
      <c r="AC430" s="281"/>
      <c r="AD430" s="281"/>
      <c r="AE430" s="281"/>
    </row>
    <row r="431" spans="15:31">
      <c r="O431" s="281"/>
      <c r="P431" s="281"/>
      <c r="Q431" s="281"/>
      <c r="R431" s="281"/>
      <c r="S431" s="281"/>
      <c r="T431" s="281"/>
      <c r="U431" s="281"/>
      <c r="V431" s="281"/>
      <c r="W431" s="281"/>
      <c r="X431" s="281"/>
      <c r="Y431" s="281"/>
      <c r="Z431" s="281"/>
      <c r="AA431" s="281"/>
      <c r="AB431" s="281"/>
      <c r="AC431" s="281"/>
      <c r="AD431" s="281"/>
      <c r="AE431" s="281"/>
    </row>
    <row r="432" spans="15:31">
      <c r="O432" s="281"/>
      <c r="P432" s="281"/>
      <c r="Q432" s="281"/>
      <c r="R432" s="281"/>
      <c r="S432" s="281"/>
      <c r="T432" s="281"/>
      <c r="U432" s="281"/>
      <c r="V432" s="281"/>
      <c r="W432" s="281"/>
      <c r="X432" s="281"/>
      <c r="Y432" s="281"/>
      <c r="Z432" s="281"/>
      <c r="AA432" s="281"/>
      <c r="AB432" s="281"/>
      <c r="AC432" s="281"/>
      <c r="AD432" s="281"/>
      <c r="AE432" s="281"/>
    </row>
    <row r="433" spans="15:31">
      <c r="O433" s="281"/>
      <c r="P433" s="281"/>
      <c r="Q433" s="281"/>
      <c r="R433" s="281"/>
      <c r="S433" s="281"/>
      <c r="T433" s="281"/>
      <c r="U433" s="281"/>
      <c r="V433" s="281"/>
      <c r="W433" s="281"/>
      <c r="X433" s="281"/>
      <c r="Y433" s="281"/>
      <c r="Z433" s="281"/>
      <c r="AA433" s="281"/>
      <c r="AB433" s="281"/>
      <c r="AC433" s="281"/>
      <c r="AD433" s="281"/>
      <c r="AE433" s="281"/>
    </row>
    <row r="434" spans="15:31">
      <c r="O434" s="281"/>
      <c r="P434" s="281"/>
      <c r="Q434" s="281"/>
      <c r="R434" s="281"/>
      <c r="S434" s="281"/>
      <c r="T434" s="281"/>
      <c r="U434" s="281"/>
      <c r="V434" s="281"/>
      <c r="W434" s="281"/>
      <c r="X434" s="281"/>
      <c r="Y434" s="281"/>
      <c r="Z434" s="281"/>
      <c r="AA434" s="281"/>
      <c r="AB434" s="281"/>
      <c r="AC434" s="281"/>
      <c r="AD434" s="281"/>
      <c r="AE434" s="281"/>
    </row>
    <row r="435" spans="15:31">
      <c r="O435" s="281"/>
      <c r="P435" s="281"/>
      <c r="Q435" s="281"/>
      <c r="R435" s="281"/>
      <c r="S435" s="281"/>
      <c r="T435" s="281"/>
      <c r="U435" s="281"/>
      <c r="V435" s="281"/>
      <c r="W435" s="281"/>
      <c r="X435" s="281"/>
      <c r="Y435" s="281"/>
      <c r="Z435" s="281"/>
      <c r="AA435" s="281"/>
      <c r="AB435" s="281"/>
      <c r="AC435" s="281"/>
      <c r="AD435" s="281"/>
      <c r="AE435" s="281"/>
    </row>
    <row r="436" spans="15:31">
      <c r="O436" s="281"/>
      <c r="P436" s="281"/>
      <c r="Q436" s="281"/>
      <c r="R436" s="281"/>
      <c r="S436" s="281"/>
      <c r="T436" s="281"/>
      <c r="U436" s="281"/>
      <c r="V436" s="281"/>
      <c r="W436" s="281"/>
      <c r="X436" s="281"/>
      <c r="Y436" s="281"/>
      <c r="Z436" s="281"/>
      <c r="AA436" s="281"/>
      <c r="AB436" s="281"/>
      <c r="AC436" s="281"/>
      <c r="AD436" s="281"/>
      <c r="AE436" s="281"/>
    </row>
    <row r="437" spans="15:31">
      <c r="O437" s="281"/>
      <c r="P437" s="281"/>
      <c r="Q437" s="281"/>
      <c r="R437" s="281"/>
      <c r="S437" s="281"/>
      <c r="T437" s="281"/>
      <c r="U437" s="281"/>
      <c r="V437" s="281"/>
      <c r="W437" s="281"/>
      <c r="X437" s="281"/>
      <c r="Y437" s="281"/>
      <c r="Z437" s="281"/>
      <c r="AA437" s="281"/>
      <c r="AB437" s="281"/>
      <c r="AC437" s="281"/>
      <c r="AD437" s="281"/>
      <c r="AE437" s="281"/>
    </row>
    <row r="438" spans="15:31">
      <c r="O438" s="281"/>
      <c r="P438" s="281"/>
      <c r="Q438" s="281"/>
      <c r="R438" s="281"/>
      <c r="S438" s="281"/>
      <c r="T438" s="281"/>
      <c r="U438" s="281"/>
      <c r="V438" s="281"/>
      <c r="W438" s="281"/>
      <c r="X438" s="281"/>
      <c r="Y438" s="281"/>
      <c r="Z438" s="281"/>
      <c r="AA438" s="281"/>
      <c r="AB438" s="281"/>
      <c r="AC438" s="281"/>
      <c r="AD438" s="281"/>
      <c r="AE438" s="281"/>
    </row>
    <row r="439" spans="15:31">
      <c r="O439" s="281"/>
      <c r="P439" s="281"/>
      <c r="Q439" s="281"/>
      <c r="R439" s="281"/>
      <c r="S439" s="281"/>
      <c r="T439" s="281"/>
      <c r="U439" s="281"/>
      <c r="V439" s="281"/>
      <c r="W439" s="281"/>
      <c r="X439" s="281"/>
      <c r="Y439" s="281"/>
      <c r="Z439" s="281"/>
      <c r="AA439" s="281"/>
      <c r="AB439" s="281"/>
      <c r="AC439" s="281"/>
      <c r="AD439" s="281"/>
      <c r="AE439" s="281"/>
    </row>
    <row r="440" spans="15:31">
      <c r="O440" s="281"/>
      <c r="P440" s="281"/>
      <c r="Q440" s="281"/>
      <c r="R440" s="281"/>
      <c r="S440" s="281"/>
      <c r="T440" s="281"/>
      <c r="U440" s="281"/>
      <c r="V440" s="281"/>
      <c r="W440" s="281"/>
      <c r="X440" s="281"/>
      <c r="Y440" s="281"/>
      <c r="Z440" s="281"/>
      <c r="AA440" s="281"/>
      <c r="AB440" s="281"/>
      <c r="AC440" s="281"/>
      <c r="AD440" s="281"/>
      <c r="AE440" s="281"/>
    </row>
    <row r="441" spans="15:31">
      <c r="O441" s="281"/>
      <c r="P441" s="281"/>
      <c r="Q441" s="281"/>
      <c r="R441" s="281"/>
      <c r="S441" s="281"/>
      <c r="T441" s="281"/>
      <c r="U441" s="281"/>
      <c r="V441" s="281"/>
      <c r="W441" s="281"/>
      <c r="X441" s="281"/>
      <c r="Y441" s="281"/>
      <c r="Z441" s="281"/>
      <c r="AA441" s="281"/>
      <c r="AB441" s="281"/>
      <c r="AC441" s="281"/>
      <c r="AD441" s="281"/>
      <c r="AE441" s="281"/>
    </row>
    <row r="442" spans="15:31">
      <c r="O442" s="281"/>
      <c r="P442" s="281"/>
      <c r="Q442" s="281"/>
      <c r="R442" s="281"/>
      <c r="S442" s="281"/>
      <c r="T442" s="281"/>
      <c r="U442" s="281"/>
      <c r="V442" s="281"/>
      <c r="W442" s="281"/>
      <c r="X442" s="281"/>
      <c r="Y442" s="281"/>
      <c r="Z442" s="281"/>
      <c r="AA442" s="281"/>
      <c r="AB442" s="281"/>
      <c r="AC442" s="281"/>
      <c r="AD442" s="281"/>
      <c r="AE442" s="281"/>
    </row>
    <row r="443" spans="15:31">
      <c r="O443" s="281"/>
      <c r="P443" s="281"/>
      <c r="Q443" s="281"/>
      <c r="R443" s="281"/>
      <c r="S443" s="281"/>
      <c r="T443" s="281"/>
      <c r="U443" s="281"/>
      <c r="V443" s="281"/>
      <c r="W443" s="281"/>
      <c r="X443" s="281"/>
      <c r="Y443" s="281"/>
      <c r="Z443" s="281"/>
      <c r="AA443" s="281"/>
      <c r="AB443" s="281"/>
      <c r="AC443" s="281"/>
      <c r="AD443" s="281"/>
      <c r="AE443" s="281"/>
    </row>
    <row r="444" spans="15:31">
      <c r="O444" s="281"/>
      <c r="P444" s="281"/>
      <c r="Q444" s="281"/>
      <c r="R444" s="281"/>
      <c r="S444" s="281"/>
      <c r="T444" s="281"/>
      <c r="U444" s="281"/>
      <c r="V444" s="281"/>
      <c r="W444" s="281"/>
      <c r="X444" s="281"/>
      <c r="Y444" s="281"/>
      <c r="Z444" s="281"/>
      <c r="AA444" s="281"/>
      <c r="AB444" s="281"/>
      <c r="AC444" s="281"/>
      <c r="AD444" s="281"/>
      <c r="AE444" s="281"/>
    </row>
    <row r="445" spans="15:31">
      <c r="O445" s="281"/>
      <c r="P445" s="281"/>
      <c r="Q445" s="281"/>
      <c r="R445" s="281"/>
      <c r="S445" s="281"/>
      <c r="T445" s="281"/>
      <c r="U445" s="281"/>
      <c r="V445" s="281"/>
      <c r="W445" s="281"/>
      <c r="X445" s="281"/>
      <c r="Y445" s="281"/>
      <c r="Z445" s="281"/>
      <c r="AA445" s="281"/>
      <c r="AB445" s="281"/>
      <c r="AC445" s="281"/>
      <c r="AD445" s="281"/>
      <c r="AE445" s="281"/>
    </row>
    <row r="446" spans="15:31">
      <c r="O446" s="281"/>
      <c r="P446" s="281"/>
      <c r="Q446" s="281"/>
      <c r="R446" s="281"/>
      <c r="S446" s="281"/>
      <c r="T446" s="281"/>
      <c r="U446" s="281"/>
      <c r="V446" s="281"/>
      <c r="W446" s="281"/>
      <c r="X446" s="281"/>
      <c r="Y446" s="281"/>
      <c r="Z446" s="281"/>
      <c r="AA446" s="281"/>
      <c r="AB446" s="281"/>
      <c r="AC446" s="281"/>
      <c r="AD446" s="281"/>
      <c r="AE446" s="281"/>
    </row>
    <row r="447" spans="15:31">
      <c r="O447" s="281"/>
      <c r="P447" s="281"/>
      <c r="Q447" s="281"/>
      <c r="R447" s="281"/>
      <c r="S447" s="281"/>
      <c r="T447" s="281"/>
      <c r="U447" s="281"/>
      <c r="V447" s="281"/>
      <c r="W447" s="281"/>
      <c r="X447" s="281"/>
      <c r="Y447" s="281"/>
      <c r="Z447" s="281"/>
      <c r="AA447" s="281"/>
      <c r="AB447" s="281"/>
      <c r="AC447" s="281"/>
      <c r="AD447" s="281"/>
      <c r="AE447" s="281"/>
    </row>
    <row r="448" spans="15:31">
      <c r="O448" s="281"/>
      <c r="P448" s="281"/>
      <c r="Q448" s="281"/>
      <c r="R448" s="281"/>
      <c r="S448" s="281"/>
      <c r="T448" s="281"/>
      <c r="U448" s="281"/>
      <c r="V448" s="281"/>
      <c r="W448" s="281"/>
      <c r="X448" s="281"/>
      <c r="Y448" s="281"/>
      <c r="Z448" s="281"/>
      <c r="AA448" s="281"/>
      <c r="AB448" s="281"/>
      <c r="AC448" s="281"/>
      <c r="AD448" s="281"/>
      <c r="AE448" s="281"/>
    </row>
    <row r="449" spans="15:31">
      <c r="O449" s="281"/>
      <c r="P449" s="281"/>
      <c r="Q449" s="281"/>
      <c r="R449" s="281"/>
      <c r="S449" s="281"/>
      <c r="T449" s="281"/>
      <c r="U449" s="281"/>
      <c r="V449" s="281"/>
      <c r="W449" s="281"/>
      <c r="X449" s="281"/>
      <c r="Y449" s="281"/>
      <c r="Z449" s="281"/>
      <c r="AA449" s="281"/>
      <c r="AB449" s="281"/>
      <c r="AC449" s="281"/>
      <c r="AD449" s="281"/>
      <c r="AE449" s="281"/>
    </row>
    <row r="450" spans="15:31">
      <c r="O450" s="281"/>
      <c r="P450" s="281"/>
      <c r="Q450" s="281"/>
      <c r="R450" s="281"/>
      <c r="S450" s="281"/>
      <c r="T450" s="281"/>
      <c r="U450" s="281"/>
      <c r="V450" s="281"/>
      <c r="W450" s="281"/>
      <c r="X450" s="281"/>
      <c r="Y450" s="281"/>
      <c r="Z450" s="281"/>
      <c r="AA450" s="281"/>
      <c r="AB450" s="281"/>
      <c r="AC450" s="281"/>
      <c r="AD450" s="281"/>
      <c r="AE450" s="281"/>
    </row>
    <row r="451" spans="15:31">
      <c r="O451" s="281"/>
      <c r="P451" s="281"/>
      <c r="Q451" s="281"/>
      <c r="R451" s="281"/>
      <c r="S451" s="281"/>
      <c r="T451" s="281"/>
      <c r="U451" s="281"/>
      <c r="V451" s="281"/>
      <c r="W451" s="281"/>
      <c r="X451" s="281"/>
      <c r="Y451" s="281"/>
      <c r="Z451" s="281"/>
      <c r="AA451" s="281"/>
      <c r="AB451" s="281"/>
      <c r="AC451" s="281"/>
      <c r="AD451" s="281"/>
      <c r="AE451" s="281"/>
    </row>
    <row r="452" spans="15:31">
      <c r="O452" s="281"/>
      <c r="P452" s="281"/>
      <c r="Q452" s="281"/>
      <c r="R452" s="281"/>
      <c r="S452" s="281"/>
      <c r="T452" s="281"/>
      <c r="U452" s="281"/>
      <c r="V452" s="281"/>
      <c r="W452" s="281"/>
      <c r="X452" s="281"/>
      <c r="Y452" s="281"/>
      <c r="Z452" s="281"/>
      <c r="AA452" s="281"/>
      <c r="AB452" s="281"/>
      <c r="AC452" s="281"/>
      <c r="AD452" s="281"/>
      <c r="AE452" s="281"/>
    </row>
    <row r="453" spans="15:31">
      <c r="O453" s="281"/>
      <c r="P453" s="281"/>
      <c r="Q453" s="281"/>
      <c r="R453" s="281"/>
      <c r="S453" s="281"/>
      <c r="T453" s="281"/>
      <c r="U453" s="281"/>
      <c r="V453" s="281"/>
      <c r="W453" s="281"/>
      <c r="X453" s="281"/>
      <c r="Y453" s="281"/>
      <c r="Z453" s="281"/>
      <c r="AA453" s="281"/>
      <c r="AB453" s="281"/>
      <c r="AC453" s="281"/>
      <c r="AD453" s="281"/>
      <c r="AE453" s="281"/>
    </row>
    <row r="454" spans="15:31">
      <c r="O454" s="281"/>
      <c r="P454" s="281"/>
      <c r="Q454" s="281"/>
      <c r="R454" s="281"/>
      <c r="S454" s="281"/>
      <c r="T454" s="281"/>
      <c r="U454" s="281"/>
      <c r="V454" s="281"/>
      <c r="W454" s="281"/>
      <c r="X454" s="281"/>
      <c r="Y454" s="281"/>
      <c r="Z454" s="281"/>
      <c r="AA454" s="281"/>
      <c r="AB454" s="281"/>
      <c r="AC454" s="281"/>
      <c r="AD454" s="281"/>
      <c r="AE454" s="281"/>
    </row>
    <row r="455" spans="15:31">
      <c r="O455" s="281"/>
      <c r="P455" s="281"/>
      <c r="Q455" s="281"/>
      <c r="R455" s="281"/>
      <c r="S455" s="281"/>
      <c r="T455" s="281"/>
      <c r="U455" s="281"/>
      <c r="V455" s="281"/>
      <c r="W455" s="281"/>
      <c r="X455" s="281"/>
      <c r="Y455" s="281"/>
      <c r="Z455" s="281"/>
      <c r="AA455" s="281"/>
      <c r="AB455" s="281"/>
      <c r="AC455" s="281"/>
      <c r="AD455" s="281"/>
      <c r="AE455" s="281"/>
    </row>
    <row r="456" spans="15:31">
      <c r="O456" s="281"/>
      <c r="P456" s="281"/>
      <c r="Q456" s="281"/>
      <c r="R456" s="281"/>
      <c r="S456" s="281"/>
      <c r="T456" s="281"/>
      <c r="U456" s="281"/>
      <c r="V456" s="281"/>
      <c r="W456" s="281"/>
      <c r="X456" s="281"/>
      <c r="Y456" s="281"/>
      <c r="Z456" s="281"/>
      <c r="AA456" s="281"/>
      <c r="AB456" s="281"/>
      <c r="AC456" s="281"/>
      <c r="AD456" s="281"/>
      <c r="AE456" s="281"/>
    </row>
    <row r="457" spans="15:31">
      <c r="O457" s="281"/>
      <c r="P457" s="281"/>
      <c r="Q457" s="281"/>
      <c r="R457" s="281"/>
      <c r="S457" s="281"/>
      <c r="T457" s="281"/>
      <c r="U457" s="281"/>
      <c r="V457" s="281"/>
      <c r="W457" s="281"/>
      <c r="X457" s="281"/>
      <c r="Y457" s="281"/>
      <c r="Z457" s="281"/>
      <c r="AA457" s="281"/>
      <c r="AB457" s="281"/>
      <c r="AC457" s="281"/>
      <c r="AD457" s="281"/>
      <c r="AE457" s="281"/>
    </row>
    <row r="458" spans="15:31">
      <c r="O458" s="281"/>
      <c r="P458" s="281"/>
      <c r="Q458" s="281"/>
      <c r="R458" s="281"/>
      <c r="S458" s="281"/>
      <c r="T458" s="281"/>
      <c r="U458" s="281"/>
      <c r="V458" s="281"/>
      <c r="W458" s="281"/>
      <c r="X458" s="281"/>
      <c r="Y458" s="281"/>
      <c r="Z458" s="281"/>
      <c r="AA458" s="281"/>
      <c r="AB458" s="281"/>
      <c r="AC458" s="281"/>
      <c r="AD458" s="281"/>
      <c r="AE458" s="281"/>
    </row>
    <row r="459" spans="15:31">
      <c r="O459" s="281"/>
      <c r="P459" s="281"/>
      <c r="Q459" s="281"/>
      <c r="R459" s="281"/>
      <c r="S459" s="281"/>
      <c r="T459" s="281"/>
      <c r="U459" s="281"/>
      <c r="V459" s="281"/>
      <c r="W459" s="281"/>
      <c r="X459" s="281"/>
      <c r="Y459" s="281"/>
      <c r="Z459" s="281"/>
      <c r="AA459" s="281"/>
      <c r="AB459" s="281"/>
      <c r="AC459" s="281"/>
      <c r="AD459" s="281"/>
      <c r="AE459" s="281"/>
    </row>
    <row r="460" spans="15:31">
      <c r="O460" s="281"/>
      <c r="P460" s="281"/>
      <c r="Q460" s="281"/>
      <c r="R460" s="281"/>
      <c r="S460" s="281"/>
      <c r="T460" s="281"/>
      <c r="U460" s="281"/>
      <c r="V460" s="281"/>
      <c r="W460" s="281"/>
      <c r="X460" s="281"/>
      <c r="Y460" s="281"/>
      <c r="Z460" s="281"/>
      <c r="AA460" s="281"/>
      <c r="AB460" s="281"/>
      <c r="AC460" s="281"/>
      <c r="AD460" s="281"/>
      <c r="AE460" s="281"/>
    </row>
    <row r="461" spans="15:31">
      <c r="O461" s="281"/>
      <c r="P461" s="281"/>
      <c r="Q461" s="281"/>
      <c r="R461" s="281"/>
      <c r="S461" s="281"/>
      <c r="T461" s="281"/>
      <c r="U461" s="281"/>
      <c r="V461" s="281"/>
      <c r="W461" s="281"/>
      <c r="X461" s="281"/>
      <c r="Y461" s="281"/>
      <c r="Z461" s="281"/>
      <c r="AA461" s="281"/>
      <c r="AB461" s="281"/>
      <c r="AC461" s="281"/>
      <c r="AD461" s="281"/>
      <c r="AE461" s="281"/>
    </row>
    <row r="462" spans="15:31">
      <c r="O462" s="281"/>
      <c r="P462" s="281"/>
      <c r="Q462" s="281"/>
      <c r="R462" s="281"/>
      <c r="S462" s="281"/>
      <c r="T462" s="281"/>
      <c r="U462" s="281"/>
      <c r="V462" s="281"/>
      <c r="W462" s="281"/>
      <c r="X462" s="281"/>
      <c r="Y462" s="281"/>
      <c r="Z462" s="281"/>
      <c r="AA462" s="281"/>
      <c r="AB462" s="281"/>
      <c r="AC462" s="281"/>
      <c r="AD462" s="281"/>
      <c r="AE462" s="281"/>
    </row>
    <row r="463" spans="15:31">
      <c r="O463" s="281"/>
      <c r="P463" s="281"/>
      <c r="Q463" s="281"/>
      <c r="R463" s="281"/>
      <c r="S463" s="281"/>
      <c r="T463" s="281"/>
      <c r="U463" s="281"/>
      <c r="V463" s="281"/>
      <c r="W463" s="281"/>
      <c r="X463" s="281"/>
      <c r="Y463" s="281"/>
      <c r="Z463" s="281"/>
      <c r="AA463" s="281"/>
      <c r="AB463" s="281"/>
      <c r="AC463" s="281"/>
      <c r="AD463" s="281"/>
      <c r="AE463" s="281"/>
    </row>
    <row r="464" spans="15:31">
      <c r="O464" s="281"/>
      <c r="P464" s="281"/>
      <c r="Q464" s="281"/>
      <c r="R464" s="281"/>
      <c r="S464" s="281"/>
      <c r="T464" s="281"/>
      <c r="U464" s="281"/>
      <c r="V464" s="281"/>
      <c r="W464" s="281"/>
      <c r="X464" s="281"/>
      <c r="Y464" s="281"/>
      <c r="Z464" s="281"/>
      <c r="AA464" s="281"/>
      <c r="AB464" s="281"/>
      <c r="AC464" s="281"/>
      <c r="AD464" s="281"/>
      <c r="AE464" s="281"/>
    </row>
    <row r="465" spans="15:31">
      <c r="O465" s="281"/>
      <c r="P465" s="281"/>
      <c r="Q465" s="281"/>
      <c r="R465" s="281"/>
      <c r="S465" s="281"/>
      <c r="T465" s="281"/>
      <c r="U465" s="281"/>
      <c r="V465" s="281"/>
      <c r="W465" s="281"/>
      <c r="X465" s="281"/>
      <c r="Y465" s="281"/>
      <c r="Z465" s="281"/>
      <c r="AA465" s="281"/>
      <c r="AB465" s="281"/>
      <c r="AC465" s="281"/>
      <c r="AD465" s="281"/>
      <c r="AE465" s="281"/>
    </row>
    <row r="466" spans="15:31">
      <c r="O466" s="281"/>
      <c r="P466" s="281"/>
      <c r="Q466" s="281"/>
      <c r="R466" s="281"/>
      <c r="S466" s="281"/>
      <c r="T466" s="281"/>
      <c r="U466" s="281"/>
      <c r="V466" s="281"/>
      <c r="W466" s="281"/>
      <c r="X466" s="281"/>
      <c r="Y466" s="281"/>
      <c r="Z466" s="281"/>
      <c r="AA466" s="281"/>
      <c r="AB466" s="281"/>
      <c r="AC466" s="281"/>
      <c r="AD466" s="281"/>
      <c r="AE466" s="281"/>
    </row>
    <row r="467" spans="15:31">
      <c r="O467" s="281"/>
      <c r="P467" s="281"/>
      <c r="Q467" s="281"/>
      <c r="R467" s="281"/>
      <c r="S467" s="281"/>
      <c r="T467" s="281"/>
      <c r="U467" s="281"/>
      <c r="V467" s="281"/>
      <c r="W467" s="281"/>
      <c r="X467" s="281"/>
      <c r="Y467" s="281"/>
      <c r="Z467" s="281"/>
      <c r="AA467" s="281"/>
      <c r="AB467" s="281"/>
      <c r="AC467" s="281"/>
      <c r="AD467" s="281"/>
      <c r="AE467" s="281"/>
    </row>
    <row r="468" spans="15:31">
      <c r="O468" s="281"/>
      <c r="P468" s="281"/>
      <c r="Q468" s="281"/>
      <c r="R468" s="281"/>
      <c r="S468" s="281"/>
      <c r="T468" s="281"/>
      <c r="U468" s="281"/>
      <c r="V468" s="281"/>
      <c r="W468" s="281"/>
      <c r="X468" s="281"/>
      <c r="Y468" s="281"/>
      <c r="Z468" s="281"/>
      <c r="AA468" s="281"/>
      <c r="AB468" s="281"/>
      <c r="AC468" s="281"/>
      <c r="AD468" s="281"/>
      <c r="AE468" s="281"/>
    </row>
    <row r="469" spans="15:31">
      <c r="O469" s="281"/>
      <c r="P469" s="281"/>
      <c r="Q469" s="281"/>
      <c r="R469" s="281"/>
      <c r="S469" s="281"/>
      <c r="T469" s="281"/>
      <c r="U469" s="281"/>
      <c r="V469" s="281"/>
      <c r="W469" s="281"/>
      <c r="X469" s="281"/>
      <c r="Y469" s="281"/>
      <c r="Z469" s="281"/>
      <c r="AA469" s="281"/>
      <c r="AB469" s="281"/>
      <c r="AC469" s="281"/>
      <c r="AD469" s="281"/>
      <c r="AE469" s="281"/>
    </row>
    <row r="470" spans="15:31">
      <c r="O470" s="281"/>
      <c r="P470" s="281"/>
      <c r="Q470" s="281"/>
      <c r="R470" s="281"/>
      <c r="S470" s="281"/>
      <c r="T470" s="281"/>
      <c r="U470" s="281"/>
      <c r="V470" s="281"/>
      <c r="W470" s="281"/>
      <c r="X470" s="281"/>
      <c r="Y470" s="281"/>
      <c r="Z470" s="281"/>
      <c r="AA470" s="281"/>
      <c r="AB470" s="281"/>
      <c r="AC470" s="281"/>
      <c r="AD470" s="281"/>
      <c r="AE470" s="281"/>
    </row>
    <row r="471" spans="15:31">
      <c r="O471" s="281"/>
      <c r="P471" s="281"/>
      <c r="Q471" s="281"/>
      <c r="R471" s="281"/>
      <c r="S471" s="281"/>
      <c r="T471" s="281"/>
      <c r="U471" s="281"/>
      <c r="V471" s="281"/>
      <c r="W471" s="281"/>
      <c r="X471" s="281"/>
      <c r="Y471" s="281"/>
      <c r="Z471" s="281"/>
      <c r="AA471" s="281"/>
      <c r="AB471" s="281"/>
      <c r="AC471" s="281"/>
      <c r="AD471" s="281"/>
      <c r="AE471" s="281"/>
    </row>
    <row r="472" spans="15:31">
      <c r="O472" s="281"/>
      <c r="P472" s="281"/>
      <c r="Q472" s="281"/>
      <c r="R472" s="281"/>
      <c r="S472" s="281"/>
      <c r="T472" s="281"/>
      <c r="U472" s="281"/>
      <c r="V472" s="281"/>
      <c r="W472" s="281"/>
      <c r="X472" s="281"/>
      <c r="Y472" s="281"/>
      <c r="Z472" s="281"/>
      <c r="AA472" s="281"/>
      <c r="AB472" s="281"/>
      <c r="AC472" s="281"/>
      <c r="AD472" s="281"/>
      <c r="AE472" s="281"/>
    </row>
    <row r="473" spans="15:31">
      <c r="O473" s="281"/>
      <c r="P473" s="281"/>
      <c r="Q473" s="281"/>
      <c r="R473" s="281"/>
      <c r="S473" s="281"/>
      <c r="T473" s="281"/>
      <c r="U473" s="281"/>
      <c r="V473" s="281"/>
      <c r="W473" s="281"/>
      <c r="X473" s="281"/>
      <c r="Y473" s="281"/>
      <c r="Z473" s="281"/>
      <c r="AA473" s="281"/>
      <c r="AB473" s="281"/>
      <c r="AC473" s="281"/>
      <c r="AD473" s="281"/>
      <c r="AE473" s="281"/>
    </row>
    <row r="474" spans="15:31">
      <c r="O474" s="281"/>
      <c r="P474" s="281"/>
      <c r="Q474" s="281"/>
      <c r="R474" s="281"/>
      <c r="S474" s="281"/>
      <c r="T474" s="281"/>
      <c r="U474" s="281"/>
      <c r="V474" s="281"/>
      <c r="W474" s="281"/>
      <c r="X474" s="281"/>
      <c r="Y474" s="281"/>
      <c r="Z474" s="281"/>
      <c r="AA474" s="281"/>
      <c r="AB474" s="281"/>
      <c r="AC474" s="281"/>
      <c r="AD474" s="281"/>
      <c r="AE474" s="281"/>
    </row>
    <row r="475" spans="15:31">
      <c r="O475" s="281"/>
      <c r="P475" s="281"/>
      <c r="Q475" s="281"/>
      <c r="R475" s="281"/>
      <c r="S475" s="281"/>
      <c r="T475" s="281"/>
      <c r="U475" s="281"/>
      <c r="V475" s="281"/>
      <c r="W475" s="281"/>
      <c r="X475" s="281"/>
      <c r="Y475" s="281"/>
      <c r="Z475" s="281"/>
      <c r="AA475" s="281"/>
      <c r="AB475" s="281"/>
      <c r="AC475" s="281"/>
      <c r="AD475" s="281"/>
      <c r="AE475" s="281"/>
    </row>
    <row r="476" spans="15:31">
      <c r="O476" s="281"/>
      <c r="P476" s="281"/>
      <c r="Q476" s="281"/>
      <c r="R476" s="281"/>
      <c r="S476" s="281"/>
      <c r="T476" s="281"/>
      <c r="U476" s="281"/>
      <c r="V476" s="281"/>
      <c r="W476" s="281"/>
      <c r="X476" s="281"/>
      <c r="Y476" s="281"/>
      <c r="Z476" s="281"/>
      <c r="AA476" s="281"/>
      <c r="AB476" s="281"/>
      <c r="AC476" s="281"/>
      <c r="AD476" s="281"/>
      <c r="AE476" s="281"/>
    </row>
    <row r="477" spans="15:31">
      <c r="O477" s="281"/>
      <c r="P477" s="281"/>
      <c r="Q477" s="281"/>
      <c r="R477" s="281"/>
      <c r="S477" s="281"/>
      <c r="T477" s="281"/>
      <c r="U477" s="281"/>
      <c r="V477" s="281"/>
      <c r="W477" s="281"/>
      <c r="X477" s="281"/>
      <c r="Y477" s="281"/>
      <c r="Z477" s="281"/>
      <c r="AA477" s="281"/>
      <c r="AB477" s="281"/>
      <c r="AC477" s="281"/>
      <c r="AD477" s="281"/>
      <c r="AE477" s="281"/>
    </row>
    <row r="478" spans="15:31">
      <c r="O478" s="281"/>
      <c r="P478" s="281"/>
      <c r="Q478" s="281"/>
      <c r="R478" s="281"/>
      <c r="S478" s="281"/>
      <c r="T478" s="281"/>
      <c r="U478" s="281"/>
      <c r="V478" s="281"/>
      <c r="W478" s="281"/>
      <c r="X478" s="281"/>
      <c r="Y478" s="281"/>
      <c r="Z478" s="281"/>
      <c r="AA478" s="281"/>
      <c r="AB478" s="281"/>
      <c r="AC478" s="281"/>
      <c r="AD478" s="281"/>
      <c r="AE478" s="281"/>
    </row>
    <row r="479" spans="15:31">
      <c r="O479" s="281"/>
      <c r="P479" s="281"/>
      <c r="Q479" s="281"/>
      <c r="R479" s="281"/>
      <c r="S479" s="281"/>
      <c r="T479" s="281"/>
      <c r="U479" s="281"/>
      <c r="V479" s="281"/>
      <c r="W479" s="281"/>
      <c r="X479" s="281"/>
      <c r="Y479" s="281"/>
      <c r="Z479" s="281"/>
      <c r="AA479" s="281"/>
      <c r="AB479" s="281"/>
      <c r="AC479" s="281"/>
      <c r="AD479" s="281"/>
      <c r="AE479" s="281"/>
    </row>
    <row r="480" spans="15:31">
      <c r="O480" s="281"/>
      <c r="P480" s="281"/>
      <c r="Q480" s="281"/>
      <c r="R480" s="281"/>
      <c r="S480" s="281"/>
      <c r="T480" s="281"/>
      <c r="U480" s="281"/>
      <c r="V480" s="281"/>
      <c r="W480" s="281"/>
      <c r="X480" s="281"/>
      <c r="Y480" s="281"/>
      <c r="Z480" s="281"/>
      <c r="AA480" s="281"/>
      <c r="AB480" s="281"/>
      <c r="AC480" s="281"/>
      <c r="AD480" s="281"/>
      <c r="AE480" s="281"/>
    </row>
    <row r="481" spans="15:31">
      <c r="O481" s="281"/>
      <c r="P481" s="281"/>
      <c r="Q481" s="281"/>
      <c r="R481" s="281"/>
      <c r="S481" s="281"/>
      <c r="T481" s="281"/>
      <c r="U481" s="281"/>
      <c r="V481" s="281"/>
      <c r="W481" s="281"/>
      <c r="X481" s="281"/>
      <c r="Y481" s="281"/>
      <c r="Z481" s="281"/>
      <c r="AA481" s="281"/>
      <c r="AB481" s="281"/>
      <c r="AC481" s="281"/>
      <c r="AD481" s="281"/>
      <c r="AE481" s="281"/>
    </row>
    <row r="482" spans="15:31">
      <c r="O482" s="281"/>
      <c r="P482" s="281"/>
      <c r="Q482" s="281"/>
      <c r="R482" s="281"/>
      <c r="S482" s="281"/>
      <c r="T482" s="281"/>
      <c r="U482" s="281"/>
      <c r="V482" s="281"/>
      <c r="W482" s="281"/>
      <c r="X482" s="281"/>
      <c r="Y482" s="281"/>
      <c r="Z482" s="281"/>
      <c r="AA482" s="281"/>
      <c r="AB482" s="281"/>
      <c r="AC482" s="281"/>
      <c r="AD482" s="281"/>
      <c r="AE482" s="281"/>
    </row>
    <row r="483" spans="15:31">
      <c r="O483" s="281"/>
      <c r="P483" s="281"/>
      <c r="Q483" s="281"/>
      <c r="R483" s="281"/>
      <c r="S483" s="281"/>
      <c r="T483" s="281"/>
      <c r="U483" s="281"/>
      <c r="V483" s="281"/>
      <c r="W483" s="281"/>
      <c r="X483" s="281"/>
      <c r="Y483" s="281"/>
      <c r="Z483" s="281"/>
      <c r="AA483" s="281"/>
      <c r="AB483" s="281"/>
      <c r="AC483" s="281"/>
      <c r="AD483" s="281"/>
      <c r="AE483" s="281"/>
    </row>
    <row r="484" spans="15:31">
      <c r="O484" s="281"/>
      <c r="P484" s="281"/>
      <c r="Q484" s="281"/>
      <c r="R484" s="281"/>
      <c r="S484" s="281"/>
      <c r="T484" s="281"/>
      <c r="U484" s="281"/>
      <c r="V484" s="281"/>
      <c r="W484" s="281"/>
      <c r="X484" s="281"/>
      <c r="Y484" s="281"/>
      <c r="Z484" s="281"/>
      <c r="AA484" s="281"/>
      <c r="AB484" s="281"/>
      <c r="AC484" s="281"/>
      <c r="AD484" s="281"/>
      <c r="AE484" s="281"/>
    </row>
    <row r="485" spans="15:31">
      <c r="O485" s="281"/>
      <c r="P485" s="281"/>
      <c r="Q485" s="281"/>
      <c r="R485" s="281"/>
      <c r="S485" s="281"/>
      <c r="T485" s="281"/>
      <c r="U485" s="281"/>
      <c r="V485" s="281"/>
      <c r="W485" s="281"/>
      <c r="X485" s="281"/>
      <c r="Y485" s="281"/>
      <c r="Z485" s="281"/>
      <c r="AA485" s="281"/>
      <c r="AB485" s="281"/>
      <c r="AC485" s="281"/>
      <c r="AD485" s="281"/>
      <c r="AE485" s="281"/>
    </row>
    <row r="486" spans="15:31">
      <c r="O486" s="281"/>
      <c r="P486" s="281"/>
      <c r="Q486" s="281"/>
      <c r="R486" s="281"/>
      <c r="S486" s="281"/>
      <c r="T486" s="281"/>
      <c r="U486" s="281"/>
      <c r="V486" s="281"/>
      <c r="W486" s="281"/>
      <c r="X486" s="281"/>
      <c r="Y486" s="281"/>
      <c r="Z486" s="281"/>
      <c r="AA486" s="281"/>
      <c r="AB486" s="281"/>
      <c r="AC486" s="281"/>
      <c r="AD486" s="281"/>
      <c r="AE486" s="281"/>
    </row>
    <row r="487" spans="15:31">
      <c r="O487" s="281"/>
      <c r="P487" s="281"/>
      <c r="Q487" s="281"/>
      <c r="R487" s="281"/>
      <c r="S487" s="281"/>
      <c r="T487" s="281"/>
      <c r="U487" s="281"/>
      <c r="V487" s="281"/>
      <c r="W487" s="281"/>
      <c r="X487" s="281"/>
      <c r="Y487" s="281"/>
      <c r="Z487" s="281"/>
      <c r="AA487" s="281"/>
      <c r="AB487" s="281"/>
      <c r="AC487" s="281"/>
      <c r="AD487" s="281"/>
      <c r="AE487" s="281"/>
    </row>
    <row r="488" spans="15:31">
      <c r="O488" s="281"/>
      <c r="P488" s="281"/>
      <c r="Q488" s="281"/>
      <c r="R488" s="281"/>
      <c r="S488" s="281"/>
      <c r="T488" s="281"/>
      <c r="U488" s="281"/>
      <c r="V488" s="281"/>
      <c r="W488" s="281"/>
      <c r="X488" s="281"/>
      <c r="Y488" s="281"/>
      <c r="Z488" s="281"/>
      <c r="AA488" s="281"/>
      <c r="AB488" s="281"/>
      <c r="AC488" s="281"/>
      <c r="AD488" s="281"/>
      <c r="AE488" s="281"/>
    </row>
    <row r="489" spans="15:31">
      <c r="O489" s="281"/>
      <c r="P489" s="281"/>
      <c r="Q489" s="281"/>
      <c r="R489" s="281"/>
      <c r="S489" s="281"/>
      <c r="T489" s="281"/>
      <c r="U489" s="281"/>
      <c r="V489" s="281"/>
      <c r="W489" s="281"/>
      <c r="X489" s="281"/>
      <c r="Y489" s="281"/>
      <c r="Z489" s="281"/>
      <c r="AA489" s="281"/>
      <c r="AB489" s="281"/>
      <c r="AC489" s="281"/>
      <c r="AD489" s="281"/>
      <c r="AE489" s="281"/>
    </row>
    <row r="490" spans="15:31">
      <c r="O490" s="281"/>
      <c r="P490" s="281"/>
      <c r="Q490" s="281"/>
      <c r="R490" s="281"/>
      <c r="S490" s="281"/>
      <c r="T490" s="281"/>
      <c r="U490" s="281"/>
      <c r="V490" s="281"/>
      <c r="W490" s="281"/>
      <c r="X490" s="281"/>
      <c r="Y490" s="281"/>
      <c r="Z490" s="281"/>
      <c r="AA490" s="281"/>
      <c r="AB490" s="281"/>
      <c r="AC490" s="281"/>
      <c r="AD490" s="281"/>
      <c r="AE490" s="281"/>
    </row>
    <row r="491" spans="15:31">
      <c r="O491" s="281"/>
      <c r="P491" s="281"/>
      <c r="Q491" s="281"/>
      <c r="R491" s="281"/>
      <c r="S491" s="281"/>
      <c r="T491" s="281"/>
      <c r="U491" s="281"/>
      <c r="V491" s="281"/>
      <c r="W491" s="281"/>
      <c r="X491" s="281"/>
      <c r="Y491" s="281"/>
      <c r="Z491" s="281"/>
      <c r="AA491" s="281"/>
      <c r="AB491" s="281"/>
      <c r="AC491" s="281"/>
      <c r="AD491" s="281"/>
      <c r="AE491" s="281"/>
    </row>
    <row r="492" spans="15:31">
      <c r="O492" s="281"/>
      <c r="P492" s="281"/>
      <c r="Q492" s="281"/>
      <c r="R492" s="281"/>
      <c r="S492" s="281"/>
      <c r="T492" s="281"/>
      <c r="U492" s="281"/>
      <c r="V492" s="281"/>
      <c r="W492" s="281"/>
      <c r="X492" s="281"/>
      <c r="Y492" s="281"/>
      <c r="Z492" s="281"/>
      <c r="AA492" s="281"/>
      <c r="AB492" s="281"/>
      <c r="AC492" s="281"/>
      <c r="AD492" s="281"/>
      <c r="AE492" s="281"/>
    </row>
    <row r="493" spans="15:31">
      <c r="O493" s="281"/>
      <c r="P493" s="281"/>
      <c r="Q493" s="281"/>
      <c r="R493" s="281"/>
      <c r="S493" s="281"/>
      <c r="T493" s="281"/>
      <c r="U493" s="281"/>
      <c r="V493" s="281"/>
      <c r="W493" s="281"/>
      <c r="X493" s="281"/>
      <c r="Y493" s="281"/>
      <c r="Z493" s="281"/>
      <c r="AA493" s="281"/>
      <c r="AB493" s="281"/>
      <c r="AC493" s="281"/>
      <c r="AD493" s="281"/>
      <c r="AE493" s="281"/>
    </row>
    <row r="494" spans="15:31">
      <c r="O494" s="281"/>
      <c r="P494" s="281"/>
      <c r="Q494" s="281"/>
      <c r="R494" s="281"/>
      <c r="S494" s="281"/>
      <c r="T494" s="281"/>
      <c r="U494" s="281"/>
      <c r="V494" s="281"/>
      <c r="W494" s="281"/>
      <c r="X494" s="281"/>
      <c r="Y494" s="281"/>
      <c r="Z494" s="281"/>
      <c r="AA494" s="281"/>
      <c r="AB494" s="281"/>
      <c r="AC494" s="281"/>
      <c r="AD494" s="281"/>
      <c r="AE494" s="281"/>
    </row>
    <row r="495" spans="15:31">
      <c r="O495" s="281"/>
      <c r="P495" s="281"/>
      <c r="Q495" s="281"/>
      <c r="R495" s="281"/>
      <c r="S495" s="281"/>
      <c r="T495" s="281"/>
      <c r="U495" s="281"/>
      <c r="V495" s="281"/>
      <c r="W495" s="281"/>
      <c r="X495" s="281"/>
      <c r="Y495" s="281"/>
      <c r="Z495" s="281"/>
      <c r="AA495" s="281"/>
      <c r="AB495" s="281"/>
      <c r="AC495" s="281"/>
      <c r="AD495" s="281"/>
      <c r="AE495" s="281"/>
    </row>
    <row r="496" spans="15:31">
      <c r="O496" s="281"/>
      <c r="P496" s="281"/>
      <c r="Q496" s="281"/>
      <c r="R496" s="281"/>
      <c r="S496" s="281"/>
      <c r="T496" s="281"/>
      <c r="U496" s="281"/>
      <c r="V496" s="281"/>
      <c r="W496" s="281"/>
      <c r="X496" s="281"/>
      <c r="Y496" s="281"/>
      <c r="Z496" s="281"/>
      <c r="AA496" s="281"/>
      <c r="AB496" s="281"/>
      <c r="AC496" s="281"/>
      <c r="AD496" s="281"/>
      <c r="AE496" s="281"/>
    </row>
    <row r="497" spans="15:31">
      <c r="O497" s="281"/>
      <c r="P497" s="281"/>
      <c r="Q497" s="281"/>
      <c r="R497" s="281"/>
      <c r="S497" s="281"/>
      <c r="T497" s="281"/>
      <c r="U497" s="281"/>
      <c r="V497" s="281"/>
      <c r="W497" s="281"/>
      <c r="X497" s="281"/>
      <c r="Y497" s="281"/>
      <c r="Z497" s="281"/>
      <c r="AA497" s="281"/>
      <c r="AB497" s="281"/>
      <c r="AC497" s="281"/>
      <c r="AD497" s="281"/>
      <c r="AE497" s="281"/>
    </row>
    <row r="498" spans="15:31">
      <c r="O498" s="281"/>
      <c r="P498" s="281"/>
      <c r="Q498" s="281"/>
      <c r="R498" s="281"/>
      <c r="S498" s="281"/>
      <c r="T498" s="281"/>
      <c r="U498" s="281"/>
      <c r="V498" s="281"/>
      <c r="W498" s="281"/>
      <c r="X498" s="281"/>
      <c r="Y498" s="281"/>
      <c r="Z498" s="281"/>
      <c r="AA498" s="281"/>
      <c r="AB498" s="281"/>
      <c r="AC498" s="281"/>
      <c r="AD498" s="281"/>
      <c r="AE498" s="281"/>
    </row>
    <row r="499" spans="15:31">
      <c r="O499" s="281"/>
      <c r="P499" s="281"/>
      <c r="Q499" s="281"/>
      <c r="R499" s="281"/>
      <c r="S499" s="281"/>
      <c r="T499" s="281"/>
      <c r="U499" s="281"/>
      <c r="V499" s="281"/>
      <c r="W499" s="281"/>
      <c r="X499" s="281"/>
      <c r="Y499" s="281"/>
      <c r="Z499" s="281"/>
      <c r="AA499" s="281"/>
      <c r="AB499" s="281"/>
      <c r="AC499" s="281"/>
      <c r="AD499" s="281"/>
      <c r="AE499" s="281"/>
    </row>
    <row r="500" spans="15:31">
      <c r="O500" s="281"/>
      <c r="P500" s="281"/>
      <c r="Q500" s="281"/>
      <c r="R500" s="281"/>
      <c r="S500" s="281"/>
      <c r="T500" s="281"/>
      <c r="U500" s="281"/>
      <c r="V500" s="281"/>
      <c r="W500" s="281"/>
      <c r="X500" s="281"/>
      <c r="Y500" s="281"/>
      <c r="Z500" s="281"/>
      <c r="AA500" s="281"/>
      <c r="AB500" s="281"/>
      <c r="AC500" s="281"/>
      <c r="AD500" s="281"/>
      <c r="AE500" s="281"/>
    </row>
    <row r="501" spans="15:31">
      <c r="O501" s="281"/>
      <c r="P501" s="281"/>
      <c r="Q501" s="281"/>
      <c r="R501" s="281"/>
      <c r="S501" s="281"/>
      <c r="T501" s="281"/>
      <c r="U501" s="281"/>
      <c r="V501" s="281"/>
      <c r="W501" s="281"/>
      <c r="X501" s="281"/>
      <c r="Y501" s="281"/>
      <c r="Z501" s="281"/>
      <c r="AA501" s="281"/>
      <c r="AB501" s="281"/>
      <c r="AC501" s="281"/>
      <c r="AD501" s="281"/>
      <c r="AE501" s="281"/>
    </row>
    <row r="502" spans="15:31">
      <c r="O502" s="281"/>
      <c r="P502" s="281"/>
      <c r="Q502" s="281"/>
      <c r="R502" s="281"/>
      <c r="S502" s="281"/>
      <c r="T502" s="281"/>
      <c r="U502" s="281"/>
      <c r="V502" s="281"/>
      <c r="W502" s="281"/>
      <c r="X502" s="281"/>
      <c r="Y502" s="281"/>
      <c r="Z502" s="281"/>
      <c r="AA502" s="281"/>
      <c r="AB502" s="281"/>
      <c r="AC502" s="281"/>
      <c r="AD502" s="281"/>
      <c r="AE502" s="281"/>
    </row>
    <row r="503" spans="15:31">
      <c r="O503" s="281"/>
      <c r="P503" s="281"/>
      <c r="Q503" s="281"/>
      <c r="R503" s="281"/>
      <c r="S503" s="281"/>
      <c r="T503" s="281"/>
      <c r="U503" s="281"/>
      <c r="V503" s="281"/>
      <c r="W503" s="281"/>
      <c r="X503" s="281"/>
      <c r="Y503" s="281"/>
      <c r="Z503" s="281"/>
      <c r="AA503" s="281"/>
      <c r="AB503" s="281"/>
      <c r="AC503" s="281"/>
      <c r="AD503" s="281"/>
      <c r="AE503" s="281"/>
    </row>
    <row r="504" spans="15:31">
      <c r="O504" s="281"/>
      <c r="P504" s="281"/>
      <c r="Q504" s="281"/>
      <c r="R504" s="281"/>
      <c r="S504" s="281"/>
      <c r="T504" s="281"/>
      <c r="U504" s="281"/>
      <c r="V504" s="281"/>
      <c r="W504" s="281"/>
      <c r="X504" s="281"/>
      <c r="Y504" s="281"/>
      <c r="Z504" s="281"/>
      <c r="AA504" s="281"/>
      <c r="AB504" s="281"/>
      <c r="AC504" s="281"/>
      <c r="AD504" s="281"/>
      <c r="AE504" s="281"/>
    </row>
    <row r="505" spans="15:31">
      <c r="O505" s="281"/>
      <c r="P505" s="281"/>
      <c r="Q505" s="281"/>
      <c r="R505" s="281"/>
      <c r="S505" s="281"/>
      <c r="T505" s="281"/>
      <c r="U505" s="281"/>
      <c r="V505" s="281"/>
      <c r="W505" s="281"/>
      <c r="X505" s="281"/>
      <c r="Y505" s="281"/>
      <c r="Z505" s="281"/>
      <c r="AA505" s="281"/>
      <c r="AB505" s="281"/>
      <c r="AC505" s="281"/>
      <c r="AD505" s="281"/>
      <c r="AE505" s="281"/>
    </row>
    <row r="506" spans="15:31">
      <c r="O506" s="281"/>
      <c r="P506" s="281"/>
      <c r="Q506" s="281"/>
      <c r="R506" s="281"/>
      <c r="S506" s="281"/>
      <c r="T506" s="281"/>
      <c r="U506" s="281"/>
      <c r="V506" s="281"/>
      <c r="W506" s="281"/>
      <c r="X506" s="281"/>
      <c r="Y506" s="281"/>
      <c r="Z506" s="281"/>
      <c r="AA506" s="281"/>
      <c r="AB506" s="281"/>
      <c r="AC506" s="281"/>
      <c r="AD506" s="281"/>
      <c r="AE506" s="281"/>
    </row>
    <row r="507" spans="15:31">
      <c r="O507" s="281"/>
      <c r="P507" s="281"/>
      <c r="Q507" s="281"/>
      <c r="R507" s="281"/>
      <c r="S507" s="281"/>
      <c r="T507" s="281"/>
      <c r="U507" s="281"/>
      <c r="V507" s="281"/>
      <c r="W507" s="281"/>
      <c r="X507" s="281"/>
      <c r="Y507" s="281"/>
      <c r="Z507" s="281"/>
      <c r="AA507" s="281"/>
      <c r="AB507" s="281"/>
      <c r="AC507" s="281"/>
      <c r="AD507" s="281"/>
      <c r="AE507" s="281"/>
    </row>
    <row r="508" spans="15:31">
      <c r="O508" s="281"/>
      <c r="P508" s="281"/>
      <c r="Q508" s="281"/>
      <c r="R508" s="281"/>
      <c r="S508" s="281"/>
      <c r="T508" s="281"/>
      <c r="U508" s="281"/>
      <c r="V508" s="281"/>
      <c r="W508" s="281"/>
      <c r="X508" s="281"/>
      <c r="Y508" s="281"/>
      <c r="Z508" s="281"/>
      <c r="AA508" s="281"/>
      <c r="AB508" s="281"/>
      <c r="AC508" s="281"/>
      <c r="AD508" s="281"/>
      <c r="AE508" s="281"/>
    </row>
    <row r="509" spans="15:31">
      <c r="O509" s="281"/>
      <c r="P509" s="281"/>
      <c r="Q509" s="281"/>
      <c r="R509" s="281"/>
      <c r="S509" s="281"/>
      <c r="T509" s="281"/>
      <c r="U509" s="281"/>
      <c r="V509" s="281"/>
      <c r="W509" s="281"/>
      <c r="X509" s="281"/>
      <c r="Y509" s="281"/>
      <c r="Z509" s="281"/>
      <c r="AA509" s="281"/>
      <c r="AB509" s="281"/>
      <c r="AC509" s="281"/>
      <c r="AD509" s="281"/>
      <c r="AE509" s="281"/>
    </row>
    <row r="510" spans="15:31">
      <c r="O510" s="281"/>
      <c r="P510" s="281"/>
      <c r="Q510" s="281"/>
      <c r="R510" s="281"/>
      <c r="S510" s="281"/>
      <c r="T510" s="281"/>
      <c r="U510" s="281"/>
      <c r="V510" s="281"/>
      <c r="W510" s="281"/>
      <c r="X510" s="281"/>
      <c r="Y510" s="281"/>
      <c r="Z510" s="281"/>
      <c r="AA510" s="281"/>
      <c r="AB510" s="281"/>
      <c r="AC510" s="281"/>
      <c r="AD510" s="281"/>
      <c r="AE510" s="281"/>
    </row>
    <row r="511" spans="15:31">
      <c r="O511" s="281"/>
      <c r="P511" s="281"/>
      <c r="Q511" s="281"/>
      <c r="R511" s="281"/>
      <c r="S511" s="281"/>
      <c r="T511" s="281"/>
      <c r="U511" s="281"/>
      <c r="V511" s="281"/>
      <c r="W511" s="281"/>
      <c r="X511" s="281"/>
      <c r="Y511" s="281"/>
      <c r="Z511" s="281"/>
      <c r="AA511" s="281"/>
      <c r="AB511" s="281"/>
      <c r="AC511" s="281"/>
      <c r="AD511" s="281"/>
      <c r="AE511" s="281"/>
    </row>
    <row r="512" spans="15:31">
      <c r="O512" s="281"/>
      <c r="P512" s="281"/>
      <c r="Q512" s="281"/>
      <c r="R512" s="281"/>
      <c r="S512" s="281"/>
      <c r="T512" s="281"/>
      <c r="U512" s="281"/>
      <c r="V512" s="281"/>
      <c r="W512" s="281"/>
      <c r="X512" s="281"/>
      <c r="Y512" s="281"/>
      <c r="Z512" s="281"/>
      <c r="AA512" s="281"/>
      <c r="AB512" s="281"/>
      <c r="AC512" s="281"/>
      <c r="AD512" s="281"/>
      <c r="AE512" s="281"/>
    </row>
    <row r="513" spans="15:31">
      <c r="O513" s="281"/>
      <c r="P513" s="281"/>
      <c r="Q513" s="281"/>
      <c r="R513" s="281"/>
      <c r="S513" s="281"/>
      <c r="T513" s="281"/>
      <c r="U513" s="281"/>
      <c r="V513" s="281"/>
      <c r="W513" s="281"/>
      <c r="X513" s="281"/>
      <c r="Y513" s="281"/>
      <c r="Z513" s="281"/>
      <c r="AA513" s="281"/>
      <c r="AB513" s="281"/>
      <c r="AC513" s="281"/>
      <c r="AD513" s="281"/>
      <c r="AE513" s="281"/>
    </row>
    <row r="514" spans="15:31">
      <c r="O514" s="281"/>
      <c r="P514" s="281"/>
      <c r="Q514" s="281"/>
      <c r="R514" s="281"/>
      <c r="S514" s="281"/>
      <c r="T514" s="281"/>
      <c r="U514" s="281"/>
      <c r="V514" s="281"/>
      <c r="W514" s="281"/>
      <c r="X514" s="281"/>
      <c r="Y514" s="281"/>
      <c r="Z514" s="281"/>
      <c r="AA514" s="281"/>
      <c r="AB514" s="281"/>
      <c r="AC514" s="281"/>
      <c r="AD514" s="281"/>
      <c r="AE514" s="281"/>
    </row>
    <row r="515" spans="15:31">
      <c r="O515" s="281"/>
      <c r="P515" s="281"/>
      <c r="Q515" s="281"/>
      <c r="R515" s="281"/>
      <c r="S515" s="281"/>
      <c r="T515" s="281"/>
      <c r="U515" s="281"/>
      <c r="V515" s="281"/>
      <c r="W515" s="281"/>
      <c r="X515" s="281"/>
      <c r="Y515" s="281"/>
      <c r="Z515" s="281"/>
      <c r="AA515" s="281"/>
      <c r="AB515" s="281"/>
      <c r="AC515" s="281"/>
      <c r="AD515" s="281"/>
      <c r="AE515" s="281"/>
    </row>
    <row r="516" spans="15:31">
      <c r="O516" s="281"/>
      <c r="P516" s="281"/>
      <c r="Q516" s="281"/>
      <c r="R516" s="281"/>
      <c r="S516" s="281"/>
      <c r="T516" s="281"/>
      <c r="U516" s="281"/>
      <c r="V516" s="281"/>
      <c r="W516" s="281"/>
      <c r="X516" s="281"/>
      <c r="Y516" s="281"/>
      <c r="Z516" s="281"/>
      <c r="AA516" s="281"/>
      <c r="AB516" s="281"/>
      <c r="AC516" s="281"/>
      <c r="AD516" s="281"/>
      <c r="AE516" s="281"/>
    </row>
    <row r="517" spans="15:31">
      <c r="O517" s="281"/>
      <c r="P517" s="281"/>
      <c r="Q517" s="281"/>
      <c r="R517" s="281"/>
      <c r="S517" s="281"/>
      <c r="T517" s="281"/>
      <c r="U517" s="281"/>
      <c r="V517" s="281"/>
      <c r="W517" s="281"/>
      <c r="X517" s="281"/>
      <c r="Y517" s="281"/>
      <c r="Z517" s="281"/>
      <c r="AA517" s="281"/>
      <c r="AB517" s="281"/>
      <c r="AC517" s="281"/>
      <c r="AD517" s="281"/>
      <c r="AE517" s="281"/>
    </row>
    <row r="518" spans="15:31">
      <c r="O518" s="281"/>
      <c r="P518" s="281"/>
      <c r="Q518" s="281"/>
      <c r="R518" s="281"/>
      <c r="S518" s="281"/>
      <c r="T518" s="281"/>
      <c r="U518" s="281"/>
      <c r="V518" s="281"/>
      <c r="W518" s="281"/>
      <c r="X518" s="281"/>
      <c r="Y518" s="281"/>
      <c r="Z518" s="281"/>
      <c r="AA518" s="281"/>
      <c r="AB518" s="281"/>
      <c r="AC518" s="281"/>
      <c r="AD518" s="281"/>
      <c r="AE518" s="281"/>
    </row>
    <row r="519" spans="15:31">
      <c r="O519" s="281"/>
      <c r="P519" s="281"/>
      <c r="Q519" s="281"/>
      <c r="R519" s="281"/>
      <c r="S519" s="281"/>
      <c r="T519" s="281"/>
      <c r="U519" s="281"/>
      <c r="V519" s="281"/>
      <c r="W519" s="281"/>
      <c r="X519" s="281"/>
      <c r="Y519" s="281"/>
      <c r="Z519" s="281"/>
      <c r="AA519" s="281"/>
      <c r="AB519" s="281"/>
      <c r="AC519" s="281"/>
      <c r="AD519" s="281"/>
      <c r="AE519" s="281"/>
    </row>
    <row r="520" spans="15:31">
      <c r="O520" s="281"/>
      <c r="P520" s="281"/>
      <c r="Q520" s="281"/>
      <c r="R520" s="281"/>
      <c r="S520" s="281"/>
      <c r="T520" s="281"/>
      <c r="U520" s="281"/>
      <c r="V520" s="281"/>
      <c r="W520" s="281"/>
      <c r="X520" s="281"/>
      <c r="Y520" s="281"/>
      <c r="Z520" s="281"/>
      <c r="AA520" s="281"/>
      <c r="AB520" s="281"/>
      <c r="AC520" s="281"/>
      <c r="AD520" s="281"/>
      <c r="AE520" s="281"/>
    </row>
    <row r="521" spans="15:31">
      <c r="O521" s="281"/>
      <c r="P521" s="281"/>
      <c r="Q521" s="281"/>
      <c r="R521" s="281"/>
      <c r="S521" s="281"/>
      <c r="T521" s="281"/>
      <c r="U521" s="281"/>
      <c r="V521" s="281"/>
      <c r="W521" s="281"/>
      <c r="X521" s="281"/>
      <c r="Y521" s="281"/>
      <c r="Z521" s="281"/>
      <c r="AA521" s="281"/>
      <c r="AB521" s="281"/>
      <c r="AC521" s="281"/>
      <c r="AD521" s="281"/>
      <c r="AE521" s="281"/>
    </row>
    <row r="522" spans="15:31">
      <c r="O522" s="281"/>
      <c r="P522" s="281"/>
      <c r="Q522" s="281"/>
      <c r="R522" s="281"/>
      <c r="S522" s="281"/>
      <c r="T522" s="281"/>
      <c r="U522" s="281"/>
      <c r="V522" s="281"/>
      <c r="W522" s="281"/>
      <c r="X522" s="281"/>
      <c r="Y522" s="281"/>
      <c r="Z522" s="281"/>
      <c r="AA522" s="281"/>
      <c r="AB522" s="281"/>
      <c r="AC522" s="281"/>
      <c r="AD522" s="281"/>
      <c r="AE522" s="281"/>
    </row>
    <row r="523" spans="15:31">
      <c r="O523" s="281"/>
      <c r="P523" s="281"/>
      <c r="Q523" s="281"/>
      <c r="R523" s="281"/>
      <c r="S523" s="281"/>
      <c r="T523" s="281"/>
      <c r="U523" s="281"/>
      <c r="V523" s="281"/>
      <c r="W523" s="281"/>
      <c r="X523" s="281"/>
      <c r="Y523" s="281"/>
      <c r="Z523" s="281"/>
      <c r="AA523" s="281"/>
      <c r="AB523" s="281"/>
      <c r="AC523" s="281"/>
      <c r="AD523" s="281"/>
      <c r="AE523" s="281"/>
    </row>
    <row r="524" spans="15:31">
      <c r="O524" s="281"/>
      <c r="P524" s="281"/>
      <c r="Q524" s="281"/>
      <c r="R524" s="281"/>
      <c r="S524" s="281"/>
      <c r="T524" s="281"/>
      <c r="U524" s="281"/>
      <c r="V524" s="281"/>
      <c r="W524" s="281"/>
      <c r="X524" s="281"/>
      <c r="Y524" s="281"/>
      <c r="Z524" s="281"/>
      <c r="AA524" s="281"/>
      <c r="AB524" s="281"/>
      <c r="AC524" s="281"/>
      <c r="AD524" s="281"/>
      <c r="AE524" s="281"/>
    </row>
    <row r="525" spans="15:31">
      <c r="O525" s="281"/>
      <c r="P525" s="281"/>
      <c r="Q525" s="281"/>
      <c r="R525" s="281"/>
      <c r="S525" s="281"/>
      <c r="T525" s="281"/>
      <c r="U525" s="281"/>
      <c r="V525" s="281"/>
      <c r="W525" s="281"/>
      <c r="X525" s="281"/>
      <c r="Y525" s="281"/>
      <c r="Z525" s="281"/>
      <c r="AA525" s="281"/>
      <c r="AB525" s="281"/>
      <c r="AC525" s="281"/>
      <c r="AD525" s="281"/>
      <c r="AE525" s="281"/>
    </row>
    <row r="526" spans="15:31">
      <c r="O526" s="281"/>
      <c r="P526" s="281"/>
      <c r="Q526" s="281"/>
      <c r="R526" s="281"/>
      <c r="S526" s="281"/>
      <c r="T526" s="281"/>
      <c r="U526" s="281"/>
      <c r="V526" s="281"/>
      <c r="W526" s="281"/>
      <c r="X526" s="281"/>
      <c r="Y526" s="281"/>
      <c r="Z526" s="281"/>
      <c r="AA526" s="281"/>
      <c r="AB526" s="281"/>
      <c r="AC526" s="281"/>
      <c r="AD526" s="281"/>
      <c r="AE526" s="281"/>
    </row>
    <row r="527" spans="15:31">
      <c r="O527" s="281"/>
      <c r="P527" s="281"/>
      <c r="Q527" s="281"/>
      <c r="R527" s="281"/>
      <c r="S527" s="281"/>
      <c r="T527" s="281"/>
      <c r="U527" s="281"/>
      <c r="V527" s="281"/>
      <c r="W527" s="281"/>
      <c r="X527" s="281"/>
      <c r="Y527" s="281"/>
      <c r="Z527" s="281"/>
      <c r="AA527" s="281"/>
      <c r="AB527" s="281"/>
      <c r="AC527" s="281"/>
      <c r="AD527" s="281"/>
      <c r="AE527" s="281"/>
    </row>
    <row r="528" spans="15:31">
      <c r="O528" s="281"/>
      <c r="P528" s="281"/>
      <c r="Q528" s="281"/>
      <c r="R528" s="281"/>
      <c r="S528" s="281"/>
      <c r="T528" s="281"/>
      <c r="U528" s="281"/>
      <c r="V528" s="281"/>
      <c r="W528" s="281"/>
      <c r="X528" s="281"/>
      <c r="Y528" s="281"/>
      <c r="Z528" s="281"/>
      <c r="AA528" s="281"/>
      <c r="AB528" s="281"/>
      <c r="AC528" s="281"/>
      <c r="AD528" s="281"/>
      <c r="AE528" s="281"/>
    </row>
    <row r="529" spans="15:31">
      <c r="O529" s="281"/>
      <c r="P529" s="281"/>
      <c r="Q529" s="281"/>
      <c r="R529" s="281"/>
      <c r="S529" s="281"/>
      <c r="T529" s="281"/>
      <c r="U529" s="281"/>
      <c r="V529" s="281"/>
      <c r="W529" s="281"/>
      <c r="X529" s="281"/>
      <c r="Y529" s="281"/>
      <c r="Z529" s="281"/>
      <c r="AA529" s="281"/>
      <c r="AB529" s="281"/>
      <c r="AC529" s="281"/>
      <c r="AD529" s="281"/>
      <c r="AE529" s="281"/>
    </row>
    <row r="530" spans="15:31">
      <c r="O530" s="281"/>
      <c r="P530" s="281"/>
      <c r="Q530" s="281"/>
      <c r="R530" s="281"/>
      <c r="S530" s="281"/>
      <c r="T530" s="281"/>
      <c r="U530" s="281"/>
      <c r="V530" s="281"/>
      <c r="W530" s="281"/>
      <c r="X530" s="281"/>
      <c r="Y530" s="281"/>
      <c r="Z530" s="281"/>
      <c r="AA530" s="281"/>
      <c r="AB530" s="281"/>
      <c r="AC530" s="281"/>
      <c r="AD530" s="281"/>
      <c r="AE530" s="281"/>
    </row>
    <row r="531" spans="15:31">
      <c r="O531" s="281"/>
      <c r="P531" s="281"/>
      <c r="Q531" s="281"/>
      <c r="R531" s="281"/>
      <c r="S531" s="281"/>
      <c r="T531" s="281"/>
      <c r="U531" s="281"/>
      <c r="V531" s="281"/>
      <c r="W531" s="281"/>
      <c r="X531" s="281"/>
      <c r="Y531" s="281"/>
      <c r="Z531" s="281"/>
      <c r="AA531" s="281"/>
      <c r="AB531" s="281"/>
      <c r="AC531" s="281"/>
      <c r="AD531" s="281"/>
      <c r="AE531" s="281"/>
    </row>
    <row r="532" spans="15:31">
      <c r="O532" s="281"/>
      <c r="P532" s="281"/>
      <c r="Q532" s="281"/>
      <c r="R532" s="281"/>
      <c r="S532" s="281"/>
      <c r="T532" s="281"/>
      <c r="U532" s="281"/>
      <c r="V532" s="281"/>
      <c r="W532" s="281"/>
      <c r="X532" s="281"/>
      <c r="Y532" s="281"/>
      <c r="Z532" s="281"/>
      <c r="AA532" s="281"/>
      <c r="AB532" s="281"/>
      <c r="AC532" s="281"/>
      <c r="AD532" s="281"/>
      <c r="AE532" s="281"/>
    </row>
    <row r="533" spans="15:31">
      <c r="O533" s="281"/>
      <c r="P533" s="281"/>
      <c r="Q533" s="281"/>
      <c r="R533" s="281"/>
      <c r="S533" s="281"/>
      <c r="T533" s="281"/>
      <c r="U533" s="281"/>
      <c r="V533" s="281"/>
      <c r="W533" s="281"/>
      <c r="X533" s="281"/>
      <c r="Y533" s="281"/>
      <c r="Z533" s="281"/>
      <c r="AA533" s="281"/>
      <c r="AB533" s="281"/>
      <c r="AC533" s="281"/>
      <c r="AD533" s="281"/>
      <c r="AE533" s="281"/>
    </row>
    <row r="534" spans="15:31">
      <c r="O534" s="281"/>
      <c r="P534" s="281"/>
      <c r="Q534" s="281"/>
      <c r="R534" s="281"/>
      <c r="S534" s="281"/>
      <c r="T534" s="281"/>
      <c r="U534" s="281"/>
      <c r="V534" s="281"/>
      <c r="W534" s="281"/>
      <c r="X534" s="281"/>
      <c r="Y534" s="281"/>
      <c r="Z534" s="281"/>
      <c r="AA534" s="281"/>
      <c r="AB534" s="281"/>
      <c r="AC534" s="281"/>
      <c r="AD534" s="281"/>
      <c r="AE534" s="281"/>
    </row>
    <row r="535" spans="15:31">
      <c r="O535" s="281"/>
      <c r="P535" s="281"/>
      <c r="Q535" s="281"/>
      <c r="R535" s="281"/>
      <c r="S535" s="281"/>
      <c r="T535" s="281"/>
      <c r="U535" s="281"/>
      <c r="V535" s="281"/>
      <c r="W535" s="281"/>
      <c r="X535" s="281"/>
      <c r="Y535" s="281"/>
      <c r="Z535" s="281"/>
      <c r="AA535" s="281"/>
      <c r="AB535" s="281"/>
      <c r="AC535" s="281"/>
      <c r="AD535" s="281"/>
      <c r="AE535" s="281"/>
    </row>
    <row r="536" spans="15:31">
      <c r="O536" s="281"/>
      <c r="P536" s="281"/>
      <c r="Q536" s="281"/>
      <c r="R536" s="281"/>
      <c r="S536" s="281"/>
      <c r="T536" s="281"/>
      <c r="U536" s="281"/>
      <c r="V536" s="281"/>
      <c r="W536" s="281"/>
      <c r="X536" s="281"/>
      <c r="Y536" s="281"/>
      <c r="Z536" s="281"/>
      <c r="AA536" s="281"/>
      <c r="AB536" s="281"/>
      <c r="AC536" s="281"/>
      <c r="AD536" s="281"/>
      <c r="AE536" s="281"/>
    </row>
    <row r="537" spans="15:31">
      <c r="O537" s="281"/>
      <c r="P537" s="281"/>
      <c r="Q537" s="281"/>
      <c r="R537" s="281"/>
      <c r="S537" s="281"/>
      <c r="T537" s="281"/>
      <c r="U537" s="281"/>
      <c r="V537" s="281"/>
      <c r="W537" s="281"/>
      <c r="X537" s="281"/>
      <c r="Y537" s="281"/>
      <c r="Z537" s="281"/>
      <c r="AA537" s="281"/>
      <c r="AB537" s="281"/>
      <c r="AC537" s="281"/>
      <c r="AD537" s="281"/>
      <c r="AE537" s="281"/>
    </row>
    <row r="538" spans="15:31">
      <c r="O538" s="281"/>
      <c r="P538" s="281"/>
      <c r="Q538" s="281"/>
      <c r="R538" s="281"/>
      <c r="S538" s="281"/>
      <c r="T538" s="281"/>
      <c r="U538" s="281"/>
      <c r="V538" s="281"/>
      <c r="W538" s="281"/>
      <c r="X538" s="281"/>
      <c r="Y538" s="281"/>
      <c r="Z538" s="281"/>
      <c r="AA538" s="281"/>
      <c r="AB538" s="281"/>
      <c r="AC538" s="281"/>
      <c r="AD538" s="281"/>
      <c r="AE538" s="281"/>
    </row>
    <row r="539" spans="15:31">
      <c r="O539" s="281"/>
      <c r="P539" s="281"/>
      <c r="Q539" s="281"/>
      <c r="R539" s="281"/>
      <c r="S539" s="281"/>
      <c r="T539" s="281"/>
      <c r="U539" s="281"/>
      <c r="V539" s="281"/>
      <c r="W539" s="281"/>
      <c r="X539" s="281"/>
      <c r="Y539" s="281"/>
      <c r="Z539" s="281"/>
      <c r="AA539" s="281"/>
      <c r="AB539" s="281"/>
      <c r="AC539" s="281"/>
      <c r="AD539" s="281"/>
      <c r="AE539" s="281"/>
    </row>
    <row r="540" spans="15:31">
      <c r="O540" s="281"/>
      <c r="P540" s="281"/>
      <c r="Q540" s="281"/>
      <c r="R540" s="281"/>
      <c r="S540" s="281"/>
      <c r="T540" s="281"/>
      <c r="U540" s="281"/>
      <c r="V540" s="281"/>
      <c r="W540" s="281"/>
      <c r="X540" s="281"/>
      <c r="Y540" s="281"/>
      <c r="Z540" s="281"/>
      <c r="AA540" s="281"/>
      <c r="AB540" s="281"/>
      <c r="AC540" s="281"/>
      <c r="AD540" s="281"/>
      <c r="AE540" s="281"/>
    </row>
    <row r="541" spans="15:31">
      <c r="O541" s="281"/>
      <c r="P541" s="281"/>
      <c r="Q541" s="281"/>
      <c r="R541" s="281"/>
      <c r="S541" s="281"/>
      <c r="T541" s="281"/>
      <c r="U541" s="281"/>
      <c r="V541" s="281"/>
      <c r="W541" s="281"/>
      <c r="X541" s="281"/>
      <c r="Y541" s="281"/>
      <c r="Z541" s="281"/>
      <c r="AA541" s="281"/>
      <c r="AB541" s="281"/>
      <c r="AC541" s="281"/>
      <c r="AD541" s="281"/>
      <c r="AE541" s="281"/>
    </row>
    <row r="542" spans="15:31">
      <c r="O542" s="281"/>
      <c r="P542" s="281"/>
      <c r="Q542" s="281"/>
      <c r="R542" s="281"/>
      <c r="S542" s="281"/>
      <c r="T542" s="281"/>
      <c r="U542" s="281"/>
      <c r="V542" s="281"/>
      <c r="W542" s="281"/>
      <c r="X542" s="281"/>
      <c r="Y542" s="281"/>
      <c r="Z542" s="281"/>
      <c r="AA542" s="281"/>
      <c r="AB542" s="281"/>
      <c r="AC542" s="281"/>
      <c r="AD542" s="281"/>
      <c r="AE542" s="281"/>
    </row>
    <row r="543" spans="15:31">
      <c r="O543" s="281"/>
      <c r="P543" s="281"/>
      <c r="Q543" s="281"/>
      <c r="R543" s="281"/>
      <c r="S543" s="281"/>
      <c r="T543" s="281"/>
      <c r="U543" s="281"/>
      <c r="V543" s="281"/>
      <c r="W543" s="281"/>
      <c r="X543" s="281"/>
      <c r="Y543" s="281"/>
      <c r="Z543" s="281"/>
      <c r="AA543" s="281"/>
      <c r="AB543" s="281"/>
      <c r="AC543" s="281"/>
      <c r="AD543" s="281"/>
      <c r="AE543" s="281"/>
    </row>
    <row r="544" spans="15:31">
      <c r="O544" s="281"/>
      <c r="P544" s="281"/>
      <c r="Q544" s="281"/>
      <c r="R544" s="281"/>
      <c r="S544" s="281"/>
      <c r="T544" s="281"/>
      <c r="U544" s="281"/>
      <c r="V544" s="281"/>
      <c r="W544" s="281"/>
      <c r="X544" s="281"/>
      <c r="Y544" s="281"/>
      <c r="Z544" s="281"/>
      <c r="AA544" s="281"/>
      <c r="AB544" s="281"/>
      <c r="AC544" s="281"/>
      <c r="AD544" s="281"/>
      <c r="AE544" s="281"/>
    </row>
    <row r="545" spans="15:31">
      <c r="O545" s="281"/>
      <c r="P545" s="281"/>
      <c r="Q545" s="281"/>
      <c r="R545" s="281"/>
      <c r="S545" s="281"/>
      <c r="T545" s="281"/>
      <c r="U545" s="281"/>
      <c r="V545" s="281"/>
      <c r="W545" s="281"/>
      <c r="X545" s="281"/>
      <c r="Y545" s="281"/>
      <c r="Z545" s="281"/>
      <c r="AA545" s="281"/>
      <c r="AB545" s="281"/>
      <c r="AC545" s="281"/>
      <c r="AD545" s="281"/>
      <c r="AE545" s="281"/>
    </row>
    <row r="546" spans="15:31">
      <c r="O546" s="281"/>
      <c r="P546" s="281"/>
      <c r="Q546" s="281"/>
      <c r="R546" s="281"/>
      <c r="S546" s="281"/>
      <c r="T546" s="281"/>
      <c r="U546" s="281"/>
      <c r="V546" s="281"/>
      <c r="W546" s="281"/>
      <c r="X546" s="281"/>
      <c r="Y546" s="281"/>
      <c r="Z546" s="281"/>
      <c r="AA546" s="281"/>
      <c r="AB546" s="281"/>
      <c r="AC546" s="281"/>
      <c r="AD546" s="281"/>
      <c r="AE546" s="281"/>
    </row>
    <row r="547" spans="15:31">
      <c r="O547" s="281"/>
      <c r="P547" s="281"/>
      <c r="Q547" s="281"/>
      <c r="R547" s="281"/>
      <c r="S547" s="281"/>
      <c r="T547" s="281"/>
      <c r="U547" s="281"/>
      <c r="V547" s="281"/>
      <c r="W547" s="281"/>
      <c r="X547" s="281"/>
      <c r="Y547" s="281"/>
      <c r="Z547" s="281"/>
      <c r="AA547" s="281"/>
      <c r="AB547" s="281"/>
      <c r="AC547" s="281"/>
      <c r="AD547" s="281"/>
      <c r="AE547" s="281"/>
    </row>
    <row r="548" spans="15:31">
      <c r="O548" s="281"/>
      <c r="P548" s="281"/>
      <c r="Q548" s="281"/>
      <c r="R548" s="281"/>
      <c r="S548" s="281"/>
      <c r="T548" s="281"/>
      <c r="U548" s="281"/>
      <c r="V548" s="281"/>
      <c r="W548" s="281"/>
      <c r="X548" s="281"/>
      <c r="Y548" s="281"/>
      <c r="Z548" s="281"/>
      <c r="AA548" s="281"/>
      <c r="AB548" s="281"/>
      <c r="AC548" s="281"/>
      <c r="AD548" s="281"/>
      <c r="AE548" s="281"/>
    </row>
    <row r="549" spans="15:31">
      <c r="O549" s="281"/>
      <c r="P549" s="281"/>
      <c r="Q549" s="281"/>
      <c r="R549" s="281"/>
      <c r="S549" s="281"/>
      <c r="T549" s="281"/>
      <c r="U549" s="281"/>
      <c r="V549" s="281"/>
      <c r="W549" s="281"/>
      <c r="X549" s="281"/>
      <c r="Y549" s="281"/>
      <c r="Z549" s="281"/>
      <c r="AA549" s="281"/>
      <c r="AB549" s="281"/>
      <c r="AC549" s="281"/>
      <c r="AD549" s="281"/>
      <c r="AE549" s="281"/>
    </row>
    <row r="550" spans="15:31">
      <c r="O550" s="281"/>
      <c r="P550" s="281"/>
      <c r="Q550" s="281"/>
      <c r="R550" s="281"/>
      <c r="S550" s="281"/>
      <c r="T550" s="281"/>
      <c r="U550" s="281"/>
      <c r="V550" s="281"/>
      <c r="W550" s="281"/>
      <c r="X550" s="281"/>
      <c r="Y550" s="281"/>
      <c r="Z550" s="281"/>
      <c r="AA550" s="281"/>
      <c r="AB550" s="281"/>
      <c r="AC550" s="281"/>
      <c r="AD550" s="281"/>
      <c r="AE550" s="281"/>
    </row>
    <row r="551" spans="15:31">
      <c r="O551" s="281"/>
      <c r="P551" s="281"/>
      <c r="Q551" s="281"/>
      <c r="R551" s="281"/>
      <c r="S551" s="281"/>
      <c r="T551" s="281"/>
      <c r="U551" s="281"/>
      <c r="V551" s="281"/>
      <c r="W551" s="281"/>
      <c r="X551" s="281"/>
      <c r="Y551" s="281"/>
      <c r="Z551" s="281"/>
      <c r="AA551" s="281"/>
      <c r="AB551" s="281"/>
      <c r="AC551" s="281"/>
      <c r="AD551" s="281"/>
      <c r="AE551" s="281"/>
    </row>
    <row r="552" spans="15:31">
      <c r="O552" s="281"/>
      <c r="P552" s="281"/>
      <c r="Q552" s="281"/>
      <c r="R552" s="281"/>
      <c r="S552" s="281"/>
      <c r="T552" s="281"/>
      <c r="U552" s="281"/>
      <c r="V552" s="281"/>
      <c r="W552" s="281"/>
      <c r="X552" s="281"/>
      <c r="Y552" s="281"/>
      <c r="Z552" s="281"/>
      <c r="AA552" s="281"/>
      <c r="AB552" s="281"/>
      <c r="AC552" s="281"/>
      <c r="AD552" s="281"/>
      <c r="AE552" s="281"/>
    </row>
    <row r="553" spans="15:31">
      <c r="O553" s="281"/>
      <c r="P553" s="281"/>
      <c r="Q553" s="281"/>
      <c r="R553" s="281"/>
      <c r="S553" s="281"/>
      <c r="T553" s="281"/>
      <c r="U553" s="281"/>
      <c r="V553" s="281"/>
      <c r="W553" s="281"/>
      <c r="X553" s="281"/>
      <c r="Y553" s="281"/>
      <c r="Z553" s="281"/>
      <c r="AA553" s="281"/>
      <c r="AB553" s="281"/>
      <c r="AC553" s="281"/>
      <c r="AD553" s="281"/>
      <c r="AE553" s="281"/>
    </row>
    <row r="554" spans="15:31">
      <c r="O554" s="281"/>
      <c r="P554" s="281"/>
      <c r="Q554" s="281"/>
      <c r="R554" s="281"/>
      <c r="S554" s="281"/>
      <c r="T554" s="281"/>
      <c r="U554" s="281"/>
      <c r="V554" s="281"/>
      <c r="W554" s="281"/>
      <c r="X554" s="281"/>
      <c r="Y554" s="281"/>
      <c r="Z554" s="281"/>
      <c r="AA554" s="281"/>
      <c r="AB554" s="281"/>
      <c r="AC554" s="281"/>
      <c r="AD554" s="281"/>
      <c r="AE554" s="281"/>
    </row>
    <row r="555" spans="15:31">
      <c r="O555" s="281"/>
      <c r="P555" s="281"/>
      <c r="Q555" s="281"/>
      <c r="R555" s="281"/>
      <c r="S555" s="281"/>
      <c r="T555" s="281"/>
      <c r="U555" s="281"/>
      <c r="V555" s="281"/>
      <c r="W555" s="281"/>
      <c r="X555" s="281"/>
      <c r="Y555" s="281"/>
      <c r="Z555" s="281"/>
      <c r="AA555" s="281"/>
      <c r="AB555" s="281"/>
      <c r="AC555" s="281"/>
      <c r="AD555" s="281"/>
      <c r="AE555" s="281"/>
    </row>
    <row r="556" spans="15:31">
      <c r="O556" s="281"/>
      <c r="P556" s="281"/>
      <c r="Q556" s="281"/>
      <c r="R556" s="281"/>
      <c r="S556" s="281"/>
      <c r="T556" s="281"/>
      <c r="U556" s="281"/>
      <c r="V556" s="281"/>
      <c r="W556" s="281"/>
      <c r="X556" s="281"/>
      <c r="Y556" s="281"/>
      <c r="Z556" s="281"/>
      <c r="AA556" s="281"/>
      <c r="AB556" s="281"/>
      <c r="AC556" s="281"/>
      <c r="AD556" s="281"/>
      <c r="AE556" s="281"/>
    </row>
    <row r="557" spans="15:31">
      <c r="O557" s="281"/>
      <c r="P557" s="281"/>
      <c r="Q557" s="281"/>
      <c r="R557" s="281"/>
      <c r="S557" s="281"/>
      <c r="T557" s="281"/>
      <c r="U557" s="281"/>
      <c r="V557" s="281"/>
      <c r="W557" s="281"/>
      <c r="X557" s="281"/>
      <c r="Y557" s="281"/>
      <c r="Z557" s="281"/>
      <c r="AA557" s="281"/>
      <c r="AB557" s="281"/>
      <c r="AC557" s="281"/>
      <c r="AD557" s="281"/>
      <c r="AE557" s="281"/>
    </row>
    <row r="558" spans="15:31">
      <c r="O558" s="281"/>
      <c r="P558" s="281"/>
      <c r="Q558" s="281"/>
      <c r="R558" s="281"/>
      <c r="S558" s="281"/>
      <c r="T558" s="281"/>
      <c r="U558" s="281"/>
      <c r="V558" s="281"/>
      <c r="W558" s="281"/>
      <c r="X558" s="281"/>
      <c r="Y558" s="281"/>
      <c r="Z558" s="281"/>
      <c r="AA558" s="281"/>
      <c r="AB558" s="281"/>
      <c r="AC558" s="281"/>
      <c r="AD558" s="281"/>
      <c r="AE558" s="281"/>
    </row>
    <row r="559" spans="15:31">
      <c r="O559" s="281"/>
      <c r="P559" s="281"/>
      <c r="Q559" s="281"/>
      <c r="R559" s="281"/>
      <c r="S559" s="281"/>
      <c r="T559" s="281"/>
      <c r="U559" s="281"/>
      <c r="V559" s="281"/>
      <c r="W559" s="281"/>
      <c r="X559" s="281"/>
      <c r="Y559" s="281"/>
      <c r="Z559" s="281"/>
      <c r="AA559" s="281"/>
      <c r="AB559" s="281"/>
      <c r="AC559" s="281"/>
      <c r="AD559" s="281"/>
      <c r="AE559" s="281"/>
    </row>
    <row r="560" spans="15:31">
      <c r="O560" s="281"/>
      <c r="P560" s="281"/>
      <c r="Q560" s="281"/>
      <c r="R560" s="281"/>
      <c r="S560" s="281"/>
      <c r="T560" s="281"/>
      <c r="U560" s="281"/>
      <c r="V560" s="281"/>
      <c r="W560" s="281"/>
      <c r="X560" s="281"/>
      <c r="Y560" s="281"/>
      <c r="Z560" s="281"/>
      <c r="AA560" s="281"/>
      <c r="AB560" s="281"/>
      <c r="AC560" s="281"/>
      <c r="AD560" s="281"/>
      <c r="AE560" s="281"/>
    </row>
    <row r="561" spans="15:31">
      <c r="O561" s="281"/>
      <c r="P561" s="281"/>
      <c r="Q561" s="281"/>
      <c r="R561" s="281"/>
      <c r="S561" s="281"/>
      <c r="T561" s="281"/>
      <c r="U561" s="281"/>
      <c r="V561" s="281"/>
      <c r="W561" s="281"/>
      <c r="X561" s="281"/>
      <c r="Y561" s="281"/>
      <c r="Z561" s="281"/>
      <c r="AA561" s="281"/>
      <c r="AB561" s="281"/>
      <c r="AC561" s="281"/>
      <c r="AD561" s="281"/>
      <c r="AE561" s="281"/>
    </row>
    <row r="562" spans="15:31">
      <c r="O562" s="281"/>
      <c r="P562" s="281"/>
      <c r="Q562" s="281"/>
      <c r="R562" s="281"/>
      <c r="S562" s="281"/>
      <c r="T562" s="281"/>
      <c r="U562" s="281"/>
      <c r="V562" s="281"/>
      <c r="W562" s="281"/>
      <c r="X562" s="281"/>
      <c r="Y562" s="281"/>
      <c r="Z562" s="281"/>
      <c r="AA562" s="281"/>
      <c r="AB562" s="281"/>
      <c r="AC562" s="281"/>
      <c r="AD562" s="281"/>
      <c r="AE562" s="281"/>
    </row>
    <row r="563" spans="15:31">
      <c r="O563" s="281"/>
      <c r="P563" s="281"/>
      <c r="Q563" s="281"/>
      <c r="R563" s="281"/>
      <c r="S563" s="281"/>
      <c r="T563" s="281"/>
      <c r="U563" s="281"/>
      <c r="V563" s="281"/>
      <c r="W563" s="281"/>
      <c r="X563" s="281"/>
      <c r="Y563" s="281"/>
      <c r="Z563" s="281"/>
      <c r="AA563" s="281"/>
      <c r="AB563" s="281"/>
      <c r="AC563" s="281"/>
      <c r="AD563" s="281"/>
      <c r="AE563" s="281"/>
    </row>
    <row r="564" spans="15:31">
      <c r="O564" s="281"/>
      <c r="P564" s="281"/>
      <c r="Q564" s="281"/>
      <c r="R564" s="281"/>
      <c r="S564" s="281"/>
      <c r="T564" s="281"/>
      <c r="U564" s="281"/>
      <c r="V564" s="281"/>
      <c r="W564" s="281"/>
      <c r="X564" s="281"/>
      <c r="Y564" s="281"/>
      <c r="Z564" s="281"/>
      <c r="AA564" s="281"/>
      <c r="AB564" s="281"/>
      <c r="AC564" s="281"/>
      <c r="AD564" s="281"/>
      <c r="AE564" s="281"/>
    </row>
    <row r="565" spans="15:31">
      <c r="O565" s="281"/>
      <c r="P565" s="281"/>
      <c r="Q565" s="281"/>
      <c r="R565" s="281"/>
      <c r="S565" s="281"/>
      <c r="T565" s="281"/>
      <c r="U565" s="281"/>
      <c r="V565" s="281"/>
      <c r="W565" s="281"/>
      <c r="X565" s="281"/>
      <c r="Y565" s="281"/>
      <c r="Z565" s="281"/>
      <c r="AA565" s="281"/>
      <c r="AB565" s="281"/>
      <c r="AC565" s="281"/>
      <c r="AD565" s="281"/>
      <c r="AE565" s="281"/>
    </row>
    <row r="566" spans="15:31">
      <c r="O566" s="281"/>
      <c r="P566" s="281"/>
      <c r="Q566" s="281"/>
      <c r="R566" s="281"/>
      <c r="S566" s="281"/>
      <c r="T566" s="281"/>
      <c r="U566" s="281"/>
      <c r="V566" s="281"/>
      <c r="W566" s="281"/>
      <c r="X566" s="281"/>
      <c r="Y566" s="281"/>
      <c r="Z566" s="281"/>
      <c r="AA566" s="281"/>
      <c r="AB566" s="281"/>
      <c r="AC566" s="281"/>
      <c r="AD566" s="281"/>
      <c r="AE566" s="281"/>
    </row>
    <row r="567" spans="15:31">
      <c r="O567" s="281"/>
      <c r="P567" s="281"/>
      <c r="Q567" s="281"/>
      <c r="R567" s="281"/>
      <c r="S567" s="281"/>
      <c r="T567" s="281"/>
      <c r="U567" s="281"/>
      <c r="V567" s="281"/>
      <c r="W567" s="281"/>
      <c r="X567" s="281"/>
      <c r="Y567" s="281"/>
      <c r="Z567" s="281"/>
      <c r="AA567" s="281"/>
      <c r="AB567" s="281"/>
      <c r="AC567" s="281"/>
      <c r="AD567" s="281"/>
      <c r="AE567" s="281"/>
    </row>
    <row r="568" spans="15:31">
      <c r="O568" s="281"/>
      <c r="P568" s="281"/>
      <c r="Q568" s="281"/>
      <c r="R568" s="281"/>
      <c r="S568" s="281"/>
      <c r="T568" s="281"/>
      <c r="U568" s="281"/>
      <c r="V568" s="281"/>
      <c r="W568" s="281"/>
      <c r="X568" s="281"/>
      <c r="Y568" s="281"/>
      <c r="Z568" s="281"/>
      <c r="AA568" s="281"/>
      <c r="AB568" s="281"/>
      <c r="AC568" s="281"/>
      <c r="AD568" s="281"/>
      <c r="AE568" s="281"/>
    </row>
    <row r="569" spans="15:31">
      <c r="O569" s="281"/>
      <c r="P569" s="281"/>
      <c r="Q569" s="281"/>
      <c r="R569" s="281"/>
      <c r="S569" s="281"/>
      <c r="T569" s="281"/>
      <c r="U569" s="281"/>
      <c r="V569" s="281"/>
      <c r="W569" s="281"/>
      <c r="X569" s="281"/>
      <c r="Y569" s="281"/>
      <c r="Z569" s="281"/>
      <c r="AA569" s="281"/>
      <c r="AB569" s="281"/>
      <c r="AC569" s="281"/>
      <c r="AD569" s="281"/>
      <c r="AE569" s="281"/>
    </row>
    <row r="570" spans="15:31">
      <c r="O570" s="281"/>
      <c r="P570" s="281"/>
      <c r="Q570" s="281"/>
      <c r="R570" s="281"/>
      <c r="S570" s="281"/>
      <c r="T570" s="281"/>
      <c r="U570" s="281"/>
      <c r="V570" s="281"/>
      <c r="W570" s="281"/>
      <c r="X570" s="281"/>
      <c r="Y570" s="281"/>
      <c r="Z570" s="281"/>
      <c r="AA570" s="281"/>
      <c r="AB570" s="281"/>
      <c r="AC570" s="281"/>
      <c r="AD570" s="281"/>
      <c r="AE570" s="281"/>
    </row>
    <row r="571" spans="15:31">
      <c r="O571" s="281"/>
      <c r="P571" s="281"/>
      <c r="Q571" s="281"/>
      <c r="R571" s="281"/>
      <c r="S571" s="281"/>
      <c r="T571" s="281"/>
      <c r="U571" s="281"/>
      <c r="V571" s="281"/>
      <c r="W571" s="281"/>
      <c r="X571" s="281"/>
      <c r="Y571" s="281"/>
      <c r="Z571" s="281"/>
      <c r="AA571" s="281"/>
      <c r="AB571" s="281"/>
      <c r="AC571" s="281"/>
      <c r="AD571" s="281"/>
      <c r="AE571" s="281"/>
    </row>
    <row r="572" spans="15:31">
      <c r="O572" s="281"/>
      <c r="P572" s="281"/>
      <c r="Q572" s="281"/>
      <c r="R572" s="281"/>
      <c r="S572" s="281"/>
      <c r="T572" s="281"/>
      <c r="U572" s="281"/>
      <c r="V572" s="281"/>
      <c r="W572" s="281"/>
      <c r="X572" s="281"/>
      <c r="Y572" s="281"/>
      <c r="Z572" s="281"/>
      <c r="AA572" s="281"/>
      <c r="AB572" s="281"/>
      <c r="AC572" s="281"/>
      <c r="AD572" s="281"/>
      <c r="AE572" s="281"/>
    </row>
    <row r="573" spans="15:31">
      <c r="O573" s="281"/>
      <c r="P573" s="281"/>
      <c r="Q573" s="281"/>
      <c r="R573" s="281"/>
      <c r="S573" s="281"/>
      <c r="T573" s="281"/>
      <c r="U573" s="281"/>
      <c r="V573" s="281"/>
      <c r="W573" s="281"/>
      <c r="X573" s="281"/>
      <c r="Y573" s="281"/>
      <c r="Z573" s="281"/>
      <c r="AA573" s="281"/>
      <c r="AB573" s="281"/>
      <c r="AC573" s="281"/>
      <c r="AD573" s="281"/>
      <c r="AE573" s="281"/>
    </row>
    <row r="574" spans="15:31">
      <c r="O574" s="281"/>
      <c r="P574" s="281"/>
      <c r="Q574" s="281"/>
      <c r="R574" s="281"/>
      <c r="S574" s="281"/>
      <c r="T574" s="281"/>
      <c r="U574" s="281"/>
      <c r="V574" s="281"/>
      <c r="W574" s="281"/>
      <c r="X574" s="281"/>
      <c r="Y574" s="281"/>
      <c r="Z574" s="281"/>
      <c r="AA574" s="281"/>
      <c r="AB574" s="281"/>
      <c r="AC574" s="281"/>
      <c r="AD574" s="281"/>
      <c r="AE574" s="281"/>
    </row>
    <row r="575" spans="15:31">
      <c r="O575" s="281"/>
      <c r="P575" s="281"/>
      <c r="Q575" s="281"/>
      <c r="R575" s="281"/>
      <c r="S575" s="281"/>
      <c r="T575" s="281"/>
      <c r="U575" s="281"/>
      <c r="V575" s="281"/>
      <c r="W575" s="281"/>
      <c r="X575" s="281"/>
      <c r="Y575" s="281"/>
      <c r="Z575" s="281"/>
      <c r="AA575" s="281"/>
      <c r="AB575" s="281"/>
      <c r="AC575" s="281"/>
      <c r="AD575" s="281"/>
      <c r="AE575" s="281"/>
    </row>
    <row r="576" spans="15:31">
      <c r="O576" s="281"/>
      <c r="P576" s="281"/>
      <c r="Q576" s="281"/>
      <c r="R576" s="281"/>
      <c r="S576" s="281"/>
      <c r="T576" s="281"/>
      <c r="U576" s="281"/>
      <c r="V576" s="281"/>
      <c r="W576" s="281"/>
      <c r="X576" s="281"/>
      <c r="Y576" s="281"/>
      <c r="Z576" s="281"/>
      <c r="AA576" s="281"/>
      <c r="AB576" s="281"/>
      <c r="AC576" s="281"/>
      <c r="AD576" s="281"/>
      <c r="AE576" s="281"/>
    </row>
    <row r="577" spans="15:31">
      <c r="O577" s="281"/>
      <c r="P577" s="281"/>
      <c r="Q577" s="281"/>
      <c r="R577" s="281"/>
      <c r="S577" s="281"/>
      <c r="T577" s="281"/>
      <c r="U577" s="281"/>
      <c r="V577" s="281"/>
      <c r="W577" s="281"/>
      <c r="X577" s="281"/>
      <c r="Y577" s="281"/>
      <c r="Z577" s="281"/>
      <c r="AA577" s="281"/>
      <c r="AB577" s="281"/>
      <c r="AC577" s="281"/>
      <c r="AD577" s="281"/>
      <c r="AE577" s="281"/>
    </row>
    <row r="578" spans="15:31">
      <c r="O578" s="281"/>
      <c r="P578" s="281"/>
      <c r="Q578" s="281"/>
      <c r="R578" s="281"/>
      <c r="S578" s="281"/>
      <c r="T578" s="281"/>
      <c r="U578" s="281"/>
      <c r="V578" s="281"/>
      <c r="W578" s="281"/>
      <c r="X578" s="281"/>
      <c r="Y578" s="281"/>
      <c r="Z578" s="281"/>
      <c r="AA578" s="281"/>
      <c r="AB578" s="281"/>
      <c r="AC578" s="281"/>
      <c r="AD578" s="281"/>
      <c r="AE578" s="281"/>
    </row>
    <row r="579" spans="15:31">
      <c r="O579" s="281"/>
      <c r="P579" s="281"/>
      <c r="Q579" s="281"/>
      <c r="R579" s="281"/>
      <c r="S579" s="281"/>
      <c r="T579" s="281"/>
      <c r="U579" s="281"/>
      <c r="V579" s="281"/>
      <c r="W579" s="281"/>
      <c r="X579" s="281"/>
      <c r="Y579" s="281"/>
      <c r="Z579" s="281"/>
      <c r="AA579" s="281"/>
      <c r="AB579" s="281"/>
      <c r="AC579" s="281"/>
      <c r="AD579" s="281"/>
      <c r="AE579" s="281"/>
    </row>
    <row r="580" spans="15:31">
      <c r="O580" s="281"/>
      <c r="P580" s="281"/>
      <c r="Q580" s="281"/>
      <c r="R580" s="281"/>
      <c r="S580" s="281"/>
      <c r="T580" s="281"/>
      <c r="U580" s="281"/>
      <c r="V580" s="281"/>
      <c r="W580" s="281"/>
      <c r="X580" s="281"/>
      <c r="Y580" s="281"/>
      <c r="Z580" s="281"/>
      <c r="AA580" s="281"/>
      <c r="AB580" s="281"/>
      <c r="AC580" s="281"/>
      <c r="AD580" s="281"/>
      <c r="AE580" s="281"/>
    </row>
    <row r="581" spans="15:31">
      <c r="O581" s="281"/>
      <c r="P581" s="281"/>
      <c r="Q581" s="281"/>
      <c r="R581" s="281"/>
      <c r="S581" s="281"/>
      <c r="T581" s="281"/>
      <c r="U581" s="281"/>
      <c r="V581" s="281"/>
      <c r="W581" s="281"/>
      <c r="X581" s="281"/>
      <c r="Y581" s="281"/>
      <c r="Z581" s="281"/>
      <c r="AA581" s="281"/>
      <c r="AB581" s="281"/>
      <c r="AC581" s="281"/>
      <c r="AD581" s="281"/>
      <c r="AE581" s="281"/>
    </row>
    <row r="582" spans="15:31">
      <c r="O582" s="281"/>
      <c r="P582" s="281"/>
      <c r="Q582" s="281"/>
      <c r="R582" s="281"/>
      <c r="S582" s="281"/>
      <c r="T582" s="281"/>
      <c r="U582" s="281"/>
      <c r="V582" s="281"/>
      <c r="W582" s="281"/>
      <c r="X582" s="281"/>
      <c r="Y582" s="281"/>
      <c r="Z582" s="281"/>
      <c r="AA582" s="281"/>
      <c r="AB582" s="281"/>
      <c r="AC582" s="281"/>
      <c r="AD582" s="281"/>
      <c r="AE582" s="281"/>
    </row>
    <row r="583" spans="15:31">
      <c r="O583" s="281"/>
      <c r="P583" s="281"/>
      <c r="Q583" s="281"/>
      <c r="R583" s="281"/>
      <c r="S583" s="281"/>
      <c r="T583" s="281"/>
      <c r="U583" s="281"/>
      <c r="V583" s="281"/>
      <c r="W583" s="281"/>
      <c r="X583" s="281"/>
      <c r="Y583" s="281"/>
      <c r="Z583" s="281"/>
      <c r="AA583" s="281"/>
      <c r="AB583" s="281"/>
      <c r="AC583" s="281"/>
      <c r="AD583" s="281"/>
      <c r="AE583" s="281"/>
    </row>
    <row r="584" spans="15:31">
      <c r="O584" s="281"/>
      <c r="P584" s="281"/>
      <c r="Q584" s="281"/>
      <c r="R584" s="281"/>
      <c r="S584" s="281"/>
      <c r="T584" s="281"/>
      <c r="U584" s="281"/>
      <c r="V584" s="281"/>
      <c r="W584" s="281"/>
      <c r="X584" s="281"/>
      <c r="Y584" s="281"/>
      <c r="Z584" s="281"/>
      <c r="AA584" s="281"/>
      <c r="AB584" s="281"/>
      <c r="AC584" s="281"/>
      <c r="AD584" s="281"/>
      <c r="AE584" s="281"/>
    </row>
    <row r="585" spans="15:31">
      <c r="O585" s="281"/>
      <c r="P585" s="281"/>
      <c r="Q585" s="281"/>
      <c r="R585" s="281"/>
      <c r="S585" s="281"/>
      <c r="T585" s="281"/>
      <c r="U585" s="281"/>
      <c r="V585" s="281"/>
      <c r="W585" s="281"/>
      <c r="X585" s="281"/>
      <c r="Y585" s="281"/>
      <c r="Z585" s="281"/>
      <c r="AA585" s="281"/>
      <c r="AB585" s="281"/>
      <c r="AC585" s="281"/>
      <c r="AD585" s="281"/>
      <c r="AE585" s="281"/>
    </row>
    <row r="586" spans="15:31">
      <c r="O586" s="281"/>
      <c r="P586" s="281"/>
      <c r="Q586" s="281"/>
      <c r="R586" s="281"/>
      <c r="S586" s="281"/>
      <c r="T586" s="281"/>
      <c r="U586" s="281"/>
      <c r="V586" s="281"/>
      <c r="W586" s="281"/>
      <c r="X586" s="281"/>
      <c r="Y586" s="281"/>
      <c r="Z586" s="281"/>
      <c r="AA586" s="281"/>
      <c r="AB586" s="281"/>
      <c r="AC586" s="281"/>
      <c r="AD586" s="281"/>
      <c r="AE586" s="281"/>
    </row>
    <row r="587" spans="15:31">
      <c r="O587" s="281"/>
      <c r="P587" s="281"/>
      <c r="Q587" s="281"/>
      <c r="R587" s="281"/>
      <c r="S587" s="281"/>
      <c r="T587" s="281"/>
      <c r="U587" s="281"/>
      <c r="V587" s="281"/>
      <c r="W587" s="281"/>
      <c r="X587" s="281"/>
      <c r="Y587" s="281"/>
      <c r="Z587" s="281"/>
      <c r="AA587" s="281"/>
      <c r="AB587" s="281"/>
      <c r="AC587" s="281"/>
      <c r="AD587" s="281"/>
      <c r="AE587" s="281"/>
    </row>
    <row r="588" spans="15:31">
      <c r="O588" s="281"/>
      <c r="P588" s="281"/>
      <c r="Q588" s="281"/>
      <c r="R588" s="281"/>
      <c r="S588" s="281"/>
      <c r="T588" s="281"/>
      <c r="U588" s="281"/>
      <c r="V588" s="281"/>
      <c r="W588" s="281"/>
      <c r="X588" s="281"/>
      <c r="Y588" s="281"/>
      <c r="Z588" s="281"/>
      <c r="AA588" s="281"/>
      <c r="AB588" s="281"/>
      <c r="AC588" s="281"/>
      <c r="AD588" s="281"/>
      <c r="AE588" s="281"/>
    </row>
    <row r="589" spans="15:31">
      <c r="O589" s="281"/>
      <c r="P589" s="281"/>
      <c r="Q589" s="281"/>
      <c r="R589" s="281"/>
      <c r="S589" s="281"/>
      <c r="T589" s="281"/>
      <c r="U589" s="281"/>
      <c r="V589" s="281"/>
      <c r="W589" s="281"/>
      <c r="X589" s="281"/>
      <c r="Y589" s="281"/>
      <c r="Z589" s="281"/>
      <c r="AA589" s="281"/>
      <c r="AB589" s="281"/>
      <c r="AC589" s="281"/>
      <c r="AD589" s="281"/>
      <c r="AE589" s="281"/>
    </row>
    <row r="590" spans="15:31">
      <c r="O590" s="281"/>
      <c r="P590" s="281"/>
      <c r="Q590" s="281"/>
      <c r="R590" s="281"/>
      <c r="S590" s="281"/>
      <c r="T590" s="281"/>
      <c r="U590" s="281"/>
      <c r="V590" s="281"/>
      <c r="W590" s="281"/>
      <c r="X590" s="281"/>
      <c r="Y590" s="281"/>
      <c r="Z590" s="281"/>
      <c r="AA590" s="281"/>
      <c r="AB590" s="281"/>
      <c r="AC590" s="281"/>
      <c r="AD590" s="281"/>
      <c r="AE590" s="281"/>
    </row>
    <row r="591" spans="15:31">
      <c r="O591" s="281"/>
      <c r="P591" s="281"/>
      <c r="Q591" s="281"/>
      <c r="R591" s="281"/>
      <c r="S591" s="281"/>
      <c r="T591" s="281"/>
      <c r="U591" s="281"/>
      <c r="V591" s="281"/>
      <c r="W591" s="281"/>
      <c r="X591" s="281"/>
      <c r="Y591" s="281"/>
      <c r="Z591" s="281"/>
      <c r="AA591" s="281"/>
      <c r="AB591" s="281"/>
      <c r="AC591" s="281"/>
      <c r="AD591" s="281"/>
      <c r="AE591" s="281"/>
    </row>
    <row r="592" spans="15:31">
      <c r="O592" s="281"/>
      <c r="P592" s="281"/>
      <c r="Q592" s="281"/>
      <c r="R592" s="281"/>
      <c r="S592" s="281"/>
      <c r="T592" s="281"/>
      <c r="U592" s="281"/>
      <c r="V592" s="281"/>
      <c r="W592" s="281"/>
      <c r="X592" s="281"/>
      <c r="Y592" s="281"/>
      <c r="Z592" s="281"/>
      <c r="AA592" s="281"/>
      <c r="AB592" s="281"/>
      <c r="AC592" s="281"/>
      <c r="AD592" s="281"/>
      <c r="AE592" s="281"/>
    </row>
    <row r="593" spans="15:31">
      <c r="O593" s="281"/>
      <c r="P593" s="281"/>
      <c r="Q593" s="281"/>
      <c r="R593" s="281"/>
      <c r="S593" s="281"/>
      <c r="T593" s="281"/>
      <c r="U593" s="281"/>
      <c r="V593" s="281"/>
      <c r="W593" s="281"/>
      <c r="X593" s="281"/>
      <c r="Y593" s="281"/>
      <c r="Z593" s="281"/>
      <c r="AA593" s="281"/>
      <c r="AB593" s="281"/>
      <c r="AC593" s="281"/>
      <c r="AD593" s="281"/>
      <c r="AE593" s="281"/>
    </row>
    <row r="594" spans="15:31">
      <c r="O594" s="281"/>
      <c r="P594" s="281"/>
      <c r="Q594" s="281"/>
      <c r="R594" s="281"/>
      <c r="S594" s="281"/>
      <c r="T594" s="281"/>
      <c r="U594" s="281"/>
      <c r="V594" s="281"/>
      <c r="W594" s="281"/>
      <c r="X594" s="281"/>
      <c r="Y594" s="281"/>
      <c r="Z594" s="281"/>
      <c r="AA594" s="281"/>
      <c r="AB594" s="281"/>
      <c r="AC594" s="281"/>
      <c r="AD594" s="281"/>
      <c r="AE594" s="281"/>
    </row>
    <row r="595" spans="15:31">
      <c r="O595" s="281"/>
      <c r="P595" s="281"/>
      <c r="Q595" s="281"/>
      <c r="R595" s="281"/>
      <c r="S595" s="281"/>
      <c r="T595" s="281"/>
      <c r="U595" s="281"/>
      <c r="V595" s="281"/>
      <c r="W595" s="281"/>
      <c r="X595" s="281"/>
      <c r="Y595" s="281"/>
      <c r="Z595" s="281"/>
      <c r="AA595" s="281"/>
      <c r="AB595" s="281"/>
      <c r="AC595" s="281"/>
      <c r="AD595" s="281"/>
      <c r="AE595" s="281"/>
    </row>
    <row r="596" spans="15:31">
      <c r="O596" s="281"/>
      <c r="P596" s="281"/>
      <c r="Q596" s="281"/>
      <c r="R596" s="281"/>
      <c r="S596" s="281"/>
      <c r="T596" s="281"/>
      <c r="U596" s="281"/>
      <c r="V596" s="281"/>
      <c r="W596" s="281"/>
      <c r="X596" s="281"/>
      <c r="Y596" s="281"/>
      <c r="Z596" s="281"/>
      <c r="AA596" s="281"/>
      <c r="AB596" s="281"/>
      <c r="AC596" s="281"/>
      <c r="AD596" s="281"/>
      <c r="AE596" s="281"/>
    </row>
    <row r="597" spans="15:31">
      <c r="O597" s="281"/>
      <c r="P597" s="281"/>
      <c r="Q597" s="281"/>
      <c r="R597" s="281"/>
      <c r="S597" s="281"/>
      <c r="T597" s="281"/>
      <c r="U597" s="281"/>
      <c r="V597" s="281"/>
      <c r="W597" s="281"/>
      <c r="X597" s="281"/>
      <c r="Y597" s="281"/>
      <c r="Z597" s="281"/>
      <c r="AA597" s="281"/>
      <c r="AB597" s="281"/>
      <c r="AC597" s="281"/>
      <c r="AD597" s="281"/>
      <c r="AE597" s="281"/>
    </row>
    <row r="598" spans="15:31">
      <c r="O598" s="281"/>
      <c r="P598" s="281"/>
      <c r="Q598" s="281"/>
      <c r="R598" s="281"/>
      <c r="S598" s="281"/>
      <c r="T598" s="281"/>
      <c r="U598" s="281"/>
      <c r="V598" s="281"/>
      <c r="W598" s="281"/>
      <c r="X598" s="281"/>
      <c r="Y598" s="281"/>
      <c r="Z598" s="281"/>
      <c r="AA598" s="281"/>
      <c r="AB598" s="281"/>
      <c r="AC598" s="281"/>
      <c r="AD598" s="281"/>
      <c r="AE598" s="281"/>
    </row>
    <row r="599" spans="15:31">
      <c r="O599" s="281"/>
      <c r="P599" s="281"/>
      <c r="Q599" s="281"/>
      <c r="R599" s="281"/>
      <c r="S599" s="281"/>
      <c r="T599" s="281"/>
      <c r="U599" s="281"/>
      <c r="V599" s="281"/>
      <c r="W599" s="281"/>
      <c r="X599" s="281"/>
      <c r="Y599" s="281"/>
      <c r="Z599" s="281"/>
      <c r="AA599" s="281"/>
      <c r="AB599" s="281"/>
      <c r="AC599" s="281"/>
      <c r="AD599" s="281"/>
      <c r="AE599" s="281"/>
    </row>
    <row r="600" spans="15:31">
      <c r="O600" s="281"/>
      <c r="P600" s="281"/>
      <c r="Q600" s="281"/>
      <c r="R600" s="281"/>
      <c r="S600" s="281"/>
      <c r="T600" s="281"/>
      <c r="U600" s="281"/>
      <c r="V600" s="281"/>
      <c r="W600" s="281"/>
      <c r="X600" s="281"/>
      <c r="Y600" s="281"/>
      <c r="Z600" s="281"/>
      <c r="AA600" s="281"/>
      <c r="AB600" s="281"/>
      <c r="AC600" s="281"/>
      <c r="AD600" s="281"/>
      <c r="AE600" s="281"/>
    </row>
    <row r="601" spans="15:31">
      <c r="O601" s="281"/>
      <c r="P601" s="281"/>
      <c r="Q601" s="281"/>
      <c r="R601" s="281"/>
      <c r="S601" s="281"/>
      <c r="T601" s="281"/>
      <c r="U601" s="281"/>
      <c r="V601" s="281"/>
      <c r="W601" s="281"/>
      <c r="X601" s="281"/>
      <c r="Y601" s="281"/>
      <c r="Z601" s="281"/>
      <c r="AA601" s="281"/>
      <c r="AB601" s="281"/>
      <c r="AC601" s="281"/>
      <c r="AD601" s="281"/>
      <c r="AE601" s="281"/>
    </row>
    <row r="602" spans="15:31">
      <c r="O602" s="281"/>
      <c r="P602" s="281"/>
      <c r="Q602" s="281"/>
      <c r="R602" s="281"/>
      <c r="S602" s="281"/>
      <c r="T602" s="281"/>
      <c r="U602" s="281"/>
      <c r="V602" s="281"/>
      <c r="W602" s="281"/>
      <c r="X602" s="281"/>
      <c r="Y602" s="281"/>
      <c r="Z602" s="281"/>
      <c r="AA602" s="281"/>
      <c r="AB602" s="281"/>
      <c r="AC602" s="281"/>
      <c r="AD602" s="281"/>
      <c r="AE602" s="281"/>
    </row>
    <row r="603" spans="15:31">
      <c r="O603" s="281"/>
      <c r="P603" s="281"/>
      <c r="Q603" s="281"/>
      <c r="R603" s="281"/>
      <c r="S603" s="281"/>
      <c r="T603" s="281"/>
      <c r="U603" s="281"/>
      <c r="V603" s="281"/>
      <c r="W603" s="281"/>
      <c r="X603" s="281"/>
      <c r="Y603" s="281"/>
      <c r="Z603" s="281"/>
      <c r="AA603" s="281"/>
      <c r="AB603" s="281"/>
      <c r="AC603" s="281"/>
      <c r="AD603" s="281"/>
      <c r="AE603" s="281"/>
    </row>
    <row r="604" spans="15:31">
      <c r="O604" s="281"/>
      <c r="P604" s="281"/>
      <c r="Q604" s="281"/>
      <c r="R604" s="281"/>
      <c r="S604" s="281"/>
      <c r="T604" s="281"/>
      <c r="U604" s="281"/>
      <c r="V604" s="281"/>
      <c r="W604" s="281"/>
      <c r="X604" s="281"/>
      <c r="Y604" s="281"/>
      <c r="Z604" s="281"/>
      <c r="AA604" s="281"/>
      <c r="AB604" s="281"/>
      <c r="AC604" s="281"/>
      <c r="AD604" s="281"/>
      <c r="AE604" s="281"/>
    </row>
    <row r="605" spans="15:31">
      <c r="O605" s="281"/>
      <c r="P605" s="281"/>
      <c r="Q605" s="281"/>
      <c r="R605" s="281"/>
      <c r="S605" s="281"/>
      <c r="T605" s="281"/>
      <c r="U605" s="281"/>
      <c r="V605" s="281"/>
      <c r="W605" s="281"/>
      <c r="X605" s="281"/>
      <c r="Y605" s="281"/>
      <c r="Z605" s="281"/>
      <c r="AA605" s="281"/>
      <c r="AB605" s="281"/>
      <c r="AC605" s="281"/>
      <c r="AD605" s="281"/>
      <c r="AE605" s="281"/>
    </row>
    <row r="606" spans="15:31">
      <c r="O606" s="281"/>
      <c r="P606" s="281"/>
      <c r="Q606" s="281"/>
      <c r="R606" s="281"/>
      <c r="S606" s="281"/>
      <c r="T606" s="281"/>
      <c r="U606" s="281"/>
      <c r="V606" s="281"/>
      <c r="W606" s="281"/>
      <c r="X606" s="281"/>
      <c r="Y606" s="281"/>
      <c r="Z606" s="281"/>
      <c r="AA606" s="281"/>
      <c r="AB606" s="281"/>
      <c r="AC606" s="281"/>
      <c r="AD606" s="281"/>
      <c r="AE606" s="281"/>
    </row>
    <row r="607" spans="15:31">
      <c r="O607" s="281"/>
      <c r="P607" s="281"/>
      <c r="Q607" s="281"/>
      <c r="R607" s="281"/>
      <c r="S607" s="281"/>
      <c r="T607" s="281"/>
      <c r="U607" s="281"/>
      <c r="V607" s="281"/>
      <c r="W607" s="281"/>
      <c r="X607" s="281"/>
      <c r="Y607" s="281"/>
      <c r="Z607" s="281"/>
      <c r="AA607" s="281"/>
      <c r="AB607" s="281"/>
      <c r="AC607" s="281"/>
      <c r="AD607" s="281"/>
      <c r="AE607" s="281"/>
    </row>
    <row r="608" spans="15:31">
      <c r="O608" s="281"/>
      <c r="P608" s="281"/>
      <c r="Q608" s="281"/>
      <c r="R608" s="281"/>
      <c r="S608" s="281"/>
      <c r="T608" s="281"/>
      <c r="U608" s="281"/>
      <c r="V608" s="281"/>
      <c r="W608" s="281"/>
      <c r="X608" s="281"/>
      <c r="Y608" s="281"/>
      <c r="Z608" s="281"/>
      <c r="AA608" s="281"/>
      <c r="AB608" s="281"/>
      <c r="AC608" s="281"/>
      <c r="AD608" s="281"/>
      <c r="AE608" s="281"/>
    </row>
    <row r="609" spans="15:31">
      <c r="O609" s="281"/>
      <c r="P609" s="281"/>
      <c r="Q609" s="281"/>
      <c r="R609" s="281"/>
      <c r="S609" s="281"/>
      <c r="T609" s="281"/>
      <c r="U609" s="281"/>
      <c r="V609" s="281"/>
      <c r="W609" s="281"/>
      <c r="X609" s="281"/>
      <c r="Y609" s="281"/>
      <c r="Z609" s="281"/>
      <c r="AA609" s="281"/>
      <c r="AB609" s="281"/>
      <c r="AC609" s="281"/>
      <c r="AD609" s="281"/>
      <c r="AE609" s="281"/>
    </row>
    <row r="610" spans="15:31">
      <c r="O610" s="281"/>
      <c r="P610" s="281"/>
      <c r="Q610" s="281"/>
      <c r="R610" s="281"/>
      <c r="S610" s="281"/>
      <c r="T610" s="281"/>
      <c r="U610" s="281"/>
      <c r="V610" s="281"/>
      <c r="W610" s="281"/>
      <c r="X610" s="281"/>
      <c r="Y610" s="281"/>
      <c r="Z610" s="281"/>
      <c r="AA610" s="281"/>
      <c r="AB610" s="281"/>
      <c r="AC610" s="281"/>
      <c r="AD610" s="281"/>
      <c r="AE610" s="281"/>
    </row>
    <row r="611" spans="15:31">
      <c r="O611" s="281"/>
      <c r="P611" s="281"/>
      <c r="Q611" s="281"/>
      <c r="R611" s="281"/>
      <c r="S611" s="281"/>
      <c r="T611" s="281"/>
      <c r="U611" s="281"/>
      <c r="V611" s="281"/>
      <c r="W611" s="281"/>
      <c r="X611" s="281"/>
      <c r="Y611" s="281"/>
      <c r="Z611" s="281"/>
      <c r="AA611" s="281"/>
      <c r="AB611" s="281"/>
      <c r="AC611" s="281"/>
      <c r="AD611" s="281"/>
      <c r="AE611" s="281"/>
    </row>
    <row r="612" spans="15:31">
      <c r="O612" s="281"/>
      <c r="P612" s="281"/>
      <c r="Q612" s="281"/>
      <c r="R612" s="281"/>
      <c r="S612" s="281"/>
      <c r="T612" s="281"/>
      <c r="U612" s="281"/>
      <c r="V612" s="281"/>
      <c r="W612" s="281"/>
      <c r="X612" s="281"/>
      <c r="Y612" s="281"/>
      <c r="Z612" s="281"/>
      <c r="AA612" s="281"/>
      <c r="AB612" s="281"/>
      <c r="AC612" s="281"/>
      <c r="AD612" s="281"/>
      <c r="AE612" s="281"/>
    </row>
    <row r="613" spans="15:31">
      <c r="O613" s="281"/>
      <c r="P613" s="281"/>
      <c r="Q613" s="281"/>
      <c r="R613" s="281"/>
      <c r="S613" s="281"/>
      <c r="T613" s="281"/>
      <c r="U613" s="281"/>
      <c r="V613" s="281"/>
      <c r="W613" s="281"/>
      <c r="X613" s="281"/>
      <c r="Y613" s="281"/>
      <c r="Z613" s="281"/>
      <c r="AA613" s="281"/>
      <c r="AB613" s="281"/>
      <c r="AC613" s="281"/>
      <c r="AD613" s="281"/>
      <c r="AE613" s="281"/>
    </row>
    <row r="614" spans="15:31">
      <c r="O614" s="281"/>
      <c r="P614" s="281"/>
      <c r="Q614" s="281"/>
      <c r="R614" s="281"/>
      <c r="S614" s="281"/>
      <c r="T614" s="281"/>
      <c r="U614" s="281"/>
      <c r="V614" s="281"/>
      <c r="W614" s="281"/>
      <c r="X614" s="281"/>
      <c r="Y614" s="281"/>
      <c r="Z614" s="281"/>
      <c r="AA614" s="281"/>
      <c r="AB614" s="281"/>
      <c r="AC614" s="281"/>
      <c r="AD614" s="281"/>
      <c r="AE614" s="281"/>
    </row>
    <row r="615" spans="15:31">
      <c r="O615" s="281"/>
      <c r="P615" s="281"/>
      <c r="Q615" s="281"/>
      <c r="R615" s="281"/>
      <c r="S615" s="281"/>
      <c r="T615" s="281"/>
      <c r="U615" s="281"/>
      <c r="V615" s="281"/>
      <c r="W615" s="281"/>
      <c r="X615" s="281"/>
      <c r="Y615" s="281"/>
      <c r="Z615" s="281"/>
      <c r="AA615" s="281"/>
      <c r="AB615" s="281"/>
      <c r="AC615" s="281"/>
      <c r="AD615" s="281"/>
      <c r="AE615" s="281"/>
    </row>
    <row r="616" spans="15:31">
      <c r="O616" s="281"/>
      <c r="P616" s="281"/>
      <c r="Q616" s="281"/>
      <c r="R616" s="281"/>
      <c r="S616" s="281"/>
      <c r="T616" s="281"/>
      <c r="U616" s="281"/>
      <c r="V616" s="281"/>
      <c r="W616" s="281"/>
      <c r="X616" s="281"/>
      <c r="Y616" s="281"/>
      <c r="Z616" s="281"/>
      <c r="AA616" s="281"/>
      <c r="AB616" s="281"/>
      <c r="AC616" s="281"/>
      <c r="AD616" s="281"/>
      <c r="AE616" s="281"/>
    </row>
    <row r="617" spans="15:31">
      <c r="O617" s="281"/>
      <c r="P617" s="281"/>
      <c r="Q617" s="281"/>
      <c r="R617" s="281"/>
      <c r="S617" s="281"/>
      <c r="T617" s="281"/>
      <c r="U617" s="281"/>
      <c r="V617" s="281"/>
      <c r="W617" s="281"/>
      <c r="X617" s="281"/>
      <c r="Y617" s="281"/>
      <c r="Z617" s="281"/>
      <c r="AA617" s="281"/>
      <c r="AB617" s="281"/>
      <c r="AC617" s="281"/>
      <c r="AD617" s="281"/>
      <c r="AE617" s="281"/>
    </row>
    <row r="618" spans="15:31">
      <c r="O618" s="281"/>
      <c r="P618" s="281"/>
      <c r="Q618" s="281"/>
      <c r="R618" s="281"/>
      <c r="S618" s="281"/>
      <c r="T618" s="281"/>
      <c r="U618" s="281"/>
      <c r="V618" s="281"/>
      <c r="W618" s="281"/>
      <c r="X618" s="281"/>
      <c r="Y618" s="281"/>
      <c r="Z618" s="281"/>
      <c r="AA618" s="281"/>
      <c r="AB618" s="281"/>
      <c r="AC618" s="281"/>
      <c r="AD618" s="281"/>
      <c r="AE618" s="281"/>
    </row>
    <row r="619" spans="15:31">
      <c r="O619" s="281"/>
      <c r="P619" s="281"/>
      <c r="Q619" s="281"/>
      <c r="R619" s="281"/>
      <c r="S619" s="281"/>
      <c r="T619" s="281"/>
      <c r="U619" s="281"/>
      <c r="V619" s="281"/>
      <c r="W619" s="281"/>
      <c r="X619" s="281"/>
      <c r="Y619" s="281"/>
      <c r="Z619" s="281"/>
      <c r="AA619" s="281"/>
      <c r="AB619" s="281"/>
      <c r="AC619" s="281"/>
      <c r="AD619" s="281"/>
      <c r="AE619" s="281"/>
    </row>
    <row r="620" spans="15:31">
      <c r="O620" s="281"/>
      <c r="P620" s="281"/>
      <c r="Q620" s="281"/>
      <c r="R620" s="281"/>
      <c r="S620" s="281"/>
      <c r="T620" s="281"/>
      <c r="U620" s="281"/>
      <c r="V620" s="281"/>
      <c r="W620" s="281"/>
      <c r="X620" s="281"/>
      <c r="Y620" s="281"/>
      <c r="Z620" s="281"/>
      <c r="AA620" s="281"/>
      <c r="AB620" s="281"/>
      <c r="AC620" s="281"/>
      <c r="AD620" s="281"/>
      <c r="AE620" s="281"/>
    </row>
    <row r="621" spans="15:31">
      <c r="O621" s="281"/>
      <c r="P621" s="281"/>
      <c r="Q621" s="281"/>
      <c r="R621" s="281"/>
      <c r="S621" s="281"/>
      <c r="T621" s="281"/>
      <c r="U621" s="281"/>
      <c r="V621" s="281"/>
      <c r="W621" s="281"/>
      <c r="X621" s="281"/>
      <c r="Y621" s="281"/>
      <c r="Z621" s="281"/>
      <c r="AA621" s="281"/>
      <c r="AB621" s="281"/>
      <c r="AC621" s="281"/>
      <c r="AD621" s="281"/>
      <c r="AE621" s="281"/>
    </row>
    <row r="622" spans="15:31">
      <c r="O622" s="281"/>
      <c r="P622" s="281"/>
      <c r="Q622" s="281"/>
      <c r="R622" s="281"/>
      <c r="S622" s="281"/>
      <c r="T622" s="281"/>
      <c r="U622" s="281"/>
      <c r="V622" s="281"/>
      <c r="W622" s="281"/>
      <c r="X622" s="281"/>
      <c r="Y622" s="281"/>
      <c r="Z622" s="281"/>
      <c r="AA622" s="281"/>
      <c r="AB622" s="281"/>
      <c r="AC622" s="281"/>
      <c r="AD622" s="281"/>
      <c r="AE622" s="281"/>
    </row>
    <row r="623" spans="15:31">
      <c r="O623" s="281"/>
      <c r="P623" s="281"/>
      <c r="Q623" s="281"/>
      <c r="R623" s="281"/>
      <c r="S623" s="281"/>
      <c r="T623" s="281"/>
      <c r="U623" s="281"/>
      <c r="V623" s="281"/>
      <c r="W623" s="281"/>
      <c r="X623" s="281"/>
      <c r="Y623" s="281"/>
      <c r="Z623" s="281"/>
      <c r="AA623" s="281"/>
      <c r="AB623" s="281"/>
      <c r="AC623" s="281"/>
      <c r="AD623" s="281"/>
      <c r="AE623" s="281"/>
    </row>
    <row r="624" spans="15:31">
      <c r="O624" s="281"/>
      <c r="P624" s="281"/>
      <c r="Q624" s="281"/>
      <c r="R624" s="281"/>
      <c r="S624" s="281"/>
      <c r="T624" s="281"/>
      <c r="U624" s="281"/>
      <c r="V624" s="281"/>
      <c r="W624" s="281"/>
      <c r="X624" s="281"/>
      <c r="Y624" s="281"/>
      <c r="Z624" s="281"/>
      <c r="AA624" s="281"/>
      <c r="AB624" s="281"/>
      <c r="AC624" s="281"/>
      <c r="AD624" s="281"/>
      <c r="AE624" s="281"/>
    </row>
    <row r="625" spans="15:31">
      <c r="O625" s="281"/>
      <c r="P625" s="281"/>
      <c r="Q625" s="281"/>
      <c r="R625" s="281"/>
      <c r="S625" s="281"/>
      <c r="T625" s="281"/>
      <c r="U625" s="281"/>
      <c r="V625" s="281"/>
      <c r="W625" s="281"/>
      <c r="X625" s="281"/>
      <c r="Y625" s="281"/>
      <c r="Z625" s="281"/>
      <c r="AA625" s="281"/>
      <c r="AB625" s="281"/>
      <c r="AC625" s="281"/>
      <c r="AD625" s="281"/>
      <c r="AE625" s="281"/>
    </row>
    <row r="626" spans="15:31">
      <c r="O626" s="281"/>
      <c r="P626" s="281"/>
      <c r="Q626" s="281"/>
      <c r="R626" s="281"/>
      <c r="S626" s="281"/>
      <c r="T626" s="281"/>
      <c r="U626" s="281"/>
      <c r="V626" s="281"/>
      <c r="W626" s="281"/>
      <c r="X626" s="281"/>
      <c r="Y626" s="281"/>
      <c r="Z626" s="281"/>
      <c r="AA626" s="281"/>
      <c r="AB626" s="281"/>
      <c r="AC626" s="281"/>
      <c r="AD626" s="281"/>
      <c r="AE626" s="281"/>
    </row>
    <row r="627" spans="15:31">
      <c r="O627" s="281"/>
      <c r="P627" s="281"/>
      <c r="Q627" s="281"/>
      <c r="R627" s="281"/>
      <c r="S627" s="281"/>
      <c r="T627" s="281"/>
      <c r="U627" s="281"/>
      <c r="V627" s="281"/>
      <c r="W627" s="281"/>
      <c r="X627" s="281"/>
      <c r="Y627" s="281"/>
      <c r="Z627" s="281"/>
      <c r="AA627" s="281"/>
      <c r="AB627" s="281"/>
      <c r="AC627" s="281"/>
      <c r="AD627" s="281"/>
      <c r="AE627" s="281"/>
    </row>
    <row r="628" spans="15:31">
      <c r="O628" s="281"/>
      <c r="P628" s="281"/>
      <c r="Q628" s="281"/>
      <c r="R628" s="281"/>
      <c r="S628" s="281"/>
      <c r="T628" s="281"/>
      <c r="U628" s="281"/>
      <c r="V628" s="281"/>
      <c r="W628" s="281"/>
      <c r="X628" s="281"/>
      <c r="Y628" s="281"/>
      <c r="Z628" s="281"/>
      <c r="AA628" s="281"/>
      <c r="AB628" s="281"/>
      <c r="AC628" s="281"/>
      <c r="AD628" s="281"/>
      <c r="AE628" s="281"/>
    </row>
    <row r="629" spans="15:31">
      <c r="O629" s="281"/>
      <c r="P629" s="281"/>
      <c r="Q629" s="281"/>
      <c r="R629" s="281"/>
      <c r="S629" s="281"/>
      <c r="T629" s="281"/>
      <c r="U629" s="281"/>
      <c r="V629" s="281"/>
      <c r="W629" s="281"/>
      <c r="X629" s="281"/>
      <c r="Y629" s="281"/>
      <c r="Z629" s="281"/>
      <c r="AA629" s="281"/>
      <c r="AB629" s="281"/>
      <c r="AC629" s="281"/>
      <c r="AD629" s="281"/>
      <c r="AE629" s="281"/>
    </row>
    <row r="630" spans="15:31">
      <c r="O630" s="281"/>
      <c r="P630" s="281"/>
      <c r="Q630" s="281"/>
      <c r="R630" s="281"/>
      <c r="S630" s="281"/>
      <c r="T630" s="281"/>
      <c r="U630" s="281"/>
      <c r="V630" s="281"/>
      <c r="W630" s="281"/>
      <c r="X630" s="281"/>
      <c r="Y630" s="281"/>
      <c r="Z630" s="281"/>
      <c r="AA630" s="281"/>
      <c r="AB630" s="281"/>
      <c r="AC630" s="281"/>
      <c r="AD630" s="281"/>
      <c r="AE630" s="281"/>
    </row>
    <row r="631" spans="15:31">
      <c r="O631" s="281"/>
      <c r="P631" s="281"/>
      <c r="Q631" s="281"/>
      <c r="R631" s="281"/>
      <c r="S631" s="281"/>
      <c r="T631" s="281"/>
      <c r="U631" s="281"/>
      <c r="V631" s="281"/>
      <c r="W631" s="281"/>
      <c r="X631" s="281"/>
      <c r="Y631" s="281"/>
      <c r="Z631" s="281"/>
      <c r="AA631" s="281"/>
      <c r="AB631" s="281"/>
      <c r="AC631" s="281"/>
      <c r="AD631" s="281"/>
      <c r="AE631" s="281"/>
    </row>
    <row r="632" spans="15:31">
      <c r="O632" s="281"/>
      <c r="P632" s="281"/>
      <c r="Q632" s="281"/>
      <c r="R632" s="281"/>
      <c r="S632" s="281"/>
      <c r="T632" s="281"/>
      <c r="U632" s="281"/>
      <c r="V632" s="281"/>
      <c r="W632" s="281"/>
      <c r="X632" s="281"/>
      <c r="Y632" s="281"/>
      <c r="Z632" s="281"/>
      <c r="AA632" s="281"/>
      <c r="AB632" s="281"/>
      <c r="AC632" s="281"/>
      <c r="AD632" s="281"/>
      <c r="AE632" s="281"/>
    </row>
    <row r="633" spans="15:31">
      <c r="O633" s="281"/>
      <c r="P633" s="281"/>
      <c r="Q633" s="281"/>
      <c r="R633" s="281"/>
      <c r="S633" s="281"/>
      <c r="T633" s="281"/>
      <c r="U633" s="281"/>
      <c r="V633" s="281"/>
      <c r="W633" s="281"/>
      <c r="X633" s="281"/>
      <c r="Y633" s="281"/>
      <c r="Z633" s="281"/>
      <c r="AA633" s="281"/>
      <c r="AB633" s="281"/>
      <c r="AC633" s="281"/>
      <c r="AD633" s="281"/>
      <c r="AE633" s="281"/>
    </row>
    <row r="634" spans="15:31">
      <c r="O634" s="281"/>
      <c r="P634" s="281"/>
      <c r="Q634" s="281"/>
      <c r="R634" s="281"/>
      <c r="S634" s="281"/>
      <c r="T634" s="281"/>
      <c r="U634" s="281"/>
      <c r="V634" s="281"/>
      <c r="W634" s="281"/>
      <c r="X634" s="281"/>
      <c r="Y634" s="281"/>
      <c r="Z634" s="281"/>
      <c r="AA634" s="281"/>
      <c r="AB634" s="281"/>
      <c r="AC634" s="281"/>
      <c r="AD634" s="281"/>
      <c r="AE634" s="281"/>
    </row>
    <row r="635" spans="15:31">
      <c r="O635" s="281"/>
      <c r="P635" s="281"/>
      <c r="Q635" s="281"/>
      <c r="R635" s="281"/>
      <c r="S635" s="281"/>
      <c r="T635" s="281"/>
      <c r="U635" s="281"/>
      <c r="V635" s="281"/>
      <c r="W635" s="281"/>
      <c r="X635" s="281"/>
      <c r="Y635" s="281"/>
      <c r="Z635" s="281"/>
      <c r="AA635" s="281"/>
      <c r="AB635" s="281"/>
      <c r="AC635" s="281"/>
      <c r="AD635" s="281"/>
      <c r="AE635" s="281"/>
    </row>
    <row r="636" spans="15:31">
      <c r="O636" s="281"/>
      <c r="P636" s="281"/>
      <c r="Q636" s="281"/>
      <c r="R636" s="281"/>
      <c r="S636" s="281"/>
      <c r="T636" s="281"/>
      <c r="U636" s="281"/>
      <c r="V636" s="281"/>
      <c r="W636" s="281"/>
      <c r="X636" s="281"/>
      <c r="Y636" s="281"/>
      <c r="Z636" s="281"/>
      <c r="AA636" s="281"/>
      <c r="AB636" s="281"/>
      <c r="AC636" s="281"/>
      <c r="AD636" s="281"/>
      <c r="AE636" s="281"/>
    </row>
    <row r="637" spans="15:31">
      <c r="O637" s="281"/>
      <c r="P637" s="281"/>
      <c r="Q637" s="281"/>
      <c r="R637" s="281"/>
      <c r="S637" s="281"/>
      <c r="T637" s="281"/>
      <c r="U637" s="281"/>
      <c r="V637" s="281"/>
      <c r="W637" s="281"/>
      <c r="X637" s="281"/>
      <c r="Y637" s="281"/>
      <c r="Z637" s="281"/>
      <c r="AA637" s="281"/>
      <c r="AB637" s="281"/>
      <c r="AC637" s="281"/>
      <c r="AD637" s="281"/>
      <c r="AE637" s="281"/>
    </row>
    <row r="638" spans="15:31">
      <c r="O638" s="281"/>
      <c r="P638" s="281"/>
      <c r="Q638" s="281"/>
      <c r="R638" s="281"/>
      <c r="S638" s="281"/>
      <c r="T638" s="281"/>
      <c r="U638" s="281"/>
      <c r="V638" s="281"/>
      <c r="W638" s="281"/>
      <c r="X638" s="281"/>
      <c r="Y638" s="281"/>
      <c r="Z638" s="281"/>
      <c r="AA638" s="281"/>
      <c r="AB638" s="281"/>
      <c r="AC638" s="281"/>
      <c r="AD638" s="281"/>
      <c r="AE638" s="281"/>
    </row>
    <row r="639" spans="15:31">
      <c r="O639" s="281"/>
      <c r="P639" s="281"/>
      <c r="Q639" s="281"/>
      <c r="R639" s="281"/>
      <c r="S639" s="281"/>
      <c r="T639" s="281"/>
      <c r="U639" s="281"/>
      <c r="V639" s="281"/>
      <c r="W639" s="281"/>
      <c r="X639" s="281"/>
      <c r="Y639" s="281"/>
      <c r="Z639" s="281"/>
      <c r="AA639" s="281"/>
      <c r="AB639" s="281"/>
      <c r="AC639" s="281"/>
      <c r="AD639" s="281"/>
      <c r="AE639" s="281"/>
    </row>
    <row r="640" spans="15:31">
      <c r="O640" s="281"/>
      <c r="P640" s="281"/>
      <c r="Q640" s="281"/>
      <c r="R640" s="281"/>
      <c r="S640" s="281"/>
      <c r="T640" s="281"/>
      <c r="U640" s="281"/>
      <c r="V640" s="281"/>
      <c r="W640" s="281"/>
      <c r="X640" s="281"/>
      <c r="Y640" s="281"/>
      <c r="Z640" s="281"/>
      <c r="AA640" s="281"/>
      <c r="AB640" s="281"/>
      <c r="AC640" s="281"/>
      <c r="AD640" s="281"/>
      <c r="AE640" s="281"/>
    </row>
    <row r="641" spans="15:31">
      <c r="O641" s="281"/>
      <c r="P641" s="281"/>
      <c r="Q641" s="281"/>
      <c r="R641" s="281"/>
      <c r="S641" s="281"/>
      <c r="T641" s="281"/>
      <c r="U641" s="281"/>
      <c r="V641" s="281"/>
      <c r="W641" s="281"/>
      <c r="X641" s="281"/>
      <c r="Y641" s="281"/>
      <c r="Z641" s="281"/>
      <c r="AA641" s="281"/>
      <c r="AB641" s="281"/>
      <c r="AC641" s="281"/>
      <c r="AD641" s="281"/>
      <c r="AE641" s="281"/>
    </row>
    <row r="642" spans="15:31">
      <c r="O642" s="281"/>
      <c r="P642" s="281"/>
      <c r="Q642" s="281"/>
      <c r="R642" s="281"/>
      <c r="S642" s="281"/>
      <c r="T642" s="281"/>
      <c r="U642" s="281"/>
      <c r="V642" s="281"/>
      <c r="W642" s="281"/>
      <c r="X642" s="281"/>
      <c r="Y642" s="281"/>
      <c r="Z642" s="281"/>
      <c r="AA642" s="281"/>
      <c r="AB642" s="281"/>
      <c r="AC642" s="281"/>
      <c r="AD642" s="281"/>
      <c r="AE642" s="281"/>
    </row>
    <row r="643" spans="15:31">
      <c r="O643" s="281"/>
      <c r="P643" s="281"/>
      <c r="Q643" s="281"/>
      <c r="R643" s="281"/>
      <c r="S643" s="281"/>
      <c r="T643" s="281"/>
      <c r="U643" s="281"/>
      <c r="V643" s="281"/>
      <c r="W643" s="281"/>
      <c r="X643" s="281"/>
      <c r="Y643" s="281"/>
      <c r="Z643" s="281"/>
      <c r="AA643" s="281"/>
      <c r="AB643" s="281"/>
      <c r="AC643" s="281"/>
      <c r="AD643" s="281"/>
      <c r="AE643" s="281"/>
    </row>
    <row r="644" spans="15:31">
      <c r="O644" s="281"/>
      <c r="P644" s="281"/>
      <c r="Q644" s="281"/>
      <c r="R644" s="281"/>
      <c r="S644" s="281"/>
      <c r="T644" s="281"/>
      <c r="U644" s="281"/>
      <c r="V644" s="281"/>
      <c r="W644" s="281"/>
      <c r="X644" s="281"/>
      <c r="Y644" s="281"/>
      <c r="Z644" s="281"/>
      <c r="AA644" s="281"/>
      <c r="AB644" s="281"/>
      <c r="AC644" s="281"/>
      <c r="AD644" s="281"/>
      <c r="AE644" s="281"/>
    </row>
    <row r="645" spans="15:31">
      <c r="O645" s="281"/>
      <c r="P645" s="281"/>
      <c r="Q645" s="281"/>
      <c r="R645" s="281"/>
      <c r="S645" s="281"/>
      <c r="T645" s="281"/>
      <c r="U645" s="281"/>
      <c r="V645" s="281"/>
      <c r="W645" s="281"/>
      <c r="X645" s="281"/>
      <c r="Y645" s="281"/>
      <c r="Z645" s="281"/>
      <c r="AA645" s="281"/>
      <c r="AB645" s="281"/>
      <c r="AC645" s="281"/>
      <c r="AD645" s="281"/>
      <c r="AE645" s="281"/>
    </row>
    <row r="646" spans="15:31">
      <c r="O646" s="281"/>
      <c r="P646" s="281"/>
      <c r="Q646" s="281"/>
      <c r="R646" s="281"/>
      <c r="S646" s="281"/>
      <c r="T646" s="281"/>
      <c r="U646" s="281"/>
      <c r="V646" s="281"/>
      <c r="W646" s="281"/>
      <c r="X646" s="281"/>
      <c r="Y646" s="281"/>
      <c r="Z646" s="281"/>
      <c r="AA646" s="281"/>
      <c r="AB646" s="281"/>
      <c r="AC646" s="281"/>
      <c r="AD646" s="281"/>
      <c r="AE646" s="281"/>
    </row>
    <row r="647" spans="15:31">
      <c r="O647" s="281"/>
      <c r="P647" s="281"/>
      <c r="Q647" s="281"/>
      <c r="R647" s="281"/>
      <c r="S647" s="281"/>
      <c r="T647" s="281"/>
      <c r="U647" s="281"/>
      <c r="V647" s="281"/>
      <c r="W647" s="281"/>
      <c r="X647" s="281"/>
      <c r="Y647" s="281"/>
      <c r="Z647" s="281"/>
      <c r="AA647" s="281"/>
      <c r="AB647" s="281"/>
      <c r="AC647" s="281"/>
      <c r="AD647" s="281"/>
      <c r="AE647" s="281"/>
    </row>
    <row r="648" spans="15:31">
      <c r="O648" s="281"/>
      <c r="P648" s="281"/>
      <c r="Q648" s="281"/>
      <c r="R648" s="281"/>
      <c r="S648" s="281"/>
      <c r="T648" s="281"/>
      <c r="U648" s="281"/>
      <c r="V648" s="281"/>
      <c r="W648" s="281"/>
      <c r="X648" s="281"/>
      <c r="Y648" s="281"/>
      <c r="Z648" s="281"/>
      <c r="AA648" s="281"/>
      <c r="AB648" s="281"/>
      <c r="AC648" s="281"/>
      <c r="AD648" s="281"/>
      <c r="AE648" s="281"/>
    </row>
    <row r="649" spans="15:31">
      <c r="O649" s="281"/>
      <c r="P649" s="281"/>
      <c r="Q649" s="281"/>
      <c r="R649" s="281"/>
      <c r="S649" s="281"/>
      <c r="T649" s="281"/>
      <c r="U649" s="281"/>
      <c r="V649" s="281"/>
      <c r="W649" s="281"/>
      <c r="X649" s="281"/>
      <c r="Y649" s="281"/>
      <c r="Z649" s="281"/>
      <c r="AA649" s="281"/>
      <c r="AB649" s="281"/>
      <c r="AC649" s="281"/>
      <c r="AD649" s="281"/>
      <c r="AE649" s="281"/>
    </row>
    <row r="650" spans="15:31">
      <c r="O650" s="281"/>
      <c r="P650" s="281"/>
      <c r="Q650" s="281"/>
      <c r="R650" s="281"/>
      <c r="S650" s="281"/>
      <c r="T650" s="281"/>
      <c r="U650" s="281"/>
      <c r="V650" s="281"/>
      <c r="W650" s="281"/>
      <c r="X650" s="281"/>
      <c r="Y650" s="281"/>
      <c r="Z650" s="281"/>
      <c r="AA650" s="281"/>
      <c r="AB650" s="281"/>
      <c r="AC650" s="281"/>
      <c r="AD650" s="281"/>
      <c r="AE650" s="281"/>
    </row>
    <row r="651" spans="15:31">
      <c r="O651" s="281"/>
      <c r="P651" s="281"/>
      <c r="Q651" s="281"/>
      <c r="R651" s="281"/>
      <c r="S651" s="281"/>
      <c r="T651" s="281"/>
      <c r="U651" s="281"/>
      <c r="V651" s="281"/>
      <c r="W651" s="281"/>
      <c r="X651" s="281"/>
      <c r="Y651" s="281"/>
      <c r="Z651" s="281"/>
      <c r="AA651" s="281"/>
      <c r="AB651" s="281"/>
      <c r="AC651" s="281"/>
      <c r="AD651" s="281"/>
      <c r="AE651" s="281"/>
    </row>
    <row r="652" spans="15:31">
      <c r="O652" s="281"/>
      <c r="P652" s="281"/>
      <c r="Q652" s="281"/>
      <c r="R652" s="281"/>
      <c r="S652" s="281"/>
      <c r="T652" s="281"/>
      <c r="U652" s="281"/>
      <c r="V652" s="281"/>
      <c r="W652" s="281"/>
      <c r="X652" s="281"/>
      <c r="Y652" s="281"/>
      <c r="Z652" s="281"/>
      <c r="AA652" s="281"/>
      <c r="AB652" s="281"/>
      <c r="AC652" s="281"/>
      <c r="AD652" s="281"/>
      <c r="AE652" s="281"/>
    </row>
    <row r="653" spans="15:31">
      <c r="O653" s="281"/>
      <c r="P653" s="281"/>
      <c r="Q653" s="281"/>
      <c r="R653" s="281"/>
      <c r="S653" s="281"/>
      <c r="T653" s="281"/>
      <c r="U653" s="281"/>
      <c r="V653" s="281"/>
      <c r="W653" s="281"/>
      <c r="X653" s="281"/>
      <c r="Y653" s="281"/>
      <c r="Z653" s="281"/>
      <c r="AA653" s="281"/>
      <c r="AB653" s="281"/>
      <c r="AC653" s="281"/>
      <c r="AD653" s="281"/>
      <c r="AE653" s="281"/>
    </row>
    <row r="654" spans="15:31">
      <c r="O654" s="281"/>
      <c r="P654" s="281"/>
      <c r="Q654" s="281"/>
      <c r="R654" s="281"/>
      <c r="S654" s="281"/>
      <c r="T654" s="281"/>
      <c r="U654" s="281"/>
      <c r="V654" s="281"/>
      <c r="W654" s="281"/>
      <c r="X654" s="281"/>
      <c r="Y654" s="281"/>
      <c r="Z654" s="281"/>
      <c r="AA654" s="281"/>
      <c r="AB654" s="281"/>
      <c r="AC654" s="281"/>
      <c r="AD654" s="281"/>
      <c r="AE654" s="281"/>
    </row>
    <row r="655" spans="15:31">
      <c r="O655" s="281"/>
      <c r="P655" s="281"/>
      <c r="Q655" s="281"/>
      <c r="R655" s="281"/>
      <c r="S655" s="281"/>
      <c r="T655" s="281"/>
      <c r="U655" s="281"/>
      <c r="V655" s="281"/>
      <c r="W655" s="281"/>
      <c r="X655" s="281"/>
      <c r="Y655" s="281"/>
      <c r="Z655" s="281"/>
      <c r="AA655" s="281"/>
      <c r="AB655" s="281"/>
      <c r="AC655" s="281"/>
      <c r="AD655" s="281"/>
      <c r="AE655" s="281"/>
    </row>
    <row r="656" spans="15:31">
      <c r="O656" s="281"/>
      <c r="P656" s="281"/>
      <c r="Q656" s="281"/>
      <c r="R656" s="281"/>
      <c r="S656" s="281"/>
      <c r="T656" s="281"/>
      <c r="U656" s="281"/>
      <c r="V656" s="281"/>
      <c r="W656" s="281"/>
      <c r="X656" s="281"/>
      <c r="Y656" s="281"/>
      <c r="Z656" s="281"/>
      <c r="AA656" s="281"/>
      <c r="AB656" s="281"/>
      <c r="AC656" s="281"/>
      <c r="AD656" s="281"/>
      <c r="AE656" s="281"/>
    </row>
    <row r="657" spans="15:31">
      <c r="O657" s="281"/>
      <c r="P657" s="281"/>
      <c r="Q657" s="281"/>
      <c r="R657" s="281"/>
      <c r="S657" s="281"/>
      <c r="T657" s="281"/>
      <c r="U657" s="281"/>
      <c r="V657" s="281"/>
      <c r="W657" s="281"/>
      <c r="X657" s="281"/>
      <c r="Y657" s="281"/>
      <c r="Z657" s="281"/>
      <c r="AA657" s="281"/>
      <c r="AB657" s="281"/>
      <c r="AC657" s="281"/>
      <c r="AD657" s="281"/>
      <c r="AE657" s="281"/>
    </row>
    <row r="658" spans="15:31">
      <c r="O658" s="281"/>
      <c r="P658" s="281"/>
      <c r="Q658" s="281"/>
      <c r="R658" s="281"/>
      <c r="S658" s="281"/>
      <c r="T658" s="281"/>
      <c r="U658" s="281"/>
      <c r="V658" s="281"/>
      <c r="W658" s="281"/>
      <c r="X658" s="281"/>
      <c r="Y658" s="281"/>
      <c r="Z658" s="281"/>
      <c r="AA658" s="281"/>
      <c r="AB658" s="281"/>
      <c r="AC658" s="281"/>
      <c r="AD658" s="281"/>
      <c r="AE658" s="281"/>
    </row>
    <row r="659" spans="15:31">
      <c r="O659" s="281"/>
      <c r="P659" s="281"/>
      <c r="Q659" s="281"/>
      <c r="R659" s="281"/>
      <c r="S659" s="281"/>
      <c r="T659" s="281"/>
      <c r="U659" s="281"/>
      <c r="V659" s="281"/>
      <c r="W659" s="281"/>
      <c r="X659" s="281"/>
      <c r="Y659" s="281"/>
      <c r="Z659" s="281"/>
      <c r="AA659" s="281"/>
      <c r="AB659" s="281"/>
      <c r="AC659" s="281"/>
      <c r="AD659" s="281"/>
      <c r="AE659" s="281"/>
    </row>
    <row r="660" spans="15:31">
      <c r="O660" s="281"/>
      <c r="P660" s="281"/>
      <c r="Q660" s="281"/>
      <c r="R660" s="281"/>
      <c r="S660" s="281"/>
      <c r="T660" s="281"/>
      <c r="U660" s="281"/>
      <c r="V660" s="281"/>
      <c r="W660" s="281"/>
      <c r="X660" s="281"/>
      <c r="Y660" s="281"/>
      <c r="Z660" s="281"/>
      <c r="AA660" s="281"/>
      <c r="AB660" s="281"/>
      <c r="AC660" s="281"/>
      <c r="AD660" s="281"/>
      <c r="AE660" s="281"/>
    </row>
    <row r="661" spans="15:31">
      <c r="O661" s="281"/>
      <c r="P661" s="281"/>
      <c r="Q661" s="281"/>
      <c r="R661" s="281"/>
      <c r="S661" s="281"/>
      <c r="T661" s="281"/>
      <c r="U661" s="281"/>
      <c r="V661" s="281"/>
      <c r="W661" s="281"/>
      <c r="X661" s="281"/>
      <c r="Y661" s="281"/>
      <c r="Z661" s="281"/>
      <c r="AA661" s="281"/>
      <c r="AB661" s="281"/>
      <c r="AC661" s="281"/>
      <c r="AD661" s="281"/>
      <c r="AE661" s="281"/>
    </row>
    <row r="662" spans="15:31">
      <c r="O662" s="281"/>
      <c r="P662" s="281"/>
      <c r="Q662" s="281"/>
      <c r="R662" s="281"/>
      <c r="S662" s="281"/>
      <c r="T662" s="281"/>
      <c r="U662" s="281"/>
      <c r="V662" s="281"/>
      <c r="W662" s="281"/>
      <c r="X662" s="281"/>
      <c r="Y662" s="281"/>
      <c r="Z662" s="281"/>
      <c r="AA662" s="281"/>
      <c r="AB662" s="281"/>
      <c r="AC662" s="281"/>
      <c r="AD662" s="281"/>
      <c r="AE662" s="281"/>
    </row>
    <row r="663" spans="15:31">
      <c r="O663" s="281"/>
      <c r="P663" s="281"/>
      <c r="Q663" s="281"/>
      <c r="R663" s="281"/>
      <c r="S663" s="281"/>
      <c r="T663" s="281"/>
      <c r="U663" s="281"/>
      <c r="V663" s="281"/>
      <c r="W663" s="281"/>
      <c r="X663" s="281"/>
      <c r="Y663" s="281"/>
      <c r="Z663" s="281"/>
      <c r="AA663" s="281"/>
      <c r="AB663" s="281"/>
      <c r="AC663" s="281"/>
      <c r="AD663" s="281"/>
      <c r="AE663" s="281"/>
    </row>
    <row r="664" spans="15:31">
      <c r="O664" s="281"/>
      <c r="P664" s="281"/>
      <c r="Q664" s="281"/>
      <c r="R664" s="281"/>
      <c r="S664" s="281"/>
      <c r="T664" s="281"/>
      <c r="U664" s="281"/>
      <c r="V664" s="281"/>
      <c r="W664" s="281"/>
      <c r="X664" s="281"/>
      <c r="Y664" s="281"/>
      <c r="Z664" s="281"/>
      <c r="AA664" s="281"/>
      <c r="AB664" s="281"/>
      <c r="AC664" s="281"/>
      <c r="AD664" s="281"/>
      <c r="AE664" s="281"/>
    </row>
    <row r="665" spans="15:31">
      <c r="O665" s="281"/>
      <c r="P665" s="281"/>
      <c r="Q665" s="281"/>
      <c r="R665" s="281"/>
      <c r="S665" s="281"/>
      <c r="T665" s="281"/>
      <c r="U665" s="281"/>
      <c r="V665" s="281"/>
      <c r="W665" s="281"/>
      <c r="X665" s="281"/>
      <c r="Y665" s="281"/>
      <c r="Z665" s="281"/>
      <c r="AA665" s="281"/>
      <c r="AB665" s="281"/>
      <c r="AC665" s="281"/>
      <c r="AD665" s="281"/>
      <c r="AE665" s="281"/>
    </row>
    <row r="666" spans="15:31">
      <c r="O666" s="281"/>
      <c r="P666" s="281"/>
      <c r="Q666" s="281"/>
      <c r="R666" s="281"/>
      <c r="S666" s="281"/>
      <c r="T666" s="281"/>
      <c r="U666" s="281"/>
      <c r="V666" s="281"/>
      <c r="W666" s="281"/>
      <c r="X666" s="281"/>
      <c r="Y666" s="281"/>
      <c r="Z666" s="281"/>
      <c r="AA666" s="281"/>
      <c r="AB666" s="281"/>
      <c r="AC666" s="281"/>
      <c r="AD666" s="281"/>
      <c r="AE666" s="281"/>
    </row>
    <row r="667" spans="15:31">
      <c r="O667" s="281"/>
      <c r="P667" s="281"/>
      <c r="Q667" s="281"/>
      <c r="R667" s="281"/>
      <c r="S667" s="281"/>
      <c r="T667" s="281"/>
      <c r="U667" s="281"/>
      <c r="V667" s="281"/>
      <c r="W667" s="281"/>
      <c r="X667" s="281"/>
      <c r="Y667" s="281"/>
      <c r="Z667" s="281"/>
      <c r="AA667" s="281"/>
      <c r="AB667" s="281"/>
      <c r="AC667" s="281"/>
      <c r="AD667" s="281"/>
      <c r="AE667" s="281"/>
    </row>
    <row r="668" spans="15:31">
      <c r="O668" s="281"/>
      <c r="P668" s="281"/>
      <c r="Q668" s="281"/>
      <c r="R668" s="281"/>
      <c r="S668" s="281"/>
      <c r="T668" s="281"/>
      <c r="U668" s="281"/>
      <c r="V668" s="281"/>
      <c r="W668" s="281"/>
      <c r="X668" s="281"/>
      <c r="Y668" s="281"/>
      <c r="Z668" s="281"/>
      <c r="AA668" s="281"/>
      <c r="AB668" s="281"/>
      <c r="AC668" s="281"/>
      <c r="AD668" s="281"/>
      <c r="AE668" s="281"/>
    </row>
    <row r="669" spans="15:31">
      <c r="O669" s="281"/>
      <c r="P669" s="281"/>
      <c r="Q669" s="281"/>
      <c r="R669" s="281"/>
      <c r="S669" s="281"/>
      <c r="T669" s="281"/>
      <c r="U669" s="281"/>
      <c r="V669" s="281"/>
      <c r="W669" s="281"/>
      <c r="X669" s="281"/>
      <c r="Y669" s="281"/>
      <c r="Z669" s="281"/>
      <c r="AA669" s="281"/>
      <c r="AB669" s="281"/>
      <c r="AC669" s="281"/>
      <c r="AD669" s="281"/>
      <c r="AE669" s="281"/>
    </row>
    <row r="670" spans="15:31">
      <c r="O670" s="281"/>
      <c r="P670" s="281"/>
      <c r="Q670" s="281"/>
      <c r="R670" s="281"/>
      <c r="S670" s="281"/>
      <c r="T670" s="281"/>
      <c r="U670" s="281"/>
      <c r="V670" s="281"/>
      <c r="W670" s="281"/>
      <c r="X670" s="281"/>
      <c r="Y670" s="281"/>
      <c r="Z670" s="281"/>
      <c r="AA670" s="281"/>
      <c r="AB670" s="281"/>
      <c r="AC670" s="281"/>
      <c r="AD670" s="281"/>
      <c r="AE670" s="281"/>
    </row>
    <row r="671" spans="15:31">
      <c r="O671" s="281"/>
      <c r="P671" s="281"/>
      <c r="Q671" s="281"/>
      <c r="R671" s="281"/>
      <c r="S671" s="281"/>
      <c r="T671" s="281"/>
      <c r="U671" s="281"/>
      <c r="V671" s="281"/>
      <c r="W671" s="281"/>
      <c r="X671" s="281"/>
      <c r="Y671" s="281"/>
      <c r="Z671" s="281"/>
      <c r="AA671" s="281"/>
      <c r="AB671" s="281"/>
      <c r="AC671" s="281"/>
      <c r="AD671" s="281"/>
      <c r="AE671" s="281"/>
    </row>
    <row r="672" spans="15:31">
      <c r="O672" s="281"/>
      <c r="P672" s="281"/>
      <c r="Q672" s="281"/>
      <c r="R672" s="281"/>
      <c r="S672" s="281"/>
      <c r="T672" s="281"/>
      <c r="U672" s="281"/>
      <c r="V672" s="281"/>
      <c r="W672" s="281"/>
      <c r="X672" s="281"/>
      <c r="Y672" s="281"/>
      <c r="Z672" s="281"/>
      <c r="AA672" s="281"/>
      <c r="AB672" s="281"/>
      <c r="AC672" s="281"/>
      <c r="AD672" s="281"/>
      <c r="AE672" s="281"/>
    </row>
    <row r="673" spans="15:31">
      <c r="O673" s="281"/>
      <c r="P673" s="281"/>
      <c r="Q673" s="281"/>
      <c r="R673" s="281"/>
      <c r="S673" s="281"/>
      <c r="T673" s="281"/>
      <c r="U673" s="281"/>
      <c r="V673" s="281"/>
      <c r="W673" s="281"/>
      <c r="X673" s="281"/>
      <c r="Y673" s="281"/>
      <c r="Z673" s="281"/>
      <c r="AA673" s="281"/>
      <c r="AB673" s="281"/>
      <c r="AC673" s="281"/>
      <c r="AD673" s="281"/>
      <c r="AE673" s="281"/>
    </row>
    <row r="674" spans="15:31">
      <c r="O674" s="281"/>
      <c r="P674" s="281"/>
      <c r="Q674" s="281"/>
      <c r="R674" s="281"/>
      <c r="S674" s="281"/>
      <c r="T674" s="281"/>
      <c r="U674" s="281"/>
      <c r="V674" s="281"/>
      <c r="W674" s="281"/>
      <c r="X674" s="281"/>
      <c r="Y674" s="281"/>
      <c r="Z674" s="281"/>
      <c r="AA674" s="281"/>
      <c r="AB674" s="281"/>
      <c r="AC674" s="281"/>
      <c r="AD674" s="281"/>
      <c r="AE674" s="281"/>
    </row>
    <row r="675" spans="15:31">
      <c r="O675" s="281"/>
      <c r="P675" s="281"/>
      <c r="Q675" s="281"/>
      <c r="R675" s="281"/>
      <c r="S675" s="281"/>
      <c r="T675" s="281"/>
      <c r="U675" s="281"/>
      <c r="V675" s="281"/>
      <c r="W675" s="281"/>
      <c r="X675" s="281"/>
      <c r="Y675" s="281"/>
      <c r="Z675" s="281"/>
      <c r="AA675" s="281"/>
      <c r="AB675" s="281"/>
      <c r="AC675" s="281"/>
      <c r="AD675" s="281"/>
      <c r="AE675" s="281"/>
    </row>
    <row r="676" spans="15:31">
      <c r="O676" s="281"/>
      <c r="P676" s="281"/>
      <c r="Q676" s="281"/>
      <c r="R676" s="281"/>
      <c r="S676" s="281"/>
      <c r="T676" s="281"/>
      <c r="U676" s="281"/>
      <c r="V676" s="281"/>
      <c r="W676" s="281"/>
      <c r="X676" s="281"/>
      <c r="Y676" s="281"/>
      <c r="Z676" s="281"/>
      <c r="AA676" s="281"/>
      <c r="AB676" s="281"/>
      <c r="AC676" s="281"/>
      <c r="AD676" s="281"/>
      <c r="AE676" s="281"/>
    </row>
    <row r="677" spans="15:31">
      <c r="O677" s="281"/>
      <c r="P677" s="281"/>
      <c r="Q677" s="281"/>
      <c r="R677" s="281"/>
      <c r="S677" s="281"/>
      <c r="T677" s="281"/>
      <c r="U677" s="281"/>
      <c r="V677" s="281"/>
      <c r="W677" s="281"/>
      <c r="X677" s="281"/>
      <c r="Y677" s="281"/>
      <c r="Z677" s="281"/>
      <c r="AA677" s="281"/>
      <c r="AB677" s="281"/>
      <c r="AC677" s="281"/>
      <c r="AD677" s="281"/>
      <c r="AE677" s="281"/>
    </row>
    <row r="678" spans="15:31">
      <c r="O678" s="281"/>
      <c r="P678" s="281"/>
      <c r="Q678" s="281"/>
      <c r="R678" s="281"/>
      <c r="S678" s="281"/>
      <c r="T678" s="281"/>
      <c r="U678" s="281"/>
      <c r="V678" s="281"/>
      <c r="W678" s="281"/>
      <c r="X678" s="281"/>
      <c r="Y678" s="281"/>
      <c r="Z678" s="281"/>
      <c r="AA678" s="281"/>
      <c r="AB678" s="281"/>
      <c r="AC678" s="281"/>
      <c r="AD678" s="281"/>
      <c r="AE678" s="281"/>
    </row>
    <row r="679" spans="15:31">
      <c r="O679" s="281"/>
      <c r="P679" s="281"/>
      <c r="Q679" s="281"/>
      <c r="R679" s="281"/>
      <c r="S679" s="281"/>
      <c r="T679" s="281"/>
      <c r="U679" s="281"/>
      <c r="V679" s="281"/>
      <c r="W679" s="281"/>
      <c r="X679" s="281"/>
      <c r="Y679" s="281"/>
      <c r="Z679" s="281"/>
      <c r="AA679" s="281"/>
      <c r="AB679" s="281"/>
      <c r="AC679" s="281"/>
      <c r="AD679" s="281"/>
      <c r="AE679" s="281"/>
    </row>
    <row r="680" spans="15:31">
      <c r="O680" s="281"/>
      <c r="P680" s="281"/>
      <c r="Q680" s="281"/>
      <c r="R680" s="281"/>
      <c r="S680" s="281"/>
      <c r="T680" s="281"/>
      <c r="U680" s="281"/>
      <c r="V680" s="281"/>
      <c r="W680" s="281"/>
      <c r="X680" s="281"/>
      <c r="Y680" s="281"/>
      <c r="Z680" s="281"/>
      <c r="AA680" s="281"/>
      <c r="AB680" s="281"/>
      <c r="AC680" s="281"/>
      <c r="AD680" s="281"/>
      <c r="AE680" s="281"/>
    </row>
    <row r="681" spans="15:31">
      <c r="O681" s="281"/>
      <c r="P681" s="281"/>
      <c r="Q681" s="281"/>
      <c r="R681" s="281"/>
      <c r="S681" s="281"/>
      <c r="T681" s="281"/>
      <c r="U681" s="281"/>
      <c r="V681" s="281"/>
      <c r="W681" s="281"/>
      <c r="X681" s="281"/>
      <c r="Y681" s="281"/>
      <c r="Z681" s="281"/>
      <c r="AA681" s="281"/>
      <c r="AB681" s="281"/>
      <c r="AC681" s="281"/>
      <c r="AD681" s="281"/>
      <c r="AE681" s="281"/>
    </row>
    <row r="682" spans="15:31">
      <c r="O682" s="281"/>
      <c r="P682" s="281"/>
      <c r="Q682" s="281"/>
      <c r="R682" s="281"/>
      <c r="S682" s="281"/>
      <c r="T682" s="281"/>
      <c r="U682" s="281"/>
      <c r="V682" s="281"/>
      <c r="W682" s="281"/>
      <c r="X682" s="281"/>
      <c r="Y682" s="281"/>
      <c r="Z682" s="281"/>
      <c r="AA682" s="281"/>
      <c r="AB682" s="281"/>
      <c r="AC682" s="281"/>
      <c r="AD682" s="281"/>
      <c r="AE682" s="281"/>
    </row>
    <row r="683" spans="15:31">
      <c r="O683" s="281"/>
      <c r="P683" s="281"/>
      <c r="Q683" s="281"/>
      <c r="R683" s="281"/>
      <c r="S683" s="281"/>
      <c r="T683" s="281"/>
      <c r="U683" s="281"/>
      <c r="V683" s="281"/>
      <c r="W683" s="281"/>
      <c r="X683" s="281"/>
      <c r="Y683" s="281"/>
      <c r="Z683" s="281"/>
      <c r="AA683" s="281"/>
      <c r="AB683" s="281"/>
      <c r="AC683" s="281"/>
      <c r="AD683" s="281"/>
      <c r="AE683" s="281"/>
    </row>
    <row r="684" spans="15:31">
      <c r="O684" s="281"/>
      <c r="P684" s="281"/>
      <c r="Q684" s="281"/>
      <c r="R684" s="281"/>
      <c r="S684" s="281"/>
      <c r="T684" s="281"/>
      <c r="U684" s="281"/>
      <c r="V684" s="281"/>
      <c r="W684" s="281"/>
      <c r="X684" s="281"/>
      <c r="Y684" s="281"/>
      <c r="Z684" s="281"/>
      <c r="AA684" s="281"/>
      <c r="AB684" s="281"/>
      <c r="AC684" s="281"/>
      <c r="AD684" s="281"/>
      <c r="AE684" s="281"/>
    </row>
    <row r="685" spans="15:31">
      <c r="O685" s="281"/>
      <c r="P685" s="281"/>
      <c r="Q685" s="281"/>
      <c r="R685" s="281"/>
      <c r="S685" s="281"/>
      <c r="T685" s="281"/>
      <c r="U685" s="281"/>
      <c r="V685" s="281"/>
      <c r="W685" s="281"/>
      <c r="X685" s="281"/>
      <c r="Y685" s="281"/>
      <c r="Z685" s="281"/>
      <c r="AA685" s="281"/>
      <c r="AB685" s="281"/>
      <c r="AC685" s="281"/>
      <c r="AD685" s="281"/>
      <c r="AE685" s="281"/>
    </row>
    <row r="686" spans="15:31">
      <c r="O686" s="281"/>
      <c r="P686" s="281"/>
      <c r="Q686" s="281"/>
      <c r="R686" s="281"/>
      <c r="S686" s="281"/>
      <c r="T686" s="281"/>
      <c r="U686" s="281"/>
      <c r="V686" s="281"/>
      <c r="W686" s="281"/>
      <c r="X686" s="281"/>
      <c r="Y686" s="281"/>
      <c r="Z686" s="281"/>
      <c r="AA686" s="281"/>
      <c r="AB686" s="281"/>
      <c r="AC686" s="281"/>
      <c r="AD686" s="281"/>
      <c r="AE686" s="281"/>
    </row>
    <row r="687" spans="15:31">
      <c r="O687" s="281"/>
      <c r="P687" s="281"/>
      <c r="Q687" s="281"/>
      <c r="R687" s="281"/>
      <c r="S687" s="281"/>
      <c r="T687" s="281"/>
      <c r="U687" s="281"/>
      <c r="V687" s="281"/>
      <c r="W687" s="281"/>
      <c r="X687" s="281"/>
      <c r="Y687" s="281"/>
      <c r="Z687" s="281"/>
      <c r="AA687" s="281"/>
      <c r="AB687" s="281"/>
      <c r="AC687" s="281"/>
      <c r="AD687" s="281"/>
      <c r="AE687" s="281"/>
    </row>
    <row r="688" spans="15:31">
      <c r="O688" s="281"/>
      <c r="P688" s="281"/>
      <c r="Q688" s="281"/>
      <c r="R688" s="281"/>
      <c r="S688" s="281"/>
      <c r="T688" s="281"/>
      <c r="U688" s="281"/>
      <c r="V688" s="281"/>
      <c r="W688" s="281"/>
      <c r="X688" s="281"/>
      <c r="Y688" s="281"/>
      <c r="Z688" s="281"/>
      <c r="AA688" s="281"/>
      <c r="AB688" s="281"/>
      <c r="AC688" s="281"/>
      <c r="AD688" s="281"/>
      <c r="AE688" s="281"/>
    </row>
    <row r="689" spans="15:31">
      <c r="O689" s="281"/>
      <c r="P689" s="281"/>
      <c r="Q689" s="281"/>
      <c r="R689" s="281"/>
      <c r="S689" s="281"/>
      <c r="T689" s="281"/>
      <c r="U689" s="281"/>
      <c r="V689" s="281"/>
      <c r="W689" s="281"/>
      <c r="X689" s="281"/>
      <c r="Y689" s="281"/>
      <c r="Z689" s="281"/>
      <c r="AA689" s="281"/>
      <c r="AB689" s="281"/>
      <c r="AC689" s="281"/>
      <c r="AD689" s="281"/>
      <c r="AE689" s="281"/>
    </row>
    <row r="690" spans="15:31">
      <c r="O690" s="281"/>
      <c r="P690" s="281"/>
      <c r="Q690" s="281"/>
      <c r="R690" s="281"/>
      <c r="S690" s="281"/>
      <c r="T690" s="281"/>
      <c r="U690" s="281"/>
      <c r="V690" s="281"/>
      <c r="W690" s="281"/>
      <c r="X690" s="281"/>
      <c r="Y690" s="281"/>
      <c r="Z690" s="281"/>
      <c r="AA690" s="281"/>
      <c r="AB690" s="281"/>
      <c r="AC690" s="281"/>
      <c r="AD690" s="281"/>
      <c r="AE690" s="281"/>
    </row>
    <row r="691" spans="15:31">
      <c r="O691" s="281"/>
      <c r="P691" s="281"/>
      <c r="Q691" s="281"/>
      <c r="R691" s="281"/>
      <c r="S691" s="281"/>
      <c r="T691" s="281"/>
      <c r="U691" s="281"/>
      <c r="V691" s="281"/>
      <c r="W691" s="281"/>
      <c r="X691" s="281"/>
      <c r="Y691" s="281"/>
      <c r="Z691" s="281"/>
      <c r="AA691" s="281"/>
      <c r="AB691" s="281"/>
      <c r="AC691" s="281"/>
      <c r="AD691" s="281"/>
      <c r="AE691" s="281"/>
    </row>
    <row r="692" spans="15:31">
      <c r="O692" s="281"/>
      <c r="P692" s="281"/>
      <c r="Q692" s="281"/>
      <c r="R692" s="281"/>
      <c r="S692" s="281"/>
      <c r="T692" s="281"/>
      <c r="U692" s="281"/>
      <c r="V692" s="281"/>
      <c r="W692" s="281"/>
      <c r="X692" s="281"/>
      <c r="Y692" s="281"/>
      <c r="Z692" s="281"/>
      <c r="AA692" s="281"/>
      <c r="AB692" s="281"/>
      <c r="AC692" s="281"/>
      <c r="AD692" s="281"/>
      <c r="AE692" s="281"/>
    </row>
    <row r="693" spans="15:31">
      <c r="O693" s="281"/>
      <c r="P693" s="281"/>
      <c r="Q693" s="281"/>
      <c r="R693" s="281"/>
      <c r="S693" s="281"/>
      <c r="T693" s="281"/>
      <c r="U693" s="281"/>
      <c r="V693" s="281"/>
      <c r="W693" s="281"/>
      <c r="X693" s="281"/>
      <c r="Y693" s="281"/>
      <c r="Z693" s="281"/>
      <c r="AA693" s="281"/>
      <c r="AB693" s="281"/>
      <c r="AC693" s="281"/>
      <c r="AD693" s="281"/>
      <c r="AE693" s="281"/>
    </row>
    <row r="694" spans="15:31">
      <c r="O694" s="281"/>
      <c r="P694" s="281"/>
      <c r="Q694" s="281"/>
      <c r="R694" s="281"/>
      <c r="S694" s="281"/>
      <c r="T694" s="281"/>
      <c r="U694" s="281"/>
      <c r="V694" s="281"/>
      <c r="W694" s="281"/>
      <c r="X694" s="281"/>
      <c r="Y694" s="281"/>
      <c r="Z694" s="281"/>
      <c r="AA694" s="281"/>
      <c r="AB694" s="281"/>
      <c r="AC694" s="281"/>
      <c r="AD694" s="281"/>
      <c r="AE694" s="281"/>
    </row>
    <row r="695" spans="15:31">
      <c r="O695" s="281"/>
      <c r="P695" s="281"/>
      <c r="Q695" s="281"/>
      <c r="R695" s="281"/>
      <c r="S695" s="281"/>
      <c r="T695" s="281"/>
      <c r="U695" s="281"/>
      <c r="V695" s="281"/>
      <c r="W695" s="281"/>
      <c r="X695" s="281"/>
      <c r="Y695" s="281"/>
      <c r="Z695" s="281"/>
      <c r="AA695" s="281"/>
      <c r="AB695" s="281"/>
      <c r="AC695" s="281"/>
      <c r="AD695" s="281"/>
      <c r="AE695" s="281"/>
    </row>
    <row r="696" spans="15:31">
      <c r="O696" s="281"/>
      <c r="P696" s="281"/>
      <c r="Q696" s="281"/>
      <c r="R696" s="281"/>
      <c r="S696" s="281"/>
      <c r="T696" s="281"/>
      <c r="U696" s="281"/>
      <c r="V696" s="281"/>
      <c r="W696" s="281"/>
      <c r="X696" s="281"/>
      <c r="Y696" s="281"/>
      <c r="Z696" s="281"/>
      <c r="AA696" s="281"/>
      <c r="AB696" s="281"/>
      <c r="AC696" s="281"/>
      <c r="AD696" s="281"/>
      <c r="AE696" s="281"/>
    </row>
    <row r="697" spans="15:31">
      <c r="O697" s="281"/>
      <c r="P697" s="281"/>
      <c r="Q697" s="281"/>
      <c r="R697" s="281"/>
      <c r="S697" s="281"/>
      <c r="T697" s="281"/>
      <c r="U697" s="281"/>
      <c r="V697" s="281"/>
      <c r="W697" s="281"/>
      <c r="X697" s="281"/>
      <c r="Y697" s="281"/>
      <c r="Z697" s="281"/>
      <c r="AA697" s="281"/>
      <c r="AB697" s="281"/>
      <c r="AC697" s="281"/>
      <c r="AD697" s="281"/>
      <c r="AE697" s="281"/>
    </row>
    <row r="698" spans="15:31">
      <c r="O698" s="281"/>
      <c r="P698" s="281"/>
      <c r="Q698" s="281"/>
      <c r="R698" s="281"/>
      <c r="S698" s="281"/>
      <c r="T698" s="281"/>
      <c r="U698" s="281"/>
      <c r="V698" s="281"/>
      <c r="W698" s="281"/>
      <c r="X698" s="281"/>
      <c r="Y698" s="281"/>
      <c r="Z698" s="281"/>
      <c r="AA698" s="281"/>
      <c r="AB698" s="281"/>
      <c r="AC698" s="281"/>
      <c r="AD698" s="281"/>
      <c r="AE698" s="281"/>
    </row>
    <row r="699" spans="15:31">
      <c r="O699" s="281"/>
      <c r="P699" s="281"/>
      <c r="Q699" s="281"/>
      <c r="R699" s="281"/>
      <c r="S699" s="281"/>
      <c r="T699" s="281"/>
      <c r="U699" s="281"/>
      <c r="V699" s="281"/>
      <c r="W699" s="281"/>
      <c r="X699" s="281"/>
      <c r="Y699" s="281"/>
      <c r="Z699" s="281"/>
      <c r="AA699" s="281"/>
      <c r="AB699" s="281"/>
      <c r="AC699" s="281"/>
      <c r="AD699" s="281"/>
      <c r="AE699" s="281"/>
    </row>
    <row r="700" spans="15:31">
      <c r="O700" s="281"/>
      <c r="P700" s="281"/>
      <c r="Q700" s="281"/>
      <c r="R700" s="281"/>
      <c r="S700" s="281"/>
      <c r="T700" s="281"/>
      <c r="U700" s="281"/>
      <c r="V700" s="281"/>
      <c r="W700" s="281"/>
      <c r="X700" s="281"/>
      <c r="Y700" s="281"/>
      <c r="Z700" s="281"/>
      <c r="AA700" s="281"/>
      <c r="AB700" s="281"/>
      <c r="AC700" s="281"/>
      <c r="AD700" s="281"/>
      <c r="AE700" s="281"/>
    </row>
    <row r="701" spans="15:31">
      <c r="O701" s="281"/>
      <c r="P701" s="281"/>
      <c r="Q701" s="281"/>
      <c r="R701" s="281"/>
      <c r="S701" s="281"/>
      <c r="T701" s="281"/>
      <c r="U701" s="281"/>
      <c r="V701" s="281"/>
      <c r="W701" s="281"/>
      <c r="X701" s="281"/>
      <c r="Y701" s="281"/>
      <c r="Z701" s="281"/>
      <c r="AA701" s="281"/>
      <c r="AB701" s="281"/>
      <c r="AC701" s="281"/>
      <c r="AD701" s="281"/>
      <c r="AE701" s="281"/>
    </row>
    <row r="702" spans="15:31">
      <c r="O702" s="281"/>
      <c r="P702" s="281"/>
      <c r="Q702" s="281"/>
      <c r="R702" s="281"/>
      <c r="S702" s="281"/>
      <c r="T702" s="281"/>
      <c r="U702" s="281"/>
      <c r="V702" s="281"/>
      <c r="W702" s="281"/>
      <c r="X702" s="281"/>
      <c r="Y702" s="281"/>
      <c r="Z702" s="281"/>
      <c r="AA702" s="281"/>
      <c r="AB702" s="281"/>
      <c r="AC702" s="281"/>
      <c r="AD702" s="281"/>
      <c r="AE702" s="281"/>
    </row>
    <row r="703" spans="15:31">
      <c r="O703" s="281"/>
      <c r="P703" s="281"/>
      <c r="Q703" s="281"/>
      <c r="R703" s="281"/>
      <c r="S703" s="281"/>
      <c r="T703" s="281"/>
      <c r="U703" s="281"/>
      <c r="V703" s="281"/>
      <c r="W703" s="281"/>
      <c r="X703" s="281"/>
      <c r="Y703" s="281"/>
      <c r="Z703" s="281"/>
      <c r="AA703" s="281"/>
      <c r="AB703" s="281"/>
      <c r="AC703" s="281"/>
      <c r="AD703" s="281"/>
      <c r="AE703" s="281"/>
    </row>
    <row r="704" spans="15:31">
      <c r="O704" s="281"/>
      <c r="P704" s="281"/>
      <c r="Q704" s="281"/>
      <c r="R704" s="281"/>
      <c r="S704" s="281"/>
      <c r="T704" s="281"/>
      <c r="U704" s="281"/>
      <c r="V704" s="281"/>
      <c r="W704" s="281"/>
      <c r="X704" s="281"/>
      <c r="Y704" s="281"/>
      <c r="Z704" s="281"/>
      <c r="AA704" s="281"/>
      <c r="AB704" s="281"/>
      <c r="AC704" s="281"/>
      <c r="AD704" s="281"/>
      <c r="AE704" s="281"/>
    </row>
    <row r="705" spans="15:31">
      <c r="O705" s="281"/>
      <c r="P705" s="281"/>
      <c r="Q705" s="281"/>
      <c r="R705" s="281"/>
      <c r="S705" s="281"/>
      <c r="T705" s="281"/>
      <c r="U705" s="281"/>
      <c r="V705" s="281"/>
      <c r="W705" s="281"/>
      <c r="X705" s="281"/>
      <c r="Y705" s="281"/>
      <c r="Z705" s="281"/>
      <c r="AA705" s="281"/>
      <c r="AB705" s="281"/>
      <c r="AC705" s="281"/>
      <c r="AD705" s="281"/>
      <c r="AE705" s="281"/>
    </row>
    <row r="706" spans="15:31">
      <c r="O706" s="281"/>
      <c r="P706" s="281"/>
      <c r="Q706" s="281"/>
      <c r="R706" s="281"/>
      <c r="S706" s="281"/>
      <c r="T706" s="281"/>
      <c r="U706" s="281"/>
      <c r="V706" s="281"/>
      <c r="W706" s="281"/>
      <c r="X706" s="281"/>
      <c r="Y706" s="281"/>
      <c r="Z706" s="281"/>
      <c r="AA706" s="281"/>
      <c r="AB706" s="281"/>
      <c r="AC706" s="281"/>
      <c r="AD706" s="281"/>
      <c r="AE706" s="281"/>
    </row>
    <row r="707" spans="15:31">
      <c r="O707" s="281"/>
      <c r="P707" s="281"/>
      <c r="Q707" s="281"/>
      <c r="R707" s="281"/>
      <c r="S707" s="281"/>
      <c r="T707" s="281"/>
      <c r="U707" s="281"/>
      <c r="V707" s="281"/>
      <c r="W707" s="281"/>
      <c r="X707" s="281"/>
      <c r="Y707" s="281"/>
      <c r="Z707" s="281"/>
      <c r="AA707" s="281"/>
      <c r="AB707" s="281"/>
      <c r="AC707" s="281"/>
      <c r="AD707" s="281"/>
      <c r="AE707" s="281"/>
    </row>
    <row r="708" spans="15:31">
      <c r="O708" s="281"/>
      <c r="P708" s="281"/>
      <c r="Q708" s="281"/>
      <c r="R708" s="281"/>
      <c r="S708" s="281"/>
      <c r="T708" s="281"/>
      <c r="U708" s="281"/>
      <c r="V708" s="281"/>
      <c r="W708" s="281"/>
      <c r="X708" s="281"/>
      <c r="Y708" s="281"/>
      <c r="Z708" s="281"/>
      <c r="AA708" s="281"/>
      <c r="AB708" s="281"/>
      <c r="AC708" s="281"/>
      <c r="AD708" s="281"/>
      <c r="AE708" s="281"/>
    </row>
    <row r="709" spans="15:31">
      <c r="O709" s="281"/>
      <c r="P709" s="281"/>
      <c r="Q709" s="281"/>
      <c r="R709" s="281"/>
      <c r="S709" s="281"/>
      <c r="T709" s="281"/>
      <c r="U709" s="281"/>
      <c r="V709" s="281"/>
      <c r="W709" s="281"/>
      <c r="X709" s="281"/>
      <c r="Y709" s="281"/>
      <c r="Z709" s="281"/>
      <c r="AA709" s="281"/>
      <c r="AB709" s="281"/>
      <c r="AC709" s="281"/>
      <c r="AD709" s="281"/>
      <c r="AE709" s="281"/>
    </row>
    <row r="710" spans="15:31">
      <c r="O710" s="281"/>
      <c r="P710" s="281"/>
      <c r="Q710" s="281"/>
      <c r="R710" s="281"/>
      <c r="S710" s="281"/>
      <c r="T710" s="281"/>
      <c r="U710" s="281"/>
      <c r="V710" s="281"/>
      <c r="W710" s="281"/>
      <c r="X710" s="281"/>
      <c r="Y710" s="281"/>
      <c r="Z710" s="281"/>
      <c r="AA710" s="281"/>
      <c r="AB710" s="281"/>
      <c r="AC710" s="281"/>
      <c r="AD710" s="281"/>
      <c r="AE710" s="281"/>
    </row>
    <row r="711" spans="15:31">
      <c r="O711" s="281"/>
      <c r="P711" s="281"/>
      <c r="Q711" s="281"/>
      <c r="R711" s="281"/>
      <c r="S711" s="281"/>
      <c r="T711" s="281"/>
      <c r="U711" s="281"/>
      <c r="V711" s="281"/>
      <c r="W711" s="281"/>
      <c r="X711" s="281"/>
      <c r="Y711" s="281"/>
      <c r="Z711" s="281"/>
      <c r="AA711" s="281"/>
      <c r="AB711" s="281"/>
      <c r="AC711" s="281"/>
      <c r="AD711" s="281"/>
      <c r="AE711" s="281"/>
    </row>
    <row r="712" spans="15:31">
      <c r="O712" s="281"/>
      <c r="P712" s="281"/>
      <c r="Q712" s="281"/>
      <c r="R712" s="281"/>
      <c r="S712" s="281"/>
      <c r="T712" s="281"/>
      <c r="U712" s="281"/>
      <c r="V712" s="281"/>
      <c r="W712" s="281"/>
      <c r="X712" s="281"/>
      <c r="Y712" s="281"/>
      <c r="Z712" s="281"/>
      <c r="AA712" s="281"/>
      <c r="AB712" s="281"/>
      <c r="AC712" s="281"/>
      <c r="AD712" s="281"/>
      <c r="AE712" s="281"/>
    </row>
    <row r="713" spans="15:31">
      <c r="O713" s="281"/>
      <c r="P713" s="281"/>
      <c r="Q713" s="281"/>
      <c r="R713" s="281"/>
      <c r="S713" s="281"/>
      <c r="T713" s="281"/>
      <c r="U713" s="281"/>
      <c r="V713" s="281"/>
      <c r="W713" s="281"/>
      <c r="X713" s="281"/>
      <c r="Y713" s="281"/>
      <c r="Z713" s="281"/>
      <c r="AA713" s="281"/>
      <c r="AB713" s="281"/>
      <c r="AC713" s="281"/>
      <c r="AD713" s="281"/>
      <c r="AE713" s="281"/>
    </row>
    <row r="714" spans="15:31">
      <c r="O714" s="281"/>
      <c r="P714" s="281"/>
      <c r="Q714" s="281"/>
      <c r="R714" s="281"/>
      <c r="S714" s="281"/>
      <c r="T714" s="281"/>
      <c r="U714" s="281"/>
      <c r="V714" s="281"/>
      <c r="W714" s="281"/>
      <c r="X714" s="281"/>
      <c r="Y714" s="281"/>
      <c r="Z714" s="281"/>
      <c r="AA714" s="281"/>
      <c r="AB714" s="281"/>
      <c r="AC714" s="281"/>
      <c r="AD714" s="281"/>
      <c r="AE714" s="281"/>
    </row>
    <row r="715" spans="15:31">
      <c r="O715" s="281"/>
      <c r="P715" s="281"/>
      <c r="Q715" s="281"/>
      <c r="R715" s="281"/>
      <c r="S715" s="281"/>
      <c r="T715" s="281"/>
      <c r="U715" s="281"/>
      <c r="V715" s="281"/>
      <c r="W715" s="281"/>
      <c r="X715" s="281"/>
      <c r="Y715" s="281"/>
      <c r="Z715" s="281"/>
      <c r="AA715" s="281"/>
      <c r="AB715" s="281"/>
      <c r="AC715" s="281"/>
      <c r="AD715" s="281"/>
      <c r="AE715" s="281"/>
    </row>
    <row r="716" spans="15:31">
      <c r="O716" s="281"/>
      <c r="P716" s="281"/>
      <c r="Q716" s="281"/>
      <c r="R716" s="281"/>
      <c r="S716" s="281"/>
      <c r="T716" s="281"/>
      <c r="U716" s="281"/>
      <c r="V716" s="281"/>
      <c r="W716" s="281"/>
      <c r="X716" s="281"/>
      <c r="Y716" s="281"/>
      <c r="Z716" s="281"/>
      <c r="AA716" s="281"/>
      <c r="AB716" s="281"/>
      <c r="AC716" s="281"/>
      <c r="AD716" s="281"/>
      <c r="AE716" s="281"/>
    </row>
    <row r="717" spans="15:31">
      <c r="O717" s="281"/>
      <c r="P717" s="281"/>
      <c r="Q717" s="281"/>
      <c r="R717" s="281"/>
      <c r="S717" s="281"/>
      <c r="T717" s="281"/>
      <c r="U717" s="281"/>
      <c r="V717" s="281"/>
      <c r="W717" s="281"/>
      <c r="X717" s="281"/>
      <c r="Y717" s="281"/>
      <c r="Z717" s="281"/>
      <c r="AA717" s="281"/>
      <c r="AB717" s="281"/>
      <c r="AC717" s="281"/>
      <c r="AD717" s="281"/>
      <c r="AE717" s="281"/>
    </row>
    <row r="718" spans="15:31">
      <c r="O718" s="281"/>
      <c r="P718" s="281"/>
      <c r="Q718" s="281"/>
      <c r="R718" s="281"/>
      <c r="S718" s="281"/>
      <c r="T718" s="281"/>
      <c r="U718" s="281"/>
      <c r="V718" s="281"/>
      <c r="W718" s="281"/>
      <c r="X718" s="281"/>
      <c r="Y718" s="281"/>
      <c r="Z718" s="281"/>
      <c r="AA718" s="281"/>
      <c r="AB718" s="281"/>
      <c r="AC718" s="281"/>
      <c r="AD718" s="281"/>
      <c r="AE718" s="281"/>
    </row>
    <row r="719" spans="15:31">
      <c r="O719" s="281"/>
      <c r="P719" s="281"/>
      <c r="Q719" s="281"/>
      <c r="R719" s="281"/>
      <c r="S719" s="281"/>
      <c r="T719" s="281"/>
      <c r="U719" s="281"/>
      <c r="V719" s="281"/>
      <c r="W719" s="281"/>
      <c r="X719" s="281"/>
      <c r="Y719" s="281"/>
      <c r="Z719" s="281"/>
      <c r="AA719" s="281"/>
      <c r="AB719" s="281"/>
      <c r="AC719" s="281"/>
      <c r="AD719" s="281"/>
      <c r="AE719" s="281"/>
    </row>
    <row r="720" spans="15:31">
      <c r="O720" s="281"/>
      <c r="P720" s="281"/>
      <c r="Q720" s="281"/>
      <c r="R720" s="281"/>
      <c r="S720" s="281"/>
      <c r="T720" s="281"/>
      <c r="U720" s="281"/>
      <c r="V720" s="281"/>
      <c r="W720" s="281"/>
      <c r="X720" s="281"/>
      <c r="Y720" s="281"/>
      <c r="Z720" s="281"/>
      <c r="AA720" s="281"/>
      <c r="AB720" s="281"/>
      <c r="AC720" s="281"/>
      <c r="AD720" s="281"/>
      <c r="AE720" s="281"/>
    </row>
    <row r="721" spans="15:31">
      <c r="O721" s="281"/>
      <c r="P721" s="281"/>
      <c r="Q721" s="281"/>
      <c r="R721" s="281"/>
      <c r="S721" s="281"/>
      <c r="T721" s="281"/>
      <c r="U721" s="281"/>
      <c r="V721" s="281"/>
      <c r="W721" s="281"/>
      <c r="X721" s="281"/>
      <c r="Y721" s="281"/>
      <c r="Z721" s="281"/>
      <c r="AA721" s="281"/>
      <c r="AB721" s="281"/>
      <c r="AC721" s="281"/>
      <c r="AD721" s="281"/>
      <c r="AE721" s="281"/>
    </row>
    <row r="722" spans="15:31">
      <c r="O722" s="281"/>
      <c r="P722" s="281"/>
      <c r="Q722" s="281"/>
      <c r="R722" s="281"/>
      <c r="S722" s="281"/>
      <c r="T722" s="281"/>
      <c r="U722" s="281"/>
      <c r="V722" s="281"/>
      <c r="W722" s="281"/>
      <c r="X722" s="281"/>
      <c r="Y722" s="281"/>
      <c r="Z722" s="281"/>
      <c r="AA722" s="281"/>
      <c r="AB722" s="281"/>
      <c r="AC722" s="281"/>
      <c r="AD722" s="281"/>
      <c r="AE722" s="281"/>
    </row>
    <row r="723" spans="15:31">
      <c r="O723" s="281"/>
      <c r="P723" s="281"/>
      <c r="Q723" s="281"/>
      <c r="R723" s="281"/>
      <c r="S723" s="281"/>
      <c r="T723" s="281"/>
      <c r="U723" s="281"/>
      <c r="V723" s="281"/>
      <c r="W723" s="281"/>
      <c r="X723" s="281"/>
      <c r="Y723" s="281"/>
      <c r="Z723" s="281"/>
      <c r="AA723" s="281"/>
      <c r="AB723" s="281"/>
      <c r="AC723" s="281"/>
      <c r="AD723" s="281"/>
      <c r="AE723" s="281"/>
    </row>
    <row r="724" spans="15:31">
      <c r="O724" s="281"/>
      <c r="P724" s="281"/>
      <c r="Q724" s="281"/>
      <c r="R724" s="281"/>
      <c r="S724" s="281"/>
      <c r="T724" s="281"/>
      <c r="U724" s="281"/>
      <c r="V724" s="281"/>
      <c r="W724" s="281"/>
      <c r="X724" s="281"/>
      <c r="Y724" s="281"/>
      <c r="Z724" s="281"/>
      <c r="AA724" s="281"/>
      <c r="AB724" s="281"/>
      <c r="AC724" s="281"/>
      <c r="AD724" s="281"/>
      <c r="AE724" s="281"/>
    </row>
    <row r="725" spans="15:31">
      <c r="O725" s="281"/>
      <c r="P725" s="281"/>
      <c r="Q725" s="281"/>
      <c r="R725" s="281"/>
      <c r="S725" s="281"/>
      <c r="T725" s="281"/>
      <c r="U725" s="281"/>
      <c r="V725" s="281"/>
      <c r="W725" s="281"/>
      <c r="X725" s="281"/>
      <c r="Y725" s="281"/>
      <c r="Z725" s="281"/>
      <c r="AA725" s="281"/>
      <c r="AB725" s="281"/>
      <c r="AC725" s="281"/>
      <c r="AD725" s="281"/>
      <c r="AE725" s="281"/>
    </row>
    <row r="726" spans="15:31">
      <c r="O726" s="281"/>
      <c r="P726" s="281"/>
      <c r="Q726" s="281"/>
      <c r="R726" s="281"/>
      <c r="S726" s="281"/>
      <c r="T726" s="281"/>
      <c r="U726" s="281"/>
      <c r="V726" s="281"/>
      <c r="W726" s="281"/>
      <c r="X726" s="281"/>
      <c r="Y726" s="281"/>
      <c r="Z726" s="281"/>
      <c r="AA726" s="281"/>
      <c r="AB726" s="281"/>
      <c r="AC726" s="281"/>
      <c r="AD726" s="281"/>
      <c r="AE726" s="281"/>
    </row>
    <row r="727" spans="15:31">
      <c r="O727" s="281"/>
      <c r="P727" s="281"/>
      <c r="Q727" s="281"/>
      <c r="R727" s="281"/>
      <c r="S727" s="281"/>
      <c r="T727" s="281"/>
      <c r="U727" s="281"/>
      <c r="V727" s="281"/>
      <c r="W727" s="281"/>
      <c r="X727" s="281"/>
      <c r="Y727" s="281"/>
      <c r="Z727" s="281"/>
      <c r="AA727" s="281"/>
      <c r="AB727" s="281"/>
      <c r="AC727" s="281"/>
      <c r="AD727" s="281"/>
      <c r="AE727" s="281"/>
    </row>
    <row r="728" spans="15:31">
      <c r="O728" s="281"/>
      <c r="P728" s="281"/>
      <c r="Q728" s="281"/>
      <c r="R728" s="281"/>
      <c r="S728" s="281"/>
      <c r="T728" s="281"/>
      <c r="U728" s="281"/>
      <c r="V728" s="281"/>
      <c r="W728" s="281"/>
      <c r="X728" s="281"/>
      <c r="Y728" s="281"/>
      <c r="Z728" s="281"/>
      <c r="AA728" s="281"/>
      <c r="AB728" s="281"/>
      <c r="AC728" s="281"/>
      <c r="AD728" s="281"/>
      <c r="AE728" s="281"/>
    </row>
    <row r="729" spans="15:31">
      <c r="O729" s="281"/>
      <c r="P729" s="281"/>
      <c r="Q729" s="281"/>
      <c r="R729" s="281"/>
      <c r="S729" s="281"/>
      <c r="T729" s="281"/>
      <c r="U729" s="281"/>
      <c r="V729" s="281"/>
      <c r="W729" s="281"/>
      <c r="X729" s="281"/>
      <c r="Y729" s="281"/>
      <c r="Z729" s="281"/>
      <c r="AA729" s="281"/>
      <c r="AB729" s="281"/>
      <c r="AC729" s="281"/>
      <c r="AD729" s="281"/>
      <c r="AE729" s="281"/>
    </row>
    <row r="730" spans="15:31">
      <c r="O730" s="281"/>
      <c r="P730" s="281"/>
      <c r="Q730" s="281"/>
      <c r="R730" s="281"/>
      <c r="S730" s="281"/>
      <c r="T730" s="281"/>
      <c r="U730" s="281"/>
      <c r="V730" s="281"/>
      <c r="W730" s="281"/>
      <c r="X730" s="281"/>
      <c r="Y730" s="281"/>
      <c r="Z730" s="281"/>
      <c r="AA730" s="281"/>
      <c r="AB730" s="281"/>
      <c r="AC730" s="281"/>
      <c r="AD730" s="281"/>
      <c r="AE730" s="281"/>
    </row>
    <row r="731" spans="15:31">
      <c r="O731" s="281"/>
      <c r="P731" s="281"/>
      <c r="Q731" s="281"/>
      <c r="R731" s="281"/>
      <c r="S731" s="281"/>
      <c r="T731" s="281"/>
      <c r="U731" s="281"/>
      <c r="V731" s="281"/>
      <c r="W731" s="281"/>
      <c r="X731" s="281"/>
      <c r="Y731" s="281"/>
      <c r="Z731" s="281"/>
      <c r="AA731" s="281"/>
      <c r="AB731" s="281"/>
      <c r="AC731" s="281"/>
      <c r="AD731" s="281"/>
      <c r="AE731" s="281"/>
    </row>
    <row r="732" spans="15:31">
      <c r="O732" s="281"/>
      <c r="P732" s="281"/>
      <c r="Q732" s="281"/>
      <c r="R732" s="281"/>
      <c r="S732" s="281"/>
      <c r="T732" s="281"/>
      <c r="U732" s="281"/>
      <c r="V732" s="281"/>
      <c r="W732" s="281"/>
      <c r="X732" s="281"/>
      <c r="Y732" s="281"/>
      <c r="Z732" s="281"/>
      <c r="AA732" s="281"/>
      <c r="AB732" s="281"/>
      <c r="AC732" s="281"/>
      <c r="AD732" s="281"/>
      <c r="AE732" s="281"/>
    </row>
    <row r="733" spans="15:31">
      <c r="O733" s="281"/>
      <c r="P733" s="281"/>
      <c r="Q733" s="281"/>
      <c r="R733" s="281"/>
      <c r="S733" s="281"/>
      <c r="T733" s="281"/>
      <c r="U733" s="281"/>
      <c r="V733" s="281"/>
      <c r="W733" s="281"/>
      <c r="X733" s="281"/>
      <c r="Y733" s="281"/>
      <c r="Z733" s="281"/>
      <c r="AA733" s="281"/>
      <c r="AB733" s="281"/>
      <c r="AC733" s="281"/>
      <c r="AD733" s="281"/>
      <c r="AE733" s="281"/>
    </row>
    <row r="734" spans="15:31">
      <c r="O734" s="281"/>
      <c r="P734" s="281"/>
      <c r="Q734" s="281"/>
      <c r="R734" s="281"/>
      <c r="S734" s="281"/>
      <c r="T734" s="281"/>
      <c r="U734" s="281"/>
      <c r="V734" s="281"/>
      <c r="W734" s="281"/>
      <c r="X734" s="281"/>
      <c r="Y734" s="281"/>
      <c r="Z734" s="281"/>
      <c r="AA734" s="281"/>
      <c r="AB734" s="281"/>
      <c r="AC734" s="281"/>
      <c r="AD734" s="281"/>
      <c r="AE734" s="281"/>
    </row>
    <row r="735" spans="15:31">
      <c r="O735" s="281"/>
      <c r="P735" s="281"/>
      <c r="Q735" s="281"/>
      <c r="R735" s="281"/>
      <c r="S735" s="281"/>
      <c r="T735" s="281"/>
      <c r="U735" s="281"/>
      <c r="V735" s="281"/>
      <c r="W735" s="281"/>
      <c r="X735" s="281"/>
      <c r="Y735" s="281"/>
      <c r="Z735" s="281"/>
      <c r="AA735" s="281"/>
      <c r="AB735" s="281"/>
      <c r="AC735" s="281"/>
      <c r="AD735" s="281"/>
      <c r="AE735" s="281"/>
    </row>
    <row r="736" spans="15:31">
      <c r="O736" s="281"/>
      <c r="P736" s="281"/>
      <c r="Q736" s="281"/>
      <c r="R736" s="281"/>
      <c r="S736" s="281"/>
      <c r="T736" s="281"/>
      <c r="U736" s="281"/>
      <c r="V736" s="281"/>
      <c r="W736" s="281"/>
      <c r="X736" s="281"/>
      <c r="Y736" s="281"/>
      <c r="Z736" s="281"/>
      <c r="AA736" s="281"/>
      <c r="AB736" s="281"/>
      <c r="AC736" s="281"/>
      <c r="AD736" s="281"/>
      <c r="AE736" s="281"/>
    </row>
    <row r="737" spans="15:31">
      <c r="O737" s="281"/>
      <c r="P737" s="281"/>
      <c r="Q737" s="281"/>
      <c r="R737" s="281"/>
      <c r="S737" s="281"/>
      <c r="T737" s="281"/>
      <c r="U737" s="281"/>
      <c r="V737" s="281"/>
      <c r="W737" s="281"/>
      <c r="X737" s="281"/>
      <c r="Y737" s="281"/>
      <c r="Z737" s="281"/>
      <c r="AA737" s="281"/>
      <c r="AB737" s="281"/>
      <c r="AC737" s="281"/>
      <c r="AD737" s="281"/>
      <c r="AE737" s="281"/>
    </row>
    <row r="738" spans="15:31">
      <c r="O738" s="281"/>
      <c r="P738" s="281"/>
      <c r="Q738" s="281"/>
      <c r="R738" s="281"/>
      <c r="S738" s="281"/>
      <c r="T738" s="281"/>
      <c r="U738" s="281"/>
      <c r="V738" s="281"/>
      <c r="W738" s="281"/>
      <c r="X738" s="281"/>
      <c r="Y738" s="281"/>
      <c r="Z738" s="281"/>
      <c r="AA738" s="281"/>
      <c r="AB738" s="281"/>
      <c r="AC738" s="281"/>
      <c r="AD738" s="281"/>
      <c r="AE738" s="281"/>
    </row>
    <row r="739" spans="15:31">
      <c r="O739" s="281"/>
      <c r="P739" s="281"/>
      <c r="Q739" s="281"/>
      <c r="R739" s="281"/>
      <c r="S739" s="281"/>
      <c r="T739" s="281"/>
      <c r="U739" s="281"/>
      <c r="V739" s="281"/>
      <c r="W739" s="281"/>
      <c r="X739" s="281"/>
      <c r="Y739" s="281"/>
      <c r="Z739" s="281"/>
      <c r="AA739" s="281"/>
      <c r="AB739" s="281"/>
      <c r="AC739" s="281"/>
      <c r="AD739" s="281"/>
      <c r="AE739" s="281"/>
    </row>
    <row r="740" spans="15:31">
      <c r="O740" s="281"/>
      <c r="P740" s="281"/>
      <c r="Q740" s="281"/>
      <c r="R740" s="281"/>
      <c r="S740" s="281"/>
      <c r="T740" s="281"/>
      <c r="U740" s="281"/>
      <c r="V740" s="281"/>
      <c r="W740" s="281"/>
      <c r="X740" s="281"/>
      <c r="Y740" s="281"/>
      <c r="Z740" s="281"/>
      <c r="AA740" s="281"/>
      <c r="AB740" s="281"/>
      <c r="AC740" s="281"/>
      <c r="AD740" s="281"/>
      <c r="AE740" s="281"/>
    </row>
    <row r="741" spans="15:31">
      <c r="O741" s="281"/>
      <c r="P741" s="281"/>
      <c r="Q741" s="281"/>
      <c r="R741" s="281"/>
      <c r="S741" s="281"/>
      <c r="T741" s="281"/>
      <c r="U741" s="281"/>
      <c r="V741" s="281"/>
      <c r="W741" s="281"/>
      <c r="X741" s="281"/>
      <c r="Y741" s="281"/>
      <c r="Z741" s="281"/>
      <c r="AA741" s="281"/>
      <c r="AB741" s="281"/>
      <c r="AC741" s="281"/>
      <c r="AD741" s="281"/>
      <c r="AE741" s="281"/>
    </row>
    <row r="742" spans="15:31">
      <c r="O742" s="281"/>
      <c r="P742" s="281"/>
      <c r="Q742" s="281"/>
      <c r="R742" s="281"/>
      <c r="S742" s="281"/>
      <c r="T742" s="281"/>
      <c r="U742" s="281"/>
      <c r="V742" s="281"/>
      <c r="W742" s="281"/>
      <c r="X742" s="281"/>
      <c r="Y742" s="281"/>
      <c r="Z742" s="281"/>
      <c r="AA742" s="281"/>
      <c r="AB742" s="281"/>
      <c r="AC742" s="281"/>
      <c r="AD742" s="281"/>
      <c r="AE742" s="281"/>
    </row>
    <row r="743" spans="15:31">
      <c r="O743" s="281"/>
      <c r="P743" s="281"/>
      <c r="Q743" s="281"/>
      <c r="R743" s="281"/>
      <c r="S743" s="281"/>
      <c r="T743" s="281"/>
      <c r="U743" s="281"/>
      <c r="V743" s="281"/>
      <c r="W743" s="281"/>
      <c r="X743" s="281"/>
      <c r="Y743" s="281"/>
      <c r="Z743" s="281"/>
      <c r="AA743" s="281"/>
      <c r="AB743" s="281"/>
      <c r="AC743" s="281"/>
      <c r="AD743" s="281"/>
      <c r="AE743" s="281"/>
    </row>
    <row r="744" spans="15:31">
      <c r="O744" s="281"/>
      <c r="P744" s="281"/>
      <c r="Q744" s="281"/>
      <c r="R744" s="281"/>
      <c r="S744" s="281"/>
      <c r="T744" s="281"/>
      <c r="U744" s="281"/>
      <c r="V744" s="281"/>
      <c r="W744" s="281"/>
      <c r="X744" s="281"/>
      <c r="Y744" s="281"/>
      <c r="Z744" s="281"/>
      <c r="AA744" s="281"/>
      <c r="AB744" s="281"/>
      <c r="AC744" s="281"/>
      <c r="AD744" s="281"/>
      <c r="AE744" s="281"/>
    </row>
    <row r="745" spans="15:31">
      <c r="O745" s="281"/>
      <c r="P745" s="281"/>
      <c r="Q745" s="281"/>
      <c r="R745" s="281"/>
      <c r="S745" s="281"/>
      <c r="T745" s="281"/>
      <c r="U745" s="281"/>
      <c r="V745" s="281"/>
      <c r="W745" s="281"/>
      <c r="X745" s="281"/>
      <c r="Y745" s="281"/>
      <c r="Z745" s="281"/>
      <c r="AA745" s="281"/>
      <c r="AB745" s="281"/>
      <c r="AC745" s="281"/>
      <c r="AD745" s="281"/>
      <c r="AE745" s="281"/>
    </row>
    <row r="746" spans="15:31">
      <c r="O746" s="281"/>
      <c r="P746" s="281"/>
      <c r="Q746" s="281"/>
      <c r="R746" s="281"/>
      <c r="S746" s="281"/>
      <c r="T746" s="281"/>
      <c r="U746" s="281"/>
      <c r="V746" s="281"/>
      <c r="W746" s="281"/>
      <c r="X746" s="281"/>
      <c r="Y746" s="281"/>
      <c r="Z746" s="281"/>
      <c r="AA746" s="281"/>
      <c r="AB746" s="281"/>
      <c r="AC746" s="281"/>
      <c r="AD746" s="281"/>
      <c r="AE746" s="281"/>
    </row>
    <row r="747" spans="15:31">
      <c r="O747" s="281"/>
      <c r="P747" s="281"/>
      <c r="Q747" s="281"/>
      <c r="R747" s="281"/>
      <c r="S747" s="281"/>
      <c r="T747" s="281"/>
      <c r="U747" s="281"/>
      <c r="V747" s="281"/>
      <c r="W747" s="281"/>
      <c r="X747" s="281"/>
      <c r="Y747" s="281"/>
      <c r="Z747" s="281"/>
      <c r="AA747" s="281"/>
      <c r="AB747" s="281"/>
      <c r="AC747" s="281"/>
      <c r="AD747" s="281"/>
      <c r="AE747" s="281"/>
    </row>
    <row r="748" spans="15:31">
      <c r="O748" s="281"/>
      <c r="P748" s="281"/>
      <c r="Q748" s="281"/>
      <c r="R748" s="281"/>
      <c r="S748" s="281"/>
      <c r="T748" s="281"/>
      <c r="U748" s="281"/>
      <c r="V748" s="281"/>
      <c r="W748" s="281"/>
      <c r="X748" s="281"/>
      <c r="Y748" s="281"/>
      <c r="Z748" s="281"/>
      <c r="AA748" s="281"/>
      <c r="AB748" s="281"/>
      <c r="AC748" s="281"/>
      <c r="AD748" s="281"/>
      <c r="AE748" s="281"/>
    </row>
    <row r="749" spans="15:31">
      <c r="O749" s="281"/>
      <c r="P749" s="281"/>
      <c r="Q749" s="281"/>
      <c r="R749" s="281"/>
      <c r="S749" s="281"/>
      <c r="T749" s="281"/>
      <c r="U749" s="281"/>
      <c r="V749" s="281"/>
      <c r="W749" s="281"/>
      <c r="X749" s="281"/>
      <c r="Y749" s="281"/>
      <c r="Z749" s="281"/>
      <c r="AA749" s="281"/>
      <c r="AB749" s="281"/>
      <c r="AC749" s="281"/>
      <c r="AD749" s="281"/>
      <c r="AE749" s="281"/>
    </row>
    <row r="750" spans="15:31">
      <c r="O750" s="281"/>
      <c r="P750" s="281"/>
      <c r="Q750" s="281"/>
      <c r="R750" s="281"/>
      <c r="S750" s="281"/>
      <c r="T750" s="281"/>
      <c r="U750" s="281"/>
      <c r="V750" s="281"/>
      <c r="W750" s="281"/>
      <c r="X750" s="281"/>
      <c r="Y750" s="281"/>
      <c r="Z750" s="281"/>
      <c r="AA750" s="281"/>
      <c r="AB750" s="281"/>
      <c r="AC750" s="281"/>
      <c r="AD750" s="281"/>
      <c r="AE750" s="281"/>
    </row>
    <row r="751" spans="15:31">
      <c r="O751" s="281"/>
      <c r="P751" s="281"/>
      <c r="Q751" s="281"/>
      <c r="R751" s="281"/>
      <c r="S751" s="281"/>
      <c r="T751" s="281"/>
      <c r="U751" s="281"/>
      <c r="V751" s="281"/>
      <c r="W751" s="281"/>
      <c r="X751" s="281"/>
      <c r="Y751" s="281"/>
      <c r="Z751" s="281"/>
      <c r="AA751" s="281"/>
      <c r="AB751" s="281"/>
      <c r="AC751" s="281"/>
      <c r="AD751" s="281"/>
      <c r="AE751" s="281"/>
    </row>
    <row r="752" spans="15:31">
      <c r="O752" s="281"/>
      <c r="P752" s="281"/>
      <c r="Q752" s="281"/>
      <c r="R752" s="281"/>
      <c r="S752" s="281"/>
      <c r="T752" s="281"/>
      <c r="U752" s="281"/>
      <c r="V752" s="281"/>
      <c r="W752" s="281"/>
      <c r="X752" s="281"/>
      <c r="Y752" s="281"/>
      <c r="Z752" s="281"/>
      <c r="AA752" s="281"/>
      <c r="AB752" s="281"/>
      <c r="AC752" s="281"/>
      <c r="AD752" s="281"/>
      <c r="AE752" s="281"/>
    </row>
    <row r="753" spans="15:31">
      <c r="O753" s="281"/>
      <c r="P753" s="281"/>
      <c r="Q753" s="281"/>
      <c r="R753" s="281"/>
      <c r="S753" s="281"/>
      <c r="T753" s="281"/>
      <c r="U753" s="281"/>
      <c r="V753" s="281"/>
      <c r="W753" s="281"/>
      <c r="X753" s="281"/>
      <c r="Y753" s="281"/>
      <c r="Z753" s="281"/>
      <c r="AA753" s="281"/>
      <c r="AB753" s="281"/>
      <c r="AC753" s="281"/>
      <c r="AD753" s="281"/>
      <c r="AE753" s="281"/>
    </row>
    <row r="754" spans="15:31">
      <c r="O754" s="281"/>
      <c r="P754" s="281"/>
      <c r="Q754" s="281"/>
      <c r="R754" s="281"/>
      <c r="S754" s="281"/>
      <c r="T754" s="281"/>
      <c r="U754" s="281"/>
      <c r="V754" s="281"/>
      <c r="W754" s="281"/>
      <c r="X754" s="281"/>
      <c r="Y754" s="281"/>
      <c r="Z754" s="281"/>
      <c r="AA754" s="281"/>
      <c r="AB754" s="281"/>
      <c r="AC754" s="281"/>
      <c r="AD754" s="281"/>
      <c r="AE754" s="281"/>
    </row>
    <row r="755" spans="15:31">
      <c r="O755" s="281"/>
      <c r="P755" s="281"/>
      <c r="Q755" s="281"/>
      <c r="R755" s="281"/>
      <c r="S755" s="281"/>
      <c r="T755" s="281"/>
      <c r="U755" s="281"/>
      <c r="V755" s="281"/>
      <c r="W755" s="281"/>
      <c r="X755" s="281"/>
      <c r="Y755" s="281"/>
      <c r="Z755" s="281"/>
      <c r="AA755" s="281"/>
      <c r="AB755" s="281"/>
      <c r="AC755" s="281"/>
      <c r="AD755" s="281"/>
      <c r="AE755" s="281"/>
    </row>
    <row r="756" spans="15:31">
      <c r="O756" s="281"/>
      <c r="P756" s="281"/>
      <c r="Q756" s="281"/>
      <c r="R756" s="281"/>
      <c r="S756" s="281"/>
      <c r="T756" s="281"/>
      <c r="U756" s="281"/>
      <c r="V756" s="281"/>
      <c r="W756" s="281"/>
      <c r="X756" s="281"/>
      <c r="Y756" s="281"/>
      <c r="Z756" s="281"/>
      <c r="AA756" s="281"/>
      <c r="AB756" s="281"/>
      <c r="AC756" s="281"/>
      <c r="AD756" s="281"/>
      <c r="AE756" s="281"/>
    </row>
    <row r="757" spans="15:31">
      <c r="O757" s="281"/>
      <c r="P757" s="281"/>
      <c r="Q757" s="281"/>
      <c r="R757" s="281"/>
      <c r="S757" s="281"/>
      <c r="T757" s="281"/>
      <c r="U757" s="281"/>
      <c r="V757" s="281"/>
      <c r="W757" s="281"/>
      <c r="X757" s="281"/>
      <c r="Y757" s="281"/>
      <c r="Z757" s="281"/>
      <c r="AA757" s="281"/>
      <c r="AB757" s="281"/>
      <c r="AC757" s="281"/>
      <c r="AD757" s="281"/>
      <c r="AE757" s="281"/>
    </row>
    <row r="758" spans="15:31">
      <c r="O758" s="281"/>
      <c r="P758" s="281"/>
      <c r="Q758" s="281"/>
      <c r="R758" s="281"/>
      <c r="S758" s="281"/>
      <c r="T758" s="281"/>
      <c r="U758" s="281"/>
      <c r="V758" s="281"/>
      <c r="W758" s="281"/>
      <c r="X758" s="281"/>
      <c r="Y758" s="281"/>
      <c r="Z758" s="281"/>
      <c r="AA758" s="281"/>
      <c r="AB758" s="281"/>
      <c r="AC758" s="281"/>
      <c r="AD758" s="281"/>
      <c r="AE758" s="281"/>
    </row>
    <row r="759" spans="15:31">
      <c r="O759" s="281"/>
      <c r="P759" s="281"/>
      <c r="Q759" s="281"/>
      <c r="R759" s="281"/>
      <c r="S759" s="281"/>
      <c r="T759" s="281"/>
      <c r="U759" s="281"/>
      <c r="V759" s="281"/>
      <c r="W759" s="281"/>
      <c r="X759" s="281"/>
      <c r="Y759" s="281"/>
      <c r="Z759" s="281"/>
      <c r="AA759" s="281"/>
      <c r="AB759" s="281"/>
      <c r="AC759" s="281"/>
      <c r="AD759" s="281"/>
      <c r="AE759" s="281"/>
    </row>
    <row r="760" spans="15:31">
      <c r="O760" s="281"/>
      <c r="P760" s="281"/>
      <c r="Q760" s="281"/>
      <c r="R760" s="281"/>
      <c r="S760" s="281"/>
      <c r="T760" s="281"/>
      <c r="U760" s="281"/>
      <c r="V760" s="281"/>
      <c r="W760" s="281"/>
      <c r="X760" s="281"/>
      <c r="Y760" s="281"/>
      <c r="Z760" s="281"/>
      <c r="AA760" s="281"/>
      <c r="AB760" s="281"/>
      <c r="AC760" s="281"/>
      <c r="AD760" s="281"/>
      <c r="AE760" s="281"/>
    </row>
    <row r="761" spans="15:31">
      <c r="O761" s="281"/>
      <c r="P761" s="281"/>
      <c r="Q761" s="281"/>
      <c r="R761" s="281"/>
      <c r="S761" s="281"/>
      <c r="T761" s="281"/>
      <c r="U761" s="281"/>
      <c r="V761" s="281"/>
      <c r="W761" s="281"/>
      <c r="X761" s="281"/>
      <c r="Y761" s="281"/>
      <c r="Z761" s="281"/>
      <c r="AA761" s="281"/>
      <c r="AB761" s="281"/>
      <c r="AC761" s="281"/>
      <c r="AD761" s="281"/>
      <c r="AE761" s="281"/>
    </row>
    <row r="762" spans="15:31">
      <c r="O762" s="281"/>
      <c r="P762" s="281"/>
      <c r="Q762" s="281"/>
      <c r="R762" s="281"/>
      <c r="S762" s="281"/>
      <c r="T762" s="281"/>
      <c r="U762" s="281"/>
      <c r="V762" s="281"/>
      <c r="W762" s="281"/>
      <c r="X762" s="281"/>
      <c r="Y762" s="281"/>
      <c r="Z762" s="281"/>
      <c r="AA762" s="281"/>
      <c r="AB762" s="281"/>
      <c r="AC762" s="281"/>
      <c r="AD762" s="281"/>
      <c r="AE762" s="281"/>
    </row>
    <row r="763" spans="15:31">
      <c r="O763" s="281"/>
      <c r="P763" s="281"/>
      <c r="Q763" s="281"/>
      <c r="R763" s="281"/>
      <c r="S763" s="281"/>
      <c r="T763" s="281"/>
      <c r="U763" s="281"/>
      <c r="V763" s="281"/>
      <c r="W763" s="281"/>
      <c r="X763" s="281"/>
      <c r="Y763" s="281"/>
      <c r="Z763" s="281"/>
      <c r="AA763" s="281"/>
      <c r="AB763" s="281"/>
      <c r="AC763" s="281"/>
      <c r="AD763" s="281"/>
      <c r="AE763" s="281"/>
    </row>
    <row r="764" spans="15:31">
      <c r="O764" s="281"/>
      <c r="P764" s="281"/>
      <c r="Q764" s="281"/>
      <c r="R764" s="281"/>
      <c r="S764" s="281"/>
      <c r="T764" s="281"/>
      <c r="U764" s="281"/>
      <c r="V764" s="281"/>
      <c r="W764" s="281"/>
      <c r="X764" s="281"/>
      <c r="Y764" s="281"/>
      <c r="Z764" s="281"/>
      <c r="AA764" s="281"/>
      <c r="AB764" s="281"/>
      <c r="AC764" s="281"/>
      <c r="AD764" s="281"/>
      <c r="AE764" s="281"/>
    </row>
    <row r="765" spans="15:31">
      <c r="O765" s="281"/>
      <c r="P765" s="281"/>
      <c r="Q765" s="281"/>
      <c r="R765" s="281"/>
      <c r="S765" s="281"/>
      <c r="T765" s="281"/>
      <c r="U765" s="281"/>
      <c r="V765" s="281"/>
      <c r="W765" s="281"/>
      <c r="X765" s="281"/>
      <c r="Y765" s="281"/>
      <c r="Z765" s="281"/>
      <c r="AA765" s="281"/>
      <c r="AB765" s="281"/>
      <c r="AC765" s="281"/>
      <c r="AD765" s="281"/>
      <c r="AE765" s="281"/>
    </row>
    <row r="766" spans="15:31">
      <c r="O766" s="281"/>
      <c r="P766" s="281"/>
      <c r="Q766" s="281"/>
      <c r="R766" s="281"/>
      <c r="S766" s="281"/>
      <c r="T766" s="281"/>
      <c r="U766" s="281"/>
      <c r="V766" s="281"/>
      <c r="W766" s="281"/>
      <c r="X766" s="281"/>
      <c r="Y766" s="281"/>
      <c r="Z766" s="281"/>
      <c r="AA766" s="281"/>
      <c r="AB766" s="281"/>
      <c r="AC766" s="281"/>
      <c r="AD766" s="281"/>
      <c r="AE766" s="281"/>
    </row>
    <row r="767" spans="15:31">
      <c r="O767" s="281"/>
      <c r="P767" s="281"/>
      <c r="Q767" s="281"/>
      <c r="R767" s="281"/>
      <c r="S767" s="281"/>
      <c r="T767" s="281"/>
      <c r="U767" s="281"/>
      <c r="V767" s="281"/>
      <c r="W767" s="281"/>
      <c r="X767" s="281"/>
      <c r="Y767" s="281"/>
      <c r="Z767" s="281"/>
      <c r="AA767" s="281"/>
      <c r="AB767" s="281"/>
      <c r="AC767" s="281"/>
      <c r="AD767" s="281"/>
      <c r="AE767" s="281"/>
    </row>
    <row r="768" spans="15:31">
      <c r="O768" s="281"/>
      <c r="P768" s="281"/>
      <c r="Q768" s="281"/>
      <c r="R768" s="281"/>
      <c r="S768" s="281"/>
      <c r="T768" s="281"/>
      <c r="U768" s="281"/>
      <c r="V768" s="281"/>
      <c r="W768" s="281"/>
      <c r="X768" s="281"/>
      <c r="Y768" s="281"/>
      <c r="Z768" s="281"/>
      <c r="AA768" s="281"/>
      <c r="AB768" s="281"/>
      <c r="AC768" s="281"/>
      <c r="AD768" s="281"/>
      <c r="AE768" s="281"/>
    </row>
    <row r="769" spans="15:31">
      <c r="O769" s="281"/>
      <c r="P769" s="281"/>
      <c r="Q769" s="281"/>
      <c r="R769" s="281"/>
      <c r="S769" s="281"/>
      <c r="T769" s="281"/>
      <c r="U769" s="281"/>
      <c r="V769" s="281"/>
      <c r="W769" s="281"/>
      <c r="X769" s="281"/>
      <c r="Y769" s="281"/>
      <c r="Z769" s="281"/>
      <c r="AA769" s="281"/>
      <c r="AB769" s="281"/>
      <c r="AC769" s="281"/>
      <c r="AD769" s="281"/>
      <c r="AE769" s="281"/>
    </row>
    <row r="770" spans="15:31">
      <c r="O770" s="281"/>
      <c r="P770" s="281"/>
      <c r="Q770" s="281"/>
      <c r="R770" s="281"/>
      <c r="S770" s="281"/>
      <c r="T770" s="281"/>
      <c r="U770" s="281"/>
      <c r="V770" s="281"/>
      <c r="W770" s="281"/>
      <c r="X770" s="281"/>
      <c r="Y770" s="281"/>
      <c r="Z770" s="281"/>
      <c r="AA770" s="281"/>
      <c r="AB770" s="281"/>
      <c r="AC770" s="281"/>
      <c r="AD770" s="281"/>
      <c r="AE770" s="281"/>
    </row>
    <row r="771" spans="15:31">
      <c r="O771" s="281"/>
      <c r="P771" s="281"/>
      <c r="Q771" s="281"/>
      <c r="R771" s="281"/>
      <c r="S771" s="281"/>
      <c r="T771" s="281"/>
      <c r="U771" s="281"/>
      <c r="V771" s="281"/>
      <c r="W771" s="281"/>
      <c r="X771" s="281"/>
      <c r="Y771" s="281"/>
      <c r="Z771" s="281"/>
      <c r="AA771" s="281"/>
      <c r="AB771" s="281"/>
      <c r="AC771" s="281"/>
      <c r="AD771" s="281"/>
      <c r="AE771" s="281"/>
    </row>
    <row r="772" spans="15:31">
      <c r="O772" s="281"/>
      <c r="P772" s="281"/>
      <c r="Q772" s="281"/>
      <c r="R772" s="281"/>
      <c r="S772" s="281"/>
      <c r="T772" s="281"/>
      <c r="U772" s="281"/>
      <c r="V772" s="281"/>
      <c r="W772" s="281"/>
      <c r="X772" s="281"/>
      <c r="Y772" s="281"/>
      <c r="Z772" s="281"/>
      <c r="AA772" s="281"/>
      <c r="AB772" s="281"/>
      <c r="AC772" s="281"/>
      <c r="AD772" s="281"/>
      <c r="AE772" s="281"/>
    </row>
    <row r="773" spans="15:31">
      <c r="O773" s="281"/>
      <c r="P773" s="281"/>
      <c r="Q773" s="281"/>
      <c r="R773" s="281"/>
      <c r="S773" s="281"/>
      <c r="T773" s="281"/>
      <c r="U773" s="281"/>
      <c r="V773" s="281"/>
      <c r="W773" s="281"/>
      <c r="X773" s="281"/>
      <c r="Y773" s="281"/>
      <c r="Z773" s="281"/>
      <c r="AA773" s="281"/>
      <c r="AB773" s="281"/>
      <c r="AC773" s="281"/>
      <c r="AD773" s="281"/>
      <c r="AE773" s="281"/>
    </row>
    <row r="774" spans="15:31">
      <c r="O774" s="281"/>
      <c r="P774" s="281"/>
      <c r="Q774" s="281"/>
      <c r="R774" s="281"/>
      <c r="S774" s="281"/>
      <c r="T774" s="281"/>
      <c r="U774" s="281"/>
      <c r="V774" s="281"/>
      <c r="W774" s="281"/>
      <c r="X774" s="281"/>
      <c r="Y774" s="281"/>
      <c r="Z774" s="281"/>
      <c r="AA774" s="281"/>
      <c r="AB774" s="281"/>
      <c r="AC774" s="281"/>
      <c r="AD774" s="281"/>
      <c r="AE774" s="281"/>
    </row>
    <row r="775" spans="15:31">
      <c r="O775" s="281"/>
      <c r="P775" s="281"/>
      <c r="Q775" s="281"/>
      <c r="R775" s="281"/>
      <c r="S775" s="281"/>
      <c r="T775" s="281"/>
      <c r="U775" s="281"/>
      <c r="V775" s="281"/>
      <c r="W775" s="281"/>
      <c r="X775" s="281"/>
      <c r="Y775" s="281"/>
      <c r="Z775" s="281"/>
      <c r="AA775" s="281"/>
      <c r="AB775" s="281"/>
      <c r="AC775" s="281"/>
      <c r="AD775" s="281"/>
      <c r="AE775" s="281"/>
    </row>
    <row r="776" spans="15:31">
      <c r="O776" s="281"/>
      <c r="P776" s="281"/>
      <c r="Q776" s="281"/>
      <c r="R776" s="281"/>
      <c r="S776" s="281"/>
      <c r="T776" s="281"/>
      <c r="U776" s="281"/>
      <c r="V776" s="281"/>
      <c r="W776" s="281"/>
      <c r="X776" s="281"/>
      <c r="Y776" s="281"/>
      <c r="Z776" s="281"/>
      <c r="AA776" s="281"/>
      <c r="AB776" s="281"/>
      <c r="AC776" s="281"/>
      <c r="AD776" s="281"/>
      <c r="AE776" s="281"/>
    </row>
    <row r="777" spans="15:31">
      <c r="O777" s="281"/>
      <c r="P777" s="281"/>
      <c r="Q777" s="281"/>
      <c r="R777" s="281"/>
      <c r="S777" s="281"/>
      <c r="T777" s="281"/>
      <c r="U777" s="281"/>
      <c r="V777" s="281"/>
      <c r="W777" s="281"/>
      <c r="X777" s="281"/>
      <c r="Y777" s="281"/>
      <c r="Z777" s="281"/>
      <c r="AA777" s="281"/>
      <c r="AB777" s="281"/>
      <c r="AC777" s="281"/>
      <c r="AD777" s="281"/>
      <c r="AE777" s="281"/>
    </row>
    <row r="778" spans="15:31">
      <c r="O778" s="281"/>
      <c r="P778" s="281"/>
      <c r="Q778" s="281"/>
      <c r="R778" s="281"/>
      <c r="S778" s="281"/>
      <c r="T778" s="281"/>
      <c r="U778" s="281"/>
      <c r="V778" s="281"/>
      <c r="W778" s="281"/>
      <c r="X778" s="281"/>
      <c r="Y778" s="281"/>
      <c r="Z778" s="281"/>
      <c r="AA778" s="281"/>
      <c r="AB778" s="281"/>
      <c r="AC778" s="281"/>
      <c r="AD778" s="281"/>
      <c r="AE778" s="281"/>
    </row>
    <row r="779" spans="15:31">
      <c r="O779" s="281"/>
      <c r="P779" s="281"/>
      <c r="Q779" s="281"/>
      <c r="R779" s="281"/>
      <c r="S779" s="281"/>
      <c r="T779" s="281"/>
      <c r="U779" s="281"/>
      <c r="V779" s="281"/>
      <c r="W779" s="281"/>
      <c r="X779" s="281"/>
      <c r="Y779" s="281"/>
      <c r="Z779" s="281"/>
      <c r="AA779" s="281"/>
      <c r="AB779" s="281"/>
      <c r="AC779" s="281"/>
      <c r="AD779" s="281"/>
      <c r="AE779" s="281"/>
    </row>
    <row r="780" spans="15:31">
      <c r="O780" s="281"/>
      <c r="P780" s="281"/>
      <c r="Q780" s="281"/>
      <c r="R780" s="281"/>
      <c r="S780" s="281"/>
      <c r="T780" s="281"/>
      <c r="U780" s="281"/>
      <c r="V780" s="281"/>
      <c r="W780" s="281"/>
      <c r="X780" s="281"/>
      <c r="Y780" s="281"/>
      <c r="Z780" s="281"/>
      <c r="AA780" s="281"/>
      <c r="AB780" s="281"/>
      <c r="AC780" s="281"/>
      <c r="AD780" s="281"/>
      <c r="AE780" s="281"/>
    </row>
    <row r="781" spans="15:31">
      <c r="O781" s="281"/>
      <c r="P781" s="281"/>
      <c r="Q781" s="281"/>
      <c r="R781" s="281"/>
      <c r="S781" s="281"/>
      <c r="T781" s="281"/>
      <c r="U781" s="281"/>
      <c r="V781" s="281"/>
      <c r="W781" s="281"/>
      <c r="X781" s="281"/>
      <c r="Y781" s="281"/>
      <c r="Z781" s="281"/>
      <c r="AA781" s="281"/>
      <c r="AB781" s="281"/>
      <c r="AC781" s="281"/>
      <c r="AD781" s="281"/>
      <c r="AE781" s="281"/>
    </row>
    <row r="782" spans="15:31">
      <c r="O782" s="281"/>
      <c r="P782" s="281"/>
      <c r="Q782" s="281"/>
      <c r="R782" s="281"/>
      <c r="S782" s="281"/>
      <c r="T782" s="281"/>
      <c r="U782" s="281"/>
      <c r="V782" s="281"/>
      <c r="W782" s="281"/>
      <c r="X782" s="281"/>
      <c r="Y782" s="281"/>
      <c r="Z782" s="281"/>
      <c r="AA782" s="281"/>
      <c r="AB782" s="281"/>
      <c r="AC782" s="281"/>
      <c r="AD782" s="281"/>
      <c r="AE782" s="281"/>
    </row>
    <row r="783" spans="15:31">
      <c r="O783" s="281"/>
      <c r="P783" s="281"/>
      <c r="Q783" s="281"/>
      <c r="R783" s="281"/>
      <c r="S783" s="281"/>
      <c r="T783" s="281"/>
      <c r="U783" s="281"/>
      <c r="V783" s="281"/>
      <c r="W783" s="281"/>
      <c r="X783" s="281"/>
      <c r="Y783" s="281"/>
      <c r="Z783" s="281"/>
      <c r="AA783" s="281"/>
      <c r="AB783" s="281"/>
      <c r="AC783" s="281"/>
      <c r="AD783" s="281"/>
      <c r="AE783" s="281"/>
    </row>
    <row r="784" spans="15:31">
      <c r="O784" s="281"/>
      <c r="P784" s="281"/>
      <c r="Q784" s="281"/>
      <c r="R784" s="281"/>
      <c r="S784" s="281"/>
      <c r="T784" s="281"/>
      <c r="U784" s="281"/>
      <c r="V784" s="281"/>
      <c r="W784" s="281"/>
      <c r="X784" s="281"/>
      <c r="Y784" s="281"/>
      <c r="Z784" s="281"/>
      <c r="AA784" s="281"/>
      <c r="AB784" s="281"/>
      <c r="AC784" s="281"/>
      <c r="AD784" s="281"/>
      <c r="AE784" s="281"/>
    </row>
    <row r="785" spans="15:31">
      <c r="O785" s="281"/>
      <c r="P785" s="281"/>
      <c r="Q785" s="281"/>
      <c r="R785" s="281"/>
      <c r="S785" s="281"/>
      <c r="T785" s="281"/>
      <c r="U785" s="281"/>
      <c r="V785" s="281"/>
      <c r="W785" s="281"/>
      <c r="X785" s="281"/>
      <c r="Y785" s="281"/>
      <c r="Z785" s="281"/>
      <c r="AA785" s="281"/>
      <c r="AB785" s="281"/>
      <c r="AC785" s="281"/>
      <c r="AD785" s="281"/>
      <c r="AE785" s="281"/>
    </row>
    <row r="786" spans="15:31">
      <c r="O786" s="281"/>
      <c r="P786" s="281"/>
      <c r="Q786" s="281"/>
      <c r="R786" s="281"/>
      <c r="S786" s="281"/>
      <c r="T786" s="281"/>
      <c r="U786" s="281"/>
      <c r="V786" s="281"/>
      <c r="W786" s="281"/>
      <c r="X786" s="281"/>
      <c r="Y786" s="281"/>
      <c r="Z786" s="281"/>
      <c r="AA786" s="281"/>
      <c r="AB786" s="281"/>
      <c r="AC786" s="281"/>
      <c r="AD786" s="281"/>
      <c r="AE786" s="281"/>
    </row>
    <row r="787" spans="15:31">
      <c r="O787" s="281"/>
      <c r="P787" s="281"/>
      <c r="Q787" s="281"/>
      <c r="R787" s="281"/>
      <c r="S787" s="281"/>
      <c r="T787" s="281"/>
      <c r="U787" s="281"/>
      <c r="V787" s="281"/>
      <c r="W787" s="281"/>
      <c r="X787" s="281"/>
      <c r="Y787" s="281"/>
      <c r="Z787" s="281"/>
      <c r="AA787" s="281"/>
      <c r="AB787" s="281"/>
      <c r="AC787" s="281"/>
      <c r="AD787" s="281"/>
      <c r="AE787" s="281"/>
    </row>
    <row r="788" spans="15:31">
      <c r="O788" s="281"/>
      <c r="P788" s="281"/>
      <c r="Q788" s="281"/>
      <c r="R788" s="281"/>
      <c r="S788" s="281"/>
      <c r="T788" s="281"/>
      <c r="U788" s="281"/>
      <c r="V788" s="281"/>
      <c r="W788" s="281"/>
      <c r="X788" s="281"/>
      <c r="Y788" s="281"/>
      <c r="Z788" s="281"/>
      <c r="AA788" s="281"/>
      <c r="AB788" s="281"/>
      <c r="AC788" s="281"/>
      <c r="AD788" s="281"/>
      <c r="AE788" s="281"/>
    </row>
    <row r="789" spans="15:31">
      <c r="O789" s="281"/>
      <c r="P789" s="281"/>
      <c r="Q789" s="281"/>
      <c r="R789" s="281"/>
      <c r="S789" s="281"/>
      <c r="T789" s="281"/>
      <c r="U789" s="281"/>
      <c r="V789" s="281"/>
      <c r="W789" s="281"/>
      <c r="X789" s="281"/>
      <c r="Y789" s="281"/>
      <c r="Z789" s="281"/>
      <c r="AA789" s="281"/>
      <c r="AB789" s="281"/>
      <c r="AC789" s="281"/>
      <c r="AD789" s="281"/>
      <c r="AE789" s="281"/>
    </row>
    <row r="790" spans="15:31">
      <c r="O790" s="281"/>
      <c r="P790" s="281"/>
      <c r="Q790" s="281"/>
      <c r="R790" s="281"/>
      <c r="S790" s="281"/>
      <c r="T790" s="281"/>
      <c r="U790" s="281"/>
      <c r="V790" s="281"/>
      <c r="W790" s="281"/>
      <c r="X790" s="281"/>
      <c r="Y790" s="281"/>
      <c r="Z790" s="281"/>
      <c r="AA790" s="281"/>
      <c r="AB790" s="281"/>
      <c r="AC790" s="281"/>
      <c r="AD790" s="281"/>
      <c r="AE790" s="281"/>
    </row>
    <row r="791" spans="15:31">
      <c r="O791" s="281"/>
      <c r="P791" s="281"/>
      <c r="Q791" s="281"/>
      <c r="R791" s="281"/>
      <c r="S791" s="281"/>
      <c r="T791" s="281"/>
      <c r="U791" s="281"/>
      <c r="V791" s="281"/>
      <c r="W791" s="281"/>
      <c r="X791" s="281"/>
      <c r="Y791" s="281"/>
      <c r="Z791" s="281"/>
      <c r="AA791" s="281"/>
      <c r="AB791" s="281"/>
      <c r="AC791" s="281"/>
      <c r="AD791" s="281"/>
      <c r="AE791" s="281"/>
    </row>
    <row r="792" spans="15:31">
      <c r="O792" s="281"/>
      <c r="P792" s="281"/>
      <c r="Q792" s="281"/>
      <c r="R792" s="281"/>
      <c r="S792" s="281"/>
      <c r="T792" s="281"/>
      <c r="U792" s="281"/>
      <c r="V792" s="281"/>
      <c r="W792" s="281"/>
      <c r="X792" s="281"/>
      <c r="Y792" s="281"/>
      <c r="Z792" s="281"/>
      <c r="AA792" s="281"/>
      <c r="AB792" s="281"/>
      <c r="AC792" s="281"/>
      <c r="AD792" s="281"/>
      <c r="AE792" s="281"/>
    </row>
    <row r="793" spans="15:31">
      <c r="O793" s="281"/>
      <c r="P793" s="281"/>
      <c r="Q793" s="281"/>
      <c r="R793" s="281"/>
      <c r="S793" s="281"/>
      <c r="T793" s="281"/>
      <c r="U793" s="281"/>
      <c r="V793" s="281"/>
      <c r="W793" s="281"/>
      <c r="X793" s="281"/>
      <c r="Y793" s="281"/>
      <c r="Z793" s="281"/>
      <c r="AA793" s="281"/>
      <c r="AB793" s="281"/>
      <c r="AC793" s="281"/>
      <c r="AD793" s="281"/>
      <c r="AE793" s="281"/>
    </row>
    <row r="794" spans="15:31">
      <c r="O794" s="281"/>
      <c r="P794" s="281"/>
      <c r="Q794" s="281"/>
      <c r="R794" s="281"/>
      <c r="S794" s="281"/>
      <c r="T794" s="281"/>
      <c r="U794" s="281"/>
      <c r="V794" s="281"/>
      <c r="W794" s="281"/>
      <c r="X794" s="281"/>
      <c r="Y794" s="281"/>
      <c r="Z794" s="281"/>
      <c r="AA794" s="281"/>
      <c r="AB794" s="281"/>
      <c r="AC794" s="281"/>
      <c r="AD794" s="281"/>
      <c r="AE794" s="281"/>
    </row>
    <row r="795" spans="15:31">
      <c r="O795" s="281"/>
      <c r="P795" s="281"/>
      <c r="Q795" s="281"/>
      <c r="R795" s="281"/>
      <c r="S795" s="281"/>
      <c r="T795" s="281"/>
      <c r="U795" s="281"/>
      <c r="V795" s="281"/>
      <c r="W795" s="281"/>
      <c r="X795" s="281"/>
      <c r="Y795" s="281"/>
      <c r="Z795" s="281"/>
      <c r="AA795" s="281"/>
      <c r="AB795" s="281"/>
      <c r="AC795" s="281"/>
      <c r="AD795" s="281"/>
      <c r="AE795" s="281"/>
    </row>
    <row r="796" spans="15:31">
      <c r="O796" s="281"/>
      <c r="P796" s="281"/>
      <c r="Q796" s="281"/>
      <c r="R796" s="281"/>
      <c r="S796" s="281"/>
      <c r="T796" s="281"/>
      <c r="U796" s="281"/>
      <c r="V796" s="281"/>
      <c r="W796" s="281"/>
      <c r="X796" s="281"/>
      <c r="Y796" s="281"/>
      <c r="Z796" s="281"/>
      <c r="AA796" s="281"/>
      <c r="AB796" s="281"/>
      <c r="AC796" s="281"/>
      <c r="AD796" s="281"/>
      <c r="AE796" s="281"/>
    </row>
    <row r="797" spans="15:31">
      <c r="O797" s="281"/>
      <c r="P797" s="281"/>
      <c r="Q797" s="281"/>
      <c r="R797" s="281"/>
      <c r="S797" s="281"/>
      <c r="T797" s="281"/>
      <c r="U797" s="281"/>
      <c r="V797" s="281"/>
      <c r="W797" s="281"/>
      <c r="X797" s="281"/>
      <c r="Y797" s="281"/>
      <c r="Z797" s="281"/>
      <c r="AA797" s="281"/>
      <c r="AB797" s="281"/>
      <c r="AC797" s="281"/>
      <c r="AD797" s="281"/>
      <c r="AE797" s="281"/>
    </row>
    <row r="798" spans="15:31">
      <c r="O798" s="281"/>
      <c r="P798" s="281"/>
      <c r="Q798" s="281"/>
      <c r="R798" s="281"/>
      <c r="S798" s="281"/>
      <c r="T798" s="281"/>
      <c r="U798" s="281"/>
      <c r="V798" s="281"/>
      <c r="W798" s="281"/>
      <c r="X798" s="281"/>
      <c r="Y798" s="281"/>
      <c r="Z798" s="281"/>
      <c r="AA798" s="281"/>
      <c r="AB798" s="281"/>
      <c r="AC798" s="281"/>
      <c r="AD798" s="281"/>
      <c r="AE798" s="281"/>
    </row>
    <row r="799" spans="15:31">
      <c r="O799" s="281"/>
      <c r="P799" s="281"/>
      <c r="Q799" s="281"/>
      <c r="R799" s="281"/>
      <c r="S799" s="281"/>
      <c r="T799" s="281"/>
      <c r="U799" s="281"/>
      <c r="V799" s="281"/>
      <c r="W799" s="281"/>
      <c r="X799" s="281"/>
      <c r="Y799" s="281"/>
      <c r="Z799" s="281"/>
      <c r="AA799" s="281"/>
      <c r="AB799" s="281"/>
      <c r="AC799" s="281"/>
      <c r="AD799" s="281"/>
      <c r="AE799" s="281"/>
    </row>
    <row r="800" spans="15:31">
      <c r="O800" s="281"/>
      <c r="P800" s="281"/>
      <c r="Q800" s="281"/>
      <c r="R800" s="281"/>
      <c r="S800" s="281"/>
      <c r="T800" s="281"/>
      <c r="U800" s="281"/>
      <c r="V800" s="281"/>
      <c r="W800" s="281"/>
      <c r="X800" s="281"/>
      <c r="Y800" s="281"/>
      <c r="Z800" s="281"/>
      <c r="AA800" s="281"/>
      <c r="AB800" s="281"/>
      <c r="AC800" s="281"/>
      <c r="AD800" s="281"/>
      <c r="AE800" s="281"/>
    </row>
    <row r="801" spans="15:31">
      <c r="O801" s="281"/>
      <c r="P801" s="281"/>
      <c r="Q801" s="281"/>
      <c r="R801" s="281"/>
      <c r="S801" s="281"/>
      <c r="T801" s="281"/>
      <c r="U801" s="281"/>
      <c r="V801" s="281"/>
      <c r="W801" s="281"/>
      <c r="X801" s="281"/>
      <c r="Y801" s="281"/>
      <c r="Z801" s="281"/>
      <c r="AA801" s="281"/>
      <c r="AB801" s="281"/>
      <c r="AC801" s="281"/>
      <c r="AD801" s="281"/>
      <c r="AE801" s="281"/>
    </row>
    <row r="802" spans="15:31">
      <c r="O802" s="281"/>
      <c r="P802" s="281"/>
      <c r="Q802" s="281"/>
      <c r="R802" s="281"/>
      <c r="S802" s="281"/>
      <c r="T802" s="281"/>
      <c r="U802" s="281"/>
      <c r="V802" s="281"/>
      <c r="W802" s="281"/>
      <c r="X802" s="281"/>
      <c r="Y802" s="281"/>
      <c r="Z802" s="281"/>
      <c r="AA802" s="281"/>
      <c r="AB802" s="281"/>
      <c r="AC802" s="281"/>
      <c r="AD802" s="281"/>
      <c r="AE802" s="281"/>
    </row>
    <row r="803" spans="15:31">
      <c r="O803" s="281"/>
      <c r="P803" s="281"/>
      <c r="Q803" s="281"/>
      <c r="R803" s="281"/>
      <c r="S803" s="281"/>
      <c r="T803" s="281"/>
      <c r="U803" s="281"/>
      <c r="V803" s="281"/>
      <c r="W803" s="281"/>
      <c r="X803" s="281"/>
      <c r="Y803" s="281"/>
      <c r="Z803" s="281"/>
      <c r="AA803" s="281"/>
      <c r="AB803" s="281"/>
      <c r="AC803" s="281"/>
      <c r="AD803" s="281"/>
      <c r="AE803" s="281"/>
    </row>
    <row r="804" spans="15:31">
      <c r="O804" s="281"/>
      <c r="P804" s="281"/>
      <c r="Q804" s="281"/>
      <c r="R804" s="281"/>
      <c r="S804" s="281"/>
      <c r="T804" s="281"/>
      <c r="U804" s="281"/>
      <c r="V804" s="281"/>
      <c r="W804" s="281"/>
      <c r="X804" s="281"/>
      <c r="Y804" s="281"/>
      <c r="Z804" s="281"/>
      <c r="AA804" s="281"/>
      <c r="AB804" s="281"/>
      <c r="AC804" s="281"/>
      <c r="AD804" s="281"/>
      <c r="AE804" s="281"/>
    </row>
    <row r="805" spans="15:31">
      <c r="O805" s="281"/>
      <c r="P805" s="281"/>
      <c r="Q805" s="281"/>
      <c r="R805" s="281"/>
      <c r="S805" s="281"/>
      <c r="T805" s="281"/>
      <c r="U805" s="281"/>
      <c r="V805" s="281"/>
      <c r="W805" s="281"/>
      <c r="X805" s="281"/>
      <c r="Y805" s="281"/>
      <c r="Z805" s="281"/>
      <c r="AA805" s="281"/>
      <c r="AB805" s="281"/>
      <c r="AC805" s="281"/>
      <c r="AD805" s="281"/>
      <c r="AE805" s="281"/>
    </row>
    <row r="806" spans="15:31">
      <c r="O806" s="281"/>
      <c r="P806" s="281"/>
      <c r="Q806" s="281"/>
      <c r="R806" s="281"/>
      <c r="S806" s="281"/>
      <c r="T806" s="281"/>
      <c r="U806" s="281"/>
      <c r="V806" s="281"/>
      <c r="W806" s="281"/>
      <c r="X806" s="281"/>
      <c r="Y806" s="281"/>
      <c r="Z806" s="281"/>
      <c r="AA806" s="281"/>
      <c r="AB806" s="281"/>
      <c r="AC806" s="281"/>
      <c r="AD806" s="281"/>
      <c r="AE806" s="281"/>
    </row>
    <row r="807" spans="15:31">
      <c r="O807" s="281"/>
      <c r="P807" s="281"/>
      <c r="Q807" s="281"/>
      <c r="R807" s="281"/>
      <c r="S807" s="281"/>
      <c r="T807" s="281"/>
      <c r="U807" s="281"/>
      <c r="V807" s="281"/>
      <c r="W807" s="281"/>
      <c r="X807" s="281"/>
      <c r="Y807" s="281"/>
      <c r="Z807" s="281"/>
      <c r="AA807" s="281"/>
      <c r="AB807" s="281"/>
      <c r="AC807" s="281"/>
      <c r="AD807" s="281"/>
      <c r="AE807" s="281"/>
    </row>
    <row r="808" spans="15:31">
      <c r="O808" s="281"/>
      <c r="P808" s="281"/>
      <c r="Q808" s="281"/>
      <c r="R808" s="281"/>
      <c r="S808" s="281"/>
      <c r="T808" s="281"/>
      <c r="U808" s="281"/>
      <c r="V808" s="281"/>
      <c r="W808" s="281"/>
      <c r="X808" s="281"/>
      <c r="Y808" s="281"/>
      <c r="Z808" s="281"/>
      <c r="AA808" s="281"/>
      <c r="AB808" s="281"/>
      <c r="AC808" s="281"/>
      <c r="AD808" s="281"/>
      <c r="AE808" s="281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IRS Strip</vt:lpstr>
      <vt:lpstr>Option</vt:lpstr>
      <vt:lpstr>CDS Strip</vt:lpstr>
      <vt:lpstr>Fwd Intensity</vt:lpstr>
      <vt:lpstr>CDS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2024-07-05T15:56:51Z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