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219" documentId="8_{F39F97B3-7859-4F5B-B7B2-FE17138186CF}" xr6:coauthVersionLast="47" xr6:coauthVersionMax="47" xr10:uidLastSave="{51DB5784-78D7-4EA0-8548-CDBC28811C74}"/>
  <bookViews>
    <workbookView xWindow="-110" yWindow="-110" windowWidth="19420" windowHeight="10300" activeTab="1" xr2:uid="{00000000-000D-0000-FFFF-FFFF00000000}"/>
  </bookViews>
  <sheets>
    <sheet name="Equity" sheetId="1" r:id="rId1"/>
    <sheet name="Pricing" sheetId="2" r:id="rId2"/>
    <sheet name="CD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3" l="1" a="1"/>
  <c r="N7" i="3" s="1"/>
  <c r="C3" i="2"/>
  <c r="C27" i="1"/>
  <c r="D27" i="1"/>
  <c r="E27" i="1"/>
  <c r="F27" i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G27" i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K27" i="1"/>
  <c r="L27" i="1"/>
  <c r="M27" i="1"/>
  <c r="N27" i="1"/>
  <c r="O27" i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Q27" i="1"/>
  <c r="C28" i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D28" i="1"/>
  <c r="E28" i="1"/>
  <c r="G28" i="1"/>
  <c r="I28" i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K28" i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L28" i="1"/>
  <c r="M28" i="1"/>
  <c r="N28" i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O28" i="1"/>
  <c r="Q28" i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D29" i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E29" i="1"/>
  <c r="G29" i="1"/>
  <c r="L29" i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M29" i="1"/>
  <c r="O29" i="1"/>
  <c r="E30" i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30" i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M30" i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30" i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B28" i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27" i="1"/>
  <c r="D26" i="1"/>
  <c r="E26" i="1" s="1"/>
  <c r="F26" i="1" s="1"/>
  <c r="G26" i="1" s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C26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9" i="1"/>
  <c r="A8" i="1"/>
  <c r="A7" i="1"/>
  <c r="A6" i="1"/>
  <c r="A5" i="1"/>
  <c r="P7" i="3" a="1"/>
  <c r="T15" i="3" a="1"/>
  <c r="S9" i="3" a="1"/>
  <c r="Q15" i="3" a="1"/>
  <c r="V15" i="3" a="1"/>
  <c r="N10" i="3" a="1"/>
  <c r="Q11" i="3" a="1"/>
  <c r="P10" i="3" a="1"/>
  <c r="U11" i="3" a="1"/>
  <c r="N14" i="3" a="1"/>
  <c r="T14" i="3" a="1"/>
  <c r="R12" i="3" a="1"/>
  <c r="P9" i="3" a="1"/>
  <c r="P15" i="3" a="1"/>
  <c r="W11" i="3" a="1"/>
  <c r="O8" i="3" a="1"/>
  <c r="O7" i="3" a="1"/>
  <c r="S14" i="3" a="1"/>
  <c r="O14" i="3" a="1"/>
  <c r="V9" i="3" a="1"/>
  <c r="U7" i="3" a="1"/>
  <c r="R15" i="3" a="1"/>
  <c r="V12" i="3" a="1"/>
  <c r="Q13" i="3" a="1"/>
  <c r="T11" i="3" a="1"/>
  <c r="S7" i="3" a="1"/>
  <c r="W15" i="3" a="1"/>
  <c r="T8" i="3" a="1"/>
  <c r="W9" i="3" a="1"/>
  <c r="V7" i="3" a="1"/>
  <c r="R14" i="3" a="1"/>
  <c r="Q9" i="3" a="1"/>
  <c r="T10" i="3" a="1"/>
  <c r="Q8" i="3" a="1"/>
  <c r="T12" i="3" a="1"/>
  <c r="S12" i="3" a="1"/>
  <c r="V8" i="3" a="1"/>
  <c r="P14" i="3" a="1"/>
  <c r="Q7" i="3" a="1"/>
  <c r="W8" i="3" a="1"/>
  <c r="R7" i="3" a="1"/>
  <c r="Q10" i="3" a="1"/>
  <c r="O11" i="3" a="1"/>
  <c r="N11" i="3" a="1"/>
  <c r="O10" i="3" a="1"/>
  <c r="P13" i="3" a="1"/>
  <c r="N9" i="3" a="1"/>
  <c r="R10" i="3" a="1"/>
  <c r="V14" i="3" a="1"/>
  <c r="R13" i="3" a="1"/>
  <c r="S10" i="3" a="1"/>
  <c r="R9" i="3" a="1"/>
  <c r="O15" i="3" a="1"/>
  <c r="N15" i="3" a="1"/>
  <c r="T13" i="3" a="1"/>
  <c r="W13" i="3" a="1"/>
  <c r="U10" i="3" a="1"/>
  <c r="V10" i="3" a="1"/>
  <c r="R8" i="3" a="1"/>
  <c r="U13" i="3" a="1"/>
  <c r="Q14" i="3" a="1"/>
  <c r="O9" i="3" a="1"/>
  <c r="Q12" i="3" a="1"/>
  <c r="N13" i="3" a="1"/>
  <c r="W10" i="3" a="1"/>
  <c r="W12" i="3" a="1"/>
  <c r="V13" i="3" a="1"/>
  <c r="U15" i="3" a="1"/>
  <c r="O13" i="3" a="1"/>
  <c r="W7" i="3" a="1"/>
  <c r="O12" i="3" a="1"/>
  <c r="U12" i="3" a="1"/>
  <c r="T7" i="3" a="1"/>
  <c r="S15" i="3" a="1"/>
  <c r="P8" i="3" a="1"/>
  <c r="W14" i="3" a="1"/>
  <c r="P12" i="3" a="1"/>
  <c r="N12" i="3" a="1"/>
  <c r="N8" i="3" a="1"/>
  <c r="T9" i="3" a="1"/>
  <c r="V11" i="3" a="1"/>
  <c r="U9" i="3" a="1"/>
  <c r="R11" i="3" a="1"/>
  <c r="S11" i="3" a="1"/>
  <c r="P11" i="3" a="1"/>
  <c r="U8" i="3" a="1"/>
  <c r="S8" i="3" a="1"/>
  <c r="U14" i="3" a="1"/>
  <c r="S13" i="3" a="1"/>
  <c r="F3" i="2" a="1"/>
  <c r="F2" i="2" a="1"/>
  <c r="F3" i="2" l="1"/>
  <c r="F2" i="2"/>
  <c r="U8" i="3"/>
  <c r="S14" i="3"/>
  <c r="W11" i="3"/>
  <c r="R7" i="3"/>
  <c r="P14" i="3"/>
  <c r="T10" i="3"/>
  <c r="O7" i="3"/>
  <c r="W15" i="3"/>
  <c r="O15" i="3"/>
  <c r="V12" i="3"/>
  <c r="V11" i="3"/>
  <c r="Q8" i="3"/>
  <c r="O14" i="3"/>
  <c r="S11" i="3"/>
  <c r="S10" i="3"/>
  <c r="W7" i="3"/>
  <c r="V15" i="3"/>
  <c r="W14" i="3"/>
  <c r="U13" i="3"/>
  <c r="U12" i="3"/>
  <c r="P10" i="3"/>
  <c r="P9" i="3"/>
  <c r="Q12" i="3"/>
  <c r="U9" i="3"/>
  <c r="R15" i="3"/>
  <c r="W10" i="3"/>
  <c r="R8" i="3"/>
  <c r="P13" i="3"/>
  <c r="T9" i="3"/>
  <c r="Q9" i="3"/>
  <c r="R12" i="3"/>
  <c r="R11" i="3"/>
  <c r="V8" i="3"/>
  <c r="V7" i="3"/>
  <c r="S15" i="3"/>
  <c r="T14" i="3"/>
  <c r="T13" i="3"/>
  <c r="O11" i="3"/>
  <c r="O10" i="3"/>
  <c r="S7" i="3"/>
  <c r="Q13" i="3"/>
  <c r="U15" i="3"/>
  <c r="Q15" i="3"/>
  <c r="V14" i="3"/>
  <c r="R14" i="3"/>
  <c r="W13" i="3"/>
  <c r="S13" i="3"/>
  <c r="O13" i="3"/>
  <c r="T12" i="3"/>
  <c r="P12" i="3"/>
  <c r="U11" i="3"/>
  <c r="Q11" i="3"/>
  <c r="V10" i="3"/>
  <c r="R10" i="3"/>
  <c r="W9" i="3"/>
  <c r="S9" i="3"/>
  <c r="O9" i="3"/>
  <c r="T8" i="3"/>
  <c r="P8" i="3"/>
  <c r="U7" i="3"/>
  <c r="Q7" i="3"/>
  <c r="T15" i="3"/>
  <c r="P15" i="3"/>
  <c r="U14" i="3"/>
  <c r="Q14" i="3"/>
  <c r="V13" i="3"/>
  <c r="R13" i="3"/>
  <c r="W12" i="3"/>
  <c r="S12" i="3"/>
  <c r="O12" i="3"/>
  <c r="T11" i="3"/>
  <c r="P11" i="3"/>
  <c r="U10" i="3"/>
  <c r="Q10" i="3"/>
  <c r="V9" i="3"/>
  <c r="R9" i="3"/>
  <c r="W8" i="3"/>
  <c r="S8" i="3"/>
  <c r="O8" i="3"/>
  <c r="T7" i="3"/>
  <c r="P7" i="3"/>
  <c r="N15" i="3"/>
  <c r="N11" i="3"/>
  <c r="N14" i="3"/>
  <c r="N13" i="3"/>
  <c r="N10" i="3"/>
  <c r="N9" i="3"/>
  <c r="N12" i="3"/>
  <c r="N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<sst xmlns="http://schemas.openxmlformats.org/spreadsheetml/2006/main" count="62" uniqueCount="39">
  <si>
    <t>CAC40</t>
  </si>
  <si>
    <t>DATE</t>
  </si>
  <si>
    <t>Repo</t>
  </si>
  <si>
    <t>Date</t>
  </si>
  <si>
    <t>Dividende</t>
  </si>
  <si>
    <t>Underlying</t>
  </si>
  <si>
    <t>Maturity</t>
  </si>
  <si>
    <t>Strike</t>
  </si>
  <si>
    <t>Price</t>
  </si>
  <si>
    <t>Delta</t>
  </si>
  <si>
    <t>Vega</t>
  </si>
  <si>
    <t>Theta</t>
  </si>
  <si>
    <t>Gamma</t>
  </si>
  <si>
    <t>Nominal</t>
  </si>
  <si>
    <t>Recovery rate</t>
  </si>
  <si>
    <t>3M</t>
  </si>
  <si>
    <t>6M</t>
  </si>
  <si>
    <t>9M</t>
  </si>
  <si>
    <t>1Y</t>
  </si>
  <si>
    <t>3Y</t>
  </si>
  <si>
    <t>5Y</t>
  </si>
  <si>
    <t>7Y</t>
  </si>
  <si>
    <t>10Y</t>
  </si>
  <si>
    <t>20Y</t>
  </si>
  <si>
    <t>30Y</t>
  </si>
  <si>
    <t>Issuer 1</t>
  </si>
  <si>
    <t>Issuer 2</t>
  </si>
  <si>
    <t>Issuer 3</t>
  </si>
  <si>
    <t>Issuer 4</t>
  </si>
  <si>
    <t>Issuer 5</t>
  </si>
  <si>
    <t>Issuer 6</t>
  </si>
  <si>
    <t>Issuer 7</t>
  </si>
  <si>
    <t>Issuer 8</t>
  </si>
  <si>
    <t>Issuer 9</t>
  </si>
  <si>
    <t>CDS Spread</t>
  </si>
  <si>
    <t>Probability of Default</t>
  </si>
  <si>
    <t>118.5</t>
  </si>
  <si>
    <t>FTSE</t>
  </si>
  <si>
    <t>SP500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</si>
</sst>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1" fillId="3" borderId="0" xfId="0" applyFont="1" applyFill="1"/>
    <xf numFmtId="0" fontId="1" fillId="0" borderId="0" xfId="0" applyFont="1"/>
    <xf numFmtId="0" fontId="1" fillId="4" borderId="0" xfId="0" applyFont="1" applyFill="1"/>
    <xf numFmtId="0" fontId="1" fillId="5" borderId="0" xfId="0" applyFont="1" applyFill="1"/>
    <xf numFmtId="9" fontId="0" fillId="0" borderId="0" xfId="0" applyNumberFormat="1"/>
    <xf numFmtId="0" fontId="1" fillId="6" borderId="0" xfId="0" applyFont="1" applyFill="1"/>
    <xf numFmtId="0" fontId="0" fillId="6" borderId="0" xfId="0" applyFill="1"/>
    <xf numFmtId="14" fontId="1" fillId="2" borderId="0" xfId="0" applyNumberFormat="1" applyFont="1" applyFill="1"/>
    <xf numFmtId="14" fontId="0" fillId="4" borderId="0" xfId="0" applyNumberFormat="1" applyFill="1"/>
    <xf numFmtId="0" fontId="0" fillId="4" borderId="0" xfId="0" applyFill="1"/>
    <xf numFmtId="14" fontId="0" fillId="7" borderId="0" xfId="0" applyNumberFormat="1" applyFill="1"/>
    <xf numFmtId="0" fontId="0" fillId="7" borderId="0" xfId="0" applyFill="1"/>
    <xf numFmtId="2" fontId="0" fillId="0" borderId="0" xfId="0" applyNumberFormat="1"/>
    <xf numFmtId="14" fontId="1" fillId="3" borderId="0" xfId="0" applyNumberFormat="1" applyFont="1" applyFill="1"/>
    <xf numFmtId="0" fontId="1" fillId="0" borderId="0" xfId="0" applyFont="1" applyAlignment="1">
      <alignment horizontal="center"/>
    </xf>
    <xf numFmtId="0" fontId="1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571500</xdr:colOff>
      <xdr:row>6</xdr:row>
      <xdr:rowOff>88900</xdr:rowOff>
    </xdr:from>
    <xdr:to>
      <xdr:col>8</xdr:col>
      <xdr:colOff>676700</xdr:colOff>
      <xdr:row>14</xdr:row>
      <xdr:rowOff>177800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20331DC-AC1F-47AF-8FF9-CFB03BBF0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6400" y="1193800"/>
          <a:ext cx="3915200" cy="1562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62"/>
  <sheetViews>
    <sheetView topLeftCell="M1" zoomScale="108" workbookViewId="0">
      <selection activeCell="U9" sqref="U9"/>
    </sheetView>
  </sheetViews>
  <sheetFormatPr baseColWidth="10" defaultColWidth="8.7265625" defaultRowHeight="14.5" x14ac:dyDescent="0.35"/>
  <cols>
    <col min="1" max="2" width="10.453125" bestFit="1" customWidth="1"/>
    <col min="19" max="19" width="10.453125" bestFit="1" customWidth="1"/>
    <col min="22" max="22" width="10.453125" bestFit="1" customWidth="1"/>
  </cols>
  <sheetData>
    <row r="1" spans="1:23" x14ac:dyDescent="0.35">
      <c r="A1" s="2" t="s">
        <v>1</v>
      </c>
      <c r="B1" s="16">
        <v>44624</v>
      </c>
    </row>
    <row r="2" spans="1:23" x14ac:dyDescent="0.35">
      <c r="A2" s="2" t="s">
        <v>0</v>
      </c>
      <c r="B2" s="3">
        <v>100</v>
      </c>
    </row>
    <row r="3" spans="1:23" x14ac:dyDescent="0.35">
      <c r="S3" s="2" t="s">
        <v>3</v>
      </c>
      <c r="T3" s="2" t="s">
        <v>2</v>
      </c>
      <c r="V3" s="2" t="s">
        <v>3</v>
      </c>
      <c r="W3" s="2" t="s">
        <v>4</v>
      </c>
    </row>
    <row r="4" spans="1:23" x14ac:dyDescent="0.35">
      <c r="B4" s="2">
        <v>50</v>
      </c>
      <c r="C4" s="2">
        <v>60</v>
      </c>
      <c r="D4" s="2">
        <v>70</v>
      </c>
      <c r="E4" s="2">
        <v>80</v>
      </c>
      <c r="F4" s="2">
        <v>90</v>
      </c>
      <c r="G4" s="2">
        <v>100</v>
      </c>
      <c r="H4" s="2">
        <v>110</v>
      </c>
      <c r="I4" s="2">
        <v>120</v>
      </c>
      <c r="J4" s="2">
        <v>130</v>
      </c>
      <c r="K4" s="2">
        <v>140</v>
      </c>
      <c r="L4" s="2">
        <v>150</v>
      </c>
      <c r="M4" s="2">
        <v>160</v>
      </c>
      <c r="N4" s="2">
        <v>170</v>
      </c>
      <c r="O4" s="2">
        <v>180</v>
      </c>
      <c r="P4" s="2">
        <v>190</v>
      </c>
      <c r="Q4" s="2">
        <v>200</v>
      </c>
      <c r="S4" s="1">
        <v>44716</v>
      </c>
      <c r="T4">
        <v>0.7089893287268495</v>
      </c>
      <c r="V4" s="1">
        <v>44716</v>
      </c>
      <c r="W4">
        <v>0.32351016124943066</v>
      </c>
    </row>
    <row r="5" spans="1:23" x14ac:dyDescent="0.35">
      <c r="A5" s="10">
        <f>EDATE(B1,3)</f>
        <v>44716</v>
      </c>
      <c r="B5">
        <v>1</v>
      </c>
      <c r="C5">
        <v>0.67505725053933696</v>
      </c>
      <c r="D5">
        <v>0.2866810854803773</v>
      </c>
      <c r="E5">
        <v>0.76120355676952922</v>
      </c>
      <c r="F5">
        <v>0.49107242996003064</v>
      </c>
      <c r="G5">
        <v>0.1687233163416979</v>
      </c>
      <c r="H5">
        <v>0.46131022117771014</v>
      </c>
      <c r="I5">
        <v>0.53113391363910345</v>
      </c>
      <c r="J5">
        <v>0.45420355800577106</v>
      </c>
      <c r="K5">
        <v>0.28251102645629178</v>
      </c>
      <c r="L5">
        <v>0.37638399154152524</v>
      </c>
      <c r="M5">
        <v>0.69615200763892349</v>
      </c>
      <c r="N5">
        <v>3.7947529748440401E-2</v>
      </c>
      <c r="O5">
        <v>0.9962179273929942</v>
      </c>
      <c r="P5">
        <v>0.75575870153618852</v>
      </c>
      <c r="Q5">
        <v>0.22825382480555112</v>
      </c>
      <c r="S5" s="1">
        <v>44808</v>
      </c>
      <c r="T5">
        <v>0.61005116867312614</v>
      </c>
      <c r="V5" s="1">
        <v>44808</v>
      </c>
      <c r="W5">
        <v>0.89268134591081361</v>
      </c>
    </row>
    <row r="6" spans="1:23" x14ac:dyDescent="0.35">
      <c r="A6" s="10">
        <f>EDATE(B1,6)</f>
        <v>44808</v>
      </c>
      <c r="B6">
        <v>0.73098973526290845</v>
      </c>
      <c r="C6">
        <v>0.84687704570910904</v>
      </c>
      <c r="D6">
        <v>7.4636248313663667E-2</v>
      </c>
      <c r="E6">
        <v>0.60997289028216606</v>
      </c>
      <c r="F6">
        <v>2.1748283378360211E-2</v>
      </c>
      <c r="G6">
        <v>0.79284621398206023</v>
      </c>
      <c r="H6">
        <v>0.65365044626167246</v>
      </c>
      <c r="I6">
        <v>2.1494027908884217E-2</v>
      </c>
      <c r="J6">
        <v>0.74058431973689254</v>
      </c>
      <c r="K6">
        <v>0.73378327983401093</v>
      </c>
      <c r="L6">
        <v>0.12461288898736522</v>
      </c>
      <c r="M6">
        <v>0.70346207595521781</v>
      </c>
      <c r="N6">
        <v>0.64726238874090436</v>
      </c>
      <c r="O6">
        <v>0.69152625810990542</v>
      </c>
      <c r="P6">
        <v>0.77247672150067148</v>
      </c>
      <c r="Q6">
        <v>0.82489932245686914</v>
      </c>
      <c r="S6" s="1">
        <v>44899</v>
      </c>
      <c r="T6">
        <v>0.60149980689503169</v>
      </c>
      <c r="V6" s="1">
        <v>44899</v>
      </c>
      <c r="W6">
        <v>0.90808954790632046</v>
      </c>
    </row>
    <row r="7" spans="1:23" x14ac:dyDescent="0.35">
      <c r="A7" s="10">
        <f>EDATE(B1,9)</f>
        <v>44899</v>
      </c>
      <c r="B7">
        <v>0.16090280753263619</v>
      </c>
      <c r="C7">
        <v>0.78144554461782934</v>
      </c>
      <c r="D7">
        <v>0.32346196578786368</v>
      </c>
      <c r="E7">
        <v>0.584209294331968</v>
      </c>
      <c r="F7">
        <v>0.19192958311630792</v>
      </c>
      <c r="G7">
        <v>0.60579693083815689</v>
      </c>
      <c r="H7">
        <v>0.68383016514316208</v>
      </c>
      <c r="I7">
        <v>0.27960676697085685</v>
      </c>
      <c r="J7">
        <v>0.1861830356526305</v>
      </c>
      <c r="K7">
        <v>0.66978234472544418</v>
      </c>
      <c r="L7">
        <v>0.17187390810078851</v>
      </c>
      <c r="M7">
        <v>0.60790955139101388</v>
      </c>
      <c r="N7">
        <v>4.3642637109265303E-2</v>
      </c>
      <c r="O7">
        <v>0.70494022691346436</v>
      </c>
      <c r="P7">
        <v>0.76728802649838679</v>
      </c>
      <c r="Q7">
        <v>0.56020390465008552</v>
      </c>
      <c r="S7" s="1">
        <v>44989</v>
      </c>
      <c r="T7">
        <v>0.96719791627739848</v>
      </c>
      <c r="V7" s="1">
        <v>44989</v>
      </c>
      <c r="W7">
        <v>0.30684569790143257</v>
      </c>
    </row>
    <row r="8" spans="1:23" x14ac:dyDescent="0.35">
      <c r="A8" s="10">
        <f>EDATE(B1,12)</f>
        <v>44989</v>
      </c>
      <c r="B8">
        <v>0.29101841852939581</v>
      </c>
      <c r="C8">
        <v>0.78618346367961967</v>
      </c>
      <c r="D8">
        <v>8.7595213503307345E-2</v>
      </c>
      <c r="E8">
        <v>0.88037017228273118</v>
      </c>
      <c r="F8">
        <v>0.3738642887604996</v>
      </c>
      <c r="G8">
        <v>0.1584261980635191</v>
      </c>
      <c r="H8">
        <v>0.22738369047031781</v>
      </c>
      <c r="I8">
        <v>0.15194347712958378</v>
      </c>
      <c r="J8">
        <v>0.1683732478350326</v>
      </c>
      <c r="K8">
        <v>0.37486718249002959</v>
      </c>
      <c r="L8">
        <v>0.32124136074199594</v>
      </c>
      <c r="M8">
        <v>0.51991572741488024</v>
      </c>
      <c r="N8">
        <v>0.15552383055839569</v>
      </c>
      <c r="O8">
        <v>0.75603402934257757</v>
      </c>
      <c r="P8">
        <v>0.74560815166910066</v>
      </c>
      <c r="Q8">
        <v>0.96174476355134342</v>
      </c>
      <c r="S8" s="1">
        <v>45355</v>
      </c>
      <c r="T8">
        <v>0.34306077988430828</v>
      </c>
      <c r="V8" s="1">
        <v>45355</v>
      </c>
      <c r="W8">
        <v>0.80195731831366035</v>
      </c>
    </row>
    <row r="9" spans="1:23" x14ac:dyDescent="0.35">
      <c r="A9" s="10">
        <f>EDATE(A8,12)</f>
        <v>45355</v>
      </c>
      <c r="B9">
        <v>0.50284707768105785</v>
      </c>
      <c r="C9">
        <v>0.44652082747780875</v>
      </c>
      <c r="D9">
        <v>0.90034754227557856</v>
      </c>
      <c r="E9">
        <v>0.93549821132897504</v>
      </c>
      <c r="F9">
        <v>0.62229544255891001</v>
      </c>
      <c r="G9">
        <v>0.83694099430646607</v>
      </c>
      <c r="H9">
        <v>0.24388557298030089</v>
      </c>
      <c r="I9">
        <v>0.47538092741184557</v>
      </c>
      <c r="J9">
        <v>0.59424974715789225</v>
      </c>
      <c r="K9">
        <v>0.85309030881884196</v>
      </c>
      <c r="L9">
        <v>0.6981141152931577</v>
      </c>
      <c r="M9">
        <v>0.6022359856119639</v>
      </c>
      <c r="N9">
        <v>8.8756234989093574E-2</v>
      </c>
      <c r="O9">
        <v>0.1641765219765613</v>
      </c>
      <c r="P9">
        <v>0.91325546001079139</v>
      </c>
      <c r="Q9">
        <v>0.24237835085758153</v>
      </c>
      <c r="S9" s="1">
        <v>45720</v>
      </c>
      <c r="T9">
        <v>0.43228296653859399</v>
      </c>
      <c r="V9" s="1">
        <v>45720</v>
      </c>
      <c r="W9">
        <v>0.82559280505821664</v>
      </c>
    </row>
    <row r="10" spans="1:23" x14ac:dyDescent="0.35">
      <c r="A10" s="10">
        <f t="shared" ref="A10:A20" si="0">EDATE(A9,12)</f>
        <v>45720</v>
      </c>
      <c r="B10">
        <v>0.90624649341312979</v>
      </c>
      <c r="C10">
        <v>0.76313053613909076</v>
      </c>
      <c r="D10">
        <v>0.60367523781573285</v>
      </c>
      <c r="E10">
        <v>0.53165420428779075</v>
      </c>
      <c r="F10">
        <v>0.67738594902767046</v>
      </c>
      <c r="G10">
        <v>0.15985195009538267</v>
      </c>
      <c r="H10">
        <v>0.81742678006175584</v>
      </c>
      <c r="I10">
        <v>0.41100741570494004</v>
      </c>
      <c r="J10">
        <v>0.34249143441210417</v>
      </c>
      <c r="K10">
        <v>0.72424517490996987</v>
      </c>
      <c r="L10">
        <v>0.54404856093612897</v>
      </c>
      <c r="M10">
        <v>0.87568428999103809</v>
      </c>
      <c r="N10">
        <v>8.790915219933948E-2</v>
      </c>
      <c r="O10">
        <v>0.78432094773737759</v>
      </c>
      <c r="P10">
        <v>0.73072459938858192</v>
      </c>
      <c r="Q10">
        <v>0.39159556896829806</v>
      </c>
      <c r="S10" s="1">
        <v>46085</v>
      </c>
      <c r="T10">
        <v>0.1755614386541452</v>
      </c>
      <c r="V10" s="1">
        <v>46085</v>
      </c>
      <c r="W10">
        <v>0.4518058844796653</v>
      </c>
    </row>
    <row r="11" spans="1:23" x14ac:dyDescent="0.35">
      <c r="A11" s="10">
        <f t="shared" si="0"/>
        <v>46085</v>
      </c>
      <c r="B11">
        <v>0.90619715316161809</v>
      </c>
      <c r="C11">
        <v>0.4321045614221265</v>
      </c>
      <c r="D11">
        <v>0.8747466579943417</v>
      </c>
      <c r="E11">
        <v>0.29757432342413248</v>
      </c>
      <c r="F11">
        <v>0.23685476795478222</v>
      </c>
      <c r="G11">
        <v>0.71955653807257736</v>
      </c>
      <c r="H11">
        <v>1.2098609304554198E-2</v>
      </c>
      <c r="I11">
        <v>0.3945203994499008</v>
      </c>
      <c r="J11">
        <v>0.71565859928355724</v>
      </c>
      <c r="K11">
        <v>0.23048859557633583</v>
      </c>
      <c r="L11">
        <v>0.98939321816127601</v>
      </c>
      <c r="M11">
        <v>0.47032028970982331</v>
      </c>
      <c r="N11">
        <v>0.15128879880812041</v>
      </c>
      <c r="O11">
        <v>0.64281531763516575</v>
      </c>
      <c r="P11">
        <v>0.28509176199677322</v>
      </c>
      <c r="Q11">
        <v>0.19490139152657404</v>
      </c>
      <c r="S11" s="1">
        <v>46450</v>
      </c>
      <c r="T11">
        <v>0.61742129631177334</v>
      </c>
      <c r="V11" s="1">
        <v>46450</v>
      </c>
      <c r="W11">
        <v>0.60798906477199643</v>
      </c>
    </row>
    <row r="12" spans="1:23" x14ac:dyDescent="0.35">
      <c r="A12" s="10">
        <f t="shared" si="0"/>
        <v>46450</v>
      </c>
      <c r="B12">
        <v>4.3673808334895647E-2</v>
      </c>
      <c r="C12">
        <v>0.84305404580772814</v>
      </c>
      <c r="D12">
        <v>0.51097944349035618</v>
      </c>
      <c r="E12">
        <v>0.28346096056602021</v>
      </c>
      <c r="F12">
        <v>0.70156706646368527</v>
      </c>
      <c r="G12">
        <v>0.27559664672985784</v>
      </c>
      <c r="H12">
        <v>0.42922646802325626</v>
      </c>
      <c r="I12">
        <v>0.63426588406711848</v>
      </c>
      <c r="J12">
        <v>3.3573572745304259E-2</v>
      </c>
      <c r="K12">
        <v>0.15943534571300588</v>
      </c>
      <c r="L12">
        <v>0.73897908101071486</v>
      </c>
      <c r="M12">
        <v>0.56101077731702897</v>
      </c>
      <c r="N12">
        <v>0.84878053796450637</v>
      </c>
      <c r="O12">
        <v>0.8532975824031247</v>
      </c>
      <c r="P12">
        <v>0.16750915189238613</v>
      </c>
      <c r="Q12">
        <v>0.36051514633941806</v>
      </c>
      <c r="S12" s="1">
        <v>46816</v>
      </c>
      <c r="T12">
        <v>0.15826323993928426</v>
      </c>
      <c r="V12" s="1">
        <v>46816</v>
      </c>
      <c r="W12">
        <v>0.89794714230654826</v>
      </c>
    </row>
    <row r="13" spans="1:23" x14ac:dyDescent="0.35">
      <c r="A13" s="10">
        <f t="shared" si="0"/>
        <v>46816</v>
      </c>
      <c r="B13">
        <v>0.14350057770469482</v>
      </c>
      <c r="C13">
        <v>0.13073619547799564</v>
      </c>
      <c r="D13">
        <v>0.80139349321354103</v>
      </c>
      <c r="E13">
        <v>0.74715318688993337</v>
      </c>
      <c r="F13">
        <v>6.6489149084369203E-2</v>
      </c>
      <c r="G13">
        <v>0.79409086889246161</v>
      </c>
      <c r="H13">
        <v>0.2389870300947472</v>
      </c>
      <c r="I13">
        <v>0.13505351942633459</v>
      </c>
      <c r="J13">
        <v>0.19960110174373213</v>
      </c>
      <c r="K13">
        <v>0.65593273034054544</v>
      </c>
      <c r="L13">
        <v>0.19439380680275864</v>
      </c>
      <c r="M13">
        <v>0.2230430609700802</v>
      </c>
      <c r="N13">
        <v>0.56744843816338142</v>
      </c>
      <c r="O13">
        <v>0.61138516914640606</v>
      </c>
      <c r="P13">
        <v>0.75295279546192084</v>
      </c>
      <c r="Q13">
        <v>0.15334673539908528</v>
      </c>
      <c r="S13" s="1">
        <v>47181</v>
      </c>
      <c r="T13">
        <v>0.32943752715968322</v>
      </c>
      <c r="V13" s="1">
        <v>47181</v>
      </c>
      <c r="W13">
        <v>0.43140805594248599</v>
      </c>
    </row>
    <row r="14" spans="1:23" x14ac:dyDescent="0.35">
      <c r="A14" s="10">
        <f t="shared" si="0"/>
        <v>47181</v>
      </c>
      <c r="B14">
        <v>0.90856009993644904</v>
      </c>
      <c r="C14">
        <v>0.37141266276963325</v>
      </c>
      <c r="D14">
        <v>0.12908261840757806</v>
      </c>
      <c r="E14">
        <v>0.14927532028912138</v>
      </c>
      <c r="F14">
        <v>0.783326148863697</v>
      </c>
      <c r="G14">
        <v>0.3125912694574744</v>
      </c>
      <c r="H14">
        <v>0.98284238172817562</v>
      </c>
      <c r="I14">
        <v>0.79129880485873316</v>
      </c>
      <c r="J14">
        <v>0.96493434500960151</v>
      </c>
      <c r="K14">
        <v>0.59248047021827566</v>
      </c>
      <c r="L14">
        <v>0.64974543338975133</v>
      </c>
      <c r="M14">
        <v>0.75501976469303023</v>
      </c>
      <c r="N14">
        <v>0.35743195382422532</v>
      </c>
      <c r="O14">
        <v>0.64114262666337929</v>
      </c>
      <c r="P14">
        <v>0.7192052500817343</v>
      </c>
      <c r="Q14">
        <v>0.75861972398171373</v>
      </c>
      <c r="S14" s="1">
        <v>47546</v>
      </c>
      <c r="T14">
        <v>0.77975005057087576</v>
      </c>
      <c r="V14" s="1">
        <v>47546</v>
      </c>
      <c r="W14">
        <v>0.63115516124099935</v>
      </c>
    </row>
    <row r="15" spans="1:23" x14ac:dyDescent="0.35">
      <c r="A15" s="10">
        <f t="shared" si="0"/>
        <v>47546</v>
      </c>
      <c r="B15">
        <v>0.4683775041386482</v>
      </c>
      <c r="C15">
        <v>4.7090763833914306E-2</v>
      </c>
      <c r="D15">
        <v>8.4440323289366015E-2</v>
      </c>
      <c r="E15">
        <v>2.8706945520683202E-2</v>
      </c>
      <c r="F15">
        <v>0.53949691360868057</v>
      </c>
      <c r="G15">
        <v>0.49323928430974551</v>
      </c>
      <c r="H15">
        <v>0.32162069460953868</v>
      </c>
      <c r="I15">
        <v>0.15508498863093212</v>
      </c>
      <c r="J15">
        <v>0.86406808884784903</v>
      </c>
      <c r="K15">
        <v>0.80542420884867671</v>
      </c>
      <c r="L15">
        <v>0.9650328845418209</v>
      </c>
      <c r="M15">
        <v>0.11709401030906741</v>
      </c>
      <c r="N15">
        <v>0.17998505345490745</v>
      </c>
      <c r="O15">
        <v>9.4350002834578617E-2</v>
      </c>
      <c r="P15">
        <v>5.4692343253395115E-2</v>
      </c>
      <c r="Q15">
        <v>0.23156059767228854</v>
      </c>
      <c r="S15" s="1">
        <v>47911</v>
      </c>
      <c r="T15">
        <v>0.72901298182875596</v>
      </c>
      <c r="V15" s="1">
        <v>47911</v>
      </c>
      <c r="W15">
        <v>0.87997006848486958</v>
      </c>
    </row>
    <row r="16" spans="1:23" x14ac:dyDescent="0.35">
      <c r="A16" s="10">
        <f t="shared" si="0"/>
        <v>47911</v>
      </c>
      <c r="B16">
        <v>3.2584811668802338E-2</v>
      </c>
      <c r="C16">
        <v>0.49326208398412175</v>
      </c>
      <c r="D16">
        <v>0.27432978634857386</v>
      </c>
      <c r="E16">
        <v>0.8148812790311224</v>
      </c>
      <c r="F16">
        <v>0.28525000595510175</v>
      </c>
      <c r="G16">
        <v>0.8457649971110196</v>
      </c>
      <c r="H16">
        <v>0.9224353571341577</v>
      </c>
      <c r="I16">
        <v>0.19481636210364262</v>
      </c>
      <c r="J16">
        <v>0.10694969325835113</v>
      </c>
      <c r="K16">
        <v>0.79057803247795244</v>
      </c>
      <c r="L16">
        <v>0.10062802899262113</v>
      </c>
      <c r="M16">
        <v>0.66788400661685887</v>
      </c>
      <c r="N16">
        <v>0.27948722943642479</v>
      </c>
      <c r="O16">
        <v>0.32669100375016402</v>
      </c>
      <c r="P16">
        <v>0.73251446517257102</v>
      </c>
      <c r="Q16">
        <v>0.47067811864427622</v>
      </c>
      <c r="S16" s="1">
        <v>48277</v>
      </c>
      <c r="T16">
        <v>0.63942883530635497</v>
      </c>
      <c r="V16" s="1">
        <v>48277</v>
      </c>
      <c r="W16">
        <v>0.81901022289130709</v>
      </c>
    </row>
    <row r="17" spans="1:23" x14ac:dyDescent="0.35">
      <c r="A17" s="10">
        <f t="shared" si="0"/>
        <v>48277</v>
      </c>
      <c r="B17">
        <v>0.67158212585941346</v>
      </c>
      <c r="C17">
        <v>0.4393069884857429</v>
      </c>
      <c r="D17">
        <v>0.98331340117396515</v>
      </c>
      <c r="E17">
        <v>0.79772936573240105</v>
      </c>
      <c r="F17">
        <v>0.31693815062307396</v>
      </c>
      <c r="G17">
        <v>0.33402723435253212</v>
      </c>
      <c r="H17">
        <v>0.1920023815261287</v>
      </c>
      <c r="I17">
        <v>9.1823426589648816E-2</v>
      </c>
      <c r="J17">
        <v>0.1837218954140476</v>
      </c>
      <c r="K17">
        <v>0.61402978231813876</v>
      </c>
      <c r="L17">
        <v>0.90870322127165548</v>
      </c>
      <c r="M17">
        <v>0.54741973401147992</v>
      </c>
      <c r="N17">
        <v>0.10677734970681318</v>
      </c>
      <c r="O17">
        <v>0.43048251979478902</v>
      </c>
      <c r="P17">
        <v>6.4674224634026056E-2</v>
      </c>
      <c r="Q17">
        <v>0.95859753249029866</v>
      </c>
      <c r="S17" s="1">
        <v>48642</v>
      </c>
      <c r="T17">
        <v>0.25209220278698818</v>
      </c>
      <c r="V17" s="1">
        <v>48642</v>
      </c>
      <c r="W17">
        <v>0.71744752493135822</v>
      </c>
    </row>
    <row r="18" spans="1:23" x14ac:dyDescent="0.35">
      <c r="A18" s="10">
        <f t="shared" si="0"/>
        <v>48642</v>
      </c>
      <c r="B18">
        <v>0.91037897101168663</v>
      </c>
      <c r="C18">
        <v>0.71535031958756157</v>
      </c>
      <c r="D18">
        <v>0.58241812755772349</v>
      </c>
      <c r="E18">
        <v>0.83349965089529621</v>
      </c>
      <c r="F18">
        <v>0.32759933687310272</v>
      </c>
      <c r="G18">
        <v>0.68027779356190332</v>
      </c>
      <c r="H18">
        <v>0.70650756230774192</v>
      </c>
      <c r="I18">
        <v>0.1850102991462711</v>
      </c>
      <c r="J18">
        <v>0.79379820433200943</v>
      </c>
      <c r="K18">
        <v>0.82881267354358379</v>
      </c>
      <c r="L18">
        <v>0.61817122155033566</v>
      </c>
      <c r="M18">
        <v>0.68525455172883964</v>
      </c>
      <c r="N18">
        <v>0.55564187743457494</v>
      </c>
      <c r="O18">
        <v>3.7114945585850267E-2</v>
      </c>
      <c r="P18">
        <v>0.67510101413971746</v>
      </c>
      <c r="Q18">
        <v>0.282885217356033</v>
      </c>
      <c r="S18" s="1">
        <v>49007</v>
      </c>
      <c r="T18">
        <v>0.75409063551871247</v>
      </c>
      <c r="V18" s="1">
        <v>49007</v>
      </c>
      <c r="W18">
        <v>0.56076446738737895</v>
      </c>
    </row>
    <row r="19" spans="1:23" x14ac:dyDescent="0.35">
      <c r="A19" s="10">
        <f t="shared" si="0"/>
        <v>49007</v>
      </c>
      <c r="B19">
        <v>0.19263422197307345</v>
      </c>
      <c r="C19">
        <v>0.60271748111041412</v>
      </c>
      <c r="D19">
        <v>0.51530764977197119</v>
      </c>
      <c r="E19">
        <v>0.27566313670698728</v>
      </c>
      <c r="F19">
        <v>7.8451178265791732E-2</v>
      </c>
      <c r="G19">
        <v>0.79565584234833198</v>
      </c>
      <c r="H19">
        <v>0.80201805173430074</v>
      </c>
      <c r="I19">
        <v>0.50077348930318077</v>
      </c>
      <c r="J19">
        <v>0.89213680213486435</v>
      </c>
      <c r="K19">
        <v>0.52436802282991613</v>
      </c>
      <c r="L19">
        <v>0.39224202805753827</v>
      </c>
      <c r="M19">
        <v>0.64237604727600184</v>
      </c>
      <c r="N19">
        <v>0.64561241977566253</v>
      </c>
      <c r="O19">
        <v>0.23696883094369203</v>
      </c>
      <c r="P19">
        <v>0.75235554742106048</v>
      </c>
      <c r="Q19">
        <v>0.60723987103269772</v>
      </c>
      <c r="S19" s="1">
        <v>49372</v>
      </c>
      <c r="T19">
        <v>0.38312509356304159</v>
      </c>
      <c r="V19" s="1">
        <v>49372</v>
      </c>
      <c r="W19">
        <v>0.23149367144436395</v>
      </c>
    </row>
    <row r="20" spans="1:23" x14ac:dyDescent="0.35">
      <c r="A20" s="10">
        <f t="shared" si="0"/>
        <v>49372</v>
      </c>
      <c r="B20">
        <v>0.28417939893387201</v>
      </c>
      <c r="C20">
        <v>0.97559370725452343</v>
      </c>
      <c r="D20">
        <v>0.56892036998539186</v>
      </c>
      <c r="E20">
        <v>0.95903242773320663</v>
      </c>
      <c r="F20">
        <v>0.15081874539094831</v>
      </c>
      <c r="G20">
        <v>0.41350651206253275</v>
      </c>
      <c r="H20">
        <v>0.13406185524224268</v>
      </c>
      <c r="I20">
        <v>0.84153245621974426</v>
      </c>
      <c r="J20">
        <v>7.8964554637989126E-2</v>
      </c>
      <c r="K20">
        <v>0.54308154565985856</v>
      </c>
      <c r="L20">
        <v>0.41097422682105933</v>
      </c>
      <c r="M20">
        <v>0.24715356346598216</v>
      </c>
      <c r="N20">
        <v>0.77832964332861743</v>
      </c>
      <c r="O20">
        <v>0.98881263139853914</v>
      </c>
      <c r="P20">
        <v>0.96679795121644874</v>
      </c>
      <c r="Q20">
        <v>0.40815507907771931</v>
      </c>
      <c r="S20" s="1">
        <v>49738</v>
      </c>
      <c r="T20">
        <v>0.79347798323888619</v>
      </c>
      <c r="V20" s="1">
        <v>49738</v>
      </c>
      <c r="W20">
        <v>0.66459564944319793</v>
      </c>
    </row>
    <row r="22" spans="1:23" x14ac:dyDescent="0.35">
      <c r="A22" s="12" t="s">
        <v>1</v>
      </c>
      <c r="B22" s="13">
        <v>44624</v>
      </c>
    </row>
    <row r="23" spans="1:23" x14ac:dyDescent="0.35">
      <c r="A23" s="12" t="s">
        <v>37</v>
      </c>
      <c r="B23" s="14">
        <v>150</v>
      </c>
      <c r="E23" s="15"/>
    </row>
    <row r="24" spans="1:23" x14ac:dyDescent="0.35">
      <c r="S24" s="12" t="s">
        <v>3</v>
      </c>
      <c r="T24" s="12" t="s">
        <v>2</v>
      </c>
      <c r="V24" s="12" t="s">
        <v>3</v>
      </c>
      <c r="W24" s="12" t="s">
        <v>4</v>
      </c>
    </row>
    <row r="25" spans="1:23" x14ac:dyDescent="0.35">
      <c r="B25" s="12">
        <v>50</v>
      </c>
      <c r="C25" s="12">
        <v>60</v>
      </c>
      <c r="D25" s="12">
        <v>70</v>
      </c>
      <c r="E25" s="12">
        <v>80</v>
      </c>
      <c r="F25" s="12">
        <v>90</v>
      </c>
      <c r="G25" s="12">
        <v>100</v>
      </c>
      <c r="H25" s="12">
        <v>110</v>
      </c>
      <c r="I25" s="12">
        <v>120</v>
      </c>
      <c r="J25" s="12">
        <v>130</v>
      </c>
      <c r="K25" s="12">
        <v>140</v>
      </c>
      <c r="L25" s="12">
        <v>150</v>
      </c>
      <c r="M25" s="12">
        <v>160</v>
      </c>
      <c r="N25" s="12">
        <v>170</v>
      </c>
      <c r="O25" s="12">
        <v>180</v>
      </c>
      <c r="P25" s="12">
        <v>190</v>
      </c>
      <c r="Q25" s="12">
        <v>200</v>
      </c>
      <c r="S25" s="1">
        <v>44716</v>
      </c>
      <c r="T25">
        <v>0.7089893287268495</v>
      </c>
      <c r="V25" s="1">
        <v>44716</v>
      </c>
      <c r="W25">
        <v>0.32351016124943066</v>
      </c>
    </row>
    <row r="26" spans="1:23" x14ac:dyDescent="0.35">
      <c r="A26" s="11">
        <v>44716</v>
      </c>
      <c r="B26">
        <v>2</v>
      </c>
      <c r="C26">
        <f>B26+1</f>
        <v>3</v>
      </c>
      <c r="D26">
        <f t="shared" ref="D26:Q26" si="1">C26+1</f>
        <v>4</v>
      </c>
      <c r="E26">
        <f t="shared" si="1"/>
        <v>5</v>
      </c>
      <c r="F26">
        <f t="shared" si="1"/>
        <v>6</v>
      </c>
      <c r="G26">
        <f t="shared" si="1"/>
        <v>7</v>
      </c>
      <c r="H26">
        <f t="shared" si="1"/>
        <v>8</v>
      </c>
      <c r="I26">
        <f t="shared" si="1"/>
        <v>9</v>
      </c>
      <c r="J26">
        <f t="shared" si="1"/>
        <v>10</v>
      </c>
      <c r="K26">
        <f t="shared" si="1"/>
        <v>11</v>
      </c>
      <c r="L26">
        <f t="shared" si="1"/>
        <v>12</v>
      </c>
      <c r="M26">
        <f t="shared" si="1"/>
        <v>13</v>
      </c>
      <c r="N26">
        <f t="shared" si="1"/>
        <v>14</v>
      </c>
      <c r="O26">
        <f t="shared" si="1"/>
        <v>15</v>
      </c>
      <c r="P26">
        <f t="shared" si="1"/>
        <v>16</v>
      </c>
      <c r="Q26">
        <f t="shared" si="1"/>
        <v>17</v>
      </c>
      <c r="S26" s="1">
        <v>44808</v>
      </c>
      <c r="T26">
        <v>0.61005116867312614</v>
      </c>
      <c r="V26" s="1">
        <v>44808</v>
      </c>
      <c r="W26">
        <v>0.89268134591081361</v>
      </c>
    </row>
    <row r="27" spans="1:23" x14ac:dyDescent="0.35">
      <c r="A27" s="11">
        <v>44808</v>
      </c>
      <c r="B27">
        <f>B26+16</f>
        <v>18</v>
      </c>
      <c r="C27">
        <f t="shared" ref="C27:Q41" si="2">C26+16</f>
        <v>19</v>
      </c>
      <c r="D27">
        <f t="shared" si="2"/>
        <v>20</v>
      </c>
      <c r="E27">
        <f t="shared" si="2"/>
        <v>21</v>
      </c>
      <c r="F27">
        <f t="shared" si="2"/>
        <v>22</v>
      </c>
      <c r="G27">
        <f t="shared" si="2"/>
        <v>23</v>
      </c>
      <c r="H27">
        <f t="shared" si="2"/>
        <v>24</v>
      </c>
      <c r="I27">
        <f t="shared" si="2"/>
        <v>25</v>
      </c>
      <c r="J27">
        <f t="shared" si="2"/>
        <v>26</v>
      </c>
      <c r="K27">
        <f t="shared" si="2"/>
        <v>27</v>
      </c>
      <c r="L27">
        <f t="shared" si="2"/>
        <v>28</v>
      </c>
      <c r="M27">
        <f t="shared" si="2"/>
        <v>29</v>
      </c>
      <c r="N27">
        <f t="shared" si="2"/>
        <v>30</v>
      </c>
      <c r="O27">
        <f t="shared" si="2"/>
        <v>31</v>
      </c>
      <c r="P27">
        <f t="shared" si="2"/>
        <v>32</v>
      </c>
      <c r="Q27">
        <f t="shared" si="2"/>
        <v>33</v>
      </c>
      <c r="S27" s="1">
        <v>44899</v>
      </c>
      <c r="T27">
        <v>0.60149980689503169</v>
      </c>
      <c r="V27" s="1">
        <v>44899</v>
      </c>
      <c r="W27">
        <v>0.90808954790632046</v>
      </c>
    </row>
    <row r="28" spans="1:23" x14ac:dyDescent="0.35">
      <c r="A28" s="11">
        <v>44899</v>
      </c>
      <c r="B28">
        <f t="shared" ref="B28:B41" si="3">B27+16</f>
        <v>34</v>
      </c>
      <c r="C28">
        <f t="shared" si="2"/>
        <v>35</v>
      </c>
      <c r="D28">
        <f t="shared" si="2"/>
        <v>36</v>
      </c>
      <c r="E28">
        <f t="shared" si="2"/>
        <v>37</v>
      </c>
      <c r="F28">
        <f t="shared" si="2"/>
        <v>38</v>
      </c>
      <c r="G28">
        <f t="shared" si="2"/>
        <v>39</v>
      </c>
      <c r="H28">
        <f t="shared" si="2"/>
        <v>40</v>
      </c>
      <c r="I28">
        <f t="shared" si="2"/>
        <v>41</v>
      </c>
      <c r="J28">
        <f t="shared" si="2"/>
        <v>42</v>
      </c>
      <c r="K28">
        <f t="shared" si="2"/>
        <v>43</v>
      </c>
      <c r="L28">
        <f t="shared" si="2"/>
        <v>44</v>
      </c>
      <c r="M28">
        <f t="shared" si="2"/>
        <v>45</v>
      </c>
      <c r="N28">
        <f t="shared" si="2"/>
        <v>46</v>
      </c>
      <c r="O28">
        <f t="shared" si="2"/>
        <v>47</v>
      </c>
      <c r="P28">
        <f t="shared" si="2"/>
        <v>48</v>
      </c>
      <c r="Q28">
        <f t="shared" si="2"/>
        <v>49</v>
      </c>
      <c r="S28" s="1">
        <v>44989</v>
      </c>
      <c r="T28">
        <v>0.96719791627739848</v>
      </c>
      <c r="V28" s="1">
        <v>44989</v>
      </c>
      <c r="W28">
        <v>0.30684569790143257</v>
      </c>
    </row>
    <row r="29" spans="1:23" x14ac:dyDescent="0.35">
      <c r="A29" s="11">
        <v>44989</v>
      </c>
      <c r="B29">
        <f t="shared" si="3"/>
        <v>50</v>
      </c>
      <c r="C29">
        <f t="shared" si="2"/>
        <v>51</v>
      </c>
      <c r="D29">
        <f t="shared" si="2"/>
        <v>52</v>
      </c>
      <c r="E29">
        <f t="shared" si="2"/>
        <v>53</v>
      </c>
      <c r="F29">
        <f t="shared" si="2"/>
        <v>54</v>
      </c>
      <c r="G29">
        <f t="shared" si="2"/>
        <v>55</v>
      </c>
      <c r="H29">
        <f t="shared" si="2"/>
        <v>56</v>
      </c>
      <c r="I29">
        <f t="shared" si="2"/>
        <v>57</v>
      </c>
      <c r="J29">
        <f t="shared" si="2"/>
        <v>58</v>
      </c>
      <c r="K29">
        <f t="shared" si="2"/>
        <v>59</v>
      </c>
      <c r="L29">
        <f t="shared" si="2"/>
        <v>60</v>
      </c>
      <c r="M29">
        <f t="shared" si="2"/>
        <v>61</v>
      </c>
      <c r="N29">
        <f t="shared" si="2"/>
        <v>62</v>
      </c>
      <c r="O29">
        <f t="shared" si="2"/>
        <v>63</v>
      </c>
      <c r="P29">
        <f t="shared" si="2"/>
        <v>64</v>
      </c>
      <c r="Q29">
        <f t="shared" si="2"/>
        <v>65</v>
      </c>
      <c r="S29" s="1">
        <v>45355</v>
      </c>
      <c r="T29">
        <v>0.34306077988430828</v>
      </c>
      <c r="V29" s="1">
        <v>45355</v>
      </c>
      <c r="W29">
        <v>0.80195731831366035</v>
      </c>
    </row>
    <row r="30" spans="1:23" x14ac:dyDescent="0.35">
      <c r="A30" s="11">
        <v>45355</v>
      </c>
      <c r="B30">
        <f t="shared" si="3"/>
        <v>66</v>
      </c>
      <c r="C30">
        <f t="shared" si="2"/>
        <v>67</v>
      </c>
      <c r="D30">
        <f t="shared" si="2"/>
        <v>68</v>
      </c>
      <c r="E30">
        <f t="shared" si="2"/>
        <v>69</v>
      </c>
      <c r="F30">
        <f t="shared" si="2"/>
        <v>70</v>
      </c>
      <c r="G30">
        <f t="shared" si="2"/>
        <v>71</v>
      </c>
      <c r="H30">
        <f t="shared" si="2"/>
        <v>72</v>
      </c>
      <c r="I30">
        <f t="shared" si="2"/>
        <v>73</v>
      </c>
      <c r="J30">
        <f t="shared" si="2"/>
        <v>74</v>
      </c>
      <c r="K30">
        <f t="shared" si="2"/>
        <v>75</v>
      </c>
      <c r="L30">
        <f t="shared" si="2"/>
        <v>76</v>
      </c>
      <c r="M30">
        <f t="shared" si="2"/>
        <v>77</v>
      </c>
      <c r="N30">
        <f t="shared" si="2"/>
        <v>78</v>
      </c>
      <c r="O30">
        <f t="shared" si="2"/>
        <v>79</v>
      </c>
      <c r="P30">
        <f t="shared" si="2"/>
        <v>80</v>
      </c>
      <c r="Q30">
        <f t="shared" si="2"/>
        <v>81</v>
      </c>
      <c r="S30" s="1">
        <v>45720</v>
      </c>
      <c r="T30">
        <v>0.43228296653859399</v>
      </c>
      <c r="V30" s="1">
        <v>45720</v>
      </c>
      <c r="W30">
        <v>0.82559280505821664</v>
      </c>
    </row>
    <row r="31" spans="1:23" x14ac:dyDescent="0.35">
      <c r="A31" s="11">
        <v>45720</v>
      </c>
      <c r="B31">
        <f t="shared" si="3"/>
        <v>82</v>
      </c>
      <c r="C31">
        <f t="shared" si="2"/>
        <v>83</v>
      </c>
      <c r="D31">
        <f t="shared" si="2"/>
        <v>84</v>
      </c>
      <c r="E31">
        <f t="shared" si="2"/>
        <v>85</v>
      </c>
      <c r="F31">
        <f t="shared" si="2"/>
        <v>86</v>
      </c>
      <c r="G31">
        <f t="shared" si="2"/>
        <v>87</v>
      </c>
      <c r="H31">
        <f t="shared" si="2"/>
        <v>88</v>
      </c>
      <c r="I31">
        <f t="shared" si="2"/>
        <v>89</v>
      </c>
      <c r="J31">
        <f t="shared" si="2"/>
        <v>90</v>
      </c>
      <c r="K31">
        <f t="shared" si="2"/>
        <v>91</v>
      </c>
      <c r="L31">
        <f t="shared" si="2"/>
        <v>92</v>
      </c>
      <c r="M31">
        <f t="shared" si="2"/>
        <v>93</v>
      </c>
      <c r="N31">
        <f t="shared" si="2"/>
        <v>94</v>
      </c>
      <c r="O31">
        <f t="shared" si="2"/>
        <v>95</v>
      </c>
      <c r="P31">
        <f t="shared" si="2"/>
        <v>96</v>
      </c>
      <c r="Q31">
        <f t="shared" si="2"/>
        <v>97</v>
      </c>
      <c r="S31" s="1">
        <v>46085</v>
      </c>
      <c r="T31">
        <v>0.1755614386541452</v>
      </c>
      <c r="V31" s="1">
        <v>46085</v>
      </c>
      <c r="W31">
        <v>0.4518058844796653</v>
      </c>
    </row>
    <row r="32" spans="1:23" x14ac:dyDescent="0.35">
      <c r="A32" s="11">
        <v>46085</v>
      </c>
      <c r="B32">
        <f t="shared" si="3"/>
        <v>98</v>
      </c>
      <c r="C32">
        <f t="shared" si="2"/>
        <v>99</v>
      </c>
      <c r="D32">
        <f t="shared" si="2"/>
        <v>100</v>
      </c>
      <c r="E32">
        <f t="shared" si="2"/>
        <v>101</v>
      </c>
      <c r="F32">
        <f t="shared" si="2"/>
        <v>102</v>
      </c>
      <c r="G32">
        <f t="shared" si="2"/>
        <v>103</v>
      </c>
      <c r="H32">
        <f t="shared" si="2"/>
        <v>104</v>
      </c>
      <c r="I32">
        <f t="shared" si="2"/>
        <v>105</v>
      </c>
      <c r="J32">
        <f t="shared" si="2"/>
        <v>106</v>
      </c>
      <c r="K32">
        <f t="shared" si="2"/>
        <v>107</v>
      </c>
      <c r="L32">
        <f t="shared" si="2"/>
        <v>108</v>
      </c>
      <c r="M32">
        <f t="shared" si="2"/>
        <v>109</v>
      </c>
      <c r="N32">
        <f t="shared" si="2"/>
        <v>110</v>
      </c>
      <c r="O32">
        <f t="shared" si="2"/>
        <v>111</v>
      </c>
      <c r="P32">
        <f t="shared" si="2"/>
        <v>112</v>
      </c>
      <c r="Q32">
        <f t="shared" si="2"/>
        <v>113</v>
      </c>
      <c r="S32" s="1">
        <v>46450</v>
      </c>
      <c r="T32">
        <v>0.61742129631177334</v>
      </c>
      <c r="V32" s="1">
        <v>46450</v>
      </c>
      <c r="W32">
        <v>0.60798906477199643</v>
      </c>
    </row>
    <row r="33" spans="1:23" x14ac:dyDescent="0.35">
      <c r="A33" s="11">
        <v>46450</v>
      </c>
      <c r="B33">
        <f t="shared" si="3"/>
        <v>114</v>
      </c>
      <c r="C33">
        <f t="shared" si="2"/>
        <v>115</v>
      </c>
      <c r="D33">
        <f t="shared" si="2"/>
        <v>116</v>
      </c>
      <c r="E33">
        <f t="shared" si="2"/>
        <v>117</v>
      </c>
      <c r="F33">
        <f t="shared" si="2"/>
        <v>118</v>
      </c>
      <c r="G33">
        <f t="shared" si="2"/>
        <v>119</v>
      </c>
      <c r="H33">
        <f t="shared" si="2"/>
        <v>120</v>
      </c>
      <c r="I33">
        <f t="shared" si="2"/>
        <v>121</v>
      </c>
      <c r="J33">
        <f t="shared" si="2"/>
        <v>122</v>
      </c>
      <c r="K33">
        <f t="shared" si="2"/>
        <v>123</v>
      </c>
      <c r="L33">
        <f t="shared" si="2"/>
        <v>124</v>
      </c>
      <c r="M33">
        <f t="shared" si="2"/>
        <v>125</v>
      </c>
      <c r="N33">
        <f t="shared" si="2"/>
        <v>126</v>
      </c>
      <c r="O33">
        <f t="shared" si="2"/>
        <v>127</v>
      </c>
      <c r="P33">
        <f t="shared" si="2"/>
        <v>128</v>
      </c>
      <c r="Q33">
        <f t="shared" si="2"/>
        <v>129</v>
      </c>
      <c r="S33" s="1">
        <v>46816</v>
      </c>
      <c r="T33">
        <v>0.15826323993928426</v>
      </c>
      <c r="V33" s="1">
        <v>46816</v>
      </c>
      <c r="W33">
        <v>0.89794714230654826</v>
      </c>
    </row>
    <row r="34" spans="1:23" x14ac:dyDescent="0.35">
      <c r="A34" s="11">
        <v>46816</v>
      </c>
      <c r="B34">
        <f t="shared" si="3"/>
        <v>130</v>
      </c>
      <c r="C34">
        <f t="shared" si="2"/>
        <v>131</v>
      </c>
      <c r="D34">
        <f t="shared" si="2"/>
        <v>132</v>
      </c>
      <c r="E34">
        <f t="shared" si="2"/>
        <v>133</v>
      </c>
      <c r="F34">
        <f t="shared" si="2"/>
        <v>134</v>
      </c>
      <c r="G34">
        <f t="shared" si="2"/>
        <v>135</v>
      </c>
      <c r="H34">
        <f t="shared" si="2"/>
        <v>136</v>
      </c>
      <c r="I34">
        <f t="shared" si="2"/>
        <v>137</v>
      </c>
      <c r="J34">
        <f t="shared" si="2"/>
        <v>138</v>
      </c>
      <c r="K34">
        <f t="shared" si="2"/>
        <v>139</v>
      </c>
      <c r="L34">
        <f t="shared" si="2"/>
        <v>140</v>
      </c>
      <c r="M34">
        <f t="shared" si="2"/>
        <v>141</v>
      </c>
      <c r="N34">
        <f t="shared" si="2"/>
        <v>142</v>
      </c>
      <c r="O34">
        <f t="shared" si="2"/>
        <v>143</v>
      </c>
      <c r="P34">
        <f t="shared" si="2"/>
        <v>144</v>
      </c>
      <c r="Q34">
        <f t="shared" si="2"/>
        <v>145</v>
      </c>
      <c r="S34" s="1">
        <v>47181</v>
      </c>
      <c r="T34">
        <v>0.32943752715968322</v>
      </c>
      <c r="V34" s="1">
        <v>47181</v>
      </c>
      <c r="W34">
        <v>0.43140805594248599</v>
      </c>
    </row>
    <row r="35" spans="1:23" x14ac:dyDescent="0.35">
      <c r="A35" s="11">
        <v>47181</v>
      </c>
      <c r="B35">
        <f t="shared" si="3"/>
        <v>146</v>
      </c>
      <c r="C35">
        <f t="shared" si="2"/>
        <v>147</v>
      </c>
      <c r="D35">
        <f t="shared" si="2"/>
        <v>148</v>
      </c>
      <c r="E35">
        <f t="shared" si="2"/>
        <v>149</v>
      </c>
      <c r="F35">
        <f t="shared" si="2"/>
        <v>150</v>
      </c>
      <c r="G35">
        <f t="shared" si="2"/>
        <v>151</v>
      </c>
      <c r="H35">
        <f t="shared" si="2"/>
        <v>152</v>
      </c>
      <c r="I35">
        <f t="shared" si="2"/>
        <v>153</v>
      </c>
      <c r="J35">
        <f t="shared" si="2"/>
        <v>154</v>
      </c>
      <c r="K35">
        <f t="shared" si="2"/>
        <v>155</v>
      </c>
      <c r="L35">
        <f t="shared" si="2"/>
        <v>156</v>
      </c>
      <c r="M35">
        <f t="shared" si="2"/>
        <v>157</v>
      </c>
      <c r="N35">
        <f t="shared" si="2"/>
        <v>158</v>
      </c>
      <c r="O35">
        <f t="shared" si="2"/>
        <v>159</v>
      </c>
      <c r="P35">
        <f t="shared" si="2"/>
        <v>160</v>
      </c>
      <c r="Q35">
        <f t="shared" si="2"/>
        <v>161</v>
      </c>
      <c r="S35" s="1">
        <v>47546</v>
      </c>
      <c r="T35">
        <v>0.77975005057087576</v>
      </c>
      <c r="V35" s="1">
        <v>47546</v>
      </c>
      <c r="W35">
        <v>0.63115516124099935</v>
      </c>
    </row>
    <row r="36" spans="1:23" x14ac:dyDescent="0.35">
      <c r="A36" s="11">
        <v>47546</v>
      </c>
      <c r="B36">
        <f t="shared" si="3"/>
        <v>162</v>
      </c>
      <c r="C36">
        <f t="shared" si="2"/>
        <v>163</v>
      </c>
      <c r="D36">
        <f t="shared" si="2"/>
        <v>164</v>
      </c>
      <c r="E36">
        <f t="shared" si="2"/>
        <v>165</v>
      </c>
      <c r="F36">
        <f t="shared" si="2"/>
        <v>166</v>
      </c>
      <c r="G36">
        <f t="shared" si="2"/>
        <v>167</v>
      </c>
      <c r="H36">
        <f t="shared" si="2"/>
        <v>168</v>
      </c>
      <c r="I36">
        <f t="shared" si="2"/>
        <v>169</v>
      </c>
      <c r="J36">
        <f t="shared" si="2"/>
        <v>170</v>
      </c>
      <c r="K36">
        <f t="shared" si="2"/>
        <v>171</v>
      </c>
      <c r="L36">
        <f t="shared" si="2"/>
        <v>172</v>
      </c>
      <c r="M36">
        <f t="shared" si="2"/>
        <v>173</v>
      </c>
      <c r="N36">
        <f t="shared" si="2"/>
        <v>174</v>
      </c>
      <c r="O36">
        <f t="shared" si="2"/>
        <v>175</v>
      </c>
      <c r="P36">
        <f t="shared" si="2"/>
        <v>176</v>
      </c>
      <c r="Q36">
        <f t="shared" si="2"/>
        <v>177</v>
      </c>
      <c r="S36" s="1">
        <v>47911</v>
      </c>
      <c r="T36">
        <v>0.72901298182875596</v>
      </c>
      <c r="V36" s="1">
        <v>47911</v>
      </c>
      <c r="W36">
        <v>0.87997006848486958</v>
      </c>
    </row>
    <row r="37" spans="1:23" x14ac:dyDescent="0.35">
      <c r="A37" s="11">
        <v>47911</v>
      </c>
      <c r="B37">
        <f t="shared" si="3"/>
        <v>178</v>
      </c>
      <c r="C37">
        <f t="shared" si="2"/>
        <v>179</v>
      </c>
      <c r="D37">
        <f t="shared" si="2"/>
        <v>180</v>
      </c>
      <c r="E37">
        <f t="shared" si="2"/>
        <v>181</v>
      </c>
      <c r="F37">
        <f t="shared" si="2"/>
        <v>182</v>
      </c>
      <c r="G37">
        <f t="shared" si="2"/>
        <v>183</v>
      </c>
      <c r="H37">
        <f t="shared" si="2"/>
        <v>184</v>
      </c>
      <c r="I37">
        <f t="shared" si="2"/>
        <v>185</v>
      </c>
      <c r="J37">
        <f t="shared" si="2"/>
        <v>186</v>
      </c>
      <c r="K37">
        <f t="shared" si="2"/>
        <v>187</v>
      </c>
      <c r="L37">
        <f t="shared" si="2"/>
        <v>188</v>
      </c>
      <c r="M37">
        <f t="shared" si="2"/>
        <v>189</v>
      </c>
      <c r="N37">
        <f t="shared" si="2"/>
        <v>190</v>
      </c>
      <c r="O37">
        <f t="shared" si="2"/>
        <v>191</v>
      </c>
      <c r="P37">
        <f t="shared" si="2"/>
        <v>192</v>
      </c>
      <c r="Q37">
        <f t="shared" si="2"/>
        <v>193</v>
      </c>
      <c r="S37" s="1">
        <v>48277</v>
      </c>
      <c r="T37">
        <v>0.63942883530635497</v>
      </c>
      <c r="V37" s="1">
        <v>48277</v>
      </c>
      <c r="W37">
        <v>0.81901022289130709</v>
      </c>
    </row>
    <row r="38" spans="1:23" x14ac:dyDescent="0.35">
      <c r="A38" s="11">
        <v>48277</v>
      </c>
      <c r="B38">
        <f t="shared" si="3"/>
        <v>194</v>
      </c>
      <c r="C38">
        <f t="shared" si="2"/>
        <v>195</v>
      </c>
      <c r="D38">
        <f t="shared" si="2"/>
        <v>196</v>
      </c>
      <c r="E38">
        <f t="shared" si="2"/>
        <v>197</v>
      </c>
      <c r="F38">
        <f t="shared" si="2"/>
        <v>198</v>
      </c>
      <c r="G38">
        <f t="shared" si="2"/>
        <v>199</v>
      </c>
      <c r="H38">
        <f t="shared" si="2"/>
        <v>200</v>
      </c>
      <c r="I38">
        <f t="shared" si="2"/>
        <v>201</v>
      </c>
      <c r="J38">
        <f t="shared" si="2"/>
        <v>202</v>
      </c>
      <c r="K38">
        <f t="shared" si="2"/>
        <v>203</v>
      </c>
      <c r="L38">
        <f t="shared" si="2"/>
        <v>204</v>
      </c>
      <c r="M38">
        <f t="shared" si="2"/>
        <v>205</v>
      </c>
      <c r="N38">
        <f t="shared" si="2"/>
        <v>206</v>
      </c>
      <c r="O38">
        <f t="shared" si="2"/>
        <v>207</v>
      </c>
      <c r="P38">
        <f t="shared" si="2"/>
        <v>208</v>
      </c>
      <c r="Q38">
        <f t="shared" si="2"/>
        <v>209</v>
      </c>
      <c r="S38" s="1">
        <v>48642</v>
      </c>
      <c r="T38">
        <v>0.25209220278698818</v>
      </c>
      <c r="V38" s="1">
        <v>48642</v>
      </c>
      <c r="W38">
        <v>0.71744752493135822</v>
      </c>
    </row>
    <row r="39" spans="1:23" x14ac:dyDescent="0.35">
      <c r="A39" s="11">
        <v>48642</v>
      </c>
      <c r="B39">
        <f t="shared" si="3"/>
        <v>210</v>
      </c>
      <c r="C39">
        <f t="shared" si="2"/>
        <v>211</v>
      </c>
      <c r="D39">
        <f t="shared" si="2"/>
        <v>212</v>
      </c>
      <c r="E39">
        <f t="shared" si="2"/>
        <v>213</v>
      </c>
      <c r="F39">
        <f t="shared" si="2"/>
        <v>214</v>
      </c>
      <c r="G39">
        <f t="shared" si="2"/>
        <v>215</v>
      </c>
      <c r="H39">
        <f t="shared" si="2"/>
        <v>216</v>
      </c>
      <c r="I39">
        <f t="shared" si="2"/>
        <v>217</v>
      </c>
      <c r="J39">
        <f t="shared" si="2"/>
        <v>218</v>
      </c>
      <c r="K39">
        <f t="shared" si="2"/>
        <v>219</v>
      </c>
      <c r="L39">
        <f t="shared" si="2"/>
        <v>220</v>
      </c>
      <c r="M39">
        <f t="shared" si="2"/>
        <v>221</v>
      </c>
      <c r="N39">
        <f t="shared" si="2"/>
        <v>222</v>
      </c>
      <c r="O39">
        <f t="shared" si="2"/>
        <v>223</v>
      </c>
      <c r="P39">
        <f t="shared" si="2"/>
        <v>224</v>
      </c>
      <c r="Q39">
        <f t="shared" si="2"/>
        <v>225</v>
      </c>
      <c r="S39" s="1">
        <v>49007</v>
      </c>
      <c r="T39">
        <v>0.75409063551871247</v>
      </c>
      <c r="V39" s="1">
        <v>49007</v>
      </c>
      <c r="W39">
        <v>0.56076446738737895</v>
      </c>
    </row>
    <row r="40" spans="1:23" x14ac:dyDescent="0.35">
      <c r="A40" s="11">
        <v>49007</v>
      </c>
      <c r="B40">
        <f t="shared" si="3"/>
        <v>226</v>
      </c>
      <c r="C40">
        <f t="shared" si="2"/>
        <v>227</v>
      </c>
      <c r="D40">
        <f t="shared" si="2"/>
        <v>228</v>
      </c>
      <c r="E40">
        <f t="shared" si="2"/>
        <v>229</v>
      </c>
      <c r="F40">
        <f t="shared" si="2"/>
        <v>230</v>
      </c>
      <c r="G40">
        <f t="shared" si="2"/>
        <v>231</v>
      </c>
      <c r="H40">
        <f t="shared" si="2"/>
        <v>232</v>
      </c>
      <c r="I40">
        <f t="shared" si="2"/>
        <v>233</v>
      </c>
      <c r="J40">
        <f t="shared" si="2"/>
        <v>234</v>
      </c>
      <c r="K40">
        <f t="shared" si="2"/>
        <v>235</v>
      </c>
      <c r="L40">
        <f t="shared" si="2"/>
        <v>236</v>
      </c>
      <c r="M40">
        <f t="shared" si="2"/>
        <v>237</v>
      </c>
      <c r="N40">
        <f t="shared" si="2"/>
        <v>238</v>
      </c>
      <c r="O40">
        <f t="shared" si="2"/>
        <v>239</v>
      </c>
      <c r="P40">
        <f t="shared" si="2"/>
        <v>240</v>
      </c>
      <c r="Q40">
        <f t="shared" si="2"/>
        <v>241</v>
      </c>
      <c r="S40" s="1">
        <v>49372</v>
      </c>
      <c r="T40">
        <v>0.38312509356304159</v>
      </c>
      <c r="V40" s="1">
        <v>49372</v>
      </c>
      <c r="W40">
        <v>0.23149367144436395</v>
      </c>
    </row>
    <row r="41" spans="1:23" x14ac:dyDescent="0.35">
      <c r="A41" s="11">
        <v>49372</v>
      </c>
      <c r="B41">
        <f t="shared" si="3"/>
        <v>242</v>
      </c>
      <c r="C41">
        <f t="shared" si="2"/>
        <v>243</v>
      </c>
      <c r="D41">
        <f t="shared" si="2"/>
        <v>244</v>
      </c>
      <c r="E41">
        <f t="shared" si="2"/>
        <v>245</v>
      </c>
      <c r="F41">
        <f t="shared" si="2"/>
        <v>246</v>
      </c>
      <c r="G41">
        <f t="shared" si="2"/>
        <v>247</v>
      </c>
      <c r="H41">
        <f t="shared" si="2"/>
        <v>248</v>
      </c>
      <c r="I41">
        <f t="shared" si="2"/>
        <v>249</v>
      </c>
      <c r="J41">
        <f t="shared" si="2"/>
        <v>250</v>
      </c>
      <c r="K41">
        <f t="shared" si="2"/>
        <v>251</v>
      </c>
      <c r="L41">
        <f t="shared" si="2"/>
        <v>252</v>
      </c>
      <c r="M41">
        <f t="shared" si="2"/>
        <v>253</v>
      </c>
      <c r="N41">
        <f t="shared" si="2"/>
        <v>254</v>
      </c>
      <c r="O41">
        <f t="shared" si="2"/>
        <v>255</v>
      </c>
      <c r="P41">
        <f t="shared" si="2"/>
        <v>256</v>
      </c>
      <c r="Q41">
        <f t="shared" si="2"/>
        <v>257</v>
      </c>
      <c r="S41" s="1">
        <v>49738</v>
      </c>
      <c r="T41">
        <v>0.79347798323888619</v>
      </c>
      <c r="V41" s="1">
        <v>49738</v>
      </c>
      <c r="W41">
        <v>0.66459564944319793</v>
      </c>
    </row>
    <row r="43" spans="1:23" x14ac:dyDescent="0.35">
      <c r="A43" s="12" t="s">
        <v>1</v>
      </c>
      <c r="B43" s="13">
        <v>44624</v>
      </c>
    </row>
    <row r="44" spans="1:23" x14ac:dyDescent="0.35">
      <c r="A44" s="12" t="s">
        <v>38</v>
      </c>
      <c r="B44" s="14">
        <v>125</v>
      </c>
    </row>
    <row r="45" spans="1:23" x14ac:dyDescent="0.35">
      <c r="S45" t="s">
        <v>3</v>
      </c>
      <c r="T45" t="s">
        <v>2</v>
      </c>
      <c r="V45" t="s">
        <v>3</v>
      </c>
      <c r="W45" t="s">
        <v>4</v>
      </c>
    </row>
    <row r="46" spans="1:23" x14ac:dyDescent="0.35">
      <c r="B46" s="12">
        <v>50</v>
      </c>
      <c r="C46" s="12">
        <v>60</v>
      </c>
      <c r="D46" s="12">
        <v>70</v>
      </c>
      <c r="E46" s="12">
        <v>80</v>
      </c>
      <c r="F46" s="12">
        <v>90</v>
      </c>
      <c r="G46" s="12">
        <v>100</v>
      </c>
      <c r="H46" s="12">
        <v>110</v>
      </c>
      <c r="I46" s="12">
        <v>120</v>
      </c>
      <c r="J46" s="12">
        <v>130</v>
      </c>
      <c r="K46" s="12">
        <v>140</v>
      </c>
      <c r="L46" s="12">
        <v>150</v>
      </c>
      <c r="M46" s="12">
        <v>160</v>
      </c>
      <c r="N46" s="12">
        <v>170</v>
      </c>
      <c r="O46" s="12">
        <v>180</v>
      </c>
      <c r="P46" s="12">
        <v>190</v>
      </c>
      <c r="Q46" s="12">
        <v>200</v>
      </c>
      <c r="S46" s="1">
        <v>44716</v>
      </c>
      <c r="T46">
        <v>0.7089893287268495</v>
      </c>
      <c r="V46" s="1">
        <v>44716</v>
      </c>
      <c r="W46">
        <v>0.32351016124943066</v>
      </c>
    </row>
    <row r="47" spans="1:23" x14ac:dyDescent="0.35">
      <c r="A47" s="11">
        <v>44716</v>
      </c>
      <c r="B47">
        <v>3</v>
      </c>
      <c r="C47">
        <v>0.67505725053933696</v>
      </c>
      <c r="D47">
        <v>0.2866810854803773</v>
      </c>
      <c r="E47">
        <v>0.76120355676952922</v>
      </c>
      <c r="F47">
        <v>0.49107242996003064</v>
      </c>
      <c r="G47">
        <v>0.1687233163416979</v>
      </c>
      <c r="H47">
        <v>0.46131022117771014</v>
      </c>
      <c r="I47">
        <v>0.53113391363910345</v>
      </c>
      <c r="J47">
        <v>0.45420355800577106</v>
      </c>
      <c r="K47">
        <v>0.28251102645629178</v>
      </c>
      <c r="L47">
        <v>0.37638399154152524</v>
      </c>
      <c r="M47">
        <v>0.69615200763892349</v>
      </c>
      <c r="N47">
        <v>3.7947529748440401E-2</v>
      </c>
      <c r="O47">
        <v>0.9962179273929942</v>
      </c>
      <c r="P47">
        <v>0.75575870153618852</v>
      </c>
      <c r="Q47">
        <v>0.22825382480555112</v>
      </c>
      <c r="S47" s="1">
        <v>44808</v>
      </c>
      <c r="T47">
        <v>0.61005116867312614</v>
      </c>
      <c r="V47" s="1">
        <v>44808</v>
      </c>
      <c r="W47">
        <v>0.89268134591081361</v>
      </c>
    </row>
    <row r="48" spans="1:23" x14ac:dyDescent="0.35">
      <c r="A48" s="11">
        <v>44808</v>
      </c>
      <c r="B48">
        <v>0.73098973526290845</v>
      </c>
      <c r="C48">
        <v>0.84687704570910904</v>
      </c>
      <c r="D48">
        <v>7.4636248313663667E-2</v>
      </c>
      <c r="E48">
        <v>0.60997289028216606</v>
      </c>
      <c r="F48">
        <v>2.1748283378360211E-2</v>
      </c>
      <c r="G48">
        <v>0.79284621398206023</v>
      </c>
      <c r="H48">
        <v>0.65365044626167246</v>
      </c>
      <c r="I48">
        <v>2.1494027908884217E-2</v>
      </c>
      <c r="J48">
        <v>0.74058431973689254</v>
      </c>
      <c r="K48">
        <v>0.73378327983401093</v>
      </c>
      <c r="L48">
        <v>0.12461288898736522</v>
      </c>
      <c r="M48">
        <v>0.70346207595521781</v>
      </c>
      <c r="N48">
        <v>0.64726238874090436</v>
      </c>
      <c r="O48">
        <v>0.69152625810990542</v>
      </c>
      <c r="P48">
        <v>0.77247672150067148</v>
      </c>
      <c r="Q48">
        <v>0.82489932245686914</v>
      </c>
      <c r="S48" s="1">
        <v>44899</v>
      </c>
      <c r="T48">
        <v>0.60149980689503169</v>
      </c>
      <c r="V48" s="1">
        <v>44899</v>
      </c>
      <c r="W48">
        <v>0.90808954790632046</v>
      </c>
    </row>
    <row r="49" spans="1:23" x14ac:dyDescent="0.35">
      <c r="A49" s="11">
        <v>44899</v>
      </c>
      <c r="B49">
        <v>0.16090280753263619</v>
      </c>
      <c r="C49">
        <v>0.78144554461782934</v>
      </c>
      <c r="D49">
        <v>0.32346196578786368</v>
      </c>
      <c r="E49">
        <v>0.584209294331968</v>
      </c>
      <c r="F49">
        <v>0.19192958311630792</v>
      </c>
      <c r="G49">
        <v>0.60579693083815689</v>
      </c>
      <c r="H49">
        <v>0.68383016514316208</v>
      </c>
      <c r="I49">
        <v>0.27960676697085685</v>
      </c>
      <c r="J49">
        <v>0.1861830356526305</v>
      </c>
      <c r="K49">
        <v>0.66978234472544418</v>
      </c>
      <c r="L49">
        <v>0.17187390810078851</v>
      </c>
      <c r="M49">
        <v>0.60790955139101388</v>
      </c>
      <c r="N49">
        <v>4.3642637109265303E-2</v>
      </c>
      <c r="O49">
        <v>0.70494022691346436</v>
      </c>
      <c r="P49">
        <v>0.76728802649838679</v>
      </c>
      <c r="Q49">
        <v>0.56020390465008552</v>
      </c>
      <c r="S49" s="1">
        <v>44989</v>
      </c>
      <c r="T49">
        <v>0.96719791627739848</v>
      </c>
      <c r="V49" s="1">
        <v>44989</v>
      </c>
      <c r="W49">
        <v>0.30684569790143257</v>
      </c>
    </row>
    <row r="50" spans="1:23" x14ac:dyDescent="0.35">
      <c r="A50" s="11">
        <v>44989</v>
      </c>
      <c r="B50">
        <v>0.29101841852939581</v>
      </c>
      <c r="C50">
        <v>0.78618346367961967</v>
      </c>
      <c r="D50">
        <v>8.7595213503307345E-2</v>
      </c>
      <c r="E50">
        <v>0.88037017228273118</v>
      </c>
      <c r="F50">
        <v>0.3738642887604996</v>
      </c>
      <c r="G50">
        <v>0.1584261980635191</v>
      </c>
      <c r="H50">
        <v>0.22738369047031781</v>
      </c>
      <c r="I50">
        <v>0.15194347712958378</v>
      </c>
      <c r="J50">
        <v>0.1683732478350326</v>
      </c>
      <c r="K50">
        <v>0.37486718249002959</v>
      </c>
      <c r="L50">
        <v>0.32124136074199594</v>
      </c>
      <c r="M50">
        <v>0.51991572741488024</v>
      </c>
      <c r="N50">
        <v>0.15552383055839569</v>
      </c>
      <c r="O50">
        <v>0.75603402934257757</v>
      </c>
      <c r="P50">
        <v>0.74560815166910066</v>
      </c>
      <c r="Q50">
        <v>0.96174476355134342</v>
      </c>
      <c r="S50" s="1">
        <v>45355</v>
      </c>
      <c r="T50">
        <v>0.34306077988430828</v>
      </c>
      <c r="V50" s="1">
        <v>45355</v>
      </c>
      <c r="W50">
        <v>0.80195731831366035</v>
      </c>
    </row>
    <row r="51" spans="1:23" x14ac:dyDescent="0.35">
      <c r="A51" s="11">
        <v>45355</v>
      </c>
      <c r="B51">
        <v>0.50284707768105785</v>
      </c>
      <c r="C51">
        <v>0.44652082747780875</v>
      </c>
      <c r="D51">
        <v>0.90034754227557856</v>
      </c>
      <c r="E51">
        <v>0.93549821132897504</v>
      </c>
      <c r="F51">
        <v>0.62229544255891001</v>
      </c>
      <c r="G51">
        <v>0.83694099430646607</v>
      </c>
      <c r="H51">
        <v>0.24388557298030089</v>
      </c>
      <c r="I51">
        <v>0.47538092741184557</v>
      </c>
      <c r="J51">
        <v>0.59424974715789225</v>
      </c>
      <c r="K51">
        <v>0.85309030881884196</v>
      </c>
      <c r="L51">
        <v>0.6981141152931577</v>
      </c>
      <c r="M51">
        <v>0.6022359856119639</v>
      </c>
      <c r="N51">
        <v>8.8756234989093574E-2</v>
      </c>
      <c r="O51">
        <v>0.1641765219765613</v>
      </c>
      <c r="P51">
        <v>0.91325546001079139</v>
      </c>
      <c r="Q51">
        <v>0.24237835085758153</v>
      </c>
      <c r="S51" s="1">
        <v>45720</v>
      </c>
      <c r="T51">
        <v>0.43228296653859399</v>
      </c>
      <c r="V51" s="1">
        <v>45720</v>
      </c>
      <c r="W51">
        <v>0.82559280505821664</v>
      </c>
    </row>
    <row r="52" spans="1:23" x14ac:dyDescent="0.35">
      <c r="A52" s="11">
        <v>45720</v>
      </c>
      <c r="B52">
        <v>0.90624649341312979</v>
      </c>
      <c r="C52">
        <v>0.76313053613909076</v>
      </c>
      <c r="D52">
        <v>0.60367523781573285</v>
      </c>
      <c r="E52">
        <v>0.53165420428779075</v>
      </c>
      <c r="F52">
        <v>0.67738594902767046</v>
      </c>
      <c r="G52">
        <v>0.15985195009538267</v>
      </c>
      <c r="H52">
        <v>0.81742678006175584</v>
      </c>
      <c r="I52">
        <v>0.41100741570494004</v>
      </c>
      <c r="J52">
        <v>0.34249143441210417</v>
      </c>
      <c r="K52">
        <v>0.72424517490996987</v>
      </c>
      <c r="L52">
        <v>0.54404856093612897</v>
      </c>
      <c r="M52">
        <v>0.87568428999103809</v>
      </c>
      <c r="N52">
        <v>8.790915219933948E-2</v>
      </c>
      <c r="O52">
        <v>0.78432094773737759</v>
      </c>
      <c r="P52">
        <v>0.73072459938858192</v>
      </c>
      <c r="Q52">
        <v>0.39159556896829806</v>
      </c>
      <c r="S52" s="1">
        <v>46085</v>
      </c>
      <c r="T52">
        <v>0.1755614386541452</v>
      </c>
      <c r="V52" s="1">
        <v>46085</v>
      </c>
      <c r="W52">
        <v>0.4518058844796653</v>
      </c>
    </row>
    <row r="53" spans="1:23" x14ac:dyDescent="0.35">
      <c r="A53" s="11">
        <v>46085</v>
      </c>
      <c r="B53">
        <v>0.90619715316161809</v>
      </c>
      <c r="C53">
        <v>0.4321045614221265</v>
      </c>
      <c r="D53">
        <v>0.8747466579943417</v>
      </c>
      <c r="E53">
        <v>0.29757432342413248</v>
      </c>
      <c r="F53">
        <v>0.23685476795478222</v>
      </c>
      <c r="G53">
        <v>0.71955653807257736</v>
      </c>
      <c r="H53">
        <v>1.2098609304554198E-2</v>
      </c>
      <c r="I53">
        <v>0.3945203994499008</v>
      </c>
      <c r="J53">
        <v>0.71565859928355724</v>
      </c>
      <c r="K53">
        <v>0.23048859557633583</v>
      </c>
      <c r="L53">
        <v>0.98939321816127601</v>
      </c>
      <c r="M53">
        <v>0.47032028970982331</v>
      </c>
      <c r="N53">
        <v>0.15128879880812041</v>
      </c>
      <c r="O53">
        <v>0.64281531763516575</v>
      </c>
      <c r="P53">
        <v>0.28509176199677322</v>
      </c>
      <c r="Q53">
        <v>0.19490139152657404</v>
      </c>
      <c r="S53" s="1">
        <v>46450</v>
      </c>
      <c r="T53">
        <v>0.61742129631177334</v>
      </c>
      <c r="V53" s="1">
        <v>46450</v>
      </c>
      <c r="W53">
        <v>0.60798906477199643</v>
      </c>
    </row>
    <row r="54" spans="1:23" x14ac:dyDescent="0.35">
      <c r="A54" s="11">
        <v>46450</v>
      </c>
      <c r="B54">
        <v>4.3673808334895647E-2</v>
      </c>
      <c r="C54">
        <v>0.84305404580772814</v>
      </c>
      <c r="D54">
        <v>0.51097944349035618</v>
      </c>
      <c r="E54">
        <v>0.28346096056602021</v>
      </c>
      <c r="F54">
        <v>0.70156706646368527</v>
      </c>
      <c r="G54">
        <v>0.27559664672985784</v>
      </c>
      <c r="H54">
        <v>0.42922646802325626</v>
      </c>
      <c r="I54">
        <v>0.63426588406711848</v>
      </c>
      <c r="J54">
        <v>3.3573572745304259E-2</v>
      </c>
      <c r="K54">
        <v>0.15943534571300588</v>
      </c>
      <c r="L54">
        <v>0.73897908101071486</v>
      </c>
      <c r="M54">
        <v>0.56101077731702897</v>
      </c>
      <c r="N54">
        <v>0.84878053796450637</v>
      </c>
      <c r="O54">
        <v>0.8532975824031247</v>
      </c>
      <c r="P54">
        <v>0.16750915189238613</v>
      </c>
      <c r="Q54">
        <v>0.36051514633941806</v>
      </c>
      <c r="S54" s="1">
        <v>46816</v>
      </c>
      <c r="T54">
        <v>0.15826323993928426</v>
      </c>
      <c r="V54" s="1">
        <v>46816</v>
      </c>
      <c r="W54">
        <v>0.89794714230654826</v>
      </c>
    </row>
    <row r="55" spans="1:23" x14ac:dyDescent="0.35">
      <c r="A55" s="11">
        <v>46816</v>
      </c>
      <c r="B55">
        <v>0.14350057770469482</v>
      </c>
      <c r="C55">
        <v>0.13073619547799564</v>
      </c>
      <c r="D55">
        <v>0.80139349321354103</v>
      </c>
      <c r="E55">
        <v>0.74715318688993337</v>
      </c>
      <c r="F55">
        <v>6.6489149084369203E-2</v>
      </c>
      <c r="G55">
        <v>0.79409086889246161</v>
      </c>
      <c r="H55">
        <v>0.2389870300947472</v>
      </c>
      <c r="I55">
        <v>0.13505351942633459</v>
      </c>
      <c r="J55">
        <v>0.19960110174373213</v>
      </c>
      <c r="K55">
        <v>0.65593273034054544</v>
      </c>
      <c r="L55">
        <v>0.19439380680275864</v>
      </c>
      <c r="M55">
        <v>0.2230430609700802</v>
      </c>
      <c r="N55">
        <v>0.56744843816338142</v>
      </c>
      <c r="O55">
        <v>0.61138516914640606</v>
      </c>
      <c r="P55">
        <v>0.75295279546192084</v>
      </c>
      <c r="Q55">
        <v>0.15334673539908528</v>
      </c>
      <c r="S55" s="1">
        <v>47181</v>
      </c>
      <c r="T55">
        <v>0.32943752715968322</v>
      </c>
      <c r="V55" s="1">
        <v>47181</v>
      </c>
      <c r="W55">
        <v>0.43140805594248599</v>
      </c>
    </row>
    <row r="56" spans="1:23" x14ac:dyDescent="0.35">
      <c r="A56" s="11">
        <v>47181</v>
      </c>
      <c r="B56">
        <v>0.90856009993644904</v>
      </c>
      <c r="C56">
        <v>0.37141266276963325</v>
      </c>
      <c r="D56">
        <v>0.12908261840757806</v>
      </c>
      <c r="E56">
        <v>0.14927532028912138</v>
      </c>
      <c r="F56">
        <v>0.783326148863697</v>
      </c>
      <c r="G56">
        <v>0.3125912694574744</v>
      </c>
      <c r="H56">
        <v>0.98284238172817562</v>
      </c>
      <c r="I56">
        <v>0.79129880485873316</v>
      </c>
      <c r="J56">
        <v>0.96493434500960151</v>
      </c>
      <c r="K56">
        <v>0.59248047021827566</v>
      </c>
      <c r="L56">
        <v>0.64974543338975133</v>
      </c>
      <c r="M56">
        <v>0.75501976469303023</v>
      </c>
      <c r="N56">
        <v>0.35743195382422532</v>
      </c>
      <c r="O56">
        <v>0.64114262666337929</v>
      </c>
      <c r="P56">
        <v>0.7192052500817343</v>
      </c>
      <c r="Q56">
        <v>0.75861972398171373</v>
      </c>
      <c r="S56" s="1">
        <v>47546</v>
      </c>
      <c r="T56">
        <v>0.77975005057087576</v>
      </c>
      <c r="V56" s="1">
        <v>47546</v>
      </c>
      <c r="W56">
        <v>0.63115516124099935</v>
      </c>
    </row>
    <row r="57" spans="1:23" x14ac:dyDescent="0.35">
      <c r="A57" s="11">
        <v>47546</v>
      </c>
      <c r="B57">
        <v>0.4683775041386482</v>
      </c>
      <c r="C57">
        <v>4.7090763833914306E-2</v>
      </c>
      <c r="D57">
        <v>8.4440323289366015E-2</v>
      </c>
      <c r="E57">
        <v>2.8706945520683202E-2</v>
      </c>
      <c r="F57">
        <v>0.53949691360868057</v>
      </c>
      <c r="G57">
        <v>0.49323928430974551</v>
      </c>
      <c r="H57">
        <v>0.32162069460953868</v>
      </c>
      <c r="I57">
        <v>0.15508498863093212</v>
      </c>
      <c r="J57">
        <v>0.86406808884784903</v>
      </c>
      <c r="K57">
        <v>0.80542420884867671</v>
      </c>
      <c r="L57">
        <v>0.9650328845418209</v>
      </c>
      <c r="M57">
        <v>0.11709401030906741</v>
      </c>
      <c r="N57">
        <v>0.17998505345490745</v>
      </c>
      <c r="O57">
        <v>9.4350002834578617E-2</v>
      </c>
      <c r="P57">
        <v>5.4692343253395115E-2</v>
      </c>
      <c r="Q57">
        <v>0.23156059767228854</v>
      </c>
      <c r="S57" s="1">
        <v>47911</v>
      </c>
      <c r="T57">
        <v>0.72901298182875596</v>
      </c>
      <c r="V57" s="1">
        <v>47911</v>
      </c>
      <c r="W57">
        <v>0.87997006848486958</v>
      </c>
    </row>
    <row r="58" spans="1:23" x14ac:dyDescent="0.35">
      <c r="A58" s="11">
        <v>47911</v>
      </c>
      <c r="B58">
        <v>3.2584811668802338E-2</v>
      </c>
      <c r="C58">
        <v>0.49326208398412175</v>
      </c>
      <c r="D58">
        <v>0.27432978634857386</v>
      </c>
      <c r="E58">
        <v>0.8148812790311224</v>
      </c>
      <c r="F58">
        <v>0.28525000595510175</v>
      </c>
      <c r="G58">
        <v>0.8457649971110196</v>
      </c>
      <c r="H58">
        <v>0.9224353571341577</v>
      </c>
      <c r="I58">
        <v>0.19481636210364262</v>
      </c>
      <c r="J58">
        <v>0.10694969325835113</v>
      </c>
      <c r="K58">
        <v>0.79057803247795244</v>
      </c>
      <c r="L58">
        <v>0.10062802899262113</v>
      </c>
      <c r="M58">
        <v>0.66788400661685887</v>
      </c>
      <c r="N58">
        <v>0.27948722943642479</v>
      </c>
      <c r="O58">
        <v>0.32669100375016402</v>
      </c>
      <c r="P58">
        <v>0.73251446517257102</v>
      </c>
      <c r="Q58">
        <v>0.47067811864427622</v>
      </c>
      <c r="S58" s="1">
        <v>48277</v>
      </c>
      <c r="T58">
        <v>0.63942883530635497</v>
      </c>
      <c r="V58" s="1">
        <v>48277</v>
      </c>
      <c r="W58">
        <v>0.81901022289130709</v>
      </c>
    </row>
    <row r="59" spans="1:23" x14ac:dyDescent="0.35">
      <c r="A59" s="11">
        <v>48277</v>
      </c>
      <c r="B59">
        <v>0.67158212585941346</v>
      </c>
      <c r="C59">
        <v>0.4393069884857429</v>
      </c>
      <c r="D59">
        <v>0.98331340117396515</v>
      </c>
      <c r="E59">
        <v>0.79772936573240105</v>
      </c>
      <c r="F59">
        <v>0.31693815062307396</v>
      </c>
      <c r="G59">
        <v>0.33402723435253212</v>
      </c>
      <c r="H59">
        <v>0.1920023815261287</v>
      </c>
      <c r="I59">
        <v>9.1823426589648816E-2</v>
      </c>
      <c r="J59">
        <v>0.1837218954140476</v>
      </c>
      <c r="K59">
        <v>0.61402978231813876</v>
      </c>
      <c r="L59">
        <v>0.90870322127165548</v>
      </c>
      <c r="M59">
        <v>0.54741973401147992</v>
      </c>
      <c r="N59">
        <v>0.10677734970681318</v>
      </c>
      <c r="O59">
        <v>0.43048251979478902</v>
      </c>
      <c r="P59">
        <v>6.4674224634026056E-2</v>
      </c>
      <c r="Q59">
        <v>0.95859753249029866</v>
      </c>
      <c r="S59" s="1">
        <v>48642</v>
      </c>
      <c r="T59">
        <v>0.25209220278698818</v>
      </c>
      <c r="V59" s="1">
        <v>48642</v>
      </c>
      <c r="W59">
        <v>0.71744752493135822</v>
      </c>
    </row>
    <row r="60" spans="1:23" x14ac:dyDescent="0.35">
      <c r="A60" s="11">
        <v>48642</v>
      </c>
      <c r="B60">
        <v>0.91037897101168663</v>
      </c>
      <c r="C60">
        <v>0.71535031958756157</v>
      </c>
      <c r="D60">
        <v>0.58241812755772349</v>
      </c>
      <c r="E60">
        <v>0.83349965089529621</v>
      </c>
      <c r="F60">
        <v>0.32759933687310272</v>
      </c>
      <c r="G60">
        <v>0.68027779356190332</v>
      </c>
      <c r="H60">
        <v>0.70650756230774192</v>
      </c>
      <c r="I60">
        <v>0.1850102991462711</v>
      </c>
      <c r="J60">
        <v>0.79379820433200943</v>
      </c>
      <c r="K60">
        <v>0.82881267354358379</v>
      </c>
      <c r="L60">
        <v>0.61817122155033566</v>
      </c>
      <c r="M60">
        <v>0.68525455172883964</v>
      </c>
      <c r="N60">
        <v>0.55564187743457494</v>
      </c>
      <c r="O60">
        <v>3.7114945585850267E-2</v>
      </c>
      <c r="P60">
        <v>0.67510101413971746</v>
      </c>
      <c r="Q60">
        <v>0.282885217356033</v>
      </c>
      <c r="S60" s="1">
        <v>49007</v>
      </c>
      <c r="T60">
        <v>0.75409063551871247</v>
      </c>
      <c r="V60" s="1">
        <v>49007</v>
      </c>
      <c r="W60">
        <v>0.56076446738737895</v>
      </c>
    </row>
    <row r="61" spans="1:23" x14ac:dyDescent="0.35">
      <c r="A61" s="11">
        <v>49007</v>
      </c>
      <c r="B61">
        <v>0.19263422197307345</v>
      </c>
      <c r="C61">
        <v>0.60271748111041412</v>
      </c>
      <c r="D61">
        <v>0.51530764977197119</v>
      </c>
      <c r="E61">
        <v>0.27566313670698728</v>
      </c>
      <c r="F61">
        <v>7.8451178265791732E-2</v>
      </c>
      <c r="G61">
        <v>0.79565584234833198</v>
      </c>
      <c r="H61">
        <v>0.80201805173430074</v>
      </c>
      <c r="I61">
        <v>0.50077348930318077</v>
      </c>
      <c r="J61">
        <v>0.89213680213486435</v>
      </c>
      <c r="K61">
        <v>0.52436802282991613</v>
      </c>
      <c r="L61">
        <v>0.39224202805753827</v>
      </c>
      <c r="M61">
        <v>0.64237604727600184</v>
      </c>
      <c r="N61">
        <v>0.64561241977566253</v>
      </c>
      <c r="O61">
        <v>0.23696883094369203</v>
      </c>
      <c r="P61">
        <v>0.75235554742106048</v>
      </c>
      <c r="Q61">
        <v>0.60723987103269772</v>
      </c>
      <c r="S61" s="1">
        <v>49372</v>
      </c>
      <c r="T61">
        <v>0.38312509356304159</v>
      </c>
      <c r="V61" s="1">
        <v>49372</v>
      </c>
      <c r="W61">
        <v>0.23149367144436395</v>
      </c>
    </row>
    <row r="62" spans="1:23" x14ac:dyDescent="0.35">
      <c r="A62" s="11">
        <v>49372</v>
      </c>
      <c r="B62">
        <v>0.28417939893387201</v>
      </c>
      <c r="C62">
        <v>0.97559370725452343</v>
      </c>
      <c r="D62">
        <v>0.56892036998539186</v>
      </c>
      <c r="E62">
        <v>0.95903242773320663</v>
      </c>
      <c r="F62">
        <v>0.15081874539094831</v>
      </c>
      <c r="G62">
        <v>0.41350651206253275</v>
      </c>
      <c r="H62">
        <v>0.13406185524224268</v>
      </c>
      <c r="I62">
        <v>0.84153245621974426</v>
      </c>
      <c r="J62">
        <v>7.8964554637989126E-2</v>
      </c>
      <c r="K62">
        <v>0.54308154565985856</v>
      </c>
      <c r="L62">
        <v>0.41097422682105933</v>
      </c>
      <c r="M62">
        <v>0.24715356346598216</v>
      </c>
      <c r="N62">
        <v>0.77832964332861743</v>
      </c>
      <c r="O62">
        <v>0.98881263139853914</v>
      </c>
      <c r="P62">
        <v>0.96679795121644874</v>
      </c>
      <c r="Q62">
        <v>0.40815507907771931</v>
      </c>
      <c r="S62" s="1">
        <v>49738</v>
      </c>
      <c r="T62">
        <v>0.79347798323888619</v>
      </c>
      <c r="V62" s="1">
        <v>49738</v>
      </c>
      <c r="W62">
        <v>0.66459564944319793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744AB-24DC-4981-AE02-17FFF0775706}">
  <sheetPr codeName="Feuil2"/>
  <dimension ref="B2:F6"/>
  <sheetViews>
    <sheetView tabSelected="1" workbookViewId="0">
      <selection activeCell="K8" sqref="K8"/>
    </sheetView>
  </sheetViews>
  <sheetFormatPr baseColWidth="10" defaultRowHeight="14.5" x14ac:dyDescent="0.35"/>
  <sheetData>
    <row r="2" spans="2:6" x14ac:dyDescent="0.35">
      <c r="B2" s="5" t="s">
        <v>5</v>
      </c>
      <c r="C2" t="s">
        <v>0</v>
      </c>
      <c r="E2" s="6" t="s">
        <v>8</v>
      </c>
      <c r="F2" t="e" cm="1">
        <f t="array" ref="F2">CallPrice(C4,C3,C2)</f>
        <v>#VALUE!</v>
      </c>
    </row>
    <row r="3" spans="2:6" x14ac:dyDescent="0.35">
      <c r="B3" s="5" t="s">
        <v>6</v>
      </c>
      <c r="C3" s="1">
        <f>DATE(2022,3,4)</f>
        <v>44624</v>
      </c>
      <c r="E3" s="6" t="s">
        <v>9</v>
      </c>
      <c r="F3" t="e" cm="1">
        <f t="array" ref="F3">Sensibility(C4,C3,C2)</f>
        <v>#VALUE!</v>
      </c>
    </row>
    <row r="4" spans="2:6" x14ac:dyDescent="0.35">
      <c r="B4" s="5" t="s">
        <v>7</v>
      </c>
      <c r="C4" t="s">
        <v>36</v>
      </c>
      <c r="E4" s="6" t="s">
        <v>12</v>
      </c>
    </row>
    <row r="5" spans="2:6" x14ac:dyDescent="0.35">
      <c r="E5" s="6" t="s">
        <v>10</v>
      </c>
    </row>
    <row r="6" spans="2:6" x14ac:dyDescent="0.35">
      <c r="E6" s="6" t="s">
        <v>11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4B15B-6190-464C-A324-EA92C10F116C}">
  <sheetPr codeName="Feuil3"/>
  <dimension ref="A2:W15"/>
  <sheetViews>
    <sheetView topLeftCell="J2" workbookViewId="0">
      <selection activeCell="O1" sqref="O1"/>
    </sheetView>
  </sheetViews>
  <sheetFormatPr baseColWidth="10" defaultRowHeight="14.5" x14ac:dyDescent="0.35"/>
  <cols>
    <col min="1" max="1" width="12.1796875" bestFit="1" customWidth="1"/>
  </cols>
  <sheetData>
    <row r="2" spans="1:23" x14ac:dyDescent="0.35">
      <c r="A2" s="2" t="s">
        <v>3</v>
      </c>
      <c r="B2" s="1">
        <v>44631</v>
      </c>
    </row>
    <row r="3" spans="1:23" x14ac:dyDescent="0.35">
      <c r="A3" s="2" t="s">
        <v>13</v>
      </c>
      <c r="B3">
        <v>100</v>
      </c>
    </row>
    <row r="4" spans="1:23" x14ac:dyDescent="0.35">
      <c r="A4" s="2" t="s">
        <v>14</v>
      </c>
      <c r="B4" s="7">
        <v>0.4</v>
      </c>
    </row>
    <row r="5" spans="1:23" x14ac:dyDescent="0.35">
      <c r="C5" s="17" t="s">
        <v>34</v>
      </c>
      <c r="D5" s="17"/>
      <c r="E5" s="17"/>
      <c r="F5" s="17"/>
      <c r="G5" s="17"/>
      <c r="H5" s="17"/>
      <c r="I5" s="17"/>
      <c r="J5" s="17"/>
      <c r="K5" s="17"/>
      <c r="L5" s="17"/>
      <c r="N5" s="18" t="s">
        <v>35</v>
      </c>
      <c r="O5" s="18"/>
      <c r="P5" s="18"/>
      <c r="Q5" s="18"/>
      <c r="R5" s="18"/>
      <c r="S5" s="18"/>
      <c r="T5" s="18"/>
      <c r="U5" s="18"/>
      <c r="V5" s="18"/>
      <c r="W5" s="18"/>
    </row>
    <row r="6" spans="1:23" x14ac:dyDescent="0.35">
      <c r="C6" s="4" t="s">
        <v>15</v>
      </c>
      <c r="D6" s="4" t="s">
        <v>16</v>
      </c>
      <c r="E6" s="4" t="s">
        <v>17</v>
      </c>
      <c r="F6" s="4" t="s">
        <v>18</v>
      </c>
      <c r="G6" s="4" t="s">
        <v>19</v>
      </c>
      <c r="H6" s="4" t="s">
        <v>20</v>
      </c>
      <c r="I6" s="4" t="s">
        <v>21</v>
      </c>
      <c r="J6" s="4" t="s">
        <v>22</v>
      </c>
      <c r="K6" s="4" t="s">
        <v>23</v>
      </c>
      <c r="L6" s="4" t="s">
        <v>24</v>
      </c>
      <c r="N6" s="8" t="s">
        <v>15</v>
      </c>
      <c r="O6" s="8" t="s">
        <v>16</v>
      </c>
      <c r="P6" s="8" t="s">
        <v>17</v>
      </c>
      <c r="Q6" s="8" t="s">
        <v>18</v>
      </c>
      <c r="R6" s="8" t="s">
        <v>19</v>
      </c>
      <c r="S6" s="8" t="s">
        <v>20</v>
      </c>
      <c r="T6" s="8" t="s">
        <v>21</v>
      </c>
      <c r="U6" s="8" t="s">
        <v>22</v>
      </c>
      <c r="V6" s="8" t="s">
        <v>23</v>
      </c>
      <c r="W6" s="8" t="s">
        <v>24</v>
      </c>
    </row>
    <row r="7" spans="1:23" x14ac:dyDescent="0.35">
      <c r="B7" s="4" t="s">
        <v>25</v>
      </c>
      <c r="C7">
        <v>0.29494585415946639</v>
      </c>
      <c r="D7">
        <v>0.74626917986851105</v>
      </c>
      <c r="E7">
        <v>0.23077862567313423</v>
      </c>
      <c r="F7">
        <v>8.4369193656978703E-2</v>
      </c>
      <c r="G7">
        <v>0.98126743123995341</v>
      </c>
      <c r="H7">
        <v>0.72262134852549376</v>
      </c>
      <c r="I7">
        <v>0.86079271582270078</v>
      </c>
      <c r="J7">
        <v>0.3380937452369801</v>
      </c>
      <c r="K7">
        <v>6.5371015106440611E-2</v>
      </c>
      <c r="L7">
        <v>9.7471163502234948E-2</v>
      </c>
      <c r="N7" s="9" t="e" cm="1">
        <f t="array" aca="1" ref="N7" ca="1">p_default(B7,$B$2,$B$4,$B$3)</f>
        <v>#NAME?</v>
      </c>
      <c r="O7" s="9" cm="1">
        <f t="array" ref="O7">p_default(C7,$B$2,$B$4,$B$3)</f>
        <v>0.88282889127731323</v>
      </c>
      <c r="P7" s="9" cm="1">
        <f t="array" ref="P7">p_default(D7,$B$2,$B$4,$B$3)</f>
        <v>0.3586236834526062</v>
      </c>
      <c r="Q7" s="9" cm="1">
        <f t="array" ref="Q7">p_default(E7,$B$2,$B$4,$B$3)</f>
        <v>0.64120340347290039</v>
      </c>
      <c r="R7" s="9" cm="1">
        <f t="array" ref="R7">p_default(F7,$B$2,$B$4,$B$3)</f>
        <v>0.30344593524932861</v>
      </c>
      <c r="S7" s="9" cm="1">
        <f t="array" ref="S7">p_default(G7,$B$2,$B$4,$B$3)</f>
        <v>0.42353165149688721</v>
      </c>
      <c r="T7" s="9" cm="1">
        <f t="array" ref="T7">p_default(H7,$B$2,$B$4,$B$3)</f>
        <v>0.65674984455108643</v>
      </c>
      <c r="U7" s="9" cm="1">
        <f t="array" ref="U7">p_default(I7,$B$2,$B$4,$B$3)</f>
        <v>0.5237087607383728</v>
      </c>
      <c r="V7" s="9" cm="1">
        <f t="array" ref="V7">p_default(J7,$B$2,$B$4,$B$3)</f>
        <v>0.86810243129730225</v>
      </c>
      <c r="W7" s="9" cm="1">
        <f t="array" ref="W7">p_default(K7,$B$2,$B$4,$B$3)</f>
        <v>0.79560714960098267</v>
      </c>
    </row>
    <row r="8" spans="1:23" x14ac:dyDescent="0.35">
      <c r="B8" s="4" t="s">
        <v>26</v>
      </c>
      <c r="C8">
        <v>0.76089249627365874</v>
      </c>
      <c r="D8">
        <v>0.4935143642351546</v>
      </c>
      <c r="E8">
        <v>0.48007361375406166</v>
      </c>
      <c r="F8">
        <v>0.28376272163196903</v>
      </c>
      <c r="G8">
        <v>0.59488756068459048</v>
      </c>
      <c r="H8">
        <v>0.24425443239462352</v>
      </c>
      <c r="I8">
        <v>0.32709367527952238</v>
      </c>
      <c r="J8">
        <v>0.47546599549625146</v>
      </c>
      <c r="K8">
        <v>0.94407567036947482</v>
      </c>
      <c r="L8">
        <v>8.9536777835366399E-2</v>
      </c>
      <c r="N8" s="9" cm="1">
        <f t="array" ref="N8">p_default(B8,$B$2,$B$4,$B$3)</f>
        <v>0.61806964874267578</v>
      </c>
      <c r="O8" s="9" cm="1">
        <f t="array" ref="O8">p_default(C8,$B$2,$B$4,$B$3)</f>
        <v>0.23935794830322266</v>
      </c>
      <c r="P8" s="9" cm="1">
        <f t="array" ref="P8">p_default(D8,$B$2,$B$4,$B$3)</f>
        <v>0.14809107780456543</v>
      </c>
      <c r="Q8" s="9" cm="1">
        <f t="array" ref="Q8">p_default(E8,$B$2,$B$4,$B$3)</f>
        <v>0.36348879337310791</v>
      </c>
      <c r="R8" s="9" cm="1">
        <f t="array" ref="R8">p_default(F8,$B$2,$B$4,$B$3)</f>
        <v>0.63538718223571777</v>
      </c>
      <c r="S8" s="9" cm="1">
        <f t="array" ref="S8">p_default(G8,$B$2,$B$4,$B$3)</f>
        <v>0.50721120834350586</v>
      </c>
      <c r="T8" s="9" cm="1">
        <f t="array" ref="T8">p_default(H8,$B$2,$B$4,$B$3)</f>
        <v>0.28208327293395996</v>
      </c>
      <c r="U8" s="9" cm="1">
        <f t="array" ref="U8">p_default(I8,$B$2,$B$4,$B$3)</f>
        <v>0.62470585107803345</v>
      </c>
      <c r="V8" s="9" cm="1">
        <f t="array" ref="V8">p_default(J8,$B$2,$B$4,$B$3)</f>
        <v>0.1752699613571167</v>
      </c>
      <c r="W8" s="9" cm="1">
        <f t="array" ref="W8">p_default(K8,$B$2,$B$4,$B$3)</f>
        <v>0.94287174940109253</v>
      </c>
    </row>
    <row r="9" spans="1:23" x14ac:dyDescent="0.35">
      <c r="B9" s="4" t="s">
        <v>27</v>
      </c>
      <c r="C9">
        <v>0.99621474935094323</v>
      </c>
      <c r="D9">
        <v>0.78414731568941465</v>
      </c>
      <c r="E9">
        <v>0.98153100856551379</v>
      </c>
      <c r="F9">
        <v>0.72573010039551344</v>
      </c>
      <c r="G9">
        <v>0.22083121017371754</v>
      </c>
      <c r="H9">
        <v>0.60528423121078734</v>
      </c>
      <c r="I9">
        <v>0.35464403777951858</v>
      </c>
      <c r="J9">
        <v>0.5024128940650523</v>
      </c>
      <c r="K9">
        <v>0.78153923295612127</v>
      </c>
      <c r="L9">
        <v>0.41733407848078552</v>
      </c>
      <c r="N9" s="9" cm="1">
        <f t="array" ref="N9">p_default(B9,$B$2,$B$4,$B$3)</f>
        <v>0.59266185760498047</v>
      </c>
      <c r="O9" s="9" cm="1">
        <f t="array" ref="O9">p_default(C9,$B$2,$B$4,$B$3)</f>
        <v>0.24826818704605103</v>
      </c>
      <c r="P9" s="9" cm="1">
        <f t="array" ref="P9">p_default(D9,$B$2,$B$4,$B$3)</f>
        <v>0.29276460409164429</v>
      </c>
      <c r="Q9" s="9" cm="1">
        <f t="array" ref="Q9">p_default(E9,$B$2,$B$4,$B$3)</f>
        <v>1.7641067504882813E-2</v>
      </c>
      <c r="R9" s="9" cm="1">
        <f t="array" ref="R9">p_default(F9,$B$2,$B$4,$B$3)</f>
        <v>0.24422305822372437</v>
      </c>
      <c r="S9" s="9" cm="1">
        <f t="array" ref="S9">p_default(G9,$B$2,$B$4,$B$3)</f>
        <v>0.11781817674636841</v>
      </c>
      <c r="T9" s="9" cm="1">
        <f t="array" ref="T9">p_default(H9,$B$2,$B$4,$B$3)</f>
        <v>0.26154059171676636</v>
      </c>
      <c r="U9" s="9" cm="1">
        <f t="array" ref="U9">p_default(I9,$B$2,$B$4,$B$3)</f>
        <v>0.32562857866287231</v>
      </c>
      <c r="V9" s="9" cm="1">
        <f t="array" ref="V9">p_default(J9,$B$2,$B$4,$B$3)</f>
        <v>2.5731325149536133E-2</v>
      </c>
      <c r="W9" s="9" cm="1">
        <f t="array" ref="W9">p_default(K9,$B$2,$B$4,$B$3)</f>
        <v>0.75465291738510132</v>
      </c>
    </row>
    <row r="10" spans="1:23" x14ac:dyDescent="0.35">
      <c r="B10" s="4" t="s">
        <v>28</v>
      </c>
      <c r="C10">
        <v>0.35720485651477485</v>
      </c>
      <c r="D10">
        <v>0.111359970474885</v>
      </c>
      <c r="E10">
        <v>0.20288761785766773</v>
      </c>
      <c r="F10">
        <v>0.20352234977054329</v>
      </c>
      <c r="G10">
        <v>0.16558947228686138</v>
      </c>
      <c r="H10">
        <v>0.99716241711998266</v>
      </c>
      <c r="I10">
        <v>0.58905271546945837</v>
      </c>
      <c r="J10">
        <v>1.7676601801802749E-2</v>
      </c>
      <c r="K10">
        <v>0.59349788909409151</v>
      </c>
      <c r="L10">
        <v>0.17618685904847753</v>
      </c>
      <c r="N10" s="9" cm="1">
        <f t="array" ref="N10">p_default(B10,$B$2,$B$4,$B$3)</f>
        <v>0.14986217021942139</v>
      </c>
      <c r="O10" s="9" cm="1">
        <f t="array" ref="O10">p_default(C10,$B$2,$B$4,$B$3)</f>
        <v>0.74801671504974365</v>
      </c>
      <c r="P10" s="9" cm="1">
        <f t="array" ref="P10">p_default(D10,$B$2,$B$4,$B$3)</f>
        <v>0.61579561233520508</v>
      </c>
      <c r="Q10" s="9" cm="1">
        <f t="array" ref="Q10">p_default(E10,$B$2,$B$4,$B$3)</f>
        <v>0.69056493043899536</v>
      </c>
      <c r="R10" s="9" cm="1">
        <f t="array" ref="R10">p_default(F10,$B$2,$B$4,$B$3)</f>
        <v>0.60334318876266479</v>
      </c>
      <c r="S10" s="9" cm="1">
        <f t="array" ref="S10">p_default(G10,$B$2,$B$4,$B$3)</f>
        <v>0.37903523445129395</v>
      </c>
      <c r="T10" s="9" cm="1">
        <f t="array" ref="T10">p_default(H10,$B$2,$B$4,$B$3)</f>
        <v>7.9137980937957764E-2</v>
      </c>
      <c r="U10" s="9" cm="1">
        <f t="array" ref="U10">p_default(I10,$B$2,$B$4,$B$3)</f>
        <v>0.51125633716583252</v>
      </c>
      <c r="V10" s="9" cm="1">
        <f t="array" ref="V10">p_default(J10,$B$2,$B$4,$B$3)</f>
        <v>0.58198052644729614</v>
      </c>
      <c r="W10" s="9" cm="1">
        <f t="array" ref="W10">p_default(K10,$B$2,$B$4,$B$3)</f>
        <v>0.45121347904205322</v>
      </c>
    </row>
    <row r="11" spans="1:23" x14ac:dyDescent="0.35">
      <c r="B11" s="4" t="s">
        <v>29</v>
      </c>
      <c r="C11">
        <v>0.34872566741019306</v>
      </c>
      <c r="D11">
        <v>0.70956423453821926</v>
      </c>
      <c r="E11">
        <v>0.44185282149789595</v>
      </c>
      <c r="F11">
        <v>0.97304116150451381</v>
      </c>
      <c r="G11">
        <v>0.8043793788818423</v>
      </c>
      <c r="H11">
        <v>0.20024775195021605</v>
      </c>
      <c r="I11">
        <v>0.25340413676052553</v>
      </c>
      <c r="J11">
        <v>0.1723920927799325</v>
      </c>
      <c r="K11">
        <v>0.72699860272193173</v>
      </c>
      <c r="L11">
        <v>0.99558071606073051</v>
      </c>
      <c r="N11" s="9" cm="1">
        <f t="array" ref="N11">p_default(B11,$B$2,$B$4,$B$3)</f>
        <v>0.95096200704574585</v>
      </c>
      <c r="O11" s="9" cm="1">
        <f t="array" ref="O11">p_default(C11,$B$2,$B$4,$B$3)</f>
        <v>6.0366392135620117E-2</v>
      </c>
      <c r="P11" s="9" cm="1">
        <f t="array" ref="P11">p_default(D11,$B$2,$B$4,$B$3)</f>
        <v>0.40848815441131592</v>
      </c>
      <c r="Q11" s="9" cm="1">
        <f t="array" ref="Q11">p_default(E11,$B$2,$B$4,$B$3)</f>
        <v>0.41689544916152954</v>
      </c>
      <c r="R11" s="9" cm="1">
        <f t="array" ref="R11">p_default(F11,$B$2,$B$4,$B$3)</f>
        <v>0.40444302558898926</v>
      </c>
      <c r="S11" s="9" cm="1">
        <f t="array" ref="S11">p_default(G11,$B$2,$B$4,$B$3)</f>
        <v>0.90242046117782593</v>
      </c>
      <c r="T11" s="9" cm="1">
        <f t="array" ref="T11">p_default(H11,$B$2,$B$4,$B$3)</f>
        <v>0.4809834361076355</v>
      </c>
      <c r="U11" s="9" cm="1">
        <f t="array" ref="U11">p_default(I11,$B$2,$B$4,$B$3)</f>
        <v>0.28467434644699097</v>
      </c>
      <c r="V11" s="9" cm="1">
        <f t="array" ref="V11">p_default(J11,$B$2,$B$4,$B$3)</f>
        <v>0.59670698642730713</v>
      </c>
      <c r="W11" s="9" cm="1">
        <f t="array" ref="W11">p_default(K11,$B$2,$B$4,$B$3)</f>
        <v>0.96423441171646118</v>
      </c>
    </row>
    <row r="12" spans="1:23" x14ac:dyDescent="0.35">
      <c r="B12" s="4" t="s">
        <v>30</v>
      </c>
      <c r="C12">
        <v>0.71119569765470081</v>
      </c>
      <c r="D12">
        <v>0.23631191641972449</v>
      </c>
      <c r="E12">
        <v>0.71616276249765298</v>
      </c>
      <c r="F12">
        <v>0.38837853998156679</v>
      </c>
      <c r="G12">
        <v>8.1988586043810985E-2</v>
      </c>
      <c r="H12">
        <v>0.51742839377276539</v>
      </c>
      <c r="I12">
        <v>0.70037112400842427</v>
      </c>
      <c r="J12">
        <v>0.72898649671800153</v>
      </c>
      <c r="K12">
        <v>0.5472400879882241</v>
      </c>
      <c r="L12">
        <v>0.61982399328727489</v>
      </c>
      <c r="N12" s="9" cm="1">
        <f t="array" ref="N12">p_default(B12,$B$2,$B$4,$B$3)</f>
        <v>7.7366888523101807E-2</v>
      </c>
      <c r="O12" s="9" cm="1">
        <f t="array" ref="O12">p_default(C12,$B$2,$B$4,$B$3)</f>
        <v>0.9945073127746582</v>
      </c>
      <c r="P12" s="9" cm="1">
        <f t="array" ref="P12">p_default(D12,$B$2,$B$4,$B$3)</f>
        <v>0.10132062435150146</v>
      </c>
      <c r="Q12" s="9" cm="1">
        <f t="array" ref="Q12">p_default(E12,$B$2,$B$4,$B$3)</f>
        <v>0.10536575317382813</v>
      </c>
      <c r="R12" s="9" cm="1">
        <f t="array" ref="R12">p_default(F12,$B$2,$B$4,$B$3)</f>
        <v>0.7693793773651123</v>
      </c>
      <c r="S12" s="9" cm="1">
        <f t="array" ref="S12">p_default(G12,$B$2,$B$4,$B$3)</f>
        <v>0.80401444435119629</v>
      </c>
      <c r="T12" s="9" cm="1">
        <f t="array" ref="T12">p_default(H12,$B$2,$B$4,$B$3)</f>
        <v>0.77601557970046997</v>
      </c>
      <c r="U12" s="9" cm="1">
        <f t="array" ref="U12">p_default(I12,$B$2,$B$4,$B$3)</f>
        <v>0.39780682325363159</v>
      </c>
      <c r="V12" s="9" cm="1">
        <f t="array" ref="V12">p_default(J12,$B$2,$B$4,$B$3)</f>
        <v>0.24599415063858032</v>
      </c>
      <c r="W12" s="9" cm="1">
        <f t="array" ref="W12">p_default(K12,$B$2,$B$4,$B$3)</f>
        <v>0.49652987718582153</v>
      </c>
    </row>
    <row r="13" spans="1:23" x14ac:dyDescent="0.35">
      <c r="B13" s="4" t="s">
        <v>31</v>
      </c>
      <c r="C13">
        <v>0.48026029622722088</v>
      </c>
      <c r="D13">
        <v>0.7894588670556596</v>
      </c>
      <c r="E13">
        <v>0.28831008361692001</v>
      </c>
      <c r="F13">
        <v>0.54637832547791099</v>
      </c>
      <c r="G13">
        <v>0.34594961542252645</v>
      </c>
      <c r="H13">
        <v>0.70353296681546107</v>
      </c>
      <c r="I13">
        <v>0.60201280065986917</v>
      </c>
      <c r="J13">
        <v>0.37906450627760413</v>
      </c>
      <c r="K13">
        <v>0.31828521559558998</v>
      </c>
      <c r="L13">
        <v>3.0081118860186051E-2</v>
      </c>
      <c r="N13" s="9" cm="1">
        <f t="array" ref="N13">p_default(B13,$B$2,$B$4,$B$3)</f>
        <v>0.79965227842330933</v>
      </c>
      <c r="O13" s="9" cm="1">
        <f t="array" ref="O13">p_default(C13,$B$2,$B$4,$B$3)</f>
        <v>0.52857387065887451</v>
      </c>
      <c r="P13" s="9" cm="1">
        <f t="array" ref="P13">p_default(D13,$B$2,$B$4,$B$3)</f>
        <v>0.41916948556900024</v>
      </c>
      <c r="Q13" s="9" cm="1">
        <f t="array" ref="Q13">p_default(E13,$B$2,$B$4,$B$3)</f>
        <v>0.12849950790405273</v>
      </c>
      <c r="R13" s="9" cm="1">
        <f t="array" ref="R13">p_default(F13,$B$2,$B$4,$B$3)</f>
        <v>0.66743117570877075</v>
      </c>
      <c r="S13" s="9" cm="1">
        <f t="array" ref="S13">p_default(G13,$B$2,$B$4,$B$3)</f>
        <v>0.80224335193634033</v>
      </c>
      <c r="T13" s="9" cm="1">
        <f t="array" ref="T13">p_default(H13,$B$2,$B$4,$B$3)</f>
        <v>0.21622419357299805</v>
      </c>
      <c r="U13" s="9" cm="1">
        <f t="array" ref="U13">p_default(I13,$B$2,$B$4,$B$3)</f>
        <v>0.47516721487045288</v>
      </c>
      <c r="V13" s="9" cm="1">
        <f t="array" ref="V13">p_default(J13,$B$2,$B$4,$B$3)</f>
        <v>0.8917391300201416</v>
      </c>
      <c r="W13" s="9" cm="1">
        <f t="array" ref="W13">p_default(K13,$B$2,$B$4,$B$3)</f>
        <v>0.20149773359298706</v>
      </c>
    </row>
    <row r="14" spans="1:23" x14ac:dyDescent="0.35">
      <c r="B14" s="4" t="s">
        <v>32</v>
      </c>
      <c r="C14">
        <v>4.0829961124148606E-2</v>
      </c>
      <c r="D14">
        <v>0.59582930968474423</v>
      </c>
      <c r="E14">
        <v>0.20348875676045641</v>
      </c>
      <c r="F14">
        <v>0.86173487710451346</v>
      </c>
      <c r="G14">
        <v>0.44011625968706092</v>
      </c>
      <c r="H14">
        <v>0.33189284235485883</v>
      </c>
      <c r="I14">
        <v>6.0385505168990328E-2</v>
      </c>
      <c r="J14">
        <v>0.12783312808871694</v>
      </c>
      <c r="K14">
        <v>0.72592565305975776</v>
      </c>
      <c r="L14">
        <v>4.3173560459002225E-2</v>
      </c>
      <c r="N14" s="9" cm="1">
        <f t="array" ref="N14">p_default(B14,$B$2,$B$4,$B$3)</f>
        <v>0.2780381441116333</v>
      </c>
      <c r="O14" s="9" cm="1">
        <f t="array" ref="O14">p_default(C14,$B$2,$B$4,$B$3)</f>
        <v>0.94691687822341919</v>
      </c>
      <c r="P14" s="9" cm="1">
        <f t="array" ref="P14">p_default(D14,$B$2,$B$4,$B$3)</f>
        <v>7.5092852115631104E-2</v>
      </c>
      <c r="Q14" s="9" cm="1">
        <f t="array" ref="Q14">p_default(E14,$B$2,$B$4,$B$3)</f>
        <v>0.95582711696624756</v>
      </c>
      <c r="R14" s="9" cm="1">
        <f t="array" ref="R14">p_default(F14,$B$2,$B$4,$B$3)</f>
        <v>0.79333311319351196</v>
      </c>
      <c r="S14" s="9" cm="1">
        <f t="array" ref="S14">p_default(G14,$B$2,$B$4,$B$3)</f>
        <v>0.217995285987854</v>
      </c>
      <c r="T14" s="9" cm="1">
        <f t="array" ref="T14">p_default(H14,$B$2,$B$4,$B$3)</f>
        <v>3.2367527484893799E-2</v>
      </c>
      <c r="U14" s="9" cm="1">
        <f t="array" ref="U14">p_default(I14,$B$2,$B$4,$B$3)</f>
        <v>0.85969513654708862</v>
      </c>
      <c r="V14" s="9" cm="1">
        <f t="array" ref="V14">p_default(J14,$B$2,$B$4,$B$3)</f>
        <v>0.57129919528961182</v>
      </c>
      <c r="W14" s="9" cm="1">
        <f t="array" ref="W14">p_default(K14,$B$2,$B$4,$B$3)</f>
        <v>0.67147630453109741</v>
      </c>
    </row>
    <row r="15" spans="1:23" x14ac:dyDescent="0.35">
      <c r="B15" s="4" t="s">
        <v>33</v>
      </c>
      <c r="C15">
        <v>0.43409148574069056</v>
      </c>
      <c r="D15">
        <v>0.24470043648286854</v>
      </c>
      <c r="E15">
        <v>0.47338513679403182</v>
      </c>
      <c r="F15">
        <v>0.50427621483837848</v>
      </c>
      <c r="G15">
        <v>0.15568412920820629</v>
      </c>
      <c r="H15">
        <v>0.27480564435366805</v>
      </c>
      <c r="I15">
        <v>0.41331643406651386</v>
      </c>
      <c r="J15">
        <v>0.54940529136033156</v>
      </c>
      <c r="K15">
        <v>0.96487747295891158</v>
      </c>
      <c r="L15">
        <v>0.66635282575250432</v>
      </c>
      <c r="N15" s="9" cm="1">
        <f t="array" ref="N15">p_default(B15,$B$2,$B$4,$B$3)</f>
        <v>0.96650844812393188</v>
      </c>
      <c r="O15" s="9" cm="1">
        <f t="array" ref="O15">p_default(C15,$B$2,$B$4,$B$3)</f>
        <v>0.38308036327362061</v>
      </c>
      <c r="P15" s="9" cm="1">
        <f t="array" ref="P15">p_default(D15,$B$2,$B$4,$B$3)</f>
        <v>0.72260892391204834</v>
      </c>
      <c r="Q15" s="9" cm="1">
        <f t="array" ref="Q15">p_default(E15,$B$2,$B$4,$B$3)</f>
        <v>0.51302742958068848</v>
      </c>
      <c r="R15" s="9" cm="1">
        <f t="array" ref="R15">p_default(F15,$B$2,$B$4,$B$3)</f>
        <v>0.29535567760467529</v>
      </c>
      <c r="S15" s="9" cm="1">
        <f t="array" ref="S15">p_default(G15,$B$2,$B$4,$B$3)</f>
        <v>0.41107922792434692</v>
      </c>
      <c r="T15" s="9" cm="1">
        <f t="array" ref="T15">p_default(H15,$B$2,$B$4,$B$3)</f>
        <v>0.3380810022354126</v>
      </c>
      <c r="U15" s="9" cm="1">
        <f t="array" ref="U15">p_default(I15,$B$2,$B$4,$B$3)</f>
        <v>0.4405321478843689</v>
      </c>
      <c r="V15" s="9" cm="1">
        <f t="array" ref="V15">p_default(J15,$B$2,$B$4,$B$3)</f>
        <v>0.32739967107772827</v>
      </c>
      <c r="W15" s="9" cm="1">
        <f t="array" ref="W15">p_default(K15,$B$2,$B$4,$B$3)</f>
        <v>0.86146622896194458</v>
      </c>
    </row>
  </sheetData>
  <mergeCells count="2">
    <mergeCell ref="C5:L5"/>
    <mergeCell ref="N5:W5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Equity</vt:lpstr>
      <vt:lpstr>Pricing</vt:lpstr>
      <vt:lpstr>CDS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l.messaoudi</dc:creator>
  <cp:lastModifiedBy>BADUET Line</cp:lastModifiedBy>
  <dcterms:created xsi:type="dcterms:W3CDTF">2015-06-05T18:19:34Z</dcterms:created>
  <dcterms:modified xsi:type="dcterms:W3CDTF">2024-01-27T11:49:54Z</dcterms:modified>
</cp:coreProperties>
</file>