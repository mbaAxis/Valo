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42A119D6-7302-49AA-9B2A-EA6F02E3C0DA}" xr6:coauthVersionLast="47" xr6:coauthVersionMax="47" xr10:uidLastSave="{00000000-0000-0000-0000-000000000000}"/>
  <bookViews>
    <workbookView xWindow="-108" yWindow="-108" windowWidth="23256" windowHeight="12456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8" l="1"/>
  <c r="F14" i="8" a="1"/>
  <c r="F15" i="8"/>
  <c r="F16" i="8"/>
  <c r="F14" i="8"/>
  <c r="G14" i="8"/>
  <c r="H14" i="8"/>
  <c r="I14" i="8"/>
  <c r="J14" i="8"/>
  <c r="K14" i="8"/>
  <c r="G15" i="8"/>
  <c r="H15" i="8"/>
  <c r="I15" i="8"/>
  <c r="J15" i="8"/>
  <c r="K15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C7" i="6"/>
  <c r="E11" i="6" a="1"/>
  <c r="E11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16" i="6"/>
  <c r="N16" i="6" a="1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17" i="6"/>
  <c r="N17" i="6" a="1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18" i="6"/>
  <c r="N18" i="6" a="1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19" i="6"/>
  <c r="N19" i="6" a="1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20" i="6"/>
  <c r="N20" i="6" a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21" i="6"/>
  <c r="N21" i="6" a="1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22" i="6"/>
  <c r="N22" i="6" a="1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23" i="6"/>
  <c r="N23" i="6" a="1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24" i="6"/>
  <c r="N24" i="6" a="1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25" i="6"/>
  <c r="N25" i="6" a="1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26" i="6"/>
  <c r="N26" i="6" a="1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27" i="6"/>
  <c r="N27" i="6" a="1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28" i="6"/>
  <c r="N28" i="6" a="1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29" i="6"/>
  <c r="N29" i="6" a="1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30" i="6"/>
  <c r="N30" i="6" a="1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31" i="6"/>
  <c r="N31" i="6" a="1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32" i="6"/>
  <c r="N32" i="6" a="1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33" i="6"/>
  <c r="N33" i="6" a="1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34" i="6"/>
  <c r="N34" i="6" a="1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35" i="6"/>
  <c r="N35" i="6" a="1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36" i="6"/>
  <c r="N36" i="6" a="1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37" i="6"/>
  <c r="N37" i="6" a="1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38" i="6"/>
  <c r="N38" i="6" a="1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39" i="6"/>
  <c r="N39" i="6" a="1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40" i="6"/>
  <c r="N40" i="6" a="1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41" i="6"/>
  <c r="N41" i="6" a="1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42" i="6"/>
  <c r="N42" i="6" a="1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43" i="6"/>
  <c r="N43" i="6" a="1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44" i="6"/>
  <c r="N44" i="6" a="1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45" i="6"/>
  <c r="N45" i="6" a="1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46" i="6"/>
  <c r="N46" i="6" a="1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47" i="6"/>
  <c r="N47" i="6" a="1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48" i="6"/>
  <c r="N48" i="6" a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49" i="6"/>
  <c r="N49" i="6" a="1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50" i="6"/>
  <c r="N50" i="6" a="1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51" i="6"/>
  <c r="N51" i="6" a="1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52" i="6"/>
  <c r="N52" i="6" a="1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53" i="6"/>
  <c r="N53" i="6" a="1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54" i="6"/>
  <c r="N54" i="6" a="1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55" i="6"/>
  <c r="N55" i="6" a="1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56" i="6"/>
  <c r="N56" i="6" a="1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57" i="6"/>
  <c r="N57" i="6" a="1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58" i="6"/>
  <c r="N58" i="6" a="1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59" i="6"/>
  <c r="N59" i="6" a="1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60" i="6"/>
  <c r="N60" i="6" a="1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61" i="6"/>
  <c r="N61" i="6" a="1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62" i="6"/>
  <c r="N62" i="6" a="1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63" i="6"/>
  <c r="N63" i="6" a="1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64" i="6"/>
  <c r="N64" i="6" a="1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65" i="6"/>
  <c r="N65" i="6" a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66" i="6"/>
  <c r="N66" i="6" a="1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67" i="6"/>
  <c r="N67" i="6" a="1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68" i="6"/>
  <c r="N68" i="6" a="1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69" i="6"/>
  <c r="N69" i="6" a="1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70" i="6"/>
  <c r="N70" i="6" a="1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71" i="6"/>
  <c r="N71" i="6" a="1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72" i="6"/>
  <c r="N72" i="6" a="1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73" i="6"/>
  <c r="N73" i="6" a="1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74" i="6"/>
  <c r="N74" i="6" a="1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75" i="6"/>
  <c r="N75" i="6" a="1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76" i="6"/>
  <c r="N76" i="6" a="1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77" i="6"/>
  <c r="N77" i="6" a="1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78" i="6"/>
  <c r="N78" i="6" a="1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79" i="6"/>
  <c r="N79" i="6" a="1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80" i="6"/>
  <c r="N80" i="6" a="1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81" i="6"/>
  <c r="N81" i="6" a="1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82" i="6"/>
  <c r="N82" i="6" a="1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83" i="6"/>
  <c r="N83" i="6" a="1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84" i="6"/>
  <c r="N84" i="6" a="1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85" i="6"/>
  <c r="N85" i="6" a="1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86" i="6"/>
  <c r="N86" i="6" a="1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87" i="6"/>
  <c r="N87" i="6" a="1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88" i="6"/>
  <c r="N88" i="6" a="1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89" i="6"/>
  <c r="N89" i="6" a="1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90" i="6"/>
  <c r="N90" i="6" a="1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91" i="6"/>
  <c r="N91" i="6" a="1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92" i="6"/>
  <c r="N92" i="6" a="1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93" i="6"/>
  <c r="N93" i="6" a="1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94" i="6"/>
  <c r="N94" i="6" a="1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95" i="6"/>
  <c r="N95" i="6" a="1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96" i="6"/>
  <c r="N96" i="6" a="1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97" i="6"/>
  <c r="N97" i="6" a="1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98" i="6"/>
  <c r="N98" i="6" a="1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99" i="6"/>
  <c r="N99" i="6" a="1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100" i="6"/>
  <c r="N100" i="6" a="1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101" i="6"/>
  <c r="N101" i="6" a="1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102" i="6"/>
  <c r="N102" i="6" a="1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103" i="6"/>
  <c r="N103" i="6" a="1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104" i="6"/>
  <c r="N104" i="6" a="1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105" i="6"/>
  <c r="N105" i="6" a="1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106" i="6"/>
  <c r="N106" i="6" a="1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107" i="6"/>
  <c r="N107" i="6" a="1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108" i="6"/>
  <c r="N108" i="6" a="1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109" i="6"/>
  <c r="N109" i="6" a="1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110" i="6"/>
  <c r="N110" i="6" a="1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111" i="6"/>
  <c r="N111" i="6" a="1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112" i="6"/>
  <c r="N112" i="6" a="1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113" i="6"/>
  <c r="N113" i="6" a="1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114" i="6"/>
  <c r="N114" i="6" a="1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115" i="6"/>
  <c r="N115" i="6" a="1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116" i="6"/>
  <c r="N116" i="6" a="1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117" i="6"/>
  <c r="N117" i="6" a="1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118" i="6"/>
  <c r="N118" i="6" a="1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119" i="6"/>
  <c r="N119" i="6" a="1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120" i="6"/>
  <c r="N120" i="6" a="1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121" i="6"/>
  <c r="N121" i="6" a="1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122" i="6"/>
  <c r="N122" i="6" a="1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123" i="6"/>
  <c r="N123" i="6" a="1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124" i="6"/>
  <c r="N124" i="6" a="1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125" i="6"/>
  <c r="N125" i="6" a="1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126" i="6"/>
  <c r="N126" i="6" a="1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127" i="6"/>
  <c r="N127" i="6" a="1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128" i="6"/>
  <c r="N128" i="6" a="1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129" i="6"/>
  <c r="N129" i="6" a="1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130" i="6"/>
  <c r="N130" i="6" a="1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131" i="6"/>
  <c r="N131" i="6" a="1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132" i="6"/>
  <c r="N132" i="6" a="1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133" i="6"/>
  <c r="N133" i="6" a="1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134" i="6"/>
  <c r="N134" i="6" a="1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135" i="6"/>
  <c r="N135" i="6" a="1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136" i="6"/>
  <c r="N136" i="6" a="1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137" i="6"/>
  <c r="N137" i="6" a="1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138" i="6"/>
  <c r="N138" i="6" a="1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139" i="6"/>
  <c r="N139" i="6" a="1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140" i="6"/>
  <c r="N140" i="6" a="1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141" i="6"/>
  <c r="N141" i="6" a="1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142" i="6"/>
  <c r="N142" i="6" a="1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143" i="6"/>
  <c r="N143" i="6" a="1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144" i="6"/>
  <c r="N144" i="6" a="1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145" i="6"/>
  <c r="N145" i="6" a="1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146" i="6"/>
  <c r="N146" i="6" a="1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147" i="6"/>
  <c r="N147" i="6" a="1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148" i="6"/>
  <c r="N148" i="6" a="1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149" i="6"/>
  <c r="N149" i="6" a="1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150" i="6"/>
  <c r="N150" i="6" a="1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151" i="6"/>
  <c r="N151" i="6" a="1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152" i="6"/>
  <c r="N152" i="6" a="1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153" i="6"/>
  <c r="N153" i="6" a="1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154" i="6"/>
  <c r="N154" i="6" a="1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155" i="6"/>
  <c r="N155" i="6" a="1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156" i="6"/>
  <c r="N156" i="6" a="1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157" i="6"/>
  <c r="N157" i="6" a="1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158" i="6"/>
  <c r="N158" i="6" a="1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159" i="6"/>
  <c r="N159" i="6" a="1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160" i="6"/>
  <c r="N160" i="6" a="1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161" i="6"/>
  <c r="N161" i="6" a="1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162" i="6"/>
  <c r="N162" i="6" a="1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163" i="6"/>
  <c r="N163" i="6" a="1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164" i="6"/>
  <c r="N164" i="6" a="1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165" i="6"/>
  <c r="N165" i="6" a="1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166" i="6"/>
  <c r="N166" i="6" a="1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167" i="6"/>
  <c r="N167" i="6" a="1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168" i="6"/>
  <c r="N168" i="6" a="1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169" i="6"/>
  <c r="N169" i="6" a="1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170" i="6"/>
  <c r="N170" i="6" a="1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171" i="6"/>
  <c r="N171" i="6" a="1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172" i="6"/>
  <c r="N172" i="6" a="1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173" i="6"/>
  <c r="N173" i="6" a="1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174" i="6"/>
  <c r="N174" i="6" a="1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175" i="6"/>
  <c r="N175" i="6" a="1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176" i="6"/>
  <c r="N176" i="6" a="1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177" i="6"/>
  <c r="N177" i="6" a="1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178" i="6"/>
  <c r="N178" i="6" a="1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179" i="6"/>
  <c r="N179" i="6" a="1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180" i="6"/>
  <c r="N180" i="6" a="1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181" i="6"/>
  <c r="N181" i="6" a="1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182" i="6"/>
  <c r="N182" i="6" a="1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183" i="6"/>
  <c r="N183" i="6" a="1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186" i="6"/>
  <c r="N186" i="6" a="1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187" i="6"/>
  <c r="N187" i="6" a="1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188" i="6"/>
  <c r="N188" i="6" a="1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189" i="6"/>
  <c r="N189" i="6" a="1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190" i="6"/>
  <c r="N190" i="6" a="1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191" i="6"/>
  <c r="N191" i="6" a="1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192" i="6"/>
  <c r="N192" i="6" a="1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193" i="6"/>
  <c r="N193" i="6" a="1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194" i="6"/>
  <c r="N194" i="6" a="1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195" i="6"/>
  <c r="N195" i="6" a="1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196" i="6"/>
  <c r="N196" i="6" a="1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197" i="6"/>
  <c r="N197" i="6" a="1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198" i="6"/>
  <c r="N198" i="6" a="1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199" i="6"/>
  <c r="N199" i="6" a="1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200" i="6"/>
  <c r="N200" i="6" a="1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201" i="6"/>
  <c r="N201" i="6" a="1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202" i="6"/>
  <c r="N202" i="6" a="1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203" i="6"/>
  <c r="N203" i="6" a="1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204" i="6"/>
  <c r="N204" i="6" a="1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205" i="6"/>
  <c r="N205" i="6" a="1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206" i="6"/>
  <c r="N206" i="6" a="1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207" i="6"/>
  <c r="N207" i="6" a="1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208" i="6"/>
  <c r="N208" i="6" a="1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209" i="6"/>
  <c r="N209" i="6" a="1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210" i="6"/>
  <c r="N210" i="6" a="1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211" i="6"/>
  <c r="N211" i="6" a="1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212" i="6"/>
  <c r="N212" i="6" a="1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213" i="6"/>
  <c r="N213" i="6" a="1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214" i="6"/>
  <c r="N214" i="6" a="1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215" i="6"/>
  <c r="N215" i="6" a="1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216" i="6"/>
  <c r="N216" i="6" a="1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217" i="6"/>
  <c r="N217" i="6" a="1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218" i="6"/>
  <c r="N218" i="6" a="1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219" i="6"/>
  <c r="N219" i="6" a="1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220" i="6"/>
  <c r="N220" i="6" a="1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221" i="6"/>
  <c r="N221" i="6" a="1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222" i="6"/>
  <c r="N222" i="6" a="1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223" i="6"/>
  <c r="N223" i="6" a="1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224" i="6"/>
  <c r="N224" i="6" a="1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225" i="6"/>
  <c r="N225" i="6" a="1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226" i="6"/>
  <c r="N226" i="6" a="1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227" i="6"/>
  <c r="N227" i="6" a="1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228" i="6"/>
  <c r="N228" i="6" a="1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229" i="6"/>
  <c r="N229" i="6" a="1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230" i="6"/>
  <c r="N230" i="6" a="1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231" i="6"/>
  <c r="N231" i="6" a="1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232" i="6"/>
  <c r="N232" i="6" a="1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233" i="6"/>
  <c r="N233" i="6" a="1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234" i="6"/>
  <c r="N234" i="6" a="1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235" i="6"/>
  <c r="N235" i="6" a="1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236" i="6"/>
  <c r="N236" i="6" a="1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237" i="6"/>
  <c r="N237" i="6" a="1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238" i="6"/>
  <c r="N238" i="6" a="1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239" i="6"/>
  <c r="N239" i="6" a="1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240" i="6"/>
  <c r="N240" i="6" a="1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241" i="6"/>
  <c r="N241" i="6" a="1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242" i="6"/>
  <c r="N242" i="6" a="1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243" i="6"/>
  <c r="N243" i="6" a="1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244" i="6"/>
  <c r="N244" i="6" a="1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245" i="6"/>
  <c r="N245" i="6" a="1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246" i="6"/>
  <c r="N246" i="6" a="1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247" i="6"/>
  <c r="N247" i="6" a="1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248" i="6"/>
  <c r="N248" i="6" a="1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249" i="6"/>
  <c r="N249" i="6" a="1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250" i="6"/>
  <c r="N250" i="6" a="1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251" i="6"/>
  <c r="N251" i="6" a="1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252" i="6"/>
  <c r="N252" i="6" a="1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253" i="6"/>
  <c r="N253" i="6" a="1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254" i="6"/>
  <c r="N254" i="6" a="1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255" i="6"/>
  <c r="N255" i="6" a="1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256" i="6"/>
  <c r="N256" i="6" a="1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257" i="6"/>
  <c r="N257" i="6" a="1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258" i="6"/>
  <c r="N258" i="6" a="1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259" i="6"/>
  <c r="N259" i="6" a="1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260" i="6"/>
  <c r="N260" i="6" a="1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261" i="6"/>
  <c r="N261" i="6" a="1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262" i="6"/>
  <c r="N262" i="6" a="1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263" i="6"/>
  <c r="N263" i="6" a="1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264" i="6"/>
  <c r="N264" i="6" a="1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265" i="6"/>
  <c r="N265" i="6" a="1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266" i="6"/>
  <c r="N266" i="6" a="1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267" i="6"/>
  <c r="N267" i="6" a="1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268" i="6"/>
  <c r="N268" i="6" a="1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269" i="6"/>
  <c r="N269" i="6" a="1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270" i="6"/>
  <c r="N270" i="6" a="1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271" i="6"/>
  <c r="N271" i="6" a="1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272" i="6"/>
  <c r="N272" i="6" a="1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273" i="6"/>
  <c r="N273" i="6" a="1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274" i="6"/>
  <c r="N274" i="6" a="1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275" i="6"/>
  <c r="N275" i="6" a="1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276" i="6"/>
  <c r="N276" i="6" a="1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277" i="6"/>
  <c r="N277" i="6" a="1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278" i="6"/>
  <c r="N278" i="6" a="1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279" i="6"/>
  <c r="N279" i="6" a="1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280" i="6"/>
  <c r="N280" i="6" a="1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281" i="6"/>
  <c r="N281" i="6" a="1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282" i="6"/>
  <c r="N282" i="6" a="1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283" i="6"/>
  <c r="N283" i="6" a="1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284" i="6"/>
  <c r="N284" i="6" a="1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285" i="6"/>
  <c r="N285" i="6" a="1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286" i="6"/>
  <c r="N286" i="6" a="1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287" i="6"/>
  <c r="N287" i="6" a="1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288" i="6"/>
  <c r="N288" i="6" a="1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289" i="6"/>
  <c r="N289" i="6" a="1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290" i="6"/>
  <c r="N290" i="6" a="1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291" i="6"/>
  <c r="N291" i="6" a="1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292" i="6"/>
  <c r="N292" i="6" a="1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293" i="6"/>
  <c r="N293" i="6" a="1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294" i="6"/>
  <c r="N294" i="6" a="1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295" i="6"/>
  <c r="N295" i="6" a="1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296" i="6"/>
  <c r="N296" i="6" a="1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297" i="6"/>
  <c r="N297" i="6" a="1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298" i="6"/>
  <c r="N298" i="6" a="1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299" i="6"/>
  <c r="N299" i="6" a="1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300" i="6"/>
  <c r="N300" i="6" a="1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301" i="6"/>
  <c r="N301" i="6" a="1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302" i="6"/>
  <c r="N302" i="6" a="1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303" i="6"/>
  <c r="N303" i="6" a="1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304" i="6"/>
  <c r="N304" i="6" a="1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305" i="6"/>
  <c r="N305" i="6" a="1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306" i="6"/>
  <c r="N306" i="6" a="1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307" i="6"/>
  <c r="N307" i="6" a="1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308" i="6"/>
  <c r="N308" i="6" a="1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309" i="6"/>
  <c r="N309" i="6" a="1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310" i="6"/>
  <c r="N310" i="6" a="1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311" i="6"/>
  <c r="N311" i="6" a="1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312" i="6"/>
  <c r="N312" i="6" a="1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313" i="6"/>
  <c r="N313" i="6" a="1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314" i="6"/>
  <c r="N314" i="6" a="1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315" i="6"/>
  <c r="N315" i="6" a="1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316" i="6"/>
  <c r="N316" i="6" a="1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317" i="6"/>
  <c r="N317" i="6" a="1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318" i="6"/>
  <c r="N318" i="6" a="1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319" i="6"/>
  <c r="N319" i="6" a="1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320" i="6"/>
  <c r="N320" i="6" a="1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321" i="6"/>
  <c r="N321" i="6" a="1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322" i="6"/>
  <c r="N322" i="6" a="1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323" i="6"/>
  <c r="N323" i="6" a="1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324" i="6"/>
  <c r="N324" i="6" a="1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325" i="6"/>
  <c r="N325" i="6" a="1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326" i="6"/>
  <c r="N326" i="6" a="1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327" i="6"/>
  <c r="N327" i="6" a="1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328" i="6"/>
  <c r="N328" i="6" a="1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329" i="6"/>
  <c r="N329" i="6" a="1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330" i="6"/>
  <c r="N330" i="6" a="1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331" i="6"/>
  <c r="N331" i="6" a="1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332" i="6"/>
  <c r="N332" i="6" a="1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333" i="6"/>
  <c r="N333" i="6" a="1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334" i="6"/>
  <c r="N334" i="6" a="1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335" i="6"/>
  <c r="N335" i="6" a="1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336" i="6"/>
  <c r="N336" i="6" a="1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337" i="6"/>
  <c r="N337" i="6" a="1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338" i="6"/>
  <c r="N338" i="6" a="1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339" i="6"/>
  <c r="N339" i="6" a="1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340" i="6"/>
  <c r="N340" i="6" a="1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341" i="6"/>
  <c r="N341" i="6" a="1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342" i="6"/>
  <c r="N342" i="6" a="1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343" i="6"/>
  <c r="N343" i="6" a="1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344" i="6"/>
  <c r="N344" i="6" a="1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345" i="6"/>
  <c r="N345" i="6" a="1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346" i="6"/>
  <c r="N346" i="6" a="1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347" i="6"/>
  <c r="N347" i="6" a="1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348" i="6"/>
  <c r="N348" i="6" a="1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349" i="6"/>
  <c r="N349" i="6" a="1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350" i="6"/>
  <c r="N350" i="6" a="1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351" i="6"/>
  <c r="N351" i="6" a="1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352" i="6"/>
  <c r="N352" i="6" a="1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353" i="6"/>
  <c r="N353" i="6" a="1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354" i="6"/>
  <c r="N354" i="6" a="1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355" i="6"/>
  <c r="N355" i="6" a="1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356" i="6"/>
  <c r="N356" i="6" a="1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357" i="6"/>
  <c r="N357" i="6" a="1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358" i="6"/>
  <c r="N358" i="6" a="1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359" i="6"/>
  <c r="N359" i="6" a="1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360" i="6"/>
  <c r="N360" i="6" a="1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361" i="6"/>
  <c r="N361" i="6" a="1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K4" i="7"/>
  <c r="K3" i="7"/>
  <c r="K2" i="7"/>
  <c r="C11" i="7"/>
  <c r="C10" i="7"/>
  <c r="J3" i="7"/>
  <c r="J2" i="7"/>
  <c r="C12" i="7"/>
  <c r="E11" i="7"/>
  <c r="D11" i="7"/>
  <c r="E10" i="7"/>
  <c r="I32" i="8"/>
  <c r="H32" i="8"/>
  <c r="G32" i="8"/>
  <c r="I31" i="8"/>
  <c r="H31" i="8"/>
  <c r="G31" i="8"/>
  <c r="I30" i="8"/>
  <c r="H30" i="8"/>
  <c r="G30" i="8"/>
  <c r="I29" i="8"/>
  <c r="H29" i="8"/>
  <c r="G29" i="8"/>
  <c r="I28" i="8"/>
  <c r="H28" i="8"/>
  <c r="G28" i="8"/>
  <c r="I27" i="8"/>
  <c r="H27" i="8"/>
  <c r="G27" i="8"/>
  <c r="I26" i="8"/>
  <c r="H26" i="8"/>
  <c r="G26" i="8"/>
  <c r="I25" i="8"/>
  <c r="H25" i="8"/>
  <c r="G25" i="8"/>
  <c r="G25" i="8" a="1"/>
  <c r="Y336" i="11" l="1"/>
  <c r="X336" i="11"/>
  <c r="W336" i="11"/>
  <c r="V336" i="11"/>
  <c r="U336" i="11"/>
  <c r="T336" i="11"/>
  <c r="S336" i="11"/>
  <c r="R336" i="11"/>
  <c r="Q336" i="11"/>
  <c r="P336" i="11"/>
  <c r="P336" i="11" a="1"/>
  <c r="Y335" i="11"/>
  <c r="X335" i="11"/>
  <c r="W335" i="11"/>
  <c r="V335" i="11"/>
  <c r="U335" i="11"/>
  <c r="T335" i="11"/>
  <c r="S335" i="11"/>
  <c r="R335" i="11"/>
  <c r="Q335" i="11"/>
  <c r="P335" i="11"/>
  <c r="P335" i="11" a="1"/>
  <c r="Y334" i="11"/>
  <c r="X334" i="11"/>
  <c r="W334" i="11"/>
  <c r="V334" i="11"/>
  <c r="U334" i="11"/>
  <c r="T334" i="11"/>
  <c r="S334" i="11"/>
  <c r="R334" i="11"/>
  <c r="Q334" i="11"/>
  <c r="P334" i="11"/>
  <c r="P334" i="11" a="1"/>
  <c r="Y333" i="11"/>
  <c r="X333" i="11"/>
  <c r="W333" i="11"/>
  <c r="V333" i="11"/>
  <c r="U333" i="11"/>
  <c r="T333" i="11"/>
  <c r="S333" i="11"/>
  <c r="R333" i="11"/>
  <c r="Q333" i="11"/>
  <c r="P333" i="11"/>
  <c r="P333" i="11" a="1"/>
  <c r="Y332" i="11"/>
  <c r="X332" i="11"/>
  <c r="W332" i="11"/>
  <c r="V332" i="11"/>
  <c r="U332" i="11"/>
  <c r="T332" i="11"/>
  <c r="S332" i="11"/>
  <c r="R332" i="11"/>
  <c r="Q332" i="11"/>
  <c r="P332" i="11"/>
  <c r="P332" i="11" a="1"/>
  <c r="Y331" i="11"/>
  <c r="X331" i="11"/>
  <c r="W331" i="11"/>
  <c r="V331" i="11"/>
  <c r="U331" i="11"/>
  <c r="T331" i="11"/>
  <c r="S331" i="11"/>
  <c r="R331" i="11"/>
  <c r="Q331" i="11"/>
  <c r="P331" i="11"/>
  <c r="P331" i="11" a="1"/>
  <c r="Y330" i="11"/>
  <c r="X330" i="11"/>
  <c r="W330" i="11"/>
  <c r="V330" i="11"/>
  <c r="U330" i="11"/>
  <c r="T330" i="11"/>
  <c r="S330" i="11"/>
  <c r="R330" i="11"/>
  <c r="Q330" i="11"/>
  <c r="P330" i="11"/>
  <c r="P330" i="11" a="1"/>
  <c r="Y329" i="11"/>
  <c r="X329" i="11"/>
  <c r="W329" i="11"/>
  <c r="V329" i="11"/>
  <c r="U329" i="11"/>
  <c r="T329" i="11"/>
  <c r="S329" i="11"/>
  <c r="R329" i="11"/>
  <c r="Q329" i="11"/>
  <c r="P329" i="11"/>
  <c r="P329" i="11" a="1"/>
  <c r="Y328" i="11"/>
  <c r="X328" i="11"/>
  <c r="W328" i="11"/>
  <c r="V328" i="11"/>
  <c r="U328" i="11"/>
  <c r="T328" i="11"/>
  <c r="S328" i="11"/>
  <c r="R328" i="11"/>
  <c r="Q328" i="11"/>
  <c r="P328" i="11"/>
  <c r="P328" i="11" a="1"/>
  <c r="Y327" i="11"/>
  <c r="X327" i="11"/>
  <c r="W327" i="11"/>
  <c r="V327" i="11"/>
  <c r="U327" i="11"/>
  <c r="T327" i="11"/>
  <c r="S327" i="11"/>
  <c r="R327" i="11"/>
  <c r="Q327" i="11"/>
  <c r="P327" i="11"/>
  <c r="P327" i="11" a="1"/>
  <c r="Y326" i="11"/>
  <c r="X326" i="11"/>
  <c r="W326" i="11"/>
  <c r="V326" i="11"/>
  <c r="U326" i="11"/>
  <c r="T326" i="11"/>
  <c r="S326" i="11"/>
  <c r="R326" i="11"/>
  <c r="Q326" i="11"/>
  <c r="P326" i="11"/>
  <c r="P326" i="11" a="1"/>
  <c r="Y325" i="11"/>
  <c r="X325" i="11"/>
  <c r="W325" i="11"/>
  <c r="V325" i="11"/>
  <c r="U325" i="11"/>
  <c r="T325" i="11"/>
  <c r="S325" i="11"/>
  <c r="R325" i="11"/>
  <c r="Q325" i="11"/>
  <c r="P325" i="11"/>
  <c r="P325" i="11" a="1"/>
  <c r="Y324" i="11"/>
  <c r="X324" i="11"/>
  <c r="W324" i="11"/>
  <c r="V324" i="11"/>
  <c r="U324" i="11"/>
  <c r="T324" i="11"/>
  <c r="S324" i="11"/>
  <c r="R324" i="11"/>
  <c r="Q324" i="11"/>
  <c r="P324" i="11"/>
  <c r="P324" i="11" a="1"/>
  <c r="Y323" i="11"/>
  <c r="X323" i="11"/>
  <c r="W323" i="11"/>
  <c r="V323" i="11"/>
  <c r="U323" i="11"/>
  <c r="T323" i="11"/>
  <c r="S323" i="11"/>
  <c r="R323" i="11"/>
  <c r="Q323" i="11"/>
  <c r="P323" i="11"/>
  <c r="P323" i="11" a="1"/>
  <c r="Y322" i="11"/>
  <c r="X322" i="11"/>
  <c r="W322" i="11"/>
  <c r="V322" i="11"/>
  <c r="U322" i="11"/>
  <c r="T322" i="11"/>
  <c r="S322" i="11"/>
  <c r="R322" i="11"/>
  <c r="Q322" i="11"/>
  <c r="P322" i="11"/>
  <c r="P322" i="11" a="1"/>
  <c r="Y321" i="11"/>
  <c r="X321" i="11"/>
  <c r="W321" i="11"/>
  <c r="V321" i="11"/>
  <c r="U321" i="11"/>
  <c r="T321" i="11"/>
  <c r="S321" i="11"/>
  <c r="R321" i="11"/>
  <c r="Q321" i="11"/>
  <c r="P321" i="11"/>
  <c r="P321" i="11" a="1"/>
  <c r="Y320" i="11"/>
  <c r="X320" i="11"/>
  <c r="W320" i="11"/>
  <c r="V320" i="11"/>
  <c r="U320" i="11"/>
  <c r="T320" i="11"/>
  <c r="S320" i="11"/>
  <c r="R320" i="11"/>
  <c r="Q320" i="11"/>
  <c r="P320" i="11"/>
  <c r="P320" i="11" a="1"/>
  <c r="Y319" i="11"/>
  <c r="X319" i="11"/>
  <c r="W319" i="11"/>
  <c r="V319" i="11"/>
  <c r="U319" i="11"/>
  <c r="T319" i="11"/>
  <c r="S319" i="11"/>
  <c r="R319" i="11"/>
  <c r="Q319" i="11"/>
  <c r="P319" i="11"/>
  <c r="P319" i="11" a="1"/>
  <c r="Y318" i="11"/>
  <c r="X318" i="11"/>
  <c r="W318" i="11"/>
  <c r="V318" i="11"/>
  <c r="U318" i="11"/>
  <c r="T318" i="11"/>
  <c r="S318" i="11"/>
  <c r="R318" i="11"/>
  <c r="Q318" i="11"/>
  <c r="P318" i="11"/>
  <c r="P318" i="11" a="1"/>
  <c r="Y317" i="11"/>
  <c r="X317" i="11"/>
  <c r="W317" i="11"/>
  <c r="V317" i="11"/>
  <c r="U317" i="11"/>
  <c r="T317" i="11"/>
  <c r="S317" i="11"/>
  <c r="R317" i="11"/>
  <c r="Q317" i="11"/>
  <c r="P317" i="11"/>
  <c r="P317" i="11" a="1"/>
  <c r="Y316" i="11"/>
  <c r="X316" i="11"/>
  <c r="W316" i="11"/>
  <c r="V316" i="11"/>
  <c r="U316" i="11"/>
  <c r="T316" i="11"/>
  <c r="S316" i="11"/>
  <c r="R316" i="11"/>
  <c r="Q316" i="11"/>
  <c r="P316" i="11"/>
  <c r="P316" i="11" a="1"/>
  <c r="Y315" i="11"/>
  <c r="X315" i="11"/>
  <c r="W315" i="11"/>
  <c r="V315" i="11"/>
  <c r="U315" i="11"/>
  <c r="T315" i="11"/>
  <c r="S315" i="11"/>
  <c r="R315" i="11"/>
  <c r="Q315" i="11"/>
  <c r="P315" i="11"/>
  <c r="P315" i="11" a="1"/>
  <c r="Y314" i="11"/>
  <c r="X314" i="11"/>
  <c r="W314" i="11"/>
  <c r="V314" i="11"/>
  <c r="U314" i="11"/>
  <c r="T314" i="11"/>
  <c r="S314" i="11"/>
  <c r="R314" i="11"/>
  <c r="Q314" i="11"/>
  <c r="P314" i="11"/>
  <c r="P314" i="11" a="1"/>
  <c r="Y313" i="11"/>
  <c r="X313" i="11"/>
  <c r="W313" i="11"/>
  <c r="V313" i="11"/>
  <c r="U313" i="11"/>
  <c r="T313" i="11"/>
  <c r="S313" i="11"/>
  <c r="R313" i="11"/>
  <c r="Q313" i="11"/>
  <c r="P313" i="11"/>
  <c r="P313" i="11" a="1"/>
  <c r="Y312" i="11"/>
  <c r="X312" i="11"/>
  <c r="W312" i="11"/>
  <c r="V312" i="11"/>
  <c r="U312" i="11"/>
  <c r="T312" i="11"/>
  <c r="S312" i="11"/>
  <c r="R312" i="11"/>
  <c r="Q312" i="11"/>
  <c r="P312" i="11"/>
  <c r="P312" i="11" a="1"/>
  <c r="Y311" i="11"/>
  <c r="X311" i="11"/>
  <c r="W311" i="11"/>
  <c r="V311" i="11"/>
  <c r="U311" i="11"/>
  <c r="T311" i="11"/>
  <c r="S311" i="11"/>
  <c r="R311" i="11"/>
  <c r="Q311" i="11"/>
  <c r="P311" i="11"/>
  <c r="P311" i="11" a="1"/>
  <c r="Y310" i="11"/>
  <c r="X310" i="11"/>
  <c r="W310" i="11"/>
  <c r="V310" i="11"/>
  <c r="U310" i="11"/>
  <c r="T310" i="11"/>
  <c r="S310" i="11"/>
  <c r="R310" i="11"/>
  <c r="Q310" i="11"/>
  <c r="P310" i="11"/>
  <c r="P310" i="11" a="1"/>
  <c r="Y309" i="11"/>
  <c r="X309" i="11"/>
  <c r="W309" i="11"/>
  <c r="V309" i="11"/>
  <c r="U309" i="11"/>
  <c r="T309" i="11"/>
  <c r="S309" i="11"/>
  <c r="R309" i="11"/>
  <c r="Q309" i="11"/>
  <c r="P309" i="11"/>
  <c r="P309" i="11" a="1"/>
  <c r="Y308" i="11"/>
  <c r="X308" i="11"/>
  <c r="W308" i="11"/>
  <c r="V308" i="11"/>
  <c r="U308" i="11"/>
  <c r="T308" i="11"/>
  <c r="S308" i="11"/>
  <c r="R308" i="11"/>
  <c r="Q308" i="11"/>
  <c r="P308" i="11"/>
  <c r="P308" i="11" a="1"/>
  <c r="Y307" i="11"/>
  <c r="X307" i="11"/>
  <c r="W307" i="11"/>
  <c r="V307" i="11"/>
  <c r="U307" i="11"/>
  <c r="T307" i="11"/>
  <c r="S307" i="11"/>
  <c r="R307" i="11"/>
  <c r="Q307" i="11"/>
  <c r="P307" i="11"/>
  <c r="P307" i="11" a="1"/>
  <c r="Y306" i="11"/>
  <c r="X306" i="11"/>
  <c r="W306" i="11"/>
  <c r="V306" i="11"/>
  <c r="U306" i="11"/>
  <c r="T306" i="11"/>
  <c r="S306" i="11"/>
  <c r="R306" i="11"/>
  <c r="Q306" i="11"/>
  <c r="P306" i="11"/>
  <c r="P306" i="11" a="1"/>
  <c r="Y305" i="11"/>
  <c r="X305" i="11"/>
  <c r="W305" i="11"/>
  <c r="V305" i="11"/>
  <c r="U305" i="11"/>
  <c r="T305" i="11"/>
  <c r="S305" i="11"/>
  <c r="R305" i="11"/>
  <c r="Q305" i="11"/>
  <c r="P305" i="11"/>
  <c r="P305" i="11" a="1"/>
  <c r="Y304" i="11"/>
  <c r="X304" i="11"/>
  <c r="W304" i="11"/>
  <c r="V304" i="11"/>
  <c r="U304" i="11"/>
  <c r="T304" i="11"/>
  <c r="S304" i="11"/>
  <c r="R304" i="11"/>
  <c r="Q304" i="11"/>
  <c r="P304" i="11"/>
  <c r="P304" i="11" a="1"/>
  <c r="Y303" i="11"/>
  <c r="X303" i="11"/>
  <c r="W303" i="11"/>
  <c r="V303" i="11"/>
  <c r="U303" i="11"/>
  <c r="T303" i="11"/>
  <c r="S303" i="11"/>
  <c r="R303" i="11"/>
  <c r="Q303" i="11"/>
  <c r="P303" i="11"/>
  <c r="P303" i="11" a="1"/>
  <c r="Y302" i="11"/>
  <c r="X302" i="11"/>
  <c r="W302" i="11"/>
  <c r="V302" i="11"/>
  <c r="U302" i="11"/>
  <c r="T302" i="11"/>
  <c r="S302" i="11"/>
  <c r="R302" i="11"/>
  <c r="Q302" i="11"/>
  <c r="P302" i="11"/>
  <c r="P302" i="11" a="1"/>
  <c r="Y301" i="11"/>
  <c r="X301" i="11"/>
  <c r="W301" i="11"/>
  <c r="V301" i="11"/>
  <c r="U301" i="11"/>
  <c r="T301" i="11"/>
  <c r="S301" i="11"/>
  <c r="R301" i="11"/>
  <c r="Q301" i="11"/>
  <c r="P301" i="11"/>
  <c r="P301" i="11" a="1"/>
  <c r="Y300" i="11"/>
  <c r="X300" i="11"/>
  <c r="W300" i="11"/>
  <c r="V300" i="11"/>
  <c r="U300" i="11"/>
  <c r="T300" i="11"/>
  <c r="S300" i="11"/>
  <c r="R300" i="11"/>
  <c r="Q300" i="11"/>
  <c r="P300" i="11"/>
  <c r="P300" i="11" a="1"/>
  <c r="Y299" i="11"/>
  <c r="X299" i="11"/>
  <c r="W299" i="11"/>
  <c r="V299" i="11"/>
  <c r="U299" i="11"/>
  <c r="T299" i="11"/>
  <c r="S299" i="11"/>
  <c r="R299" i="11"/>
  <c r="Q299" i="11"/>
  <c r="P299" i="11"/>
  <c r="P299" i="11" a="1"/>
  <c r="Y298" i="11"/>
  <c r="X298" i="11"/>
  <c r="W298" i="11"/>
  <c r="V298" i="11"/>
  <c r="U298" i="11"/>
  <c r="T298" i="11"/>
  <c r="S298" i="11"/>
  <c r="R298" i="11"/>
  <c r="Q298" i="11"/>
  <c r="P298" i="11"/>
  <c r="P298" i="11" a="1"/>
  <c r="Y297" i="11"/>
  <c r="X297" i="11"/>
  <c r="W297" i="11"/>
  <c r="V297" i="11"/>
  <c r="U297" i="11"/>
  <c r="T297" i="11"/>
  <c r="S297" i="11"/>
  <c r="R297" i="11"/>
  <c r="Q297" i="11"/>
  <c r="P297" i="11"/>
  <c r="P297" i="11" a="1"/>
  <c r="Y296" i="11"/>
  <c r="X296" i="11"/>
  <c r="W296" i="11"/>
  <c r="V296" i="11"/>
  <c r="U296" i="11"/>
  <c r="T296" i="11"/>
  <c r="S296" i="11"/>
  <c r="R296" i="11"/>
  <c r="Q296" i="11"/>
  <c r="P296" i="11"/>
  <c r="P296" i="11" a="1"/>
  <c r="Y295" i="11"/>
  <c r="X295" i="11"/>
  <c r="W295" i="11"/>
  <c r="V295" i="11"/>
  <c r="U295" i="11"/>
  <c r="T295" i="11"/>
  <c r="S295" i="11"/>
  <c r="R295" i="11"/>
  <c r="Q295" i="11"/>
  <c r="P295" i="11"/>
  <c r="P295" i="11" a="1"/>
  <c r="Y294" i="11"/>
  <c r="X294" i="11"/>
  <c r="W294" i="11"/>
  <c r="V294" i="11"/>
  <c r="U294" i="11"/>
  <c r="T294" i="11"/>
  <c r="S294" i="11"/>
  <c r="R294" i="11"/>
  <c r="Q294" i="11"/>
  <c r="P294" i="11"/>
  <c r="P294" i="11" a="1"/>
  <c r="Y293" i="11"/>
  <c r="X293" i="11"/>
  <c r="W293" i="11"/>
  <c r="V293" i="11"/>
  <c r="U293" i="11"/>
  <c r="T293" i="11"/>
  <c r="S293" i="11"/>
  <c r="R293" i="11"/>
  <c r="Q293" i="11"/>
  <c r="P293" i="11"/>
  <c r="P293" i="11" a="1"/>
  <c r="Y292" i="11"/>
  <c r="X292" i="11"/>
  <c r="W292" i="11"/>
  <c r="V292" i="11"/>
  <c r="U292" i="11"/>
  <c r="T292" i="11"/>
  <c r="S292" i="11"/>
  <c r="R292" i="11"/>
  <c r="Q292" i="11"/>
  <c r="P292" i="11"/>
  <c r="P292" i="11" a="1"/>
  <c r="Y291" i="11"/>
  <c r="X291" i="11"/>
  <c r="W291" i="11"/>
  <c r="V291" i="11"/>
  <c r="U291" i="11"/>
  <c r="T291" i="11"/>
  <c r="S291" i="11"/>
  <c r="R291" i="11"/>
  <c r="Q291" i="11"/>
  <c r="P291" i="11"/>
  <c r="P291" i="11" a="1"/>
  <c r="Y290" i="11"/>
  <c r="X290" i="11"/>
  <c r="W290" i="11"/>
  <c r="V290" i="11"/>
  <c r="U290" i="11"/>
  <c r="T290" i="11"/>
  <c r="S290" i="11"/>
  <c r="R290" i="11"/>
  <c r="Q290" i="11"/>
  <c r="P290" i="11"/>
  <c r="P290" i="11" a="1"/>
  <c r="Y289" i="11"/>
  <c r="X289" i="11"/>
  <c r="W289" i="11"/>
  <c r="V289" i="11"/>
  <c r="U289" i="11"/>
  <c r="T289" i="11"/>
  <c r="S289" i="11"/>
  <c r="R289" i="11"/>
  <c r="Q289" i="11"/>
  <c r="P289" i="11"/>
  <c r="P289" i="11" a="1"/>
  <c r="Y288" i="11"/>
  <c r="X288" i="11"/>
  <c r="W288" i="11"/>
  <c r="V288" i="11"/>
  <c r="U288" i="11"/>
  <c r="T288" i="11"/>
  <c r="S288" i="11"/>
  <c r="R288" i="11"/>
  <c r="Q288" i="11"/>
  <c r="P288" i="11"/>
  <c r="P288" i="11" a="1"/>
  <c r="Y287" i="11"/>
  <c r="X287" i="11"/>
  <c r="W287" i="11"/>
  <c r="V287" i="11"/>
  <c r="U287" i="11"/>
  <c r="T287" i="11"/>
  <c r="S287" i="11"/>
  <c r="R287" i="11"/>
  <c r="Q287" i="11"/>
  <c r="P287" i="11"/>
  <c r="P287" i="11" a="1"/>
  <c r="Y286" i="11"/>
  <c r="X286" i="11"/>
  <c r="W286" i="11"/>
  <c r="V286" i="11"/>
  <c r="U286" i="11"/>
  <c r="T286" i="11"/>
  <c r="S286" i="11"/>
  <c r="R286" i="11"/>
  <c r="Q286" i="11"/>
  <c r="P286" i="11"/>
  <c r="P286" i="11" a="1"/>
  <c r="Y285" i="11"/>
  <c r="X285" i="11"/>
  <c r="W285" i="11"/>
  <c r="V285" i="11"/>
  <c r="U285" i="11"/>
  <c r="T285" i="11"/>
  <c r="S285" i="11"/>
  <c r="R285" i="11"/>
  <c r="Q285" i="11"/>
  <c r="P285" i="11"/>
  <c r="P285" i="11" a="1"/>
  <c r="Y284" i="11"/>
  <c r="X284" i="11"/>
  <c r="W284" i="11"/>
  <c r="V284" i="11"/>
  <c r="U284" i="11"/>
  <c r="T284" i="11"/>
  <c r="S284" i="11"/>
  <c r="R284" i="11"/>
  <c r="Q284" i="11"/>
  <c r="P284" i="11"/>
  <c r="P284" i="11" a="1"/>
  <c r="Y283" i="11"/>
  <c r="X283" i="11"/>
  <c r="W283" i="11"/>
  <c r="V283" i="11"/>
  <c r="U283" i="11"/>
  <c r="T283" i="11"/>
  <c r="S283" i="11"/>
  <c r="R283" i="11"/>
  <c r="Q283" i="11"/>
  <c r="P283" i="11"/>
  <c r="P283" i="11" a="1"/>
  <c r="Y282" i="11"/>
  <c r="X282" i="11"/>
  <c r="W282" i="11"/>
  <c r="V282" i="11"/>
  <c r="U282" i="11"/>
  <c r="T282" i="11"/>
  <c r="S282" i="11"/>
  <c r="R282" i="11"/>
  <c r="Q282" i="11"/>
  <c r="P282" i="11"/>
  <c r="P282" i="11" a="1"/>
  <c r="Y281" i="11"/>
  <c r="X281" i="11"/>
  <c r="W281" i="11"/>
  <c r="V281" i="11"/>
  <c r="U281" i="11"/>
  <c r="T281" i="11"/>
  <c r="S281" i="11"/>
  <c r="R281" i="11"/>
  <c r="Q281" i="11"/>
  <c r="P281" i="11"/>
  <c r="P281" i="11" a="1"/>
  <c r="Y280" i="11"/>
  <c r="X280" i="11"/>
  <c r="W280" i="11"/>
  <c r="V280" i="11"/>
  <c r="U280" i="11"/>
  <c r="T280" i="11"/>
  <c r="S280" i="11"/>
  <c r="R280" i="11"/>
  <c r="Q280" i="11"/>
  <c r="P280" i="11"/>
  <c r="P280" i="11" a="1"/>
  <c r="Y279" i="11"/>
  <c r="X279" i="11"/>
  <c r="W279" i="11"/>
  <c r="V279" i="11"/>
  <c r="U279" i="11"/>
  <c r="T279" i="11"/>
  <c r="S279" i="11"/>
  <c r="R279" i="11"/>
  <c r="Q279" i="11"/>
  <c r="P279" i="11"/>
  <c r="P279" i="11" a="1"/>
  <c r="Y278" i="11"/>
  <c r="X278" i="11"/>
  <c r="W278" i="11"/>
  <c r="V278" i="11"/>
  <c r="U278" i="11"/>
  <c r="T278" i="11"/>
  <c r="S278" i="11"/>
  <c r="R278" i="11"/>
  <c r="Q278" i="11"/>
  <c r="P278" i="11"/>
  <c r="P278" i="11" a="1"/>
  <c r="Y277" i="11"/>
  <c r="X277" i="11"/>
  <c r="W277" i="11"/>
  <c r="V277" i="11"/>
  <c r="U277" i="11"/>
  <c r="T277" i="11"/>
  <c r="S277" i="11"/>
  <c r="R277" i="11"/>
  <c r="Q277" i="11"/>
  <c r="P277" i="11"/>
  <c r="P277" i="11" a="1"/>
  <c r="Y276" i="11"/>
  <c r="X276" i="11"/>
  <c r="W276" i="11"/>
  <c r="V276" i="11"/>
  <c r="U276" i="11"/>
  <c r="T276" i="11"/>
  <c r="S276" i="11"/>
  <c r="R276" i="11"/>
  <c r="Q276" i="11"/>
  <c r="P276" i="11"/>
  <c r="P276" i="11" a="1"/>
  <c r="Y275" i="11"/>
  <c r="X275" i="11"/>
  <c r="W275" i="11"/>
  <c r="V275" i="11"/>
  <c r="U275" i="11"/>
  <c r="T275" i="11"/>
  <c r="S275" i="11"/>
  <c r="R275" i="11"/>
  <c r="Q275" i="11"/>
  <c r="P275" i="11"/>
  <c r="P275" i="11" a="1"/>
  <c r="Y274" i="11"/>
  <c r="X274" i="11"/>
  <c r="W274" i="11"/>
  <c r="V274" i="11"/>
  <c r="U274" i="11"/>
  <c r="T274" i="11"/>
  <c r="S274" i="11"/>
  <c r="R274" i="11"/>
  <c r="Q274" i="11"/>
  <c r="P274" i="11"/>
  <c r="P274" i="11" a="1"/>
  <c r="Y273" i="11"/>
  <c r="X273" i="11"/>
  <c r="W273" i="11"/>
  <c r="V273" i="11"/>
  <c r="U273" i="11"/>
  <c r="T273" i="11"/>
  <c r="S273" i="11"/>
  <c r="R273" i="11"/>
  <c r="Q273" i="11"/>
  <c r="P273" i="11"/>
  <c r="P273" i="11" a="1"/>
  <c r="Y272" i="11"/>
  <c r="X272" i="11"/>
  <c r="W272" i="11"/>
  <c r="V272" i="11"/>
  <c r="U272" i="11"/>
  <c r="T272" i="11"/>
  <c r="S272" i="11"/>
  <c r="R272" i="11"/>
  <c r="Q272" i="11"/>
  <c r="P272" i="11"/>
  <c r="P272" i="11" a="1"/>
  <c r="Y271" i="11"/>
  <c r="X271" i="11"/>
  <c r="W271" i="11"/>
  <c r="V271" i="11"/>
  <c r="U271" i="11"/>
  <c r="T271" i="11"/>
  <c r="S271" i="11"/>
  <c r="R271" i="11"/>
  <c r="Q271" i="11"/>
  <c r="P271" i="11"/>
  <c r="P271" i="11" a="1"/>
  <c r="Y270" i="11"/>
  <c r="X270" i="11"/>
  <c r="W270" i="11"/>
  <c r="V270" i="11"/>
  <c r="U270" i="11"/>
  <c r="T270" i="11"/>
  <c r="S270" i="11"/>
  <c r="R270" i="11"/>
  <c r="Q270" i="11"/>
  <c r="P270" i="11"/>
  <c r="P270" i="11" a="1"/>
  <c r="Y269" i="11"/>
  <c r="X269" i="11"/>
  <c r="W269" i="11"/>
  <c r="V269" i="11"/>
  <c r="U269" i="11"/>
  <c r="T269" i="11"/>
  <c r="S269" i="11"/>
  <c r="R269" i="11"/>
  <c r="Q269" i="11"/>
  <c r="P269" i="11"/>
  <c r="P269" i="11" a="1"/>
  <c r="Y268" i="11"/>
  <c r="X268" i="11"/>
  <c r="W268" i="11"/>
  <c r="V268" i="11"/>
  <c r="U268" i="11"/>
  <c r="T268" i="11"/>
  <c r="S268" i="11"/>
  <c r="R268" i="11"/>
  <c r="Q268" i="11"/>
  <c r="P268" i="11"/>
  <c r="P268" i="11" a="1"/>
  <c r="Y267" i="11"/>
  <c r="X267" i="11"/>
  <c r="W267" i="11"/>
  <c r="V267" i="11"/>
  <c r="U267" i="11"/>
  <c r="T267" i="11"/>
  <c r="S267" i="11"/>
  <c r="R267" i="11"/>
  <c r="Q267" i="11"/>
  <c r="P267" i="11"/>
  <c r="P267" i="11" a="1"/>
  <c r="Y266" i="11"/>
  <c r="X266" i="11"/>
  <c r="W266" i="11"/>
  <c r="V266" i="11"/>
  <c r="U266" i="11"/>
  <c r="T266" i="11"/>
  <c r="S266" i="11"/>
  <c r="R266" i="11"/>
  <c r="Q266" i="11"/>
  <c r="P266" i="11"/>
  <c r="P266" i="11" a="1"/>
  <c r="Y265" i="11"/>
  <c r="X265" i="11"/>
  <c r="W265" i="11"/>
  <c r="V265" i="11"/>
  <c r="U265" i="11"/>
  <c r="T265" i="11"/>
  <c r="S265" i="11"/>
  <c r="R265" i="11"/>
  <c r="Q265" i="11"/>
  <c r="P265" i="11"/>
  <c r="P265" i="11" a="1"/>
  <c r="Y264" i="11"/>
  <c r="X264" i="11"/>
  <c r="W264" i="11"/>
  <c r="V264" i="11"/>
  <c r="U264" i="11"/>
  <c r="T264" i="11"/>
  <c r="S264" i="11"/>
  <c r="R264" i="11"/>
  <c r="Q264" i="11"/>
  <c r="P264" i="11"/>
  <c r="P264" i="11" a="1"/>
  <c r="Y263" i="11"/>
  <c r="X263" i="11"/>
  <c r="W263" i="11"/>
  <c r="V263" i="11"/>
  <c r="U263" i="11"/>
  <c r="T263" i="11"/>
  <c r="S263" i="11"/>
  <c r="R263" i="11"/>
  <c r="Q263" i="11"/>
  <c r="P263" i="11"/>
  <c r="P263" i="11" a="1"/>
  <c r="Y262" i="11"/>
  <c r="X262" i="11"/>
  <c r="W262" i="11"/>
  <c r="V262" i="11"/>
  <c r="U262" i="11"/>
  <c r="T262" i="11"/>
  <c r="S262" i="11"/>
  <c r="R262" i="11"/>
  <c r="Q262" i="11"/>
  <c r="P262" i="11"/>
  <c r="P262" i="11" a="1"/>
  <c r="Y261" i="11"/>
  <c r="X261" i="11"/>
  <c r="W261" i="11"/>
  <c r="V261" i="11"/>
  <c r="U261" i="11"/>
  <c r="T261" i="11"/>
  <c r="S261" i="11"/>
  <c r="R261" i="11"/>
  <c r="Q261" i="11"/>
  <c r="P261" i="11"/>
  <c r="P261" i="11" a="1"/>
  <c r="Y260" i="11"/>
  <c r="X260" i="11"/>
  <c r="W260" i="11"/>
  <c r="V260" i="11"/>
  <c r="U260" i="11"/>
  <c r="T260" i="11"/>
  <c r="S260" i="11"/>
  <c r="R260" i="11"/>
  <c r="Q260" i="11"/>
  <c r="P260" i="11"/>
  <c r="P260" i="11" a="1"/>
  <c r="Y259" i="11"/>
  <c r="X259" i="11"/>
  <c r="W259" i="11"/>
  <c r="V259" i="11"/>
  <c r="U259" i="11"/>
  <c r="T259" i="11"/>
  <c r="S259" i="11"/>
  <c r="R259" i="11"/>
  <c r="Q259" i="11"/>
  <c r="P259" i="11"/>
  <c r="P259" i="11" a="1"/>
  <c r="Y258" i="11"/>
  <c r="X258" i="11"/>
  <c r="W258" i="11"/>
  <c r="V258" i="11"/>
  <c r="U258" i="11"/>
  <c r="T258" i="11"/>
  <c r="S258" i="11"/>
  <c r="R258" i="11"/>
  <c r="Q258" i="11"/>
  <c r="P258" i="11"/>
  <c r="P258" i="11" a="1"/>
  <c r="Y257" i="11"/>
  <c r="X257" i="11"/>
  <c r="W257" i="11"/>
  <c r="V257" i="11"/>
  <c r="U257" i="11"/>
  <c r="T257" i="11"/>
  <c r="S257" i="11"/>
  <c r="R257" i="11"/>
  <c r="Q257" i="11"/>
  <c r="P257" i="11"/>
  <c r="P257" i="11" a="1"/>
  <c r="Y256" i="11"/>
  <c r="X256" i="11"/>
  <c r="W256" i="11"/>
  <c r="V256" i="11"/>
  <c r="U256" i="11"/>
  <c r="T256" i="11"/>
  <c r="S256" i="11"/>
  <c r="R256" i="11"/>
  <c r="Q256" i="11"/>
  <c r="P256" i="11"/>
  <c r="P256" i="11" a="1"/>
  <c r="Y255" i="11"/>
  <c r="X255" i="11"/>
  <c r="W255" i="11"/>
  <c r="V255" i="11"/>
  <c r="U255" i="11"/>
  <c r="T255" i="11"/>
  <c r="S255" i="11"/>
  <c r="R255" i="11"/>
  <c r="Q255" i="11"/>
  <c r="P255" i="11"/>
  <c r="P255" i="11" a="1"/>
  <c r="Y254" i="11"/>
  <c r="X254" i="11"/>
  <c r="W254" i="11"/>
  <c r="V254" i="11"/>
  <c r="U254" i="11"/>
  <c r="T254" i="11"/>
  <c r="S254" i="11"/>
  <c r="R254" i="11"/>
  <c r="Q254" i="11"/>
  <c r="P254" i="11"/>
  <c r="P254" i="11" a="1"/>
  <c r="Y253" i="11"/>
  <c r="X253" i="11"/>
  <c r="W253" i="11"/>
  <c r="V253" i="11"/>
  <c r="U253" i="11"/>
  <c r="T253" i="11"/>
  <c r="S253" i="11"/>
  <c r="R253" i="11"/>
  <c r="Q253" i="11"/>
  <c r="P253" i="11"/>
  <c r="P253" i="11" a="1"/>
  <c r="Y252" i="11"/>
  <c r="X252" i="11"/>
  <c r="W252" i="11"/>
  <c r="V252" i="11"/>
  <c r="U252" i="11"/>
  <c r="T252" i="11"/>
  <c r="S252" i="11"/>
  <c r="R252" i="11"/>
  <c r="Q252" i="11"/>
  <c r="P252" i="11"/>
  <c r="P252" i="11" a="1"/>
  <c r="Y251" i="11"/>
  <c r="X251" i="11"/>
  <c r="W251" i="11"/>
  <c r="V251" i="11"/>
  <c r="U251" i="11"/>
  <c r="T251" i="11"/>
  <c r="S251" i="11"/>
  <c r="R251" i="11"/>
  <c r="Q251" i="11"/>
  <c r="P251" i="11"/>
  <c r="P251" i="11" a="1"/>
  <c r="Y250" i="11"/>
  <c r="X250" i="11"/>
  <c r="W250" i="11"/>
  <c r="V250" i="11"/>
  <c r="U250" i="11"/>
  <c r="T250" i="11"/>
  <c r="S250" i="11"/>
  <c r="R250" i="11"/>
  <c r="Q250" i="11"/>
  <c r="P250" i="11"/>
  <c r="P250" i="11" a="1"/>
  <c r="Y249" i="11"/>
  <c r="X249" i="11"/>
  <c r="W249" i="11"/>
  <c r="V249" i="11"/>
  <c r="U249" i="11"/>
  <c r="T249" i="11"/>
  <c r="S249" i="11"/>
  <c r="R249" i="11"/>
  <c r="Q249" i="11"/>
  <c r="P249" i="11"/>
  <c r="P249" i="11" a="1"/>
  <c r="Y248" i="11"/>
  <c r="X248" i="11"/>
  <c r="W248" i="11"/>
  <c r="V248" i="11"/>
  <c r="U248" i="11"/>
  <c r="T248" i="11"/>
  <c r="S248" i="11"/>
  <c r="R248" i="11"/>
  <c r="Q248" i="11"/>
  <c r="P248" i="11"/>
  <c r="P248" i="11" a="1"/>
  <c r="Y247" i="11"/>
  <c r="X247" i="11"/>
  <c r="W247" i="11"/>
  <c r="V247" i="11"/>
  <c r="U247" i="11"/>
  <c r="T247" i="11"/>
  <c r="S247" i="11"/>
  <c r="R247" i="11"/>
  <c r="Q247" i="11"/>
  <c r="P247" i="11"/>
  <c r="P247" i="11" a="1"/>
  <c r="Y246" i="11"/>
  <c r="X246" i="11"/>
  <c r="W246" i="11"/>
  <c r="V246" i="11"/>
  <c r="U246" i="11"/>
  <c r="T246" i="11"/>
  <c r="S246" i="11"/>
  <c r="R246" i="11"/>
  <c r="Q246" i="11"/>
  <c r="P246" i="11"/>
  <c r="P246" i="11" a="1"/>
  <c r="Y245" i="11"/>
  <c r="X245" i="11"/>
  <c r="W245" i="11"/>
  <c r="V245" i="11"/>
  <c r="U245" i="11"/>
  <c r="T245" i="11"/>
  <c r="S245" i="11"/>
  <c r="R245" i="11"/>
  <c r="Q245" i="11"/>
  <c r="P245" i="11"/>
  <c r="P245" i="11" a="1"/>
  <c r="Y244" i="11"/>
  <c r="X244" i="11"/>
  <c r="W244" i="11"/>
  <c r="V244" i="11"/>
  <c r="U244" i="11"/>
  <c r="T244" i="11"/>
  <c r="S244" i="11"/>
  <c r="R244" i="11"/>
  <c r="Q244" i="11"/>
  <c r="P244" i="11"/>
  <c r="P244" i="11" a="1"/>
  <c r="Y243" i="11"/>
  <c r="X243" i="11"/>
  <c r="W243" i="11"/>
  <c r="V243" i="11"/>
  <c r="U243" i="11"/>
  <c r="T243" i="11"/>
  <c r="S243" i="11"/>
  <c r="R243" i="11"/>
  <c r="Q243" i="11"/>
  <c r="P243" i="11"/>
  <c r="P243" i="11" a="1"/>
  <c r="Y242" i="11"/>
  <c r="X242" i="11"/>
  <c r="W242" i="11"/>
  <c r="V242" i="11"/>
  <c r="U242" i="11"/>
  <c r="T242" i="11"/>
  <c r="S242" i="11"/>
  <c r="R242" i="11"/>
  <c r="Q242" i="11"/>
  <c r="P242" i="11"/>
  <c r="P242" i="11" a="1"/>
  <c r="Y241" i="11"/>
  <c r="X241" i="11"/>
  <c r="W241" i="11"/>
  <c r="V241" i="11"/>
  <c r="U241" i="11"/>
  <c r="T241" i="11"/>
  <c r="S241" i="11"/>
  <c r="R241" i="11"/>
  <c r="Q241" i="11"/>
  <c r="P241" i="11"/>
  <c r="P241" i="11" a="1"/>
  <c r="Y240" i="11"/>
  <c r="X240" i="11"/>
  <c r="W240" i="11"/>
  <c r="V240" i="11"/>
  <c r="U240" i="11"/>
  <c r="T240" i="11"/>
  <c r="S240" i="11"/>
  <c r="R240" i="11"/>
  <c r="Q240" i="11"/>
  <c r="P240" i="11"/>
  <c r="P240" i="11" a="1"/>
  <c r="Y239" i="11"/>
  <c r="X239" i="11"/>
  <c r="W239" i="11"/>
  <c r="V239" i="11"/>
  <c r="U239" i="11"/>
  <c r="T239" i="11"/>
  <c r="S239" i="11"/>
  <c r="R239" i="11"/>
  <c r="Q239" i="11"/>
  <c r="P239" i="11"/>
  <c r="P239" i="11" a="1"/>
  <c r="Y238" i="11"/>
  <c r="X238" i="11"/>
  <c r="W238" i="11"/>
  <c r="V238" i="11"/>
  <c r="U238" i="11"/>
  <c r="T238" i="11"/>
  <c r="S238" i="11"/>
  <c r="R238" i="11"/>
  <c r="Q238" i="11"/>
  <c r="P238" i="11"/>
  <c r="P238" i="11" a="1"/>
  <c r="Y237" i="11"/>
  <c r="X237" i="11"/>
  <c r="W237" i="11"/>
  <c r="V237" i="11"/>
  <c r="U237" i="11"/>
  <c r="T237" i="11"/>
  <c r="S237" i="11"/>
  <c r="R237" i="11"/>
  <c r="Q237" i="11"/>
  <c r="P237" i="11"/>
  <c r="P237" i="11" a="1"/>
  <c r="Y236" i="11"/>
  <c r="X236" i="11"/>
  <c r="W236" i="11"/>
  <c r="V236" i="11"/>
  <c r="U236" i="11"/>
  <c r="T236" i="11"/>
  <c r="S236" i="11"/>
  <c r="R236" i="11"/>
  <c r="Q236" i="11"/>
  <c r="P236" i="11"/>
  <c r="P236" i="11" a="1"/>
  <c r="Y235" i="11"/>
  <c r="X235" i="11"/>
  <c r="W235" i="11"/>
  <c r="V235" i="11"/>
  <c r="U235" i="11"/>
  <c r="T235" i="11"/>
  <c r="S235" i="11"/>
  <c r="R235" i="11"/>
  <c r="Q235" i="11"/>
  <c r="P235" i="11"/>
  <c r="P235" i="11" a="1"/>
  <c r="Y234" i="11"/>
  <c r="X234" i="11"/>
  <c r="W234" i="11"/>
  <c r="V234" i="11"/>
  <c r="U234" i="11"/>
  <c r="T234" i="11"/>
  <c r="S234" i="11"/>
  <c r="R234" i="11"/>
  <c r="Q234" i="11"/>
  <c r="P234" i="11"/>
  <c r="P234" i="11" a="1"/>
  <c r="Y233" i="11"/>
  <c r="X233" i="11"/>
  <c r="W233" i="11"/>
  <c r="V233" i="11"/>
  <c r="U233" i="11"/>
  <c r="T233" i="11"/>
  <c r="S233" i="11"/>
  <c r="R233" i="11"/>
  <c r="Q233" i="11"/>
  <c r="P233" i="11"/>
  <c r="P233" i="11" a="1"/>
  <c r="Y232" i="11"/>
  <c r="X232" i="11"/>
  <c r="W232" i="11"/>
  <c r="V232" i="11"/>
  <c r="U232" i="11"/>
  <c r="T232" i="11"/>
  <c r="S232" i="11"/>
  <c r="R232" i="11"/>
  <c r="Q232" i="11"/>
  <c r="P232" i="11"/>
  <c r="P232" i="11" a="1"/>
  <c r="Y231" i="11"/>
  <c r="X231" i="11"/>
  <c r="W231" i="11"/>
  <c r="V231" i="11"/>
  <c r="U231" i="11"/>
  <c r="T231" i="11"/>
  <c r="S231" i="11"/>
  <c r="R231" i="11"/>
  <c r="Q231" i="11"/>
  <c r="P231" i="11"/>
  <c r="P231" i="11" a="1"/>
  <c r="Y230" i="11"/>
  <c r="X230" i="11"/>
  <c r="W230" i="11"/>
  <c r="V230" i="11"/>
  <c r="U230" i="11"/>
  <c r="T230" i="11"/>
  <c r="S230" i="11"/>
  <c r="R230" i="11"/>
  <c r="Q230" i="11"/>
  <c r="P230" i="11"/>
  <c r="P230" i="11" a="1"/>
  <c r="Y229" i="11"/>
  <c r="X229" i="11"/>
  <c r="W229" i="11"/>
  <c r="V229" i="11"/>
  <c r="U229" i="11"/>
  <c r="T229" i="11"/>
  <c r="S229" i="11"/>
  <c r="R229" i="11"/>
  <c r="Q229" i="11"/>
  <c r="P229" i="11"/>
  <c r="P229" i="11" a="1"/>
  <c r="Y228" i="11"/>
  <c r="X228" i="11"/>
  <c r="W228" i="11"/>
  <c r="V228" i="11"/>
  <c r="U228" i="11"/>
  <c r="T228" i="11"/>
  <c r="S228" i="11"/>
  <c r="R228" i="11"/>
  <c r="Q228" i="11"/>
  <c r="P228" i="11"/>
  <c r="P228" i="11" a="1"/>
  <c r="Y227" i="11"/>
  <c r="X227" i="11"/>
  <c r="W227" i="11"/>
  <c r="V227" i="11"/>
  <c r="U227" i="11"/>
  <c r="T227" i="11"/>
  <c r="S227" i="11"/>
  <c r="R227" i="11"/>
  <c r="Q227" i="11"/>
  <c r="P227" i="11"/>
  <c r="P227" i="11" a="1"/>
  <c r="Y226" i="11"/>
  <c r="X226" i="11"/>
  <c r="W226" i="11"/>
  <c r="V226" i="11"/>
  <c r="U226" i="11"/>
  <c r="T226" i="11"/>
  <c r="S226" i="11"/>
  <c r="R226" i="11"/>
  <c r="Q226" i="11"/>
  <c r="P226" i="11"/>
  <c r="P226" i="11" a="1"/>
  <c r="Y225" i="11"/>
  <c r="X225" i="11"/>
  <c r="W225" i="11"/>
  <c r="V225" i="11"/>
  <c r="U225" i="11"/>
  <c r="T225" i="11"/>
  <c r="S225" i="11"/>
  <c r="R225" i="11"/>
  <c r="Q225" i="11"/>
  <c r="P225" i="11"/>
  <c r="P225" i="11" a="1"/>
  <c r="Y224" i="11"/>
  <c r="X224" i="11"/>
  <c r="W224" i="11"/>
  <c r="V224" i="11"/>
  <c r="U224" i="11"/>
  <c r="T224" i="11"/>
  <c r="S224" i="11"/>
  <c r="R224" i="11"/>
  <c r="Q224" i="11"/>
  <c r="P224" i="11"/>
  <c r="P224" i="11" a="1"/>
  <c r="Y223" i="11"/>
  <c r="X223" i="11"/>
  <c r="W223" i="11"/>
  <c r="V223" i="11"/>
  <c r="U223" i="11"/>
  <c r="T223" i="11"/>
  <c r="S223" i="11"/>
  <c r="R223" i="11"/>
  <c r="Q223" i="11"/>
  <c r="P223" i="11"/>
  <c r="P223" i="11" a="1"/>
  <c r="Y222" i="11"/>
  <c r="X222" i="11"/>
  <c r="W222" i="11"/>
  <c r="V222" i="11"/>
  <c r="U222" i="11"/>
  <c r="T222" i="11"/>
  <c r="S222" i="11"/>
  <c r="R222" i="11"/>
  <c r="Q222" i="11"/>
  <c r="P222" i="11"/>
  <c r="P222" i="11" a="1"/>
  <c r="Y221" i="11"/>
  <c r="X221" i="11"/>
  <c r="W221" i="11"/>
  <c r="V221" i="11"/>
  <c r="U221" i="11"/>
  <c r="T221" i="11"/>
  <c r="S221" i="11"/>
  <c r="R221" i="11"/>
  <c r="Q221" i="11"/>
  <c r="P221" i="11"/>
  <c r="P221" i="11" a="1"/>
  <c r="Y220" i="11"/>
  <c r="X220" i="11"/>
  <c r="W220" i="11"/>
  <c r="V220" i="11"/>
  <c r="U220" i="11"/>
  <c r="T220" i="11"/>
  <c r="S220" i="11"/>
  <c r="R220" i="11"/>
  <c r="Q220" i="11"/>
  <c r="P220" i="11"/>
  <c r="P220" i="11" a="1"/>
  <c r="Y219" i="11"/>
  <c r="X219" i="11"/>
  <c r="W219" i="11"/>
  <c r="V219" i="11"/>
  <c r="U219" i="11"/>
  <c r="T219" i="11"/>
  <c r="S219" i="11"/>
  <c r="R219" i="11"/>
  <c r="Q219" i="11"/>
  <c r="P219" i="11"/>
  <c r="P219" i="11" a="1"/>
  <c r="Y218" i="11"/>
  <c r="X218" i="11"/>
  <c r="W218" i="11"/>
  <c r="V218" i="11"/>
  <c r="U218" i="11"/>
  <c r="T218" i="11"/>
  <c r="S218" i="11"/>
  <c r="R218" i="11"/>
  <c r="Q218" i="11"/>
  <c r="P218" i="11"/>
  <c r="P218" i="11" a="1"/>
  <c r="Y217" i="11"/>
  <c r="X217" i="11"/>
  <c r="W217" i="11"/>
  <c r="V217" i="11"/>
  <c r="U217" i="11"/>
  <c r="T217" i="11"/>
  <c r="S217" i="11"/>
  <c r="R217" i="11"/>
  <c r="Q217" i="11"/>
  <c r="P217" i="11"/>
  <c r="P217" i="11" a="1"/>
  <c r="Y216" i="11"/>
  <c r="X216" i="11"/>
  <c r="W216" i="11"/>
  <c r="V216" i="11"/>
  <c r="U216" i="11"/>
  <c r="T216" i="11"/>
  <c r="S216" i="11"/>
  <c r="R216" i="11"/>
  <c r="Q216" i="11"/>
  <c r="P216" i="11"/>
  <c r="P216" i="11" a="1"/>
  <c r="Y215" i="11"/>
  <c r="X215" i="11"/>
  <c r="W215" i="11"/>
  <c r="V215" i="11"/>
  <c r="U215" i="11"/>
  <c r="T215" i="11"/>
  <c r="S215" i="11"/>
  <c r="R215" i="11"/>
  <c r="Q215" i="11"/>
  <c r="P215" i="11"/>
  <c r="P215" i="11" a="1"/>
  <c r="Y214" i="11"/>
  <c r="X214" i="11"/>
  <c r="W214" i="11"/>
  <c r="V214" i="11"/>
  <c r="U214" i="11"/>
  <c r="T214" i="11"/>
  <c r="S214" i="11"/>
  <c r="R214" i="11"/>
  <c r="Q214" i="11"/>
  <c r="P214" i="11"/>
  <c r="P214" i="11" a="1"/>
  <c r="Y213" i="11"/>
  <c r="X213" i="11"/>
  <c r="W213" i="11"/>
  <c r="V213" i="11"/>
  <c r="U213" i="11"/>
  <c r="T213" i="11"/>
  <c r="S213" i="11"/>
  <c r="R213" i="11"/>
  <c r="Q213" i="11"/>
  <c r="P213" i="11"/>
  <c r="P213" i="11" a="1"/>
  <c r="Y212" i="11"/>
  <c r="X212" i="11"/>
  <c r="W212" i="11"/>
  <c r="V212" i="11"/>
  <c r="U212" i="11"/>
  <c r="T212" i="11"/>
  <c r="S212" i="11"/>
  <c r="R212" i="11"/>
  <c r="Q212" i="11"/>
  <c r="P212" i="11"/>
  <c r="P212" i="11" a="1"/>
  <c r="Y211" i="11"/>
  <c r="X211" i="11"/>
  <c r="W211" i="11"/>
  <c r="V211" i="11"/>
  <c r="U211" i="11"/>
  <c r="T211" i="11"/>
  <c r="S211" i="11"/>
  <c r="R211" i="11"/>
  <c r="Q211" i="11"/>
  <c r="P211" i="11"/>
  <c r="P211" i="11" a="1"/>
  <c r="Y210" i="11"/>
  <c r="X210" i="11"/>
  <c r="W210" i="11"/>
  <c r="V210" i="11"/>
  <c r="U210" i="11"/>
  <c r="T210" i="11"/>
  <c r="S210" i="11"/>
  <c r="R210" i="11"/>
  <c r="Q210" i="11"/>
  <c r="P210" i="11"/>
  <c r="P210" i="11" a="1"/>
  <c r="Y209" i="11"/>
  <c r="X209" i="11"/>
  <c r="W209" i="11"/>
  <c r="V209" i="11"/>
  <c r="U209" i="11"/>
  <c r="T209" i="11"/>
  <c r="S209" i="11"/>
  <c r="R209" i="11"/>
  <c r="Q209" i="11"/>
  <c r="P209" i="11"/>
  <c r="P209" i="11" a="1"/>
  <c r="Y208" i="11"/>
  <c r="X208" i="11"/>
  <c r="W208" i="11"/>
  <c r="V208" i="11"/>
  <c r="U208" i="11"/>
  <c r="T208" i="11"/>
  <c r="S208" i="11"/>
  <c r="R208" i="11"/>
  <c r="Q208" i="11"/>
  <c r="P208" i="11"/>
  <c r="P208" i="11" a="1"/>
  <c r="Y207" i="11"/>
  <c r="X207" i="11"/>
  <c r="W207" i="11"/>
  <c r="V207" i="11"/>
  <c r="U207" i="11"/>
  <c r="T207" i="11"/>
  <c r="S207" i="11"/>
  <c r="R207" i="11"/>
  <c r="Q207" i="11"/>
  <c r="P207" i="11"/>
  <c r="P207" i="11" a="1"/>
  <c r="Y206" i="11"/>
  <c r="X206" i="11"/>
  <c r="W206" i="11"/>
  <c r="V206" i="11"/>
  <c r="U206" i="11"/>
  <c r="T206" i="11"/>
  <c r="S206" i="11"/>
  <c r="R206" i="11"/>
  <c r="Q206" i="11"/>
  <c r="P206" i="11"/>
  <c r="P206" i="11" a="1"/>
  <c r="Y205" i="11"/>
  <c r="X205" i="11"/>
  <c r="W205" i="11"/>
  <c r="V205" i="11"/>
  <c r="U205" i="11"/>
  <c r="T205" i="11"/>
  <c r="S205" i="11"/>
  <c r="R205" i="11"/>
  <c r="Q205" i="11"/>
  <c r="P205" i="11"/>
  <c r="P205" i="11" a="1"/>
  <c r="Y204" i="11"/>
  <c r="X204" i="11"/>
  <c r="W204" i="11"/>
  <c r="V204" i="11"/>
  <c r="U204" i="11"/>
  <c r="T204" i="11"/>
  <c r="S204" i="11"/>
  <c r="R204" i="11"/>
  <c r="Q204" i="11"/>
  <c r="P204" i="11"/>
  <c r="P204" i="11" a="1"/>
  <c r="Y203" i="11"/>
  <c r="X203" i="11"/>
  <c r="W203" i="11"/>
  <c r="V203" i="11"/>
  <c r="U203" i="11"/>
  <c r="T203" i="11"/>
  <c r="S203" i="11"/>
  <c r="R203" i="11"/>
  <c r="Q203" i="11"/>
  <c r="P203" i="11"/>
  <c r="P203" i="11" a="1"/>
  <c r="Y202" i="11"/>
  <c r="X202" i="11"/>
  <c r="W202" i="11"/>
  <c r="V202" i="11"/>
  <c r="U202" i="11"/>
  <c r="T202" i="11"/>
  <c r="S202" i="11"/>
  <c r="R202" i="11"/>
  <c r="Q202" i="11"/>
  <c r="P202" i="11"/>
  <c r="P202" i="11" a="1"/>
  <c r="Y201" i="11"/>
  <c r="X201" i="11"/>
  <c r="W201" i="11"/>
  <c r="V201" i="11"/>
  <c r="U201" i="11"/>
  <c r="T201" i="11"/>
  <c r="S201" i="11"/>
  <c r="R201" i="11"/>
  <c r="Q201" i="11"/>
  <c r="P201" i="11"/>
  <c r="P201" i="11" a="1"/>
  <c r="Y200" i="11"/>
  <c r="X200" i="11"/>
  <c r="W200" i="11"/>
  <c r="V200" i="11"/>
  <c r="U200" i="11"/>
  <c r="T200" i="11"/>
  <c r="S200" i="11"/>
  <c r="R200" i="11"/>
  <c r="Q200" i="11"/>
  <c r="P200" i="11"/>
  <c r="P200" i="11" a="1"/>
  <c r="Y199" i="11"/>
  <c r="X199" i="11"/>
  <c r="W199" i="11"/>
  <c r="V199" i="11"/>
  <c r="U199" i="11"/>
  <c r="T199" i="11"/>
  <c r="S199" i="11"/>
  <c r="R199" i="11"/>
  <c r="Q199" i="11"/>
  <c r="P199" i="11"/>
  <c r="P199" i="11" a="1"/>
  <c r="Y198" i="11"/>
  <c r="X198" i="11"/>
  <c r="W198" i="11"/>
  <c r="V198" i="11"/>
  <c r="U198" i="11"/>
  <c r="T198" i="11"/>
  <c r="S198" i="11"/>
  <c r="R198" i="11"/>
  <c r="Q198" i="11"/>
  <c r="P198" i="11"/>
  <c r="P198" i="11" a="1"/>
  <c r="Y197" i="11"/>
  <c r="X197" i="11"/>
  <c r="W197" i="11"/>
  <c r="V197" i="11"/>
  <c r="U197" i="11"/>
  <c r="T197" i="11"/>
  <c r="S197" i="11"/>
  <c r="R197" i="11"/>
  <c r="Q197" i="11"/>
  <c r="P197" i="11"/>
  <c r="P197" i="11" a="1"/>
  <c r="Y196" i="11"/>
  <c r="X196" i="11"/>
  <c r="W196" i="11"/>
  <c r="V196" i="11"/>
  <c r="U196" i="11"/>
  <c r="T196" i="11"/>
  <c r="S196" i="11"/>
  <c r="R196" i="11"/>
  <c r="Q196" i="11"/>
  <c r="P196" i="11"/>
  <c r="P196" i="11" a="1"/>
  <c r="Y195" i="11"/>
  <c r="X195" i="11"/>
  <c r="W195" i="11"/>
  <c r="V195" i="11"/>
  <c r="U195" i="11"/>
  <c r="T195" i="11"/>
  <c r="S195" i="11"/>
  <c r="R195" i="11"/>
  <c r="Q195" i="11"/>
  <c r="P195" i="11"/>
  <c r="P195" i="11" a="1"/>
  <c r="Y194" i="11"/>
  <c r="X194" i="11"/>
  <c r="W194" i="11"/>
  <c r="V194" i="11"/>
  <c r="U194" i="11"/>
  <c r="T194" i="11"/>
  <c r="S194" i="11"/>
  <c r="R194" i="11"/>
  <c r="Q194" i="11"/>
  <c r="P194" i="11"/>
  <c r="P194" i="11" a="1"/>
  <c r="Y193" i="11"/>
  <c r="X193" i="11"/>
  <c r="W193" i="11"/>
  <c r="V193" i="11"/>
  <c r="U193" i="11"/>
  <c r="T193" i="11"/>
  <c r="S193" i="11"/>
  <c r="R193" i="11"/>
  <c r="Q193" i="11"/>
  <c r="P193" i="11"/>
  <c r="P193" i="11" a="1"/>
  <c r="Y192" i="11"/>
  <c r="X192" i="11"/>
  <c r="W192" i="11"/>
  <c r="V192" i="11"/>
  <c r="U192" i="11"/>
  <c r="T192" i="11"/>
  <c r="S192" i="11"/>
  <c r="R192" i="11"/>
  <c r="Q192" i="11"/>
  <c r="P192" i="11"/>
  <c r="P192" i="11" a="1"/>
  <c r="Y191" i="11"/>
  <c r="X191" i="11"/>
  <c r="W191" i="11"/>
  <c r="V191" i="11"/>
  <c r="U191" i="11"/>
  <c r="T191" i="11"/>
  <c r="S191" i="11"/>
  <c r="R191" i="11"/>
  <c r="Q191" i="11"/>
  <c r="P191" i="11"/>
  <c r="P191" i="11" a="1"/>
  <c r="Y190" i="11"/>
  <c r="X190" i="11"/>
  <c r="W190" i="11"/>
  <c r="V190" i="11"/>
  <c r="U190" i="11"/>
  <c r="T190" i="11"/>
  <c r="S190" i="11"/>
  <c r="R190" i="11"/>
  <c r="Q190" i="11"/>
  <c r="P190" i="11"/>
  <c r="P190" i="11" a="1"/>
  <c r="Y189" i="11"/>
  <c r="X189" i="11"/>
  <c r="W189" i="11"/>
  <c r="V189" i="11"/>
  <c r="U189" i="11"/>
  <c r="T189" i="11"/>
  <c r="S189" i="11"/>
  <c r="R189" i="11"/>
  <c r="Q189" i="11"/>
  <c r="P189" i="11"/>
  <c r="P189" i="11" a="1"/>
  <c r="Y188" i="11"/>
  <c r="X188" i="11"/>
  <c r="W188" i="11"/>
  <c r="V188" i="11"/>
  <c r="U188" i="11"/>
  <c r="T188" i="11"/>
  <c r="S188" i="11"/>
  <c r="R188" i="11"/>
  <c r="Q188" i="11"/>
  <c r="P188" i="11"/>
  <c r="P188" i="11" a="1"/>
  <c r="Y187" i="11"/>
  <c r="X187" i="11"/>
  <c r="W187" i="11"/>
  <c r="V187" i="11"/>
  <c r="U187" i="11"/>
  <c r="T187" i="11"/>
  <c r="S187" i="11"/>
  <c r="R187" i="11"/>
  <c r="Q187" i="11"/>
  <c r="P187" i="11"/>
  <c r="P187" i="11" a="1"/>
  <c r="Y186" i="11"/>
  <c r="X186" i="11"/>
  <c r="W186" i="11"/>
  <c r="V186" i="11"/>
  <c r="U186" i="11"/>
  <c r="T186" i="11"/>
  <c r="S186" i="11"/>
  <c r="R186" i="11"/>
  <c r="Q186" i="11"/>
  <c r="P186" i="11"/>
  <c r="P186" i="11" a="1"/>
  <c r="Y185" i="11"/>
  <c r="X185" i="11"/>
  <c r="W185" i="11"/>
  <c r="V185" i="11"/>
  <c r="U185" i="11"/>
  <c r="T185" i="11"/>
  <c r="S185" i="11"/>
  <c r="R185" i="11"/>
  <c r="Q185" i="11"/>
  <c r="P185" i="11"/>
  <c r="P185" i="11" a="1"/>
  <c r="Y184" i="11"/>
  <c r="X184" i="11"/>
  <c r="W184" i="11"/>
  <c r="V184" i="11"/>
  <c r="U184" i="11"/>
  <c r="T184" i="11"/>
  <c r="S184" i="11"/>
  <c r="R184" i="11"/>
  <c r="Q184" i="11"/>
  <c r="P184" i="11"/>
  <c r="P184" i="11" a="1"/>
  <c r="Y183" i="11"/>
  <c r="X183" i="11"/>
  <c r="W183" i="11"/>
  <c r="V183" i="11"/>
  <c r="U183" i="11"/>
  <c r="T183" i="11"/>
  <c r="S183" i="11"/>
  <c r="R183" i="11"/>
  <c r="Q183" i="11"/>
  <c r="P183" i="11"/>
  <c r="P183" i="11" a="1"/>
  <c r="Y182" i="11"/>
  <c r="X182" i="11"/>
  <c r="W182" i="11"/>
  <c r="V182" i="11"/>
  <c r="U182" i="11"/>
  <c r="T182" i="11"/>
  <c r="S182" i="11"/>
  <c r="R182" i="11"/>
  <c r="Q182" i="11"/>
  <c r="P182" i="11"/>
  <c r="P182" i="11" a="1"/>
  <c r="Y181" i="11"/>
  <c r="X181" i="11"/>
  <c r="W181" i="11"/>
  <c r="V181" i="11"/>
  <c r="U181" i="11"/>
  <c r="T181" i="11"/>
  <c r="S181" i="11"/>
  <c r="R181" i="11"/>
  <c r="Q181" i="11"/>
  <c r="P181" i="11"/>
  <c r="P181" i="11" a="1"/>
  <c r="Y180" i="11"/>
  <c r="X180" i="11"/>
  <c r="W180" i="11"/>
  <c r="V180" i="11"/>
  <c r="U180" i="11"/>
  <c r="T180" i="11"/>
  <c r="S180" i="11"/>
  <c r="R180" i="11"/>
  <c r="Q180" i="11"/>
  <c r="P180" i="11"/>
  <c r="P180" i="11" a="1"/>
  <c r="Y179" i="11"/>
  <c r="X179" i="11"/>
  <c r="W179" i="11"/>
  <c r="V179" i="11"/>
  <c r="U179" i="11"/>
  <c r="T179" i="11"/>
  <c r="S179" i="11"/>
  <c r="R179" i="11"/>
  <c r="Q179" i="11"/>
  <c r="P179" i="11"/>
  <c r="P179" i="11" a="1"/>
  <c r="Y178" i="11"/>
  <c r="X178" i="11"/>
  <c r="W178" i="11"/>
  <c r="V178" i="11"/>
  <c r="U178" i="11"/>
  <c r="T178" i="11"/>
  <c r="S178" i="11"/>
  <c r="R178" i="11"/>
  <c r="Q178" i="11"/>
  <c r="P178" i="11"/>
  <c r="P178" i="11" a="1"/>
  <c r="Y177" i="11"/>
  <c r="X177" i="11"/>
  <c r="W177" i="11"/>
  <c r="V177" i="11"/>
  <c r="U177" i="11"/>
  <c r="T177" i="11"/>
  <c r="S177" i="11"/>
  <c r="R177" i="11"/>
  <c r="Q177" i="11"/>
  <c r="P177" i="11"/>
  <c r="P177" i="11" a="1"/>
  <c r="Y176" i="11"/>
  <c r="X176" i="11"/>
  <c r="W176" i="11"/>
  <c r="V176" i="11"/>
  <c r="U176" i="11"/>
  <c r="T176" i="11"/>
  <c r="S176" i="11"/>
  <c r="R176" i="11"/>
  <c r="Q176" i="11"/>
  <c r="P176" i="11"/>
  <c r="P176" i="11" a="1"/>
  <c r="Y175" i="11"/>
  <c r="X175" i="11"/>
  <c r="W175" i="11"/>
  <c r="V175" i="11"/>
  <c r="U175" i="11"/>
  <c r="T175" i="11"/>
  <c r="S175" i="11"/>
  <c r="R175" i="11"/>
  <c r="Q175" i="11"/>
  <c r="P175" i="11"/>
  <c r="P175" i="11" a="1"/>
  <c r="Y174" i="11"/>
  <c r="X174" i="11"/>
  <c r="W174" i="11"/>
  <c r="V174" i="11"/>
  <c r="U174" i="11"/>
  <c r="T174" i="11"/>
  <c r="S174" i="11"/>
  <c r="R174" i="11"/>
  <c r="Q174" i="11"/>
  <c r="P174" i="11"/>
  <c r="P174" i="11" a="1"/>
  <c r="Y173" i="11"/>
  <c r="X173" i="11"/>
  <c r="W173" i="11"/>
  <c r="V173" i="11"/>
  <c r="U173" i="11"/>
  <c r="T173" i="11"/>
  <c r="S173" i="11"/>
  <c r="R173" i="11"/>
  <c r="Q173" i="11"/>
  <c r="P173" i="11"/>
  <c r="P173" i="11" a="1"/>
  <c r="Y172" i="11"/>
  <c r="X172" i="11"/>
  <c r="W172" i="11"/>
  <c r="V172" i="11"/>
  <c r="U172" i="11"/>
  <c r="T172" i="11"/>
  <c r="S172" i="11"/>
  <c r="R172" i="11"/>
  <c r="Q172" i="11"/>
  <c r="P172" i="11"/>
  <c r="P172" i="11" a="1"/>
  <c r="Y171" i="11"/>
  <c r="X171" i="11"/>
  <c r="W171" i="11"/>
  <c r="V171" i="11"/>
  <c r="U171" i="11"/>
  <c r="T171" i="11"/>
  <c r="S171" i="11"/>
  <c r="R171" i="11"/>
  <c r="Q171" i="11"/>
  <c r="P171" i="11"/>
  <c r="P171" i="11" a="1"/>
  <c r="Y170" i="11"/>
  <c r="X170" i="11"/>
  <c r="W170" i="11"/>
  <c r="V170" i="11"/>
  <c r="U170" i="11"/>
  <c r="T170" i="11"/>
  <c r="S170" i="11"/>
  <c r="R170" i="11"/>
  <c r="Q170" i="11"/>
  <c r="P170" i="11"/>
  <c r="P170" i="11" a="1"/>
  <c r="Y169" i="11"/>
  <c r="X169" i="11"/>
  <c r="W169" i="11"/>
  <c r="V169" i="11"/>
  <c r="U169" i="11"/>
  <c r="T169" i="11"/>
  <c r="S169" i="11"/>
  <c r="R169" i="11"/>
  <c r="Q169" i="11"/>
  <c r="P169" i="11"/>
  <c r="P169" i="11" a="1"/>
  <c r="Y168" i="11"/>
  <c r="X168" i="11"/>
  <c r="W168" i="11"/>
  <c r="V168" i="11"/>
  <c r="U168" i="11"/>
  <c r="T168" i="11"/>
  <c r="S168" i="11"/>
  <c r="R168" i="11"/>
  <c r="Q168" i="11"/>
  <c r="P168" i="11"/>
  <c r="P168" i="11" a="1"/>
  <c r="Y167" i="11"/>
  <c r="X167" i="11"/>
  <c r="W167" i="11"/>
  <c r="V167" i="11"/>
  <c r="U167" i="11"/>
  <c r="T167" i="11"/>
  <c r="S167" i="11"/>
  <c r="R167" i="11"/>
  <c r="Q167" i="11"/>
  <c r="P167" i="11"/>
  <c r="P167" i="11" a="1"/>
  <c r="Y166" i="11"/>
  <c r="X166" i="11"/>
  <c r="W166" i="11"/>
  <c r="V166" i="11"/>
  <c r="U166" i="11"/>
  <c r="T166" i="11"/>
  <c r="S166" i="11"/>
  <c r="R166" i="11"/>
  <c r="Q166" i="11"/>
  <c r="P166" i="11"/>
  <c r="P166" i="11" a="1"/>
  <c r="Y165" i="11"/>
  <c r="X165" i="11"/>
  <c r="W165" i="11"/>
  <c r="V165" i="11"/>
  <c r="U165" i="11"/>
  <c r="T165" i="11"/>
  <c r="S165" i="11"/>
  <c r="R165" i="11"/>
  <c r="Q165" i="11"/>
  <c r="P165" i="11"/>
  <c r="P165" i="11" a="1"/>
  <c r="Y164" i="11"/>
  <c r="X164" i="11"/>
  <c r="W164" i="11"/>
  <c r="V164" i="11"/>
  <c r="U164" i="11"/>
  <c r="T164" i="11"/>
  <c r="S164" i="11"/>
  <c r="R164" i="11"/>
  <c r="Q164" i="11"/>
  <c r="P164" i="11"/>
  <c r="P164" i="11" a="1"/>
  <c r="Y163" i="11"/>
  <c r="X163" i="11"/>
  <c r="W163" i="11"/>
  <c r="V163" i="11"/>
  <c r="U163" i="11"/>
  <c r="T163" i="11"/>
  <c r="S163" i="11"/>
  <c r="R163" i="11"/>
  <c r="Q163" i="11"/>
  <c r="P163" i="11"/>
  <c r="P163" i="11" a="1"/>
  <c r="Y162" i="11"/>
  <c r="X162" i="11"/>
  <c r="W162" i="11"/>
  <c r="V162" i="11"/>
  <c r="U162" i="11"/>
  <c r="T162" i="11"/>
  <c r="S162" i="11"/>
  <c r="R162" i="11"/>
  <c r="Q162" i="11"/>
  <c r="P162" i="11"/>
  <c r="P162" i="11" a="1"/>
  <c r="Y161" i="11"/>
  <c r="X161" i="11"/>
  <c r="W161" i="11"/>
  <c r="V161" i="11"/>
  <c r="U161" i="11"/>
  <c r="T161" i="11"/>
  <c r="S161" i="11"/>
  <c r="R161" i="11"/>
  <c r="Q161" i="11"/>
  <c r="P161" i="11"/>
  <c r="P161" i="11" a="1"/>
  <c r="Y160" i="11"/>
  <c r="X160" i="11"/>
  <c r="W160" i="11"/>
  <c r="V160" i="11"/>
  <c r="U160" i="11"/>
  <c r="T160" i="11"/>
  <c r="S160" i="11"/>
  <c r="R160" i="11"/>
  <c r="Q160" i="11"/>
  <c r="P160" i="11"/>
  <c r="P160" i="11" a="1"/>
  <c r="Y159" i="11"/>
  <c r="X159" i="11"/>
  <c r="W159" i="11"/>
  <c r="V159" i="11"/>
  <c r="U159" i="11"/>
  <c r="T159" i="11"/>
  <c r="S159" i="11"/>
  <c r="R159" i="11"/>
  <c r="Q159" i="11"/>
  <c r="P159" i="11"/>
  <c r="P159" i="11" a="1"/>
  <c r="Y158" i="11"/>
  <c r="X158" i="11"/>
  <c r="W158" i="11"/>
  <c r="V158" i="11"/>
  <c r="U158" i="11"/>
  <c r="T158" i="11"/>
  <c r="S158" i="11"/>
  <c r="R158" i="11"/>
  <c r="Q158" i="11"/>
  <c r="P158" i="11"/>
  <c r="P158" i="11" a="1"/>
  <c r="Y157" i="11"/>
  <c r="X157" i="11"/>
  <c r="W157" i="11"/>
  <c r="V157" i="11"/>
  <c r="U157" i="11"/>
  <c r="T157" i="11"/>
  <c r="S157" i="11"/>
  <c r="R157" i="11"/>
  <c r="Q157" i="11"/>
  <c r="P157" i="11"/>
  <c r="P157" i="11" a="1"/>
  <c r="Y156" i="11"/>
  <c r="X156" i="11"/>
  <c r="W156" i="11"/>
  <c r="V156" i="11"/>
  <c r="U156" i="11"/>
  <c r="T156" i="11"/>
  <c r="S156" i="11"/>
  <c r="R156" i="11"/>
  <c r="Q156" i="11"/>
  <c r="P156" i="11"/>
  <c r="P156" i="11" a="1"/>
  <c r="Y155" i="11"/>
  <c r="X155" i="11"/>
  <c r="W155" i="11"/>
  <c r="V155" i="11"/>
  <c r="U155" i="11"/>
  <c r="T155" i="11"/>
  <c r="S155" i="11"/>
  <c r="R155" i="11"/>
  <c r="Q155" i="11"/>
  <c r="P155" i="11"/>
  <c r="P155" i="11" a="1"/>
  <c r="Y154" i="11"/>
  <c r="X154" i="11"/>
  <c r="W154" i="11"/>
  <c r="V154" i="11"/>
  <c r="U154" i="11"/>
  <c r="T154" i="11"/>
  <c r="S154" i="11"/>
  <c r="R154" i="11"/>
  <c r="Q154" i="11"/>
  <c r="P154" i="11"/>
  <c r="P154" i="11" a="1"/>
  <c r="Y153" i="11"/>
  <c r="X153" i="11"/>
  <c r="W153" i="11"/>
  <c r="V153" i="11"/>
  <c r="U153" i="11"/>
  <c r="T153" i="11"/>
  <c r="S153" i="11"/>
  <c r="R153" i="11"/>
  <c r="Q153" i="11"/>
  <c r="P153" i="11"/>
  <c r="P153" i="11" a="1"/>
  <c r="Y152" i="11"/>
  <c r="X152" i="11"/>
  <c r="W152" i="11"/>
  <c r="V152" i="11"/>
  <c r="U152" i="11"/>
  <c r="T152" i="11"/>
  <c r="S152" i="11"/>
  <c r="R152" i="11"/>
  <c r="Q152" i="11"/>
  <c r="P152" i="11"/>
  <c r="P152" i="11" a="1"/>
  <c r="Y151" i="11"/>
  <c r="X151" i="11"/>
  <c r="W151" i="11"/>
  <c r="V151" i="11"/>
  <c r="U151" i="11"/>
  <c r="T151" i="11"/>
  <c r="S151" i="11"/>
  <c r="R151" i="11"/>
  <c r="Q151" i="11"/>
  <c r="P151" i="11"/>
  <c r="P151" i="11" a="1"/>
  <c r="Y150" i="11"/>
  <c r="X150" i="11"/>
  <c r="W150" i="11"/>
  <c r="V150" i="11"/>
  <c r="U150" i="11"/>
  <c r="T150" i="11"/>
  <c r="S150" i="11"/>
  <c r="R150" i="11"/>
  <c r="Q150" i="11"/>
  <c r="P150" i="11"/>
  <c r="P150" i="11" a="1"/>
  <c r="Y149" i="11"/>
  <c r="X149" i="11"/>
  <c r="W149" i="11"/>
  <c r="V149" i="11"/>
  <c r="U149" i="11"/>
  <c r="T149" i="11"/>
  <c r="S149" i="11"/>
  <c r="R149" i="11"/>
  <c r="Q149" i="11"/>
  <c r="P149" i="11"/>
  <c r="P149" i="11" a="1"/>
  <c r="Y148" i="11"/>
  <c r="X148" i="11"/>
  <c r="W148" i="11"/>
  <c r="V148" i="11"/>
  <c r="U148" i="11"/>
  <c r="T148" i="11"/>
  <c r="S148" i="11"/>
  <c r="R148" i="11"/>
  <c r="Q148" i="11"/>
  <c r="P148" i="11"/>
  <c r="P148" i="11" a="1"/>
  <c r="Y147" i="11"/>
  <c r="X147" i="11"/>
  <c r="W147" i="11"/>
  <c r="V147" i="11"/>
  <c r="U147" i="11"/>
  <c r="T147" i="11"/>
  <c r="S147" i="11"/>
  <c r="R147" i="11"/>
  <c r="Q147" i="11"/>
  <c r="P147" i="11"/>
  <c r="P147" i="11" a="1"/>
  <c r="Y146" i="11"/>
  <c r="X146" i="11"/>
  <c r="W146" i="11"/>
  <c r="V146" i="11"/>
  <c r="U146" i="11"/>
  <c r="T146" i="11"/>
  <c r="S146" i="11"/>
  <c r="R146" i="11"/>
  <c r="Q146" i="11"/>
  <c r="P146" i="11"/>
  <c r="P146" i="11" a="1"/>
  <c r="Y145" i="11"/>
  <c r="X145" i="11"/>
  <c r="W145" i="11"/>
  <c r="V145" i="11"/>
  <c r="U145" i="11"/>
  <c r="T145" i="11"/>
  <c r="S145" i="11"/>
  <c r="R145" i="11"/>
  <c r="Q145" i="11"/>
  <c r="P145" i="11"/>
  <c r="P145" i="11" a="1"/>
  <c r="Y144" i="11"/>
  <c r="X144" i="11"/>
  <c r="W144" i="11"/>
  <c r="V144" i="11"/>
  <c r="U144" i="11"/>
  <c r="T144" i="11"/>
  <c r="S144" i="11"/>
  <c r="R144" i="11"/>
  <c r="Q144" i="11"/>
  <c r="P144" i="11"/>
  <c r="P144" i="11" a="1"/>
  <c r="Y143" i="11"/>
  <c r="X143" i="11"/>
  <c r="W143" i="11"/>
  <c r="V143" i="11"/>
  <c r="U143" i="11"/>
  <c r="T143" i="11"/>
  <c r="S143" i="11"/>
  <c r="R143" i="11"/>
  <c r="Q143" i="11"/>
  <c r="P143" i="11"/>
  <c r="P143" i="11" a="1"/>
  <c r="Y142" i="11"/>
  <c r="X142" i="11"/>
  <c r="W142" i="11"/>
  <c r="V142" i="11"/>
  <c r="U142" i="11"/>
  <c r="T142" i="11"/>
  <c r="S142" i="11"/>
  <c r="R142" i="11"/>
  <c r="Q142" i="11"/>
  <c r="P142" i="11"/>
  <c r="P142" i="11" a="1"/>
  <c r="Y141" i="11"/>
  <c r="X141" i="11"/>
  <c r="W141" i="11"/>
  <c r="V141" i="11"/>
  <c r="U141" i="11"/>
  <c r="T141" i="11"/>
  <c r="S141" i="11"/>
  <c r="R141" i="11"/>
  <c r="Q141" i="11"/>
  <c r="P141" i="11"/>
  <c r="P141" i="11" a="1"/>
  <c r="Y140" i="11"/>
  <c r="X140" i="11"/>
  <c r="W140" i="11"/>
  <c r="V140" i="11"/>
  <c r="U140" i="11"/>
  <c r="T140" i="11"/>
  <c r="S140" i="11"/>
  <c r="R140" i="11"/>
  <c r="Q140" i="11"/>
  <c r="P140" i="11"/>
  <c r="P140" i="11" a="1"/>
  <c r="Y139" i="11"/>
  <c r="X139" i="11"/>
  <c r="W139" i="11"/>
  <c r="V139" i="11"/>
  <c r="U139" i="11"/>
  <c r="T139" i="11"/>
  <c r="S139" i="11"/>
  <c r="R139" i="11"/>
  <c r="Q139" i="11"/>
  <c r="P139" i="11"/>
  <c r="P139" i="11" a="1"/>
  <c r="Y138" i="11"/>
  <c r="X138" i="11"/>
  <c r="W138" i="11"/>
  <c r="V138" i="11"/>
  <c r="U138" i="11"/>
  <c r="T138" i="11"/>
  <c r="S138" i="11"/>
  <c r="R138" i="11"/>
  <c r="Q138" i="11"/>
  <c r="P138" i="11"/>
  <c r="P138" i="11" a="1"/>
  <c r="Y137" i="11"/>
  <c r="X137" i="11"/>
  <c r="W137" i="11"/>
  <c r="V137" i="11"/>
  <c r="U137" i="11"/>
  <c r="T137" i="11"/>
  <c r="S137" i="11"/>
  <c r="R137" i="11"/>
  <c r="Q137" i="11"/>
  <c r="P137" i="11"/>
  <c r="P137" i="11" a="1"/>
  <c r="Y136" i="11"/>
  <c r="X136" i="11"/>
  <c r="W136" i="11"/>
  <c r="V136" i="11"/>
  <c r="U136" i="11"/>
  <c r="T136" i="11"/>
  <c r="S136" i="11"/>
  <c r="R136" i="11"/>
  <c r="Q136" i="11"/>
  <c r="P136" i="11"/>
  <c r="P136" i="11" a="1"/>
  <c r="Y135" i="11"/>
  <c r="X135" i="11"/>
  <c r="W135" i="11"/>
  <c r="V135" i="11"/>
  <c r="U135" i="11"/>
  <c r="T135" i="11"/>
  <c r="S135" i="11"/>
  <c r="R135" i="11"/>
  <c r="Q135" i="11"/>
  <c r="P135" i="11"/>
  <c r="P135" i="11" a="1"/>
  <c r="Y134" i="11"/>
  <c r="X134" i="11"/>
  <c r="W134" i="11"/>
  <c r="V134" i="11"/>
  <c r="U134" i="11"/>
  <c r="T134" i="11"/>
  <c r="S134" i="11"/>
  <c r="R134" i="11"/>
  <c r="Q134" i="11"/>
  <c r="P134" i="11"/>
  <c r="P134" i="11" a="1"/>
  <c r="Y133" i="11"/>
  <c r="X133" i="11"/>
  <c r="W133" i="11"/>
  <c r="V133" i="11"/>
  <c r="U133" i="11"/>
  <c r="T133" i="11"/>
  <c r="S133" i="11"/>
  <c r="R133" i="11"/>
  <c r="Q133" i="11"/>
  <c r="P133" i="11"/>
  <c r="P133" i="11" a="1"/>
  <c r="Y132" i="11"/>
  <c r="X132" i="11"/>
  <c r="W132" i="11"/>
  <c r="V132" i="11"/>
  <c r="U132" i="11"/>
  <c r="T132" i="11"/>
  <c r="S132" i="11"/>
  <c r="R132" i="11"/>
  <c r="Q132" i="11"/>
  <c r="P132" i="11"/>
  <c r="P132" i="11" a="1"/>
  <c r="Y131" i="11"/>
  <c r="X131" i="11"/>
  <c r="W131" i="11"/>
  <c r="V131" i="11"/>
  <c r="U131" i="11"/>
  <c r="T131" i="11"/>
  <c r="S131" i="11"/>
  <c r="R131" i="11"/>
  <c r="Q131" i="11"/>
  <c r="P131" i="11"/>
  <c r="P131" i="11" a="1"/>
  <c r="Y130" i="11"/>
  <c r="X130" i="11"/>
  <c r="W130" i="11"/>
  <c r="V130" i="11"/>
  <c r="U130" i="11"/>
  <c r="T130" i="11"/>
  <c r="S130" i="11"/>
  <c r="R130" i="11"/>
  <c r="Q130" i="11"/>
  <c r="P130" i="11"/>
  <c r="P130" i="11" a="1"/>
  <c r="Y129" i="11"/>
  <c r="X129" i="11"/>
  <c r="W129" i="11"/>
  <c r="V129" i="11"/>
  <c r="U129" i="11"/>
  <c r="T129" i="11"/>
  <c r="S129" i="11"/>
  <c r="R129" i="11"/>
  <c r="Q129" i="11"/>
  <c r="P129" i="11"/>
  <c r="P129" i="11" a="1"/>
  <c r="Y128" i="11"/>
  <c r="X128" i="11"/>
  <c r="W128" i="11"/>
  <c r="V128" i="11"/>
  <c r="U128" i="11"/>
  <c r="T128" i="11"/>
  <c r="S128" i="11"/>
  <c r="R128" i="11"/>
  <c r="Q128" i="11"/>
  <c r="P128" i="11"/>
  <c r="P128" i="11" a="1"/>
  <c r="Y127" i="11"/>
  <c r="X127" i="11"/>
  <c r="W127" i="11"/>
  <c r="V127" i="11"/>
  <c r="U127" i="11"/>
  <c r="T127" i="11"/>
  <c r="S127" i="11"/>
  <c r="R127" i="11"/>
  <c r="Q127" i="11"/>
  <c r="P127" i="11"/>
  <c r="P127" i="11" a="1"/>
  <c r="Y126" i="11"/>
  <c r="X126" i="11"/>
  <c r="W126" i="11"/>
  <c r="V126" i="11"/>
  <c r="U126" i="11"/>
  <c r="T126" i="11"/>
  <c r="S126" i="11"/>
  <c r="R126" i="11"/>
  <c r="Q126" i="11"/>
  <c r="P126" i="11"/>
  <c r="P126" i="11" a="1"/>
  <c r="Y125" i="11"/>
  <c r="X125" i="11"/>
  <c r="W125" i="11"/>
  <c r="V125" i="11"/>
  <c r="U125" i="11"/>
  <c r="T125" i="11"/>
  <c r="S125" i="11"/>
  <c r="R125" i="11"/>
  <c r="Q125" i="11"/>
  <c r="P125" i="11"/>
  <c r="P125" i="11" a="1"/>
  <c r="Y124" i="11"/>
  <c r="X124" i="11"/>
  <c r="W124" i="11"/>
  <c r="V124" i="11"/>
  <c r="U124" i="11"/>
  <c r="T124" i="11"/>
  <c r="S124" i="11"/>
  <c r="R124" i="11"/>
  <c r="Q124" i="11"/>
  <c r="P124" i="11"/>
  <c r="P124" i="11" a="1"/>
  <c r="Y123" i="11"/>
  <c r="X123" i="11"/>
  <c r="W123" i="11"/>
  <c r="V123" i="11"/>
  <c r="U123" i="11"/>
  <c r="T123" i="11"/>
  <c r="S123" i="11"/>
  <c r="R123" i="11"/>
  <c r="Q123" i="11"/>
  <c r="P123" i="11"/>
  <c r="P123" i="11" a="1"/>
  <c r="Y122" i="11"/>
  <c r="X122" i="11"/>
  <c r="W122" i="11"/>
  <c r="V122" i="11"/>
  <c r="U122" i="11"/>
  <c r="T122" i="11"/>
  <c r="S122" i="11"/>
  <c r="R122" i="11"/>
  <c r="Q122" i="11"/>
  <c r="P122" i="11"/>
  <c r="P122" i="11" a="1"/>
  <c r="Y121" i="11"/>
  <c r="X121" i="11"/>
  <c r="W121" i="11"/>
  <c r="V121" i="11"/>
  <c r="U121" i="11"/>
  <c r="T121" i="11"/>
  <c r="S121" i="11"/>
  <c r="R121" i="11"/>
  <c r="Q121" i="11"/>
  <c r="P121" i="11"/>
  <c r="P121" i="11" a="1"/>
  <c r="Y120" i="11"/>
  <c r="X120" i="11"/>
  <c r="W120" i="11"/>
  <c r="V120" i="11"/>
  <c r="U120" i="11"/>
  <c r="T120" i="11"/>
  <c r="S120" i="11"/>
  <c r="R120" i="11"/>
  <c r="Q120" i="11"/>
  <c r="P120" i="11"/>
  <c r="P120" i="11" a="1"/>
  <c r="Y119" i="11"/>
  <c r="X119" i="11"/>
  <c r="W119" i="11"/>
  <c r="V119" i="11"/>
  <c r="U119" i="11"/>
  <c r="T119" i="11"/>
  <c r="S119" i="11"/>
  <c r="R119" i="11"/>
  <c r="Q119" i="11"/>
  <c r="P119" i="11"/>
  <c r="P119" i="11" a="1"/>
  <c r="Y118" i="11"/>
  <c r="X118" i="11"/>
  <c r="W118" i="11"/>
  <c r="V118" i="11"/>
  <c r="U118" i="11"/>
  <c r="T118" i="11"/>
  <c r="S118" i="11"/>
  <c r="R118" i="11"/>
  <c r="Q118" i="11"/>
  <c r="P118" i="11"/>
  <c r="P118" i="11" a="1"/>
  <c r="Y117" i="11"/>
  <c r="X117" i="11"/>
  <c r="W117" i="11"/>
  <c r="V117" i="11"/>
  <c r="U117" i="11"/>
  <c r="T117" i="11"/>
  <c r="S117" i="11"/>
  <c r="R117" i="11"/>
  <c r="Q117" i="11"/>
  <c r="P117" i="11"/>
  <c r="P117" i="11" a="1"/>
  <c r="Y116" i="11"/>
  <c r="X116" i="11"/>
  <c r="W116" i="11"/>
  <c r="V116" i="11"/>
  <c r="U116" i="11"/>
  <c r="T116" i="11"/>
  <c r="S116" i="11"/>
  <c r="R116" i="11"/>
  <c r="Q116" i="11"/>
  <c r="P116" i="11"/>
  <c r="P116" i="11" a="1"/>
  <c r="Y115" i="11"/>
  <c r="X115" i="11"/>
  <c r="W115" i="11"/>
  <c r="V115" i="11"/>
  <c r="U115" i="11"/>
  <c r="T115" i="11"/>
  <c r="S115" i="11"/>
  <c r="R115" i="11"/>
  <c r="Q115" i="11"/>
  <c r="P115" i="11"/>
  <c r="P115" i="11" a="1"/>
  <c r="Y114" i="11"/>
  <c r="X114" i="11"/>
  <c r="W114" i="11"/>
  <c r="V114" i="11"/>
  <c r="U114" i="11"/>
  <c r="T114" i="11"/>
  <c r="S114" i="11"/>
  <c r="R114" i="11"/>
  <c r="Q114" i="11"/>
  <c r="P114" i="11"/>
  <c r="P114" i="11" a="1"/>
  <c r="Y113" i="11"/>
  <c r="X113" i="11"/>
  <c r="W113" i="11"/>
  <c r="V113" i="11"/>
  <c r="U113" i="11"/>
  <c r="T113" i="11"/>
  <c r="S113" i="11"/>
  <c r="R113" i="11"/>
  <c r="Q113" i="11"/>
  <c r="P113" i="11"/>
  <c r="P113" i="11" a="1"/>
  <c r="Y112" i="11"/>
  <c r="X112" i="11"/>
  <c r="W112" i="11"/>
  <c r="V112" i="11"/>
  <c r="U112" i="11"/>
  <c r="T112" i="11"/>
  <c r="S112" i="11"/>
  <c r="R112" i="11"/>
  <c r="Q112" i="11"/>
  <c r="P112" i="11"/>
  <c r="P112" i="11" a="1"/>
  <c r="Y111" i="11"/>
  <c r="X111" i="11"/>
  <c r="W111" i="11"/>
  <c r="V111" i="11"/>
  <c r="U111" i="11"/>
  <c r="T111" i="11"/>
  <c r="S111" i="11"/>
  <c r="R111" i="11"/>
  <c r="Q111" i="11"/>
  <c r="P111" i="11"/>
  <c r="P111" i="11" a="1"/>
  <c r="Y110" i="11"/>
  <c r="X110" i="11"/>
  <c r="W110" i="11"/>
  <c r="V110" i="11"/>
  <c r="U110" i="11"/>
  <c r="T110" i="11"/>
  <c r="S110" i="11"/>
  <c r="R110" i="11"/>
  <c r="Q110" i="11"/>
  <c r="P110" i="11"/>
  <c r="P110" i="11" a="1"/>
  <c r="Y109" i="11"/>
  <c r="X109" i="11"/>
  <c r="W109" i="11"/>
  <c r="V109" i="11"/>
  <c r="U109" i="11"/>
  <c r="T109" i="11"/>
  <c r="S109" i="11"/>
  <c r="R109" i="11"/>
  <c r="Q109" i="11"/>
  <c r="P109" i="11"/>
  <c r="P109" i="11" a="1"/>
  <c r="Y108" i="11"/>
  <c r="X108" i="11"/>
  <c r="W108" i="11"/>
  <c r="V108" i="11"/>
  <c r="U108" i="11"/>
  <c r="T108" i="11"/>
  <c r="S108" i="11"/>
  <c r="R108" i="11"/>
  <c r="Q108" i="11"/>
  <c r="P108" i="11"/>
  <c r="P108" i="11" a="1"/>
  <c r="Y107" i="11"/>
  <c r="X107" i="11"/>
  <c r="W107" i="11"/>
  <c r="V107" i="11"/>
  <c r="U107" i="11"/>
  <c r="T107" i="11"/>
  <c r="S107" i="11"/>
  <c r="R107" i="11"/>
  <c r="Q107" i="11"/>
  <c r="P107" i="11"/>
  <c r="P107" i="11" a="1"/>
  <c r="Y106" i="11"/>
  <c r="X106" i="11"/>
  <c r="W106" i="11"/>
  <c r="V106" i="11"/>
  <c r="U106" i="11"/>
  <c r="T106" i="11"/>
  <c r="S106" i="11"/>
  <c r="R106" i="11"/>
  <c r="Q106" i="11"/>
  <c r="P106" i="11"/>
  <c r="P106" i="11" a="1"/>
  <c r="Y105" i="11"/>
  <c r="X105" i="11"/>
  <c r="W105" i="11"/>
  <c r="V105" i="11"/>
  <c r="U105" i="11"/>
  <c r="T105" i="11"/>
  <c r="S105" i="11"/>
  <c r="R105" i="11"/>
  <c r="Q105" i="11"/>
  <c r="P105" i="11"/>
  <c r="P105" i="11" a="1"/>
  <c r="Y104" i="11"/>
  <c r="X104" i="11"/>
  <c r="W104" i="11"/>
  <c r="V104" i="11"/>
  <c r="U104" i="11"/>
  <c r="T104" i="11"/>
  <c r="S104" i="11"/>
  <c r="R104" i="11"/>
  <c r="Q104" i="11"/>
  <c r="P104" i="11"/>
  <c r="P104" i="11" a="1"/>
  <c r="Y103" i="11"/>
  <c r="X103" i="11"/>
  <c r="W103" i="11"/>
  <c r="V103" i="11"/>
  <c r="U103" i="11"/>
  <c r="T103" i="11"/>
  <c r="S103" i="11"/>
  <c r="R103" i="11"/>
  <c r="Q103" i="11"/>
  <c r="P103" i="11"/>
  <c r="P103" i="11" a="1"/>
  <c r="Y102" i="11"/>
  <c r="X102" i="11"/>
  <c r="W102" i="11"/>
  <c r="V102" i="11"/>
  <c r="U102" i="11"/>
  <c r="T102" i="11"/>
  <c r="S102" i="11"/>
  <c r="R102" i="11"/>
  <c r="Q102" i="11"/>
  <c r="P102" i="11"/>
  <c r="P102" i="11" a="1"/>
  <c r="Y101" i="11"/>
  <c r="X101" i="11"/>
  <c r="W101" i="11"/>
  <c r="V101" i="11"/>
  <c r="U101" i="11"/>
  <c r="T101" i="11"/>
  <c r="S101" i="11"/>
  <c r="R101" i="11"/>
  <c r="Q101" i="11"/>
  <c r="P101" i="11"/>
  <c r="P101" i="11" a="1"/>
  <c r="Y100" i="11"/>
  <c r="X100" i="11"/>
  <c r="W100" i="11"/>
  <c r="V100" i="11"/>
  <c r="U100" i="11"/>
  <c r="T100" i="11"/>
  <c r="S100" i="11"/>
  <c r="R100" i="11"/>
  <c r="Q100" i="11"/>
  <c r="P100" i="11"/>
  <c r="P100" i="11" a="1"/>
  <c r="Y99" i="11"/>
  <c r="X99" i="11"/>
  <c r="W99" i="11"/>
  <c r="V99" i="11"/>
  <c r="U99" i="11"/>
  <c r="T99" i="11"/>
  <c r="S99" i="11"/>
  <c r="R99" i="11"/>
  <c r="Q99" i="11"/>
  <c r="P99" i="11"/>
  <c r="P99" i="11" a="1"/>
  <c r="Y98" i="11"/>
  <c r="X98" i="11"/>
  <c r="W98" i="11"/>
  <c r="V98" i="11"/>
  <c r="U98" i="11"/>
  <c r="T98" i="11"/>
  <c r="S98" i="11"/>
  <c r="R98" i="11"/>
  <c r="Q98" i="11"/>
  <c r="P98" i="11"/>
  <c r="P98" i="11" a="1"/>
  <c r="Y97" i="11"/>
  <c r="X97" i="11"/>
  <c r="W97" i="11"/>
  <c r="V97" i="11"/>
  <c r="U97" i="11"/>
  <c r="T97" i="11"/>
  <c r="S97" i="11"/>
  <c r="R97" i="11"/>
  <c r="Q97" i="11"/>
  <c r="P97" i="11"/>
  <c r="P97" i="11" a="1"/>
  <c r="Y96" i="11"/>
  <c r="X96" i="11"/>
  <c r="W96" i="11"/>
  <c r="V96" i="11"/>
  <c r="U96" i="11"/>
  <c r="T96" i="11"/>
  <c r="S96" i="11"/>
  <c r="R96" i="11"/>
  <c r="Q96" i="11"/>
  <c r="P96" i="11"/>
  <c r="P96" i="11" a="1"/>
  <c r="Y95" i="11"/>
  <c r="X95" i="11"/>
  <c r="W95" i="11"/>
  <c r="V95" i="11"/>
  <c r="U95" i="11"/>
  <c r="T95" i="11"/>
  <c r="S95" i="11"/>
  <c r="R95" i="11"/>
  <c r="Q95" i="11"/>
  <c r="P95" i="11"/>
  <c r="P95" i="11" a="1"/>
  <c r="Y94" i="11"/>
  <c r="X94" i="11"/>
  <c r="W94" i="11"/>
  <c r="V94" i="11"/>
  <c r="U94" i="11"/>
  <c r="T94" i="11"/>
  <c r="S94" i="11"/>
  <c r="R94" i="11"/>
  <c r="Q94" i="11"/>
  <c r="P94" i="11"/>
  <c r="P94" i="11" a="1"/>
  <c r="Y93" i="11"/>
  <c r="X93" i="11"/>
  <c r="W93" i="11"/>
  <c r="V93" i="11"/>
  <c r="U93" i="11"/>
  <c r="T93" i="11"/>
  <c r="S93" i="11"/>
  <c r="R93" i="11"/>
  <c r="Q93" i="11"/>
  <c r="P93" i="11"/>
  <c r="P93" i="11" a="1"/>
  <c r="Y92" i="11"/>
  <c r="X92" i="11"/>
  <c r="W92" i="11"/>
  <c r="V92" i="11"/>
  <c r="U92" i="11"/>
  <c r="T92" i="11"/>
  <c r="S92" i="11"/>
  <c r="R92" i="11"/>
  <c r="Q92" i="11"/>
  <c r="P92" i="11"/>
  <c r="P92" i="11" a="1"/>
  <c r="Y91" i="11"/>
  <c r="X91" i="11"/>
  <c r="W91" i="11"/>
  <c r="V91" i="11"/>
  <c r="U91" i="11"/>
  <c r="T91" i="11"/>
  <c r="S91" i="11"/>
  <c r="R91" i="11"/>
  <c r="Q91" i="11"/>
  <c r="P91" i="11"/>
  <c r="P91" i="11" a="1"/>
  <c r="Y90" i="11"/>
  <c r="X90" i="11"/>
  <c r="W90" i="11"/>
  <c r="V90" i="11"/>
  <c r="U90" i="11"/>
  <c r="T90" i="11"/>
  <c r="S90" i="11"/>
  <c r="R90" i="11"/>
  <c r="Q90" i="11"/>
  <c r="P90" i="11"/>
  <c r="P90" i="11" a="1"/>
  <c r="Y89" i="11"/>
  <c r="X89" i="11"/>
  <c r="W89" i="11"/>
  <c r="V89" i="11"/>
  <c r="U89" i="11"/>
  <c r="T89" i="11"/>
  <c r="S89" i="11"/>
  <c r="R89" i="11"/>
  <c r="Q89" i="11"/>
  <c r="P89" i="11"/>
  <c r="P89" i="11" a="1"/>
  <c r="Y88" i="11"/>
  <c r="X88" i="11"/>
  <c r="W88" i="11"/>
  <c r="V88" i="11"/>
  <c r="U88" i="11"/>
  <c r="T88" i="11"/>
  <c r="S88" i="11"/>
  <c r="R88" i="11"/>
  <c r="Q88" i="11"/>
  <c r="P88" i="11"/>
  <c r="P88" i="11" a="1"/>
  <c r="Y87" i="11"/>
  <c r="X87" i="11"/>
  <c r="W87" i="11"/>
  <c r="V87" i="11"/>
  <c r="U87" i="11"/>
  <c r="T87" i="11"/>
  <c r="S87" i="11"/>
  <c r="R87" i="11"/>
  <c r="Q87" i="11"/>
  <c r="P87" i="11"/>
  <c r="P87" i="11" a="1"/>
  <c r="Y86" i="11"/>
  <c r="X86" i="11"/>
  <c r="W86" i="11"/>
  <c r="V86" i="11"/>
  <c r="U86" i="11"/>
  <c r="T86" i="11"/>
  <c r="S86" i="11"/>
  <c r="R86" i="11"/>
  <c r="Q86" i="11"/>
  <c r="P86" i="11"/>
  <c r="P86" i="11" a="1"/>
  <c r="Y85" i="11"/>
  <c r="X85" i="11"/>
  <c r="W85" i="11"/>
  <c r="V85" i="11"/>
  <c r="U85" i="11"/>
  <c r="T85" i="11"/>
  <c r="S85" i="11"/>
  <c r="R85" i="11"/>
  <c r="Q85" i="11"/>
  <c r="P85" i="11"/>
  <c r="P85" i="11" a="1"/>
  <c r="Y84" i="11"/>
  <c r="X84" i="11"/>
  <c r="W84" i="11"/>
  <c r="V84" i="11"/>
  <c r="U84" i="11"/>
  <c r="T84" i="11"/>
  <c r="S84" i="11"/>
  <c r="R84" i="11"/>
  <c r="Q84" i="11"/>
  <c r="P84" i="11"/>
  <c r="P84" i="11" a="1"/>
  <c r="Y83" i="11"/>
  <c r="X83" i="11"/>
  <c r="W83" i="11"/>
  <c r="V83" i="11"/>
  <c r="U83" i="11"/>
  <c r="T83" i="11"/>
  <c r="S83" i="11"/>
  <c r="R83" i="11"/>
  <c r="Q83" i="11"/>
  <c r="P83" i="11"/>
  <c r="P83" i="11" a="1"/>
  <c r="Y82" i="11"/>
  <c r="X82" i="11"/>
  <c r="W82" i="11"/>
  <c r="V82" i="11"/>
  <c r="U82" i="11"/>
  <c r="T82" i="11"/>
  <c r="S82" i="11"/>
  <c r="R82" i="11"/>
  <c r="Q82" i="11"/>
  <c r="P82" i="11"/>
  <c r="P82" i="11" a="1"/>
  <c r="Y81" i="11"/>
  <c r="X81" i="11"/>
  <c r="W81" i="11"/>
  <c r="V81" i="11"/>
  <c r="U81" i="11"/>
  <c r="T81" i="11"/>
  <c r="S81" i="11"/>
  <c r="R81" i="11"/>
  <c r="Q81" i="11"/>
  <c r="P81" i="11"/>
  <c r="P81" i="11" a="1"/>
  <c r="Y80" i="11"/>
  <c r="X80" i="11"/>
  <c r="W80" i="11"/>
  <c r="V80" i="11"/>
  <c r="U80" i="11"/>
  <c r="T80" i="11"/>
  <c r="S80" i="11"/>
  <c r="R80" i="11"/>
  <c r="Q80" i="11"/>
  <c r="P80" i="11"/>
  <c r="P80" i="11" a="1"/>
  <c r="Y79" i="11"/>
  <c r="X79" i="11"/>
  <c r="W79" i="11"/>
  <c r="V79" i="11"/>
  <c r="U79" i="11"/>
  <c r="T79" i="11"/>
  <c r="S79" i="11"/>
  <c r="R79" i="11"/>
  <c r="Q79" i="11"/>
  <c r="P79" i="11"/>
  <c r="P79" i="11" a="1"/>
  <c r="Y78" i="11"/>
  <c r="X78" i="11"/>
  <c r="W78" i="11"/>
  <c r="V78" i="11"/>
  <c r="U78" i="11"/>
  <c r="T78" i="11"/>
  <c r="S78" i="11"/>
  <c r="R78" i="11"/>
  <c r="Q78" i="11"/>
  <c r="P78" i="11"/>
  <c r="P78" i="11" a="1"/>
  <c r="Y77" i="11"/>
  <c r="X77" i="11"/>
  <c r="W77" i="11"/>
  <c r="V77" i="11"/>
  <c r="U77" i="11"/>
  <c r="T77" i="11"/>
  <c r="S77" i="11"/>
  <c r="R77" i="11"/>
  <c r="Q77" i="11"/>
  <c r="P77" i="11"/>
  <c r="P77" i="11" a="1"/>
  <c r="Y76" i="11"/>
  <c r="X76" i="11"/>
  <c r="W76" i="11"/>
  <c r="V76" i="11"/>
  <c r="U76" i="11"/>
  <c r="T76" i="11"/>
  <c r="S76" i="11"/>
  <c r="R76" i="11"/>
  <c r="Q76" i="11"/>
  <c r="P76" i="11"/>
  <c r="P76" i="11" a="1"/>
  <c r="Y75" i="11"/>
  <c r="X75" i="11"/>
  <c r="W75" i="11"/>
  <c r="V75" i="11"/>
  <c r="U75" i="11"/>
  <c r="T75" i="11"/>
  <c r="S75" i="11"/>
  <c r="R75" i="11"/>
  <c r="Q75" i="11"/>
  <c r="P75" i="11"/>
  <c r="P75" i="11" a="1"/>
  <c r="Y74" i="11"/>
  <c r="X74" i="11"/>
  <c r="W74" i="11"/>
  <c r="V74" i="11"/>
  <c r="U74" i="11"/>
  <c r="T74" i="11"/>
  <c r="S74" i="11"/>
  <c r="R74" i="11"/>
  <c r="Q74" i="11"/>
  <c r="P74" i="11"/>
  <c r="P74" i="11" a="1"/>
  <c r="Y73" i="11"/>
  <c r="X73" i="11"/>
  <c r="W73" i="11"/>
  <c r="V73" i="11"/>
  <c r="U73" i="11"/>
  <c r="T73" i="11"/>
  <c r="S73" i="11"/>
  <c r="R73" i="11"/>
  <c r="Q73" i="11"/>
  <c r="P73" i="11"/>
  <c r="P73" i="11" a="1"/>
  <c r="Y72" i="11"/>
  <c r="X72" i="11"/>
  <c r="W72" i="11"/>
  <c r="V72" i="11"/>
  <c r="U72" i="11"/>
  <c r="T72" i="11"/>
  <c r="S72" i="11"/>
  <c r="R72" i="11"/>
  <c r="Q72" i="11"/>
  <c r="P72" i="11"/>
  <c r="P72" i="11" a="1"/>
  <c r="Y71" i="11"/>
  <c r="X71" i="11"/>
  <c r="W71" i="11"/>
  <c r="V71" i="11"/>
  <c r="U71" i="11"/>
  <c r="T71" i="11"/>
  <c r="S71" i="11"/>
  <c r="R71" i="11"/>
  <c r="Q71" i="11"/>
  <c r="P71" i="11"/>
  <c r="P71" i="11" a="1"/>
  <c r="Y70" i="11"/>
  <c r="X70" i="11"/>
  <c r="W70" i="11"/>
  <c r="V70" i="11"/>
  <c r="U70" i="11"/>
  <c r="T70" i="11"/>
  <c r="S70" i="11"/>
  <c r="R70" i="11"/>
  <c r="Q70" i="11"/>
  <c r="P70" i="11"/>
  <c r="P70" i="11" a="1"/>
  <c r="Y69" i="11"/>
  <c r="X69" i="11"/>
  <c r="W69" i="11"/>
  <c r="V69" i="11"/>
  <c r="U69" i="11"/>
  <c r="T69" i="11"/>
  <c r="S69" i="11"/>
  <c r="R69" i="11"/>
  <c r="Q69" i="11"/>
  <c r="P69" i="11"/>
  <c r="P69" i="11" a="1"/>
  <c r="Y68" i="11"/>
  <c r="X68" i="11"/>
  <c r="W68" i="11"/>
  <c r="V68" i="11"/>
  <c r="U68" i="11"/>
  <c r="T68" i="11"/>
  <c r="S68" i="11"/>
  <c r="R68" i="11"/>
  <c r="Q68" i="11"/>
  <c r="P68" i="11"/>
  <c r="P68" i="11" a="1"/>
  <c r="Y67" i="11"/>
  <c r="X67" i="11"/>
  <c r="W67" i="11"/>
  <c r="V67" i="11"/>
  <c r="U67" i="11"/>
  <c r="T67" i="11"/>
  <c r="S67" i="11"/>
  <c r="R67" i="11"/>
  <c r="Q67" i="11"/>
  <c r="P67" i="11"/>
  <c r="P67" i="11" a="1"/>
  <c r="Y66" i="11"/>
  <c r="X66" i="11"/>
  <c r="W66" i="11"/>
  <c r="V66" i="11"/>
  <c r="U66" i="11"/>
  <c r="T66" i="11"/>
  <c r="S66" i="11"/>
  <c r="R66" i="11"/>
  <c r="Q66" i="11"/>
  <c r="P66" i="11"/>
  <c r="P66" i="11" a="1"/>
  <c r="Y65" i="11"/>
  <c r="X65" i="11"/>
  <c r="W65" i="11"/>
  <c r="V65" i="11"/>
  <c r="U65" i="11"/>
  <c r="T65" i="11"/>
  <c r="S65" i="11"/>
  <c r="R65" i="11"/>
  <c r="Q65" i="11"/>
  <c r="P65" i="11"/>
  <c r="P65" i="11" a="1"/>
  <c r="Y64" i="11"/>
  <c r="X64" i="11"/>
  <c r="W64" i="11"/>
  <c r="V64" i="11"/>
  <c r="U64" i="11"/>
  <c r="T64" i="11"/>
  <c r="S64" i="11"/>
  <c r="R64" i="11"/>
  <c r="Q64" i="11"/>
  <c r="P64" i="11"/>
  <c r="P64" i="11" a="1"/>
  <c r="Y63" i="11"/>
  <c r="X63" i="11"/>
  <c r="W63" i="11"/>
  <c r="V63" i="11"/>
  <c r="U63" i="11"/>
  <c r="T63" i="11"/>
  <c r="S63" i="11"/>
  <c r="R63" i="11"/>
  <c r="Q63" i="11"/>
  <c r="P63" i="11"/>
  <c r="P63" i="11" a="1"/>
  <c r="Y62" i="11"/>
  <c r="X62" i="11"/>
  <c r="W62" i="11"/>
  <c r="V62" i="11"/>
  <c r="U62" i="11"/>
  <c r="T62" i="11"/>
  <c r="S62" i="11"/>
  <c r="R62" i="11"/>
  <c r="Q62" i="11"/>
  <c r="P62" i="11"/>
  <c r="P62" i="11" a="1"/>
  <c r="Y61" i="11"/>
  <c r="X61" i="11"/>
  <c r="W61" i="11"/>
  <c r="V61" i="11"/>
  <c r="U61" i="11"/>
  <c r="T61" i="11"/>
  <c r="S61" i="11"/>
  <c r="R61" i="11"/>
  <c r="Q61" i="11"/>
  <c r="P61" i="11"/>
  <c r="P61" i="11" a="1"/>
  <c r="Y60" i="11"/>
  <c r="X60" i="11"/>
  <c r="W60" i="11"/>
  <c r="V60" i="11"/>
  <c r="U60" i="11"/>
  <c r="T60" i="11"/>
  <c r="S60" i="11"/>
  <c r="R60" i="11"/>
  <c r="Q60" i="11"/>
  <c r="P60" i="11"/>
  <c r="P60" i="11" a="1"/>
  <c r="Y59" i="11"/>
  <c r="X59" i="11"/>
  <c r="W59" i="11"/>
  <c r="V59" i="11"/>
  <c r="U59" i="11"/>
  <c r="T59" i="11"/>
  <c r="S59" i="11"/>
  <c r="R59" i="11"/>
  <c r="Q59" i="11"/>
  <c r="P59" i="11"/>
  <c r="P59" i="11" a="1"/>
  <c r="Y58" i="11"/>
  <c r="X58" i="11"/>
  <c r="W58" i="11"/>
  <c r="V58" i="11"/>
  <c r="U58" i="11"/>
  <c r="T58" i="11"/>
  <c r="S58" i="11"/>
  <c r="R58" i="11"/>
  <c r="Q58" i="11"/>
  <c r="P58" i="11"/>
  <c r="P58" i="11" a="1"/>
  <c r="Y57" i="11"/>
  <c r="X57" i="11"/>
  <c r="W57" i="11"/>
  <c r="V57" i="11"/>
  <c r="U57" i="11"/>
  <c r="T57" i="11"/>
  <c r="S57" i="11"/>
  <c r="R57" i="11"/>
  <c r="Q57" i="11"/>
  <c r="P57" i="11"/>
  <c r="P57" i="11" a="1"/>
  <c r="Y56" i="11"/>
  <c r="X56" i="11"/>
  <c r="W56" i="11"/>
  <c r="V56" i="11"/>
  <c r="U56" i="11"/>
  <c r="T56" i="11"/>
  <c r="S56" i="11"/>
  <c r="R56" i="11"/>
  <c r="Q56" i="11"/>
  <c r="P56" i="11"/>
  <c r="P56" i="11" a="1"/>
  <c r="Y55" i="11"/>
  <c r="X55" i="11"/>
  <c r="W55" i="11"/>
  <c r="V55" i="11"/>
  <c r="U55" i="11"/>
  <c r="T55" i="11"/>
  <c r="S55" i="11"/>
  <c r="R55" i="11"/>
  <c r="Q55" i="11"/>
  <c r="P55" i="11"/>
  <c r="P55" i="11" a="1"/>
  <c r="Y54" i="11"/>
  <c r="X54" i="11"/>
  <c r="W54" i="11"/>
  <c r="V54" i="11"/>
  <c r="U54" i="11"/>
  <c r="T54" i="11"/>
  <c r="S54" i="11"/>
  <c r="R54" i="11"/>
  <c r="Q54" i="11"/>
  <c r="P54" i="11"/>
  <c r="P54" i="11" a="1"/>
  <c r="Y53" i="11"/>
  <c r="X53" i="11"/>
  <c r="W53" i="11"/>
  <c r="V53" i="11"/>
  <c r="U53" i="11"/>
  <c r="T53" i="11"/>
  <c r="S53" i="11"/>
  <c r="R53" i="11"/>
  <c r="Q53" i="11"/>
  <c r="P53" i="11"/>
  <c r="P53" i="11" a="1"/>
  <c r="Y52" i="11"/>
  <c r="X52" i="11"/>
  <c r="W52" i="11"/>
  <c r="V52" i="11"/>
  <c r="U52" i="11"/>
  <c r="T52" i="11"/>
  <c r="S52" i="11"/>
  <c r="R52" i="11"/>
  <c r="Q52" i="11"/>
  <c r="P52" i="11"/>
  <c r="P52" i="11" a="1"/>
  <c r="Y51" i="11"/>
  <c r="X51" i="11"/>
  <c r="W51" i="11"/>
  <c r="V51" i="11"/>
  <c r="U51" i="11"/>
  <c r="T51" i="11"/>
  <c r="S51" i="11"/>
  <c r="R51" i="11"/>
  <c r="Q51" i="11"/>
  <c r="P51" i="11"/>
  <c r="P51" i="11" a="1"/>
  <c r="Y50" i="11"/>
  <c r="X50" i="11"/>
  <c r="W50" i="11"/>
  <c r="V50" i="11"/>
  <c r="U50" i="11"/>
  <c r="T50" i="11"/>
  <c r="S50" i="11"/>
  <c r="R50" i="11"/>
  <c r="Q50" i="11"/>
  <c r="P50" i="11"/>
  <c r="P50" i="11" a="1"/>
  <c r="Y49" i="11"/>
  <c r="X49" i="11"/>
  <c r="W49" i="11"/>
  <c r="V49" i="11"/>
  <c r="U49" i="11"/>
  <c r="T49" i="11"/>
  <c r="S49" i="11"/>
  <c r="R49" i="11"/>
  <c r="Q49" i="11"/>
  <c r="P49" i="11"/>
  <c r="P49" i="11" a="1"/>
  <c r="Y48" i="11"/>
  <c r="X48" i="11"/>
  <c r="W48" i="11"/>
  <c r="V48" i="11"/>
  <c r="U48" i="11"/>
  <c r="T48" i="11"/>
  <c r="S48" i="11"/>
  <c r="R48" i="11"/>
  <c r="Q48" i="11"/>
  <c r="P48" i="11"/>
  <c r="P48" i="11" a="1"/>
  <c r="Y47" i="11"/>
  <c r="X47" i="11"/>
  <c r="W47" i="11"/>
  <c r="V47" i="11"/>
  <c r="U47" i="11"/>
  <c r="T47" i="11"/>
  <c r="S47" i="11"/>
  <c r="R47" i="11"/>
  <c r="Q47" i="11"/>
  <c r="P47" i="11"/>
  <c r="P47" i="11" a="1"/>
  <c r="Y46" i="11"/>
  <c r="X46" i="11"/>
  <c r="W46" i="11"/>
  <c r="V46" i="11"/>
  <c r="U46" i="11"/>
  <c r="T46" i="11"/>
  <c r="S46" i="11"/>
  <c r="R46" i="11"/>
  <c r="Q46" i="11"/>
  <c r="P46" i="11"/>
  <c r="P46" i="11" a="1"/>
  <c r="Y45" i="11"/>
  <c r="X45" i="11"/>
  <c r="W45" i="11"/>
  <c r="V45" i="11"/>
  <c r="U45" i="11"/>
  <c r="T45" i="11"/>
  <c r="S45" i="11"/>
  <c r="R45" i="11"/>
  <c r="Q45" i="11"/>
  <c r="P45" i="11"/>
  <c r="P45" i="11" a="1"/>
  <c r="Y44" i="11"/>
  <c r="X44" i="11"/>
  <c r="W44" i="11"/>
  <c r="V44" i="11"/>
  <c r="U44" i="11"/>
  <c r="T44" i="11"/>
  <c r="S44" i="11"/>
  <c r="R44" i="11"/>
  <c r="Q44" i="11"/>
  <c r="P44" i="11"/>
  <c r="P44" i="11" a="1"/>
  <c r="Y43" i="11"/>
  <c r="X43" i="11"/>
  <c r="W43" i="11"/>
  <c r="V43" i="11"/>
  <c r="U43" i="11"/>
  <c r="T43" i="11"/>
  <c r="S43" i="11"/>
  <c r="R43" i="11"/>
  <c r="Q43" i="11"/>
  <c r="P43" i="11"/>
  <c r="P43" i="11" a="1"/>
  <c r="Y42" i="11"/>
  <c r="X42" i="11"/>
  <c r="W42" i="11"/>
  <c r="V42" i="11"/>
  <c r="U42" i="11"/>
  <c r="T42" i="11"/>
  <c r="S42" i="11"/>
  <c r="R42" i="11"/>
  <c r="Q42" i="11"/>
  <c r="P42" i="11"/>
  <c r="P42" i="11" a="1"/>
  <c r="Y41" i="11"/>
  <c r="X41" i="11"/>
  <c r="W41" i="11"/>
  <c r="V41" i="11"/>
  <c r="U41" i="11"/>
  <c r="T41" i="11"/>
  <c r="S41" i="11"/>
  <c r="R41" i="11"/>
  <c r="Q41" i="11"/>
  <c r="P41" i="11"/>
  <c r="P41" i="11" a="1"/>
  <c r="Y40" i="11"/>
  <c r="X40" i="11"/>
  <c r="W40" i="11"/>
  <c r="V40" i="11"/>
  <c r="U40" i="11"/>
  <c r="T40" i="11"/>
  <c r="S40" i="11"/>
  <c r="R40" i="11"/>
  <c r="Q40" i="11"/>
  <c r="P40" i="11"/>
  <c r="P40" i="11" a="1"/>
  <c r="Y39" i="11"/>
  <c r="X39" i="11"/>
  <c r="W39" i="11"/>
  <c r="V39" i="11"/>
  <c r="U39" i="11"/>
  <c r="T39" i="11"/>
  <c r="S39" i="11"/>
  <c r="R39" i="11"/>
  <c r="Q39" i="11"/>
  <c r="P39" i="11"/>
  <c r="P39" i="11" a="1"/>
  <c r="Y38" i="11"/>
  <c r="X38" i="11"/>
  <c r="W38" i="11"/>
  <c r="V38" i="11"/>
  <c r="U38" i="11"/>
  <c r="T38" i="11"/>
  <c r="S38" i="11"/>
  <c r="R38" i="11"/>
  <c r="Q38" i="11"/>
  <c r="P38" i="11"/>
  <c r="P38" i="11" a="1"/>
  <c r="Y37" i="11"/>
  <c r="X37" i="11"/>
  <c r="W37" i="11"/>
  <c r="V37" i="11"/>
  <c r="U37" i="11"/>
  <c r="T37" i="11"/>
  <c r="S37" i="11"/>
  <c r="R37" i="11"/>
  <c r="Q37" i="11"/>
  <c r="P37" i="11"/>
  <c r="P37" i="11" a="1"/>
  <c r="Y35" i="11"/>
  <c r="V35" i="11"/>
  <c r="Q35" i="11"/>
  <c r="Y34" i="11"/>
  <c r="V34" i="11"/>
  <c r="Y33" i="11"/>
  <c r="V33" i="11"/>
  <c r="V32" i="11"/>
  <c r="D20" i="11"/>
  <c r="D19" i="11"/>
  <c r="C18" i="11"/>
  <c r="C17" i="11"/>
  <c r="N313" i="11"/>
  <c r="M313" i="11"/>
  <c r="L313" i="11"/>
  <c r="K313" i="11"/>
  <c r="J313" i="11"/>
  <c r="I313" i="11"/>
  <c r="N312" i="11"/>
  <c r="M312" i="11"/>
  <c r="L312" i="11"/>
  <c r="K312" i="11"/>
  <c r="J312" i="11"/>
  <c r="I312" i="11"/>
  <c r="N311" i="11"/>
  <c r="M311" i="11"/>
  <c r="L311" i="11"/>
  <c r="K311" i="11"/>
  <c r="J311" i="11"/>
  <c r="I311" i="11"/>
  <c r="N310" i="11"/>
  <c r="M310" i="11"/>
  <c r="L310" i="11"/>
  <c r="K310" i="11"/>
  <c r="J310" i="11"/>
  <c r="I310" i="11"/>
  <c r="N309" i="11"/>
  <c r="M309" i="11"/>
  <c r="L309" i="11"/>
  <c r="K309" i="11"/>
  <c r="J309" i="11"/>
  <c r="I309" i="11"/>
  <c r="N308" i="11"/>
  <c r="M308" i="11"/>
  <c r="L308" i="11"/>
  <c r="K308" i="11"/>
  <c r="J308" i="11"/>
  <c r="I308" i="11"/>
  <c r="N307" i="11"/>
  <c r="M307" i="11"/>
  <c r="L307" i="11"/>
  <c r="K307" i="11"/>
  <c r="J307" i="11"/>
  <c r="I307" i="11"/>
  <c r="N306" i="11"/>
  <c r="M306" i="11"/>
  <c r="L306" i="11"/>
  <c r="K306" i="11"/>
  <c r="J306" i="11"/>
  <c r="I306" i="11"/>
  <c r="N305" i="11"/>
  <c r="M305" i="11"/>
  <c r="L305" i="11"/>
  <c r="K305" i="11"/>
  <c r="J305" i="11"/>
  <c r="I305" i="11"/>
  <c r="N304" i="11"/>
  <c r="M304" i="11"/>
  <c r="L304" i="11"/>
  <c r="K304" i="11"/>
  <c r="J304" i="11"/>
  <c r="I304" i="11"/>
  <c r="N303" i="11"/>
  <c r="M303" i="11"/>
  <c r="L303" i="11"/>
  <c r="K303" i="11"/>
  <c r="J303" i="11"/>
  <c r="I303" i="11"/>
  <c r="N302" i="11"/>
  <c r="M302" i="11"/>
  <c r="L302" i="11"/>
  <c r="K302" i="11"/>
  <c r="J302" i="11"/>
  <c r="I302" i="11"/>
  <c r="N301" i="11"/>
  <c r="M301" i="11"/>
  <c r="L301" i="11"/>
  <c r="K301" i="11"/>
  <c r="J301" i="11"/>
  <c r="I301" i="11"/>
  <c r="N300" i="11"/>
  <c r="M300" i="11"/>
  <c r="L300" i="11"/>
  <c r="K300" i="11"/>
  <c r="J300" i="11"/>
  <c r="I300" i="11"/>
  <c r="N299" i="11"/>
  <c r="M299" i="11"/>
  <c r="L299" i="11"/>
  <c r="K299" i="11"/>
  <c r="J299" i="11"/>
  <c r="I299" i="11"/>
  <c r="N298" i="11"/>
  <c r="M298" i="11"/>
  <c r="L298" i="11"/>
  <c r="K298" i="11"/>
  <c r="J298" i="11"/>
  <c r="I298" i="11"/>
  <c r="N297" i="11"/>
  <c r="M297" i="11"/>
  <c r="L297" i="11"/>
  <c r="K297" i="11"/>
  <c r="J297" i="11"/>
  <c r="I297" i="11"/>
  <c r="N296" i="11"/>
  <c r="M296" i="11"/>
  <c r="L296" i="11"/>
  <c r="K296" i="11"/>
  <c r="J296" i="11"/>
  <c r="I296" i="11"/>
  <c r="N295" i="11"/>
  <c r="M295" i="11"/>
  <c r="L295" i="11"/>
  <c r="K295" i="11"/>
  <c r="J295" i="11"/>
  <c r="I295" i="11"/>
  <c r="N294" i="11"/>
  <c r="M294" i="11"/>
  <c r="L294" i="11"/>
  <c r="K294" i="11"/>
  <c r="J294" i="11"/>
  <c r="I294" i="11"/>
  <c r="N293" i="11"/>
  <c r="M293" i="11"/>
  <c r="L293" i="11"/>
  <c r="K293" i="11"/>
  <c r="J293" i="11"/>
  <c r="I293" i="11"/>
  <c r="N292" i="11"/>
  <c r="M292" i="11"/>
  <c r="L292" i="11"/>
  <c r="K292" i="11"/>
  <c r="J292" i="11"/>
  <c r="I292" i="11"/>
  <c r="N291" i="11"/>
  <c r="M291" i="11"/>
  <c r="L291" i="11"/>
  <c r="K291" i="11"/>
  <c r="J291" i="11"/>
  <c r="I291" i="11"/>
  <c r="N290" i="11"/>
  <c r="M290" i="11"/>
  <c r="L290" i="11"/>
  <c r="K290" i="11"/>
  <c r="J290" i="11"/>
  <c r="I290" i="11"/>
  <c r="N289" i="11"/>
  <c r="M289" i="11"/>
  <c r="L289" i="11"/>
  <c r="K289" i="11"/>
  <c r="J289" i="11"/>
  <c r="I289" i="11"/>
  <c r="N288" i="11"/>
  <c r="M288" i="11"/>
  <c r="L288" i="11"/>
  <c r="K288" i="11"/>
  <c r="J288" i="11"/>
  <c r="I288" i="11"/>
  <c r="N287" i="11"/>
  <c r="M287" i="11"/>
  <c r="L287" i="11"/>
  <c r="K287" i="11"/>
  <c r="J287" i="11"/>
  <c r="I287" i="11"/>
  <c r="N286" i="11"/>
  <c r="M286" i="11"/>
  <c r="L286" i="11"/>
  <c r="K286" i="11"/>
  <c r="J286" i="11"/>
  <c r="I286" i="11"/>
  <c r="N285" i="11"/>
  <c r="M285" i="11"/>
  <c r="L285" i="11"/>
  <c r="K285" i="11"/>
  <c r="J285" i="11"/>
  <c r="I285" i="11"/>
  <c r="N284" i="11"/>
  <c r="M284" i="11"/>
  <c r="L284" i="11"/>
  <c r="K284" i="11"/>
  <c r="J284" i="11"/>
  <c r="I284" i="11"/>
  <c r="N283" i="11"/>
  <c r="M283" i="11"/>
  <c r="L283" i="11"/>
  <c r="K283" i="11"/>
  <c r="J283" i="11"/>
  <c r="I283" i="11"/>
  <c r="N282" i="11"/>
  <c r="M282" i="11"/>
  <c r="L282" i="11"/>
  <c r="K282" i="11"/>
  <c r="J282" i="11"/>
  <c r="I282" i="11"/>
  <c r="N281" i="11"/>
  <c r="M281" i="11"/>
  <c r="L281" i="11"/>
  <c r="K281" i="11"/>
  <c r="J281" i="11"/>
  <c r="I281" i="11"/>
  <c r="N280" i="11"/>
  <c r="M280" i="11"/>
  <c r="L280" i="11"/>
  <c r="K280" i="11"/>
  <c r="J280" i="11"/>
  <c r="I280" i="11"/>
  <c r="N279" i="11"/>
  <c r="M279" i="11"/>
  <c r="L279" i="11"/>
  <c r="K279" i="11"/>
  <c r="J279" i="11"/>
  <c r="I279" i="11"/>
  <c r="N278" i="11"/>
  <c r="M278" i="11"/>
  <c r="L278" i="11"/>
  <c r="K278" i="11"/>
  <c r="J278" i="11"/>
  <c r="I278" i="11"/>
  <c r="N277" i="11"/>
  <c r="M277" i="11"/>
  <c r="L277" i="11"/>
  <c r="K277" i="11"/>
  <c r="J277" i="11"/>
  <c r="I277" i="11"/>
  <c r="N276" i="11"/>
  <c r="M276" i="11"/>
  <c r="L276" i="11"/>
  <c r="K276" i="11"/>
  <c r="J276" i="11"/>
  <c r="I276" i="11"/>
  <c r="N275" i="11"/>
  <c r="M275" i="11"/>
  <c r="L275" i="11"/>
  <c r="K275" i="11"/>
  <c r="J275" i="11"/>
  <c r="I275" i="11"/>
  <c r="N274" i="11"/>
  <c r="M274" i="11"/>
  <c r="L274" i="11"/>
  <c r="K274" i="11"/>
  <c r="J274" i="11"/>
  <c r="I274" i="11"/>
  <c r="N273" i="11"/>
  <c r="M273" i="11"/>
  <c r="L273" i="11"/>
  <c r="K273" i="11"/>
  <c r="J273" i="11"/>
  <c r="I273" i="11"/>
  <c r="N272" i="11"/>
  <c r="M272" i="11"/>
  <c r="L272" i="11"/>
  <c r="K272" i="11"/>
  <c r="J272" i="11"/>
  <c r="I272" i="11"/>
  <c r="N271" i="11"/>
  <c r="M271" i="11"/>
  <c r="L271" i="11"/>
  <c r="K271" i="11"/>
  <c r="J271" i="11"/>
  <c r="I271" i="11"/>
  <c r="N270" i="11"/>
  <c r="M270" i="11"/>
  <c r="L270" i="11"/>
  <c r="K270" i="11"/>
  <c r="J270" i="11"/>
  <c r="I270" i="11"/>
  <c r="N269" i="11"/>
  <c r="M269" i="11"/>
  <c r="L269" i="11"/>
  <c r="K269" i="11"/>
  <c r="J269" i="11"/>
  <c r="I269" i="11"/>
  <c r="N268" i="11"/>
  <c r="M268" i="11"/>
  <c r="L268" i="11"/>
  <c r="K268" i="11"/>
  <c r="J268" i="11"/>
  <c r="I268" i="11"/>
  <c r="N267" i="11"/>
  <c r="M267" i="11"/>
  <c r="L267" i="11"/>
  <c r="K267" i="11"/>
  <c r="J267" i="11"/>
  <c r="I267" i="11"/>
  <c r="N266" i="11"/>
  <c r="M266" i="11"/>
  <c r="L266" i="11"/>
  <c r="K266" i="11"/>
  <c r="J266" i="11"/>
  <c r="I266" i="11"/>
  <c r="N265" i="11"/>
  <c r="M265" i="11"/>
  <c r="L265" i="11"/>
  <c r="K265" i="11"/>
  <c r="J265" i="11"/>
  <c r="I265" i="11"/>
  <c r="N264" i="11"/>
  <c r="M264" i="11"/>
  <c r="L264" i="11"/>
  <c r="K264" i="11"/>
  <c r="J264" i="11"/>
  <c r="I264" i="11"/>
  <c r="N263" i="11"/>
  <c r="M263" i="11"/>
  <c r="L263" i="11"/>
  <c r="K263" i="11"/>
  <c r="J263" i="11"/>
  <c r="I263" i="11"/>
  <c r="N262" i="11"/>
  <c r="M262" i="11"/>
  <c r="L262" i="11"/>
  <c r="K262" i="11"/>
  <c r="J262" i="11"/>
  <c r="I262" i="11"/>
  <c r="N261" i="11"/>
  <c r="M261" i="11"/>
  <c r="L261" i="11"/>
  <c r="K261" i="11"/>
  <c r="J261" i="11"/>
  <c r="I261" i="11"/>
  <c r="N260" i="11"/>
  <c r="M260" i="11"/>
  <c r="L260" i="11"/>
  <c r="K260" i="11"/>
  <c r="J260" i="11"/>
  <c r="I260" i="11"/>
  <c r="N259" i="11"/>
  <c r="M259" i="11"/>
  <c r="L259" i="11"/>
  <c r="K259" i="11"/>
  <c r="J259" i="11"/>
  <c r="I259" i="11"/>
  <c r="N258" i="11"/>
  <c r="M258" i="11"/>
  <c r="L258" i="11"/>
  <c r="K258" i="11"/>
  <c r="J258" i="11"/>
  <c r="I258" i="11"/>
  <c r="N257" i="11"/>
  <c r="M257" i="11"/>
  <c r="L257" i="11"/>
  <c r="K257" i="11"/>
  <c r="J257" i="11"/>
  <c r="I257" i="11"/>
  <c r="N256" i="11"/>
  <c r="M256" i="11"/>
  <c r="L256" i="11"/>
  <c r="K256" i="11"/>
  <c r="J256" i="11"/>
  <c r="I256" i="11"/>
  <c r="N255" i="11"/>
  <c r="M255" i="11"/>
  <c r="L255" i="11"/>
  <c r="K255" i="11"/>
  <c r="J255" i="11"/>
  <c r="I255" i="11"/>
  <c r="N254" i="11"/>
  <c r="M254" i="11"/>
  <c r="L254" i="11"/>
  <c r="K254" i="11"/>
  <c r="J254" i="11"/>
  <c r="I254" i="11"/>
  <c r="N253" i="11"/>
  <c r="M253" i="11"/>
  <c r="L253" i="11"/>
  <c r="K253" i="11"/>
  <c r="J253" i="11"/>
  <c r="I253" i="11"/>
  <c r="N252" i="11"/>
  <c r="M252" i="11"/>
  <c r="L252" i="11"/>
  <c r="K252" i="11"/>
  <c r="J252" i="11"/>
  <c r="I252" i="11"/>
  <c r="N251" i="11"/>
  <c r="M251" i="11"/>
  <c r="L251" i="11"/>
  <c r="K251" i="11"/>
  <c r="J251" i="11"/>
  <c r="I251" i="11"/>
  <c r="N250" i="11"/>
  <c r="M250" i="11"/>
  <c r="L250" i="11"/>
  <c r="K250" i="11"/>
  <c r="J250" i="11"/>
  <c r="I250" i="11"/>
  <c r="N249" i="11"/>
  <c r="M249" i="11"/>
  <c r="L249" i="11"/>
  <c r="K249" i="11"/>
  <c r="J249" i="11"/>
  <c r="I249" i="11"/>
  <c r="N248" i="11"/>
  <c r="M248" i="11"/>
  <c r="L248" i="11"/>
  <c r="K248" i="11"/>
  <c r="J248" i="11"/>
  <c r="I248" i="11"/>
  <c r="N247" i="11"/>
  <c r="M247" i="11"/>
  <c r="L247" i="11"/>
  <c r="K247" i="11"/>
  <c r="J247" i="11"/>
  <c r="I247" i="11"/>
  <c r="N246" i="11"/>
  <c r="M246" i="11"/>
  <c r="L246" i="11"/>
  <c r="K246" i="11"/>
  <c r="J246" i="11"/>
  <c r="I246" i="11"/>
  <c r="N245" i="11"/>
  <c r="M245" i="11"/>
  <c r="L245" i="11"/>
  <c r="K245" i="11"/>
  <c r="J245" i="11"/>
  <c r="I245" i="11"/>
  <c r="N244" i="11"/>
  <c r="M244" i="11"/>
  <c r="L244" i="11"/>
  <c r="K244" i="11"/>
  <c r="J244" i="11"/>
  <c r="I244" i="11"/>
  <c r="N243" i="11"/>
  <c r="M243" i="11"/>
  <c r="L243" i="11"/>
  <c r="K243" i="11"/>
  <c r="J243" i="11"/>
  <c r="I243" i="11"/>
  <c r="N242" i="11"/>
  <c r="M242" i="11"/>
  <c r="L242" i="11"/>
  <c r="K242" i="11"/>
  <c r="J242" i="11"/>
  <c r="I242" i="11"/>
  <c r="N241" i="11"/>
  <c r="M241" i="11"/>
  <c r="L241" i="11"/>
  <c r="K241" i="11"/>
  <c r="J241" i="11"/>
  <c r="I241" i="11"/>
  <c r="N240" i="11"/>
  <c r="M240" i="11"/>
  <c r="L240" i="11"/>
  <c r="K240" i="11"/>
  <c r="J240" i="11"/>
  <c r="I240" i="11"/>
  <c r="N239" i="11"/>
  <c r="M239" i="11"/>
  <c r="L239" i="11"/>
  <c r="K239" i="11"/>
  <c r="J239" i="11"/>
  <c r="I239" i="11"/>
  <c r="N238" i="11"/>
  <c r="M238" i="11"/>
  <c r="L238" i="11"/>
  <c r="K238" i="11"/>
  <c r="J238" i="11"/>
  <c r="I238" i="11"/>
  <c r="N237" i="11"/>
  <c r="M237" i="11"/>
  <c r="L237" i="11"/>
  <c r="K237" i="11"/>
  <c r="J237" i="11"/>
  <c r="I237" i="11"/>
  <c r="N236" i="11"/>
  <c r="M236" i="11"/>
  <c r="L236" i="11"/>
  <c r="K236" i="11"/>
  <c r="J236" i="11"/>
  <c r="I236" i="11"/>
  <c r="N235" i="11"/>
  <c r="M235" i="11"/>
  <c r="L235" i="11"/>
  <c r="K235" i="11"/>
  <c r="J235" i="11"/>
  <c r="I235" i="11"/>
  <c r="N234" i="11"/>
  <c r="M234" i="11"/>
  <c r="L234" i="11"/>
  <c r="K234" i="11"/>
  <c r="J234" i="11"/>
  <c r="I234" i="11"/>
  <c r="N233" i="11"/>
  <c r="M233" i="11"/>
  <c r="L233" i="11"/>
  <c r="K233" i="11"/>
  <c r="J233" i="11"/>
  <c r="I233" i="11"/>
  <c r="N232" i="11"/>
  <c r="M232" i="11"/>
  <c r="L232" i="11"/>
  <c r="K232" i="11"/>
  <c r="J232" i="11"/>
  <c r="I232" i="11"/>
  <c r="N231" i="11"/>
  <c r="M231" i="11"/>
  <c r="L231" i="11"/>
  <c r="K231" i="11"/>
  <c r="J231" i="11"/>
  <c r="I231" i="11"/>
  <c r="N230" i="11"/>
  <c r="M230" i="11"/>
  <c r="L230" i="11"/>
  <c r="K230" i="11"/>
  <c r="J230" i="11"/>
  <c r="I230" i="11"/>
  <c r="N229" i="11"/>
  <c r="M229" i="11"/>
  <c r="L229" i="11"/>
  <c r="K229" i="11"/>
  <c r="J229" i="11"/>
  <c r="I229" i="11"/>
  <c r="N228" i="11"/>
  <c r="M228" i="11"/>
  <c r="L228" i="11"/>
  <c r="K228" i="11"/>
  <c r="J228" i="11"/>
  <c r="I228" i="11"/>
  <c r="N227" i="11"/>
  <c r="M227" i="11"/>
  <c r="L227" i="11"/>
  <c r="K227" i="11"/>
  <c r="J227" i="11"/>
  <c r="I227" i="11"/>
  <c r="N226" i="11"/>
  <c r="M226" i="11"/>
  <c r="L226" i="11"/>
  <c r="K226" i="11"/>
  <c r="J226" i="11"/>
  <c r="I226" i="11"/>
  <c r="N225" i="11"/>
  <c r="M225" i="11"/>
  <c r="L225" i="11"/>
  <c r="K225" i="11"/>
  <c r="J225" i="11"/>
  <c r="I225" i="11"/>
  <c r="N224" i="11"/>
  <c r="M224" i="11"/>
  <c r="L224" i="11"/>
  <c r="K224" i="11"/>
  <c r="J224" i="11"/>
  <c r="I224" i="11"/>
  <c r="N223" i="11"/>
  <c r="M223" i="11"/>
  <c r="L223" i="11"/>
  <c r="K223" i="11"/>
  <c r="J223" i="11"/>
  <c r="I223" i="11"/>
  <c r="N222" i="11"/>
  <c r="M222" i="11"/>
  <c r="L222" i="11"/>
  <c r="K222" i="11"/>
  <c r="J222" i="11"/>
  <c r="I222" i="11"/>
  <c r="N221" i="11"/>
  <c r="M221" i="11"/>
  <c r="L221" i="11"/>
  <c r="K221" i="11"/>
  <c r="J221" i="11"/>
  <c r="I221" i="11"/>
  <c r="N220" i="11"/>
  <c r="M220" i="11"/>
  <c r="L220" i="11"/>
  <c r="K220" i="11"/>
  <c r="J220" i="11"/>
  <c r="I220" i="11"/>
  <c r="N219" i="11"/>
  <c r="M219" i="11"/>
  <c r="L219" i="11"/>
  <c r="K219" i="11"/>
  <c r="J219" i="11"/>
  <c r="I219" i="11"/>
  <c r="N218" i="11"/>
  <c r="M218" i="11"/>
  <c r="L218" i="11"/>
  <c r="K218" i="11"/>
  <c r="J218" i="11"/>
  <c r="I218" i="11"/>
  <c r="N217" i="11"/>
  <c r="M217" i="11"/>
  <c r="L217" i="11"/>
  <c r="K217" i="11"/>
  <c r="J217" i="11"/>
  <c r="I217" i="11"/>
  <c r="N216" i="11"/>
  <c r="M216" i="11"/>
  <c r="L216" i="11"/>
  <c r="K216" i="11"/>
  <c r="J216" i="11"/>
  <c r="I216" i="11"/>
  <c r="N215" i="11"/>
  <c r="M215" i="11"/>
  <c r="L215" i="11"/>
  <c r="K215" i="11"/>
  <c r="J215" i="11"/>
  <c r="I215" i="11"/>
  <c r="N214" i="11"/>
  <c r="M214" i="11"/>
  <c r="L214" i="11"/>
  <c r="K214" i="11"/>
  <c r="J214" i="11"/>
  <c r="I214" i="11"/>
  <c r="N213" i="11"/>
  <c r="M213" i="11"/>
  <c r="L213" i="11"/>
  <c r="K213" i="11"/>
  <c r="J213" i="11"/>
  <c r="I213" i="11"/>
  <c r="N212" i="11"/>
  <c r="M212" i="11"/>
  <c r="L212" i="11"/>
  <c r="K212" i="11"/>
  <c r="J212" i="11"/>
  <c r="I212" i="11"/>
  <c r="N211" i="11"/>
  <c r="M211" i="11"/>
  <c r="L211" i="11"/>
  <c r="K211" i="11"/>
  <c r="J211" i="11"/>
  <c r="I211" i="11"/>
  <c r="N210" i="11"/>
  <c r="M210" i="11"/>
  <c r="L210" i="11"/>
  <c r="K210" i="11"/>
  <c r="J210" i="11"/>
  <c r="I210" i="11"/>
  <c r="N209" i="11"/>
  <c r="M209" i="11"/>
  <c r="L209" i="11"/>
  <c r="K209" i="11"/>
  <c r="J209" i="11"/>
  <c r="I209" i="11"/>
  <c r="N208" i="11"/>
  <c r="M208" i="11"/>
  <c r="L208" i="11"/>
  <c r="K208" i="11"/>
  <c r="J208" i="11"/>
  <c r="I208" i="11"/>
  <c r="N207" i="11"/>
  <c r="M207" i="11"/>
  <c r="L207" i="11"/>
  <c r="K207" i="11"/>
  <c r="J207" i="11"/>
  <c r="I207" i="11"/>
  <c r="N206" i="11"/>
  <c r="M206" i="11"/>
  <c r="L206" i="11"/>
  <c r="K206" i="11"/>
  <c r="J206" i="11"/>
  <c r="I206" i="11"/>
  <c r="N205" i="11"/>
  <c r="M205" i="11"/>
  <c r="L205" i="11"/>
  <c r="K205" i="11"/>
  <c r="J205" i="11"/>
  <c r="I205" i="11"/>
  <c r="N204" i="11"/>
  <c r="M204" i="11"/>
  <c r="L204" i="11"/>
  <c r="K204" i="11"/>
  <c r="J204" i="11"/>
  <c r="I204" i="11"/>
  <c r="N203" i="11"/>
  <c r="M203" i="11"/>
  <c r="L203" i="11"/>
  <c r="K203" i="11"/>
  <c r="J203" i="11"/>
  <c r="I203" i="11"/>
  <c r="N202" i="11"/>
  <c r="M202" i="11"/>
  <c r="L202" i="11"/>
  <c r="K202" i="11"/>
  <c r="J202" i="11"/>
  <c r="I202" i="11"/>
  <c r="N201" i="11"/>
  <c r="M201" i="11"/>
  <c r="L201" i="11"/>
  <c r="K201" i="11"/>
  <c r="J201" i="11"/>
  <c r="I201" i="11"/>
  <c r="N200" i="11"/>
  <c r="M200" i="11"/>
  <c r="L200" i="11"/>
  <c r="K200" i="11"/>
  <c r="J200" i="11"/>
  <c r="I200" i="11"/>
  <c r="N199" i="11"/>
  <c r="M199" i="11"/>
  <c r="L199" i="11"/>
  <c r="K199" i="11"/>
  <c r="J199" i="11"/>
  <c r="I199" i="11"/>
  <c r="N198" i="11"/>
  <c r="M198" i="11"/>
  <c r="L198" i="11"/>
  <c r="K198" i="11"/>
  <c r="J198" i="11"/>
  <c r="I198" i="11"/>
  <c r="N197" i="11"/>
  <c r="M197" i="11"/>
  <c r="L197" i="11"/>
  <c r="K197" i="11"/>
  <c r="J197" i="11"/>
  <c r="I197" i="11"/>
  <c r="N196" i="11"/>
  <c r="M196" i="11"/>
  <c r="L196" i="11"/>
  <c r="K196" i="11"/>
  <c r="J196" i="11"/>
  <c r="I196" i="11"/>
  <c r="N195" i="11"/>
  <c r="M195" i="11"/>
  <c r="L195" i="11"/>
  <c r="K195" i="11"/>
  <c r="J195" i="11"/>
  <c r="I195" i="11"/>
  <c r="N194" i="11"/>
  <c r="M194" i="11"/>
  <c r="L194" i="11"/>
  <c r="K194" i="11"/>
  <c r="J194" i="11"/>
  <c r="I194" i="11"/>
  <c r="N193" i="11"/>
  <c r="M193" i="11"/>
  <c r="L193" i="11"/>
  <c r="K193" i="11"/>
  <c r="J193" i="11"/>
  <c r="I193" i="11"/>
  <c r="N192" i="11"/>
  <c r="M192" i="11"/>
  <c r="L192" i="11"/>
  <c r="K192" i="11"/>
  <c r="J192" i="11"/>
  <c r="I192" i="11"/>
  <c r="N191" i="11"/>
  <c r="M191" i="11"/>
  <c r="L191" i="11"/>
  <c r="K191" i="11"/>
  <c r="J191" i="11"/>
  <c r="I191" i="11"/>
  <c r="N190" i="11"/>
  <c r="M190" i="11"/>
  <c r="L190" i="11"/>
  <c r="K190" i="11"/>
  <c r="J190" i="11"/>
  <c r="I190" i="11"/>
  <c r="N189" i="11"/>
  <c r="M189" i="11"/>
  <c r="L189" i="11"/>
  <c r="K189" i="11"/>
  <c r="J189" i="11"/>
  <c r="I189" i="11"/>
  <c r="N188" i="11"/>
  <c r="M188" i="11"/>
  <c r="L188" i="11"/>
  <c r="K188" i="11"/>
  <c r="J188" i="11"/>
  <c r="I188" i="11"/>
  <c r="N187" i="11"/>
  <c r="M187" i="11"/>
  <c r="L187" i="11"/>
  <c r="K187" i="11"/>
  <c r="J187" i="11"/>
  <c r="I187" i="11"/>
  <c r="N186" i="11"/>
  <c r="M186" i="11"/>
  <c r="L186" i="11"/>
  <c r="K186" i="11"/>
  <c r="J186" i="11"/>
  <c r="I186" i="11"/>
  <c r="N185" i="11"/>
  <c r="M185" i="11"/>
  <c r="L185" i="11"/>
  <c r="K185" i="11"/>
  <c r="J185" i="11"/>
  <c r="I185" i="11"/>
  <c r="N184" i="11"/>
  <c r="M184" i="11"/>
  <c r="L184" i="11"/>
  <c r="K184" i="11"/>
  <c r="J184" i="11"/>
  <c r="I184" i="11"/>
  <c r="N183" i="11"/>
  <c r="M183" i="11"/>
  <c r="L183" i="11"/>
  <c r="K183" i="11"/>
  <c r="J183" i="11"/>
  <c r="I183" i="11"/>
  <c r="N182" i="11"/>
  <c r="M182" i="11"/>
  <c r="L182" i="11"/>
  <c r="K182" i="11"/>
  <c r="J182" i="11"/>
  <c r="I182" i="11"/>
  <c r="N181" i="11"/>
  <c r="M181" i="11"/>
  <c r="L181" i="11"/>
  <c r="K181" i="11"/>
  <c r="J181" i="11"/>
  <c r="I181" i="11"/>
  <c r="N180" i="11"/>
  <c r="M180" i="11"/>
  <c r="L180" i="11"/>
  <c r="K180" i="11"/>
  <c r="J180" i="11"/>
  <c r="I180" i="11"/>
  <c r="N179" i="11"/>
  <c r="M179" i="11"/>
  <c r="L179" i="11"/>
  <c r="K179" i="11"/>
  <c r="J179" i="11"/>
  <c r="I179" i="11"/>
  <c r="N178" i="11"/>
  <c r="M178" i="11"/>
  <c r="L178" i="11"/>
  <c r="K178" i="11"/>
  <c r="J178" i="11"/>
  <c r="I178" i="11"/>
  <c r="N177" i="11"/>
  <c r="M177" i="11"/>
  <c r="L177" i="11"/>
  <c r="K177" i="11"/>
  <c r="J177" i="11"/>
  <c r="I177" i="11"/>
  <c r="N176" i="11"/>
  <c r="M176" i="11"/>
  <c r="L176" i="11"/>
  <c r="K176" i="11"/>
  <c r="J176" i="11"/>
  <c r="I176" i="11"/>
  <c r="N175" i="11"/>
  <c r="M175" i="11"/>
  <c r="L175" i="11"/>
  <c r="K175" i="11"/>
  <c r="J175" i="11"/>
  <c r="I175" i="11"/>
  <c r="N174" i="11"/>
  <c r="M174" i="11"/>
  <c r="L174" i="11"/>
  <c r="K174" i="11"/>
  <c r="J174" i="11"/>
  <c r="I174" i="11"/>
  <c r="N173" i="11"/>
  <c r="M173" i="11"/>
  <c r="L173" i="11"/>
  <c r="K173" i="11"/>
  <c r="J173" i="11"/>
  <c r="I173" i="11"/>
  <c r="N172" i="11"/>
  <c r="M172" i="11"/>
  <c r="L172" i="11"/>
  <c r="K172" i="11"/>
  <c r="J172" i="11"/>
  <c r="I172" i="11"/>
  <c r="N171" i="11"/>
  <c r="M171" i="11"/>
  <c r="L171" i="11"/>
  <c r="K171" i="11"/>
  <c r="J171" i="11"/>
  <c r="I171" i="11"/>
  <c r="N170" i="11"/>
  <c r="M170" i="11"/>
  <c r="L170" i="11"/>
  <c r="K170" i="11"/>
  <c r="J170" i="11"/>
  <c r="I170" i="11"/>
  <c r="N169" i="11"/>
  <c r="M169" i="11"/>
  <c r="L169" i="11"/>
  <c r="K169" i="11"/>
  <c r="J169" i="11"/>
  <c r="I169" i="11"/>
  <c r="N168" i="11"/>
  <c r="M168" i="11"/>
  <c r="L168" i="11"/>
  <c r="K168" i="11"/>
  <c r="J168" i="11"/>
  <c r="I168" i="11"/>
  <c r="N167" i="11"/>
  <c r="M167" i="11"/>
  <c r="L167" i="11"/>
  <c r="K167" i="11"/>
  <c r="J167" i="11"/>
  <c r="I167" i="11"/>
  <c r="N166" i="11"/>
  <c r="M166" i="11"/>
  <c r="L166" i="11"/>
  <c r="K166" i="11"/>
  <c r="J166" i="11"/>
  <c r="I166" i="11"/>
  <c r="N165" i="11"/>
  <c r="M165" i="11"/>
  <c r="L165" i="11"/>
  <c r="K165" i="11"/>
  <c r="J165" i="11"/>
  <c r="I165" i="11"/>
  <c r="N164" i="11"/>
  <c r="M164" i="11"/>
  <c r="L164" i="11"/>
  <c r="K164" i="11"/>
  <c r="J164" i="11"/>
  <c r="I164" i="11"/>
  <c r="N163" i="11"/>
  <c r="M163" i="11"/>
  <c r="L163" i="11"/>
  <c r="K163" i="11"/>
  <c r="J163" i="11"/>
  <c r="I163" i="11"/>
  <c r="N162" i="11"/>
  <c r="M162" i="11"/>
  <c r="L162" i="11"/>
  <c r="K162" i="11"/>
  <c r="J162" i="11"/>
  <c r="I162" i="11"/>
  <c r="N161" i="11"/>
  <c r="M161" i="11"/>
  <c r="L161" i="11"/>
  <c r="K161" i="11"/>
  <c r="J161" i="11"/>
  <c r="I161" i="11"/>
  <c r="N160" i="11"/>
  <c r="M160" i="11"/>
  <c r="L160" i="11"/>
  <c r="K160" i="11"/>
  <c r="J160" i="11"/>
  <c r="I160" i="11"/>
  <c r="N159" i="11"/>
  <c r="M159" i="11"/>
  <c r="L159" i="11"/>
  <c r="K159" i="11"/>
  <c r="J159" i="11"/>
  <c r="I159" i="11"/>
  <c r="N158" i="11"/>
  <c r="M158" i="11"/>
  <c r="L158" i="11"/>
  <c r="K158" i="11"/>
  <c r="J158" i="11"/>
  <c r="I158" i="11"/>
  <c r="N157" i="11"/>
  <c r="M157" i="11"/>
  <c r="L157" i="11"/>
  <c r="K157" i="11"/>
  <c r="J157" i="11"/>
  <c r="I157" i="11"/>
  <c r="N156" i="11"/>
  <c r="M156" i="11"/>
  <c r="L156" i="11"/>
  <c r="K156" i="11"/>
  <c r="J156" i="11"/>
  <c r="I156" i="11"/>
  <c r="N155" i="11"/>
  <c r="M155" i="11"/>
  <c r="L155" i="11"/>
  <c r="K155" i="11"/>
  <c r="J155" i="11"/>
  <c r="I155" i="11"/>
  <c r="N154" i="11"/>
  <c r="M154" i="11"/>
  <c r="L154" i="11"/>
  <c r="K154" i="11"/>
  <c r="J154" i="11"/>
  <c r="I154" i="11"/>
  <c r="N153" i="11"/>
  <c r="M153" i="11"/>
  <c r="L153" i="11"/>
  <c r="K153" i="11"/>
  <c r="J153" i="11"/>
  <c r="I153" i="11"/>
  <c r="N152" i="11"/>
  <c r="M152" i="11"/>
  <c r="L152" i="11"/>
  <c r="K152" i="11"/>
  <c r="J152" i="11"/>
  <c r="I152" i="11"/>
  <c r="N151" i="11"/>
  <c r="M151" i="11"/>
  <c r="L151" i="11"/>
  <c r="K151" i="11"/>
  <c r="J151" i="11"/>
  <c r="I151" i="11"/>
  <c r="N150" i="11"/>
  <c r="M150" i="11"/>
  <c r="L150" i="11"/>
  <c r="K150" i="11"/>
  <c r="J150" i="11"/>
  <c r="I150" i="11"/>
  <c r="N149" i="11"/>
  <c r="M149" i="11"/>
  <c r="L149" i="11"/>
  <c r="K149" i="11"/>
  <c r="J149" i="11"/>
  <c r="I149" i="11"/>
  <c r="N148" i="11"/>
  <c r="M148" i="11"/>
  <c r="L148" i="11"/>
  <c r="K148" i="11"/>
  <c r="J148" i="11"/>
  <c r="I148" i="11"/>
  <c r="N147" i="11"/>
  <c r="M147" i="11"/>
  <c r="L147" i="11"/>
  <c r="K147" i="11"/>
  <c r="J147" i="11"/>
  <c r="I147" i="11"/>
  <c r="N146" i="11"/>
  <c r="M146" i="11"/>
  <c r="L146" i="11"/>
  <c r="K146" i="11"/>
  <c r="J146" i="11"/>
  <c r="I146" i="11"/>
  <c r="N145" i="11"/>
  <c r="M145" i="11"/>
  <c r="L145" i="11"/>
  <c r="K145" i="11"/>
  <c r="J145" i="11"/>
  <c r="I145" i="11"/>
  <c r="N144" i="11"/>
  <c r="M144" i="11"/>
  <c r="L144" i="11"/>
  <c r="K144" i="11"/>
  <c r="J144" i="11"/>
  <c r="I144" i="11"/>
  <c r="N143" i="11"/>
  <c r="M143" i="11"/>
  <c r="L143" i="11"/>
  <c r="K143" i="11"/>
  <c r="J143" i="11"/>
  <c r="I143" i="11"/>
  <c r="N142" i="11"/>
  <c r="M142" i="11"/>
  <c r="L142" i="11"/>
  <c r="K142" i="11"/>
  <c r="J142" i="11"/>
  <c r="I142" i="11"/>
  <c r="N141" i="11"/>
  <c r="M141" i="11"/>
  <c r="L141" i="11"/>
  <c r="K141" i="11"/>
  <c r="J141" i="11"/>
  <c r="I141" i="11"/>
  <c r="N140" i="11"/>
  <c r="M140" i="11"/>
  <c r="L140" i="11"/>
  <c r="K140" i="11"/>
  <c r="J140" i="11"/>
  <c r="I140" i="11"/>
  <c r="N139" i="11"/>
  <c r="M139" i="11"/>
  <c r="L139" i="11"/>
  <c r="K139" i="11"/>
  <c r="J139" i="11"/>
  <c r="I139" i="11"/>
  <c r="N138" i="11"/>
  <c r="M138" i="11"/>
  <c r="L138" i="11"/>
  <c r="K138" i="11"/>
  <c r="J138" i="11"/>
  <c r="I138" i="11"/>
  <c r="N137" i="11"/>
  <c r="M137" i="11"/>
  <c r="L137" i="11"/>
  <c r="K137" i="11"/>
  <c r="J137" i="11"/>
  <c r="I137" i="11"/>
  <c r="N136" i="11"/>
  <c r="M136" i="11"/>
  <c r="L136" i="11"/>
  <c r="K136" i="11"/>
  <c r="J136" i="11"/>
  <c r="I136" i="11"/>
  <c r="N135" i="11"/>
  <c r="M135" i="11"/>
  <c r="L135" i="11"/>
  <c r="K135" i="11"/>
  <c r="J135" i="11"/>
  <c r="I135" i="11"/>
  <c r="N134" i="11"/>
  <c r="M134" i="11"/>
  <c r="L134" i="11"/>
  <c r="K134" i="11"/>
  <c r="J134" i="11"/>
  <c r="I134" i="11"/>
  <c r="N133" i="11"/>
  <c r="M133" i="11"/>
  <c r="L133" i="11"/>
  <c r="K133" i="11"/>
  <c r="J133" i="11"/>
  <c r="I133" i="11"/>
  <c r="N132" i="11"/>
  <c r="M132" i="11"/>
  <c r="L132" i="11"/>
  <c r="K132" i="11"/>
  <c r="J132" i="11"/>
  <c r="I132" i="11"/>
  <c r="N131" i="11"/>
  <c r="M131" i="11"/>
  <c r="L131" i="11"/>
  <c r="K131" i="11"/>
  <c r="J131" i="11"/>
  <c r="I131" i="11"/>
  <c r="N130" i="11"/>
  <c r="M130" i="11"/>
  <c r="L130" i="11"/>
  <c r="K130" i="11"/>
  <c r="J130" i="11"/>
  <c r="I130" i="11"/>
  <c r="N129" i="11"/>
  <c r="M129" i="11"/>
  <c r="L129" i="11"/>
  <c r="K129" i="11"/>
  <c r="J129" i="11"/>
  <c r="I129" i="11"/>
  <c r="N128" i="11"/>
  <c r="M128" i="11"/>
  <c r="L128" i="11"/>
  <c r="K128" i="11"/>
  <c r="J128" i="11"/>
  <c r="I128" i="11"/>
  <c r="N127" i="11"/>
  <c r="M127" i="11"/>
  <c r="L127" i="11"/>
  <c r="K127" i="11"/>
  <c r="J127" i="11"/>
  <c r="I127" i="11"/>
  <c r="N126" i="11"/>
  <c r="M126" i="11"/>
  <c r="L126" i="11"/>
  <c r="K126" i="11"/>
  <c r="J126" i="11"/>
  <c r="I126" i="11"/>
  <c r="N125" i="11"/>
  <c r="M125" i="11"/>
  <c r="L125" i="11"/>
  <c r="K125" i="11"/>
  <c r="J125" i="11"/>
  <c r="I125" i="11"/>
  <c r="N124" i="11"/>
  <c r="M124" i="11"/>
  <c r="L124" i="11"/>
  <c r="K124" i="11"/>
  <c r="J124" i="11"/>
  <c r="I124" i="11"/>
  <c r="N123" i="11"/>
  <c r="M123" i="11"/>
  <c r="L123" i="11"/>
  <c r="K123" i="11"/>
  <c r="J123" i="11"/>
  <c r="I123" i="11"/>
  <c r="N122" i="11"/>
  <c r="M122" i="11"/>
  <c r="L122" i="11"/>
  <c r="K122" i="11"/>
  <c r="J122" i="11"/>
  <c r="I122" i="11"/>
  <c r="N121" i="11"/>
  <c r="M121" i="11"/>
  <c r="L121" i="11"/>
  <c r="K121" i="11"/>
  <c r="J121" i="11"/>
  <c r="I121" i="11"/>
  <c r="N120" i="11"/>
  <c r="M120" i="11"/>
  <c r="L120" i="11"/>
  <c r="K120" i="11"/>
  <c r="J120" i="11"/>
  <c r="I120" i="11"/>
  <c r="N119" i="11"/>
  <c r="M119" i="11"/>
  <c r="L119" i="11"/>
  <c r="K119" i="11"/>
  <c r="J119" i="11"/>
  <c r="I119" i="11"/>
  <c r="N118" i="11"/>
  <c r="M118" i="11"/>
  <c r="L118" i="11"/>
  <c r="K118" i="11"/>
  <c r="J118" i="11"/>
  <c r="I118" i="11"/>
  <c r="N117" i="11"/>
  <c r="M117" i="11"/>
  <c r="L117" i="11"/>
  <c r="K117" i="11"/>
  <c r="J117" i="11"/>
  <c r="I117" i="11"/>
  <c r="N116" i="11"/>
  <c r="M116" i="11"/>
  <c r="L116" i="11"/>
  <c r="K116" i="11"/>
  <c r="J116" i="11"/>
  <c r="I116" i="11"/>
  <c r="N115" i="11"/>
  <c r="M115" i="11"/>
  <c r="L115" i="11"/>
  <c r="K115" i="11"/>
  <c r="J115" i="11"/>
  <c r="I115" i="11"/>
  <c r="N114" i="11"/>
  <c r="M114" i="11"/>
  <c r="L114" i="11"/>
  <c r="K114" i="11"/>
  <c r="J114" i="11"/>
  <c r="I114" i="11"/>
  <c r="N113" i="11"/>
  <c r="M113" i="11"/>
  <c r="L113" i="11"/>
  <c r="K113" i="11"/>
  <c r="J113" i="11"/>
  <c r="I113" i="11"/>
  <c r="N112" i="11"/>
  <c r="M112" i="11"/>
  <c r="L112" i="11"/>
  <c r="K112" i="11"/>
  <c r="J112" i="11"/>
  <c r="I112" i="11"/>
  <c r="N111" i="11"/>
  <c r="M111" i="11"/>
  <c r="L111" i="11"/>
  <c r="K111" i="11"/>
  <c r="J111" i="11"/>
  <c r="I111" i="11"/>
  <c r="N110" i="11"/>
  <c r="M110" i="11"/>
  <c r="L110" i="11"/>
  <c r="K110" i="11"/>
  <c r="J110" i="11"/>
  <c r="I110" i="11"/>
  <c r="N109" i="11"/>
  <c r="M109" i="11"/>
  <c r="L109" i="11"/>
  <c r="K109" i="11"/>
  <c r="J109" i="11"/>
  <c r="I109" i="11"/>
  <c r="N108" i="11"/>
  <c r="M108" i="11"/>
  <c r="L108" i="11"/>
  <c r="K108" i="11"/>
  <c r="J108" i="11"/>
  <c r="I108" i="11"/>
  <c r="N107" i="11"/>
  <c r="M107" i="11"/>
  <c r="L107" i="11"/>
  <c r="K107" i="11"/>
  <c r="J107" i="11"/>
  <c r="I107" i="11"/>
  <c r="N106" i="11"/>
  <c r="M106" i="11"/>
  <c r="L106" i="11"/>
  <c r="K106" i="11"/>
  <c r="J106" i="11"/>
  <c r="I106" i="11"/>
  <c r="N105" i="11"/>
  <c r="M105" i="11"/>
  <c r="L105" i="11"/>
  <c r="K105" i="11"/>
  <c r="J105" i="11"/>
  <c r="I105" i="11"/>
  <c r="N104" i="11"/>
  <c r="M104" i="11"/>
  <c r="L104" i="11"/>
  <c r="K104" i="11"/>
  <c r="J104" i="11"/>
  <c r="I104" i="11"/>
  <c r="N103" i="11"/>
  <c r="M103" i="11"/>
  <c r="L103" i="11"/>
  <c r="K103" i="11"/>
  <c r="J103" i="11"/>
  <c r="I103" i="11"/>
  <c r="N102" i="11"/>
  <c r="M102" i="11"/>
  <c r="L102" i="11"/>
  <c r="K102" i="11"/>
  <c r="J102" i="11"/>
  <c r="I102" i="11"/>
  <c r="N101" i="11"/>
  <c r="M101" i="11"/>
  <c r="L101" i="11"/>
  <c r="K101" i="11"/>
  <c r="J101" i="11"/>
  <c r="I101" i="11"/>
  <c r="N100" i="11"/>
  <c r="M100" i="11"/>
  <c r="L100" i="11"/>
  <c r="K100" i="11"/>
  <c r="J100" i="11"/>
  <c r="I100" i="11"/>
  <c r="N99" i="11"/>
  <c r="M99" i="11"/>
  <c r="L99" i="11"/>
  <c r="K99" i="11"/>
  <c r="J99" i="11"/>
  <c r="I99" i="11"/>
  <c r="N98" i="11"/>
  <c r="M98" i="11"/>
  <c r="L98" i="11"/>
  <c r="K98" i="11"/>
  <c r="J98" i="11"/>
  <c r="I98" i="11"/>
  <c r="N97" i="11"/>
  <c r="M97" i="11"/>
  <c r="L97" i="11"/>
  <c r="K97" i="11"/>
  <c r="J97" i="11"/>
  <c r="I97" i="11"/>
  <c r="N96" i="11"/>
  <c r="M96" i="11"/>
  <c r="L96" i="11"/>
  <c r="K96" i="11"/>
  <c r="J96" i="11"/>
  <c r="I96" i="11"/>
  <c r="N95" i="11"/>
  <c r="M95" i="11"/>
  <c r="L95" i="11"/>
  <c r="K95" i="11"/>
  <c r="J95" i="11"/>
  <c r="I95" i="11"/>
  <c r="N94" i="11"/>
  <c r="M94" i="11"/>
  <c r="L94" i="11"/>
  <c r="K94" i="11"/>
  <c r="J94" i="11"/>
  <c r="I94" i="11"/>
  <c r="N93" i="11"/>
  <c r="M93" i="11"/>
  <c r="L93" i="11"/>
  <c r="K93" i="11"/>
  <c r="J93" i="11"/>
  <c r="I93" i="11"/>
  <c r="N92" i="11"/>
  <c r="M92" i="11"/>
  <c r="L92" i="11"/>
  <c r="K92" i="11"/>
  <c r="J92" i="11"/>
  <c r="I92" i="11"/>
  <c r="N91" i="11"/>
  <c r="M91" i="11"/>
  <c r="L91" i="11"/>
  <c r="K91" i="11"/>
  <c r="J91" i="11"/>
  <c r="I91" i="11"/>
  <c r="N90" i="11"/>
  <c r="M90" i="11"/>
  <c r="L90" i="11"/>
  <c r="K90" i="11"/>
  <c r="J90" i="11"/>
  <c r="I90" i="11"/>
  <c r="N89" i="11"/>
  <c r="M89" i="11"/>
  <c r="L89" i="11"/>
  <c r="K89" i="11"/>
  <c r="J89" i="11"/>
  <c r="I89" i="11"/>
  <c r="N88" i="11"/>
  <c r="M88" i="11"/>
  <c r="L88" i="11"/>
  <c r="K88" i="11"/>
  <c r="J88" i="11"/>
  <c r="I88" i="11"/>
  <c r="N87" i="11"/>
  <c r="M87" i="11"/>
  <c r="L87" i="11"/>
  <c r="K87" i="11"/>
  <c r="J87" i="11"/>
  <c r="I87" i="11"/>
  <c r="N86" i="11"/>
  <c r="M86" i="11"/>
  <c r="L86" i="11"/>
  <c r="K86" i="11"/>
  <c r="J86" i="11"/>
  <c r="I86" i="11"/>
  <c r="N85" i="11"/>
  <c r="M85" i="11"/>
  <c r="L85" i="11"/>
  <c r="K85" i="11"/>
  <c r="J85" i="11"/>
  <c r="I85" i="11"/>
  <c r="N84" i="11"/>
  <c r="M84" i="11"/>
  <c r="L84" i="11"/>
  <c r="K84" i="11"/>
  <c r="J84" i="11"/>
  <c r="I84" i="11"/>
  <c r="N83" i="11"/>
  <c r="M83" i="11"/>
  <c r="L83" i="11"/>
  <c r="K83" i="11"/>
  <c r="J83" i="11"/>
  <c r="I83" i="11"/>
  <c r="N82" i="11"/>
  <c r="M82" i="11"/>
  <c r="L82" i="11"/>
  <c r="K82" i="11"/>
  <c r="J82" i="11"/>
  <c r="I82" i="11"/>
  <c r="N81" i="11"/>
  <c r="M81" i="11"/>
  <c r="L81" i="11"/>
  <c r="K81" i="11"/>
  <c r="J81" i="11"/>
  <c r="I81" i="11"/>
  <c r="N80" i="11"/>
  <c r="M80" i="11"/>
  <c r="L80" i="11"/>
  <c r="K80" i="11"/>
  <c r="J80" i="11"/>
  <c r="I80" i="11"/>
  <c r="N79" i="11"/>
  <c r="M79" i="11"/>
  <c r="L79" i="11"/>
  <c r="K79" i="11"/>
  <c r="J79" i="11"/>
  <c r="I79" i="11"/>
  <c r="N78" i="11"/>
  <c r="M78" i="11"/>
  <c r="L78" i="11"/>
  <c r="K78" i="11"/>
  <c r="J78" i="11"/>
  <c r="I78" i="11"/>
  <c r="N77" i="11"/>
  <c r="M77" i="11"/>
  <c r="L77" i="11"/>
  <c r="K77" i="11"/>
  <c r="J77" i="11"/>
  <c r="I77" i="11"/>
  <c r="N76" i="11"/>
  <c r="M76" i="11"/>
  <c r="L76" i="11"/>
  <c r="K76" i="11"/>
  <c r="J76" i="11"/>
  <c r="I76" i="11"/>
  <c r="N75" i="11"/>
  <c r="M75" i="11"/>
  <c r="L75" i="11"/>
  <c r="K75" i="11"/>
  <c r="J75" i="11"/>
  <c r="I75" i="11"/>
  <c r="N74" i="11"/>
  <c r="M74" i="11"/>
  <c r="L74" i="11"/>
  <c r="K74" i="11"/>
  <c r="J74" i="11"/>
  <c r="I74" i="11"/>
  <c r="N73" i="11"/>
  <c r="M73" i="11"/>
  <c r="L73" i="11"/>
  <c r="K73" i="11"/>
  <c r="J73" i="11"/>
  <c r="I73" i="11"/>
  <c r="N72" i="11"/>
  <c r="M72" i="11"/>
  <c r="L72" i="11"/>
  <c r="K72" i="11"/>
  <c r="J72" i="11"/>
  <c r="I72" i="11"/>
  <c r="N71" i="11"/>
  <c r="M71" i="11"/>
  <c r="L71" i="11"/>
  <c r="K71" i="11"/>
  <c r="J71" i="11"/>
  <c r="I71" i="11"/>
  <c r="N70" i="11"/>
  <c r="M70" i="11"/>
  <c r="L70" i="11"/>
  <c r="K70" i="11"/>
  <c r="J70" i="11"/>
  <c r="I70" i="11"/>
  <c r="N69" i="11"/>
  <c r="M69" i="11"/>
  <c r="L69" i="11"/>
  <c r="K69" i="11"/>
  <c r="J69" i="11"/>
  <c r="I69" i="11"/>
  <c r="N68" i="11"/>
  <c r="M68" i="11"/>
  <c r="L68" i="11"/>
  <c r="K68" i="11"/>
  <c r="J68" i="11"/>
  <c r="I68" i="11"/>
  <c r="N67" i="11"/>
  <c r="M67" i="11"/>
  <c r="L67" i="11"/>
  <c r="K67" i="11"/>
  <c r="J67" i="11"/>
  <c r="I67" i="11"/>
  <c r="N66" i="11"/>
  <c r="M66" i="11"/>
  <c r="L66" i="11"/>
  <c r="K66" i="11"/>
  <c r="J66" i="11"/>
  <c r="I66" i="11"/>
  <c r="N65" i="11"/>
  <c r="M65" i="11"/>
  <c r="L65" i="11"/>
  <c r="K65" i="11"/>
  <c r="J65" i="11"/>
  <c r="I65" i="11"/>
  <c r="N64" i="11"/>
  <c r="M64" i="11"/>
  <c r="L64" i="11"/>
  <c r="K64" i="11"/>
  <c r="J64" i="11"/>
  <c r="I64" i="11"/>
  <c r="N63" i="11"/>
  <c r="M63" i="11"/>
  <c r="L63" i="11"/>
  <c r="K63" i="11"/>
  <c r="J63" i="11"/>
  <c r="I63" i="11"/>
  <c r="N62" i="11"/>
  <c r="M62" i="11"/>
  <c r="L62" i="11"/>
  <c r="K62" i="11"/>
  <c r="J62" i="11"/>
  <c r="I62" i="11"/>
  <c r="N61" i="11"/>
  <c r="M61" i="11"/>
  <c r="L61" i="11"/>
  <c r="K61" i="11"/>
  <c r="J61" i="11"/>
  <c r="I61" i="11"/>
  <c r="N60" i="11"/>
  <c r="M60" i="11"/>
  <c r="L60" i="11"/>
  <c r="K60" i="11"/>
  <c r="J60" i="11"/>
  <c r="I60" i="11"/>
  <c r="N59" i="11"/>
  <c r="M59" i="11"/>
  <c r="L59" i="11"/>
  <c r="K59" i="11"/>
  <c r="J59" i="11"/>
  <c r="I59" i="11"/>
  <c r="N58" i="11"/>
  <c r="M58" i="11"/>
  <c r="L58" i="11"/>
  <c r="K58" i="11"/>
  <c r="J58" i="11"/>
  <c r="I58" i="11"/>
  <c r="N57" i="11"/>
  <c r="M57" i="11"/>
  <c r="L57" i="11"/>
  <c r="K57" i="11"/>
  <c r="J57" i="11"/>
  <c r="I57" i="11"/>
  <c r="N56" i="11"/>
  <c r="M56" i="11"/>
  <c r="L56" i="11"/>
  <c r="K56" i="11"/>
  <c r="J56" i="11"/>
  <c r="I56" i="11"/>
  <c r="N55" i="11"/>
  <c r="M55" i="11"/>
  <c r="L55" i="11"/>
  <c r="K55" i="11"/>
  <c r="J55" i="11"/>
  <c r="I55" i="11"/>
  <c r="N54" i="11"/>
  <c r="M54" i="11"/>
  <c r="L54" i="11"/>
  <c r="K54" i="11"/>
  <c r="J54" i="11"/>
  <c r="I54" i="11"/>
  <c r="N53" i="11"/>
  <c r="M53" i="11"/>
  <c r="L53" i="11"/>
  <c r="K53" i="11"/>
  <c r="J53" i="11"/>
  <c r="I53" i="11"/>
  <c r="N52" i="11"/>
  <c r="M52" i="11"/>
  <c r="L52" i="11"/>
  <c r="K52" i="11"/>
  <c r="J52" i="11"/>
  <c r="I52" i="11"/>
  <c r="N51" i="11"/>
  <c r="M51" i="11"/>
  <c r="L51" i="11"/>
  <c r="K51" i="11"/>
  <c r="J51" i="11"/>
  <c r="I51" i="11"/>
  <c r="N50" i="11"/>
  <c r="M50" i="11"/>
  <c r="L50" i="11"/>
  <c r="K50" i="11"/>
  <c r="J50" i="11"/>
  <c r="I50" i="11"/>
  <c r="N49" i="11"/>
  <c r="M49" i="11"/>
  <c r="L49" i="11"/>
  <c r="K49" i="11"/>
  <c r="J49" i="11"/>
  <c r="I49" i="11"/>
  <c r="N48" i="11"/>
  <c r="M48" i="11"/>
  <c r="L48" i="11"/>
  <c r="K48" i="11"/>
  <c r="J48" i="11"/>
  <c r="I48" i="11"/>
  <c r="N47" i="11"/>
  <c r="M47" i="11"/>
  <c r="L47" i="11"/>
  <c r="K47" i="11"/>
  <c r="J47" i="11"/>
  <c r="I47" i="11"/>
  <c r="N46" i="11"/>
  <c r="M46" i="11"/>
  <c r="L46" i="11"/>
  <c r="K46" i="11"/>
  <c r="J46" i="11"/>
  <c r="I46" i="11"/>
  <c r="N45" i="11"/>
  <c r="M45" i="11"/>
  <c r="L45" i="11"/>
  <c r="K45" i="11"/>
  <c r="J45" i="11"/>
  <c r="I45" i="11"/>
  <c r="N44" i="11"/>
  <c r="M44" i="11"/>
  <c r="L44" i="11"/>
  <c r="K44" i="11"/>
  <c r="J44" i="11"/>
  <c r="I44" i="11"/>
  <c r="N43" i="11"/>
  <c r="M43" i="11"/>
  <c r="L43" i="11"/>
  <c r="K43" i="11"/>
  <c r="J43" i="11"/>
  <c r="I43" i="11"/>
  <c r="N42" i="11"/>
  <c r="M42" i="11"/>
  <c r="L42" i="11"/>
  <c r="K42" i="11"/>
  <c r="J42" i="11"/>
  <c r="I42" i="11"/>
  <c r="N41" i="11"/>
  <c r="M41" i="11"/>
  <c r="L41" i="11"/>
  <c r="K41" i="11"/>
  <c r="J41" i="11"/>
  <c r="I41" i="11"/>
  <c r="N40" i="11"/>
  <c r="M40" i="11"/>
  <c r="L40" i="11"/>
  <c r="K40" i="11"/>
  <c r="J40" i="11"/>
  <c r="I40" i="11"/>
  <c r="N39" i="11"/>
  <c r="M39" i="11"/>
  <c r="L39" i="11"/>
  <c r="K39" i="11"/>
  <c r="J39" i="11"/>
  <c r="I39" i="11"/>
  <c r="N38" i="11"/>
  <c r="M38" i="11"/>
  <c r="L38" i="11"/>
  <c r="K38" i="11"/>
  <c r="J38" i="11"/>
  <c r="I38" i="11"/>
  <c r="N37" i="11"/>
  <c r="M37" i="11"/>
  <c r="L37" i="11"/>
  <c r="K37" i="11"/>
  <c r="J37" i="11"/>
  <c r="I37" i="11"/>
  <c r="N36" i="11"/>
  <c r="M36" i="11"/>
  <c r="L36" i="11"/>
  <c r="K36" i="11"/>
  <c r="J36" i="11"/>
  <c r="I36" i="11"/>
  <c r="N35" i="11"/>
  <c r="M35" i="11"/>
  <c r="L35" i="11"/>
  <c r="K35" i="11"/>
  <c r="J35" i="11"/>
  <c r="I35" i="11"/>
  <c r="N34" i="11"/>
  <c r="M34" i="11"/>
  <c r="L34" i="11"/>
  <c r="K34" i="11"/>
  <c r="J34" i="11"/>
  <c r="I34" i="11"/>
  <c r="N33" i="11"/>
  <c r="M33" i="11"/>
  <c r="L33" i="11"/>
  <c r="K33" i="11"/>
  <c r="J33" i="11"/>
  <c r="I33" i="11"/>
  <c r="N32" i="11"/>
  <c r="M32" i="11"/>
  <c r="L32" i="11"/>
  <c r="K32" i="11"/>
  <c r="J32" i="11"/>
  <c r="I32" i="11"/>
  <c r="N31" i="11"/>
  <c r="M31" i="11"/>
  <c r="L31" i="11"/>
  <c r="K31" i="11"/>
  <c r="J31" i="11"/>
  <c r="I31" i="11"/>
  <c r="N30" i="11"/>
  <c r="M30" i="11"/>
  <c r="L30" i="11"/>
  <c r="K30" i="11"/>
  <c r="J30" i="11"/>
  <c r="I30" i="11"/>
  <c r="N29" i="11"/>
  <c r="M29" i="11"/>
  <c r="L29" i="11"/>
  <c r="K29" i="11"/>
  <c r="J29" i="11"/>
  <c r="I29" i="11"/>
  <c r="N28" i="11"/>
  <c r="M28" i="11"/>
  <c r="L28" i="11"/>
  <c r="K28" i="11"/>
  <c r="J28" i="11"/>
  <c r="I28" i="11"/>
  <c r="N27" i="11"/>
  <c r="M27" i="11"/>
  <c r="L27" i="11"/>
  <c r="K27" i="11"/>
  <c r="J27" i="11"/>
  <c r="I27" i="11"/>
  <c r="N26" i="11"/>
  <c r="M26" i="11"/>
  <c r="L26" i="11"/>
  <c r="K26" i="11"/>
  <c r="J26" i="11"/>
  <c r="I26" i="11"/>
  <c r="N25" i="11"/>
  <c r="M25" i="11"/>
  <c r="L25" i="11"/>
  <c r="K25" i="11"/>
  <c r="J25" i="11"/>
  <c r="I25" i="11"/>
  <c r="N24" i="11"/>
  <c r="M24" i="11"/>
  <c r="L24" i="11"/>
  <c r="K24" i="11"/>
  <c r="J24" i="11"/>
  <c r="I24" i="11"/>
  <c r="N23" i="11"/>
  <c r="M23" i="11"/>
  <c r="L23" i="11"/>
  <c r="K23" i="11"/>
  <c r="J23" i="11"/>
  <c r="I23" i="11"/>
  <c r="N22" i="11"/>
  <c r="M22" i="11"/>
  <c r="L22" i="11"/>
  <c r="K22" i="11"/>
  <c r="J22" i="11"/>
  <c r="I22" i="11"/>
  <c r="N21" i="11"/>
  <c r="M21" i="11"/>
  <c r="L21" i="11"/>
  <c r="K21" i="11"/>
  <c r="J21" i="11"/>
  <c r="I21" i="11"/>
  <c r="N20" i="11"/>
  <c r="M20" i="11"/>
  <c r="L20" i="11"/>
  <c r="K20" i="11"/>
  <c r="J20" i="11"/>
  <c r="I20" i="11"/>
  <c r="N19" i="11"/>
  <c r="M19" i="11"/>
  <c r="L19" i="11"/>
  <c r="K19" i="11"/>
  <c r="J19" i="11"/>
  <c r="I19" i="11"/>
  <c r="N18" i="11"/>
  <c r="M18" i="11"/>
  <c r="L18" i="11"/>
  <c r="K18" i="11"/>
  <c r="J18" i="11"/>
  <c r="I18" i="11"/>
  <c r="N17" i="11"/>
  <c r="M17" i="11"/>
  <c r="L17" i="11"/>
  <c r="K17" i="11"/>
  <c r="J17" i="11"/>
  <c r="I17" i="11"/>
  <c r="N16" i="11"/>
  <c r="M16" i="11"/>
  <c r="L16" i="11"/>
  <c r="K16" i="11"/>
  <c r="J16" i="11"/>
  <c r="I16" i="11"/>
  <c r="N15" i="11"/>
  <c r="M15" i="11"/>
  <c r="L15" i="11"/>
  <c r="K15" i="11"/>
  <c r="J15" i="11"/>
  <c r="I15" i="11"/>
  <c r="N14" i="11"/>
  <c r="M14" i="11"/>
  <c r="L14" i="11"/>
  <c r="K14" i="11"/>
  <c r="J14" i="11"/>
  <c r="I14" i="11"/>
  <c r="N13" i="11"/>
  <c r="M13" i="11"/>
  <c r="L13" i="11"/>
  <c r="K13" i="11"/>
  <c r="J13" i="11"/>
  <c r="I13" i="11"/>
  <c r="N12" i="11"/>
  <c r="M12" i="11"/>
  <c r="L12" i="11"/>
  <c r="K12" i="11"/>
  <c r="J12" i="11"/>
  <c r="I12" i="11"/>
  <c r="N11" i="11"/>
  <c r="M11" i="11"/>
  <c r="L11" i="11"/>
  <c r="K11" i="11"/>
  <c r="J11" i="11"/>
  <c r="I11" i="11"/>
  <c r="N10" i="11"/>
  <c r="M10" i="11"/>
  <c r="L10" i="11"/>
  <c r="K10" i="11"/>
  <c r="J10" i="11"/>
  <c r="I10" i="11"/>
  <c r="N9" i="11"/>
  <c r="M9" i="11"/>
  <c r="L9" i="11"/>
  <c r="K9" i="11"/>
  <c r="J9" i="11"/>
  <c r="I9" i="11"/>
  <c r="N8" i="11"/>
  <c r="M8" i="11"/>
  <c r="L8" i="11"/>
  <c r="K8" i="11"/>
  <c r="J8" i="11"/>
  <c r="I8" i="11"/>
  <c r="N7" i="11"/>
  <c r="M7" i="11"/>
  <c r="L7" i="11"/>
  <c r="K7" i="11"/>
  <c r="J7" i="11"/>
  <c r="I7" i="11"/>
  <c r="I7" i="11" a="1"/>
  <c r="C7" i="11"/>
  <c r="B10" i="7" l="1"/>
  <c r="D10" i="7"/>
  <c r="B11" i="7"/>
  <c r="B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G7" i="2" l="1" a="1"/>
  <c r="G7" i="2"/>
  <c r="J7" i="2" a="1"/>
  <c r="J7" i="2"/>
  <c r="G9" i="2" a="1"/>
  <c r="G9" i="2"/>
  <c r="M24" i="2" l="1" a="1"/>
  <c r="M24" i="2"/>
  <c r="M25" i="2" a="1"/>
  <c r="M25" i="2"/>
  <c r="M26" i="2" a="1"/>
  <c r="M26" i="2"/>
  <c r="M27" i="2" a="1"/>
  <c r="M27" i="2"/>
  <c r="P22" i="2" a="1"/>
  <c r="P22" i="2"/>
  <c r="M22" i="2" a="1"/>
  <c r="M22" i="2"/>
  <c r="AA24" i="2" a="1"/>
  <c r="AA24" i="2"/>
  <c r="AA25" i="2" a="1"/>
  <c r="AA25" i="2"/>
  <c r="AA26" i="2" a="1"/>
  <c r="AA26" i="2"/>
  <c r="AA27" i="2" a="1"/>
  <c r="AA27" i="2"/>
  <c r="AA22" i="2" a="1"/>
  <c r="AA22" i="2"/>
  <c r="V9" i="2" a="1"/>
  <c r="V9" i="2"/>
  <c r="V7" i="2" a="1"/>
  <c r="V7" i="2"/>
  <c r="F10" i="8" l="1"/>
  <c r="F11" i="8"/>
  <c r="C7" i="4"/>
  <c r="I7" i="7" l="1"/>
  <c r="C1" i="6" l="1" a="1"/>
  <c r="C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G31" authorId="0" shapeId="0" xr:uid="{97F86D11-6AE6-4A73-ADC5-1A070BB2BB58}">
      <text>
        <r>
          <rPr>
            <b/>
            <sz val="8"/>
            <color indexed="81"/>
            <rFont val="Tahoma"/>
            <family val="2"/>
          </rPr>
          <t>Change of NPV of CDS, when spread curve is shifted in parallel.</t>
        </r>
      </text>
    </comment>
    <comment ref="H31" authorId="0" shapeId="0" xr:uid="{D4A9BF30-8815-49E6-9D4C-ED984066BE87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I31" authorId="0" shapeId="0" xr:uid="{599C3E29-0CDF-49CA-9781-87E622D8C5CF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7" authorId="0" shapeId="0" xr:uid="{D0E81A1E-5B6E-47D8-8B21-F63B4CE7B7E4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7" authorId="1" shapeId="0" xr:uid="{827C85CA-B8EE-4996-9B94-F9B930D476D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3" authorId="0" shapeId="0" xr:uid="{E9B52A78-DDAE-4A90-BD15-2ED7C0FFCB3D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3" authorId="0" shapeId="0" xr:uid="{48B25AFB-5523-40CE-A3DD-F41B0CA24E2F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3" authorId="0" shapeId="0" xr:uid="{4AD6F448-2B7C-4BBE-BBCF-7E77C844A2E2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3" authorId="0" shapeId="0" xr:uid="{C8591ED0-0092-4AB1-B3FC-25AAD593C7D0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3" authorId="2" shapeId="0" xr:uid="{136787D9-684F-48BF-804A-8922D3F09B4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<sst xmlns="http://schemas.openxmlformats.org/spreadsheetml/2006/main" count="2120" uniqueCount="488">
  <si>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</si>
  <si>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</si>
  <si>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</si>
  <si>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</si>
  <si>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</si>
  <si>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</si>
  <si>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</si>
  <si>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</si>
  <si>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</si>
  <si>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</si>
  <si>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</si>
  <si>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</si>
  <si>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</si>
  <si>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</si>
  <si>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</si>
  <si>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</si>
  <si>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</si>
  <si>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</si>
  <si>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</si>
  <si>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</si>
  <si>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</si>
  <si>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</si>
  <si>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</si>
  <si>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</si>
  <si>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</si>
  <si>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</si>
  <si>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</si>
  <si>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</si>
  <si>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</si>
  <si>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</si>
  <si>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</si>
  <si>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</si>
  <si>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</si>
  <si>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</si>
  <si>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</si>
  <si>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</si>
  <si>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</si>
  <si>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</si>
  <si>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</si>
  <si>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</si>
  <si>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</si>
  <si>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</si>
  <si>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</si>
  <si>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</si>
  <si>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</si>
  <si>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</si>
  <si>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</si>
  <si>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</si>
  <si>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</si>
  <si>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</si>
  <si>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</si>
  <si>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</si>
  <si>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</si>
  <si>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</si>
  <si>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</si>
  <si>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</si>
  <si>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</si>
  <si>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</si>
  <si>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</si>
  <si>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</si>
  <si>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</si>
  <si>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</si>
  <si>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</si>
  <si>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</si>
  <si>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</si>
  <si>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</si>
  <si>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</si>
  <si>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</si>
  <si>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</si>
  <si>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</si>
  <si>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</si>
  <si>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</si>
  <si>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</si>
  <si>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</si>
  <si>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</si>
  <si>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</si>
  <si>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</si>
  <si>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</si>
  <si>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</si>
  <si>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</si>
  <si>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</si>
  <si>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</si>
  <si>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</si>
  <si>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</si>
  <si>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</si>
  <si>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</si>
  <si>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</si>
  <si>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</si>
  <si>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</si>
  <si>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</si>
  <si>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</si>
  <si>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</si>
  <si>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</si>
  <si>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</si>
  <si>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</si>
  <si>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</si>
  <si>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</si>
  <si>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</si>
  <si>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</si>
  <si>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</si>
  <si>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</si>
  <si>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</si>
  <si>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</si>
  <si>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</si>
  <si>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</si>
  <si>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</si>
  <si>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</si>
  <si>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</si>
  <si>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</si>
  <si>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</si>
  <si>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</si>
  <si>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</si>
  <si>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</si>
  <si>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</si>
  <si>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</si>
  <si>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</si>
  <si>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</si>
  <si>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</si>
  <si>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</si>
  <si>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</si>
  <si>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</si>
  <si>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</si>
  <si>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</si>
  <si>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</si>
  <si>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</si>
  <si>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</si>
  <si>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</si>
  <si>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</si>
  <si>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</si>
  <si>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</si>
  <si>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</si>
  <si>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</si>
  <si>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</si>
  <si>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</si>
  <si>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</si>
  <si>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</si>
  <si>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</si>
  <si>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</si>
  <si>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</si>
  <si>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</si>
  <si>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</si>
  <si>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</si>
  <si>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</si>
  <si>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</si>
  <si>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</si>
  <si>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</si>
  <si>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</si>
  <si>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</si>
  <si>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</si>
  <si>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</si>
  <si>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</si>
  <si>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</si>
  <si>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</si>
  <si>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</si>
  <si>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</si>
  <si>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</si>
  <si>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</si>
  <si>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</si>
  <si>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</si>
  <si>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</si>
  <si>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</si>
  <si>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</si>
  <si>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</si>
  <si>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</si>
  <si>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</si>
  <si>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</si>
  <si>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</si>
  <si>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</si>
  <si>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</si>
  <si>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</si>
  <si>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</si>
  <si>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</si>
  <si>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</si>
  <si>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</si>
  <si>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</si>
  <si>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</si>
  <si>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</si>
  <si>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</si>
  <si>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</si>
  <si>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</si>
  <si>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</si>
  <si>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</si>
  <si>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</si>
  <si>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</si>
  <si>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</si>
  <si>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</si>
  <si>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</si>
  <si>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</si>
  <si>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</si>
  <si>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</si>
  <si>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</si>
  <si>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</si>
  <si>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</si>
  <si>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</si>
  <si>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</si>
  <si>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</si>
  <si>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</si>
  <si>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</si>
  <si>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</si>
  <si>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</si>
  <si>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</si>
  <si>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</si>
  <si>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</si>
  <si>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</si>
  <si>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</si>
  <si>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</si>
  <si>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</si>
  <si>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</si>
  <si>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</si>
  <si>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</si>
  <si>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</si>
  <si>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</si>
  <si>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</si>
  <si>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</si>
  <si>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</si>
  <si>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</si>
  <si>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</si>
  <si>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</si>
  <si>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</si>
  <si>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</si>
  <si>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</si>
  <si>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</si>
  <si>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</si>
  <si>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</si>
  <si>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</si>
  <si>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</si>
  <si>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</si>
  <si>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</si>
  <si>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</si>
  <si>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</si>
  <si>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</si>
  <si>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</si>
  <si>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</si>
  <si>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</si>
  <si>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</si>
  <si>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</si>
  <si>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</si>
  <si>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</si>
  <si>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</si>
  <si>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</si>
  <si>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</si>
  <si>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</si>
  <si>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</si>
  <si>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</si>
  <si>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</si>
  <si>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</si>
  <si>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</si>
  <si>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</si>
  <si>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</si>
  <si>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</si>
  <si>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</si>
  <si>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</si>
  <si>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</si>
  <si>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</si>
  <si>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</si>
  <si>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</si>
  <si>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</si>
  <si>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</si>
  <si>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</si>
  <si>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</si>
  <si>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</si>
  <si>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</si>
  <si>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</si>
  <si>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</si>
  <si>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</si>
  <si>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</si>
  <si>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</si>
  <si>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</si>
  <si>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</si>
  <si>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</si>
  <si>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</si>
  <si>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</si>
  <si>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</si>
  <si>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</si>
  <si>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</si>
  <si>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</si>
  <si>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</si>
  <si>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</si>
  <si>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</si>
  <si>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</si>
  <si>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</si>
  <si>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</si>
  <si>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</si>
  <si>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</si>
  <si>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</si>
  <si>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</si>
  <si>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</si>
  <si>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</si>
  <si>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</si>
  <si>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</si>
  <si>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</si>
  <si>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</si>
  <si>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</si>
  <si>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</si>
  <si>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</si>
  <si>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</si>
  <si>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</si>
  <si>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</si>
  <si>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</si>
  <si>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</si>
  <si>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</si>
  <si>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</si>
  <si>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</si>
  <si>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</si>
  <si>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</si>
  <si>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</si>
  <si>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</si>
  <si>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</si>
  <si>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</si>
  <si>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</si>
  <si>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</si>
  <si>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</si>
  <si>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</si>
  <si>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</si>
  <si>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</si>
  <si>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</si>
  <si>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</si>
  <si>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</si>
  <si>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</si>
  <si>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</si>
  <si>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</si>
  <si>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</si>
  <si>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</si>
  <si>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</si>
  <si>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</si>
  <si>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</si>
  <si>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</si>
  <si>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</si>
  <si>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</si>
  <si>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</si>
  <si>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</si>
  <si>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</si>
  <si>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</si>
  <si>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</si>
  <si>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</si>
  <si>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</si>
  <si>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</si>
  <si>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</si>
  <si>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</si>
  <si>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</si>
  <si>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</si>
  <si>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</si>
  <si>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</si>
  <si>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</si>
  <si>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</si>
  <si>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</si>
  <si>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</si>
  <si>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</si>
  <si>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</si>
  <si>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</si>
  <si>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</si>
  <si>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</si>
  <si>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</si>
  <si>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</si>
  <si>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</si>
  <si>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</si>
  <si>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</si>
  <si>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</si>
  <si>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</si>
  <si>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</si>
  <si>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</si>
  <si>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</si>
  <si>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</si>
  <si>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</si>
  <si>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</si>
  <si>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</si>
  <si>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</si>
  <si>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</si>
  <si>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</si>
  <si>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</si>
  <si>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</si>
  <si>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</si>
  <si>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</si>
  <si>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</si>
  <si>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</si>
  <si>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</si>
  <si>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</si>
  <si>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</si>
  <si>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</si>
  <si>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</si>
  <si>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</si>
  <si>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</si>
  <si>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</si>
  <si>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</si>
  <si>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</si>
  <si>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</si>
  <si>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</si>
  <si>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</si>
  <si>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</si>
  <si>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</si>
  <si>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</si>
  <si>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</si>
  <si>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</si>
  <si>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</si>
  <si>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</si>
  <si>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</si>
  <si>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</si>
  <si>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</si>
  <si>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</si>
  <si>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</si>
  <si>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</si>
  <si>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</si>
  <si>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</si>
  <si>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</si>
  <si>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</si>
  <si>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</si>
  <si>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</si>
  <si>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</si>
  <si>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</si>
  <si>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</si>
  <si>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</si>
  <si>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</si>
  <si>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</si>
  <si>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</si>
  <si>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</si>
  <si>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</si>
  <si>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</si>
  <si>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</si>
  <si>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</si>
  <si>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</si>
  <si>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</si>
  <si>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</si>
  <si>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</si>
  <si>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</si>
  <si>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</si>
  <si>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</si>
  <si>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</si>
  <si>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</si>
  <si>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</si>
  <si>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</si>
  <si>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</si>
  <si>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</si>
  <si>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</si>
  <si>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</si>
  <si>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</si>
  <si>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</si>
  <si>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</si>
  <si>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</si>
  <si>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</si>
  <si>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</si>
  <si>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</si>
  <si>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</si>
  <si>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</si>
  <si>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</si>
  <si>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</si>
  <si>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</si>
  <si>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</si>
  <si>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</si>
  <si>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</si>
  <si>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</si>
  <si>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</si>
  <si>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</si>
  <si>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</si>
  <si>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</si>
  <si>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</si>
  <si>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</si>
  <si>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</si>
  <si>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</si>
  <si>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bpv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</si>
  <si>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</si>
  <si>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</si>
  <si>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</si>
  <si>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</si>
  <si>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</si>
  <si>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</si>
  <si>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</si>
  <si>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</si>
  <si>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</si>
  <si>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</si>
  <si>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</si>
  <si>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</si>
  <si>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Spread Mult.</t>
  </si>
  <si>
    <t>Delta Value</t>
  </si>
  <si>
    <t>dBeta</t>
  </si>
  <si>
    <t>Total value (%)</t>
  </si>
  <si>
    <t>Def Prob Multiplier</t>
  </si>
  <si>
    <t>Delta</t>
  </si>
  <si>
    <t>Total value (cash)</t>
  </si>
  <si>
    <t>Loss Unit</t>
  </si>
  <si>
    <t>NPV (ref)</t>
  </si>
  <si>
    <t>Delta from Index</t>
  </si>
  <si>
    <t>Delta PV</t>
  </si>
  <si>
    <t>Delta Single Name</t>
  </si>
  <si>
    <t>Spread Deltta</t>
  </si>
  <si>
    <t>Nominal</t>
  </si>
  <si>
    <t>Beta Addon</t>
  </si>
  <si>
    <t>CDSR</t>
  </si>
  <si>
    <t>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</si>
</sst>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0.00000%"/>
    <numFmt numFmtId="174" formatCode="[$-409]dd\-mmm\-yy;@"/>
    <numFmt numFmtId="175" formatCode="0.0000"/>
    <numFmt numFmtId="176" formatCode="0.00000"/>
    <numFmt numFmtId="177" formatCode="0.000000000000000"/>
    <numFmt numFmtId="178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41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19" fillId="2" borderId="5" xfId="2" applyFont="1" applyFill="1" applyBorder="1" applyAlignment="1"/>
    <xf numFmtId="0" fontId="23" fillId="0" borderId="6" xfId="2" applyFont="1" applyBorder="1" applyAlignment="1"/>
    <xf numFmtId="0" fontId="19" fillId="2" borderId="9" xfId="2" applyFont="1" applyFill="1" applyBorder="1" applyAlignment="1"/>
    <xf numFmtId="15" fontId="23" fillId="4" borderId="8" xfId="2" applyNumberFormat="1" applyFont="1" applyFill="1" applyBorder="1" applyAlignment="1">
      <alignment horizontal="center"/>
    </xf>
    <xf numFmtId="174" fontId="24" fillId="0" borderId="2" xfId="2" applyNumberFormat="1" applyFont="1" applyBorder="1" applyAlignment="1">
      <alignment horizontal="center"/>
    </xf>
    <xf numFmtId="174" fontId="24" fillId="0" borderId="0" xfId="2" applyNumberFormat="1" applyFont="1" applyAlignment="1">
      <alignment horizontal="center"/>
    </xf>
    <xf numFmtId="0" fontId="19" fillId="2" borderId="7" xfId="2" applyFont="1" applyFill="1" applyBorder="1" applyAlignment="1">
      <alignment horizontal="center"/>
    </xf>
    <xf numFmtId="164" fontId="37" fillId="4" borderId="23" xfId="2" applyNumberFormat="1" applyFont="1" applyFill="1" applyBorder="1" applyAlignment="1">
      <alignment horizontal="center"/>
    </xf>
    <xf numFmtId="165" fontId="37" fillId="4" borderId="23" xfId="2" applyNumberFormat="1" applyFont="1" applyFill="1" applyBorder="1" applyAlignment="1">
      <alignment horizontal="center"/>
    </xf>
    <xf numFmtId="166" fontId="26" fillId="4" borderId="23" xfId="2" applyNumberFormat="1" applyFont="1" applyFill="1" applyBorder="1" applyAlignment="1"/>
    <xf numFmtId="0" fontId="26" fillId="4" borderId="23" xfId="2" applyFont="1" applyFill="1" applyBorder="1" applyAlignment="1"/>
    <xf numFmtId="0" fontId="26" fillId="4" borderId="8" xfId="2" applyFont="1" applyFill="1" applyBorder="1" applyAlignment="1"/>
    <xf numFmtId="164" fontId="37" fillId="4" borderId="0" xfId="2" quotePrefix="1" applyNumberFormat="1" applyFont="1" applyFill="1" applyAlignment="1">
      <alignment horizontal="center"/>
    </xf>
    <xf numFmtId="165" fontId="37" fillId="4" borderId="0" xfId="2" applyNumberFormat="1" applyFont="1" applyFill="1" applyAlignment="1">
      <alignment horizontal="center"/>
    </xf>
    <xf numFmtId="175" fontId="26" fillId="4" borderId="0" xfId="2" applyNumberFormat="1" applyFont="1" applyFill="1" applyAlignment="1"/>
    <xf numFmtId="0" fontId="26" fillId="4" borderId="0" xfId="2" applyFont="1" applyFill="1" applyAlignment="1"/>
    <xf numFmtId="0" fontId="26" fillId="4" borderId="2" xfId="2" applyFont="1" applyFill="1" applyBorder="1" applyAlignment="1"/>
    <xf numFmtId="164" fontId="37" fillId="4" borderId="0" xfId="2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5" fontId="37" fillId="4" borderId="0" xfId="2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175" fontId="37" fillId="4" borderId="0" xfId="2" applyNumberFormat="1" applyFont="1" applyFill="1" applyAlignment="1">
      <alignment horizontal="right"/>
    </xf>
    <xf numFmtId="2" fontId="37" fillId="4" borderId="0" xfId="2" applyNumberFormat="1" applyFont="1" applyFill="1" applyAlignment="1">
      <alignment horizontal="center"/>
    </xf>
    <xf numFmtId="0" fontId="26" fillId="2" borderId="0" xfId="2" applyFont="1" applyFill="1" applyAlignment="1">
      <alignment horizontal="center"/>
    </xf>
    <xf numFmtId="175" fontId="26" fillId="2" borderId="0" xfId="2" applyNumberFormat="1" applyFont="1" applyFill="1" applyAlignment="1">
      <alignment horizontal="center"/>
    </xf>
    <xf numFmtId="0" fontId="26" fillId="2" borderId="2" xfId="2" applyFont="1" applyFill="1" applyBorder="1" applyAlignment="1">
      <alignment horizontal="center"/>
    </xf>
    <xf numFmtId="176" fontId="37" fillId="4" borderId="0" xfId="2" applyNumberFormat="1" applyFont="1" applyFill="1" applyAlignment="1">
      <alignment horizontal="center"/>
    </xf>
    <xf numFmtId="176" fontId="37" fillId="4" borderId="2" xfId="2" applyNumberFormat="1" applyFont="1" applyFill="1" applyBorder="1" applyAlignment="1">
      <alignment horizontal="center"/>
    </xf>
    <xf numFmtId="175" fontId="37" fillId="4" borderId="2" xfId="2" applyNumberFormat="1" applyFont="1" applyFill="1" applyBorder="1" applyAlignment="1">
      <alignment horizontal="center"/>
    </xf>
    <xf numFmtId="175" fontId="37" fillId="4" borderId="28" xfId="2" applyNumberFormat="1" applyFont="1" applyFill="1" applyBorder="1" applyAlignment="1">
      <alignment horizontal="center"/>
    </xf>
    <xf numFmtId="176" fontId="37" fillId="4" borderId="28" xfId="2" applyNumberFormat="1" applyFont="1" applyFill="1" applyBorder="1" applyAlignment="1">
      <alignment horizontal="center"/>
    </xf>
    <xf numFmtId="176" fontId="37" fillId="4" borderId="4" xfId="2" applyNumberFormat="1" applyFont="1" applyFill="1" applyBorder="1" applyAlignment="1">
      <alignment horizontal="center"/>
    </xf>
    <xf numFmtId="10" fontId="21" fillId="0" borderId="0" xfId="2" applyNumberFormat="1" applyFont="1" applyAlignment="1"/>
    <xf numFmtId="0" fontId="19" fillId="2" borderId="10" xfId="2" applyFont="1" applyFill="1" applyBorder="1" applyAlignment="1"/>
    <xf numFmtId="0" fontId="23" fillId="4" borderId="2" xfId="2" applyFont="1" applyFill="1" applyBorder="1" applyAlignment="1">
      <alignment horizontal="center"/>
    </xf>
    <xf numFmtId="0" fontId="19" fillId="2" borderId="1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0" fontId="19" fillId="2" borderId="11" xfId="2" applyFont="1" applyFill="1" applyBorder="1" applyAlignment="1"/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19" fillId="2" borderId="9" xfId="2" applyFont="1" applyFill="1" applyBorder="1" applyAlignment="1">
      <alignment horizontal="lef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0" fontId="19" fillId="2" borderId="4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177" fontId="21" fillId="0" borderId="0" xfId="2" applyNumberFormat="1" applyFont="1" applyAlignment="1"/>
    <xf numFmtId="0" fontId="23" fillId="4" borderId="2" xfId="2" applyFont="1" applyFill="1" applyBorder="1" applyAlignment="1"/>
    <xf numFmtId="0" fontId="21" fillId="0" borderId="7" xfId="2" applyFont="1" applyBorder="1" applyAlignment="1"/>
    <xf numFmtId="10" fontId="20" fillId="0" borderId="8" xfId="2" applyNumberFormat="1" applyFont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0" fontId="21" fillId="0" borderId="1" xfId="2" applyFont="1" applyBorder="1" applyAlignment="1"/>
    <xf numFmtId="165" fontId="24" fillId="0" borderId="2" xfId="2" applyNumberFormat="1" applyFont="1" applyBorder="1" applyAlignment="1"/>
    <xf numFmtId="10" fontId="23" fillId="4" borderId="2" xfId="5" applyNumberFormat="1" applyFont="1" applyFill="1" applyBorder="1" applyAlignment="1">
      <alignment horizontal="center"/>
    </xf>
    <xf numFmtId="0" fontId="23" fillId="0" borderId="8" xfId="2" applyFont="1" applyBorder="1" applyAlignment="1"/>
    <xf numFmtId="165" fontId="38" fillId="0" borderId="2" xfId="2" applyNumberFormat="1" applyFont="1" applyBorder="1" applyAlignment="1"/>
    <xf numFmtId="2" fontId="23" fillId="4" borderId="4" xfId="2" applyNumberFormat="1" applyFont="1" applyFill="1" applyBorder="1" applyAlignment="1">
      <alignment horizontal="center"/>
    </xf>
    <xf numFmtId="176" fontId="21" fillId="0" borderId="0" xfId="2" applyNumberFormat="1" applyFont="1" applyAlignment="1"/>
    <xf numFmtId="0" fontId="21" fillId="0" borderId="3" xfId="2" applyFont="1" applyBorder="1" applyAlignment="1"/>
    <xf numFmtId="176" fontId="24" fillId="0" borderId="4" xfId="2" applyNumberFormat="1" applyFont="1" applyBorder="1" applyAlignment="1"/>
    <xf numFmtId="176" fontId="24" fillId="0" borderId="2" xfId="2" applyNumberFormat="1" applyFont="1" applyBorder="1" applyAlignment="1"/>
    <xf numFmtId="0" fontId="23" fillId="0" borderId="11" xfId="2" applyFont="1" applyBorder="1" applyAlignment="1">
      <alignment horizontal="center"/>
    </xf>
    <xf numFmtId="0" fontId="22" fillId="0" borderId="3" xfId="2" applyFont="1" applyBorder="1" applyAlignment="1">
      <alignment horizontal="center"/>
    </xf>
    <xf numFmtId="0" fontId="21" fillId="0" borderId="28" xfId="2" applyFont="1" applyBorder="1" applyAlignment="1">
      <alignment horizontal="center"/>
    </xf>
    <xf numFmtId="0" fontId="21" fillId="0" borderId="14" xfId="2" applyFont="1" applyBorder="1" applyAlignment="1">
      <alignment horizontal="center"/>
    </xf>
    <xf numFmtId="0" fontId="21" fillId="0" borderId="4" xfId="2" applyFont="1" applyBorder="1" applyAlignment="1"/>
    <xf numFmtId="0" fontId="21" fillId="0" borderId="5" xfId="2" applyFont="1" applyBorder="1" applyAlignment="1"/>
    <xf numFmtId="0" fontId="21" fillId="0" borderId="14" xfId="2" applyFont="1" applyBorder="1" applyAlignment="1"/>
    <xf numFmtId="0" fontId="21" fillId="0" borderId="6" xfId="2" applyFont="1" applyBorder="1" applyAlignment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2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0" fontId="19" fillId="2" borderId="5" xfId="2" applyFont="1" applyFill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0" fontId="19" fillId="2" borderId="9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0" fontId="19" fillId="2" borderId="10" xfId="2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4" fontId="24" fillId="4" borderId="10" xfId="2" applyNumberFormat="1" applyFont="1" applyFill="1" applyBorder="1" applyAlignment="1">
      <alignment horizontal="left"/>
    </xf>
    <xf numFmtId="0" fontId="19" fillId="2" borderId="3" xfId="2" applyFont="1" applyFill="1" applyBorder="1" applyAlignment="1">
      <alignment horizontal="center"/>
    </xf>
    <xf numFmtId="165" fontId="25" fillId="0" borderId="3" xfId="5" applyNumberFormat="1" applyFont="1" applyBorder="1" applyAlignment="1">
      <alignment horizontal="center"/>
    </xf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2" applyNumberFormat="1" applyFont="1" applyBorder="1" applyAlignment="1">
      <alignment horizontal="center"/>
    </xf>
    <xf numFmtId="10" fontId="24" fillId="0" borderId="3" xfId="5" applyNumberFormat="1" applyFont="1" applyBorder="1"/>
    <xf numFmtId="165" fontId="24" fillId="0" borderId="4" xfId="5" applyNumberFormat="1" applyFont="1" applyBorder="1"/>
    <xf numFmtId="165" fontId="23" fillId="0" borderId="28" xfId="5" applyNumberFormat="1" applyFont="1" applyBorder="1"/>
    <xf numFmtId="0" fontId="19" fillId="2" borderId="11" xfId="2" applyFont="1" applyFill="1" applyBorder="1" applyAlignment="1">
      <alignment horizontal="center"/>
    </xf>
    <xf numFmtId="165" fontId="25" fillId="4" borderId="23" xfId="5" quotePrefix="1" applyNumberFormat="1" applyFont="1" applyFill="1" applyBorder="1" applyAlignment="1">
      <alignment horizontal="center"/>
    </xf>
    <xf numFmtId="10" fontId="26" fillId="4" borderId="23" xfId="5" quotePrefix="1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165" fontId="25" fillId="4" borderId="0" xfId="5" quotePrefix="1" applyNumberFormat="1" applyFont="1" applyFill="1" applyAlignment="1">
      <alignment horizontal="center"/>
    </xf>
    <xf numFmtId="10" fontId="26" fillId="4" borderId="0" xfId="5" quotePrefix="1" applyNumberFormat="1" applyFont="1" applyFill="1" applyAlignment="1">
      <alignment horizontal="center"/>
    </xf>
    <xf numFmtId="0" fontId="19" fillId="4" borderId="2" xfId="0" applyFont="1" applyFill="1" applyBorder="1" applyAlignment="1">
      <alignment horizontal="center"/>
    </xf>
    <xf numFmtId="175" fontId="25" fillId="4" borderId="0" xfId="0" quotePrefix="1" applyNumberFormat="1" applyFont="1" applyFill="1" applyAlignment="1">
      <alignment horizontal="center"/>
    </xf>
    <xf numFmtId="2" fontId="26" fillId="4" borderId="0" xfId="0" quotePrefix="1" applyNumberFormat="1" applyFont="1" applyFill="1" applyAlignment="1">
      <alignment horizontal="center"/>
    </xf>
    <xf numFmtId="169" fontId="25" fillId="4" borderId="0" xfId="5" applyNumberFormat="1" applyFont="1" applyFill="1" applyAlignment="1">
      <alignment horizontal="center"/>
    </xf>
    <xf numFmtId="169" fontId="26" fillId="4" borderId="0" xfId="5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173" fontId="25" fillId="0" borderId="28" xfId="5" applyNumberFormat="1" applyFont="1" applyBorder="1" applyAlignment="1">
      <alignment horizontal="center"/>
    </xf>
    <xf numFmtId="165" fontId="25" fillId="0" borderId="4" xfId="5" applyNumberFormat="1" applyFont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0" fontId="19" fillId="2" borderId="9" xfId="0" applyFont="1" applyFill="1" applyBorder="1" applyAlignment="1">
      <alignment horizontal="left"/>
    </xf>
    <xf numFmtId="0" fontId="19" fillId="2" borderId="10" xfId="0" applyFont="1" applyFill="1" applyBorder="1" applyAlignment="1">
      <alignment horizontal="left"/>
    </xf>
    <xf numFmtId="0" fontId="19" fillId="2" borderId="10" xfId="0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165" fontId="0" fillId="0" borderId="0" xfId="0" applyNumberFormat="1"/>
    <xf numFmtId="178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4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externalLink" Target="externalLinks/externalLink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3.8480990859580187E-3</c:v>
                </c:pt>
                <c:pt idx="7">
                  <c:v>3.8480990859574662E-3</c:v>
                </c:pt>
                <c:pt idx="8">
                  <c:v>3.8480990859580187E-3</c:v>
                </c:pt>
                <c:pt idx="9">
                  <c:v>5.4645356355629516E-3</c:v>
                </c:pt>
                <c:pt idx="10">
                  <c:v>5.4645356355629516E-3</c:v>
                </c:pt>
                <c:pt idx="11">
                  <c:v>5.4645356355625136E-3</c:v>
                </c:pt>
                <c:pt idx="12">
                  <c:v>5.4664464368262417E-3</c:v>
                </c:pt>
                <c:pt idx="13">
                  <c:v>5.4664464368253942E-3</c:v>
                </c:pt>
                <c:pt idx="14">
                  <c:v>5.4664464368262564E-3</c:v>
                </c:pt>
                <c:pt idx="15">
                  <c:v>5.468357238089569E-3</c:v>
                </c:pt>
                <c:pt idx="16">
                  <c:v>5.4683572380884024E-3</c:v>
                </c:pt>
                <c:pt idx="17">
                  <c:v>5.4683572380884024E-3</c:v>
                </c:pt>
                <c:pt idx="18">
                  <c:v>5.4702680393525112E-3</c:v>
                </c:pt>
                <c:pt idx="19">
                  <c:v>5.4702680393520046E-3</c:v>
                </c:pt>
                <c:pt idx="20">
                  <c:v>5.4702680393524964E-3</c:v>
                </c:pt>
                <c:pt idx="21">
                  <c:v>5.4721788406157561E-3</c:v>
                </c:pt>
                <c:pt idx="22">
                  <c:v>5.4721788406157561E-3</c:v>
                </c:pt>
                <c:pt idx="23">
                  <c:v>5.4721788406159912E-3</c:v>
                </c:pt>
                <c:pt idx="24">
                  <c:v>6.2465474309922209E-3</c:v>
                </c:pt>
                <c:pt idx="25">
                  <c:v>6.2465474309924152E-3</c:v>
                </c:pt>
                <c:pt idx="26">
                  <c:v>6.2465474309922209E-3</c:v>
                </c:pt>
                <c:pt idx="27">
                  <c:v>7.0209160213683735E-3</c:v>
                </c:pt>
                <c:pt idx="28">
                  <c:v>7.0209160213690102E-3</c:v>
                </c:pt>
                <c:pt idx="29">
                  <c:v>7.0209160213690102E-3</c:v>
                </c:pt>
                <c:pt idx="30">
                  <c:v>7.7952846117446649E-3</c:v>
                </c:pt>
                <c:pt idx="31">
                  <c:v>7.795284611744932E-3</c:v>
                </c:pt>
                <c:pt idx="32">
                  <c:v>7.7952846117447074E-3</c:v>
                </c:pt>
                <c:pt idx="33">
                  <c:v>8.5696532021216267E-3</c:v>
                </c:pt>
                <c:pt idx="34">
                  <c:v>8.5696532021216267E-3</c:v>
                </c:pt>
                <c:pt idx="35">
                  <c:v>8.5696532021207091E-3</c:v>
                </c:pt>
                <c:pt idx="36">
                  <c:v>8.700832377546857E-3</c:v>
                </c:pt>
                <c:pt idx="37">
                  <c:v>8.7008323775464979E-3</c:v>
                </c:pt>
                <c:pt idx="38">
                  <c:v>8.700832377548165E-3</c:v>
                </c:pt>
                <c:pt idx="39">
                  <c:v>8.8320115529727482E-3</c:v>
                </c:pt>
                <c:pt idx="40">
                  <c:v>8.8320115529744361E-3</c:v>
                </c:pt>
                <c:pt idx="41">
                  <c:v>8.8320115529731281E-3</c:v>
                </c:pt>
                <c:pt idx="42">
                  <c:v>8.9631907283985457E-3</c:v>
                </c:pt>
                <c:pt idx="43">
                  <c:v>8.9631907283985457E-3</c:v>
                </c:pt>
                <c:pt idx="44">
                  <c:v>8.9631907283985925E-3</c:v>
                </c:pt>
                <c:pt idx="45">
                  <c:v>9.0943699038251412E-3</c:v>
                </c:pt>
                <c:pt idx="46">
                  <c:v>9.0943699038251412E-3</c:v>
                </c:pt>
                <c:pt idx="47">
                  <c:v>9.094369903825417E-3</c:v>
                </c:pt>
                <c:pt idx="48">
                  <c:v>9.2255490792510705E-3</c:v>
                </c:pt>
                <c:pt idx="49">
                  <c:v>9.2255490792515493E-3</c:v>
                </c:pt>
                <c:pt idx="50">
                  <c:v>9.2255490792510705E-3</c:v>
                </c:pt>
                <c:pt idx="51">
                  <c:v>9.3567282546765992E-3</c:v>
                </c:pt>
                <c:pt idx="52">
                  <c:v>9.3567282546768646E-3</c:v>
                </c:pt>
                <c:pt idx="53">
                  <c:v>9.3567282546769635E-3</c:v>
                </c:pt>
                <c:pt idx="54">
                  <c:v>9.4879074301037793E-3</c:v>
                </c:pt>
                <c:pt idx="55">
                  <c:v>9.4879074301035884E-3</c:v>
                </c:pt>
                <c:pt idx="56">
                  <c:v>9.4879074301037793E-3</c:v>
                </c:pt>
                <c:pt idx="57">
                  <c:v>9.6190866055290564E-3</c:v>
                </c:pt>
                <c:pt idx="58">
                  <c:v>9.6190866055289558E-3</c:v>
                </c:pt>
                <c:pt idx="59">
                  <c:v>9.6190866055289904E-3</c:v>
                </c:pt>
                <c:pt idx="60">
                  <c:v>9.5786214436522302E-3</c:v>
                </c:pt>
                <c:pt idx="61">
                  <c:v>9.5786214436523708E-3</c:v>
                </c:pt>
                <c:pt idx="62">
                  <c:v>9.5786214436522302E-3</c:v>
                </c:pt>
                <c:pt idx="63">
                  <c:v>9.5381562817746617E-3</c:v>
                </c:pt>
                <c:pt idx="64">
                  <c:v>9.5381562817750901E-3</c:v>
                </c:pt>
                <c:pt idx="65">
                  <c:v>9.5381562817751907E-3</c:v>
                </c:pt>
                <c:pt idx="66">
                  <c:v>9.4976911198973273E-3</c:v>
                </c:pt>
                <c:pt idx="67">
                  <c:v>9.4976911198984132E-3</c:v>
                </c:pt>
                <c:pt idx="68">
                  <c:v>9.4976911198973273E-3</c:v>
                </c:pt>
                <c:pt idx="69">
                  <c:v>9.4572259580210719E-3</c:v>
                </c:pt>
                <c:pt idx="70">
                  <c:v>9.457225958020973E-3</c:v>
                </c:pt>
                <c:pt idx="71">
                  <c:v>9.4572259580211655E-3</c:v>
                </c:pt>
                <c:pt idx="72">
                  <c:v>9.4167607961436403E-3</c:v>
                </c:pt>
                <c:pt idx="73">
                  <c:v>9.4167607961442197E-3</c:v>
                </c:pt>
                <c:pt idx="74">
                  <c:v>9.4167607961436403E-3</c:v>
                </c:pt>
                <c:pt idx="75">
                  <c:v>9.3762956342666372E-3</c:v>
                </c:pt>
                <c:pt idx="76">
                  <c:v>9.3762956342665037E-3</c:v>
                </c:pt>
                <c:pt idx="77">
                  <c:v>9.3762956342666008E-3</c:v>
                </c:pt>
                <c:pt idx="78">
                  <c:v>9.3358304723898684E-3</c:v>
                </c:pt>
                <c:pt idx="79">
                  <c:v>9.335830472389119E-3</c:v>
                </c:pt>
                <c:pt idx="80">
                  <c:v>9.3358304723898684E-3</c:v>
                </c:pt>
                <c:pt idx="81">
                  <c:v>9.295365310512985E-3</c:v>
                </c:pt>
                <c:pt idx="82">
                  <c:v>9.2953653105128878E-3</c:v>
                </c:pt>
                <c:pt idx="83">
                  <c:v>9.2953653105124698E-3</c:v>
                </c:pt>
                <c:pt idx="84">
                  <c:v>9.4287863255567757E-3</c:v>
                </c:pt>
                <c:pt idx="85">
                  <c:v>9.4287863255559327E-3</c:v>
                </c:pt>
                <c:pt idx="86">
                  <c:v>9.4287863255567757E-3</c:v>
                </c:pt>
                <c:pt idx="87">
                  <c:v>9.5622073406001259E-3</c:v>
                </c:pt>
                <c:pt idx="88">
                  <c:v>9.5622073406001987E-3</c:v>
                </c:pt>
                <c:pt idx="89">
                  <c:v>9.5622073406002994E-3</c:v>
                </c:pt>
                <c:pt idx="90">
                  <c:v>9.6956283556444076E-3</c:v>
                </c:pt>
                <c:pt idx="91">
                  <c:v>9.6956283556447389E-3</c:v>
                </c:pt>
                <c:pt idx="92">
                  <c:v>9.6956283556444076E-3</c:v>
                </c:pt>
                <c:pt idx="93">
                  <c:v>9.829049370688665E-3</c:v>
                </c:pt>
                <c:pt idx="94">
                  <c:v>9.8290493706885626E-3</c:v>
                </c:pt>
                <c:pt idx="95">
                  <c:v>9.8290493706882087E-3</c:v>
                </c:pt>
                <c:pt idx="96">
                  <c:v>9.9624703857318468E-3</c:v>
                </c:pt>
                <c:pt idx="97">
                  <c:v>9.9624703857327107E-3</c:v>
                </c:pt>
                <c:pt idx="98">
                  <c:v>9.9624703857331548E-3</c:v>
                </c:pt>
                <c:pt idx="99">
                  <c:v>1.0095891400775627E-2</c:v>
                </c:pt>
                <c:pt idx="100">
                  <c:v>1.0095891400775676E-2</c:v>
                </c:pt>
                <c:pt idx="101">
                  <c:v>1.0095891400775676E-2</c:v>
                </c:pt>
                <c:pt idx="102">
                  <c:v>1.0229312415819347E-2</c:v>
                </c:pt>
                <c:pt idx="103">
                  <c:v>1.0229312415819923E-2</c:v>
                </c:pt>
                <c:pt idx="104">
                  <c:v>1.0229312415819347E-2</c:v>
                </c:pt>
                <c:pt idx="105">
                  <c:v>1.036273343086316E-2</c:v>
                </c:pt>
                <c:pt idx="106">
                  <c:v>1.036273343086316E-2</c:v>
                </c:pt>
                <c:pt idx="107">
                  <c:v>1.0362733430863694E-2</c:v>
                </c:pt>
                <c:pt idx="108">
                  <c:v>1.0496154445907879E-2</c:v>
                </c:pt>
                <c:pt idx="109">
                  <c:v>1.0496154445907197E-2</c:v>
                </c:pt>
                <c:pt idx="110">
                  <c:v>1.0496154445907879E-2</c:v>
                </c:pt>
                <c:pt idx="111">
                  <c:v>1.0629575460951684E-2</c:v>
                </c:pt>
                <c:pt idx="112">
                  <c:v>1.0629575460951337E-2</c:v>
                </c:pt>
                <c:pt idx="113">
                  <c:v>1.0629575460951337E-2</c:v>
                </c:pt>
                <c:pt idx="114">
                  <c:v>1.0762996475994985E-2</c:v>
                </c:pt>
                <c:pt idx="115">
                  <c:v>1.0762996475996029E-2</c:v>
                </c:pt>
                <c:pt idx="116">
                  <c:v>1.0762996475994985E-2</c:v>
                </c:pt>
                <c:pt idx="117">
                  <c:v>1.0896417491039216E-2</c:v>
                </c:pt>
                <c:pt idx="118">
                  <c:v>1.0896417491040524E-2</c:v>
                </c:pt>
                <c:pt idx="119">
                  <c:v>1.0896417491040198E-2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30480</xdr:rowOff>
        </xdr:from>
        <xdr:to>
          <xdr:col>13</xdr:col>
          <xdr:colOff>22860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_v1.xlam" TargetMode="External"/><Relationship Id="rId1" Type="http://schemas.openxmlformats.org/officeDocument/2006/relationships/externalLinkPath" Target="file:///C:\Users\l.baduet\OneDrive%20-%20AXIS%20ALTERNATIVES\Bureau\Valo_Add_In_v1.xla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OpenCredit%20Release%202007-11-01.xlsm" TargetMode="External"/><Relationship Id="rId1" Type="http://schemas.openxmlformats.org/officeDocument/2006/relationships/externalLinkPath" Target="/personal/l_baduet_axisalternatives_com/Documents/Bureau/OpenCredit%20Release%202007-11-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>
        <row r="11">
          <cell r="C11">
            <v>43563</v>
          </cell>
        </row>
      </sheetData>
      <sheetData sheetId="2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>
        <row r="8">
          <cell r="C8">
            <v>0.3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ConvertDat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GetDefaultprob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StripDefaultProbability"/>
      <definedName name="GetStripZC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CDS"/>
      <sheetName val="Fwd Intensity"/>
      <sheetName val="CDO Bespoke"/>
      <sheetName val="FRTB"/>
    </sheetNames>
    <definedNames>
      <definedName name="GetCDS"/>
      <definedName name="GetCDSRefDate"/>
      <definedName name="GetConvertDate"/>
      <definedName name="GetGetDefaultprob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euil3"/>
      <sheetName val="Forward Intensity"/>
      <sheetName val="CDO Bespoke"/>
      <sheetName val="Sheet3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379" t="s">
        <v>21</v>
      </c>
      <c r="D5" s="380"/>
      <c r="F5" s="377" t="s">
        <v>23</v>
      </c>
      <c r="G5" s="378"/>
      <c r="I5" s="377" t="s">
        <v>22</v>
      </c>
      <c r="J5" s="378"/>
      <c r="R5" s="379" t="s">
        <v>39</v>
      </c>
      <c r="S5" s="380"/>
      <c r="U5" s="377" t="s">
        <v>40</v>
      </c>
      <c r="V5" s="378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cm="1">
        <f t="array" aca="1" ref="G7" ca="1">[3]!GetBSOptionPrice(D7,D8,D9,D10,D11,D12,D13,D14,D16)</f>
        <v>20.901150830870165</v>
      </c>
      <c r="I7" s="115" t="s">
        <v>24</v>
      </c>
      <c r="J7" s="5" cm="1">
        <f t="array" aca="1" ref="J7" ca="1">[3]!GetMCEurOptionPrice(D7,D8,D9,D10,D11,D12,D13,D14,D16)</f>
        <v>20.896255986285009</v>
      </c>
      <c r="R7" s="105" t="s">
        <v>91</v>
      </c>
      <c r="S7" s="101">
        <v>1</v>
      </c>
      <c r="U7" s="115" t="s">
        <v>24</v>
      </c>
      <c r="V7" s="5" cm="1">
        <f t="array" aca="1" ref="V7" ca="1">[3]!GetOptionPrice(S7,S8,S9,S10,S11,S12,S14)</f>
        <v>0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cm="1">
        <f t="array" aca="1" ref="G9:G12" ca="1">[3]!GetSensiOptionBS(D7,D8,D9,D10,D11,D12,D13,D14,D16)</f>
        <v>1.2736611720140605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cm="1">
        <f t="array" aca="1" ref="V9" ca="1">[3]!GetSensiOption(S7,S8,S9,S10,S11,S12,S14)</f>
        <v>0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>
        <f ca="1"/>
        <v>3.752403469169379E-2</v>
      </c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>
        <f ca="1"/>
        <v>2.1815586198119661</v>
      </c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>
        <f ca="1"/>
        <v>75.048069383387585</v>
      </c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379" t="s">
        <v>21</v>
      </c>
      <c r="C20" s="381"/>
      <c r="D20" s="381"/>
      <c r="E20" s="381"/>
      <c r="F20" s="381"/>
      <c r="G20" s="381"/>
      <c r="H20" s="381"/>
      <c r="I20" s="381"/>
      <c r="J20" s="380"/>
      <c r="L20" s="379" t="s">
        <v>23</v>
      </c>
      <c r="M20" s="380"/>
      <c r="O20" s="379" t="s">
        <v>22</v>
      </c>
      <c r="P20" s="380"/>
      <c r="R20" s="382" t="s">
        <v>39</v>
      </c>
      <c r="S20" s="383"/>
      <c r="T20" s="383"/>
      <c r="U20" s="383"/>
      <c r="V20" s="383"/>
      <c r="W20" s="383"/>
      <c r="X20" s="384"/>
      <c r="Z20" s="377" t="s">
        <v>40</v>
      </c>
      <c r="AA20" s="378"/>
    </row>
    <row r="21" spans="2:27" ht="15" thickBot="1" x14ac:dyDescent="0.35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cm="1">
        <f t="array" aca="1" ref="M22" ca="1">[3]!GetBSOptionPortfolioPrice(B22:J26)</f>
        <v>8.9160347480998183</v>
      </c>
      <c r="O22" s="115" t="s">
        <v>25</v>
      </c>
      <c r="P22" s="47" cm="1">
        <f t="array" aca="1" ref="P22" ca="1">[3]!GetMCEurOptionPortfolioPrice(B22:J26)</f>
        <v>8.9141569978272521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cm="1">
        <f t="array" aca="1" ref="AA22" ca="1">[3]!GetOptionPortfolioPrice(R22:X26)</f>
        <v>0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cm="1">
        <f t="array" aca="1" ref="M24" ca="1">[3]!GetDeltaOptionPortfolioBS(B22:J26)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>
        <f t="array" aca="1" ref="AA24" ca="1">[3]!GetDeltaOptionPortfolio(R22:X26)</f>
        <v>0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cm="1">
        <f t="array" aca="1" ref="M25" ca="1">[3]!GetGammaOptionPortfolioBS(B22:J26)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cm="1">
        <f t="array" aca="1" ref="AA25" ca="1">[3]!GetGammaOptionPortfolio(R22:X26)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cm="1">
        <f t="array" aca="1" ref="M26" ca="1">[3]!GetThetaOptionPortfolioBS(B22:J26)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cm="1">
        <f t="array" aca="1" ref="AA26" ca="1">[3]!GetThetaOptionPortfolio(R22:X26)</f>
        <v>0</v>
      </c>
    </row>
    <row r="27" spans="2:27" ht="15" thickBot="1" x14ac:dyDescent="0.35">
      <c r="L27" s="117" t="s">
        <v>26</v>
      </c>
      <c r="M27" s="15" cm="1">
        <f t="array" aca="1" ref="M27" ca="1">[3]!GetVegaOptionPortfolioBS(B22:J26)</f>
        <v>39.104269397545586</v>
      </c>
      <c r="Z27" s="117" t="s">
        <v>26</v>
      </c>
      <c r="AA27" s="15" cm="1">
        <f t="array" aca="1" ref="AA27" ca="1">[3]!GetVegaOptionPortfolio(R22:X26)</f>
        <v>0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2" workbookViewId="0">
      <selection activeCell="F19" sqref="F19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45352</v>
      </c>
      <c r="D7" s="111"/>
      <c r="E7" s="112"/>
      <c r="F7" s="388" t="s">
        <v>48</v>
      </c>
      <c r="G7" s="389"/>
      <c r="H7" s="389"/>
      <c r="I7" s="389"/>
      <c r="J7" s="389"/>
      <c r="K7" s="389"/>
      <c r="L7" s="389"/>
      <c r="M7" s="389"/>
      <c r="N7" s="389"/>
      <c r="O7" s="389"/>
      <c r="P7" s="389"/>
      <c r="Q7" s="390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385" t="s">
        <v>68</v>
      </c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7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[3]!GetStripZC(C7,B9,F9:Q9,$F$8:$Q$8,E9,MATCH(C9,Swap_Convention,0)-1,D9)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[3]!GetStripZC(C7,B10,F10:Q10,$F$8:$Q$8,E10,MATCH(C10,Swap_Convention,0)-1,D10)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[3]!GetStripZC(C7,B11,F11:Q11,$F$8:$Q$8,E11,MATCH(C11,Swap_Convention,0)-1,D11)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G19" sqref="G19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388" t="s">
        <v>72</v>
      </c>
      <c r="H2" s="389"/>
      <c r="I2" s="389"/>
      <c r="J2" s="147" t="b">
        <v>1</v>
      </c>
    </row>
    <row r="3" spans="1:50" ht="15" thickBot="1" x14ac:dyDescent="0.35">
      <c r="J3" s="100"/>
    </row>
    <row r="4" spans="1:50" ht="15" thickBot="1" x14ac:dyDescent="0.35">
      <c r="G4" s="388" t="s">
        <v>73</v>
      </c>
      <c r="H4" s="389"/>
      <c r="I4" s="390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394" t="b">
        <v>1</v>
      </c>
      <c r="D6" s="395"/>
      <c r="E6" s="85"/>
      <c r="F6" s="85"/>
      <c r="G6" s="388" t="s">
        <v>74</v>
      </c>
      <c r="H6" s="389"/>
      <c r="I6" s="390"/>
      <c r="J6" s="142" t="s">
        <v>422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396">
        <f ca="1">[4]!GetCDSRefDate(Parameter_Date,C6)</f>
        <v>45371</v>
      </c>
      <c r="D7" s="397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388" t="s">
        <v>76</v>
      </c>
      <c r="F9" s="389"/>
      <c r="G9" s="389"/>
      <c r="H9" s="389"/>
      <c r="I9" s="389"/>
      <c r="J9" s="389"/>
      <c r="K9" s="389"/>
      <c r="L9" s="389"/>
      <c r="M9" s="390"/>
      <c r="N9" s="391" t="s">
        <v>77</v>
      </c>
      <c r="O9" s="392"/>
      <c r="P9" s="392"/>
      <c r="Q9" s="392"/>
      <c r="R9" s="392"/>
      <c r="S9" s="392"/>
      <c r="T9" s="392"/>
      <c r="U9" s="392"/>
      <c r="V9" s="393"/>
      <c r="W9" s="391" t="s">
        <v>78</v>
      </c>
      <c r="X9" s="392"/>
      <c r="Y9" s="392"/>
      <c r="Z9" s="392"/>
      <c r="AA9" s="392"/>
      <c r="AB9" s="392"/>
      <c r="AC9" s="392"/>
      <c r="AD9" s="392"/>
      <c r="AE9" s="393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ca="1" si="0">IF(E10="","",E10)</f>
        <v>3M</v>
      </c>
      <c r="O10" s="174" t="str">
        <f t="shared" ca="1" si="0"/>
        <v>6M</v>
      </c>
      <c r="P10" s="174" t="str">
        <f t="shared" ca="1" si="0"/>
        <v>1Y</v>
      </c>
      <c r="Q10" s="174" t="str">
        <f t="shared" ca="1" si="0"/>
        <v>2Y</v>
      </c>
      <c r="R10" s="174" t="str">
        <f t="shared" ca="1" si="0"/>
        <v>3Y</v>
      </c>
      <c r="S10" s="174" t="str">
        <f t="shared" ca="1" si="0"/>
        <v>4Y</v>
      </c>
      <c r="T10" s="174" t="str">
        <f t="shared" ca="1" si="0"/>
        <v>5Y</v>
      </c>
      <c r="U10" s="174" t="str">
        <f t="shared" ca="1" si="0"/>
        <v>7Y</v>
      </c>
      <c r="V10" s="174" t="str">
        <f t="shared" ca="1" si="0"/>
        <v>10Y</v>
      </c>
      <c r="W10" s="196" t="str">
        <f t="shared" ref="W10:AE10" ca="1" si="1">IF(E10="","",E10)</f>
        <v>3M</v>
      </c>
      <c r="X10" s="174" t="str">
        <f t="shared" ca="1" si="1"/>
        <v>6M</v>
      </c>
      <c r="Y10" s="174" t="str">
        <f t="shared" ca="1" si="1"/>
        <v>1Y</v>
      </c>
      <c r="Z10" s="174" t="str">
        <f t="shared" ca="1" si="1"/>
        <v>2Y</v>
      </c>
      <c r="AA10" s="174" t="str">
        <f t="shared" ca="1" si="1"/>
        <v>3Y</v>
      </c>
      <c r="AB10" s="174" t="str">
        <f t="shared" ca="1" si="1"/>
        <v>4Y</v>
      </c>
      <c r="AC10" s="174" t="str">
        <f t="shared" ca="1" si="1"/>
        <v>5Y</v>
      </c>
      <c r="AD10" s="174" t="str">
        <f t="shared" ca="1" si="1"/>
        <v>7Y</v>
      </c>
      <c r="AE10" s="175" t="str">
        <f t="shared" ca="1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cm="1">
        <f t="array" aca="1" ref="E11" ca="1">IF(E10="","",[4]!GetConvertDate(CDSRollDate,E10))</f>
        <v>45463</v>
      </c>
      <c r="F11" s="154" cm="1">
        <f t="array" aca="1" ref="F11" ca="1">IF(F10="","",[3]!GetConvertDate(CDSRollDate,F10))</f>
        <v>45555</v>
      </c>
      <c r="G11" s="154" cm="1">
        <f t="array" aca="1" ref="G11" ca="1">IF(G10="","",[3]!GetConvertDate(CDSRollDate,G10))</f>
        <v>45736</v>
      </c>
      <c r="H11" s="154" cm="1">
        <f t="array" aca="1" ref="H11" ca="1">IF(H10="","",[3]!GetConvertDate(CDSRollDate,H10))</f>
        <v>46101</v>
      </c>
      <c r="I11" s="154" cm="1">
        <f t="array" aca="1" ref="I11" ca="1">IF(I10="","",[3]!GetConvertDate(CDSRollDate,I10))</f>
        <v>46466</v>
      </c>
      <c r="J11" s="154" cm="1">
        <f t="array" aca="1" ref="J11" ca="1">IF(J10="","",[3]!GetConvertDate(CDSRollDate,J10))</f>
        <v>46832</v>
      </c>
      <c r="K11" s="154" cm="1">
        <f t="array" aca="1" ref="K11" ca="1">IF(K10="","",[3]!GetConvertDate(CDSRollDate,K10))</f>
        <v>47197</v>
      </c>
      <c r="L11" s="154" cm="1">
        <f t="array" aca="1" ref="L11" ca="1">IF(L10="","",[3]!GetConvertDate(CDSRollDate,L10))</f>
        <v>47927</v>
      </c>
      <c r="M11" s="155" cm="1">
        <f t="array" aca="1" ref="M11" ca="1">IF(M10="","",[3]!GetConvertDate(CDSRollDate,M10))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IF(OR(B12="",NOT($J$2)),"",ROUND([3]!GetStripDefaultProbability(A12,B12,Parameter_Date,CDSRollDate,E12:M12,SpreadCurveMaturities,D12,C12,$J$4,$J$6),4))</f>
        <v>0</v>
      </c>
      <c r="O12" s="226">
        <f ca="1"/>
        <v>1.1999999999999999E-3</v>
      </c>
      <c r="P12" s="135">
        <f ca="1"/>
        <v>3.5000000000000001E-3</v>
      </c>
      <c r="Q12" s="135">
        <f ca="1"/>
        <v>8.9999999999999993E-3</v>
      </c>
      <c r="R12" s="135">
        <f ca="1"/>
        <v>1.6299999999999999E-2</v>
      </c>
      <c r="S12" s="135">
        <f ca="1"/>
        <v>0</v>
      </c>
      <c r="T12" s="135">
        <f ca="1"/>
        <v>3.4099999999999998E-2</v>
      </c>
      <c r="U12" s="135">
        <f ca="1"/>
        <v>5.2200000000000003E-2</v>
      </c>
      <c r="V12" s="136">
        <f ca="1"/>
        <v>8.0600000000000005E-2</v>
      </c>
      <c r="W12" s="134">
        <f ca="1"/>
        <v>0</v>
      </c>
      <c r="X12" s="135">
        <f ca="1"/>
        <v>1.2999999999999999E-3</v>
      </c>
      <c r="Y12" s="135">
        <f ca="1"/>
        <v>3.7000000000000002E-3</v>
      </c>
      <c r="Z12" s="135">
        <f ca="1"/>
        <v>9.4000000000000004E-3</v>
      </c>
      <c r="AA12" s="135">
        <f ca="1"/>
        <v>1.7100000000000001E-2</v>
      </c>
      <c r="AB12" s="135">
        <f ca="1"/>
        <v>0</v>
      </c>
      <c r="AC12" s="135">
        <f ca="1"/>
        <v>3.5799999999999998E-2</v>
      </c>
      <c r="AD12" s="135">
        <f ca="1"/>
        <v>5.4699999999999999E-2</v>
      </c>
      <c r="AE12" s="136">
        <f ca="1"/>
        <v>8.4500000000000006E-2</v>
      </c>
      <c r="AG12" s="228"/>
      <c r="AH12" s="227"/>
      <c r="AI12" s="229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>
        <f t="array" aca="1" ref="N13:AE13" ca="1">IF(OR(B13="",NOT($J$2)),"",[3]!GetStripDefaultProbability(A13,B13,Parameter_Date,CDSRollDate,E13:M13,SpreadCurveMaturities,D13,C13,$J$4,$J$6))</f>
        <v>0</v>
      </c>
      <c r="O13" s="166">
        <f ca="1"/>
        <v>7.4629011945415158E-4</v>
      </c>
      <c r="P13" s="166">
        <f ca="1"/>
        <v>1.9466883168717253E-3</v>
      </c>
      <c r="Q13" s="166">
        <f ca="1"/>
        <v>5.5441786962386885E-3</v>
      </c>
      <c r="R13" s="166">
        <f ca="1"/>
        <v>1.1940299310519431E-2</v>
      </c>
      <c r="S13" s="166">
        <f ca="1"/>
        <v>0</v>
      </c>
      <c r="T13" s="166">
        <f ca="1"/>
        <v>3.1179898827013552E-2</v>
      </c>
      <c r="U13" s="166">
        <f ca="1"/>
        <v>5.1883837249731224E-2</v>
      </c>
      <c r="V13" s="140">
        <f ca="1"/>
        <v>9.1318550765790985E-2</v>
      </c>
      <c r="W13" s="139">
        <f ca="1"/>
        <v>0</v>
      </c>
      <c r="X13" s="166">
        <f ca="1"/>
        <v>8.3953601351138829E-4</v>
      </c>
      <c r="Y13" s="166">
        <f ca="1"/>
        <v>2.1130166744011136E-3</v>
      </c>
      <c r="Z13" s="166">
        <f ca="1"/>
        <v>5.8756087286079284E-3</v>
      </c>
      <c r="AA13" s="166">
        <f ca="1"/>
        <v>1.2527639802671686E-2</v>
      </c>
      <c r="AB13" s="166">
        <f ca="1"/>
        <v>0</v>
      </c>
      <c r="AC13" s="166">
        <f ca="1"/>
        <v>3.2710599846823896E-2</v>
      </c>
      <c r="AD13" s="166">
        <f ca="1"/>
        <v>5.4414321249935171E-2</v>
      </c>
      <c r="AE13" s="140">
        <f ca="1"/>
        <v>9.5688843602175999E-2</v>
      </c>
      <c r="AG13" s="229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.199999999999999" x14ac:dyDescent="0.2">
      <c r="A14" s="97">
        <f t="shared" ref="A14:A77" ca="1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>
        <f t="array" aca="1" ref="N14:AE14" ca="1">IF(OR(B14="",NOT($J$2)),"",[3]!GetStripDefaultProbability(A14,B14,Parameter_Date,CDSRollDate,E14:M14,SpreadCurveMaturities,D14,C14,$J$4,$J$6))</f>
        <v>0</v>
      </c>
      <c r="O14" s="166">
        <f ca="1"/>
        <v>5.5976970645477131E-4</v>
      </c>
      <c r="P14" s="166">
        <f ca="1"/>
        <v>1.7727980250115127E-3</v>
      </c>
      <c r="Q14" s="166">
        <f ca="1"/>
        <v>6.2575414603243118E-3</v>
      </c>
      <c r="R14" s="166">
        <f ca="1"/>
        <v>1.4046726664682541E-2</v>
      </c>
      <c r="S14" s="166">
        <f ca="1"/>
        <v>0</v>
      </c>
      <c r="T14" s="166">
        <f ca="1"/>
        <v>3.4561884531903675E-2</v>
      </c>
      <c r="U14" s="166">
        <f ca="1"/>
        <v>6.1637845753758524E-2</v>
      </c>
      <c r="V14" s="140">
        <f ca="1"/>
        <v>0.10628783210562942</v>
      </c>
      <c r="W14" s="139">
        <f ca="1"/>
        <v>0</v>
      </c>
      <c r="X14" s="166">
        <f ca="1"/>
        <v>6.5303351059242676E-4</v>
      </c>
      <c r="Y14" s="166">
        <f ca="1"/>
        <v>1.9391553618393065E-3</v>
      </c>
      <c r="Z14" s="166">
        <f ca="1"/>
        <v>6.5887337447287919E-3</v>
      </c>
      <c r="AA14" s="166">
        <f ca="1"/>
        <v>1.4739503519558883E-2</v>
      </c>
      <c r="AB14" s="166">
        <f ca="1"/>
        <v>0</v>
      </c>
      <c r="AC14" s="166">
        <f ca="1"/>
        <v>3.6257834643471099E-2</v>
      </c>
      <c r="AD14" s="166">
        <f ca="1"/>
        <v>6.4635101136812811E-2</v>
      </c>
      <c r="AE14" s="140">
        <f ca="1"/>
        <v>0.11137393883187929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.199999999999999" x14ac:dyDescent="0.2">
      <c r="A15" s="97">
        <f t="shared" ca="1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>
        <f t="array" aca="1" ref="N15:AE15" ca="1">IF(OR(B15="",NOT($J$2)),"",[3]!GetStripDefaultProbability(A15,B15,Parameter_Date,CDSRollDate,E15:M15,SpreadCurveMaturities,D15,C15,$J$4,$J$6))</f>
        <v>0</v>
      </c>
      <c r="O15" s="166">
        <f ca="1"/>
        <v>1.1751552909645691E-3</v>
      </c>
      <c r="P15" s="166">
        <f ca="1"/>
        <v>3.1314638345909529E-3</v>
      </c>
      <c r="Q15" s="166">
        <f ca="1"/>
        <v>8.2978213951587776E-3</v>
      </c>
      <c r="R15" s="166">
        <f ca="1"/>
        <v>1.4994944024308676E-2</v>
      </c>
      <c r="S15" s="166">
        <f ca="1"/>
        <v>0</v>
      </c>
      <c r="T15" s="166">
        <f ca="1"/>
        <v>3.2522851518533846E-2</v>
      </c>
      <c r="U15" s="166">
        <f ca="1"/>
        <v>5.0734092031608502E-2</v>
      </c>
      <c r="V15" s="140">
        <f ca="1"/>
        <v>7.7409330786545549E-2</v>
      </c>
      <c r="W15" s="139">
        <f ca="1"/>
        <v>0</v>
      </c>
      <c r="X15" s="166">
        <f ca="1"/>
        <v>1.2683594227894668E-3</v>
      </c>
      <c r="Y15" s="166">
        <f ca="1"/>
        <v>3.2975947459934485E-3</v>
      </c>
      <c r="Z15" s="166">
        <f ca="1"/>
        <v>8.6944229410084173E-3</v>
      </c>
      <c r="AA15" s="166">
        <f ca="1"/>
        <v>1.5739147048038249E-2</v>
      </c>
      <c r="AB15" s="166">
        <f ca="1"/>
        <v>0</v>
      </c>
      <c r="AC15" s="166">
        <f ca="1"/>
        <v>3.4123528036976492E-2</v>
      </c>
      <c r="AD15" s="166">
        <f ca="1"/>
        <v>5.3211502279717715E-2</v>
      </c>
      <c r="AE15" s="140">
        <f ca="1"/>
        <v>8.1132256360339494E-2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.199999999999999" x14ac:dyDescent="0.2">
      <c r="A16" s="97">
        <f t="shared" ca="1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>
        <f t="array" aca="1" ref="N16:AE16" ca="1">IF(OR(B16="",NOT($J$2)),"",[3]!GetStripDefaultProbability(A16,B16,Parameter_Date,CDSRollDate,E16:M16,SpreadCurveMaturities,D16,C16,$J$4,$J$6))</f>
        <v>0</v>
      </c>
      <c r="O16" s="166">
        <f ca="1"/>
        <v>4.6649647376628689E-4</v>
      </c>
      <c r="P16" s="166">
        <f ca="1"/>
        <v>1.0607776163944482E-3</v>
      </c>
      <c r="Q16" s="166">
        <f ca="1"/>
        <v>3.8250450870591646E-3</v>
      </c>
      <c r="R16" s="166">
        <f ca="1"/>
        <v>7.7974967256855265E-3</v>
      </c>
      <c r="S16" s="166">
        <f ca="1"/>
        <v>0</v>
      </c>
      <c r="T16" s="166">
        <f ca="1"/>
        <v>2.1776480793529007E-2</v>
      </c>
      <c r="U16" s="166">
        <f ca="1"/>
        <v>3.9083994841446312E-2</v>
      </c>
      <c r="V16" s="140">
        <f ca="1"/>
        <v>6.7986953873436007E-2</v>
      </c>
      <c r="W16" s="139">
        <f ca="1"/>
        <v>0</v>
      </c>
      <c r="X16" s="166">
        <f ca="1"/>
        <v>5.5976917815403482E-4</v>
      </c>
      <c r="Y16" s="166">
        <f ca="1"/>
        <v>1.2272536134083634E-3</v>
      </c>
      <c r="Z16" s="166">
        <f ca="1"/>
        <v>4.1570480684750555E-3</v>
      </c>
      <c r="AA16" s="166">
        <f ca="1"/>
        <v>8.2934739726792106E-3</v>
      </c>
      <c r="AB16" s="166">
        <f ca="1"/>
        <v>0</v>
      </c>
      <c r="AC16" s="166">
        <f ca="1"/>
        <v>2.2833442873337995E-2</v>
      </c>
      <c r="AD16" s="166">
        <f ca="1"/>
        <v>4.0985458552746823E-2</v>
      </c>
      <c r="AE16" s="140">
        <f ca="1"/>
        <v>7.1262805993483003E-2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.199999999999999" x14ac:dyDescent="0.2">
      <c r="A17" s="97">
        <f t="shared" ca="1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>
        <f t="array" aca="1" ref="N17:AE17" ca="1">IF(OR(B17="",NOT($J$2)),"",[3]!GetStripDefaultProbability(A17,B17,Parameter_Date,CDSRollDate,E17:M17,SpreadCurveMaturities,D17,C17,$J$4,$J$6))</f>
        <v>0</v>
      </c>
      <c r="O17" s="166">
        <f ca="1"/>
        <v>1.1471914209082446E-3</v>
      </c>
      <c r="P17" s="166">
        <f ca="1"/>
        <v>2.8110686234553706E-3</v>
      </c>
      <c r="Q17" s="166">
        <f ca="1"/>
        <v>7.6438594270241689E-3</v>
      </c>
      <c r="R17" s="166">
        <f ca="1"/>
        <v>1.2966733458035895E-2</v>
      </c>
      <c r="S17" s="166">
        <f ca="1"/>
        <v>0</v>
      </c>
      <c r="T17" s="166">
        <f ca="1"/>
        <v>2.7373272155085893E-2</v>
      </c>
      <c r="U17" s="166">
        <f ca="1"/>
        <v>4.3347543379225417E-2</v>
      </c>
      <c r="V17" s="140">
        <f ca="1"/>
        <v>6.9735466923025902E-2</v>
      </c>
      <c r="W17" s="139">
        <f ca="1"/>
        <v>0</v>
      </c>
      <c r="X17" s="166">
        <f ca="1"/>
        <v>1.2403983010320641E-3</v>
      </c>
      <c r="Y17" s="166">
        <f ca="1"/>
        <v>2.9772529296122618E-3</v>
      </c>
      <c r="Z17" s="166">
        <f ca="1"/>
        <v>8.0093099642051246E-3</v>
      </c>
      <c r="AA17" s="166">
        <f ca="1"/>
        <v>1.3609967819970148E-2</v>
      </c>
      <c r="AB17" s="166">
        <f ca="1"/>
        <v>0</v>
      </c>
      <c r="AC17" s="166">
        <f ca="1"/>
        <v>2.8722748402544851E-2</v>
      </c>
      <c r="AD17" s="166">
        <f ca="1"/>
        <v>4.5470657846186091E-2</v>
      </c>
      <c r="AE17" s="140">
        <f ca="1"/>
        <v>7.3104216047101933E-2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.199999999999999" x14ac:dyDescent="0.2">
      <c r="A18" s="97">
        <f t="shared" ca="1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>
        <f t="array" aca="1" ref="N18:AE18" ca="1">IF(OR(B18="",NOT($J$2)),"",[3]!GetStripDefaultProbability(A18,B18,Parameter_Date,CDSRollDate,E18:M18,SpreadCurveMaturities,D18,C18,$J$4,$J$6))</f>
        <v>0</v>
      </c>
      <c r="O18" s="166">
        <f ca="1"/>
        <v>4.6649647376628689E-4</v>
      </c>
      <c r="P18" s="166">
        <f ca="1"/>
        <v>2.4892140101887561E-3</v>
      </c>
      <c r="Q18" s="166">
        <f ca="1"/>
        <v>8.3400155545912957E-3</v>
      </c>
      <c r="R18" s="166">
        <f ca="1"/>
        <v>1.8171238653451272E-2</v>
      </c>
      <c r="S18" s="166">
        <f ca="1"/>
        <v>0</v>
      </c>
      <c r="T18" s="166">
        <f ca="1"/>
        <v>4.9184701510408657E-2</v>
      </c>
      <c r="U18" s="166">
        <f ca="1"/>
        <v>8.3801247186317096E-2</v>
      </c>
      <c r="V18" s="140">
        <f ca="1"/>
        <v>0.14343632908051007</v>
      </c>
      <c r="W18" s="139">
        <f ca="1"/>
        <v>0</v>
      </c>
      <c r="X18" s="166">
        <f ca="1"/>
        <v>5.5976917815403482E-4</v>
      </c>
      <c r="Y18" s="166">
        <f ca="1"/>
        <v>2.6554519543122712E-3</v>
      </c>
      <c r="Z18" s="166">
        <f ca="1"/>
        <v>8.7366002261297648E-3</v>
      </c>
      <c r="AA18" s="166">
        <f ca="1"/>
        <v>1.9070609186402465E-2</v>
      </c>
      <c r="AB18" s="166">
        <f ca="1"/>
        <v>0</v>
      </c>
      <c r="AC18" s="166">
        <f ca="1"/>
        <v>5.1588169561016195E-2</v>
      </c>
      <c r="AD18" s="166">
        <f ca="1"/>
        <v>8.7841923263367816E-2</v>
      </c>
      <c r="AE18" s="140">
        <f ca="1"/>
        <v>0.15019441873328643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.199999999999999" x14ac:dyDescent="0.2">
      <c r="A19" s="97">
        <f t="shared" ca="1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>
        <f t="array" aca="1" ref="N19:AE19" ca="1">IF(OR(B19="",NOT($J$2)),"",[3]!GetStripDefaultProbability(A19,B19,Parameter_Date,CDSRollDate,E19:M19,SpreadCurveMaturities,D19,C19,$J$4,$J$6))</f>
        <v>0</v>
      </c>
      <c r="O19" s="166">
        <f ca="1"/>
        <v>1.2124392363684899E-3</v>
      </c>
      <c r="P19" s="166">
        <f ca="1"/>
        <v>2.470424881882316E-3</v>
      </c>
      <c r="Q19" s="166">
        <f ca="1"/>
        <v>9.0217889452296474E-3</v>
      </c>
      <c r="R19" s="166">
        <f ca="1"/>
        <v>1.7054881896530705E-2</v>
      </c>
      <c r="S19" s="166">
        <f ca="1"/>
        <v>0</v>
      </c>
      <c r="T19" s="166">
        <f ca="1"/>
        <v>4.4786188535010152E-2</v>
      </c>
      <c r="U19" s="166">
        <f ca="1"/>
        <v>7.9237571382676286E-2</v>
      </c>
      <c r="V19" s="140">
        <f ca="1"/>
        <v>0.13362784571321717</v>
      </c>
      <c r="W19" s="139">
        <f ca="1"/>
        <v>0</v>
      </c>
      <c r="X19" s="166">
        <f ca="1"/>
        <v>1.3056396982709106E-3</v>
      </c>
      <c r="Y19" s="166">
        <f ca="1"/>
        <v>2.6366659572676365E-3</v>
      </c>
      <c r="Z19" s="166">
        <f ca="1"/>
        <v>9.4511198082648518E-3</v>
      </c>
      <c r="AA19" s="166">
        <f ca="1"/>
        <v>1.7899899538144859E-2</v>
      </c>
      <c r="AB19" s="166">
        <f ca="1"/>
        <v>0</v>
      </c>
      <c r="AC19" s="166">
        <f ca="1"/>
        <v>4.697901778172231E-2</v>
      </c>
      <c r="AD19" s="166">
        <f ca="1"/>
        <v>8.3066823179009153E-2</v>
      </c>
      <c r="AE19" s="140">
        <f ca="1"/>
        <v>0.13994938847885663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.199999999999999" x14ac:dyDescent="0.2">
      <c r="A20" s="97">
        <f t="shared" ca="1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>
        <f t="array" aca="1" ref="N20:AE20" ca="1">IF(OR(B20="",NOT($J$2)),"",[3]!GetStripDefaultProbability(A20,B20,Parameter_Date,CDSRollDate,E20:M20,SpreadCurveMaturities,D20,C20,$J$4,$J$6))</f>
        <v>0</v>
      </c>
      <c r="O20" s="166">
        <f ca="1"/>
        <v>2.799239499720052E-4</v>
      </c>
      <c r="P20" s="166">
        <f ca="1"/>
        <v>1.0653449239070856E-3</v>
      </c>
      <c r="Q20" s="166">
        <f ca="1"/>
        <v>3.8296892655734771E-3</v>
      </c>
      <c r="R20" s="166">
        <f ca="1"/>
        <v>8.3357334086928692E-3</v>
      </c>
      <c r="S20" s="166">
        <f ca="1"/>
        <v>0</v>
      </c>
      <c r="T20" s="166">
        <f ca="1"/>
        <v>1.9947547966204793E-2</v>
      </c>
      <c r="U20" s="166">
        <f ca="1"/>
        <v>3.4017813043528133E-2</v>
      </c>
      <c r="V20" s="140">
        <f ca="1"/>
        <v>6.4994589950416848E-2</v>
      </c>
      <c r="W20" s="139">
        <f ca="1"/>
        <v>0</v>
      </c>
      <c r="X20" s="166">
        <f ca="1"/>
        <v>3.7321434723358582E-4</v>
      </c>
      <c r="Y20" s="166">
        <f ca="1"/>
        <v>1.2318201597600886E-3</v>
      </c>
      <c r="Z20" s="166">
        <f ca="1"/>
        <v>4.1616906991819302E-3</v>
      </c>
      <c r="AA20" s="166">
        <f ca="1"/>
        <v>8.8314416045934818E-3</v>
      </c>
      <c r="AB20" s="166">
        <f ca="1"/>
        <v>0</v>
      </c>
      <c r="AC20" s="166">
        <f ca="1"/>
        <v>2.091635773637146E-2</v>
      </c>
      <c r="AD20" s="166">
        <f ca="1"/>
        <v>3.5674404331119458E-2</v>
      </c>
      <c r="AE20" s="140">
        <f ca="1"/>
        <v>6.8131485394979374E-2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.199999999999999" x14ac:dyDescent="0.2">
      <c r="A21" s="97">
        <f t="shared" ca="1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>
        <f t="array" aca="1" ref="N21:AE21" ca="1">IF(OR(B21="",NOT($J$2)),"",[3]!GetStripDefaultProbability(A21,B21,Parameter_Date,CDSRollDate,E21:M21,SpreadCurveMaturities,D21,C21,$J$4,$J$6))</f>
        <v>0</v>
      </c>
      <c r="O21" s="166">
        <f ca="1"/>
        <v>1.1099050460458004E-3</v>
      </c>
      <c r="P21" s="166">
        <f ca="1"/>
        <v>2.5265385813129093E-3</v>
      </c>
      <c r="Q21" s="166">
        <f ca="1"/>
        <v>6.6025121900717965E-3</v>
      </c>
      <c r="R21" s="166">
        <f ca="1"/>
        <v>1.1964435602471735E-2</v>
      </c>
      <c r="S21" s="166">
        <f ca="1"/>
        <v>0</v>
      </c>
      <c r="T21" s="166">
        <f ca="1"/>
        <v>2.6621505378629062E-2</v>
      </c>
      <c r="U21" s="166">
        <f ca="1"/>
        <v>4.202581836535213E-2</v>
      </c>
      <c r="V21" s="140">
        <f ca="1"/>
        <v>6.6341726751037666E-2</v>
      </c>
      <c r="W21" s="139">
        <f ca="1"/>
        <v>0</v>
      </c>
      <c r="X21" s="166">
        <f ca="1"/>
        <v>1.2031155852008091E-3</v>
      </c>
      <c r="Y21" s="166">
        <f ca="1"/>
        <v>2.6927703051808916E-3</v>
      </c>
      <c r="Z21" s="166">
        <f ca="1"/>
        <v>6.9335895033875161E-3</v>
      </c>
      <c r="AA21" s="166">
        <f ca="1"/>
        <v>1.2556798223608778E-2</v>
      </c>
      <c r="AB21" s="166">
        <f ca="1"/>
        <v>0</v>
      </c>
      <c r="AC21" s="166">
        <f ca="1"/>
        <v>2.7933337438693528E-2</v>
      </c>
      <c r="AD21" s="166">
        <f ca="1"/>
        <v>4.408462955311454E-2</v>
      </c>
      <c r="AE21" s="140">
        <f ca="1"/>
        <v>6.9550555683127069E-2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.199999999999999" x14ac:dyDescent="0.2">
      <c r="A22" s="97">
        <f t="shared" ca="1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>
        <f t="array" aca="1" ref="N22:AE22" ca="1">IF(OR(B22="",NOT($J$2)),"",[3]!GetStripDefaultProbability(A22,B22,Parameter_Date,CDSRollDate,E22:M22,SpreadCurveMaturities,D22,C22,$J$4,$J$6))</f>
        <v>0</v>
      </c>
      <c r="O22" s="166">
        <f ca="1"/>
        <v>1.1658340877146456E-3</v>
      </c>
      <c r="P22" s="166">
        <f ca="1"/>
        <v>2.881956877579861E-3</v>
      </c>
      <c r="Q22" s="166">
        <f ca="1"/>
        <v>7.8161697713864386E-3</v>
      </c>
      <c r="R22" s="166">
        <f ca="1"/>
        <v>1.3593227169914734E-2</v>
      </c>
      <c r="S22" s="166">
        <f ca="1"/>
        <v>0</v>
      </c>
      <c r="T22" s="166">
        <f ca="1"/>
        <v>2.9099166105397867E-2</v>
      </c>
      <c r="U22" s="166">
        <f ca="1"/>
        <v>4.5951640761258572E-2</v>
      </c>
      <c r="V22" s="140">
        <f ca="1"/>
        <v>7.2929362534303044E-2</v>
      </c>
      <c r="W22" s="139">
        <f ca="1"/>
        <v>0</v>
      </c>
      <c r="X22" s="166">
        <f ca="1"/>
        <v>1.259039136012996E-3</v>
      </c>
      <c r="Y22" s="166">
        <f ca="1"/>
        <v>3.0481293700130863E-3</v>
      </c>
      <c r="Z22" s="166">
        <f ca="1"/>
        <v>8.1898219718521403E-3</v>
      </c>
      <c r="AA22" s="166">
        <f ca="1"/>
        <v>1.4267631471160946E-2</v>
      </c>
      <c r="AB22" s="166">
        <f ca="1"/>
        <v>0</v>
      </c>
      <c r="AC22" s="166">
        <f ca="1"/>
        <v>3.0532932034481264E-2</v>
      </c>
      <c r="AD22" s="166">
        <f ca="1"/>
        <v>4.8199984101791604E-2</v>
      </c>
      <c r="AE22" s="140">
        <f ca="1"/>
        <v>7.6446496408236753E-2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.199999999999999" x14ac:dyDescent="0.2">
      <c r="A23" s="97">
        <f t="shared" ca="1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>
        <f t="array" aca="1" ref="N23:AE23" ca="1">IF(OR(B23="",NOT($J$2)),"",[3]!GetStripDefaultProbability(A23,B23,Parameter_Date,CDSRollDate,E23:M23,SpreadCurveMaturities,D23,C23,$J$4,$J$6))</f>
        <v>0</v>
      </c>
      <c r="O23" s="166">
        <f ca="1"/>
        <v>9.7939180000472525E-4</v>
      </c>
      <c r="P23" s="166">
        <f ca="1"/>
        <v>3.6359075913581229E-3</v>
      </c>
      <c r="Q23" s="166">
        <f ca="1"/>
        <v>1.0772119152396953E-2</v>
      </c>
      <c r="R23" s="166">
        <f ca="1"/>
        <v>1.8998174036140569E-2</v>
      </c>
      <c r="S23" s="166">
        <f ca="1"/>
        <v>0</v>
      </c>
      <c r="T23" s="166">
        <f ca="1"/>
        <v>3.8288707034547231E-2</v>
      </c>
      <c r="U23" s="166">
        <f ca="1"/>
        <v>5.9782746309653301E-2</v>
      </c>
      <c r="V23" s="140">
        <f ca="1"/>
        <v>9.2905973654239693E-2</v>
      </c>
      <c r="W23" s="139">
        <f ca="1"/>
        <v>0</v>
      </c>
      <c r="X23" s="166">
        <f ca="1"/>
        <v>1.0726150971397397E-3</v>
      </c>
      <c r="Y23" s="166">
        <f ca="1"/>
        <v>3.8061052523383765E-3</v>
      </c>
      <c r="Z23" s="166">
        <f ca="1"/>
        <v>1.1307342994992586E-2</v>
      </c>
      <c r="AA23" s="166">
        <f ca="1"/>
        <v>1.9939347553398767E-2</v>
      </c>
      <c r="AB23" s="166">
        <f ca="1"/>
        <v>0</v>
      </c>
      <c r="AC23" s="166">
        <f ca="1"/>
        <v>4.0167018115234487E-2</v>
      </c>
      <c r="AD23" s="166">
        <f ca="1"/>
        <v>6.2687926276701167E-2</v>
      </c>
      <c r="AE23" s="140">
        <f ca="1"/>
        <v>9.7337580306126936E-2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.199999999999999" x14ac:dyDescent="0.2">
      <c r="A24" s="97">
        <f t="shared" ca="1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>
        <f t="array" aca="1" ref="N24:AE24" ca="1">IF(OR(B24="",NOT($J$2)),"",[3]!GetStripDefaultProbability(A24,B24,Parameter_Date,CDSRollDate,E24:M24,SpreadCurveMaturities,D24,C24,$J$4,$J$6))</f>
        <v>0</v>
      </c>
      <c r="O24" s="166">
        <f ca="1"/>
        <v>1.4361137599120388E-3</v>
      </c>
      <c r="P24" s="166">
        <f ca="1"/>
        <v>4.1768415555392124E-3</v>
      </c>
      <c r="Q24" s="166">
        <f ca="1"/>
        <v>1.0634581505657437E-2</v>
      </c>
      <c r="R24" s="166">
        <f ca="1"/>
        <v>1.7327057390256195E-2</v>
      </c>
      <c r="S24" s="166">
        <f ca="1"/>
        <v>0</v>
      </c>
      <c r="T24" s="166">
        <f ca="1"/>
        <v>3.3947633938923305E-2</v>
      </c>
      <c r="U24" s="166">
        <f ca="1"/>
        <v>5.1996103221218504E-2</v>
      </c>
      <c r="V24" s="140">
        <f ca="1"/>
        <v>8.4239624408470326E-2</v>
      </c>
      <c r="W24" s="139">
        <f ca="1"/>
        <v>0</v>
      </c>
      <c r="X24" s="166">
        <f ca="1"/>
        <v>1.5292920702321133E-3</v>
      </c>
      <c r="Y24" s="166">
        <f ca="1"/>
        <v>4.3726675198481058E-3</v>
      </c>
      <c r="Z24" s="166">
        <f ca="1"/>
        <v>1.1163517062876216E-2</v>
      </c>
      <c r="AA24" s="166">
        <f ca="1"/>
        <v>1.8186214854268745E-2</v>
      </c>
      <c r="AB24" s="166">
        <f ca="1"/>
        <v>0</v>
      </c>
      <c r="AC24" s="166">
        <f ca="1"/>
        <v>3.561628636413372E-2</v>
      </c>
      <c r="AD24" s="166">
        <f ca="1"/>
        <v>5.4531204928288335E-2</v>
      </c>
      <c r="AE24" s="140">
        <f ca="1"/>
        <v>8.8276982821882122E-2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.199999999999999" x14ac:dyDescent="0.2">
      <c r="A25" s="97">
        <f t="shared" ca="1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>
        <f t="array" aca="1" ref="N25:AE25" ca="1">IF(OR(B25="",NOT($J$2)),"",[3]!GetStripDefaultProbability(A25,B25,Parameter_Date,CDSRollDate,E25:M25,SpreadCurveMaturities,D25,C25,$J$4,$J$6))</f>
        <v>0</v>
      </c>
      <c r="O25" s="166">
        <f ca="1"/>
        <v>4.6649647376628689E-4</v>
      </c>
      <c r="P25" s="166">
        <f ca="1"/>
        <v>1.0607776163944482E-3</v>
      </c>
      <c r="Q25" s="166">
        <f ca="1"/>
        <v>2.7698526332642359E-3</v>
      </c>
      <c r="R25" s="166">
        <f ca="1"/>
        <v>6.2447048496466762E-3</v>
      </c>
      <c r="S25" s="166">
        <f ca="1"/>
        <v>0</v>
      </c>
      <c r="T25" s="166">
        <f ca="1"/>
        <v>1.6550671667185379E-2</v>
      </c>
      <c r="U25" s="166">
        <f ca="1"/>
        <v>2.9353571179531412E-2</v>
      </c>
      <c r="V25" s="140">
        <f ca="1"/>
        <v>5.4649915188511367E-2</v>
      </c>
      <c r="W25" s="139">
        <f ca="1"/>
        <v>0</v>
      </c>
      <c r="X25" s="166">
        <f ca="1"/>
        <v>5.5976917815403482E-4</v>
      </c>
      <c r="Y25" s="166">
        <f ca="1"/>
        <v>1.2272536134083634E-3</v>
      </c>
      <c r="Z25" s="166">
        <f ca="1"/>
        <v>3.102207286869274E-3</v>
      </c>
      <c r="AA25" s="166">
        <f ca="1"/>
        <v>6.7414582985243499E-3</v>
      </c>
      <c r="AB25" s="166">
        <f ca="1"/>
        <v>0</v>
      </c>
      <c r="AC25" s="166">
        <f ca="1"/>
        <v>1.7369871393503877E-2</v>
      </c>
      <c r="AD25" s="166">
        <f ca="1"/>
        <v>3.077125352465826E-2</v>
      </c>
      <c r="AE25" s="140">
        <f ca="1"/>
        <v>5.7285075046636935E-2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.199999999999999" x14ac:dyDescent="0.2">
      <c r="A26" s="97">
        <f t="shared" ca="1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>
        <f t="array" aca="1" ref="N26:AE26" ca="1">IF(OR(B26="",NOT($J$2)),"",[3]!GetStripDefaultProbability(A26,B26,Parameter_Date,CDSRollDate,E26:M26,SpreadCurveMaturities,D26,C26,$J$4,$J$6))</f>
        <v>0</v>
      </c>
      <c r="O26" s="166">
        <f ca="1"/>
        <v>2.799239499720052E-4</v>
      </c>
      <c r="P26" s="166">
        <f ca="1"/>
        <v>1.6011691455609656E-3</v>
      </c>
      <c r="Q26" s="166">
        <f ca="1"/>
        <v>5.2171601468354867E-3</v>
      </c>
      <c r="R26" s="166">
        <f ca="1"/>
        <v>1.0383757488240386E-2</v>
      </c>
      <c r="S26" s="166">
        <f ca="1"/>
        <v>0</v>
      </c>
      <c r="T26" s="166">
        <f ca="1"/>
        <v>2.8662793561220035E-2</v>
      </c>
      <c r="U26" s="166">
        <f ca="1"/>
        <v>4.9744802138449562E-2</v>
      </c>
      <c r="V26" s="140">
        <f ca="1"/>
        <v>9.0213635945252335E-2</v>
      </c>
      <c r="W26" s="139">
        <f ca="1"/>
        <v>0</v>
      </c>
      <c r="X26" s="166">
        <f ca="1"/>
        <v>3.7321434723358582E-4</v>
      </c>
      <c r="Y26" s="166">
        <f ca="1"/>
        <v>1.7675550848285093E-3</v>
      </c>
      <c r="Z26" s="166">
        <f ca="1"/>
        <v>5.5486991672083485E-3</v>
      </c>
      <c r="AA26" s="166">
        <f ca="1"/>
        <v>1.0878441928091398E-2</v>
      </c>
      <c r="AB26" s="166">
        <f ca="1"/>
        <v>0</v>
      </c>
      <c r="AC26" s="166">
        <f ca="1"/>
        <v>3.0070064175570677E-2</v>
      </c>
      <c r="AD26" s="166">
        <f ca="1"/>
        <v>5.2173146616127375E-2</v>
      </c>
      <c r="AE26" s="140">
        <f ca="1"/>
        <v>9.456127707804296E-2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.199999999999999" x14ac:dyDescent="0.2">
      <c r="A27" s="97">
        <f t="shared" ca="1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>
        <f t="array" aca="1" ref="N27:AE27" ca="1">IF(OR(B27="",NOT($J$2)),"",[3]!GetStripDefaultProbability(A27,B27,Parameter_Date,CDSRollDate,E27:M27,SpreadCurveMaturities,D27,C27,$J$4,$J$6))</f>
        <v>0</v>
      </c>
      <c r="O27" s="166">
        <f ca="1"/>
        <v>5.5976970645477131E-4</v>
      </c>
      <c r="P27" s="166">
        <f ca="1"/>
        <v>1.0584942265940978E-3</v>
      </c>
      <c r="Q27" s="166">
        <f ca="1"/>
        <v>3.8227232114276255E-3</v>
      </c>
      <c r="R27" s="166">
        <f ca="1"/>
        <v>7.7951464416347038E-3</v>
      </c>
      <c r="S27" s="166">
        <f ca="1"/>
        <v>0</v>
      </c>
      <c r="T27" s="166">
        <f ca="1"/>
        <v>2.1774063476039718E-2</v>
      </c>
      <c r="U27" s="166">
        <f ca="1"/>
        <v>4.0384278239218863E-2</v>
      </c>
      <c r="V27" s="140">
        <f ca="1"/>
        <v>7.5508121516330018E-2</v>
      </c>
      <c r="W27" s="139">
        <f ca="1"/>
        <v>0</v>
      </c>
      <c r="X27" s="166">
        <f ca="1"/>
        <v>6.5303351059242676E-4</v>
      </c>
      <c r="Y27" s="166">
        <f ca="1"/>
        <v>1.2249706041407293E-3</v>
      </c>
      <c r="Z27" s="166">
        <f ca="1"/>
        <v>4.1547269666522002E-3</v>
      </c>
      <c r="AA27" s="166">
        <f ca="1"/>
        <v>8.291124863478827E-3</v>
      </c>
      <c r="AB27" s="166">
        <f ca="1"/>
        <v>0</v>
      </c>
      <c r="AC27" s="166">
        <f ca="1"/>
        <v>2.283101593685255E-2</v>
      </c>
      <c r="AD27" s="166">
        <f ca="1"/>
        <v>4.2349068844803273E-2</v>
      </c>
      <c r="AE27" s="140">
        <f ca="1"/>
        <v>7.9138726403094384E-2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.199999999999999" x14ac:dyDescent="0.2">
      <c r="A28" s="97">
        <f t="shared" ca="1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>
        <f t="array" aca="1" ref="N28:AE28" ca="1">IF(OR(B28="",NOT($J$2)),"",[3]!GetStripDefaultProbability(A28,B28,Parameter_Date,CDSRollDate,E28:M28,SpreadCurveMaturities,D28,C28,$J$4,$J$6))</f>
        <v>0</v>
      </c>
      <c r="O28" s="166">
        <f ca="1"/>
        <v>1.0539728805090132E-3</v>
      </c>
      <c r="P28" s="166">
        <f ca="1"/>
        <v>3.2415864776104142E-3</v>
      </c>
      <c r="Q28" s="166">
        <f ca="1"/>
        <v>9.103246821393074E-3</v>
      </c>
      <c r="R28" s="166">
        <f ca="1"/>
        <v>1.4901894054654918E-2</v>
      </c>
      <c r="S28" s="166">
        <f ca="1"/>
        <v>0</v>
      </c>
      <c r="T28" s="166">
        <f ca="1"/>
        <v>2.8030205221128313E-2</v>
      </c>
      <c r="U28" s="166">
        <f ca="1"/>
        <v>4.3277775077527836E-2</v>
      </c>
      <c r="V28" s="140">
        <f ca="1"/>
        <v>6.9371836092243733E-2</v>
      </c>
      <c r="W28" s="139">
        <f ca="1"/>
        <v>0</v>
      </c>
      <c r="X28" s="166">
        <f ca="1"/>
        <v>1.1471888965925991E-3</v>
      </c>
      <c r="Y28" s="166">
        <f ca="1"/>
        <v>3.4076990367695181E-3</v>
      </c>
      <c r="Z28" s="166">
        <f ca="1"/>
        <v>9.5374947185958847E-3</v>
      </c>
      <c r="AA28" s="166">
        <f ca="1"/>
        <v>1.5641472712377036E-2</v>
      </c>
      <c r="AB28" s="166">
        <f ca="1"/>
        <v>0</v>
      </c>
      <c r="AC28" s="166">
        <f ca="1"/>
        <v>2.9411724727028798E-2</v>
      </c>
      <c r="AD28" s="166">
        <f ca="1"/>
        <v>4.5396466929959689E-2</v>
      </c>
      <c r="AE28" s="140">
        <f ca="1"/>
        <v>7.2721722623550367E-2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.199999999999999" x14ac:dyDescent="0.2">
      <c r="A29" s="97">
        <f t="shared" ca="1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>
        <f t="array" aca="1" ref="N29:AE29" ca="1">IF(OR(B29="",NOT($J$2)),"",[3]!GetStripDefaultProbability(A29,B29,Parameter_Date,CDSRollDate,E29:M29,SpreadCurveMaturities,D29,C29,$J$4,$J$6))</f>
        <v>0</v>
      </c>
      <c r="O29" s="166">
        <f ca="1"/>
        <v>6.5303425461338271E-4</v>
      </c>
      <c r="P29" s="166">
        <f ca="1"/>
        <v>1.4133760813656027E-3</v>
      </c>
      <c r="Q29" s="166">
        <f ca="1"/>
        <v>4.8625999884075455E-3</v>
      </c>
      <c r="R29" s="166">
        <f ca="1"/>
        <v>9.8641568436876881E-3</v>
      </c>
      <c r="S29" s="166">
        <f ca="1"/>
        <v>0</v>
      </c>
      <c r="T29" s="166">
        <f ca="1"/>
        <v>2.6927478233774949E-2</v>
      </c>
      <c r="U29" s="166">
        <f ca="1"/>
        <v>4.7395375915072702E-2</v>
      </c>
      <c r="V29" s="140">
        <f ca="1"/>
        <v>9.273581453235491E-2</v>
      </c>
      <c r="W29" s="139">
        <f ca="1"/>
        <v>0</v>
      </c>
      <c r="X29" s="166">
        <f ca="1"/>
        <v>7.4628912209839804E-4</v>
      </c>
      <c r="Y29" s="166">
        <f ca="1"/>
        <v>1.5797933168700817E-3</v>
      </c>
      <c r="Z29" s="166">
        <f ca="1"/>
        <v>5.1942571757978007E-3</v>
      </c>
      <c r="AA29" s="166">
        <f ca="1"/>
        <v>1.0359101018902583E-2</v>
      </c>
      <c r="AB29" s="166">
        <f ca="1"/>
        <v>0</v>
      </c>
      <c r="AC29" s="166">
        <f ca="1"/>
        <v>2.8247422690020563E-2</v>
      </c>
      <c r="AD29" s="166">
        <f ca="1"/>
        <v>4.9708416711300107E-2</v>
      </c>
      <c r="AE29" s="140">
        <f ca="1"/>
        <v>9.7206018547218553E-2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.199999999999999" x14ac:dyDescent="0.2">
      <c r="A30" s="97">
        <f t="shared" ca="1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>
        <f t="array" aca="1" ref="N30:AE30" ca="1">IF(OR(B30="",NOT($J$2)),"",[3]!GetStripDefaultProbability(A30,B30,Parameter_Date,CDSRollDate,E30:M30,SpreadCurveMaturities,D30,C30,$J$4,$J$6))</f>
        <v>0</v>
      </c>
      <c r="O30" s="166">
        <f ca="1"/>
        <v>4.6649647376628689E-4</v>
      </c>
      <c r="P30" s="166">
        <f ca="1"/>
        <v>1.4179756342108663E-3</v>
      </c>
      <c r="Q30" s="166">
        <f ca="1"/>
        <v>4.1643281717038683E-3</v>
      </c>
      <c r="R30" s="166">
        <f ca="1"/>
        <v>8.3022077948685657E-3</v>
      </c>
      <c r="S30" s="166">
        <f ca="1"/>
        <v>0</v>
      </c>
      <c r="T30" s="166">
        <f ca="1"/>
        <v>2.2605056720911954E-2</v>
      </c>
      <c r="U30" s="166">
        <f ca="1"/>
        <v>3.8922075472979323E-2</v>
      </c>
      <c r="V30" s="140">
        <f ca="1"/>
        <v>6.2036755697362111E-2</v>
      </c>
      <c r="W30" s="139">
        <f ca="1"/>
        <v>0</v>
      </c>
      <c r="X30" s="166">
        <f ca="1"/>
        <v>5.5976917815403482E-4</v>
      </c>
      <c r="Y30" s="166">
        <f ca="1"/>
        <v>1.5843921031823971E-3</v>
      </c>
      <c r="Z30" s="166">
        <f ca="1"/>
        <v>4.4962180775836025E-3</v>
      </c>
      <c r="AA30" s="166">
        <f ca="1"/>
        <v>8.7979327494193127E-3</v>
      </c>
      <c r="AB30" s="166">
        <f ca="1"/>
        <v>0</v>
      </c>
      <c r="AC30" s="166">
        <f ca="1"/>
        <v>2.3705890165743093E-2</v>
      </c>
      <c r="AD30" s="166">
        <f ca="1"/>
        <v>4.0818479933554919E-2</v>
      </c>
      <c r="AE30" s="140">
        <f ca="1"/>
        <v>6.5032571313006882E-2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.199999999999999" x14ac:dyDescent="0.2">
      <c r="A31" s="97">
        <f t="shared" ca="1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>
        <f t="array" aca="1" ref="N31:AE31" ca="1">IF(OR(B31="",NOT($J$2)),"",[3]!GetStripDefaultProbability(A31,B31,Parameter_Date,CDSRollDate,E31:M31,SpreadCurveMaturities,D31,C31,$J$4,$J$6))</f>
        <v>0</v>
      </c>
      <c r="O31" s="166">
        <f ca="1"/>
        <v>5.9707656780039198E-4</v>
      </c>
      <c r="P31" s="166">
        <f ca="1"/>
        <v>2.0932249635223776E-3</v>
      </c>
      <c r="Q31" s="166">
        <f ca="1"/>
        <v>5.7536694731300519E-3</v>
      </c>
      <c r="R31" s="166">
        <f ca="1"/>
        <v>1.0917321098280697E-2</v>
      </c>
      <c r="S31" s="166">
        <f ca="1"/>
        <v>0</v>
      </c>
      <c r="T31" s="166">
        <f ca="1"/>
        <v>2.5882396203165681E-2</v>
      </c>
      <c r="U31" s="166">
        <f ca="1"/>
        <v>4.3443508959220667E-2</v>
      </c>
      <c r="V31" s="140">
        <f ca="1"/>
        <v>6.4503761885898681E-2</v>
      </c>
      <c r="W31" s="139">
        <f ca="1"/>
        <v>0</v>
      </c>
      <c r="X31" s="166">
        <f ca="1"/>
        <v>6.9033680165653255E-4</v>
      </c>
      <c r="Y31" s="166">
        <f ca="1"/>
        <v>2.2595289003242147E-3</v>
      </c>
      <c r="Z31" s="166">
        <f ca="1"/>
        <v>6.0850296868666387E-3</v>
      </c>
      <c r="AA31" s="166">
        <f ca="1"/>
        <v>1.1438924626365199E-2</v>
      </c>
      <c r="AB31" s="166">
        <f ca="1"/>
        <v>0</v>
      </c>
      <c r="AC31" s="166">
        <f ca="1"/>
        <v>2.7156182966993847E-2</v>
      </c>
      <c r="AD31" s="166">
        <f ca="1"/>
        <v>4.5569936835840985E-2</v>
      </c>
      <c r="AE31" s="140">
        <f ca="1"/>
        <v>6.7624509030728364E-2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.199999999999999" x14ac:dyDescent="0.2">
      <c r="A32" s="97">
        <f t="shared" ca="1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>
        <f t="array" aca="1" ref="N32:AE32" ca="1">IF(OR(B32="",NOT($J$2)),"",[3]!GetStripDefaultProbability(A32,B32,Parameter_Date,CDSRollDate,E32:M32,SpreadCurveMaturities,D32,C32,$J$4,$J$6))</f>
        <v>0</v>
      </c>
      <c r="O32" s="166">
        <f ca="1"/>
        <v>1.0260056262103578E-3</v>
      </c>
      <c r="P32" s="166">
        <f ca="1"/>
        <v>2.8319832602154982E-3</v>
      </c>
      <c r="Q32" s="166">
        <f ca="1"/>
        <v>7.2605197403703414E-3</v>
      </c>
      <c r="R32" s="166">
        <f ca="1"/>
        <v>1.5539395618859198E-2</v>
      </c>
      <c r="S32" s="166">
        <f ca="1"/>
        <v>0</v>
      </c>
      <c r="T32" s="166">
        <f ca="1"/>
        <v>3.3444486876904156E-2</v>
      </c>
      <c r="U32" s="166">
        <f ca="1"/>
        <v>5.505895173494979E-2</v>
      </c>
      <c r="V32" s="140">
        <f ca="1"/>
        <v>9.762994416464843E-2</v>
      </c>
      <c r="W32" s="139">
        <f ca="1"/>
        <v>0</v>
      </c>
      <c r="X32" s="166">
        <f ca="1"/>
        <v>1.1192243755654419E-3</v>
      </c>
      <c r="Y32" s="166">
        <f ca="1"/>
        <v>2.9981640808945942E-3</v>
      </c>
      <c r="Z32" s="166">
        <f ca="1"/>
        <v>7.6079177602579318E-3</v>
      </c>
      <c r="AA32" s="166">
        <f ca="1"/>
        <v>1.6309934840025186E-2</v>
      </c>
      <c r="AB32" s="166">
        <f ca="1"/>
        <v>0</v>
      </c>
      <c r="AC32" s="166">
        <f ca="1"/>
        <v>3.5089475187643715E-2</v>
      </c>
      <c r="AD32" s="166">
        <f ca="1"/>
        <v>5.7743504110613242E-2</v>
      </c>
      <c r="AE32" s="140">
        <f ca="1"/>
        <v>0.10231848815276179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.199999999999999" x14ac:dyDescent="0.2">
      <c r="A33" s="97">
        <f t="shared" ca="1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>
        <f t="array" aca="1" ref="N33:AE33" ca="1">IF(OR(B33="",NOT($J$2)),"",[3]!GetStripDefaultProbability(A33,B33,Parameter_Date,CDSRollDate,E33:M33,SpreadCurveMaturities,D33,C33,$J$4,$J$6))</f>
        <v>0</v>
      </c>
      <c r="O33" s="166">
        <f ca="1"/>
        <v>7.276396410892394E-4</v>
      </c>
      <c r="P33" s="166">
        <f ca="1"/>
        <v>2.429094161474632E-3</v>
      </c>
      <c r="Q33" s="166">
        <f ca="1"/>
        <v>7.9844375614563923E-3</v>
      </c>
      <c r="R33" s="166">
        <f ca="1"/>
        <v>1.3933644105103893E-2</v>
      </c>
      <c r="S33" s="166">
        <f ca="1"/>
        <v>0</v>
      </c>
      <c r="T33" s="166">
        <f ca="1"/>
        <v>2.8204691590889452E-2</v>
      </c>
      <c r="U33" s="166">
        <f ca="1"/>
        <v>4.4100165206850894E-2</v>
      </c>
      <c r="V33" s="140">
        <f ca="1"/>
        <v>6.7535975530210179E-2</v>
      </c>
      <c r="W33" s="139">
        <f ca="1"/>
        <v>0</v>
      </c>
      <c r="X33" s="166">
        <f ca="1"/>
        <v>8.2088733279883641E-4</v>
      </c>
      <c r="Y33" s="166">
        <f ca="1"/>
        <v>2.5953421247317809E-3</v>
      </c>
      <c r="Z33" s="166">
        <f ca="1"/>
        <v>8.3646373174401933E-3</v>
      </c>
      <c r="AA33" s="166">
        <f ca="1"/>
        <v>1.4623626963277014E-2</v>
      </c>
      <c r="AB33" s="166">
        <f ca="1"/>
        <v>0</v>
      </c>
      <c r="AC33" s="166">
        <f ca="1"/>
        <v>2.95934379649615E-2</v>
      </c>
      <c r="AD33" s="166">
        <f ca="1"/>
        <v>4.6257760717125396E-2</v>
      </c>
      <c r="AE33" s="140">
        <f ca="1"/>
        <v>7.0798222524501631E-2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.199999999999999" x14ac:dyDescent="0.2">
      <c r="A34" s="97">
        <f t="shared" ca="1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>
        <f t="array" aca="1" ref="N34:AE34" ca="1">IF(OR(B34="",NOT($J$2)),"",[3]!GetStripDefaultProbability(A34,B34,Parameter_Date,CDSRollDate,E34:M34,SpreadCurveMaturities,D34,C34,$J$4,$J$6))</f>
        <v>0</v>
      </c>
      <c r="O34" s="166">
        <f ca="1"/>
        <v>4.6649647376628689E-4</v>
      </c>
      <c r="P34" s="166">
        <f ca="1"/>
        <v>1.5965524086479776E-3</v>
      </c>
      <c r="Q34" s="166">
        <f ca="1"/>
        <v>5.5637659796777816E-3</v>
      </c>
      <c r="R34" s="166">
        <f ca="1"/>
        <v>1.2492753716270233E-2</v>
      </c>
      <c r="S34" s="166">
        <f ca="1"/>
        <v>0</v>
      </c>
      <c r="T34" s="166">
        <f ca="1"/>
        <v>3.1160441085223201E-2</v>
      </c>
      <c r="U34" s="166">
        <f ca="1"/>
        <v>5.5742887836243149E-2</v>
      </c>
      <c r="V34" s="140">
        <f ca="1"/>
        <v>0.1002160901058311</v>
      </c>
      <c r="W34" s="139">
        <f ca="1"/>
        <v>0</v>
      </c>
      <c r="X34" s="166">
        <f ca="1"/>
        <v>5.5976917815403482E-4</v>
      </c>
      <c r="Y34" s="166">
        <f ca="1"/>
        <v>1.7629391172940823E-3</v>
      </c>
      <c r="Z34" s="166">
        <f ca="1"/>
        <v>5.895189484046881E-3</v>
      </c>
      <c r="AA34" s="166">
        <f ca="1"/>
        <v>1.3106562032094926E-2</v>
      </c>
      <c r="AB34" s="166">
        <f ca="1"/>
        <v>0</v>
      </c>
      <c r="AC34" s="166">
        <f ca="1"/>
        <v>3.268921132107705E-2</v>
      </c>
      <c r="AD34" s="166">
        <f ca="1"/>
        <v>5.8457929859087709E-2</v>
      </c>
      <c r="AE34" s="140">
        <f ca="1"/>
        <v>0.10502687284574408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.199999999999999" x14ac:dyDescent="0.2">
      <c r="A35" s="97">
        <f t="shared" ca="1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>
        <f t="array" aca="1" ref="N35:AE35" ca="1">IF(OR(B35="",NOT($J$2)),"",[3]!GetStripDefaultProbability(A35,B35,Parameter_Date,CDSRollDate,E35:M35,SpreadCurveMaturities,D35,C35,$J$4,$J$6))</f>
        <v>0</v>
      </c>
      <c r="O35" s="166">
        <f ca="1"/>
        <v>1.0726172827926206E-3</v>
      </c>
      <c r="P35" s="166">
        <f ca="1"/>
        <v>3.2054338385190118E-3</v>
      </c>
      <c r="Q35" s="166">
        <f ca="1"/>
        <v>9.6996966232281157E-3</v>
      </c>
      <c r="R35" s="166">
        <f ca="1"/>
        <v>1.8058171350699093E-2</v>
      </c>
      <c r="S35" s="166">
        <f ca="1"/>
        <v>0</v>
      </c>
      <c r="T35" s="166">
        <f ca="1"/>
        <v>3.9322979205270614E-2</v>
      </c>
      <c r="U35" s="166">
        <f ca="1"/>
        <v>6.175941837545218E-2</v>
      </c>
      <c r="V35" s="140">
        <f ca="1"/>
        <v>9.551476955441518E-2</v>
      </c>
      <c r="W35" s="139">
        <f ca="1"/>
        <v>0</v>
      </c>
      <c r="X35" s="166">
        <f ca="1"/>
        <v>1.1658314747735599E-3</v>
      </c>
      <c r="Y35" s="166">
        <f ca="1"/>
        <v>3.3715524226098914E-3</v>
      </c>
      <c r="Z35" s="166">
        <f ca="1"/>
        <v>1.0181271226311628E-2</v>
      </c>
      <c r="AA35" s="166">
        <f ca="1"/>
        <v>1.8952764495030916E-2</v>
      </c>
      <c r="AB35" s="166">
        <f ca="1"/>
        <v>0</v>
      </c>
      <c r="AC35" s="166">
        <f ca="1"/>
        <v>4.1251639727773903E-2</v>
      </c>
      <c r="AD35" s="166">
        <f ca="1"/>
        <v>6.4759535862833228E-2</v>
      </c>
      <c r="AE35" s="140">
        <f ca="1"/>
        <v>0.10006637955057651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.199999999999999" x14ac:dyDescent="0.2">
      <c r="A36" s="97">
        <f t="shared" ca="1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>
        <f t="array" aca="1" ref="N36:AE36" ca="1">IF(OR(B36="",NOT($J$2)),"",[3]!GetStripDefaultProbability(A36,B36,Parameter_Date,CDSRollDate,E36:M36,SpreadCurveMaturities,D36,C36,$J$4,$J$6))</f>
        <v>0</v>
      </c>
      <c r="O36" s="166">
        <f ca="1"/>
        <v>4.6649647376628689E-4</v>
      </c>
      <c r="P36" s="166">
        <f ca="1"/>
        <v>1.2393840374057552E-3</v>
      </c>
      <c r="Q36" s="166">
        <f ca="1"/>
        <v>3.8189018326942881E-3</v>
      </c>
      <c r="R36" s="166">
        <f ca="1"/>
        <v>8.3247764833102034E-3</v>
      </c>
      <c r="S36" s="166">
        <f ca="1"/>
        <v>0</v>
      </c>
      <c r="T36" s="166">
        <f ca="1"/>
        <v>1.9936386812058338E-2</v>
      </c>
      <c r="U36" s="166">
        <f ca="1"/>
        <v>3.5311455978638384E-2</v>
      </c>
      <c r="V36" s="140">
        <f ca="1"/>
        <v>6.480418710227942E-2</v>
      </c>
      <c r="W36" s="139">
        <f ca="1"/>
        <v>0</v>
      </c>
      <c r="X36" s="166">
        <f ca="1"/>
        <v>5.5976917815403482E-4</v>
      </c>
      <c r="Y36" s="166">
        <f ca="1"/>
        <v>1.4058302691598579E-3</v>
      </c>
      <c r="Z36" s="166">
        <f ca="1"/>
        <v>4.1509068615025457E-3</v>
      </c>
      <c r="AA36" s="166">
        <f ca="1"/>
        <v>8.8204901563130322E-3</v>
      </c>
      <c r="AB36" s="166">
        <f ca="1"/>
        <v>0</v>
      </c>
      <c r="AC36" s="166">
        <f ca="1"/>
        <v>2.0905155357642702E-2</v>
      </c>
      <c r="AD36" s="166">
        <f ca="1"/>
        <v>3.7031656780413869E-2</v>
      </c>
      <c r="AE36" s="140">
        <f ca="1"/>
        <v>6.7932619576215991E-2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.199999999999999" x14ac:dyDescent="0.2">
      <c r="A37" s="97">
        <f t="shared" ca="1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>
        <f t="array" aca="1" ref="N37:AE37" ca="1">IF(OR(B37="",NOT($J$2)),"",[3]!GetStripDefaultProbability(A37,B37,Parameter_Date,CDSRollDate,E37:M37,SpreadCurveMaturities,D37,C37,$J$4,$J$6))</f>
        <v>0</v>
      </c>
      <c r="O37" s="166">
        <f ca="1"/>
        <v>8.3953730218899736E-4</v>
      </c>
      <c r="P37" s="166">
        <f ca="1"/>
        <v>3.9070431368504188E-3</v>
      </c>
      <c r="Q37" s="166">
        <f ca="1"/>
        <v>1.1431015961930191E-2</v>
      </c>
      <c r="R37" s="166">
        <f ca="1"/>
        <v>2.3248421416712794E-2</v>
      </c>
      <c r="S37" s="166">
        <f ca="1"/>
        <v>0</v>
      </c>
      <c r="T37" s="166">
        <f ca="1"/>
        <v>5.8214410311569043E-2</v>
      </c>
      <c r="U37" s="166">
        <f ca="1"/>
        <v>9.9729335529441854E-2</v>
      </c>
      <c r="V37" s="140">
        <f ca="1"/>
        <v>0.16819594162650209</v>
      </c>
      <c r="W37" s="139">
        <f ca="1"/>
        <v>0</v>
      </c>
      <c r="X37" s="166">
        <f ca="1"/>
        <v>9.3277418569359671E-4</v>
      </c>
      <c r="Y37" s="166">
        <f ca="1"/>
        <v>4.0896434400622406E-3</v>
      </c>
      <c r="Z37" s="166">
        <f ca="1"/>
        <v>1.1998724295003704E-2</v>
      </c>
      <c r="AA37" s="166">
        <f ca="1"/>
        <v>2.4398754858213079E-2</v>
      </c>
      <c r="AB37" s="166">
        <f ca="1"/>
        <v>0</v>
      </c>
      <c r="AC37" s="166">
        <f ca="1"/>
        <v>6.1047457643889969E-2</v>
      </c>
      <c r="AD37" s="166">
        <f ca="1"/>
        <v>0.10450213756728433</v>
      </c>
      <c r="AE37" s="140">
        <f ca="1"/>
        <v>0.17602787693542643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.199999999999999" x14ac:dyDescent="0.2">
      <c r="A38" s="97">
        <f t="shared" ca="1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>
        <f t="array" aca="1" ref="N38:AE38" ca="1">IF(OR(B38="",NOT($J$2)),"",[3]!GetStripDefaultProbability(A38,B38,Parameter_Date,CDSRollDate,E38:M38,SpreadCurveMaturities,D38,C38,$J$4,$J$6))</f>
        <v>0</v>
      </c>
      <c r="O38" s="166">
        <f ca="1"/>
        <v>4.6649647376628689E-4</v>
      </c>
      <c r="P38" s="166">
        <f ca="1"/>
        <v>1.0607776163944482E-3</v>
      </c>
      <c r="Q38" s="166">
        <f ca="1"/>
        <v>4.1766586955125362E-3</v>
      </c>
      <c r="R38" s="166">
        <f ca="1"/>
        <v>8.3146840993060245E-3</v>
      </c>
      <c r="S38" s="166">
        <f ca="1"/>
        <v>0</v>
      </c>
      <c r="T38" s="166">
        <f ca="1"/>
        <v>1.9926108111941176E-2</v>
      </c>
      <c r="U38" s="166">
        <f ca="1"/>
        <v>3.2690870052863308E-2</v>
      </c>
      <c r="V38" s="140">
        <f ca="1"/>
        <v>5.7411244648998383E-2</v>
      </c>
      <c r="W38" s="139">
        <f ca="1"/>
        <v>0</v>
      </c>
      <c r="X38" s="166">
        <f ca="1"/>
        <v>5.5976917815403482E-4</v>
      </c>
      <c r="Y38" s="166">
        <f ca="1"/>
        <v>1.2272536134083634E-3</v>
      </c>
      <c r="Z38" s="166">
        <f ca="1"/>
        <v>4.5085444919210627E-3</v>
      </c>
      <c r="AA38" s="166">
        <f ca="1"/>
        <v>8.8104028172516502E-3</v>
      </c>
      <c r="AB38" s="166">
        <f ca="1"/>
        <v>0</v>
      </c>
      <c r="AC38" s="166">
        <f ca="1"/>
        <v>2.0894840011720817E-2</v>
      </c>
      <c r="AD38" s="166">
        <f ca="1"/>
        <v>3.4283643117842266E-2</v>
      </c>
      <c r="AE38" s="140">
        <f ca="1"/>
        <v>6.0188485317376084E-2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.199999999999999" x14ac:dyDescent="0.2">
      <c r="A39" s="97">
        <f t="shared" ca="1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>
        <f t="array" aca="1" ref="N39:AE39" ca="1">IF(OR(B39="",NOT($J$2)),"",[3]!GetStripDefaultProbability(A39,B39,Parameter_Date,CDSRollDate,E39:M39,SpreadCurveMaturities,D39,C39,$J$4,$J$6))</f>
        <v>0</v>
      </c>
      <c r="O39" s="166">
        <f ca="1"/>
        <v>9.3277580402983951E-4</v>
      </c>
      <c r="P39" s="166">
        <f ca="1"/>
        <v>2.2990079173106359E-3</v>
      </c>
      <c r="Q39" s="166">
        <f ca="1"/>
        <v>7.9836059922455682E-3</v>
      </c>
      <c r="R39" s="166">
        <f ca="1"/>
        <v>1.7651834353218376E-2</v>
      </c>
      <c r="S39" s="166">
        <f ca="1"/>
        <v>0</v>
      </c>
      <c r="T39" s="166">
        <f ca="1"/>
        <v>4.3927043352718687E-2</v>
      </c>
      <c r="U39" s="166">
        <f ca="1"/>
        <v>7.8089558241299706E-2</v>
      </c>
      <c r="V39" s="140">
        <f ca="1"/>
        <v>0.12836652649109281</v>
      </c>
      <c r="W39" s="139">
        <f ca="1"/>
        <v>0</v>
      </c>
      <c r="X39" s="166">
        <f ca="1"/>
        <v>1.0260036394392769E-3</v>
      </c>
      <c r="Y39" s="166">
        <f ca="1"/>
        <v>2.465277559804524E-3</v>
      </c>
      <c r="Z39" s="166">
        <f ca="1"/>
        <v>8.3638060669304348E-3</v>
      </c>
      <c r="AA39" s="166">
        <f ca="1"/>
        <v>1.8525821701401823E-2</v>
      </c>
      <c r="AB39" s="166">
        <f ca="1"/>
        <v>0</v>
      </c>
      <c r="AC39" s="166">
        <f ca="1"/>
        <v>4.6078118617057129E-2</v>
      </c>
      <c r="AD39" s="166">
        <f ca="1"/>
        <v>8.1864349711798234E-2</v>
      </c>
      <c r="AE39" s="140">
        <f ca="1"/>
        <v>0.13444653038161936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.199999999999999" x14ac:dyDescent="0.2">
      <c r="A40" s="97">
        <f t="shared" ca="1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>
        <f t="array" aca="1" ref="N40:AE40" ca="1">IF(OR(B40="",NOT($J$2)),"",[3]!GetStripDefaultProbability(A40,B40,Parameter_Date,CDSRollDate,E40:M40,SpreadCurveMaturities,D40,C40,$J$4,$J$6))</f>
        <v>0</v>
      </c>
      <c r="O40" s="166">
        <f ca="1"/>
        <v>1.780847446629541E-3</v>
      </c>
      <c r="P40" s="166">
        <f ca="1"/>
        <v>3.8470140537452124E-3</v>
      </c>
      <c r="Q40" s="166">
        <f ca="1"/>
        <v>1.0042132007980431E-2</v>
      </c>
      <c r="R40" s="166">
        <f ca="1"/>
        <v>1.7889491485972964E-2</v>
      </c>
      <c r="S40" s="166">
        <f ca="1"/>
        <v>0</v>
      </c>
      <c r="T40" s="166">
        <f ca="1"/>
        <v>3.6604634923006918E-2</v>
      </c>
      <c r="U40" s="166">
        <f ca="1"/>
        <v>5.620913507473535E-2</v>
      </c>
      <c r="V40" s="140">
        <f ca="1"/>
        <v>8.5205841277361638E-2</v>
      </c>
      <c r="W40" s="139">
        <f ca="1"/>
        <v>0</v>
      </c>
      <c r="X40" s="166">
        <f ca="1"/>
        <v>1.8739911530948339E-3</v>
      </c>
      <c r="Y40" s="166">
        <f ca="1"/>
        <v>4.0279654092794104E-3</v>
      </c>
      <c r="Z40" s="166">
        <f ca="1"/>
        <v>1.0542105304457539E-2</v>
      </c>
      <c r="AA40" s="166">
        <f ca="1"/>
        <v>1.8777016985482176E-2</v>
      </c>
      <c r="AB40" s="166">
        <f ca="1"/>
        <v>0</v>
      </c>
      <c r="AC40" s="166">
        <f ca="1"/>
        <v>3.8402801241754436E-2</v>
      </c>
      <c r="AD40" s="166">
        <f ca="1"/>
        <v>5.8945846340952124E-2</v>
      </c>
      <c r="AE40" s="140">
        <f ca="1"/>
        <v>8.9285073084024558E-2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.199999999999999" x14ac:dyDescent="0.2">
      <c r="A41" s="97">
        <f t="shared" ca="1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>
        <f t="array" aca="1" ref="N41:AE41" ca="1">IF(OR(B41="",NOT($J$2)),"",[3]!GetStripDefaultProbability(A41,B41,Parameter_Date,CDSRollDate,E41:M41,SpreadCurveMaturities,D41,C41,$J$4,$J$6))</f>
        <v>0</v>
      </c>
      <c r="O41" s="166">
        <f ca="1"/>
        <v>3.7321455535799242E-4</v>
      </c>
      <c r="P41" s="166">
        <f ca="1"/>
        <v>1.241675841888723E-3</v>
      </c>
      <c r="Q41" s="166">
        <f ca="1"/>
        <v>4.1728230255283494E-3</v>
      </c>
      <c r="R41" s="166">
        <f ca="1"/>
        <v>9.9106104903542436E-3</v>
      </c>
      <c r="S41" s="166">
        <f ca="1"/>
        <v>0</v>
      </c>
      <c r="T41" s="166">
        <f ca="1"/>
        <v>2.428939047615164E-2</v>
      </c>
      <c r="U41" s="166">
        <f ca="1"/>
        <v>4.3830656158564407E-2</v>
      </c>
      <c r="V41" s="140">
        <f ca="1"/>
        <v>7.6423011810922259E-2</v>
      </c>
      <c r="W41" s="139">
        <f ca="1"/>
        <v>0</v>
      </c>
      <c r="X41" s="166">
        <f ca="1"/>
        <v>4.6649612398852458E-4</v>
      </c>
      <c r="Y41" s="166">
        <f ca="1"/>
        <v>1.4081216917138928E-3</v>
      </c>
      <c r="Z41" s="166">
        <f ca="1"/>
        <v>4.5047101002785306E-3</v>
      </c>
      <c r="AA41" s="166">
        <f ca="1"/>
        <v>1.0405531444547034E-2</v>
      </c>
      <c r="AB41" s="166">
        <f ca="1"/>
        <v>0</v>
      </c>
      <c r="AC41" s="166">
        <f ca="1"/>
        <v>2.5478080395936797E-2</v>
      </c>
      <c r="AD41" s="166">
        <f ca="1"/>
        <v>4.5969753009999059E-2</v>
      </c>
      <c r="AE41" s="140">
        <f ca="1"/>
        <v>8.0101822275874812E-2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.199999999999999" x14ac:dyDescent="0.2">
      <c r="A42" s="97">
        <f t="shared" ca="1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>
        <f t="array" aca="1" ref="N42:AE42" ca="1">IF(OR(B42="",NOT($J$2)),"",[3]!GetStripDefaultProbability(A42,B42,Parameter_Date,CDSRollDate,E42:M42,SpreadCurveMaturities,D42,C42,$J$4,$J$6))</f>
        <v>0</v>
      </c>
      <c r="O42" s="166">
        <f ca="1"/>
        <v>8.3953730218899736E-4</v>
      </c>
      <c r="P42" s="166">
        <f ca="1"/>
        <v>3.1935489771610648E-3</v>
      </c>
      <c r="Q42" s="166">
        <f ca="1"/>
        <v>1.2157513726045233E-2</v>
      </c>
      <c r="R42" s="166">
        <f ca="1"/>
        <v>2.112229807427346E-2</v>
      </c>
      <c r="S42" s="166">
        <f ca="1"/>
        <v>0</v>
      </c>
      <c r="T42" s="166">
        <f ca="1"/>
        <v>5.0452575074337314E-2</v>
      </c>
      <c r="U42" s="166">
        <f ca="1"/>
        <v>8.563395635424631E-2</v>
      </c>
      <c r="V42" s="140">
        <f ca="1"/>
        <v>0.14232940770448343</v>
      </c>
      <c r="W42" s="139">
        <f ca="1"/>
        <v>0</v>
      </c>
      <c r="X42" s="166">
        <f ca="1"/>
        <v>9.3277418569359671E-4</v>
      </c>
      <c r="Y42" s="166">
        <f ca="1"/>
        <v>3.3596695419041422E-3</v>
      </c>
      <c r="Z42" s="166">
        <f ca="1"/>
        <v>1.2760608640467686E-2</v>
      </c>
      <c r="AA42" s="166">
        <f ca="1"/>
        <v>2.2167147027429834E-2</v>
      </c>
      <c r="AB42" s="166">
        <f ca="1"/>
        <v>0</v>
      </c>
      <c r="AC42" s="166">
        <f ca="1"/>
        <v>5.2914775167116068E-2</v>
      </c>
      <c r="AD42" s="166">
        <f ca="1"/>
        <v>8.9754785567385031E-2</v>
      </c>
      <c r="AE42" s="140">
        <f ca="1"/>
        <v>0.14902385798654083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.199999999999999" x14ac:dyDescent="0.2">
      <c r="A43" s="97">
        <f t="shared" ca="1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>
        <f t="array" aca="1" ref="N43:AE43" ca="1">IF(OR(B43="",NOT($J$2)),"",[3]!GetStripDefaultProbability(A43,B43,Parameter_Date,CDSRollDate,E43:M43,SpreadCurveMaturities,D43,C43,$J$4,$J$6))</f>
        <v>0</v>
      </c>
      <c r="O43" s="166">
        <f ca="1"/>
        <v>3.0791204380475889E-4</v>
      </c>
      <c r="P43" s="166">
        <f ca="1"/>
        <v>1.6183348522856855E-3</v>
      </c>
      <c r="Q43" s="166">
        <f ca="1"/>
        <v>5.707668657119358E-3</v>
      </c>
      <c r="R43" s="166">
        <f ca="1"/>
        <v>1.1318032247323528E-2</v>
      </c>
      <c r="S43" s="166">
        <f ca="1"/>
        <v>0</v>
      </c>
      <c r="T43" s="166">
        <f ca="1"/>
        <v>2.5883336012398894E-2</v>
      </c>
      <c r="U43" s="166">
        <f ca="1"/>
        <v>4.1496299204004661E-2</v>
      </c>
      <c r="V43" s="140">
        <f ca="1"/>
        <v>6.4772868566127517E-2</v>
      </c>
      <c r="W43" s="139">
        <f ca="1"/>
        <v>0</v>
      </c>
      <c r="X43" s="166">
        <f ca="1"/>
        <v>4.0119979617647683E-4</v>
      </c>
      <c r="Y43" s="166">
        <f ca="1"/>
        <v>1.7847179308290162E-3</v>
      </c>
      <c r="Z43" s="166">
        <f ca="1"/>
        <v>6.0390442019192525E-3</v>
      </c>
      <c r="AA43" s="166">
        <f ca="1"/>
        <v>1.185671711477565E-2</v>
      </c>
      <c r="AB43" s="166">
        <f ca="1"/>
        <v>0</v>
      </c>
      <c r="AC43" s="166">
        <f ca="1"/>
        <v>2.7155954645366798E-2</v>
      </c>
      <c r="AD43" s="166">
        <f ca="1"/>
        <v>4.352689589916392E-2</v>
      </c>
      <c r="AE43" s="140">
        <f ca="1"/>
        <v>6.7905453064559862E-2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.199999999999999" x14ac:dyDescent="0.2">
      <c r="A44" s="97">
        <f t="shared" ca="1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>
        <f t="array" aca="1" ref="N44:AE44" ca="1">IF(OR(B44="",NOT($J$2)),"",[3]!GetStripDefaultProbability(A44,B44,Parameter_Date,CDSRollDate,E44:M44,SpreadCurveMaturities,D44,C44,$J$4,$J$6))</f>
        <v>0</v>
      </c>
      <c r="O44" s="166">
        <f ca="1"/>
        <v>7.7426518583145754E-4</v>
      </c>
      <c r="P44" s="166">
        <f ca="1"/>
        <v>3.1238513696929537E-3</v>
      </c>
      <c r="Q44" s="166">
        <f ca="1"/>
        <v>9.8159153599322035E-3</v>
      </c>
      <c r="R44" s="166">
        <f ca="1"/>
        <v>1.8117314012283336E-2</v>
      </c>
      <c r="S44" s="166">
        <f ca="1"/>
        <v>0</v>
      </c>
      <c r="T44" s="166">
        <f ca="1"/>
        <v>4.1099003016145552E-2</v>
      </c>
      <c r="U44" s="166">
        <f ca="1"/>
        <v>6.2849835350691996E-2</v>
      </c>
      <c r="V44" s="140">
        <f ca="1"/>
        <v>9.5137941485691324E-2</v>
      </c>
      <c r="W44" s="139">
        <f ca="1"/>
        <v>0</v>
      </c>
      <c r="X44" s="166">
        <f ca="1"/>
        <v>8.675083806602979E-4</v>
      </c>
      <c r="Y44" s="166">
        <f ca="1"/>
        <v>3.2899835497303132E-3</v>
      </c>
      <c r="Z44" s="166">
        <f ca="1"/>
        <v>1.0302749516613585E-2</v>
      </c>
      <c r="AA44" s="166">
        <f ca="1"/>
        <v>1.9014304598799825E-2</v>
      </c>
      <c r="AB44" s="166">
        <f ca="1"/>
        <v>0</v>
      </c>
      <c r="AC44" s="166">
        <f ca="1"/>
        <v>4.3112983413628903E-2</v>
      </c>
      <c r="AD44" s="166">
        <f ca="1"/>
        <v>6.5900627521431998E-2</v>
      </c>
      <c r="AE44" s="140">
        <f ca="1"/>
        <v>9.9669361217358809E-2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.199999999999999" x14ac:dyDescent="0.2">
      <c r="A45" s="97">
        <f t="shared" ca="1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>
        <f t="array" aca="1" ref="N45:AE45" ca="1">IF(OR(B45="",NOT($J$2)),"",[3]!GetStripDefaultProbability(A45,B45,Parameter_Date,CDSRollDate,E45:M45,SpreadCurveMaturities,D45,C45,$J$4,$J$6))</f>
        <v>0</v>
      </c>
      <c r="O45" s="166">
        <f ca="1"/>
        <v>1.1192267699196012E-3</v>
      </c>
      <c r="P45" s="166">
        <f ca="1"/>
        <v>2.4727728897788737E-3</v>
      </c>
      <c r="Q45" s="166">
        <f ca="1"/>
        <v>6.2181054788749135E-3</v>
      </c>
      <c r="R45" s="166">
        <f ca="1"/>
        <v>1.1878069924751711E-2</v>
      </c>
      <c r="S45" s="166">
        <f ca="1"/>
        <v>0</v>
      </c>
      <c r="T45" s="166">
        <f ca="1"/>
        <v>2.307204786649053E-2</v>
      </c>
      <c r="U45" s="166">
        <f ca="1"/>
        <v>3.9697804238450374E-2</v>
      </c>
      <c r="V45" s="140">
        <f ca="1"/>
        <v>7.0966065842030579E-2</v>
      </c>
      <c r="W45" s="139">
        <f ca="1"/>
        <v>0</v>
      </c>
      <c r="X45" s="166">
        <f ca="1"/>
        <v>1.2124363949111983E-3</v>
      </c>
      <c r="Y45" s="166">
        <f ca="1"/>
        <v>2.6390135738471043E-3</v>
      </c>
      <c r="Z45" s="166">
        <f ca="1"/>
        <v>6.5493109064017618E-3</v>
      </c>
      <c r="AA45" s="166">
        <f ca="1"/>
        <v>1.2465212703264728E-2</v>
      </c>
      <c r="AB45" s="166">
        <f ca="1"/>
        <v>0</v>
      </c>
      <c r="AC45" s="166">
        <f ca="1"/>
        <v>2.4209120776706006E-2</v>
      </c>
      <c r="AD45" s="166">
        <f ca="1"/>
        <v>4.1643831189542735E-2</v>
      </c>
      <c r="AE45" s="140">
        <f ca="1"/>
        <v>7.4395663213154717E-2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.199999999999999" x14ac:dyDescent="0.2">
      <c r="A46" s="97">
        <f t="shared" ca="1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>
        <f t="array" aca="1" ref="N46:AE46" ca="1">IF(OR(B46="",NOT($J$2)),"",[3]!GetStripDefaultProbability(A46,B46,Parameter_Date,CDSRollDate,E46:M46,SpreadCurveMaturities,D46,C46,$J$4,$J$6))</f>
        <v>0</v>
      </c>
      <c r="O46" s="166">
        <f ca="1"/>
        <v>3.7321455535799242E-4</v>
      </c>
      <c r="P46" s="166">
        <f ca="1"/>
        <v>1.5988606883324818E-3</v>
      </c>
      <c r="Q46" s="166">
        <f ca="1"/>
        <v>4.863427124660813E-3</v>
      </c>
      <c r="R46" s="166">
        <f ca="1"/>
        <v>9.3319792535664359E-3</v>
      </c>
      <c r="S46" s="166">
        <f ca="1"/>
        <v>0</v>
      </c>
      <c r="T46" s="166">
        <f ca="1"/>
        <v>2.338588891533544E-2</v>
      </c>
      <c r="U46" s="166">
        <f ca="1"/>
        <v>4.1315643955607495E-2</v>
      </c>
      <c r="V46" s="140">
        <f ca="1"/>
        <v>7.1105172598705635E-2</v>
      </c>
      <c r="W46" s="139">
        <f ca="1"/>
        <v>0</v>
      </c>
      <c r="X46" s="166">
        <f ca="1"/>
        <v>4.6649612398852458E-4</v>
      </c>
      <c r="Y46" s="166">
        <f ca="1"/>
        <v>1.7652470123107333E-3</v>
      </c>
      <c r="Z46" s="166">
        <f ca="1"/>
        <v>5.1950840363904627E-3</v>
      </c>
      <c r="AA46" s="166">
        <f ca="1"/>
        <v>9.8271894510683078E-3</v>
      </c>
      <c r="AB46" s="166">
        <f ca="1"/>
        <v>0</v>
      </c>
      <c r="AC46" s="166">
        <f ca="1"/>
        <v>2.453048488327092E-2</v>
      </c>
      <c r="AD46" s="166">
        <f ca="1"/>
        <v>4.3333283785154997E-2</v>
      </c>
      <c r="AE46" s="140">
        <f ca="1"/>
        <v>7.4534792362937363E-2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.199999999999999" x14ac:dyDescent="0.2">
      <c r="A47" s="97">
        <f t="shared" ca="1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>
        <f t="array" aca="1" ref="N47:AE47" ca="1">IF(OR(B47="",NOT($J$2)),"",[3]!GetStripDefaultProbability(A47,B47,Parameter_Date,CDSRollDate,E47:M47,SpreadCurveMaturities,D47,C47,$J$4,$J$6))</f>
        <v>0</v>
      </c>
      <c r="O47" s="166">
        <f ca="1"/>
        <v>1.7249527500857731E-3</v>
      </c>
      <c r="P47" s="166">
        <f ca="1"/>
        <v>3.6523560322061499E-3</v>
      </c>
      <c r="Q47" s="166">
        <f ca="1"/>
        <v>9.7006156171811631E-3</v>
      </c>
      <c r="R47" s="166">
        <f ca="1"/>
        <v>1.6748605724256849E-2</v>
      </c>
      <c r="S47" s="166">
        <f ca="1"/>
        <v>0</v>
      </c>
      <c r="T47" s="166">
        <f ca="1"/>
        <v>3.4943990683157899E-2</v>
      </c>
      <c r="U47" s="166">
        <f ca="1"/>
        <v>5.4585764443587759E-2</v>
      </c>
      <c r="V47" s="140">
        <f ca="1"/>
        <v>8.3884219733089016E-2</v>
      </c>
      <c r="W47" s="139">
        <f ca="1"/>
        <v>0</v>
      </c>
      <c r="X47" s="166">
        <f ca="1"/>
        <v>1.8181021060176272E-3</v>
      </c>
      <c r="Y47" s="166">
        <f ca="1"/>
        <v>3.8242111778519217E-3</v>
      </c>
      <c r="Z47" s="166">
        <f ca="1"/>
        <v>1.0183584375195176E-2</v>
      </c>
      <c r="AA47" s="166">
        <f ca="1"/>
        <v>1.7579792963657304E-2</v>
      </c>
      <c r="AB47" s="166">
        <f ca="1"/>
        <v>0</v>
      </c>
      <c r="AC47" s="166">
        <f ca="1"/>
        <v>3.6661953212643095E-2</v>
      </c>
      <c r="AD47" s="166">
        <f ca="1"/>
        <v>5.7246203105075333E-2</v>
      </c>
      <c r="AE47" s="140">
        <f ca="1"/>
        <v>8.790503178325737E-2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.199999999999999" x14ac:dyDescent="0.2">
      <c r="A48" s="97">
        <f t="shared" ca="1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>
        <f t="array" aca="1" ref="N48:AE48" ca="1">IF(OR(B48="",NOT($J$2)),"",[3]!GetStripDefaultProbability(A48,B48,Parameter_Date,CDSRollDate,E48:M48,SpreadCurveMaturities,D48,C48,$J$4,$J$6))</f>
        <v>0</v>
      </c>
      <c r="O48" s="166">
        <f ca="1"/>
        <v>4.6649647376628689E-4</v>
      </c>
      <c r="P48" s="166">
        <f ca="1"/>
        <v>1.2393840374057552E-3</v>
      </c>
      <c r="Q48" s="166">
        <f ca="1"/>
        <v>3.8189018326942881E-3</v>
      </c>
      <c r="R48" s="166">
        <f ca="1"/>
        <v>7.7912790870436899E-3</v>
      </c>
      <c r="S48" s="166">
        <f ca="1"/>
        <v>0</v>
      </c>
      <c r="T48" s="166">
        <f ca="1"/>
        <v>2.087264731279681E-2</v>
      </c>
      <c r="U48" s="166">
        <f ca="1"/>
        <v>3.7866741834795437E-2</v>
      </c>
      <c r="V48" s="140">
        <f ca="1"/>
        <v>7.018186246624547E-2</v>
      </c>
      <c r="W48" s="139">
        <f ca="1"/>
        <v>0</v>
      </c>
      <c r="X48" s="166">
        <f ca="1"/>
        <v>5.5976917815403482E-4</v>
      </c>
      <c r="Y48" s="166">
        <f ca="1"/>
        <v>1.4058302691598579E-3</v>
      </c>
      <c r="Z48" s="166">
        <f ca="1"/>
        <v>4.1509068615025457E-3</v>
      </c>
      <c r="AA48" s="166">
        <f ca="1"/>
        <v>8.2872594420970724E-3</v>
      </c>
      <c r="AB48" s="166">
        <f ca="1"/>
        <v>0</v>
      </c>
      <c r="AC48" s="166">
        <f ca="1"/>
        <v>2.1885533021417602E-2</v>
      </c>
      <c r="AD48" s="166">
        <f ca="1"/>
        <v>3.9709482573193511E-2</v>
      </c>
      <c r="AE48" s="140">
        <f ca="1"/>
        <v>7.3562416697291577E-2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.199999999999999" x14ac:dyDescent="0.2">
      <c r="A49" s="97">
        <f t="shared" ca="1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>
        <f t="array" aca="1" ref="N49:AE49" ca="1">IF(OR(B49="",NOT($J$2)),"",[3]!GetStripDefaultProbability(A49,B49,Parameter_Date,CDSRollDate,E49:M49,SpreadCurveMaturities,D49,C49,$J$4,$J$6))</f>
        <v>0</v>
      </c>
      <c r="O49" s="166">
        <f ca="1"/>
        <v>1.0260056262103578E-3</v>
      </c>
      <c r="P49" s="166">
        <f ca="1"/>
        <v>2.8319832602154982E-3</v>
      </c>
      <c r="Q49" s="166">
        <f ca="1"/>
        <v>6.9097030011058269E-3</v>
      </c>
      <c r="R49" s="166">
        <f ca="1"/>
        <v>1.4493466106794584E-2</v>
      </c>
      <c r="S49" s="166">
        <f ca="1"/>
        <v>0</v>
      </c>
      <c r="T49" s="166">
        <f ca="1"/>
        <v>3.354292417265381E-2</v>
      </c>
      <c r="U49" s="166">
        <f ca="1"/>
        <v>5.5157941352731443E-2</v>
      </c>
      <c r="V49" s="140">
        <f ca="1"/>
        <v>9.5834152942573692E-2</v>
      </c>
      <c r="W49" s="139">
        <f ca="1"/>
        <v>0</v>
      </c>
      <c r="X49" s="166">
        <f ca="1"/>
        <v>1.1192243755654419E-3</v>
      </c>
      <c r="Y49" s="166">
        <f ca="1"/>
        <v>2.9981640808945942E-3</v>
      </c>
      <c r="Z49" s="166">
        <f ca="1"/>
        <v>7.2406779345630667E-3</v>
      </c>
      <c r="AA49" s="166">
        <f ca="1"/>
        <v>1.5212246318829892E-2</v>
      </c>
      <c r="AB49" s="166">
        <f ca="1"/>
        <v>0</v>
      </c>
      <c r="AC49" s="166">
        <f ca="1"/>
        <v>3.5192991485346381E-2</v>
      </c>
      <c r="AD49" s="166">
        <f ca="1"/>
        <v>5.7848048078561254E-2</v>
      </c>
      <c r="AE49" s="140">
        <f ca="1"/>
        <v>0.10043850678638611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.199999999999999" x14ac:dyDescent="0.2">
      <c r="A50" s="97">
        <f t="shared" ca="1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>
        <f t="array" aca="1" ref="N50:AE50" ca="1">IF(OR(B50="",NOT($J$2)),"",[3]!GetStripDefaultProbability(A50,B50,Parameter_Date,CDSRollDate,E50:M50,SpreadCurveMaturities,D50,C50,$J$4,$J$6))</f>
        <v>0</v>
      </c>
      <c r="O50" s="166">
        <f ca="1"/>
        <v>6.5303425461338271E-4</v>
      </c>
      <c r="P50" s="166">
        <f ca="1"/>
        <v>1.5919363832663791E-3</v>
      </c>
      <c r="Q50" s="166">
        <f ca="1"/>
        <v>4.5049779671811896E-3</v>
      </c>
      <c r="R50" s="166">
        <f ca="1"/>
        <v>9.3413032568433474E-3</v>
      </c>
      <c r="S50" s="166">
        <f ca="1"/>
        <v>0</v>
      </c>
      <c r="T50" s="166">
        <f ca="1"/>
        <v>2.5187106521088243E-2</v>
      </c>
      <c r="U50" s="166">
        <f ca="1"/>
        <v>4.373884782314752E-2</v>
      </c>
      <c r="V50" s="140">
        <f ca="1"/>
        <v>7.6330945809923612E-2</v>
      </c>
      <c r="W50" s="139">
        <f ca="1"/>
        <v>0</v>
      </c>
      <c r="X50" s="166">
        <f ca="1"/>
        <v>7.4628912209839804E-4</v>
      </c>
      <c r="Y50" s="166">
        <f ca="1"/>
        <v>1.7583238612038921E-3</v>
      </c>
      <c r="Z50" s="166">
        <f ca="1"/>
        <v>4.8367543420609893E-3</v>
      </c>
      <c r="AA50" s="166">
        <f ca="1"/>
        <v>9.8365087935210482E-3</v>
      </c>
      <c r="AB50" s="166">
        <f ca="1"/>
        <v>0</v>
      </c>
      <c r="AC50" s="166">
        <f ca="1"/>
        <v>2.6419521538332713E-2</v>
      </c>
      <c r="AD50" s="166">
        <f ca="1"/>
        <v>4.5873150137558327E-2</v>
      </c>
      <c r="AE50" s="140">
        <f ca="1"/>
        <v>8.0004541953453301E-2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.199999999999999" x14ac:dyDescent="0.2">
      <c r="A51" s="97">
        <f t="shared" ca="1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>
        <f t="array" aca="1" ref="N51:AE51" ca="1">IF(OR(B51="",NOT($J$2)),"",[3]!GetStripDefaultProbability(A51,B51,Parameter_Date,CDSRollDate,E51:M51,SpreadCurveMaturities,D51,C51,$J$4,$J$6))</f>
        <v>0</v>
      </c>
      <c r="O51" s="166">
        <f ca="1"/>
        <v>1.1192267699196012E-3</v>
      </c>
      <c r="P51" s="166">
        <f ca="1"/>
        <v>4.2564095498333065E-3</v>
      </c>
      <c r="Q51" s="166">
        <f ca="1"/>
        <v>1.3159080580618099E-2</v>
      </c>
      <c r="R51" s="166">
        <f ca="1"/>
        <v>2.7893590235657295E-2</v>
      </c>
      <c r="S51" s="166">
        <f ca="1"/>
        <v>0</v>
      </c>
      <c r="T51" s="166">
        <f ca="1"/>
        <v>6.8213026034832258E-2</v>
      </c>
      <c r="U51" s="166">
        <f ca="1"/>
        <v>0.11298230983541657</v>
      </c>
      <c r="V51" s="140">
        <f ca="1"/>
        <v>0.18388205815089287</v>
      </c>
      <c r="W51" s="139">
        <f ca="1"/>
        <v>0</v>
      </c>
      <c r="X51" s="166">
        <f ca="1"/>
        <v>1.2124363949111983E-3</v>
      </c>
      <c r="Y51" s="166">
        <f ca="1"/>
        <v>4.4555383543698479E-3</v>
      </c>
      <c r="Z51" s="166">
        <f ca="1"/>
        <v>1.3812676503109578E-2</v>
      </c>
      <c r="AA51" s="166">
        <f ca="1"/>
        <v>2.9272014220732223E-2</v>
      </c>
      <c r="AB51" s="166">
        <f ca="1"/>
        <v>0</v>
      </c>
      <c r="AC51" s="166">
        <f ca="1"/>
        <v>7.1517174503141434E-2</v>
      </c>
      <c r="AD51" s="166">
        <f ca="1"/>
        <v>0.11837575715230753</v>
      </c>
      <c r="AE51" s="140">
        <f ca="1"/>
        <v>0.19235618811830713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.199999999999999" x14ac:dyDescent="0.2">
      <c r="A52" s="97">
        <f t="shared" ca="1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>
        <f t="array" aca="1" ref="N52:AE52" ca="1">IF(OR(B52="",NOT($J$2)),"",[3]!GetStripDefaultProbability(A52,B52,Parameter_Date,CDSRollDate,E52:M52,SpreadCurveMaturities,D52,C52,$J$4,$J$6))</f>
        <v>0</v>
      </c>
      <c r="O52" s="166">
        <f ca="1"/>
        <v>5.5976970645477131E-4</v>
      </c>
      <c r="P52" s="166">
        <f ca="1"/>
        <v>1.2370924096177793E-3</v>
      </c>
      <c r="Q52" s="166">
        <f ca="1"/>
        <v>4.168163598396335E-3</v>
      </c>
      <c r="R52" s="166">
        <f ca="1"/>
        <v>9.3726826398450314E-3</v>
      </c>
      <c r="S52" s="166">
        <f ca="1"/>
        <v>0</v>
      </c>
      <c r="T52" s="166">
        <f ca="1"/>
        <v>2.4323686971222447E-2</v>
      </c>
      <c r="U52" s="166">
        <f ca="1"/>
        <v>4.2565322075433842E-2</v>
      </c>
      <c r="V52" s="140">
        <f ca="1"/>
        <v>7.6640163356687219E-2</v>
      </c>
      <c r="W52" s="139">
        <f ca="1"/>
        <v>0</v>
      </c>
      <c r="X52" s="166">
        <f ca="1"/>
        <v>6.5303351059242676E-4</v>
      </c>
      <c r="Y52" s="166">
        <f ca="1"/>
        <v>1.4035390232739475E-3</v>
      </c>
      <c r="Z52" s="166">
        <f ca="1"/>
        <v>4.5000522260189024E-3</v>
      </c>
      <c r="AA52" s="166">
        <f ca="1"/>
        <v>9.8678724907363957E-3</v>
      </c>
      <c r="AB52" s="166">
        <f ca="1"/>
        <v>0</v>
      </c>
      <c r="AC52" s="166">
        <f ca="1"/>
        <v>2.5512377981640189E-2</v>
      </c>
      <c r="AD52" s="166">
        <f ca="1"/>
        <v>4.464153021627304E-2</v>
      </c>
      <c r="AE52" s="140">
        <f ca="1"/>
        <v>8.0327678912490597E-2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.199999999999999" x14ac:dyDescent="0.2">
      <c r="A53" s="97">
        <f t="shared" ca="1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>
        <f t="array" aca="1" ref="N53:AE53" ca="1">IF(OR(B53="",NOT($J$2)),"",[3]!GetStripDefaultProbability(A53,B53,Parameter_Date,CDSRollDate,E53:M53,SpreadCurveMaturities,D53,C53,$J$4,$J$6))</f>
        <v>0</v>
      </c>
      <c r="O53" s="166">
        <f ca="1"/>
        <v>6.5303425461338271E-4</v>
      </c>
      <c r="P53" s="166">
        <f ca="1"/>
        <v>1.4133760813656027E-3</v>
      </c>
      <c r="Q53" s="166">
        <f ca="1"/>
        <v>3.8081167578655206E-3</v>
      </c>
      <c r="R53" s="166">
        <f ca="1"/>
        <v>8.8471919618654526E-3</v>
      </c>
      <c r="S53" s="166">
        <f ca="1"/>
        <v>0</v>
      </c>
      <c r="T53" s="166">
        <f ca="1"/>
        <v>2.4370875257495928E-2</v>
      </c>
      <c r="U53" s="166">
        <f ca="1"/>
        <v>4.3913279691079832E-2</v>
      </c>
      <c r="V53" s="140">
        <f ca="1"/>
        <v>7.8426141643443192E-2</v>
      </c>
      <c r="W53" s="139">
        <f ca="1"/>
        <v>0</v>
      </c>
      <c r="X53" s="166">
        <f ca="1"/>
        <v>7.4628912209839804E-4</v>
      </c>
      <c r="Y53" s="166">
        <f ca="1"/>
        <v>1.5797933168700817E-3</v>
      </c>
      <c r="Z53" s="166">
        <f ca="1"/>
        <v>4.1401253811014227E-3</v>
      </c>
      <c r="AA53" s="166">
        <f ca="1"/>
        <v>9.342644492444041E-3</v>
      </c>
      <c r="AB53" s="166">
        <f ca="1"/>
        <v>0</v>
      </c>
      <c r="AC53" s="166">
        <f ca="1"/>
        <v>2.5559618163948028E-2</v>
      </c>
      <c r="AD53" s="166">
        <f ca="1"/>
        <v>4.605279688690489E-2</v>
      </c>
      <c r="AE53" s="140">
        <f ca="1"/>
        <v>8.2195464178909883E-2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.199999999999999" x14ac:dyDescent="0.2">
      <c r="A54" s="97">
        <f t="shared" ca="1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>
        <f t="array" aca="1" ref="N54:AE54" ca="1">IF(OR(B54="",NOT($J$2)),"",[3]!GetStripDefaultProbability(A54,B54,Parameter_Date,CDSRollDate,E54:M54,SpreadCurveMaturities,D54,C54,$J$4,$J$6))</f>
        <v>0</v>
      </c>
      <c r="O54" s="166">
        <f ca="1"/>
        <v>3.7321455535799242E-4</v>
      </c>
      <c r="P54" s="166">
        <f ca="1"/>
        <v>1.0630611822488589E-3</v>
      </c>
      <c r="Q54" s="166">
        <f ca="1"/>
        <v>3.4756867805590952E-3</v>
      </c>
      <c r="R54" s="166">
        <f ca="1"/>
        <v>7.2824471614238995E-3</v>
      </c>
      <c r="S54" s="166">
        <f ca="1"/>
        <v>0</v>
      </c>
      <c r="T54" s="166">
        <f ca="1"/>
        <v>1.8242093189316022E-2</v>
      </c>
      <c r="U54" s="166">
        <f ca="1"/>
        <v>2.906521157143549E-2</v>
      </c>
      <c r="V54" s="140">
        <f ca="1"/>
        <v>5.0473999193011654E-2</v>
      </c>
      <c r="W54" s="139">
        <f ca="1"/>
        <v>0</v>
      </c>
      <c r="X54" s="166">
        <f ca="1"/>
        <v>4.6649612398852458E-4</v>
      </c>
      <c r="Y54" s="166">
        <f ca="1"/>
        <v>1.2295367987036343E-3</v>
      </c>
      <c r="Z54" s="166">
        <f ca="1"/>
        <v>3.8078061953094045E-3</v>
      </c>
      <c r="AA54" s="166">
        <f ca="1"/>
        <v>7.7786818688141413E-3</v>
      </c>
      <c r="AB54" s="166">
        <f ca="1"/>
        <v>0</v>
      </c>
      <c r="AC54" s="166">
        <f ca="1"/>
        <v>1.9122656502941204E-2</v>
      </c>
      <c r="AD54" s="166">
        <f ca="1"/>
        <v>3.0476005129223438E-2</v>
      </c>
      <c r="AE54" s="140">
        <f ca="1"/>
        <v>5.2915553746441968E-2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.199999999999999" x14ac:dyDescent="0.2">
      <c r="A55" s="97">
        <f t="shared" ca="1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>
        <f t="array" aca="1" ref="N55:AE55" ca="1">IF(OR(B55="",NOT($J$2)),"",[3]!GetStripDefaultProbability(A55,B55,Parameter_Date,CDSRollDate,E55:M55,SpreadCurveMaturities,D55,C55,$J$4,$J$6))</f>
        <v>0</v>
      </c>
      <c r="O55" s="166">
        <f ca="1"/>
        <v>5.5976970645477131E-4</v>
      </c>
      <c r="P55" s="166">
        <f ca="1"/>
        <v>1.9513369250531154E-3</v>
      </c>
      <c r="Q55" s="166">
        <f ca="1"/>
        <v>6.251244813289647E-3</v>
      </c>
      <c r="R55" s="166">
        <f ca="1"/>
        <v>1.2976139796623376E-2</v>
      </c>
      <c r="S55" s="166">
        <f ca="1"/>
        <v>0</v>
      </c>
      <c r="T55" s="166">
        <f ca="1"/>
        <v>2.9284874543838768E-2</v>
      </c>
      <c r="U55" s="166">
        <f ca="1"/>
        <v>5.0670106258528747E-2</v>
      </c>
      <c r="V55" s="140">
        <f ca="1"/>
        <v>8.5863424164008495E-2</v>
      </c>
      <c r="W55" s="139">
        <f ca="1"/>
        <v>0</v>
      </c>
      <c r="X55" s="166">
        <f ca="1"/>
        <v>6.5303351059242676E-4</v>
      </c>
      <c r="Y55" s="166">
        <f ca="1"/>
        <v>2.1176645078776479E-3</v>
      </c>
      <c r="Z55" s="166">
        <f ca="1"/>
        <v>6.5824391962300277E-3</v>
      </c>
      <c r="AA55" s="166">
        <f ca="1"/>
        <v>1.361617221708622E-2</v>
      </c>
      <c r="AB55" s="166">
        <f ca="1"/>
        <v>0</v>
      </c>
      <c r="AC55" s="166">
        <f ca="1"/>
        <v>3.0724263344651725E-2</v>
      </c>
      <c r="AD55" s="166">
        <f ca="1"/>
        <v>5.3143316132187812E-2</v>
      </c>
      <c r="AE55" s="140">
        <f ca="1"/>
        <v>8.9982800697777199E-2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.199999999999999" x14ac:dyDescent="0.2">
      <c r="A56" s="97">
        <f t="shared" ca="1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>
        <f t="array" aca="1" ref="N56:AE56" ca="1">IF(OR(B56="",NOT($J$2)),"",[3]!GetStripDefaultProbability(A56,B56,Parameter_Date,CDSRollDate,E56:M56,SpreadCurveMaturities,D56,C56,$J$4,$J$6))</f>
        <v>0</v>
      </c>
      <c r="O56" s="166">
        <f ca="1"/>
        <v>5.5976970645477131E-4</v>
      </c>
      <c r="P56" s="166">
        <f ca="1"/>
        <v>2.4868647357575435E-3</v>
      </c>
      <c r="Q56" s="166">
        <f ca="1"/>
        <v>7.2852370881738571E-3</v>
      </c>
      <c r="R56" s="166">
        <f ca="1"/>
        <v>1.3969990233609342E-2</v>
      </c>
      <c r="S56" s="166">
        <f ca="1"/>
        <v>0</v>
      </c>
      <c r="T56" s="166">
        <f ca="1"/>
        <v>3.0917953882941163E-2</v>
      </c>
      <c r="U56" s="166">
        <f ca="1"/>
        <v>5.2912291978478687E-2</v>
      </c>
      <c r="V56" s="140">
        <f ca="1"/>
        <v>8.8962047575243397E-2</v>
      </c>
      <c r="W56" s="139">
        <f ca="1"/>
        <v>0</v>
      </c>
      <c r="X56" s="166">
        <f ca="1"/>
        <v>6.5303351059242676E-4</v>
      </c>
      <c r="Y56" s="166">
        <f ca="1"/>
        <v>2.6531030713873305E-3</v>
      </c>
      <c r="Z56" s="166">
        <f ca="1"/>
        <v>7.6326264585211412E-3</v>
      </c>
      <c r="AA56" s="166">
        <f ca="1"/>
        <v>1.4661695393955232E-2</v>
      </c>
      <c r="AB56" s="166">
        <f ca="1"/>
        <v>0</v>
      </c>
      <c r="AC56" s="166">
        <f ca="1"/>
        <v>3.2439112509106804E-2</v>
      </c>
      <c r="AD56" s="166">
        <f ca="1"/>
        <v>5.5494523447188859E-2</v>
      </c>
      <c r="AE56" s="140">
        <f ca="1"/>
        <v>9.322485626102528E-2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.199999999999999" x14ac:dyDescent="0.2">
      <c r="A57" s="97">
        <f t="shared" ca="1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>
        <f t="array" aca="1" ref="N57:AE57" ca="1">IF(OR(B57="",NOT($J$2)),"",[3]!GetStripDefaultProbability(A57,B57,Parameter_Date,CDSRollDate,E57:M57,SpreadCurveMaturities,D57,C57,$J$4,$J$6))</f>
        <v>0</v>
      </c>
      <c r="O57" s="166">
        <f ca="1"/>
        <v>4.6649647376628689E-4</v>
      </c>
      <c r="P57" s="166">
        <f ca="1"/>
        <v>1.4179756342108663E-3</v>
      </c>
      <c r="Q57" s="166">
        <f ca="1"/>
        <v>4.867290882233144E-3</v>
      </c>
      <c r="R57" s="166">
        <f ca="1"/>
        <v>1.1467482644420768E-2</v>
      </c>
      <c r="S57" s="166">
        <f ca="1"/>
        <v>0</v>
      </c>
      <c r="T57" s="166">
        <f ca="1"/>
        <v>3.038900410503742E-2</v>
      </c>
      <c r="U57" s="166">
        <f ca="1"/>
        <v>5.2082522728499336E-2</v>
      </c>
      <c r="V57" s="140">
        <f ca="1"/>
        <v>9.1518634897342577E-2</v>
      </c>
      <c r="W57" s="139">
        <f ca="1"/>
        <v>0</v>
      </c>
      <c r="X57" s="166">
        <f ca="1"/>
        <v>5.5976917815403482E-4</v>
      </c>
      <c r="Y57" s="166">
        <f ca="1"/>
        <v>1.5843921031823971E-3</v>
      </c>
      <c r="Z57" s="166">
        <f ca="1"/>
        <v>5.1989465062567408E-3</v>
      </c>
      <c r="AA57" s="166">
        <f ca="1"/>
        <v>1.201102604084181E-2</v>
      </c>
      <c r="AB57" s="166">
        <f ca="1"/>
        <v>0</v>
      </c>
      <c r="AC57" s="166">
        <f ca="1"/>
        <v>3.1879854988621115E-2</v>
      </c>
      <c r="AD57" s="166">
        <f ca="1"/>
        <v>5.46219150446976E-2</v>
      </c>
      <c r="AE57" s="140">
        <f ca="1"/>
        <v>9.5898377440347127E-2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.199999999999999" x14ac:dyDescent="0.2">
      <c r="A58" s="97">
        <f t="shared" ca="1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>
        <f t="array" aca="1" ref="N58:AE58" ca="1">IF(OR(B58="",NOT($J$2)),"",[3]!GetStripDefaultProbability(A58,B58,Parameter_Date,CDSRollDate,E58:M58,SpreadCurveMaturities,D58,C58,$J$4,$J$6))</f>
        <v>0</v>
      </c>
      <c r="O58" s="166">
        <f ca="1"/>
        <v>1.1192267699196012E-3</v>
      </c>
      <c r="P58" s="166">
        <f ca="1"/>
        <v>3.0080192722674592E-3</v>
      </c>
      <c r="Q58" s="166">
        <f ca="1"/>
        <v>9.7056338526321229E-3</v>
      </c>
      <c r="R58" s="166">
        <f ca="1"/>
        <v>1.8064211663813889E-2</v>
      </c>
      <c r="S58" s="166">
        <f ca="1"/>
        <v>0</v>
      </c>
      <c r="T58" s="166">
        <f ca="1"/>
        <v>3.8441749995414942E-2</v>
      </c>
      <c r="U58" s="166">
        <f ca="1"/>
        <v>6.1863310761928858E-2</v>
      </c>
      <c r="V58" s="140">
        <f ca="1"/>
        <v>0.10503576267547376</v>
      </c>
      <c r="W58" s="139">
        <f ca="1"/>
        <v>0</v>
      </c>
      <c r="X58" s="166">
        <f ca="1"/>
        <v>1.2124363949111983E-3</v>
      </c>
      <c r="Y58" s="166">
        <f ca="1"/>
        <v>3.1741707560468679E-3</v>
      </c>
      <c r="Z58" s="166">
        <f ca="1"/>
        <v>1.0187224765522473E-2</v>
      </c>
      <c r="AA58" s="166">
        <f ca="1"/>
        <v>1.8958837554105101E-2</v>
      </c>
      <c r="AB58" s="166">
        <f ca="1"/>
        <v>0</v>
      </c>
      <c r="AC58" s="166">
        <f ca="1"/>
        <v>4.032749548339376E-2</v>
      </c>
      <c r="AD58" s="166">
        <f ca="1"/>
        <v>6.4868551924553985E-2</v>
      </c>
      <c r="AE58" s="140">
        <f ca="1"/>
        <v>0.11005486830767153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.199999999999999" x14ac:dyDescent="0.2">
      <c r="A59" s="97">
        <f t="shared" ca="1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>
        <f t="array" aca="1" ref="N59:AE59" ca="1">IF(OR(B59="",NOT($J$2)),"",[3]!GetStripDefaultProbability(A59,B59,Parameter_Date,CDSRollDate,E59:M59,SpreadCurveMaturities,D59,C59,$J$4,$J$6))</f>
        <v>0</v>
      </c>
      <c r="O59" s="166">
        <f ca="1"/>
        <v>7.4629011945415158E-4</v>
      </c>
      <c r="P59" s="166">
        <f ca="1"/>
        <v>2.303688737405718E-3</v>
      </c>
      <c r="Q59" s="166">
        <f ca="1"/>
        <v>7.9884382571985268E-3</v>
      </c>
      <c r="R59" s="166">
        <f ca="1"/>
        <v>1.5000734566490204E-2</v>
      </c>
      <c r="S59" s="166">
        <f ca="1"/>
        <v>0</v>
      </c>
      <c r="T59" s="166">
        <f ca="1"/>
        <v>3.258695132656797E-2</v>
      </c>
      <c r="U59" s="166">
        <f ca="1"/>
        <v>5.389769124570476E-2</v>
      </c>
      <c r="V59" s="140">
        <f ca="1"/>
        <v>9.4152179954304582E-2</v>
      </c>
      <c r="W59" s="139">
        <f ca="1"/>
        <v>0</v>
      </c>
      <c r="X59" s="166">
        <f ca="1"/>
        <v>8.3953601351138829E-4</v>
      </c>
      <c r="Y59" s="166">
        <f ca="1"/>
        <v>2.469957599831929E-3</v>
      </c>
      <c r="Z59" s="166">
        <f ca="1"/>
        <v>8.3686364798994939E-3</v>
      </c>
      <c r="AA59" s="166">
        <f ca="1"/>
        <v>1.5743369383149464E-2</v>
      </c>
      <c r="AB59" s="166">
        <f ca="1"/>
        <v>0</v>
      </c>
      <c r="AC59" s="166">
        <f ca="1"/>
        <v>3.4188987271228544E-2</v>
      </c>
      <c r="AD59" s="166">
        <f ca="1"/>
        <v>5.6525748625549599E-2</v>
      </c>
      <c r="AE59" s="140">
        <f ca="1"/>
        <v>9.8677367205618483E-2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.199999999999999" x14ac:dyDescent="0.2">
      <c r="A60" s="97">
        <f t="shared" ca="1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>
        <f t="array" aca="1" ref="N60:AE60" ca="1">IF(OR(B60="",NOT($J$2)),"",[3]!GetStripDefaultProbability(A60,B60,Parameter_Date,CDSRollDate,E60:M60,SpreadCurveMaturities,D60,C60,$J$4,$J$6))</f>
        <v>0</v>
      </c>
      <c r="O60" s="166">
        <f ca="1"/>
        <v>5.5976970645477131E-4</v>
      </c>
      <c r="P60" s="166">
        <f ca="1"/>
        <v>1.5942443069785206E-3</v>
      </c>
      <c r="Q60" s="166">
        <f ca="1"/>
        <v>4.5073148760623738E-3</v>
      </c>
      <c r="R60" s="166">
        <f ca="1"/>
        <v>8.8105260587364453E-3</v>
      </c>
      <c r="S60" s="166">
        <f ca="1"/>
        <v>0</v>
      </c>
      <c r="T60" s="166">
        <f ca="1"/>
        <v>1.8951897423611364E-2</v>
      </c>
      <c r="U60" s="166">
        <f ca="1"/>
        <v>3.1399294656342502E-2</v>
      </c>
      <c r="V60" s="140">
        <f ca="1"/>
        <v>5.5664141563587566E-2</v>
      </c>
      <c r="W60" s="139">
        <f ca="1"/>
        <v>0</v>
      </c>
      <c r="X60" s="166">
        <f ca="1"/>
        <v>6.5303351059242676E-4</v>
      </c>
      <c r="Y60" s="166">
        <f ca="1"/>
        <v>1.7606314002855949E-3</v>
      </c>
      <c r="Z60" s="166">
        <f ca="1"/>
        <v>4.8390904721100636E-3</v>
      </c>
      <c r="AA60" s="166">
        <f ca="1"/>
        <v>9.3059969176833013E-3</v>
      </c>
      <c r="AB60" s="166">
        <f ca="1"/>
        <v>0</v>
      </c>
      <c r="AC60" s="166">
        <f ca="1"/>
        <v>1.9876324690714653E-2</v>
      </c>
      <c r="AD60" s="166">
        <f ca="1"/>
        <v>3.2932641136716678E-2</v>
      </c>
      <c r="AE60" s="140">
        <f ca="1"/>
        <v>5.8361977640355556E-2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.199999999999999" x14ac:dyDescent="0.2">
      <c r="A61" s="97">
        <f t="shared" ca="1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>
        <f t="array" aca="1" ref="N61:AE61" ca="1">IF(OR(B61="",NOT($J$2)),"",[3]!GetStripDefaultProbability(A61,B61,Parameter_Date,CDSRollDate,E61:M61,SpreadCurveMaturities,D61,C61,$J$4,$J$6))</f>
        <v>0</v>
      </c>
      <c r="O61" s="166">
        <f ca="1"/>
        <v>7.4629011945415158E-4</v>
      </c>
      <c r="P61" s="166">
        <f ca="1"/>
        <v>1.9466883168717253E-3</v>
      </c>
      <c r="Q61" s="166">
        <f ca="1"/>
        <v>5.5441786962386885E-3</v>
      </c>
      <c r="R61" s="166">
        <f ca="1"/>
        <v>9.2770650459031989E-3</v>
      </c>
      <c r="S61" s="166">
        <f ca="1"/>
        <v>0</v>
      </c>
      <c r="T61" s="166">
        <f ca="1"/>
        <v>2.0640581026732163E-2</v>
      </c>
      <c r="U61" s="166">
        <f ca="1"/>
        <v>3.3720769938285655E-2</v>
      </c>
      <c r="V61" s="140">
        <f ca="1"/>
        <v>6.0827733042105647E-2</v>
      </c>
      <c r="W61" s="139">
        <f ca="1"/>
        <v>0</v>
      </c>
      <c r="X61" s="166">
        <f ca="1"/>
        <v>8.3953601351138829E-4</v>
      </c>
      <c r="Y61" s="166">
        <f ca="1"/>
        <v>2.1130166744011136E-3</v>
      </c>
      <c r="Z61" s="166">
        <f ca="1"/>
        <v>5.8756087286079284E-3</v>
      </c>
      <c r="AA61" s="166">
        <f ca="1"/>
        <v>9.7723026936430424E-3</v>
      </c>
      <c r="AB61" s="166">
        <f ca="1"/>
        <v>0</v>
      </c>
      <c r="AC61" s="166">
        <f ca="1"/>
        <v>2.1652956712295168E-2</v>
      </c>
      <c r="AD61" s="166">
        <f ca="1"/>
        <v>3.5371847657229227E-2</v>
      </c>
      <c r="AE61" s="140">
        <f ca="1"/>
        <v>6.3775130791538404E-2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.199999999999999" x14ac:dyDescent="0.2">
      <c r="A62" s="97">
        <f t="shared" ca="1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>
        <f t="array" aca="1" ref="N62:AE62" ca="1">IF(OR(B62="",NOT($J$2)),"",[3]!GetStripDefaultProbability(A62,B62,Parameter_Date,CDSRollDate,E62:M62,SpreadCurveMaturities,D62,C62,$J$4,$J$6))</f>
        <v>0</v>
      </c>
      <c r="O62" s="166">
        <f ca="1"/>
        <v>4.6649647376628689E-4</v>
      </c>
      <c r="P62" s="166">
        <f ca="1"/>
        <v>1.0607776163944482E-3</v>
      </c>
      <c r="Q62" s="166">
        <f ca="1"/>
        <v>4.1766586955125362E-3</v>
      </c>
      <c r="R62" s="166">
        <f ca="1"/>
        <v>8.8480558889270089E-3</v>
      </c>
      <c r="S62" s="166">
        <f ca="1"/>
        <v>0</v>
      </c>
      <c r="T62" s="166">
        <f ca="1"/>
        <v>2.3475519386312982E-2</v>
      </c>
      <c r="U62" s="166">
        <f ca="1"/>
        <v>4.0105043675279228E-2</v>
      </c>
      <c r="V62" s="140">
        <f ca="1"/>
        <v>6.9451716528340701E-2</v>
      </c>
      <c r="W62" s="139">
        <f ca="1"/>
        <v>0</v>
      </c>
      <c r="X62" s="166">
        <f ca="1"/>
        <v>5.5976917815403482E-4</v>
      </c>
      <c r="Y62" s="166">
        <f ca="1"/>
        <v>1.2272536134083634E-3</v>
      </c>
      <c r="Z62" s="166">
        <f ca="1"/>
        <v>4.5085444919210627E-3</v>
      </c>
      <c r="AA62" s="166">
        <f ca="1"/>
        <v>9.3435079876406091E-3</v>
      </c>
      <c r="AB62" s="166">
        <f ca="1"/>
        <v>0</v>
      </c>
      <c r="AC62" s="166">
        <f ca="1"/>
        <v>2.4620350916670475E-2</v>
      </c>
      <c r="AD62" s="166">
        <f ca="1"/>
        <v>4.20598863704571E-2</v>
      </c>
      <c r="AE62" s="140">
        <f ca="1"/>
        <v>7.2799443110313056E-2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.199999999999999" x14ac:dyDescent="0.2">
      <c r="A63" s="97">
        <f t="shared" ca="1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>
        <f t="array" aca="1" ref="N63:AE63" ca="1">IF(OR(B63="",NOT($J$2)),"",[3]!GetStripDefaultProbability(A63,B63,Parameter_Date,CDSRollDate,E63:M63,SpreadCurveMaturities,D63,C63,$J$4,$J$6))</f>
        <v>0</v>
      </c>
      <c r="O63" s="166">
        <f ca="1"/>
        <v>9.3277580402983951E-4</v>
      </c>
      <c r="P63" s="166">
        <f ca="1"/>
        <v>2.1205315768093591E-3</v>
      </c>
      <c r="Q63" s="166">
        <f ca="1"/>
        <v>5.1820021332938948E-3</v>
      </c>
      <c r="R63" s="166">
        <f ca="1"/>
        <v>1.1413329307670916E-2</v>
      </c>
      <c r="S63" s="166">
        <f ca="1"/>
        <v>0</v>
      </c>
      <c r="T63" s="166">
        <f ca="1"/>
        <v>2.5864018214776463E-2</v>
      </c>
      <c r="U63" s="166">
        <f ca="1"/>
        <v>4.3425094255630126E-2</v>
      </c>
      <c r="V63" s="140">
        <f ca="1"/>
        <v>7.985092286916895E-2</v>
      </c>
      <c r="W63" s="139">
        <f ca="1"/>
        <v>0</v>
      </c>
      <c r="X63" s="166">
        <f ca="1"/>
        <v>1.0260036394392769E-3</v>
      </c>
      <c r="Y63" s="166">
        <f ca="1"/>
        <v>2.2868309628797379E-3</v>
      </c>
      <c r="Z63" s="166">
        <f ca="1"/>
        <v>5.5135528710731352E-3</v>
      </c>
      <c r="AA63" s="166">
        <f ca="1"/>
        <v>1.1956902480233178E-2</v>
      </c>
      <c r="AB63" s="166">
        <f ca="1"/>
        <v>0</v>
      </c>
      <c r="AC63" s="166">
        <f ca="1"/>
        <v>2.713620884994572E-2</v>
      </c>
      <c r="AD63" s="166">
        <f ca="1"/>
        <v>4.5549766440938777E-2</v>
      </c>
      <c r="AE63" s="140">
        <f ca="1"/>
        <v>8.3694119966252201E-2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.199999999999999" x14ac:dyDescent="0.2">
      <c r="A64" s="97">
        <f t="shared" ca="1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>
        <f t="array" aca="1" ref="N64:AE64" ca="1">IF(OR(B64="",NOT($J$2)),"",[3]!GetStripDefaultProbability(A64,B64,Parameter_Date,CDSRollDate,E64:M64,SpreadCurveMaturities,D64,C64,$J$4,$J$6))</f>
        <v>0</v>
      </c>
      <c r="O64" s="166">
        <f ca="1"/>
        <v>2.799239499720052E-4</v>
      </c>
      <c r="P64" s="166">
        <f ca="1"/>
        <v>8.8670719766348327E-4</v>
      </c>
      <c r="Q64" s="166">
        <f ca="1"/>
        <v>3.4841229513721261E-3</v>
      </c>
      <c r="R64" s="166">
        <f ca="1"/>
        <v>7.8246934916494926E-3</v>
      </c>
      <c r="S64" s="166">
        <f ca="1"/>
        <v>0</v>
      </c>
      <c r="T64" s="166">
        <f ca="1"/>
        <v>2.0009091265895895E-2</v>
      </c>
      <c r="U64" s="166">
        <f ca="1"/>
        <v>3.5384979759734869E-2</v>
      </c>
      <c r="V64" s="140">
        <f ca="1"/>
        <v>5.9077103439299283E-2</v>
      </c>
      <c r="W64" s="139">
        <f ca="1"/>
        <v>0</v>
      </c>
      <c r="X64" s="166">
        <f ca="1"/>
        <v>3.7321434723358582E-4</v>
      </c>
      <c r="Y64" s="166">
        <f ca="1"/>
        <v>1.0532122039936809E-3</v>
      </c>
      <c r="Z64" s="166">
        <f ca="1"/>
        <v>3.8162395545482397E-3</v>
      </c>
      <c r="AA64" s="166">
        <f ca="1"/>
        <v>8.3206571436648114E-3</v>
      </c>
      <c r="AB64" s="166">
        <f ca="1"/>
        <v>0</v>
      </c>
      <c r="AC64" s="166">
        <f ca="1"/>
        <v>2.0978005316632076E-2</v>
      </c>
      <c r="AD64" s="166">
        <f ca="1"/>
        <v>3.7105486021357215E-2</v>
      </c>
      <c r="AE64" s="140">
        <f ca="1"/>
        <v>6.1930004161832919E-2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.199999999999999" x14ac:dyDescent="0.2">
      <c r="A65" s="97">
        <f t="shared" ca="1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>
        <f t="array" aca="1" ref="N65:AE65" ca="1">IF(OR(B65="",NOT($J$2)),"",[3]!GetStripDefaultProbability(A65,B65,Parameter_Date,CDSRollDate,E65:M65,SpreadCurveMaturities,D65,C65,$J$4,$J$6))</f>
        <v>0</v>
      </c>
      <c r="O65" s="166">
        <f ca="1"/>
        <v>2.799239499720052E-4</v>
      </c>
      <c r="P65" s="166">
        <f ca="1"/>
        <v>8.8670719766348327E-4</v>
      </c>
      <c r="Q65" s="166">
        <f ca="1"/>
        <v>3.4841229513721261E-3</v>
      </c>
      <c r="R65" s="166">
        <f ca="1"/>
        <v>6.7571933992420785E-3</v>
      </c>
      <c r="S65" s="166">
        <f ca="1"/>
        <v>0</v>
      </c>
      <c r="T65" s="166">
        <f ca="1"/>
        <v>1.739009491228849E-2</v>
      </c>
      <c r="U65" s="166">
        <f ca="1"/>
        <v>2.9202683696089138E-2</v>
      </c>
      <c r="V65" s="140">
        <f ca="1"/>
        <v>5.0611916198665563E-2</v>
      </c>
      <c r="W65" s="139">
        <f ca="1"/>
        <v>0</v>
      </c>
      <c r="X65" s="166">
        <f ca="1"/>
        <v>3.7321434723358582E-4</v>
      </c>
      <c r="Y65" s="166">
        <f ca="1"/>
        <v>1.0532122039936809E-3</v>
      </c>
      <c r="Z65" s="166">
        <f ca="1"/>
        <v>3.8162395545482397E-3</v>
      </c>
      <c r="AA65" s="166">
        <f ca="1"/>
        <v>7.2536906678892787E-3</v>
      </c>
      <c r="AB65" s="166">
        <f ca="1"/>
        <v>0</v>
      </c>
      <c r="AC65" s="166">
        <f ca="1"/>
        <v>1.8208595410654449E-2</v>
      </c>
      <c r="AD65" s="166">
        <f ca="1"/>
        <v>3.0620067885212765E-2</v>
      </c>
      <c r="AE65" s="140">
        <f ca="1"/>
        <v>5.3060319221868379E-2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.199999999999999" x14ac:dyDescent="0.2">
      <c r="A66" s="97">
        <f t="shared" ca="1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>
        <f t="array" aca="1" ref="N66:AE66" ca="1">IF(OR(B66="",NOT($J$2)),"",[3]!GetStripDefaultProbability(A66,B66,Parameter_Date,CDSRollDate,E66:M66,SpreadCurveMaturities,D66,C66,$J$4,$J$6))</f>
        <v>0</v>
      </c>
      <c r="O66" s="166">
        <f ca="1"/>
        <v>1.8662465644081472E-4</v>
      </c>
      <c r="P66" s="166">
        <f ca="1"/>
        <v>8.8898287499306061E-4</v>
      </c>
      <c r="Q66" s="166">
        <f ca="1"/>
        <v>3.838156259684089E-3</v>
      </c>
      <c r="R66" s="166">
        <f ca="1"/>
        <v>7.2771125037282003E-3</v>
      </c>
      <c r="S66" s="166">
        <f ca="1"/>
        <v>0</v>
      </c>
      <c r="T66" s="166">
        <f ca="1"/>
        <v>1.8236651611680976E-2</v>
      </c>
      <c r="U66" s="166">
        <f ca="1"/>
        <v>3.0367297518244629E-2</v>
      </c>
      <c r="V66" s="140">
        <f ca="1"/>
        <v>5.223579154271607E-2</v>
      </c>
      <c r="W66" s="139">
        <f ca="1"/>
        <v>0</v>
      </c>
      <c r="X66" s="166">
        <f ca="1"/>
        <v>2.799238471393739E-4</v>
      </c>
      <c r="Y66" s="166">
        <f ca="1"/>
        <v>1.0554875020748478E-3</v>
      </c>
      <c r="Z66" s="166">
        <f ca="1"/>
        <v>4.1701548714337955E-3</v>
      </c>
      <c r="AA66" s="166">
        <f ca="1"/>
        <v>7.7733498778103094E-3</v>
      </c>
      <c r="AB66" s="166">
        <f ca="1"/>
        <v>0</v>
      </c>
      <c r="AC66" s="166">
        <f ca="1"/>
        <v>1.9117197920441531E-2</v>
      </c>
      <c r="AD66" s="166">
        <f ca="1"/>
        <v>3.1842066044506234E-2</v>
      </c>
      <c r="AE66" s="140">
        <f ca="1"/>
        <v>5.4762023826658401E-2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.199999999999999" x14ac:dyDescent="0.2">
      <c r="A67" s="97">
        <f t="shared" ca="1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>
        <f t="array" aca="1" ref="N67:AE67" ca="1">IF(OR(B67="",NOT($J$2)),"",[3]!GetStripDefaultProbability(A67,B67,Parameter_Date,CDSRollDate,E67:M67,SpreadCurveMaturities,D67,C67,$J$4,$J$6))</f>
        <v>0</v>
      </c>
      <c r="O67" s="166">
        <f ca="1"/>
        <v>8.0223947087365577E-4</v>
      </c>
      <c r="P67" s="166">
        <f ca="1"/>
        <v>2.3022844157017941E-3</v>
      </c>
      <c r="Q67" s="166">
        <f ca="1"/>
        <v>6.8642683722616171E-3</v>
      </c>
      <c r="R67" s="166">
        <f ca="1"/>
        <v>1.2447862083945549E-2</v>
      </c>
      <c r="S67" s="166">
        <f ca="1"/>
        <v>0</v>
      </c>
      <c r="T67" s="166">
        <f ca="1"/>
        <v>2.6590591625168747E-2</v>
      </c>
      <c r="U67" s="166">
        <f ca="1"/>
        <v>4.2384300927073237E-2</v>
      </c>
      <c r="V67" s="140">
        <f ca="1"/>
        <v>6.817974349763134E-2</v>
      </c>
      <c r="W67" s="139">
        <f ca="1"/>
        <v>0</v>
      </c>
      <c r="X67" s="166">
        <f ca="1"/>
        <v>8.9547996308436684E-4</v>
      </c>
      <c r="Y67" s="166">
        <f ca="1"/>
        <v>2.468553512164906E-3</v>
      </c>
      <c r="Z67" s="166">
        <f ca="1"/>
        <v>7.1952584480513559E-3</v>
      </c>
      <c r="AA67" s="166">
        <f ca="1"/>
        <v>1.306399546404835E-2</v>
      </c>
      <c r="AB67" s="166">
        <f ca="1"/>
        <v>0</v>
      </c>
      <c r="AC67" s="166">
        <f ca="1"/>
        <v>2.7900623679631753E-2</v>
      </c>
      <c r="AD67" s="166">
        <f ca="1"/>
        <v>4.4460062425361602E-2</v>
      </c>
      <c r="AE67" s="140">
        <f ca="1"/>
        <v>7.147502584319565E-2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.199999999999999" x14ac:dyDescent="0.2">
      <c r="A68" s="97">
        <f t="shared" ca="1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>
        <f t="array" aca="1" ref="N68:AE68" ca="1">IF(OR(B68="",NOT($J$2)),"",[3]!GetStripDefaultProbability(A68,B68,Parameter_Date,CDSRollDate,E68:M68,SpreadCurveMaturities,D68,C68,$J$4,$J$6))</f>
        <v>0</v>
      </c>
      <c r="O68" s="166">
        <f ca="1"/>
        <v>9.3277580402983951E-4</v>
      </c>
      <c r="P68" s="166">
        <f ca="1"/>
        <v>3.1911675109487225E-3</v>
      </c>
      <c r="Q68" s="166">
        <f ca="1"/>
        <v>8.6527384925119133E-3</v>
      </c>
      <c r="R68" s="166">
        <f ca="1"/>
        <v>1.9175936827869666E-2</v>
      </c>
      <c r="S68" s="166">
        <f ca="1"/>
        <v>0</v>
      </c>
      <c r="T68" s="166">
        <f ca="1"/>
        <v>4.7270911977248198E-2</v>
      </c>
      <c r="U68" s="166">
        <f ca="1"/>
        <v>8.2584955930649628E-2</v>
      </c>
      <c r="V68" s="140">
        <f ca="1"/>
        <v>0.13998640192065159</v>
      </c>
      <c r="W68" s="139">
        <f ca="1"/>
        <v>0</v>
      </c>
      <c r="X68" s="166">
        <f ca="1"/>
        <v>1.0260036394392769E-3</v>
      </c>
      <c r="Y68" s="166">
        <f ca="1"/>
        <v>3.3572884725582286E-3</v>
      </c>
      <c r="Z68" s="166">
        <f ca="1"/>
        <v>9.0657138089633715E-3</v>
      </c>
      <c r="AA68" s="166">
        <f ca="1"/>
        <v>2.0126617769397948E-2</v>
      </c>
      <c r="AB68" s="166">
        <f ca="1"/>
        <v>0</v>
      </c>
      <c r="AC68" s="166">
        <f ca="1"/>
        <v>4.9583794189706709E-2</v>
      </c>
      <c r="AD68" s="166">
        <f ca="1"/>
        <v>8.6569639430935208E-2</v>
      </c>
      <c r="AE68" s="140">
        <f ca="1"/>
        <v>0.14659050807218554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.199999999999999" x14ac:dyDescent="0.2">
      <c r="A69" s="97">
        <f t="shared" ca="1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>
        <f t="array" aca="1" ref="N69:AE69" ca="1">IF(OR(B69="",NOT($J$2)),"",[3]!GetStripDefaultProbability(A69,B69,Parameter_Date,CDSRollDate,E69:M69,SpreadCurveMaturities,D69,C69,$J$4,$J$6))</f>
        <v>0</v>
      </c>
      <c r="O69" s="166">
        <f ca="1"/>
        <v>1.5852023538636129E-3</v>
      </c>
      <c r="P69" s="166">
        <f ca="1"/>
        <v>3.7094478121537655E-3</v>
      </c>
      <c r="Q69" s="166">
        <f ca="1"/>
        <v>1.0017511005384283E-2</v>
      </c>
      <c r="R69" s="166">
        <f ca="1"/>
        <v>2.2777048913238174E-2</v>
      </c>
      <c r="S69" s="166">
        <f ca="1"/>
        <v>0</v>
      </c>
      <c r="T69" s="166">
        <f ca="1"/>
        <v>5.1274213136266678E-2</v>
      </c>
      <c r="U69" s="166">
        <f ca="1"/>
        <v>8.9280564497400072E-2</v>
      </c>
      <c r="V69" s="140">
        <f ca="1"/>
        <v>0.15447269700607535</v>
      </c>
      <c r="W69" s="139">
        <f ca="1"/>
        <v>0</v>
      </c>
      <c r="X69" s="166">
        <f ca="1"/>
        <v>1.6783657687193809E-3</v>
      </c>
      <c r="Y69" s="166">
        <f ca="1"/>
        <v>3.8837834039717745E-3</v>
      </c>
      <c r="Z69" s="166">
        <f ca="1"/>
        <v>1.0516033015369852E-2</v>
      </c>
      <c r="AA69" s="166">
        <f ca="1"/>
        <v>2.3905478323757112E-2</v>
      </c>
      <c r="AB69" s="166">
        <f ca="1"/>
        <v>0</v>
      </c>
      <c r="AC69" s="166">
        <f ca="1"/>
        <v>5.3777912020591567E-2</v>
      </c>
      <c r="AD69" s="166">
        <f ca="1"/>
        <v>9.357281553315111E-2</v>
      </c>
      <c r="AE69" s="140">
        <f ca="1"/>
        <v>0.16171710405126005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.199999999999999" x14ac:dyDescent="0.2">
      <c r="A70" s="97">
        <f t="shared" ca="1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>
        <f t="array" aca="1" ref="N70:AE70" ca="1">IF(OR(B70="",NOT($J$2)),"",[3]!GetStripDefaultProbability(A70,B70,Parameter_Date,CDSRollDate,E70:M70,SpreadCurveMaturities,D70,C70,$J$4,$J$6))</f>
        <v>0</v>
      </c>
      <c r="O70" s="166">
        <f ca="1"/>
        <v>3.7321455535799242E-4</v>
      </c>
      <c r="P70" s="166">
        <f ca="1"/>
        <v>1.5988606883324818E-3</v>
      </c>
      <c r="Q70" s="166">
        <f ca="1"/>
        <v>5.2148065811132849E-3</v>
      </c>
      <c r="R70" s="166">
        <f ca="1"/>
        <v>1.1446844445374693E-2</v>
      </c>
      <c r="S70" s="166">
        <f ca="1"/>
        <v>0</v>
      </c>
      <c r="T70" s="166">
        <f ca="1"/>
        <v>3.0367615362789646E-2</v>
      </c>
      <c r="U70" s="166">
        <f ca="1"/>
        <v>5.4648167127042568E-2</v>
      </c>
      <c r="V70" s="140">
        <f ca="1"/>
        <v>9.6806986884738877E-2</v>
      </c>
      <c r="W70" s="139">
        <f ca="1"/>
        <v>0</v>
      </c>
      <c r="X70" s="166">
        <f ca="1"/>
        <v>4.6649612398852458E-4</v>
      </c>
      <c r="Y70" s="166">
        <f ca="1"/>
        <v>1.7652470123107333E-3</v>
      </c>
      <c r="Z70" s="166">
        <f ca="1"/>
        <v>5.5463463858930195E-3</v>
      </c>
      <c r="AA70" s="166">
        <f ca="1"/>
        <v>1.1990399189656831E-2</v>
      </c>
      <c r="AB70" s="166">
        <f ca="1"/>
        <v>0</v>
      </c>
      <c r="AC70" s="166">
        <f ca="1"/>
        <v>3.1858350345182807E-2</v>
      </c>
      <c r="AD70" s="166">
        <f ca="1"/>
        <v>5.7312061837794692E-2</v>
      </c>
      <c r="AE70" s="140">
        <f ca="1"/>
        <v>0.10145996913408484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.199999999999999" x14ac:dyDescent="0.2">
      <c r="A71" s="97">
        <f t="shared" ca="1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>
        <f t="array" aca="1" ref="N71:AE71" ca="1">IF(OR(B71="",NOT($J$2)),"",[3]!GetStripDefaultProbability(A71,B71,Parameter_Date,CDSRollDate,E71:M71,SpreadCurveMaturities,D71,C71,$J$4,$J$6))</f>
        <v>0</v>
      </c>
      <c r="O71" s="166">
        <f ca="1"/>
        <v>1.0726172827926206E-3</v>
      </c>
      <c r="P71" s="166">
        <f ca="1"/>
        <v>2.5453224899570914E-3</v>
      </c>
      <c r="Q71" s="166">
        <f ca="1"/>
        <v>6.9537346259269661E-3</v>
      </c>
      <c r="R71" s="166">
        <f ca="1"/>
        <v>1.2160853955020423E-2</v>
      </c>
      <c r="S71" s="166">
        <f ca="1"/>
        <v>0</v>
      </c>
      <c r="T71" s="166">
        <f ca="1"/>
        <v>2.5695211648438354E-2</v>
      </c>
      <c r="U71" s="166">
        <f ca="1"/>
        <v>4.1047763278386329E-2</v>
      </c>
      <c r="V71" s="140">
        <f ca="1"/>
        <v>6.6545152583248557E-2</v>
      </c>
      <c r="W71" s="139">
        <f ca="1"/>
        <v>0</v>
      </c>
      <c r="X71" s="166">
        <f ca="1"/>
        <v>1.1658314747735599E-3</v>
      </c>
      <c r="Y71" s="166">
        <f ca="1"/>
        <v>2.7115510834365697E-3</v>
      </c>
      <c r="Z71" s="166">
        <f ca="1"/>
        <v>7.2863494087256342E-3</v>
      </c>
      <c r="AA71" s="166">
        <f ca="1"/>
        <v>1.2763643063036234E-2</v>
      </c>
      <c r="AB71" s="166">
        <f ca="1"/>
        <v>0</v>
      </c>
      <c r="AC71" s="166">
        <f ca="1"/>
        <v>2.6962341145327029E-2</v>
      </c>
      <c r="AD71" s="166">
        <f ca="1"/>
        <v>4.3059943906840425E-2</v>
      </c>
      <c r="AE71" s="140">
        <f ca="1"/>
        <v>6.9764965734960049E-2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.199999999999999" x14ac:dyDescent="0.2">
      <c r="A72" s="97">
        <f t="shared" ca="1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>
        <f t="array" aca="1" ref="N72:AE72" ca="1">IF(OR(B72="",NOT($J$2)),"",[3]!GetStripDefaultProbability(A72,B72,Parameter_Date,CDSRollDate,E72:M72,SpreadCurveMaturities,D72,C72,$J$4,$J$6))</f>
        <v>0</v>
      </c>
      <c r="O72" s="166">
        <f ca="1"/>
        <v>6.5303425461338271E-4</v>
      </c>
      <c r="P72" s="166">
        <f ca="1"/>
        <v>2.1275283814861101E-3</v>
      </c>
      <c r="Q72" s="166">
        <f ca="1"/>
        <v>8.3480233956073624E-3</v>
      </c>
      <c r="R72" s="166">
        <f ca="1"/>
        <v>1.6586465874406042E-2</v>
      </c>
      <c r="S72" s="166">
        <f ca="1"/>
        <v>0</v>
      </c>
      <c r="T72" s="166">
        <f ca="1"/>
        <v>4.0459101765327077E-2</v>
      </c>
      <c r="U72" s="166">
        <f ca="1"/>
        <v>6.7046169046499848E-2</v>
      </c>
      <c r="V72" s="140">
        <f ca="1"/>
        <v>0.12123875037882204</v>
      </c>
      <c r="W72" s="139">
        <f ca="1"/>
        <v>0</v>
      </c>
      <c r="X72" s="166">
        <f ca="1"/>
        <v>7.4628912209839804E-4</v>
      </c>
      <c r="Y72" s="166">
        <f ca="1"/>
        <v>2.2938266015211095E-3</v>
      </c>
      <c r="Z72" s="166">
        <f ca="1"/>
        <v>8.7446048646560026E-3</v>
      </c>
      <c r="AA72" s="166">
        <f ca="1"/>
        <v>1.7407133494027782E-2</v>
      </c>
      <c r="AB72" s="166">
        <f ca="1"/>
        <v>0</v>
      </c>
      <c r="AC72" s="166">
        <f ca="1"/>
        <v>4.2442240413245513E-2</v>
      </c>
      <c r="AD72" s="166">
        <f ca="1"/>
        <v>7.0298730510552798E-2</v>
      </c>
      <c r="AE72" s="140">
        <f ca="1"/>
        <v>0.12700955972557759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.199999999999999" x14ac:dyDescent="0.2">
      <c r="A73" s="97">
        <f t="shared" ca="1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>
        <f t="array" aca="1" ref="N73:AE73" ca="1">IF(OR(B73="",NOT($J$2)),"",[3]!GetStripDefaultProbability(A73,B73,Parameter_Date,CDSRollDate,E73:M73,SpreadCurveMaturities,D73,C73,$J$4,$J$6))</f>
        <v>0</v>
      </c>
      <c r="O73" s="166">
        <f ca="1"/>
        <v>3.7321455535799242E-4</v>
      </c>
      <c r="P73" s="166">
        <f ca="1"/>
        <v>1.0630611822488589E-3</v>
      </c>
      <c r="Q73" s="166">
        <f ca="1"/>
        <v>3.8273671043834723E-3</v>
      </c>
      <c r="R73" s="166">
        <f ca="1"/>
        <v>7.2662306785012953E-3</v>
      </c>
      <c r="S73" s="166">
        <f ca="1"/>
        <v>0</v>
      </c>
      <c r="T73" s="166">
        <f ca="1"/>
        <v>2.0920109861846559E-2</v>
      </c>
      <c r="U73" s="166">
        <f ca="1"/>
        <v>3.9218430156084838E-2</v>
      </c>
      <c r="V73" s="140">
        <f ca="1"/>
        <v>7.1977434941885798E-2</v>
      </c>
      <c r="W73" s="139">
        <f ca="1"/>
        <v>0</v>
      </c>
      <c r="X73" s="166">
        <f ca="1"/>
        <v>4.6649612398852458E-4</v>
      </c>
      <c r="Y73" s="166">
        <f ca="1"/>
        <v>1.2295367987036343E-3</v>
      </c>
      <c r="Z73" s="166">
        <f ca="1"/>
        <v>4.1593693119061914E-3</v>
      </c>
      <c r="AA73" s="166">
        <f ca="1"/>
        <v>7.7624734921042382E-3</v>
      </c>
      <c r="AB73" s="166">
        <f ca="1"/>
        <v>0</v>
      </c>
      <c r="AC73" s="166">
        <f ca="1"/>
        <v>2.1933042134880121E-2</v>
      </c>
      <c r="AD73" s="166">
        <f ca="1"/>
        <v>4.1124813082648703E-2</v>
      </c>
      <c r="AE73" s="140">
        <f ca="1"/>
        <v>7.5440699059770355E-2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.199999999999999" x14ac:dyDescent="0.2">
      <c r="A74" s="97">
        <f t="shared" ca="1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>
        <f t="array" aca="1" ref="N74:AE74" ca="1">IF(OR(B74="",NOT($J$2)),"",[3]!GetStripDefaultProbability(A74,B74,Parameter_Date,CDSRollDate,E74:M74,SpreadCurveMaturities,D74,C74,$J$4,$J$6))</f>
        <v>0</v>
      </c>
      <c r="O74" s="166">
        <f ca="1"/>
        <v>5.5976970645477131E-4</v>
      </c>
      <c r="P74" s="166">
        <f ca="1"/>
        <v>1.9513369250531154E-3</v>
      </c>
      <c r="Q74" s="166">
        <f ca="1"/>
        <v>6.9533561304238045E-3</v>
      </c>
      <c r="R74" s="166">
        <f ca="1"/>
        <v>1.3474445215990283E-2</v>
      </c>
      <c r="S74" s="166">
        <f ca="1"/>
        <v>0</v>
      </c>
      <c r="T74" s="166">
        <f ca="1"/>
        <v>2.9210609742113536E-2</v>
      </c>
      <c r="U74" s="166">
        <f ca="1"/>
        <v>4.9300715110761728E-2</v>
      </c>
      <c r="V74" s="140">
        <f ca="1"/>
        <v>8.4063176675099882E-2</v>
      </c>
      <c r="W74" s="139">
        <f ca="1"/>
        <v>0</v>
      </c>
      <c r="X74" s="166">
        <f ca="1"/>
        <v>6.5303351059242676E-4</v>
      </c>
      <c r="Y74" s="166">
        <f ca="1"/>
        <v>2.1176645078776479E-3</v>
      </c>
      <c r="Z74" s="166">
        <f ca="1"/>
        <v>7.2843165152594036E-3</v>
      </c>
      <c r="AA74" s="166">
        <f ca="1"/>
        <v>1.4140740918002548E-2</v>
      </c>
      <c r="AB74" s="166">
        <f ca="1"/>
        <v>0</v>
      </c>
      <c r="AC74" s="166">
        <f ca="1"/>
        <v>3.0647783796317052E-2</v>
      </c>
      <c r="AD74" s="166">
        <f ca="1"/>
        <v>5.1709018418395591E-2</v>
      </c>
      <c r="AE74" s="140">
        <f ca="1"/>
        <v>8.8099792001671839E-2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.199999999999999" x14ac:dyDescent="0.2">
      <c r="A75" s="97">
        <f t="shared" ca="1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>
        <f t="array" aca="1" ref="N75:AE75" ca="1">IF(OR(B75="",NOT($J$2)),"",[3]!GetStripDefaultProbability(A75,B75,Parameter_Date,CDSRollDate,E75:M75,SpreadCurveMaturities,D75,C75,$J$4,$J$6))</f>
        <v>0</v>
      </c>
      <c r="O75" s="166">
        <f ca="1"/>
        <v>1.8662465644081472E-4</v>
      </c>
      <c r="P75" s="166">
        <f ca="1"/>
        <v>5.3164644967418351E-4</v>
      </c>
      <c r="Q75" s="166">
        <f ca="1"/>
        <v>2.0910443952583124E-3</v>
      </c>
      <c r="R75" s="166">
        <f ca="1"/>
        <v>4.6993295173533012E-3</v>
      </c>
      <c r="S75" s="166">
        <f ca="1"/>
        <v>0</v>
      </c>
      <c r="T75" s="166">
        <f ca="1"/>
        <v>1.1316873248300219E-2</v>
      </c>
      <c r="U75" s="166">
        <f ca="1"/>
        <v>2.219716759442425E-2</v>
      </c>
      <c r="V75" s="140">
        <f ca="1"/>
        <v>4.4730863779209207E-2</v>
      </c>
      <c r="W75" s="139">
        <f ca="1"/>
        <v>0</v>
      </c>
      <c r="X75" s="166">
        <f ca="1"/>
        <v>2.799238471393739E-4</v>
      </c>
      <c r="Y75" s="166">
        <f ca="1"/>
        <v>6.9821062786523669E-4</v>
      </c>
      <c r="Z75" s="166">
        <f ca="1"/>
        <v>2.4236252805479586E-3</v>
      </c>
      <c r="AA75" s="166">
        <f ca="1"/>
        <v>5.1968554607486617E-3</v>
      </c>
      <c r="AB75" s="166">
        <f ca="1"/>
        <v>0</v>
      </c>
      <c r="AC75" s="166">
        <f ca="1"/>
        <v>1.214043265653586E-2</v>
      </c>
      <c r="AD75" s="166">
        <f ca="1"/>
        <v>2.3361304687627427E-2</v>
      </c>
      <c r="AE75" s="140">
        <f ca="1"/>
        <v>4.6840256747974873E-2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.199999999999999" x14ac:dyDescent="0.2">
      <c r="A76" s="97">
        <f t="shared" ca="1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>
        <f t="array" aca="1" ref="N76:AE76" ca="1">IF(OR(B76="",NOT($J$2)),"",[3]!GetStripDefaultProbability(A76,B76,Parameter_Date,CDSRollDate,E76:M76,SpreadCurveMaturities,D76,C76,$J$4,$J$6))</f>
        <v>0</v>
      </c>
      <c r="O76" s="166">
        <f ca="1"/>
        <v>8.5818569699469549E-4</v>
      </c>
      <c r="P76" s="166">
        <f ca="1"/>
        <v>2.4615021288583172E-3</v>
      </c>
      <c r="Q76" s="166">
        <f ca="1"/>
        <v>7.2080229332227574E-3</v>
      </c>
      <c r="R76" s="166">
        <f ca="1"/>
        <v>1.284942031797065E-2</v>
      </c>
      <c r="S76" s="166">
        <f ca="1"/>
        <v>0</v>
      </c>
      <c r="T76" s="166">
        <f ca="1"/>
        <v>2.5641044772076294E-2</v>
      </c>
      <c r="U76" s="166">
        <f ca="1"/>
        <v>3.9954628440886708E-2</v>
      </c>
      <c r="V76" s="140">
        <f ca="1"/>
        <v>6.2784284518967781E-2</v>
      </c>
      <c r="W76" s="139">
        <f ca="1"/>
        <v>0</v>
      </c>
      <c r="X76" s="166">
        <f ca="1"/>
        <v>9.5142077389065438E-4</v>
      </c>
      <c r="Y76" s="166">
        <f ca="1"/>
        <v>2.6277446912373881E-3</v>
      </c>
      <c r="Z76" s="166">
        <f ca="1"/>
        <v>7.5521311697354099E-3</v>
      </c>
      <c r="AA76" s="166">
        <f ca="1"/>
        <v>1.3485933365011138E-2</v>
      </c>
      <c r="AB76" s="166">
        <f ca="1"/>
        <v>0</v>
      </c>
      <c r="AC76" s="166">
        <f ca="1"/>
        <v>2.6904969105852827E-2</v>
      </c>
      <c r="AD76" s="166">
        <f ca="1"/>
        <v>4.1912950745016997E-2</v>
      </c>
      <c r="AE76" s="140">
        <f ca="1"/>
        <v>6.5825102282237591E-2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.199999999999999" x14ac:dyDescent="0.2">
      <c r="A77" s="97">
        <f t="shared" ca="1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>
        <f t="array" aca="1" ref="N77:AE77" ca="1">IF(OR(B77="",NOT($J$2)),"",[3]!GetStripDefaultProbability(A77,B77,Parameter_Date,CDSRollDate,E77:M77,SpreadCurveMaturities,D77,C77,$J$4,$J$6))</f>
        <v>0</v>
      </c>
      <c r="O77" s="166">
        <f ca="1"/>
        <v>2.237204014953087E-3</v>
      </c>
      <c r="P77" s="166">
        <f ca="1"/>
        <v>5.6523146192013485E-3</v>
      </c>
      <c r="Q77" s="166">
        <f ca="1"/>
        <v>1.6914118307101655E-2</v>
      </c>
      <c r="R77" s="166">
        <f ca="1"/>
        <v>3.4448746376293249E-2</v>
      </c>
      <c r="S77" s="166">
        <f ca="1"/>
        <v>0</v>
      </c>
      <c r="T77" s="166">
        <f ca="1"/>
        <v>8.7261208930935474E-2</v>
      </c>
      <c r="U77" s="166">
        <f ca="1"/>
        <v>0.14301263849935086</v>
      </c>
      <c r="V77" s="140">
        <f ca="1"/>
        <v>0.22807699135989445</v>
      </c>
      <c r="W77" s="139">
        <f ca="1"/>
        <v>0</v>
      </c>
      <c r="X77" s="166">
        <f ca="1"/>
        <v>2.3489214696632565E-3</v>
      </c>
      <c r="Y77" s="166">
        <f ca="1"/>
        <v>5.9174386505350673E-3</v>
      </c>
      <c r="Z77" s="166">
        <f ca="1"/>
        <v>1.7753934332784271E-2</v>
      </c>
      <c r="AA77" s="166">
        <f ca="1"/>
        <v>3.6147113734848579E-2</v>
      </c>
      <c r="AB77" s="166">
        <f ca="1"/>
        <v>0</v>
      </c>
      <c r="AC77" s="166">
        <f ca="1"/>
        <v>9.1479486127497789E-2</v>
      </c>
      <c r="AD77" s="166">
        <f ca="1"/>
        <v>0.14974837576564926</v>
      </c>
      <c r="AE77" s="140">
        <f ca="1"/>
        <v>0.23834598941404084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.199999999999999" x14ac:dyDescent="0.2">
      <c r="A78" s="97">
        <f t="shared" ref="A78:A133" ca="1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>
        <f t="array" aca="1" ref="N78:AE78" ca="1">IF(OR(B78="",NOT($J$2)),"",[3]!GetStripDefaultProbability(A78,B78,Parameter_Date,CDSRollDate,E78:M78,SpreadCurveMaturities,D78,C78,$J$4,$J$6))</f>
        <v>0</v>
      </c>
      <c r="O78" s="166">
        <f ca="1"/>
        <v>5.5976970645477131E-4</v>
      </c>
      <c r="P78" s="166">
        <f ca="1"/>
        <v>1.9513369250531154E-3</v>
      </c>
      <c r="Q78" s="166">
        <f ca="1"/>
        <v>7.3043241163540662E-3</v>
      </c>
      <c r="R78" s="166">
        <f ca="1"/>
        <v>1.4521136419065717E-2</v>
      </c>
      <c r="S78" s="166">
        <f ca="1"/>
        <v>0</v>
      </c>
      <c r="T78" s="166">
        <f ca="1"/>
        <v>3.4461984381757849E-2</v>
      </c>
      <c r="U78" s="166">
        <f ca="1"/>
        <v>5.7669872578715142E-2</v>
      </c>
      <c r="V78" s="140">
        <f ca="1"/>
        <v>0.10485947270393559</v>
      </c>
      <c r="W78" s="139">
        <f ca="1"/>
        <v>0</v>
      </c>
      <c r="X78" s="166">
        <f ca="1"/>
        <v>6.5303351059242676E-4</v>
      </c>
      <c r="Y78" s="166">
        <f ca="1"/>
        <v>2.1176645078776479E-3</v>
      </c>
      <c r="Z78" s="166">
        <f ca="1"/>
        <v>7.6517068074009043E-3</v>
      </c>
      <c r="AA78" s="166">
        <f ca="1"/>
        <v>1.5239260928441856E-2</v>
      </c>
      <c r="AB78" s="166">
        <f ca="1"/>
        <v>0</v>
      </c>
      <c r="AC78" s="166">
        <f ca="1"/>
        <v>3.6154688135380586E-2</v>
      </c>
      <c r="AD78" s="166">
        <f ca="1"/>
        <v>6.0478237688078029E-2</v>
      </c>
      <c r="AE78" s="140">
        <f ca="1"/>
        <v>0.10988451844287883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.199999999999999" x14ac:dyDescent="0.2">
      <c r="A79" s="97">
        <f t="shared" ca="1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>
        <f t="array" aca="1" ref="N79:AE79" ca="1">IF(OR(B79="",NOT($J$2)),"",[3]!GetStripDefaultProbability(A79,B79,Parameter_Date,CDSRollDate,E79:M79,SpreadCurveMaturities,D79,C79,$J$4,$J$6))</f>
        <v>0</v>
      </c>
      <c r="O79" s="166">
        <f ca="1"/>
        <v>9.3277580402983951E-4</v>
      </c>
      <c r="P79" s="166">
        <f ca="1"/>
        <v>2.4774694480839132E-3</v>
      </c>
      <c r="Q79" s="166">
        <f ca="1"/>
        <v>7.626448886119519E-3</v>
      </c>
      <c r="R79" s="166">
        <f ca="1"/>
        <v>1.7131512309125352E-2</v>
      </c>
      <c r="S79" s="166">
        <f ca="1"/>
        <v>0</v>
      </c>
      <c r="T79" s="166">
        <f ca="1"/>
        <v>4.3980265283134923E-2</v>
      </c>
      <c r="U79" s="166">
        <f ca="1"/>
        <v>7.5586692856481674E-2</v>
      </c>
      <c r="V79" s="140">
        <f ca="1"/>
        <v>0.12880784880471974</v>
      </c>
      <c r="W79" s="139">
        <f ca="1"/>
        <v>0</v>
      </c>
      <c r="X79" s="166">
        <f ca="1"/>
        <v>1.0260036394392769E-3</v>
      </c>
      <c r="Y79" s="166">
        <f ca="1"/>
        <v>2.6437093494562358E-3</v>
      </c>
      <c r="Z79" s="166">
        <f ca="1"/>
        <v>7.9902524867944136E-3</v>
      </c>
      <c r="AA79" s="166">
        <f ca="1"/>
        <v>1.7980093281772302E-2</v>
      </c>
      <c r="AB79" s="166">
        <f ca="1"/>
        <v>0</v>
      </c>
      <c r="AC79" s="166">
        <f ca="1"/>
        <v>4.6134410614527388E-2</v>
      </c>
      <c r="AD79" s="166">
        <f ca="1"/>
        <v>7.9244022148684423E-2</v>
      </c>
      <c r="AE79" s="140">
        <f ca="1"/>
        <v>0.13491348526596325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.199999999999999" x14ac:dyDescent="0.2">
      <c r="A80" s="97">
        <f t="shared" ca="1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>
        <f t="array" aca="1" ref="N80:AE80" ca="1">IF(OR(B80="",NOT($J$2)),"",[3]!GetStripDefaultProbability(A80,B80,Parameter_Date,CDSRollDate,E80:M80,SpreadCurveMaturities,D80,C80,$J$4,$J$6))</f>
        <v>0</v>
      </c>
      <c r="O80" s="166">
        <f ca="1"/>
        <v>4.6649647376628689E-4</v>
      </c>
      <c r="P80" s="166">
        <f ca="1"/>
        <v>8.8215636935595754E-4</v>
      </c>
      <c r="Q80" s="166">
        <f ca="1"/>
        <v>3.4794943157031577E-3</v>
      </c>
      <c r="R80" s="166">
        <f ca="1"/>
        <v>9.4205260061513973E-3</v>
      </c>
      <c r="S80" s="166">
        <f ca="1"/>
        <v>0</v>
      </c>
      <c r="T80" s="166">
        <f ca="1"/>
        <v>2.3476622602629393E-2</v>
      </c>
      <c r="U80" s="166">
        <f ca="1"/>
        <v>4.2708691067970594E-2</v>
      </c>
      <c r="V80" s="140">
        <f ca="1"/>
        <v>7.870540207446608E-2</v>
      </c>
      <c r="W80" s="139">
        <f ca="1"/>
        <v>0</v>
      </c>
      <c r="X80" s="166">
        <f ca="1"/>
        <v>5.5976917815403482E-4</v>
      </c>
      <c r="Y80" s="166">
        <f ca="1"/>
        <v>1.0486621340873858E-3</v>
      </c>
      <c r="Z80" s="166">
        <f ca="1"/>
        <v>3.8116124614929747E-3</v>
      </c>
      <c r="AA80" s="166">
        <f ca="1"/>
        <v>9.9156919413300182E-3</v>
      </c>
      <c r="AB80" s="166">
        <f ca="1"/>
        <v>0</v>
      </c>
      <c r="AC80" s="166">
        <f ca="1"/>
        <v>2.4621604309225886E-2</v>
      </c>
      <c r="AD80" s="166">
        <f ca="1"/>
        <v>4.4789932431908541E-2</v>
      </c>
      <c r="AE80" s="140">
        <f ca="1"/>
        <v>8.2488475897131819E-2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.199999999999999" x14ac:dyDescent="0.2">
      <c r="A81" s="97">
        <f t="shared" ca="1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>
        <f t="array" aca="1" ref="N81:AE81" ca="1">IF(OR(B81="",NOT($J$2)),"",[3]!GetStripDefaultProbability(A81,B81,Parameter_Date,CDSRollDate,E81:M81,SpreadCurveMaturities,D81,C81,$J$4,$J$6))</f>
        <v>0</v>
      </c>
      <c r="O81" s="166">
        <f ca="1"/>
        <v>9.3277580402983951E-4</v>
      </c>
      <c r="P81" s="166">
        <f ca="1"/>
        <v>1.7635344592972224E-3</v>
      </c>
      <c r="Q81" s="166">
        <f ca="1"/>
        <v>6.2480339595947232E-3</v>
      </c>
      <c r="R81" s="166">
        <f ca="1"/>
        <v>1.5100698114045685E-2</v>
      </c>
      <c r="S81" s="166">
        <f ca="1"/>
        <v>0</v>
      </c>
      <c r="T81" s="166">
        <f ca="1"/>
        <v>3.7140752212506567E-2</v>
      </c>
      <c r="U81" s="166">
        <f ca="1"/>
        <v>6.511158579949472E-2</v>
      </c>
      <c r="V81" s="140">
        <f ca="1"/>
        <v>0.11851143780908124</v>
      </c>
      <c r="W81" s="139">
        <f ca="1"/>
        <v>0</v>
      </c>
      <c r="X81" s="166">
        <f ca="1"/>
        <v>1.0260036394392769E-3</v>
      </c>
      <c r="Y81" s="166">
        <f ca="1"/>
        <v>1.9298933399265472E-3</v>
      </c>
      <c r="Z81" s="166">
        <f ca="1"/>
        <v>6.5792294126308937E-3</v>
      </c>
      <c r="AA81" s="166">
        <f ca="1"/>
        <v>1.5846100109946804E-2</v>
      </c>
      <c r="AB81" s="166">
        <f ca="1"/>
        <v>0</v>
      </c>
      <c r="AC81" s="166">
        <f ca="1"/>
        <v>3.8962150575861831E-2</v>
      </c>
      <c r="AD81" s="166">
        <f ca="1"/>
        <v>6.8273447381369978E-2</v>
      </c>
      <c r="AE81" s="140">
        <f ca="1"/>
        <v>0.12416322878299102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.199999999999999" x14ac:dyDescent="0.2">
      <c r="A82" s="97">
        <f t="shared" ca="1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>
        <f t="array" aca="1" ref="N82:AE82" ca="1">IF(OR(B82="",NOT($J$2)),"",[3]!GetStripDefaultProbability(A82,B82,Parameter_Date,CDSRollDate,E82:M82,SpreadCurveMaturities,D82,C82,$J$4,$J$6))</f>
        <v>0</v>
      </c>
      <c r="O82" s="166">
        <f ca="1"/>
        <v>3.7321455535799242E-4</v>
      </c>
      <c r="P82" s="166">
        <f ca="1"/>
        <v>1.5988606883324818E-3</v>
      </c>
      <c r="Q82" s="166">
        <f ca="1"/>
        <v>4.5119891269029822E-3</v>
      </c>
      <c r="R82" s="166">
        <f ca="1"/>
        <v>9.3484213268871796E-3</v>
      </c>
      <c r="S82" s="166">
        <f ca="1"/>
        <v>0</v>
      </c>
      <c r="T82" s="166">
        <f ca="1"/>
        <v>2.4298736537842869E-2</v>
      </c>
      <c r="U82" s="166">
        <f ca="1"/>
        <v>4.254001202286295E-2</v>
      </c>
      <c r="V82" s="140">
        <f ca="1"/>
        <v>7.4693478633627297E-2</v>
      </c>
      <c r="W82" s="139">
        <f ca="1"/>
        <v>0</v>
      </c>
      <c r="X82" s="166">
        <f ca="1"/>
        <v>4.6649612398852458E-4</v>
      </c>
      <c r="Y82" s="166">
        <f ca="1"/>
        <v>1.7652470123107333E-3</v>
      </c>
      <c r="Z82" s="166">
        <f ca="1"/>
        <v>4.8437631651230273E-3</v>
      </c>
      <c r="AA82" s="166">
        <f ca="1"/>
        <v>9.8436233054074451E-3</v>
      </c>
      <c r="AB82" s="166">
        <f ca="1"/>
        <v>0</v>
      </c>
      <c r="AC82" s="166">
        <f ca="1"/>
        <v>2.5487317462852155E-2</v>
      </c>
      <c r="AD82" s="166">
        <f ca="1"/>
        <v>4.4616094252798999E-2</v>
      </c>
      <c r="AE82" s="140">
        <f ca="1"/>
        <v>7.8290611719740055E-2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.199999999999999" x14ac:dyDescent="0.2">
      <c r="A83" s="97">
        <f t="shared" ca="1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>
        <f t="array" aca="1" ref="N83:AE83" ca="1">IF(OR(B83="",NOT($J$2)),"",[3]!GetStripDefaultProbability(A83,B83,Parameter_Date,CDSRollDate,E83:M83,SpreadCurveMaturities,D83,C83,$J$4,$J$6))</f>
        <v>0</v>
      </c>
      <c r="O83" s="166">
        <f ca="1"/>
        <v>5.5976970645477131E-4</v>
      </c>
      <c r="P83" s="166">
        <f ca="1"/>
        <v>2.308370278587657E-3</v>
      </c>
      <c r="Q83" s="166">
        <f ca="1"/>
        <v>6.5896932603117797E-3</v>
      </c>
      <c r="R83" s="166">
        <f ca="1"/>
        <v>1.294644942425871E-2</v>
      </c>
      <c r="S83" s="166">
        <f ca="1"/>
        <v>0</v>
      </c>
      <c r="T83" s="166">
        <f ca="1"/>
        <v>3.4605609423967731E-2</v>
      </c>
      <c r="U83" s="166">
        <f ca="1"/>
        <v>6.1682073062506726E-2</v>
      </c>
      <c r="V83" s="140">
        <f ca="1"/>
        <v>0.10633240639684383</v>
      </c>
      <c r="W83" s="139">
        <f ca="1"/>
        <v>0</v>
      </c>
      <c r="X83" s="166">
        <f ca="1"/>
        <v>6.5303351059242676E-4</v>
      </c>
      <c r="Y83" s="166">
        <f ca="1"/>
        <v>2.4746383608136302E-3</v>
      </c>
      <c r="Z83" s="166">
        <f ca="1"/>
        <v>6.9207748458911533E-3</v>
      </c>
      <c r="AA83" s="166">
        <f ca="1"/>
        <v>1.3586380668015319E-2</v>
      </c>
      <c r="AB83" s="166">
        <f ca="1"/>
        <v>0</v>
      </c>
      <c r="AC83" s="166">
        <f ca="1"/>
        <v>3.6305469624628661E-2</v>
      </c>
      <c r="AD83" s="166">
        <f ca="1"/>
        <v>6.4683820991780494E-2</v>
      </c>
      <c r="AE83" s="140">
        <f ca="1"/>
        <v>0.11142304233254874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.199999999999999" x14ac:dyDescent="0.2">
      <c r="A84" s="97">
        <f t="shared" ca="1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>
        <f t="array" aca="1" ref="N84:AE84" ca="1">IF(OR(B84="",NOT($J$2)),"",[3]!GetStripDefaultProbability(A84,B84,Parameter_Date,CDSRollDate,E84:M84,SpreadCurveMaturities,D84,C84,$J$4,$J$6))</f>
        <v>0</v>
      </c>
      <c r="O84" s="166">
        <f ca="1"/>
        <v>2.799239499720052E-4</v>
      </c>
      <c r="P84" s="166">
        <f ca="1"/>
        <v>1.6011691455609656E-3</v>
      </c>
      <c r="Q84" s="166">
        <f ca="1"/>
        <v>5.2171601468354867E-3</v>
      </c>
      <c r="R84" s="166">
        <f ca="1"/>
        <v>1.1449248933199763E-2</v>
      </c>
      <c r="S84" s="166">
        <f ca="1"/>
        <v>0</v>
      </c>
      <c r="T84" s="166">
        <f ca="1"/>
        <v>2.6795115823520455E-2</v>
      </c>
      <c r="U84" s="166">
        <f ca="1"/>
        <v>4.855813797145625E-2</v>
      </c>
      <c r="V84" s="140">
        <f ca="1"/>
        <v>8.8624307224487331E-2</v>
      </c>
      <c r="W84" s="139">
        <f ca="1"/>
        <v>0</v>
      </c>
      <c r="X84" s="166">
        <f ca="1"/>
        <v>3.7321434723358582E-4</v>
      </c>
      <c r="Y84" s="166">
        <f ca="1"/>
        <v>1.7675550848285093E-3</v>
      </c>
      <c r="Z84" s="166">
        <f ca="1"/>
        <v>5.5486991672083485E-3</v>
      </c>
      <c r="AA84" s="166">
        <f ca="1"/>
        <v>1.1992802355400456E-2</v>
      </c>
      <c r="AB84" s="166">
        <f ca="1"/>
        <v>0</v>
      </c>
      <c r="AC84" s="166">
        <f ca="1"/>
        <v>2.8111249377139158E-2</v>
      </c>
      <c r="AD84" s="166">
        <f ca="1"/>
        <v>5.0929402359380482E-2</v>
      </c>
      <c r="AE84" s="140">
        <f ca="1"/>
        <v>9.2874219530725166E-2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.199999999999999" x14ac:dyDescent="0.2">
      <c r="A85" s="97">
        <f t="shared" ca="1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>
        <f t="array" aca="1" ref="N85:AE85" ca="1">IF(OR(B85="",NOT($J$2)),"",[3]!GetStripDefaultProbability(A85,B85,Parameter_Date,CDSRollDate,E85:M85,SpreadCurveMaturities,D85,C85,$J$4,$J$6))</f>
        <v>0</v>
      </c>
      <c r="O85" s="166">
        <f ca="1"/>
        <v>9.3277580402983951E-4</v>
      </c>
      <c r="P85" s="166">
        <f ca="1"/>
        <v>1.9420404247694201E-3</v>
      </c>
      <c r="Q85" s="166">
        <f ca="1"/>
        <v>6.5927912295119517E-3</v>
      </c>
      <c r="R85" s="166">
        <f ca="1"/>
        <v>1.294959628358372E-2</v>
      </c>
      <c r="S85" s="166">
        <f ca="1"/>
        <v>0</v>
      </c>
      <c r="T85" s="166">
        <f ca="1"/>
        <v>3.4608904368972682E-2</v>
      </c>
      <c r="U85" s="166">
        <f ca="1"/>
        <v>6.0396708043390812E-2</v>
      </c>
      <c r="V85" s="140">
        <f ca="1"/>
        <v>9.5191434382593698E-2</v>
      </c>
      <c r="W85" s="139">
        <f ca="1"/>
        <v>0</v>
      </c>
      <c r="X85" s="166">
        <f ca="1"/>
        <v>1.0260036394392769E-3</v>
      </c>
      <c r="Y85" s="166">
        <f ca="1"/>
        <v>2.1083695568915317E-3</v>
      </c>
      <c r="Z85" s="166">
        <f ca="1"/>
        <v>6.9238717826048957E-3</v>
      </c>
      <c r="AA85" s="166">
        <f ca="1"/>
        <v>1.3589540681019252E-2</v>
      </c>
      <c r="AB85" s="166">
        <f ca="1"/>
        <v>0</v>
      </c>
      <c r="AC85" s="166">
        <f ca="1"/>
        <v>3.6308784661949756E-2</v>
      </c>
      <c r="AD85" s="166">
        <f ca="1"/>
        <v>6.333675930499616E-2</v>
      </c>
      <c r="AE85" s="140">
        <f ca="1"/>
        <v>9.9738021226345119E-2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.199999999999999" x14ac:dyDescent="0.2">
      <c r="A86" s="97">
        <f t="shared" ca="1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>
        <f t="array" aca="1" ref="N86:AE86" ca="1">IF(OR(B86="",NOT($J$2)),"",[3]!GetStripDefaultProbability(A86,B86,Parameter_Date,CDSRollDate,E86:M86,SpreadCurveMaturities,D86,C86,$J$4,$J$6))</f>
        <v>0</v>
      </c>
      <c r="O86" s="166">
        <f ca="1"/>
        <v>1.6411048533364614E-3</v>
      </c>
      <c r="P86" s="166">
        <f ca="1"/>
        <v>3.6901761150126555E-3</v>
      </c>
      <c r="Q86" s="166">
        <f ca="1"/>
        <v>9.421333172799029E-3</v>
      </c>
      <c r="R86" s="166">
        <f ca="1"/>
        <v>1.5914217809857911E-2</v>
      </c>
      <c r="S86" s="166">
        <f ca="1"/>
        <v>0</v>
      </c>
      <c r="T86" s="166">
        <f ca="1"/>
        <v>3.1465044829780631E-2</v>
      </c>
      <c r="U86" s="166">
        <f ca="1"/>
        <v>4.7948518199086632E-2</v>
      </c>
      <c r="V86" s="140">
        <f ca="1"/>
        <v>7.3896337936903089E-2</v>
      </c>
      <c r="W86" s="139">
        <f ca="1"/>
        <v>0</v>
      </c>
      <c r="X86" s="166">
        <f ca="1"/>
        <v>1.7342626556779983E-3</v>
      </c>
      <c r="Y86" s="166">
        <f ca="1"/>
        <v>3.8636849658405525E-3</v>
      </c>
      <c r="Z86" s="166">
        <f ca="1"/>
        <v>9.8903451592593505E-3</v>
      </c>
      <c r="AA86" s="166">
        <f ca="1"/>
        <v>1.6704112514782654E-2</v>
      </c>
      <c r="AB86" s="166">
        <f ca="1"/>
        <v>0</v>
      </c>
      <c r="AC86" s="166">
        <f ca="1"/>
        <v>3.3014019760671198E-2</v>
      </c>
      <c r="AD86" s="166">
        <f ca="1"/>
        <v>5.0291288033972203E-2</v>
      </c>
      <c r="AE86" s="140">
        <f ca="1"/>
        <v>7.7454944625667044E-2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.199999999999999" x14ac:dyDescent="0.2">
      <c r="A87" s="97">
        <f t="shared" ca="1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>
        <f t="array" aca="1" ref="N87:AE87" ca="1">IF(OR(B87="",NOT($J$2)),"",[3]!GetStripDefaultProbability(A87,B87,Parameter_Date,CDSRollDate,E87:M87,SpreadCurveMaturities,D87,C87,$J$4,$J$6))</f>
        <v>0</v>
      </c>
      <c r="O87" s="166">
        <f ca="1"/>
        <v>1.081939353757666E-3</v>
      </c>
      <c r="P87" s="166">
        <f ca="1"/>
        <v>2.6699882411213016E-3</v>
      </c>
      <c r="Q87" s="166">
        <f ca="1"/>
        <v>7.0192276783117569E-3</v>
      </c>
      <c r="R87" s="166">
        <f ca="1"/>
        <v>1.2259188736035265E-2</v>
      </c>
      <c r="S87" s="166">
        <f ca="1"/>
        <v>0</v>
      </c>
      <c r="T87" s="166">
        <f ca="1"/>
        <v>2.4785124737592645E-2</v>
      </c>
      <c r="U87" s="166">
        <f ca="1"/>
        <v>3.9305864025437787E-2</v>
      </c>
      <c r="V87" s="140">
        <f ca="1"/>
        <v>6.3021088175704398E-2</v>
      </c>
      <c r="W87" s="139">
        <f ca="1"/>
        <v>0</v>
      </c>
      <c r="X87" s="166">
        <f ca="1"/>
        <v>1.1751526331379436E-3</v>
      </c>
      <c r="Y87" s="166">
        <f ca="1"/>
        <v>2.8361960587085511E-3</v>
      </c>
      <c r="Z87" s="166">
        <f ca="1"/>
        <v>7.3551293463605116E-3</v>
      </c>
      <c r="AA87" s="166">
        <f ca="1"/>
        <v>1.2867066316254006E-2</v>
      </c>
      <c r="AB87" s="166">
        <f ca="1"/>
        <v>0</v>
      </c>
      <c r="AC87" s="166">
        <f ca="1"/>
        <v>2.6007873102947499E-2</v>
      </c>
      <c r="AD87" s="166">
        <f ca="1"/>
        <v>4.1233856802443181E-2</v>
      </c>
      <c r="AE87" s="140">
        <f ca="1"/>
        <v>6.6074849480311948E-2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.199999999999999" x14ac:dyDescent="0.2">
      <c r="A88" s="97">
        <f t="shared" ca="1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>
        <f t="array" aca="1" ref="N88:AE88" ca="1">IF(OR(B88="",NOT($J$2)),"",[3]!GetStripDefaultProbability(A88,B88,Parameter_Date,CDSRollDate,E88:M88,SpreadCurveMaturities,D88,C88,$J$4,$J$6))</f>
        <v>0</v>
      </c>
      <c r="O88" s="166">
        <f ca="1"/>
        <v>6.5303425461338271E-4</v>
      </c>
      <c r="P88" s="166">
        <f ca="1"/>
        <v>1.7704818660270183E-3</v>
      </c>
      <c r="Q88" s="166">
        <f ca="1"/>
        <v>5.5527910195846131E-3</v>
      </c>
      <c r="R88" s="166">
        <f ca="1"/>
        <v>1.0884007599074597E-2</v>
      </c>
      <c r="S88" s="166">
        <f ca="1"/>
        <v>0</v>
      </c>
      <c r="T88" s="166">
        <f ca="1"/>
        <v>2.8589377470307209E-2</v>
      </c>
      <c r="U88" s="166">
        <f ca="1"/>
        <v>4.8374674695643938E-2</v>
      </c>
      <c r="V88" s="140">
        <f ca="1"/>
        <v>8.2706620624096727E-2</v>
      </c>
      <c r="W88" s="139">
        <f ca="1"/>
        <v>0</v>
      </c>
      <c r="X88" s="166">
        <f ca="1"/>
        <v>7.4628912209839804E-4</v>
      </c>
      <c r="Y88" s="166">
        <f ca="1"/>
        <v>1.9368395888541556E-3</v>
      </c>
      <c r="Z88" s="166">
        <f ca="1"/>
        <v>5.8842181816521899E-3</v>
      </c>
      <c r="AA88" s="166">
        <f ca="1"/>
        <v>1.1403157206393399E-2</v>
      </c>
      <c r="AB88" s="166">
        <f ca="1"/>
        <v>0</v>
      </c>
      <c r="AC88" s="166">
        <f ca="1"/>
        <v>2.9994609476110101E-2</v>
      </c>
      <c r="AD88" s="166">
        <f ca="1"/>
        <v>5.0738106764199542E-2</v>
      </c>
      <c r="AE88" s="140">
        <f ca="1"/>
        <v>8.6680880634228519E-2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.199999999999999" x14ac:dyDescent="0.2">
      <c r="A89" s="97">
        <f t="shared" ca="1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>
        <f t="array" aca="1" ref="N89:AE89" ca="1">IF(OR(B89="",NOT($J$2)),"",[3]!GetStripDefaultProbability(A89,B89,Parameter_Date,CDSRollDate,E89:M89,SpreadCurveMaturities,D89,C89,$J$4,$J$6))</f>
        <v>0</v>
      </c>
      <c r="O89" s="166">
        <f ca="1"/>
        <v>1.5852023538636129E-3</v>
      </c>
      <c r="P89" s="166">
        <f ca="1"/>
        <v>3.17450238133965E-3</v>
      </c>
      <c r="Q89" s="166">
        <f ca="1"/>
        <v>9.3365358034488422E-3</v>
      </c>
      <c r="R89" s="166">
        <f ca="1"/>
        <v>2.0183750753972829E-2</v>
      </c>
      <c r="S89" s="166">
        <f ca="1"/>
        <v>0</v>
      </c>
      <c r="T89" s="166">
        <f ca="1"/>
        <v>5.1548011714134367E-2</v>
      </c>
      <c r="U89" s="166">
        <f ca="1"/>
        <v>8.5746784695008849E-2</v>
      </c>
      <c r="V89" s="140">
        <f ca="1"/>
        <v>0.14613684636355517</v>
      </c>
      <c r="W89" s="139">
        <f ca="1"/>
        <v>0</v>
      </c>
      <c r="X89" s="166">
        <f ca="1"/>
        <v>1.6783657687193809E-3</v>
      </c>
      <c r="Y89" s="166">
        <f ca="1"/>
        <v>3.3406261202515442E-3</v>
      </c>
      <c r="Z89" s="166">
        <f ca="1"/>
        <v>9.8006701472930224E-3</v>
      </c>
      <c r="AA89" s="166">
        <f ca="1"/>
        <v>2.1183949844715388E-2</v>
      </c>
      <c r="AB89" s="166">
        <f ca="1"/>
        <v>0</v>
      </c>
      <c r="AC89" s="166">
        <f ca="1"/>
        <v>5.4065328073428232E-2</v>
      </c>
      <c r="AD89" s="166">
        <f ca="1"/>
        <v>8.9876205736392101E-2</v>
      </c>
      <c r="AE89" s="140">
        <f ca="1"/>
        <v>0.15300902552630491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.199999999999999" x14ac:dyDescent="0.2">
      <c r="A90" s="97">
        <f t="shared" ca="1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>
        <f t="array" aca="1" ref="N90:AE90" ca="1">IF(OR(B90="",NOT($J$2)),"",[3]!GetStripDefaultProbability(A90,B90,Parameter_Date,CDSRollDate,E90:M90,SpreadCurveMaturities,D90,C90,$J$4,$J$6))</f>
        <v>0</v>
      </c>
      <c r="O90" s="166">
        <f ca="1"/>
        <v>3.7321455535799242E-4</v>
      </c>
      <c r="P90" s="166">
        <f ca="1"/>
        <v>1.241675841888723E-3</v>
      </c>
      <c r="Q90" s="166">
        <f ca="1"/>
        <v>5.2272701912871034E-3</v>
      </c>
      <c r="R90" s="166">
        <f ca="1"/>
        <v>1.1459576963186668E-2</v>
      </c>
      <c r="S90" s="166">
        <f ca="1"/>
        <v>0</v>
      </c>
      <c r="T90" s="166">
        <f ca="1"/>
        <v>2.9487472704577744E-2</v>
      </c>
      <c r="U90" s="166">
        <f ca="1"/>
        <v>5.0875181963723204E-2</v>
      </c>
      <c r="V90" s="140">
        <f ca="1"/>
        <v>9.5573299368839626E-2</v>
      </c>
      <c r="W90" s="139">
        <f ca="1"/>
        <v>0</v>
      </c>
      <c r="X90" s="166">
        <f ca="1"/>
        <v>4.6649612398852458E-4</v>
      </c>
      <c r="Y90" s="166">
        <f ca="1"/>
        <v>1.4081216917138928E-3</v>
      </c>
      <c r="Z90" s="166">
        <f ca="1"/>
        <v>5.5588058422090247E-3</v>
      </c>
      <c r="AA90" s="166">
        <f ca="1"/>
        <v>1.2003124706541635E-2</v>
      </c>
      <c r="AB90" s="166">
        <f ca="1"/>
        <v>0</v>
      </c>
      <c r="AC90" s="166">
        <f ca="1"/>
        <v>3.0934694270286833E-2</v>
      </c>
      <c r="AD90" s="166">
        <f ca="1"/>
        <v>5.33570006618177E-2</v>
      </c>
      <c r="AE90" s="140">
        <f ca="1"/>
        <v>0.10017271313113441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.199999999999999" x14ac:dyDescent="0.2">
      <c r="A91" s="97">
        <f t="shared" ca="1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>
        <f t="array" aca="1" ref="N91:AE91" ca="1">IF(OR(B91="",NOT($J$2)),"",[3]!GetStripDefaultProbability(A91,B91,Parameter_Date,CDSRollDate,E91:M91,SpreadCurveMaturities,D91,C91,$J$4,$J$6))</f>
        <v>0</v>
      </c>
      <c r="O91" s="166">
        <f ca="1"/>
        <v>1.0260056262103578E-3</v>
      </c>
      <c r="P91" s="166">
        <f ca="1"/>
        <v>1.9397167472096077E-3</v>
      </c>
      <c r="Q91" s="166">
        <f ca="1"/>
        <v>5.5370984242087973E-3</v>
      </c>
      <c r="R91" s="166">
        <f ca="1"/>
        <v>1.1933067671719533E-2</v>
      </c>
      <c r="S91" s="166">
        <f ca="1"/>
        <v>0</v>
      </c>
      <c r="T91" s="166">
        <f ca="1"/>
        <v>3.2064843107808438E-2</v>
      </c>
      <c r="U91" s="166">
        <f ca="1"/>
        <v>5.1780733939203127E-2</v>
      </c>
      <c r="V91" s="140">
        <f ca="1"/>
        <v>9.3093709173298622E-2</v>
      </c>
      <c r="W91" s="139">
        <f ca="1"/>
        <v>0</v>
      </c>
      <c r="X91" s="166">
        <f ca="1"/>
        <v>1.1192243755654419E-3</v>
      </c>
      <c r="Y91" s="166">
        <f ca="1"/>
        <v>2.106046266575512E-3</v>
      </c>
      <c r="Z91" s="166">
        <f ca="1"/>
        <v>5.8685308162597094E-3</v>
      </c>
      <c r="AA91" s="166">
        <f ca="1"/>
        <v>1.2520380954237909E-2</v>
      </c>
      <c r="AB91" s="166">
        <f ca="1"/>
        <v>0</v>
      </c>
      <c r="AC91" s="166">
        <f ca="1"/>
        <v>3.3638980266263552E-2</v>
      </c>
      <c r="AD91" s="166">
        <f ca="1"/>
        <v>5.4306231058690702E-2</v>
      </c>
      <c r="AE91" s="140">
        <f ca="1"/>
        <v>9.7571971566234872E-2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.199999999999999" x14ac:dyDescent="0.2">
      <c r="A92" s="97">
        <f t="shared" ca="1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>
        <f t="array" aca="1" ref="N92:AE92" ca="1">IF(OR(B92="",NOT($J$2)),"",[3]!GetStripDefaultProbability(A92,B92,Parameter_Date,CDSRollDate,E92:M92,SpreadCurveMaturities,D92,C92,$J$4,$J$6))</f>
        <v>0</v>
      </c>
      <c r="O92" s="166">
        <f ca="1"/>
        <v>5.5976970645477131E-4</v>
      </c>
      <c r="P92" s="166">
        <f ca="1"/>
        <v>1.2370924096177793E-3</v>
      </c>
      <c r="Q92" s="166">
        <f ca="1"/>
        <v>4.168163598396335E-3</v>
      </c>
      <c r="R92" s="166">
        <f ca="1"/>
        <v>8.839429856550618E-3</v>
      </c>
      <c r="S92" s="166">
        <f ca="1"/>
        <v>0</v>
      </c>
      <c r="T92" s="166">
        <f ca="1"/>
        <v>2.3466647538472274E-2</v>
      </c>
      <c r="U92" s="166">
        <f ca="1"/>
        <v>4.2698392000553476E-2</v>
      </c>
      <c r="V92" s="140">
        <f ca="1"/>
        <v>8.0614655061535534E-2</v>
      </c>
      <c r="W92" s="139">
        <f ca="1"/>
        <v>0</v>
      </c>
      <c r="X92" s="166">
        <f ca="1"/>
        <v>6.5303351059242676E-4</v>
      </c>
      <c r="Y92" s="166">
        <f ca="1"/>
        <v>1.4035390232739475E-3</v>
      </c>
      <c r="Z92" s="166">
        <f ca="1"/>
        <v>4.5000522260189024E-3</v>
      </c>
      <c r="AA92" s="166">
        <f ca="1"/>
        <v>9.3348862671915889E-3</v>
      </c>
      <c r="AB92" s="166">
        <f ca="1"/>
        <v>0</v>
      </c>
      <c r="AC92" s="166">
        <f ca="1"/>
        <v>2.461144097178114E-2</v>
      </c>
      <c r="AD92" s="166">
        <f ca="1"/>
        <v>4.4779581687978021E-2</v>
      </c>
      <c r="AE92" s="140">
        <f ca="1"/>
        <v>8.4487502872128584E-2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.199999999999999" x14ac:dyDescent="0.2">
      <c r="A93" s="97">
        <f t="shared" ca="1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>
        <f t="array" aca="1" ref="N93:AE93" ca="1">IF(OR(B93="",NOT($J$2)),"",[3]!GetStripDefaultProbability(A93,B93,Parameter_Date,CDSRollDate,E93:M93,SpreadCurveMaturities,D93,C93,$J$4,$J$6))</f>
        <v>0</v>
      </c>
      <c r="O93" s="166">
        <f ca="1"/>
        <v>8.3953730218899736E-4</v>
      </c>
      <c r="P93" s="166">
        <f ca="1"/>
        <v>4.2637014464156353E-3</v>
      </c>
      <c r="Q93" s="166">
        <f ca="1"/>
        <v>1.2117508860885806E-2</v>
      </c>
      <c r="R93" s="166">
        <f ca="1"/>
        <v>2.3198824845895416E-2</v>
      </c>
      <c r="S93" s="166">
        <f ca="1"/>
        <v>0</v>
      </c>
      <c r="T93" s="166">
        <f ca="1"/>
        <v>5.8162092105289331E-2</v>
      </c>
      <c r="U93" s="166">
        <f ca="1"/>
        <v>9.7149124313107627E-2</v>
      </c>
      <c r="V93" s="140">
        <f ca="1"/>
        <v>0.16489770468887488</v>
      </c>
      <c r="W93" s="139">
        <f ca="1"/>
        <v>0</v>
      </c>
      <c r="X93" s="166">
        <f ca="1"/>
        <v>9.3277418569359671E-4</v>
      </c>
      <c r="Y93" s="166">
        <f ca="1"/>
        <v>4.46282879272486E-3</v>
      </c>
      <c r="Z93" s="166">
        <f ca="1"/>
        <v>1.271921220593375E-2</v>
      </c>
      <c r="AA93" s="166">
        <f ca="1"/>
        <v>2.4346446679744282E-2</v>
      </c>
      <c r="AB93" s="166">
        <f ca="1"/>
        <v>0</v>
      </c>
      <c r="AC93" s="166">
        <f ca="1"/>
        <v>6.0992083586584922E-2</v>
      </c>
      <c r="AD93" s="166">
        <f ca="1"/>
        <v>0.1018014228794728</v>
      </c>
      <c r="AE93" s="140">
        <f ca="1"/>
        <v>0.17258454858729755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.199999999999999" x14ac:dyDescent="0.2">
      <c r="A94" s="97">
        <f t="shared" ca="1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>
        <f t="array" aca="1" ref="N94:AE94" ca="1">IF(OR(B94="",NOT($J$2)),"",[3]!GetStripDefaultProbability(A94,B94,Parameter_Date,CDSRollDate,E94:M94,SpreadCurveMaturities,D94,C94,$J$4,$J$6))</f>
        <v>0</v>
      </c>
      <c r="O94" s="166">
        <f ca="1"/>
        <v>6.5303425461338271E-4</v>
      </c>
      <c r="P94" s="166">
        <f ca="1"/>
        <v>1.7704818660270183E-3</v>
      </c>
      <c r="Q94" s="166">
        <f ca="1"/>
        <v>6.957303808873383E-3</v>
      </c>
      <c r="R94" s="166">
        <f ca="1"/>
        <v>1.6137123836179712E-2</v>
      </c>
      <c r="S94" s="166">
        <f ca="1"/>
        <v>0</v>
      </c>
      <c r="T94" s="166">
        <f ca="1"/>
        <v>4.147381216341961E-2</v>
      </c>
      <c r="U94" s="166">
        <f ca="1"/>
        <v>7.09231883328999E-2</v>
      </c>
      <c r="V94" s="140">
        <f ca="1"/>
        <v>0.12443749743441235</v>
      </c>
      <c r="W94" s="139">
        <f ca="1"/>
        <v>0</v>
      </c>
      <c r="X94" s="166">
        <f ca="1"/>
        <v>7.4628912209839804E-4</v>
      </c>
      <c r="Y94" s="166">
        <f ca="1"/>
        <v>1.9368395888541556E-3</v>
      </c>
      <c r="Z94" s="166">
        <f ca="1"/>
        <v>7.2882628780185366E-3</v>
      </c>
      <c r="AA94" s="166">
        <f ca="1"/>
        <v>1.6935070938273511E-2</v>
      </c>
      <c r="AB94" s="166">
        <f ca="1"/>
        <v>0</v>
      </c>
      <c r="AC94" s="166">
        <f ca="1"/>
        <v>4.3505949217969686E-2</v>
      </c>
      <c r="AD94" s="166">
        <f ca="1"/>
        <v>7.4360266202502245E-2</v>
      </c>
      <c r="AE94" s="140">
        <f ca="1"/>
        <v>0.13035118246522848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.199999999999999" x14ac:dyDescent="0.2">
      <c r="A95" s="97">
        <f t="shared" ca="1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>
        <f t="array" aca="1" ref="N95:AE95" ca="1">IF(OR(B95="",NOT($J$2)),"",[3]!GetStripDefaultProbability(A95,B95,Parameter_Date,CDSRollDate,E95:M95,SpreadCurveMaturities,D95,C95,$J$4,$J$6))</f>
        <v>0</v>
      </c>
      <c r="O95" s="166">
        <f ca="1"/>
        <v>4.6649647376628689E-4</v>
      </c>
      <c r="P95" s="166">
        <f ca="1"/>
        <v>1.0607776163944482E-3</v>
      </c>
      <c r="Q95" s="166">
        <f ca="1"/>
        <v>4.8797101861313141E-3</v>
      </c>
      <c r="R95" s="166">
        <f ca="1"/>
        <v>9.8815208690227196E-3</v>
      </c>
      <c r="S95" s="166">
        <f ca="1"/>
        <v>0</v>
      </c>
      <c r="T95" s="166">
        <f ca="1"/>
        <v>2.6050454950481305E-2</v>
      </c>
      <c r="U95" s="166">
        <f ca="1"/>
        <v>4.6210197532441155E-2</v>
      </c>
      <c r="V95" s="140">
        <f ca="1"/>
        <v>8.7309127370663209E-2</v>
      </c>
      <c r="W95" s="139">
        <f ca="1"/>
        <v>0</v>
      </c>
      <c r="X95" s="166">
        <f ca="1"/>
        <v>5.5976917815403482E-4</v>
      </c>
      <c r="Y95" s="166">
        <f ca="1"/>
        <v>1.2272536134083634E-3</v>
      </c>
      <c r="Z95" s="166">
        <f ca="1"/>
        <v>5.2113616710988131E-3</v>
      </c>
      <c r="AA95" s="166">
        <f ca="1"/>
        <v>1.0376456364415643E-2</v>
      </c>
      <c r="AB95" s="166">
        <f ca="1"/>
        <v>0</v>
      </c>
      <c r="AC95" s="166">
        <f ca="1"/>
        <v>2.7326709216619616E-2</v>
      </c>
      <c r="AD95" s="166">
        <f ca="1"/>
        <v>4.8465374686789908E-2</v>
      </c>
      <c r="AE95" s="140">
        <f ca="1"/>
        <v>9.1521977413886235E-2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.199999999999999" x14ac:dyDescent="0.2">
      <c r="A96" s="97">
        <f t="shared" ca="1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>
        <f t="array" aca="1" ref="N96:AE96" ca="1">IF(OR(B96="",NOT($J$2)),"",[3]!GetStripDefaultProbability(A96,B96,Parameter_Date,CDSRollDate,E96:M96,SpreadCurveMaturities,D96,C96,$J$4,$J$6))</f>
        <v>0</v>
      </c>
      <c r="O96" s="166">
        <f ca="1"/>
        <v>8.3953730218899736E-4</v>
      </c>
      <c r="P96" s="166">
        <f ca="1"/>
        <v>1.5873210690110495E-3</v>
      </c>
      <c r="Q96" s="166">
        <f ca="1"/>
        <v>6.2567065801863997E-3</v>
      </c>
      <c r="R96" s="166">
        <f ca="1"/>
        <v>1.191720218172776E-2</v>
      </c>
      <c r="S96" s="166">
        <f ca="1"/>
        <v>0</v>
      </c>
      <c r="T96" s="166">
        <f ca="1"/>
        <v>3.2048355003695073E-2</v>
      </c>
      <c r="U96" s="166">
        <f ca="1"/>
        <v>5.176411446978646E-2</v>
      </c>
      <c r="V96" s="140">
        <f ca="1"/>
        <v>9.1198150948411327E-2</v>
      </c>
      <c r="W96" s="139">
        <f ca="1"/>
        <v>0</v>
      </c>
      <c r="X96" s="166">
        <f ca="1"/>
        <v>9.3277418569359671E-4</v>
      </c>
      <c r="Y96" s="166">
        <f ca="1"/>
        <v>1.7537093160937545E-3</v>
      </c>
      <c r="Z96" s="166">
        <f ca="1"/>
        <v>6.5878991428429678E-3</v>
      </c>
      <c r="AA96" s="166">
        <f ca="1"/>
        <v>1.2504492810599288E-2</v>
      </c>
      <c r="AB96" s="166">
        <f ca="1"/>
        <v>0</v>
      </c>
      <c r="AC96" s="166">
        <f ca="1"/>
        <v>3.3622401876647112E-2</v>
      </c>
      <c r="AD96" s="166">
        <f ca="1"/>
        <v>5.4289516583461706E-2</v>
      </c>
      <c r="AE96" s="140">
        <f ca="1"/>
        <v>9.5562889779662874E-2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.199999999999999" x14ac:dyDescent="0.2">
      <c r="A97" s="97">
        <f t="shared" ca="1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>
        <f t="array" aca="1" ref="N97:AE97" ca="1">IF(OR(B97="",NOT($J$2)),"",[3]!GetStripDefaultProbability(A97,B97,Parameter_Date,CDSRollDate,E97:M97,SpreadCurveMaturities,D97,C97,$J$4,$J$6))</f>
        <v>0</v>
      </c>
      <c r="O97" s="166">
        <f ca="1"/>
        <v>6.5303425461338271E-4</v>
      </c>
      <c r="P97" s="166">
        <f ca="1"/>
        <v>3.0198854643094242E-3</v>
      </c>
      <c r="Q97" s="166">
        <f ca="1"/>
        <v>9.367490519373356E-3</v>
      </c>
      <c r="R97" s="166">
        <f ca="1"/>
        <v>1.8094112109026006E-2</v>
      </c>
      <c r="S97" s="166">
        <f ca="1"/>
        <v>0</v>
      </c>
      <c r="T97" s="166">
        <f ca="1"/>
        <v>4.1133880082622754E-2</v>
      </c>
      <c r="U97" s="166">
        <f ca="1"/>
        <v>6.8015351388845402E-2</v>
      </c>
      <c r="V97" s="140">
        <f ca="1"/>
        <v>0.11510850220506175</v>
      </c>
      <c r="W97" s="139">
        <f ca="1"/>
        <v>0</v>
      </c>
      <c r="X97" s="166">
        <f ca="1"/>
        <v>7.4628912209839804E-4</v>
      </c>
      <c r="Y97" s="166">
        <f ca="1"/>
        <v>3.1860349705608026E-3</v>
      </c>
      <c r="Z97" s="166">
        <f ca="1"/>
        <v>9.8317509828917959E-3</v>
      </c>
      <c r="AA97" s="166">
        <f ca="1"/>
        <v>1.8989747738012985E-2</v>
      </c>
      <c r="AB97" s="166">
        <f ca="1"/>
        <v>0</v>
      </c>
      <c r="AC97" s="166">
        <f ca="1"/>
        <v>4.3149451015935703E-2</v>
      </c>
      <c r="AD97" s="166">
        <f ca="1"/>
        <v>7.1312425622314435E-2</v>
      </c>
      <c r="AE97" s="140">
        <f ca="1"/>
        <v>0.12058802527104417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.199999999999999" x14ac:dyDescent="0.2">
      <c r="A98" s="97">
        <f t="shared" ca="1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>
        <f t="array" aca="1" ref="N98:AE98" ca="1">IF(OR(B98="",NOT($J$2)),"",[3]!GetStripDefaultProbability(A98,B98,Parameter_Date,CDSRollDate,E98:M98,SpreadCurveMaturities,D98,C98,$J$4,$J$6))</f>
        <v>0</v>
      </c>
      <c r="O98" s="166">
        <f ca="1"/>
        <v>2.799239499720052E-4</v>
      </c>
      <c r="P98" s="166">
        <f ca="1"/>
        <v>8.8670719766348327E-4</v>
      </c>
      <c r="Q98" s="166">
        <f ca="1"/>
        <v>3.1323536816416642E-3</v>
      </c>
      <c r="R98" s="166">
        <f ca="1"/>
        <v>6.7733546032791025E-3</v>
      </c>
      <c r="S98" s="166">
        <f ca="1"/>
        <v>0</v>
      </c>
      <c r="T98" s="166">
        <f ca="1"/>
        <v>1.8305634510526358E-2</v>
      </c>
      <c r="U98" s="166">
        <f ca="1"/>
        <v>3.3050941598062988E-2</v>
      </c>
      <c r="V98" s="140">
        <f ca="1"/>
        <v>5.9710758819367604E-2</v>
      </c>
      <c r="W98" s="139">
        <f ca="1"/>
        <v>0</v>
      </c>
      <c r="X98" s="166">
        <f ca="1"/>
        <v>3.7321434723358582E-4</v>
      </c>
      <c r="Y98" s="166">
        <f ca="1"/>
        <v>1.0532122039936809E-3</v>
      </c>
      <c r="Z98" s="166">
        <f ca="1"/>
        <v>3.4645875217036437E-3</v>
      </c>
      <c r="AA98" s="166">
        <f ca="1"/>
        <v>7.2698437933172988E-3</v>
      </c>
      <c r="AB98" s="166">
        <f ca="1"/>
        <v>0</v>
      </c>
      <c r="AC98" s="166">
        <f ca="1"/>
        <v>1.918629724463361E-2</v>
      </c>
      <c r="AD98" s="166">
        <f ca="1"/>
        <v>3.4653733595149561E-2</v>
      </c>
      <c r="AE98" s="140">
        <f ca="1"/>
        <v>6.2591053950538655E-2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.199999999999999" x14ac:dyDescent="0.2">
      <c r="A99" s="97">
        <f t="shared" ca="1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>
        <f t="array" aca="1" ref="N99:AE99" ca="1">IF(OR(B99="",NOT($J$2)),"",[3]!GetStripDefaultProbability(A99,B99,Parameter_Date,CDSRollDate,E99:M99,SpreadCurveMaturities,D99,C99,$J$4,$J$6))</f>
        <v>0</v>
      </c>
      <c r="O99" s="166">
        <f ca="1"/>
        <v>1.5386145530722484E-3</v>
      </c>
      <c r="P99" s="166">
        <f ca="1"/>
        <v>4.4771908833464158E-3</v>
      </c>
      <c r="Q99" s="166">
        <f ca="1"/>
        <v>1.1145573617585947E-2</v>
      </c>
      <c r="R99" s="166">
        <f ca="1"/>
        <v>1.8135255371771297E-2</v>
      </c>
      <c r="S99" s="166">
        <f ca="1"/>
        <v>0</v>
      </c>
      <c r="T99" s="166">
        <f ca="1"/>
        <v>3.5619033904700337E-2</v>
      </c>
      <c r="U99" s="166">
        <f ca="1"/>
        <v>5.4276794502357562E-2</v>
      </c>
      <c r="V99" s="140">
        <f ca="1"/>
        <v>8.3578832097436551E-2</v>
      </c>
      <c r="W99" s="139">
        <f ca="1"/>
        <v>0</v>
      </c>
      <c r="X99" s="166">
        <f ca="1"/>
        <v>1.6317826338753116E-3</v>
      </c>
      <c r="Y99" s="166">
        <f ca="1"/>
        <v>4.6870581513099863E-3</v>
      </c>
      <c r="Z99" s="166">
        <f ca="1"/>
        <v>1.1699949678927291E-2</v>
      </c>
      <c r="AA99" s="166">
        <f ca="1"/>
        <v>1.9034286557270796E-2</v>
      </c>
      <c r="AB99" s="166">
        <f ca="1"/>
        <v>0</v>
      </c>
      <c r="AC99" s="166">
        <f ca="1"/>
        <v>3.7368500557961148E-2</v>
      </c>
      <c r="AD99" s="166">
        <f ca="1"/>
        <v>5.6920086338577702E-2</v>
      </c>
      <c r="AE99" s="140">
        <f ca="1"/>
        <v>8.7582500912318229E-2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.199999999999999" x14ac:dyDescent="0.2">
      <c r="A100" s="97">
        <f t="shared" ca="1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>
        <f t="array" aca="1" ref="N100:AE100" ca="1">IF(OR(B100="",NOT($J$2)),"",[3]!GetStripDefaultProbability(A100,B100,Parameter_Date,CDSRollDate,E100:M100,SpreadCurveMaturities,D100,C100,$J$4,$J$6))</f>
        <v>0</v>
      </c>
      <c r="O100" s="166">
        <f ca="1"/>
        <v>3.7321455535799242E-4</v>
      </c>
      <c r="P100" s="166">
        <f ca="1"/>
        <v>1.241675841888723E-3</v>
      </c>
      <c r="Q100" s="166">
        <f ca="1"/>
        <v>4.1728230255283494E-3</v>
      </c>
      <c r="R100" s="166">
        <f ca="1"/>
        <v>7.2438215910274328E-3</v>
      </c>
      <c r="S100" s="166">
        <f ca="1"/>
        <v>0</v>
      </c>
      <c r="T100" s="166">
        <f ca="1"/>
        <v>1.8202705068158798E-2</v>
      </c>
      <c r="U100" s="166">
        <f ca="1"/>
        <v>3.0333117831779721E-2</v>
      </c>
      <c r="V100" s="140">
        <f ca="1"/>
        <v>5.2201462575198532E-2</v>
      </c>
      <c r="W100" s="139">
        <f ca="1"/>
        <v>0</v>
      </c>
      <c r="X100" s="166">
        <f ca="1"/>
        <v>4.6649612398852458E-4</v>
      </c>
      <c r="Y100" s="166">
        <f ca="1"/>
        <v>1.4081216917138928E-3</v>
      </c>
      <c r="Z100" s="166">
        <f ca="1"/>
        <v>4.5047101002785306E-3</v>
      </c>
      <c r="AA100" s="166">
        <f ca="1"/>
        <v>7.7400756064007759E-3</v>
      </c>
      <c r="AB100" s="166">
        <f ca="1"/>
        <v>0</v>
      </c>
      <c r="AC100" s="166">
        <f ca="1"/>
        <v>1.9083137763340918E-2</v>
      </c>
      <c r="AD100" s="166">
        <f ca="1"/>
        <v>3.1807762817059659E-2</v>
      </c>
      <c r="AE100" s="140">
        <f ca="1"/>
        <v>5.4727567527634746E-2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.199999999999999" x14ac:dyDescent="0.2">
      <c r="A101" s="97">
        <f t="shared" ca="1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>
        <f t="array" aca="1" ref="N101:AE101" ca="1">IF(OR(B101="",NOT($J$2)),"",[3]!GetStripDefaultProbability(A101,B101,Parameter_Date,CDSRollDate,E101:M101,SpreadCurveMaturities,D101,C101,$J$4,$J$6))</f>
        <v>0</v>
      </c>
      <c r="O101" s="166">
        <f ca="1"/>
        <v>5.5976970645477131E-4</v>
      </c>
      <c r="P101" s="166">
        <f ca="1"/>
        <v>2.6653443823296818E-3</v>
      </c>
      <c r="Q101" s="166">
        <f ca="1"/>
        <v>7.9804590262735342E-3</v>
      </c>
      <c r="R101" s="166">
        <f ca="1"/>
        <v>1.7648584946886481E-2</v>
      </c>
      <c r="S101" s="166">
        <f ca="1"/>
        <v>0</v>
      </c>
      <c r="T101" s="166">
        <f ca="1"/>
        <v>4.5695670609474326E-2</v>
      </c>
      <c r="U101" s="166">
        <f ca="1"/>
        <v>7.9160330162403314E-2</v>
      </c>
      <c r="V101" s="140">
        <f ca="1"/>
        <v>0.13912444613935426</v>
      </c>
      <c r="W101" s="139">
        <f ca="1"/>
        <v>0</v>
      </c>
      <c r="X101" s="166">
        <f ca="1"/>
        <v>6.5303351059242676E-4</v>
      </c>
      <c r="Y101" s="166">
        <f ca="1"/>
        <v>2.8315529738385248E-3</v>
      </c>
      <c r="Z101" s="166">
        <f ca="1"/>
        <v>8.3606603070666141E-3</v>
      </c>
      <c r="AA101" s="166">
        <f ca="1"/>
        <v>1.8522554061664587E-2</v>
      </c>
      <c r="AB101" s="166">
        <f ca="1"/>
        <v>0</v>
      </c>
      <c r="AC101" s="166">
        <f ca="1"/>
        <v>4.793208365033419E-2</v>
      </c>
      <c r="AD101" s="166">
        <f ca="1"/>
        <v>8.2985027265389366E-2</v>
      </c>
      <c r="AE101" s="140">
        <f ca="1"/>
        <v>0.14569884103676045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.199999999999999" x14ac:dyDescent="0.2">
      <c r="A102" s="97">
        <f t="shared" ca="1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>
        <f t="array" aca="1" ref="N102:AE102" ca="1">IF(OR(B102="",NOT($J$2)),"",[3]!GetStripDefaultProbability(A102,B102,Parameter_Date,CDSRollDate,E102:M102,SpreadCurveMaturities,D102,C102,$J$4,$J$6))</f>
        <v>0</v>
      </c>
      <c r="O102" s="166">
        <f ca="1"/>
        <v>3.7321455535799242E-4</v>
      </c>
      <c r="P102" s="166">
        <f ca="1"/>
        <v>8.8443169589835779E-4</v>
      </c>
      <c r="Q102" s="166">
        <f ca="1"/>
        <v>3.1300474157849312E-3</v>
      </c>
      <c r="R102" s="166">
        <f ca="1"/>
        <v>6.2370848141483082E-3</v>
      </c>
      <c r="S102" s="166">
        <f ca="1"/>
        <v>0</v>
      </c>
      <c r="T102" s="166">
        <f ca="1"/>
        <v>1.7442367216736088E-2</v>
      </c>
      <c r="U102" s="166">
        <f ca="1"/>
        <v>3.0563449205591398E-2</v>
      </c>
      <c r="V102" s="140">
        <f ca="1"/>
        <v>5.8255650600665843E-2</v>
      </c>
      <c r="W102" s="139">
        <f ca="1"/>
        <v>0</v>
      </c>
      <c r="X102" s="166">
        <f ca="1"/>
        <v>4.6649612398852458E-4</v>
      </c>
      <c r="Y102" s="166">
        <f ca="1"/>
        <v>1.0509370814404395E-3</v>
      </c>
      <c r="Z102" s="166">
        <f ca="1"/>
        <v>3.462282024450869E-3</v>
      </c>
      <c r="AA102" s="166">
        <f ca="1"/>
        <v>6.7338420720669534E-3</v>
      </c>
      <c r="AB102" s="166">
        <f ca="1"/>
        <v>0</v>
      </c>
      <c r="AC102" s="166">
        <f ca="1"/>
        <v>1.8260824172998236E-2</v>
      </c>
      <c r="AD102" s="166">
        <f ca="1"/>
        <v>3.2045045915034431E-2</v>
      </c>
      <c r="AE102" s="140">
        <f ca="1"/>
        <v>6.1067386701676662E-2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.199999999999999" x14ac:dyDescent="0.2">
      <c r="A103" s="97">
        <f t="shared" ca="1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>
        <f t="array" aca="1" ref="N103:AE103" ca="1">IF(OR(B103="",NOT($J$2)),"",[3]!GetStripDefaultProbability(A103,B103,Parameter_Date,CDSRollDate,E103:M103,SpreadCurveMaturities,D103,C103,$J$4,$J$6))</f>
        <v>0</v>
      </c>
      <c r="O103" s="166">
        <f ca="1"/>
        <v>4.6649647376628689E-4</v>
      </c>
      <c r="P103" s="166">
        <f ca="1"/>
        <v>8.8215636935595754E-4</v>
      </c>
      <c r="Q103" s="166">
        <f ca="1"/>
        <v>3.1277412926790094E-3</v>
      </c>
      <c r="R103" s="166">
        <f ca="1"/>
        <v>6.7686837365730224E-3</v>
      </c>
      <c r="S103" s="166">
        <f ca="1"/>
        <v>0</v>
      </c>
      <c r="T103" s="166">
        <f ca="1"/>
        <v>1.7401820186853212E-2</v>
      </c>
      <c r="U103" s="166">
        <f ca="1"/>
        <v>3.0522573348183979E-2</v>
      </c>
      <c r="V103" s="140">
        <f ca="1"/>
        <v>4.8504975252058324E-2</v>
      </c>
      <c r="W103" s="139">
        <f ca="1"/>
        <v>0</v>
      </c>
      <c r="X103" s="166">
        <f ca="1"/>
        <v>5.5976917815403482E-4</v>
      </c>
      <c r="Y103" s="166">
        <f ca="1"/>
        <v>1.0486621340873858E-3</v>
      </c>
      <c r="Z103" s="166">
        <f ca="1"/>
        <v>3.4599766699483503E-3</v>
      </c>
      <c r="AA103" s="166">
        <f ca="1"/>
        <v>7.2651752614674159E-3</v>
      </c>
      <c r="AB103" s="166">
        <f ca="1"/>
        <v>0</v>
      </c>
      <c r="AC103" s="166">
        <f ca="1"/>
        <v>1.8220310918211191E-2</v>
      </c>
      <c r="AD103" s="166">
        <f ca="1"/>
        <v>3.2004017696542264E-2</v>
      </c>
      <c r="AE103" s="140">
        <f ca="1"/>
        <v>5.0851487298711362E-2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.199999999999999" x14ac:dyDescent="0.2">
      <c r="A104" s="97">
        <f t="shared" ca="1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>
        <f t="array" aca="1" ref="N104:AE104" ca="1">IF(OR(B104="",NOT($J$2)),"",[3]!GetStripDefaultProbability(A104,B104,Parameter_Date,CDSRollDate,E104:M104,SpreadCurveMaturities,D104,C104,$J$4,$J$6))</f>
        <v>0</v>
      </c>
      <c r="O104" s="166">
        <f ca="1"/>
        <v>2.799239499720052E-4</v>
      </c>
      <c r="P104" s="166">
        <f ca="1"/>
        <v>1.9583111808824105E-3</v>
      </c>
      <c r="Q104" s="166">
        <f ca="1"/>
        <v>5.2046973894271931E-3</v>
      </c>
      <c r="R104" s="166">
        <f ca="1"/>
        <v>1.0371113052549452E-2</v>
      </c>
      <c r="S104" s="166">
        <f ca="1"/>
        <v>0</v>
      </c>
      <c r="T104" s="166">
        <f ca="1"/>
        <v>2.5071451425545899E-2</v>
      </c>
      <c r="U104" s="166">
        <f ca="1"/>
        <v>4.3621896416285777E-2</v>
      </c>
      <c r="V104" s="140">
        <f ca="1"/>
        <v>7.8132008995106639E-2</v>
      </c>
      <c r="W104" s="139">
        <f ca="1"/>
        <v>0</v>
      </c>
      <c r="X104" s="166">
        <f ca="1"/>
        <v>3.7321434723358582E-4</v>
      </c>
      <c r="Y104" s="166">
        <f ca="1"/>
        <v>2.124637601431667E-3</v>
      </c>
      <c r="Z104" s="166">
        <f ca="1"/>
        <v>5.5362405633690992E-3</v>
      </c>
      <c r="AA104" s="166">
        <f ca="1"/>
        <v>1.0865803813014607E-2</v>
      </c>
      <c r="AB104" s="166">
        <f ca="1"/>
        <v>0</v>
      </c>
      <c r="AC104" s="166">
        <f ca="1"/>
        <v>2.6303653019050688E-2</v>
      </c>
      <c r="AD104" s="166">
        <f ca="1"/>
        <v>4.5755604677000794E-2</v>
      </c>
      <c r="AE104" s="140">
        <f ca="1"/>
        <v>8.1895006949937121E-2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.199999999999999" x14ac:dyDescent="0.2">
      <c r="A105" s="97">
        <f t="shared" ca="1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>
        <f t="array" aca="1" ref="N105:AE105" ca="1">IF(OR(B105="",NOT($J$2)),"",[3]!GetStripDefaultProbability(A105,B105,Parameter_Date,CDSRollDate,E105:M105,SpreadCurveMaturities,D105,C105,$J$4,$J$6))</f>
        <v>0</v>
      </c>
      <c r="O105" s="166">
        <f ca="1"/>
        <v>2.799239499720052E-4</v>
      </c>
      <c r="P105" s="166">
        <f ca="1"/>
        <v>8.8670719766348327E-4</v>
      </c>
      <c r="Q105" s="166">
        <f ca="1"/>
        <v>3.1323536816416642E-3</v>
      </c>
      <c r="R105" s="166">
        <f ca="1"/>
        <v>6.7733546032791025E-3</v>
      </c>
      <c r="S105" s="166">
        <f ca="1"/>
        <v>0</v>
      </c>
      <c r="T105" s="166">
        <f ca="1"/>
        <v>1.8305634510526358E-2</v>
      </c>
      <c r="U105" s="166">
        <f ca="1"/>
        <v>3.3050941598062988E-2</v>
      </c>
      <c r="V105" s="140">
        <f ca="1"/>
        <v>5.9710758819367604E-2</v>
      </c>
      <c r="W105" s="139">
        <f ca="1"/>
        <v>0</v>
      </c>
      <c r="X105" s="166">
        <f ca="1"/>
        <v>3.7321434723358582E-4</v>
      </c>
      <c r="Y105" s="166">
        <f ca="1"/>
        <v>1.0532122039936809E-3</v>
      </c>
      <c r="Z105" s="166">
        <f ca="1"/>
        <v>3.4645875217036437E-3</v>
      </c>
      <c r="AA105" s="166">
        <f ca="1"/>
        <v>7.2698437933172988E-3</v>
      </c>
      <c r="AB105" s="166">
        <f ca="1"/>
        <v>0</v>
      </c>
      <c r="AC105" s="166">
        <f ca="1"/>
        <v>1.918629724463361E-2</v>
      </c>
      <c r="AD105" s="166">
        <f ca="1"/>
        <v>3.4653733595149561E-2</v>
      </c>
      <c r="AE105" s="140">
        <f ca="1"/>
        <v>6.2591053950538655E-2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.199999999999999" x14ac:dyDescent="0.2">
      <c r="A106" s="97">
        <f t="shared" ca="1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>
        <f t="array" aca="1" ref="N106:AE106" ca="1">IF(OR(B106="",NOT($J$2)),"",[3]!GetStripDefaultProbability(A106,B106,Parameter_Date,CDSRollDate,E106:M106,SpreadCurveMaturities,D106,C106,$J$4,$J$6))</f>
        <v>0</v>
      </c>
      <c r="O106" s="166">
        <f ca="1"/>
        <v>8.3953730218899736E-4</v>
      </c>
      <c r="P106" s="166">
        <f ca="1"/>
        <v>1.5873210690110495E-3</v>
      </c>
      <c r="Q106" s="166">
        <f ca="1"/>
        <v>6.2567065801863997E-3</v>
      </c>
      <c r="R106" s="166">
        <f ca="1"/>
        <v>1.3513834740416342E-2</v>
      </c>
      <c r="S106" s="166">
        <f ca="1"/>
        <v>0</v>
      </c>
      <c r="T106" s="166">
        <f ca="1"/>
        <v>3.7273207205486658E-2</v>
      </c>
      <c r="U106" s="166">
        <f ca="1"/>
        <v>6.5245986484959162E-2</v>
      </c>
      <c r="V106" s="140">
        <f ca="1"/>
        <v>0.10924122528924074</v>
      </c>
      <c r="W106" s="139">
        <f ca="1"/>
        <v>0</v>
      </c>
      <c r="X106" s="166">
        <f ca="1"/>
        <v>9.3277418569359671E-4</v>
      </c>
      <c r="Y106" s="166">
        <f ca="1"/>
        <v>1.7537093160937545E-3</v>
      </c>
      <c r="Z106" s="166">
        <f ca="1"/>
        <v>6.5878991428429678E-3</v>
      </c>
      <c r="AA106" s="166">
        <f ca="1"/>
        <v>1.4180255007558262E-2</v>
      </c>
      <c r="AB106" s="166">
        <f ca="1"/>
        <v>0</v>
      </c>
      <c r="AC106" s="166">
        <f ca="1"/>
        <v>3.9100904765265954E-2</v>
      </c>
      <c r="AD106" s="166">
        <f ca="1"/>
        <v>6.8415130689289061E-2</v>
      </c>
      <c r="AE106" s="140">
        <f ca="1"/>
        <v>0.11445861912459365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.199999999999999" x14ac:dyDescent="0.2">
      <c r="A107" s="97">
        <f t="shared" ca="1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>
        <f t="array" aca="1" ref="N107:AE107" ca="1">IF(OR(B107="",NOT($J$2)),"",[3]!GetStripDefaultProbability(A107,B107,Parameter_Date,CDSRollDate,E107:M107,SpreadCurveMaturities,D107,C107,$J$4,$J$6))</f>
        <v>0</v>
      </c>
      <c r="O107" s="166">
        <f ca="1"/>
        <v>2.799239499720052E-4</v>
      </c>
      <c r="P107" s="166">
        <f ca="1"/>
        <v>8.8670719766348327E-4</v>
      </c>
      <c r="Q107" s="166">
        <f ca="1"/>
        <v>4.1874856574951602E-3</v>
      </c>
      <c r="R107" s="166">
        <f ca="1"/>
        <v>8.3256395596750243E-3</v>
      </c>
      <c r="S107" s="166">
        <f ca="1"/>
        <v>0</v>
      </c>
      <c r="T107" s="166">
        <f ca="1"/>
        <v>2.2629169461011789E-2</v>
      </c>
      <c r="U107" s="166">
        <f ca="1"/>
        <v>4.1550621484000017E-2</v>
      </c>
      <c r="V107" s="140">
        <f ca="1"/>
        <v>7.7111604519535359E-2</v>
      </c>
      <c r="W107" s="139">
        <f ca="1"/>
        <v>0</v>
      </c>
      <c r="X107" s="166">
        <f ca="1"/>
        <v>3.7321434723358582E-4</v>
      </c>
      <c r="Y107" s="166">
        <f ca="1"/>
        <v>1.0532122039936809E-3</v>
      </c>
      <c r="Z107" s="166">
        <f ca="1"/>
        <v>4.5193678455092146E-3</v>
      </c>
      <c r="AA107" s="166">
        <f ca="1"/>
        <v>8.8213528012500708E-3</v>
      </c>
      <c r="AB107" s="166">
        <f ca="1"/>
        <v>0</v>
      </c>
      <c r="AC107" s="166">
        <f ca="1"/>
        <v>2.373010292806832E-2</v>
      </c>
      <c r="AD107" s="166">
        <f ca="1"/>
        <v>4.3573712608331649E-2</v>
      </c>
      <c r="AE107" s="140">
        <f ca="1"/>
        <v>8.0818590083337249E-2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.199999999999999" x14ac:dyDescent="0.2">
      <c r="A108" s="97">
        <f t="shared" ca="1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>
        <f t="array" aca="1" ref="N108:AE108" ca="1">IF(OR(B108="",NOT($J$2)),"",[3]!GetStripDefaultProbability(A108,B108,Parameter_Date,CDSRollDate,E108:M108,SpreadCurveMaturities,D108,C108,$J$4,$J$6))</f>
        <v>0</v>
      </c>
      <c r="O108" s="166">
        <f ca="1"/>
        <v>6.5303425461338271E-4</v>
      </c>
      <c r="P108" s="166">
        <f ca="1"/>
        <v>1.9490125314826079E-3</v>
      </c>
      <c r="Q108" s="166">
        <f ca="1"/>
        <v>6.9509631904643987E-3</v>
      </c>
      <c r="R108" s="166">
        <f ca="1"/>
        <v>1.5067411234717887E-2</v>
      </c>
      <c r="S108" s="166">
        <f ca="1"/>
        <v>0</v>
      </c>
      <c r="T108" s="166">
        <f ca="1"/>
        <v>4.2438254157610045E-2</v>
      </c>
      <c r="U108" s="166">
        <f ca="1"/>
        <v>7.2182357238937622E-2</v>
      </c>
      <c r="V108" s="140">
        <f ca="1"/>
        <v>0.12235257322539927</v>
      </c>
      <c r="W108" s="139">
        <f ca="1"/>
        <v>0</v>
      </c>
      <c r="X108" s="166">
        <f ca="1"/>
        <v>7.4628912209839804E-4</v>
      </c>
      <c r="Y108" s="166">
        <f ca="1"/>
        <v>2.1153405016756111E-3</v>
      </c>
      <c r="Z108" s="166">
        <f ca="1"/>
        <v>7.2819243728191596E-3</v>
      </c>
      <c r="AA108" s="166">
        <f ca="1"/>
        <v>1.5812709332901576E-2</v>
      </c>
      <c r="AB108" s="166">
        <f ca="1"/>
        <v>0</v>
      </c>
      <c r="AC108" s="166">
        <f ca="1"/>
        <v>4.4517437651220182E-2</v>
      </c>
      <c r="AD108" s="166">
        <f ca="1"/>
        <v>7.5680069989006338E-2</v>
      </c>
      <c r="AE108" s="140">
        <f ca="1"/>
        <v>0.12816706055350147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.199999999999999" x14ac:dyDescent="0.2">
      <c r="A109" s="97">
        <f t="shared" ca="1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>
        <f t="array" aca="1" ref="N109:AE109" ca="1">IF(OR(B109="",NOT($J$2)),"",[3]!GetStripDefaultProbability(A109,B109,Parameter_Date,CDSRollDate,E109:M109,SpreadCurveMaturities,D109,C109,$J$4,$J$6))</f>
        <v>0</v>
      </c>
      <c r="O109" s="166">
        <f ca="1"/>
        <v>3.7321455535799242E-4</v>
      </c>
      <c r="P109" s="166">
        <f ca="1"/>
        <v>1.5988606883324818E-3</v>
      </c>
      <c r="Q109" s="166">
        <f ca="1"/>
        <v>4.863427124660813E-3</v>
      </c>
      <c r="R109" s="166">
        <f ca="1"/>
        <v>8.7988721979794793E-3</v>
      </c>
      <c r="S109" s="166">
        <f ca="1"/>
        <v>0</v>
      </c>
      <c r="T109" s="166">
        <f ca="1"/>
        <v>2.1631884061536488E-2</v>
      </c>
      <c r="U109" s="166">
        <f ca="1"/>
        <v>3.5028077174685812E-2</v>
      </c>
      <c r="V109" s="140">
        <f ca="1"/>
        <v>5.8720021316694515E-2</v>
      </c>
      <c r="W109" s="139">
        <f ca="1"/>
        <v>0</v>
      </c>
      <c r="X109" s="166">
        <f ca="1"/>
        <v>4.6649612398852458E-4</v>
      </c>
      <c r="Y109" s="166">
        <f ca="1"/>
        <v>1.7652470123107333E-3</v>
      </c>
      <c r="Z109" s="166">
        <f ca="1"/>
        <v>5.1950840363904627E-3</v>
      </c>
      <c r="AA109" s="166">
        <f ca="1"/>
        <v>9.2943488823814535E-3</v>
      </c>
      <c r="AB109" s="166">
        <f ca="1"/>
        <v>0</v>
      </c>
      <c r="AC109" s="166">
        <f ca="1"/>
        <v>2.2688545903866597E-2</v>
      </c>
      <c r="AD109" s="166">
        <f ca="1"/>
        <v>3.6738454150802236E-2</v>
      </c>
      <c r="AE109" s="140">
        <f ca="1"/>
        <v>6.1562239847408828E-2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.199999999999999" x14ac:dyDescent="0.2">
      <c r="A110" s="97">
        <f t="shared" ca="1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>
        <f t="array" aca="1" ref="N110:AE110" ca="1">IF(OR(B110="",NOT($J$2)),"",[3]!GetStripDefaultProbability(A110,B110,Parameter_Date,CDSRollDate,E110:M110,SpreadCurveMaturities,D110,C110,$J$4,$J$6))</f>
        <v>0</v>
      </c>
      <c r="O110" s="166">
        <f ca="1"/>
        <v>7.4629011945415158E-4</v>
      </c>
      <c r="P110" s="166">
        <f ca="1"/>
        <v>1.4110765707133766E-3</v>
      </c>
      <c r="Q110" s="166">
        <f ca="1"/>
        <v>5.9141867916747692E-3</v>
      </c>
      <c r="R110" s="166">
        <f ca="1"/>
        <v>1.1942723872169769E-2</v>
      </c>
      <c r="S110" s="166">
        <f ca="1"/>
        <v>0</v>
      </c>
      <c r="T110" s="166">
        <f ca="1"/>
        <v>3.653274404356166E-2</v>
      </c>
      <c r="U110" s="166">
        <f ca="1"/>
        <v>6.4209852061327899E-2</v>
      </c>
      <c r="V110" s="140">
        <f ca="1"/>
        <v>0.11156605248566709</v>
      </c>
      <c r="W110" s="139">
        <f ca="1"/>
        <v>0</v>
      </c>
      <c r="X110" s="166">
        <f ca="1"/>
        <v>8.3953601351138829E-4</v>
      </c>
      <c r="Y110" s="166">
        <f ca="1"/>
        <v>1.5774941894265426E-3</v>
      </c>
      <c r="Z110" s="166">
        <f ca="1"/>
        <v>6.2454935085528573E-3</v>
      </c>
      <c r="AA110" s="166">
        <f ca="1"/>
        <v>1.2530092776156021E-2</v>
      </c>
      <c r="AB110" s="166">
        <f ca="1"/>
        <v>0</v>
      </c>
      <c r="AC110" s="166">
        <f ca="1"/>
        <v>3.8323610180284073E-2</v>
      </c>
      <c r="AD110" s="166">
        <f ca="1"/>
        <v>6.7329968170557253E-2</v>
      </c>
      <c r="AE110" s="140">
        <f ca="1"/>
        <v>0.11689587412079461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.199999999999999" x14ac:dyDescent="0.2">
      <c r="A111" s="97">
        <f t="shared" ca="1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>
        <f t="array" aca="1" ref="N111:AE111" ca="1">IF(OR(B111="",NOT($J$2)),"",[3]!GetStripDefaultProbability(A111,B111,Parameter_Date,CDSRollDate,E111:M111,SpreadCurveMaturities,D111,C111,$J$4,$J$6))</f>
        <v>0</v>
      </c>
      <c r="O111" s="166">
        <f ca="1"/>
        <v>1.492024584305196E-3</v>
      </c>
      <c r="P111" s="166">
        <f ca="1"/>
        <v>3.3552207236470233E-3</v>
      </c>
      <c r="Q111" s="166">
        <f ca="1"/>
        <v>8.2812379594552343E-3</v>
      </c>
      <c r="R111" s="166">
        <f ca="1"/>
        <v>1.3862485869421737E-2</v>
      </c>
      <c r="S111" s="166">
        <f ca="1"/>
        <v>0</v>
      </c>
      <c r="T111" s="166">
        <f ca="1"/>
        <v>2.8132775782726105E-2</v>
      </c>
      <c r="U111" s="166">
        <f ca="1"/>
        <v>4.3380147595514673E-2</v>
      </c>
      <c r="V111" s="140">
        <f ca="1"/>
        <v>6.9473863844437544E-2</v>
      </c>
      <c r="W111" s="139">
        <f ca="1"/>
        <v>0</v>
      </c>
      <c r="X111" s="166">
        <f ca="1"/>
        <v>1.5851973209364267E-3</v>
      </c>
      <c r="Y111" s="166">
        <f ca="1"/>
        <v>3.5213143453449725E-3</v>
      </c>
      <c r="Z111" s="166">
        <f ca="1"/>
        <v>8.6778461373517857E-3</v>
      </c>
      <c r="AA111" s="166">
        <f ca="1"/>
        <v>1.4551374120964633E-2</v>
      </c>
      <c r="AB111" s="166">
        <f ca="1"/>
        <v>0</v>
      </c>
      <c r="AC111" s="166">
        <f ca="1"/>
        <v>2.952036717635742E-2</v>
      </c>
      <c r="AD111" s="166">
        <f ca="1"/>
        <v>4.5505194271610705E-2</v>
      </c>
      <c r="AE111" s="140">
        <f ca="1"/>
        <v>7.2830049558513354E-2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.199999999999999" x14ac:dyDescent="0.2">
      <c r="A112" s="97">
        <f t="shared" ca="1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>
        <f t="array" aca="1" ref="N112:AE112" ca="1">IF(OR(B112="",NOT($J$2)),"",[3]!GetStripDefaultProbability(A112,B112,Parameter_Date,CDSRollDate,E112:M112,SpreadCurveMaturities,D112,C112,$J$4,$J$6))</f>
        <v>0</v>
      </c>
      <c r="O112" s="166">
        <f ca="1"/>
        <v>6.5303425461338271E-4</v>
      </c>
      <c r="P112" s="166">
        <f ca="1"/>
        <v>2.4845156425371551E-3</v>
      </c>
      <c r="Q112" s="166">
        <f ca="1"/>
        <v>8.685826777107053E-3</v>
      </c>
      <c r="R112" s="166">
        <f ca="1"/>
        <v>1.867955505454999E-2</v>
      </c>
      <c r="S112" s="166">
        <f ca="1"/>
        <v>0</v>
      </c>
      <c r="T112" s="166">
        <f ca="1"/>
        <v>4.8233858247651362E-2</v>
      </c>
      <c r="U112" s="166">
        <f ca="1"/>
        <v>8.383657160206448E-2</v>
      </c>
      <c r="V112" s="140">
        <f ca="1"/>
        <v>0.1453208232064731</v>
      </c>
      <c r="W112" s="139">
        <f ca="1"/>
        <v>0</v>
      </c>
      <c r="X112" s="166">
        <f ca="1"/>
        <v>7.4628912209839804E-4</v>
      </c>
      <c r="Y112" s="166">
        <f ca="1"/>
        <v>2.6507543696420166E-3</v>
      </c>
      <c r="Z112" s="166">
        <f ca="1"/>
        <v>9.0987883096406152E-3</v>
      </c>
      <c r="AA112" s="166">
        <f ca="1"/>
        <v>1.9604228637601806E-2</v>
      </c>
      <c r="AB112" s="166">
        <f ca="1"/>
        <v>0</v>
      </c>
      <c r="AC112" s="166">
        <f ca="1"/>
        <v>5.0591663770621853E-2</v>
      </c>
      <c r="AD112" s="166">
        <f ca="1"/>
        <v>8.7878843567888221E-2</v>
      </c>
      <c r="AE112" s="140">
        <f ca="1"/>
        <v>0.1521665635865842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.199999999999999" x14ac:dyDescent="0.2">
      <c r="A113" s="97">
        <f t="shared" ca="1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>
        <f t="array" aca="1" ref="N113:AE113" ca="1">IF(OR(B113="",NOT($J$2)),"",[3]!GetStripDefaultProbability(A113,B113,Parameter_Date,CDSRollDate,E113:M113,SpreadCurveMaturities,D113,C113,$J$4,$J$6))</f>
        <v>0</v>
      </c>
      <c r="O113" s="166">
        <f ca="1"/>
        <v>1.1192267699196012E-3</v>
      </c>
      <c r="P113" s="166">
        <f ca="1"/>
        <v>3.0080192722674592E-3</v>
      </c>
      <c r="Q113" s="166">
        <f ca="1"/>
        <v>1.0756418184428962E-2</v>
      </c>
      <c r="R113" s="166">
        <f ca="1"/>
        <v>2.1192366476306512E-2</v>
      </c>
      <c r="S113" s="166">
        <f ca="1"/>
        <v>0</v>
      </c>
      <c r="T113" s="166">
        <f ca="1"/>
        <v>4.3455945480852187E-2</v>
      </c>
      <c r="U113" s="166">
        <f ca="1"/>
        <v>7.2498531000796285E-2</v>
      </c>
      <c r="V113" s="140">
        <f ca="1"/>
        <v>0.13052180122594303</v>
      </c>
      <c r="W113" s="139">
        <f ca="1"/>
        <v>0</v>
      </c>
      <c r="X113" s="166">
        <f ca="1"/>
        <v>1.2124363949111983E-3</v>
      </c>
      <c r="Y113" s="166">
        <f ca="1"/>
        <v>3.1741707560468679E-3</v>
      </c>
      <c r="Z113" s="166">
        <f ca="1"/>
        <v>1.129011763445853E-2</v>
      </c>
      <c r="AA113" s="166">
        <f ca="1"/>
        <v>2.2241103424732511E-2</v>
      </c>
      <c r="AB113" s="166">
        <f ca="1"/>
        <v>0</v>
      </c>
      <c r="AC113" s="166">
        <f ca="1"/>
        <v>4.5582680744197024E-2</v>
      </c>
      <c r="AD113" s="166">
        <f ca="1"/>
        <v>7.6004348644813091E-2</v>
      </c>
      <c r="AE113" s="140">
        <f ca="1"/>
        <v>0.13670551460719038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.199999999999999" x14ac:dyDescent="0.2">
      <c r="A114" s="97">
        <f t="shared" ca="1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>
        <f t="array" aca="1" ref="N114:AE114" ca="1">IF(OR(B114="",NOT($J$2)),"",[3]!GetStripDefaultProbability(A114,B114,Parameter_Date,CDSRollDate,E114:M114,SpreadCurveMaturities,D114,C114,$J$4,$J$6))</f>
        <v>0</v>
      </c>
      <c r="O114" s="166">
        <f ca="1"/>
        <v>1.6783714522135007E-3</v>
      </c>
      <c r="P114" s="166">
        <f ca="1"/>
        <v>3.7070431481559529E-3</v>
      </c>
      <c r="Q114" s="166">
        <f ca="1"/>
        <v>7.9130791707353598E-3</v>
      </c>
      <c r="R114" s="166">
        <f ca="1"/>
        <v>1.3861632103653543E-2</v>
      </c>
      <c r="S114" s="166">
        <f ca="1"/>
        <v>0</v>
      </c>
      <c r="T114" s="166">
        <f ca="1"/>
        <v>3.2589575198175624E-2</v>
      </c>
      <c r="U114" s="166">
        <f ca="1"/>
        <v>5.5190699692642786E-2</v>
      </c>
      <c r="V114" s="140">
        <f ca="1"/>
        <v>9.7762617954376574E-2</v>
      </c>
      <c r="W114" s="139">
        <f ca="1"/>
        <v>0</v>
      </c>
      <c r="X114" s="166">
        <f ca="1"/>
        <v>1.7715255047110468E-3</v>
      </c>
      <c r="Y114" s="166">
        <f ca="1"/>
        <v>3.8813791607569259E-3</v>
      </c>
      <c r="Z114" s="166">
        <f ca="1"/>
        <v>8.2933062755312648E-3</v>
      </c>
      <c r="AA114" s="166">
        <f ca="1"/>
        <v>1.4550982569144111E-2</v>
      </c>
      <c r="AB114" s="166">
        <f ca="1"/>
        <v>0</v>
      </c>
      <c r="AC114" s="166">
        <f ca="1"/>
        <v>3.4194991943796826E-2</v>
      </c>
      <c r="AD114" s="166">
        <f ca="1"/>
        <v>5.7884634523856948E-2</v>
      </c>
      <c r="AE114" s="140">
        <f ca="1"/>
        <v>0.1024611228312533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.199999999999999" x14ac:dyDescent="0.2">
      <c r="A115" s="97">
        <f t="shared" ca="1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>
        <f t="array" aca="1" ref="N115:AE115" ca="1">IF(OR(B115="",NOT($J$2)),"",[3]!GetStripDefaultProbability(A115,B115,Parameter_Date,CDSRollDate,E115:M115,SpreadCurveMaturities,D115,C115,$J$4,$J$6))</f>
        <v>0</v>
      </c>
      <c r="O115" s="166">
        <f ca="1"/>
        <v>5.5976970645477131E-4</v>
      </c>
      <c r="P115" s="166">
        <f ca="1"/>
        <v>1.4156757691393684E-3</v>
      </c>
      <c r="Q115" s="166">
        <f ca="1"/>
        <v>4.8649453632734208E-3</v>
      </c>
      <c r="R115" s="166">
        <f ca="1"/>
        <v>9.8665374352625568E-3</v>
      </c>
      <c r="S115" s="166">
        <f ca="1"/>
        <v>0</v>
      </c>
      <c r="T115" s="166">
        <f ca="1"/>
        <v>2.6035006070425748E-2</v>
      </c>
      <c r="U115" s="166">
        <f ca="1"/>
        <v>4.4896123377750508E-2</v>
      </c>
      <c r="V115" s="140">
        <f ca="1"/>
        <v>8.5565128813319902E-2</v>
      </c>
      <c r="W115" s="139">
        <f ca="1"/>
        <v>0</v>
      </c>
      <c r="X115" s="166">
        <f ca="1"/>
        <v>6.5303351059242676E-4</v>
      </c>
      <c r="Y115" s="166">
        <f ca="1"/>
        <v>1.582092621382758E-3</v>
      </c>
      <c r="Z115" s="166">
        <f ca="1"/>
        <v>5.1966017690152633E-3</v>
      </c>
      <c r="AA115" s="166">
        <f ca="1"/>
        <v>1.0361480420473579E-2</v>
      </c>
      <c r="AB115" s="166">
        <f ca="1"/>
        <v>0</v>
      </c>
      <c r="AC115" s="166">
        <f ca="1"/>
        <v>2.7311187136492721E-2</v>
      </c>
      <c r="AD115" s="166">
        <f ca="1"/>
        <v>4.708833001830981E-2</v>
      </c>
      <c r="AE115" s="140">
        <f ca="1"/>
        <v>8.969672242544291E-2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.199999999999999" x14ac:dyDescent="0.2">
      <c r="A116" s="97">
        <f t="shared" ca="1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>
        <f t="array" aca="1" ref="N116:AE116" ca="1">IF(OR(B116="",NOT($J$2)),"",[3]!GetStripDefaultProbability(A116,B116,Parameter_Date,CDSRollDate,E116:M116,SpreadCurveMaturities,D116,C116,$J$4,$J$6))</f>
        <v>0</v>
      </c>
      <c r="O116" s="166">
        <f ca="1"/>
        <v>8.3953730218899736E-4</v>
      </c>
      <c r="P116" s="166">
        <f ca="1"/>
        <v>1.765850083084719E-3</v>
      </c>
      <c r="Q116" s="166">
        <f ca="1"/>
        <v>6.2504106149121608E-3</v>
      </c>
      <c r="R116" s="166">
        <f ca="1"/>
        <v>1.0845999945824469E-2</v>
      </c>
      <c r="S116" s="166">
        <f ca="1"/>
        <v>0</v>
      </c>
      <c r="T116" s="166">
        <f ca="1"/>
        <v>2.8550103389746506E-2</v>
      </c>
      <c r="U116" s="166">
        <f ca="1"/>
        <v>4.9630581989767442E-2</v>
      </c>
      <c r="V116" s="140">
        <f ca="1"/>
        <v>9.0097841286418734E-2</v>
      </c>
      <c r="W116" s="139">
        <f ca="1"/>
        <v>0</v>
      </c>
      <c r="X116" s="166">
        <f ca="1"/>
        <v>9.3277418569359671E-4</v>
      </c>
      <c r="Y116" s="166">
        <f ca="1"/>
        <v>1.9322085778153975E-3</v>
      </c>
      <c r="Z116" s="166">
        <f ca="1"/>
        <v>6.5816052758608246E-3</v>
      </c>
      <c r="AA116" s="166">
        <f ca="1"/>
        <v>1.1365169501938888E-2</v>
      </c>
      <c r="AB116" s="166">
        <f ca="1"/>
        <v>0</v>
      </c>
      <c r="AC116" s="166">
        <f ca="1"/>
        <v>2.995513453905152E-2</v>
      </c>
      <c r="AD116" s="166">
        <f ca="1"/>
        <v>5.2056397618486905E-2</v>
      </c>
      <c r="AE116" s="140">
        <f ca="1"/>
        <v>9.444287381318861E-2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.199999999999999" x14ac:dyDescent="0.2">
      <c r="A117" s="97">
        <f t="shared" ca="1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>
        <f t="array" aca="1" ref="N117:AE117" ca="1">IF(OR(B117="",NOT($J$2)),"",[3]!GetStripDefaultProbability(A117,B117,Parameter_Date,CDSRollDate,E117:M117,SpreadCurveMaturities,D117,C117,$J$4,$J$6))</f>
        <v>0</v>
      </c>
      <c r="O117" s="166">
        <f ca="1"/>
        <v>4.6649647376628689E-4</v>
      </c>
      <c r="P117" s="166">
        <f ca="1"/>
        <v>1.2393840374057552E-3</v>
      </c>
      <c r="Q117" s="166">
        <f ca="1"/>
        <v>4.170493239837092E-3</v>
      </c>
      <c r="R117" s="166">
        <f ca="1"/>
        <v>9.3750564254325708E-3</v>
      </c>
      <c r="S117" s="166">
        <f ca="1"/>
        <v>0</v>
      </c>
      <c r="T117" s="166">
        <f ca="1"/>
        <v>2.5221921483341125E-2</v>
      </c>
      <c r="U117" s="166">
        <f ca="1"/>
        <v>4.2474338076779583E-2</v>
      </c>
      <c r="V117" s="140">
        <f ca="1"/>
        <v>8.2305587131993874E-2</v>
      </c>
      <c r="W117" s="139">
        <f ca="1"/>
        <v>0</v>
      </c>
      <c r="X117" s="166">
        <f ca="1"/>
        <v>5.5976917815403482E-4</v>
      </c>
      <c r="Y117" s="166">
        <f ca="1"/>
        <v>1.4058302691598579E-3</v>
      </c>
      <c r="Z117" s="166">
        <f ca="1"/>
        <v>4.5023810910260753E-3</v>
      </c>
      <c r="AA117" s="166">
        <f ca="1"/>
        <v>9.8702450897376615E-3</v>
      </c>
      <c r="AB117" s="166">
        <f ca="1"/>
        <v>0</v>
      </c>
      <c r="AC117" s="166">
        <f ca="1"/>
        <v>2.6454495214033757E-2</v>
      </c>
      <c r="AD117" s="166">
        <f ca="1"/>
        <v>4.4545757855139478E-2</v>
      </c>
      <c r="AE117" s="140">
        <f ca="1"/>
        <v>8.6257196366823274E-2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.199999999999999" x14ac:dyDescent="0.2">
      <c r="A118" s="97">
        <f t="shared" ca="1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>
        <f t="array" aca="1" ref="N118:AE118" ca="1">IF(OR(B118="",NOT($J$2)),"",[3]!GetStripDefaultProbability(A118,B118,Parameter_Date,CDSRollDate,E118:M118,SpreadCurveMaturities,D118,C118,$J$4,$J$6))</f>
        <v>0</v>
      </c>
      <c r="O118" s="166">
        <f ca="1"/>
        <v>1.8662465644081472E-4</v>
      </c>
      <c r="P118" s="166">
        <f ca="1"/>
        <v>8.8898287499306061E-4</v>
      </c>
      <c r="Q118" s="166">
        <f ca="1"/>
        <v>3.4864374832132006E-3</v>
      </c>
      <c r="R118" s="166">
        <f ca="1"/>
        <v>7.827044942145811E-3</v>
      </c>
      <c r="S118" s="166">
        <f ca="1"/>
        <v>0</v>
      </c>
      <c r="T118" s="166">
        <f ca="1"/>
        <v>2.0011494180801392E-2</v>
      </c>
      <c r="U118" s="166">
        <f ca="1"/>
        <v>3.4082253038638655E-2</v>
      </c>
      <c r="V118" s="140">
        <f ca="1"/>
        <v>6.1192260841288371E-2</v>
      </c>
      <c r="W118" s="139">
        <f ca="1"/>
        <v>0</v>
      </c>
      <c r="X118" s="166">
        <f ca="1"/>
        <v>2.799238471393739E-4</v>
      </c>
      <c r="Y118" s="166">
        <f ca="1"/>
        <v>1.0554875020748478E-3</v>
      </c>
      <c r="Z118" s="166">
        <f ca="1"/>
        <v>3.8185533149868167E-3</v>
      </c>
      <c r="AA118" s="166">
        <f ca="1"/>
        <v>8.3230074187307101E-3</v>
      </c>
      <c r="AB118" s="166">
        <f ca="1"/>
        <v>0</v>
      </c>
      <c r="AC118" s="166">
        <f ca="1"/>
        <v>2.0980417082650304E-2</v>
      </c>
      <c r="AD118" s="166">
        <f ca="1"/>
        <v>3.5739102063113037E-2</v>
      </c>
      <c r="AE118" s="140">
        <f ca="1"/>
        <v>6.4145839932770787E-2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.199999999999999" x14ac:dyDescent="0.2">
      <c r="A119" s="97">
        <f t="shared" ca="1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>
        <f t="array" aca="1" ref="N119:AE119" ca="1">IF(OR(B119="",NOT($J$2)),"",[3]!GetStripDefaultProbability(A119,B119,Parameter_Date,CDSRollDate,E119:M119,SpreadCurveMaturities,D119,C119,$J$4,$J$6))</f>
        <v>0</v>
      </c>
      <c r="O119" s="166">
        <f ca="1"/>
        <v>5.5976970645477131E-4</v>
      </c>
      <c r="P119" s="166">
        <f ca="1"/>
        <v>1.5942443069785206E-3</v>
      </c>
      <c r="Q119" s="166">
        <f ca="1"/>
        <v>5.9126507943983997E-3</v>
      </c>
      <c r="R119" s="166">
        <f ca="1"/>
        <v>1.2473545091417848E-2</v>
      </c>
      <c r="S119" s="166">
        <f ca="1"/>
        <v>0</v>
      </c>
      <c r="T119" s="166">
        <f ca="1"/>
        <v>3.2924970844601109E-2</v>
      </c>
      <c r="U119" s="166">
        <f ca="1"/>
        <v>5.9402596506265559E-2</v>
      </c>
      <c r="V119" s="140">
        <f ca="1"/>
        <v>0.11078780682347322</v>
      </c>
      <c r="W119" s="139">
        <f ca="1"/>
        <v>0</v>
      </c>
      <c r="X119" s="166">
        <f ca="1"/>
        <v>6.5303351059242676E-4</v>
      </c>
      <c r="Y119" s="166">
        <f ca="1"/>
        <v>1.7606314002855949E-3</v>
      </c>
      <c r="Z119" s="166">
        <f ca="1"/>
        <v>6.24395802317812E-3</v>
      </c>
      <c r="AA119" s="166">
        <f ca="1"/>
        <v>1.3087298690682925E-2</v>
      </c>
      <c r="AB119" s="166">
        <f ca="1"/>
        <v>0</v>
      </c>
      <c r="AC119" s="166">
        <f ca="1"/>
        <v>3.4540536117186549E-2</v>
      </c>
      <c r="AD119" s="166">
        <f ca="1"/>
        <v>6.2293565961836439E-2</v>
      </c>
      <c r="AE119" s="140">
        <f ca="1"/>
        <v>0.11609194197677297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.199999999999999" x14ac:dyDescent="0.2">
      <c r="A120" s="97">
        <f t="shared" ca="1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>
        <f t="array" aca="1" ref="N120:AE120" ca="1">IF(OR(B120="",NOT($J$2)),"",[3]!GetStripDefaultProbability(A120,B120,Parameter_Date,CDSRollDate,E120:M120,SpreadCurveMaturities,D120,C120,$J$4,$J$6))</f>
        <v>0</v>
      </c>
      <c r="O120" s="166">
        <f ca="1"/>
        <v>1.0632951250357792E-3</v>
      </c>
      <c r="P120" s="166">
        <f ca="1"/>
        <v>2.9024013940364135E-3</v>
      </c>
      <c r="Q120" s="166">
        <f ca="1"/>
        <v>8.1688355543854119E-3</v>
      </c>
      <c r="R120" s="166">
        <f ca="1"/>
        <v>1.5066297382759553E-2</v>
      </c>
      <c r="S120" s="166">
        <f ca="1"/>
        <v>0</v>
      </c>
      <c r="T120" s="166">
        <f ca="1"/>
        <v>3.4318059674604329E-2</v>
      </c>
      <c r="U120" s="166">
        <f ca="1"/>
        <v>5.2365529279201461E-2</v>
      </c>
      <c r="V120" s="140">
        <f ca="1"/>
        <v>7.8889506982015134E-2</v>
      </c>
      <c r="W120" s="139">
        <f ca="1"/>
        <v>0</v>
      </c>
      <c r="X120" s="166">
        <f ca="1"/>
        <v>1.1565102292662166E-3</v>
      </c>
      <c r="Y120" s="166">
        <f ca="1"/>
        <v>3.0685704793246282E-3</v>
      </c>
      <c r="Z120" s="166">
        <f ca="1"/>
        <v>8.5588790988092578E-3</v>
      </c>
      <c r="AA120" s="166">
        <f ca="1"/>
        <v>1.5813529826031014E-2</v>
      </c>
      <c r="AB120" s="166">
        <f ca="1"/>
        <v>0</v>
      </c>
      <c r="AC120" s="166">
        <f ca="1"/>
        <v>3.6005566345499673E-2</v>
      </c>
      <c r="AD120" s="166">
        <f ca="1"/>
        <v>5.4920309460100514E-2</v>
      </c>
      <c r="AE120" s="140">
        <f ca="1"/>
        <v>8.2679306379634387E-2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.199999999999999" x14ac:dyDescent="0.2">
      <c r="A121" s="97">
        <f t="shared" ca="1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>
        <f t="array" aca="1" ref="N121:AE121" ca="1">IF(OR(B121="",NOT($J$2)),"",[3]!GetStripDefaultProbability(A121,B121,Parameter_Date,CDSRollDate,E121:M121,SpreadCurveMaturities,D121,C121,$J$4,$J$6))</f>
        <v>0</v>
      </c>
      <c r="O121" s="166">
        <f ca="1"/>
        <v>1.0726172827926206E-3</v>
      </c>
      <c r="P121" s="166">
        <f ca="1"/>
        <v>3.2054338385190118E-3</v>
      </c>
      <c r="Q121" s="166">
        <f ca="1"/>
        <v>9.6996966232281157E-3</v>
      </c>
      <c r="R121" s="166">
        <f ca="1"/>
        <v>1.8058171350699093E-2</v>
      </c>
      <c r="S121" s="166">
        <f ca="1"/>
        <v>0</v>
      </c>
      <c r="T121" s="166">
        <f ca="1"/>
        <v>3.9322979205270614E-2</v>
      </c>
      <c r="U121" s="166">
        <f ca="1"/>
        <v>6.175941837545218E-2</v>
      </c>
      <c r="V121" s="140">
        <f ca="1"/>
        <v>9.551476955441518E-2</v>
      </c>
      <c r="W121" s="139">
        <f ca="1"/>
        <v>0</v>
      </c>
      <c r="X121" s="166">
        <f ca="1"/>
        <v>1.1658314747735599E-3</v>
      </c>
      <c r="Y121" s="166">
        <f ca="1"/>
        <v>3.3715524226098914E-3</v>
      </c>
      <c r="Z121" s="166">
        <f ca="1"/>
        <v>1.0181271226311628E-2</v>
      </c>
      <c r="AA121" s="166">
        <f ca="1"/>
        <v>1.8952764495030916E-2</v>
      </c>
      <c r="AB121" s="166">
        <f ca="1"/>
        <v>0</v>
      </c>
      <c r="AC121" s="166">
        <f ca="1"/>
        <v>4.1251639727773903E-2</v>
      </c>
      <c r="AD121" s="166">
        <f ca="1"/>
        <v>6.4759535862833228E-2</v>
      </c>
      <c r="AE121" s="140">
        <f ca="1"/>
        <v>0.10006637955057651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.199999999999999" x14ac:dyDescent="0.2">
      <c r="A122" s="97">
        <f t="shared" ca="1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>
        <f t="array" aca="1" ref="N122:AE122" ca="1">IF(OR(B122="",NOT($J$2)),"",[3]!GetStripDefaultProbability(A122,B122,Parameter_Date,CDSRollDate,E122:M122,SpreadCurveMaturities,D122,C122,$J$4,$J$6))</f>
        <v>0</v>
      </c>
      <c r="O122" s="166">
        <f ca="1"/>
        <v>2.799239499720052E-4</v>
      </c>
      <c r="P122" s="166">
        <f ca="1"/>
        <v>5.2938725556328503E-4</v>
      </c>
      <c r="Q122" s="166">
        <f ca="1"/>
        <v>2.4407513375312995E-3</v>
      </c>
      <c r="R122" s="166">
        <f ca="1"/>
        <v>5.2154625107539987E-3</v>
      </c>
      <c r="S122" s="166">
        <f ca="1"/>
        <v>0</v>
      </c>
      <c r="T122" s="166">
        <f ca="1"/>
        <v>1.4866126788338208E-2</v>
      </c>
      <c r="U122" s="166">
        <f ca="1"/>
        <v>2.7031528851606423E-2</v>
      </c>
      <c r="V122" s="140">
        <f ca="1"/>
        <v>4.9466582671659154E-2</v>
      </c>
      <c r="W122" s="139">
        <f ca="1"/>
        <v>0</v>
      </c>
      <c r="X122" s="166">
        <f ca="1"/>
        <v>3.7321434723358582E-4</v>
      </c>
      <c r="Y122" s="166">
        <f ca="1"/>
        <v>6.9595181026271824E-4</v>
      </c>
      <c r="Z122" s="166">
        <f ca="1"/>
        <v>2.7732156732717117E-3</v>
      </c>
      <c r="AA122" s="166">
        <f ca="1"/>
        <v>5.7127304521369382E-3</v>
      </c>
      <c r="AB122" s="166">
        <f ca="1"/>
        <v>0</v>
      </c>
      <c r="AC122" s="166">
        <f ca="1"/>
        <v>1.5686729717308556E-2</v>
      </c>
      <c r="AD122" s="166">
        <f ca="1"/>
        <v>2.8321483902239208E-2</v>
      </c>
      <c r="AE122" s="140">
        <f ca="1"/>
        <v>5.1840035535314355E-2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.199999999999999" x14ac:dyDescent="0.2">
      <c r="A123" s="97">
        <f t="shared" ca="1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>
        <f t="array" aca="1" ref="N123:AE123" ca="1">IF(OR(B123="",NOT($J$2)),"",[3]!GetStripDefaultProbability(A123,B123,Parameter_Date,CDSRollDate,E123:M123,SpreadCurveMaturities,D123,C123,$J$4,$J$6))</f>
        <v>0</v>
      </c>
      <c r="O123" s="166">
        <f ca="1"/>
        <v>6.5303425461338271E-4</v>
      </c>
      <c r="P123" s="166">
        <f ca="1"/>
        <v>2.1275283814861101E-3</v>
      </c>
      <c r="Q123" s="166">
        <f ca="1"/>
        <v>6.5936268034140211E-3</v>
      </c>
      <c r="R123" s="166">
        <f ca="1"/>
        <v>1.348246220834326E-2</v>
      </c>
      <c r="S123" s="166">
        <f ca="1"/>
        <v>0</v>
      </c>
      <c r="T123" s="166">
        <f ca="1"/>
        <v>3.2786840118420701E-2</v>
      </c>
      <c r="U123" s="166">
        <f ca="1"/>
        <v>5.5390322436830286E-2</v>
      </c>
      <c r="V123" s="140">
        <f ca="1"/>
        <v>9.4192693637322966E-2</v>
      </c>
      <c r="W123" s="139">
        <f ca="1"/>
        <v>0</v>
      </c>
      <c r="X123" s="166">
        <f ca="1"/>
        <v>7.4628912209839804E-4</v>
      </c>
      <c r="Y123" s="166">
        <f ca="1"/>
        <v>2.2938266015211095E-3</v>
      </c>
      <c r="Z123" s="166">
        <f ca="1"/>
        <v>6.9247070780301678E-3</v>
      </c>
      <c r="AA123" s="166">
        <f ca="1"/>
        <v>1.414877104848955E-2</v>
      </c>
      <c r="AB123" s="166">
        <f ca="1"/>
        <v>0</v>
      </c>
      <c r="AC123" s="166">
        <f ca="1"/>
        <v>3.4397981057916915E-2</v>
      </c>
      <c r="AD123" s="166">
        <f ca="1"/>
        <v>5.8090350619008357E-2</v>
      </c>
      <c r="AE123" s="140">
        <f ca="1"/>
        <v>9.8695026944461861E-2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.199999999999999" x14ac:dyDescent="0.2">
      <c r="A124" s="97">
        <f t="shared" ca="1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>
        <f t="array" aca="1" ref="N124:AE124" ca="1">IF(OR(B124="",NOT($J$2)),"",[3]!GetStripDefaultProbability(A124,B124,Parameter_Date,CDSRollDate,E124:M124,SpreadCurveMaturities,D124,C124,$J$4,$J$6))</f>
        <v>0</v>
      </c>
      <c r="O124" s="166">
        <f ca="1"/>
        <v>5.5976970645477131E-4</v>
      </c>
      <c r="P124" s="166">
        <f ca="1"/>
        <v>1.4156757691393684E-3</v>
      </c>
      <c r="Q124" s="166">
        <f ca="1"/>
        <v>4.8649453632734208E-3</v>
      </c>
      <c r="R124" s="166">
        <f ca="1"/>
        <v>1.0399472914828567E-2</v>
      </c>
      <c r="S124" s="166">
        <f ca="1"/>
        <v>0</v>
      </c>
      <c r="T124" s="166">
        <f ca="1"/>
        <v>2.6890390359188276E-2</v>
      </c>
      <c r="U124" s="166">
        <f ca="1"/>
        <v>4.7357856662096354E-2</v>
      </c>
      <c r="V124" s="140">
        <f ca="1"/>
        <v>8.1257213821196994E-2</v>
      </c>
      <c r="W124" s="139">
        <f ca="1"/>
        <v>0</v>
      </c>
      <c r="X124" s="166">
        <f ca="1"/>
        <v>6.5303351059242676E-4</v>
      </c>
      <c r="Y124" s="166">
        <f ca="1"/>
        <v>1.582092621382758E-3</v>
      </c>
      <c r="Z124" s="166">
        <f ca="1"/>
        <v>5.1966017690152633E-3</v>
      </c>
      <c r="AA124" s="166">
        <f ca="1"/>
        <v>1.0894149498928862E-2</v>
      </c>
      <c r="AB124" s="166">
        <f ca="1"/>
        <v>0</v>
      </c>
      <c r="AC124" s="166">
        <f ca="1"/>
        <v>2.8210327690317616E-2</v>
      </c>
      <c r="AD124" s="166">
        <f ca="1"/>
        <v>4.9670691826941615E-2</v>
      </c>
      <c r="AE124" s="140">
        <f ca="1"/>
        <v>8.5163638166544375E-2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.199999999999999" x14ac:dyDescent="0.2">
      <c r="A125" s="97">
        <f t="shared" ca="1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>
        <f t="array" aca="1" ref="N125:AE125" ca="1">IF(OR(B125="",NOT($J$2)),"",[3]!GetStripDefaultProbability(A125,B125,Parameter_Date,CDSRollDate,E125:M125,SpreadCurveMaturities,D125,C125,$J$4,$J$6))</f>
        <v>0</v>
      </c>
      <c r="O125" s="166">
        <f ca="1"/>
        <v>1.9578267321976872E-3</v>
      </c>
      <c r="P125" s="166">
        <f ca="1"/>
        <v>3.6998302663483473E-3</v>
      </c>
      <c r="Q125" s="166">
        <f ca="1"/>
        <v>1.315647824198718E-2</v>
      </c>
      <c r="R125" s="166">
        <f ca="1"/>
        <v>3.6855605397078106E-2</v>
      </c>
      <c r="S125" s="166">
        <f ca="1"/>
        <v>0</v>
      </c>
      <c r="T125" s="166">
        <f ca="1"/>
        <v>8.1333540632253842E-2</v>
      </c>
      <c r="U125" s="166">
        <f ca="1"/>
        <v>0.13406512164990947</v>
      </c>
      <c r="V125" s="140">
        <f ca="1"/>
        <v>0.21308755622989306</v>
      </c>
      <c r="W125" s="139">
        <f ca="1"/>
        <v>0</v>
      </c>
      <c r="X125" s="166">
        <f ca="1"/>
        <v>2.0556089014671652E-3</v>
      </c>
      <c r="Y125" s="166">
        <f ca="1"/>
        <v>3.8741675410978171E-3</v>
      </c>
      <c r="Z125" s="166">
        <f ca="1"/>
        <v>1.381082879976836E-2</v>
      </c>
      <c r="AA125" s="166">
        <f ca="1"/>
        <v>3.8673885546328779E-2</v>
      </c>
      <c r="AB125" s="166">
        <f ca="1"/>
        <v>0</v>
      </c>
      <c r="AC125" s="166">
        <f ca="1"/>
        <v>8.5271926629843842E-2</v>
      </c>
      <c r="AD125" s="166">
        <f ca="1"/>
        <v>0.14040240173979035</v>
      </c>
      <c r="AE125" s="140">
        <f ca="1"/>
        <v>0.22274905710346582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.199999999999999" x14ac:dyDescent="0.2">
      <c r="A126" s="97">
        <f t="shared" ca="1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>
        <f t="array" aca="1" ref="N126:AE126" ca="1">IF(OR(B126="",NOT($J$2)),"",[3]!GetStripDefaultProbability(A126,B126,Parameter_Date,CDSRollDate,E126:M126,SpreadCurveMaturities,D126,C126,$J$4,$J$6))</f>
        <v>0</v>
      </c>
      <c r="O126" s="166">
        <f ca="1"/>
        <v>1.3056430267678332E-3</v>
      </c>
      <c r="P126" s="166">
        <f ca="1"/>
        <v>3.0032740747486519E-3</v>
      </c>
      <c r="Q126" s="166">
        <f ca="1"/>
        <v>1.1101589512418353E-2</v>
      </c>
      <c r="R126" s="166">
        <f ca="1"/>
        <v>2.275828992273965E-2</v>
      </c>
      <c r="S126" s="166">
        <f ca="1"/>
        <v>0</v>
      </c>
      <c r="T126" s="166">
        <f ca="1"/>
        <v>5.4779740080628692E-2</v>
      </c>
      <c r="U126" s="166">
        <f ca="1"/>
        <v>9.5180977580251236E-2</v>
      </c>
      <c r="V126" s="140">
        <f ca="1"/>
        <v>0.15487528607533196</v>
      </c>
      <c r="W126" s="139">
        <f ca="1"/>
        <v>0</v>
      </c>
      <c r="X126" s="166">
        <f ca="1"/>
        <v>1.3988342865285386E-3</v>
      </c>
      <c r="Y126" s="166">
        <f ca="1"/>
        <v>3.1694263493249331E-3</v>
      </c>
      <c r="Z126" s="166">
        <f ca="1"/>
        <v>1.1652618731903264E-2</v>
      </c>
      <c r="AA126" s="166">
        <f ca="1"/>
        <v>2.3884322889102694E-2</v>
      </c>
      <c r="AB126" s="166">
        <f ca="1"/>
        <v>0</v>
      </c>
      <c r="AC126" s="166">
        <f ca="1"/>
        <v>5.7449295631518571E-2</v>
      </c>
      <c r="AD126" s="166">
        <f ca="1"/>
        <v>9.9744987513243122E-2</v>
      </c>
      <c r="AE126" s="140">
        <f ca="1"/>
        <v>0.16211811532797649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.199999999999999" x14ac:dyDescent="0.2">
      <c r="A127" s="97">
        <f t="shared" ca="1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>
        <f t="array" aca="1" ref="N127:AE127" ca="1">IF(OR(B127="",NOT($J$2)),"",[3]!GetStripDefaultProbability(A127,B127,Parameter_Date,CDSRollDate,E127:M127,SpreadCurveMaturities,D127,C127,$J$4,$J$6))</f>
        <v>0</v>
      </c>
      <c r="O127" s="166">
        <f ca="1"/>
        <v>2.799239499720052E-4</v>
      </c>
      <c r="P127" s="166">
        <f ca="1"/>
        <v>1.0653449239070856E-3</v>
      </c>
      <c r="Q127" s="166">
        <f ca="1"/>
        <v>3.8296892655734771E-3</v>
      </c>
      <c r="R127" s="166">
        <f ca="1"/>
        <v>7.2685731706825241E-3</v>
      </c>
      <c r="S127" s="166">
        <f ca="1"/>
        <v>0</v>
      </c>
      <c r="T127" s="166">
        <f ca="1"/>
        <v>1.9126433000616561E-2</v>
      </c>
      <c r="U127" s="166">
        <f ca="1"/>
        <v>3.1574650644799029E-2</v>
      </c>
      <c r="V127" s="140">
        <f ca="1"/>
        <v>5.3901221592450588E-2</v>
      </c>
      <c r="W127" s="139">
        <f ca="1"/>
        <v>0</v>
      </c>
      <c r="X127" s="166">
        <f ca="1"/>
        <v>3.7321434723358582E-4</v>
      </c>
      <c r="Y127" s="166">
        <f ca="1"/>
        <v>1.2318201597600886E-3</v>
      </c>
      <c r="Z127" s="166">
        <f ca="1"/>
        <v>4.1616906991819302E-3</v>
      </c>
      <c r="AA127" s="166">
        <f ca="1"/>
        <v>7.7648148133554473E-3</v>
      </c>
      <c r="AB127" s="166">
        <f ca="1"/>
        <v>0</v>
      </c>
      <c r="AC127" s="166">
        <f ca="1"/>
        <v>2.0051137088591298E-2</v>
      </c>
      <c r="AD127" s="166">
        <f ca="1"/>
        <v>3.310864730663865E-2</v>
      </c>
      <c r="AE127" s="140">
        <f ca="1"/>
        <v>5.6506995543376459E-2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.199999999999999" x14ac:dyDescent="0.2">
      <c r="A128" s="97">
        <f t="shared" ca="1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>
        <f t="array" aca="1" ref="N128:AE128" ca="1">IF(OR(B128="",NOT($J$2)),"",[3]!GetStripDefaultProbability(A128,B128,Parameter_Date,CDSRollDate,E128:M128,SpreadCurveMaturities,D128,C128,$J$4,$J$6))</f>
        <v>0</v>
      </c>
      <c r="O128" s="166">
        <f ca="1"/>
        <v>4.6649647376628689E-4</v>
      </c>
      <c r="P128" s="166">
        <f ca="1"/>
        <v>1.9536614978797884E-3</v>
      </c>
      <c r="Q128" s="166">
        <f ca="1"/>
        <v>6.6047146877553642E-3</v>
      </c>
      <c r="R128" s="166">
        <f ca="1"/>
        <v>1.2961725221885878E-2</v>
      </c>
      <c r="S128" s="166">
        <f ca="1"/>
        <v>0</v>
      </c>
      <c r="T128" s="166">
        <f ca="1"/>
        <v>3.2838903969120037E-2</v>
      </c>
      <c r="U128" s="166">
        <f ca="1"/>
        <v>5.5442856001595153E-2</v>
      </c>
      <c r="V128" s="140">
        <f ca="1"/>
        <v>9.6120721891434058E-2</v>
      </c>
      <c r="W128" s="139">
        <f ca="1"/>
        <v>0</v>
      </c>
      <c r="X128" s="166">
        <f ca="1"/>
        <v>5.5976917815403482E-4</v>
      </c>
      <c r="Y128" s="166">
        <f ca="1"/>
        <v>2.119988693304764E-3</v>
      </c>
      <c r="Z128" s="166">
        <f ca="1"/>
        <v>6.9357912670132693E-3</v>
      </c>
      <c r="AA128" s="166">
        <f ca="1"/>
        <v>1.3601718967954479E-2</v>
      </c>
      <c r="AB128" s="166">
        <f ca="1"/>
        <v>0</v>
      </c>
      <c r="AC128" s="166">
        <f ca="1"/>
        <v>3.445216476015045E-2</v>
      </c>
      <c r="AD128" s="166">
        <f ca="1"/>
        <v>5.8145265919023803E-2</v>
      </c>
      <c r="AE128" s="140">
        <f ca="1"/>
        <v>0.10073794556407534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.199999999999999" x14ac:dyDescent="0.2">
      <c r="A129" s="97">
        <f t="shared" ca="1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>
        <f t="array" aca="1" ref="N129:AE129" ca="1">IF(OR(B129="",NOT($J$2)),"",[3]!GetStripDefaultProbability(A129,B129,Parameter_Date,CDSRollDate,E129:M129,SpreadCurveMaturities,D129,C129,$J$4,$J$6))</f>
        <v>0</v>
      </c>
      <c r="O129" s="166">
        <f ca="1"/>
        <v>9.3277580402983951E-4</v>
      </c>
      <c r="P129" s="166">
        <f ca="1"/>
        <v>2.8343480878976202E-3</v>
      </c>
      <c r="Q129" s="166">
        <f ca="1"/>
        <v>8.3150424961720981E-3</v>
      </c>
      <c r="R129" s="166">
        <f ca="1"/>
        <v>1.602167310779945E-2</v>
      </c>
      <c r="S129" s="166">
        <f ca="1"/>
        <v>0</v>
      </c>
      <c r="T129" s="166">
        <f ca="1"/>
        <v>4.4900767361827687E-2</v>
      </c>
      <c r="U129" s="166">
        <f ca="1"/>
        <v>7.5519858339313073E-2</v>
      </c>
      <c r="V129" s="140">
        <f ca="1"/>
        <v>0.12127627736922242</v>
      </c>
      <c r="W129" s="139">
        <f ca="1"/>
        <v>0</v>
      </c>
      <c r="X129" s="166">
        <f ca="1"/>
        <v>1.0260036394392769E-3</v>
      </c>
      <c r="Y129" s="166">
        <f ca="1"/>
        <v>3.000528514470524E-3</v>
      </c>
      <c r="Z129" s="166">
        <f ca="1"/>
        <v>8.7116371549653682E-3</v>
      </c>
      <c r="AA129" s="166">
        <f ca="1"/>
        <v>1.6815899592228623E-2</v>
      </c>
      <c r="AB129" s="166">
        <f ca="1"/>
        <v>0</v>
      </c>
      <c r="AC129" s="166">
        <f ca="1"/>
        <v>4.7099784571728032E-2</v>
      </c>
      <c r="AD129" s="166">
        <f ca="1"/>
        <v>7.9174844362811969E-2</v>
      </c>
      <c r="AE129" s="140">
        <f ca="1"/>
        <v>0.12703130035059851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.199999999999999" x14ac:dyDescent="0.2">
      <c r="A130" s="97">
        <f t="shared" ca="1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>
        <f t="array" aca="1" ref="N130:AE130" ca="1">IF(OR(B130="",NOT($J$2)),"",[3]!GetStripDefaultProbability(A130,B130,Parameter_Date,CDSRollDate,E130:M130,SpreadCurveMaturities,D130,C130,$J$4,$J$6))</f>
        <v>0</v>
      </c>
      <c r="O130" s="166">
        <f ca="1"/>
        <v>6.5303425461338271E-4</v>
      </c>
      <c r="P130" s="166">
        <f ca="1"/>
        <v>1.7704818660270183E-3</v>
      </c>
      <c r="Q130" s="166">
        <f ca="1"/>
        <v>5.9040069368653247E-3</v>
      </c>
      <c r="R130" s="166">
        <f ca="1"/>
        <v>1.2464719760502896E-2</v>
      </c>
      <c r="S130" s="166">
        <f ca="1"/>
        <v>0</v>
      </c>
      <c r="T130" s="166">
        <f ca="1"/>
        <v>3.2915806996889008E-2</v>
      </c>
      <c r="U130" s="166">
        <f ca="1"/>
        <v>5.8102767335854844E-2</v>
      </c>
      <c r="V130" s="140">
        <f ca="1"/>
        <v>0.10340599984826604</v>
      </c>
      <c r="W130" s="139">
        <f ca="1"/>
        <v>0</v>
      </c>
      <c r="X130" s="166">
        <f ca="1"/>
        <v>7.4628912209839804E-4</v>
      </c>
      <c r="Y130" s="166">
        <f ca="1"/>
        <v>1.9368395888541556E-3</v>
      </c>
      <c r="Z130" s="166">
        <f ca="1"/>
        <v>6.2353170464828356E-3</v>
      </c>
      <c r="AA130" s="166">
        <f ca="1"/>
        <v>1.3078438650760749E-2</v>
      </c>
      <c r="AB130" s="166">
        <f ca="1"/>
        <v>0</v>
      </c>
      <c r="AC130" s="166">
        <f ca="1"/>
        <v>3.4531321612922605E-2</v>
      </c>
      <c r="AD130" s="166">
        <f ca="1"/>
        <v>6.093177052495502E-2</v>
      </c>
      <c r="AE130" s="140">
        <f ca="1"/>
        <v>0.10836375344201343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.199999999999999" x14ac:dyDescent="0.2">
      <c r="A131" s="97">
        <f t="shared" ca="1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>
        <f t="array" aca="1" ref="N131:AE131" ca="1">IF(OR(B131="",NOT($J$2)),"",[3]!GetStripDefaultProbability(A131,B131,Parameter_Date,CDSRollDate,E131:M131,SpreadCurveMaturities,D131,C131,$J$4,$J$6))</f>
        <v>0</v>
      </c>
      <c r="O131" s="166">
        <f ca="1"/>
        <v>1.0260056262103578E-3</v>
      </c>
      <c r="P131" s="166">
        <f ca="1"/>
        <v>2.6535595719868743E-3</v>
      </c>
      <c r="Q131" s="166">
        <f ca="1"/>
        <v>6.5651428785618027E-3</v>
      </c>
      <c r="R131" s="166">
        <f ca="1"/>
        <v>1.345339463577977E-2</v>
      </c>
      <c r="S131" s="166">
        <f ca="1"/>
        <v>0</v>
      </c>
      <c r="T131" s="166">
        <f ca="1"/>
        <v>3.2756879543669348E-2</v>
      </c>
      <c r="U131" s="166">
        <f ca="1"/>
        <v>5.6650793426927581E-2</v>
      </c>
      <c r="V131" s="140">
        <f ca="1"/>
        <v>9.774781966289614E-2</v>
      </c>
      <c r="W131" s="139">
        <f ca="1"/>
        <v>0</v>
      </c>
      <c r="X131" s="166">
        <f ca="1"/>
        <v>1.1192243755654419E-3</v>
      </c>
      <c r="Y131" s="166">
        <f ca="1"/>
        <v>2.8197701274703668E-3</v>
      </c>
      <c r="Z131" s="166">
        <f ca="1"/>
        <v>6.8962326462607138E-3</v>
      </c>
      <c r="AA131" s="166">
        <f ca="1"/>
        <v>1.4119580228031503E-2</v>
      </c>
      <c r="AB131" s="166">
        <f ca="1"/>
        <v>0</v>
      </c>
      <c r="AC131" s="166">
        <f ca="1"/>
        <v>3.4367855670745295E-2</v>
      </c>
      <c r="AD131" s="166">
        <f ca="1"/>
        <v>5.941267375196424E-2</v>
      </c>
      <c r="AE131" s="140">
        <f ca="1"/>
        <v>0.10244193346974007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.199999999999999" x14ac:dyDescent="0.2">
      <c r="A132" s="97">
        <f t="shared" ca="1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>
        <f t="array" aca="1" ref="N132:AE132" ca="1">IF(OR(B132="",NOT($J$2)),"",[3]!GetStripDefaultProbability(A132,B132,Parameter_Date,CDSRollDate,E132:M132,SpreadCurveMaturities,D132,C132,$J$4,$J$6))</f>
        <v>0</v>
      </c>
      <c r="O132" s="166">
        <f ca="1"/>
        <v>7.4629011945415158E-4</v>
      </c>
      <c r="P132" s="166">
        <f ca="1"/>
        <v>1.7681658853830884E-3</v>
      </c>
      <c r="Q132" s="166">
        <f ca="1"/>
        <v>6.6038782652787509E-3</v>
      </c>
      <c r="R132" s="166">
        <f ca="1"/>
        <v>1.2428733584434082E-2</v>
      </c>
      <c r="S132" s="166">
        <f ca="1"/>
        <v>0</v>
      </c>
      <c r="T132" s="166">
        <f ca="1"/>
        <v>3.2878438934937915E-2</v>
      </c>
      <c r="U132" s="166">
        <f ca="1"/>
        <v>5.4191089820416871E-2</v>
      </c>
      <c r="V132" s="140">
        <f ca="1"/>
        <v>9.2570624938645762E-2</v>
      </c>
      <c r="W132" s="139">
        <f ca="1"/>
        <v>0</v>
      </c>
      <c r="X132" s="166">
        <f ca="1"/>
        <v>8.3953601351138829E-4</v>
      </c>
      <c r="Y132" s="166">
        <f ca="1"/>
        <v>1.9345239941775949E-3</v>
      </c>
      <c r="Z132" s="166">
        <f ca="1"/>
        <v>6.934955123330977E-3</v>
      </c>
      <c r="AA132" s="166">
        <f ca="1"/>
        <v>1.3042349380212648E-2</v>
      </c>
      <c r="AB132" s="166">
        <f ca="1"/>
        <v>0</v>
      </c>
      <c r="AC132" s="166">
        <f ca="1"/>
        <v>3.4493745916378327E-2</v>
      </c>
      <c r="AD132" s="166">
        <f ca="1"/>
        <v>5.6833663732416606E-2</v>
      </c>
      <c r="AE132" s="140">
        <f ca="1"/>
        <v>9.6998412216141805E-2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.199999999999999" x14ac:dyDescent="0.2">
      <c r="A133" s="97">
        <f t="shared" ca="1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>
        <f t="array" aca="1" ref="N133:AE133" ca="1">IF(OR(B133="",NOT($J$2)),"",[3]!GetStripDefaultProbability(A133,B133,Parameter_Date,CDSRollDate,E133:M133,SpreadCurveMaturities,D133,C133,$J$4,$J$6))</f>
        <v>0</v>
      </c>
      <c r="O133" s="166">
        <f ca="1"/>
        <v>6.5303425461338271E-4</v>
      </c>
      <c r="P133" s="166">
        <f ca="1"/>
        <v>1.4133760813656027E-3</v>
      </c>
      <c r="Q133" s="166">
        <f ca="1"/>
        <v>4.5111641386793577E-3</v>
      </c>
      <c r="R133" s="166">
        <f ca="1"/>
        <v>8.8144194013967114E-3</v>
      </c>
      <c r="S133" s="166">
        <f ca="1"/>
        <v>0</v>
      </c>
      <c r="T133" s="166">
        <f ca="1"/>
        <v>2.3440921955468319E-2</v>
      </c>
      <c r="U133" s="166">
        <f ca="1"/>
        <v>3.7466202891141331E-2</v>
      </c>
      <c r="V133" s="140">
        <f ca="1"/>
        <v>6.7849509665267926E-2</v>
      </c>
      <c r="W133" s="139">
        <f ca="1"/>
        <v>0</v>
      </c>
      <c r="X133" s="166">
        <f ca="1"/>
        <v>7.4628912209839804E-4</v>
      </c>
      <c r="Y133" s="166">
        <f ca="1"/>
        <v>1.5797933168700817E-3</v>
      </c>
      <c r="Z133" s="166">
        <f ca="1"/>
        <v>4.8429384518453578E-3</v>
      </c>
      <c r="AA133" s="166">
        <f ca="1"/>
        <v>9.3098883141385924E-3</v>
      </c>
      <c r="AB133" s="166">
        <f ca="1"/>
        <v>0</v>
      </c>
      <c r="AC133" s="166">
        <f ca="1"/>
        <v>2.4585606010644412E-2</v>
      </c>
      <c r="AD133" s="166">
        <f ca="1"/>
        <v>3.9294185056723108E-2</v>
      </c>
      <c r="AE133" s="140">
        <f ca="1"/>
        <v>7.1123022233172906E-2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>
        <f t="array" aca="1" ref="N134:AE134" ca="1">IF(OR(B134="",NOT($J$2)),"",[3]!GetStripDefaultProbability(A134,B134,Parameter_Date,CDSRollDate,E134:M134,SpreadCurveMaturities,D134,C134,$J$4,$J$6))</f>
        <v>0</v>
      </c>
      <c r="O134" s="166">
        <f ca="1"/>
        <v>2.799239499720052E-4</v>
      </c>
      <c r="P134" s="166">
        <f ca="1"/>
        <v>1.0653449239070856E-3</v>
      </c>
      <c r="Q134" s="166">
        <f ca="1"/>
        <v>4.5328903768249162E-3</v>
      </c>
      <c r="R134" s="166">
        <f ca="1"/>
        <v>9.3696387080937082E-3</v>
      </c>
      <c r="S134" s="166">
        <f ca="1"/>
        <v>0</v>
      </c>
      <c r="T134" s="166">
        <f ca="1"/>
        <v>2.5216329146218408E-2</v>
      </c>
      <c r="U134" s="166">
        <f ca="1"/>
        <v>4.2468678198841703E-2</v>
      </c>
      <c r="V134" s="140">
        <f ca="1"/>
        <v>7.8462738132099585E-2</v>
      </c>
      <c r="W134" s="139">
        <f ca="1"/>
        <v>0</v>
      </c>
      <c r="X134" s="166">
        <f ca="1"/>
        <v>3.7321434723358582E-4</v>
      </c>
      <c r="Y134" s="166">
        <f ca="1"/>
        <v>1.2318201597600886E-3</v>
      </c>
      <c r="Z134" s="166">
        <f ca="1"/>
        <v>4.8646574491245653E-3</v>
      </c>
      <c r="AA134" s="166">
        <f ca="1"/>
        <v>9.8648300805670441E-3</v>
      </c>
      <c r="AB134" s="166">
        <f ca="1"/>
        <v>0</v>
      </c>
      <c r="AC134" s="166">
        <f ca="1"/>
        <v>2.644887811708363E-2</v>
      </c>
      <c r="AD134" s="166">
        <f ca="1"/>
        <v>4.454007035266272E-2</v>
      </c>
      <c r="AE134" s="140">
        <f ca="1"/>
        <v>8.2235004229812003E-2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>
        <f t="array" aca="1" ref="N135:AE135" ca="1">IF(OR(B135="",NOT($J$2)),"",[3]!GetStripDefaultProbability(A135,B135,Parameter_Date,CDSRollDate,E135:M135,SpreadCurveMaturities,D135,C135,$J$4,$J$6))</f>
        <v>0</v>
      </c>
      <c r="O135" s="166">
        <f ca="1"/>
        <v>5.5976970645477131E-4</v>
      </c>
      <c r="P135" s="166">
        <f ca="1"/>
        <v>1.5942443069785206E-3</v>
      </c>
      <c r="Q135" s="166">
        <f ca="1"/>
        <v>6.26383850054546E-3</v>
      </c>
      <c r="R135" s="166">
        <f ca="1"/>
        <v>1.2988993192855847E-2</v>
      </c>
      <c r="S135" s="166">
        <f ca="1"/>
        <v>0</v>
      </c>
      <c r="T135" s="166">
        <f ca="1"/>
        <v>3.3758666378448821E-2</v>
      </c>
      <c r="U135" s="166">
        <f ca="1"/>
        <v>5.7956388173416973E-2</v>
      </c>
      <c r="V135" s="140">
        <f ca="1"/>
        <v>0.10892962804782325</v>
      </c>
      <c r="W135" s="139">
        <f ca="1"/>
        <v>0</v>
      </c>
      <c r="X135" s="166">
        <f ca="1"/>
        <v>6.5303351059242676E-4</v>
      </c>
      <c r="Y135" s="166">
        <f ca="1"/>
        <v>1.7606314002855949E-3</v>
      </c>
      <c r="Z135" s="166">
        <f ca="1"/>
        <v>6.595028686281923E-3</v>
      </c>
      <c r="AA135" s="166">
        <f ca="1"/>
        <v>1.3629078255462335E-2</v>
      </c>
      <c r="AB135" s="166">
        <f ca="1"/>
        <v>0</v>
      </c>
      <c r="AC135" s="166">
        <f ca="1"/>
        <v>3.5415457659780381E-2</v>
      </c>
      <c r="AD135" s="166">
        <f ca="1"/>
        <v>6.0778013232322459E-2</v>
      </c>
      <c r="AE135" s="140">
        <f ca="1"/>
        <v>0.11414715976629242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>
        <f t="array" aca="1" ref="N136:AE136" ca="1">IF(OR(B136="",NOT($J$2)),"",[3]!GetStripDefaultProbability(A136,B136,Parameter_Date,CDSRollDate,E136:M136,SpreadCurveMaturities,D136,C136,$J$4,$J$6))</f>
        <v>0</v>
      </c>
      <c r="O136" s="166">
        <f ca="1"/>
        <v>1.1005832353835343E-3</v>
      </c>
      <c r="P136" s="166">
        <f ca="1"/>
        <v>2.7052011096243556E-3</v>
      </c>
      <c r="Q136" s="166">
        <f ca="1"/>
        <v>7.1578106290857146E-3</v>
      </c>
      <c r="R136" s="166">
        <f ca="1"/>
        <v>1.2835818992169568E-2</v>
      </c>
      <c r="S136" s="166">
        <f ca="1"/>
        <v>0</v>
      </c>
      <c r="T136" s="166">
        <f ca="1"/>
        <v>2.74141870031539E-2</v>
      </c>
      <c r="U136" s="166">
        <f ca="1"/>
        <v>4.3258868518567528E-2</v>
      </c>
      <c r="V136" s="140">
        <f ca="1"/>
        <v>6.7873733661426905E-2</v>
      </c>
      <c r="W136" s="139">
        <f ca="1"/>
        <v>0</v>
      </c>
      <c r="X136" s="166">
        <f ca="1"/>
        <v>1.1937946883282535E-3</v>
      </c>
      <c r="Y136" s="166">
        <f ca="1"/>
        <v>2.8714030588935513E-3</v>
      </c>
      <c r="Z136" s="166">
        <f ca="1"/>
        <v>7.5002821046772361E-3</v>
      </c>
      <c r="AA136" s="166">
        <f ca="1"/>
        <v>1.3472354514532325E-2</v>
      </c>
      <c r="AB136" s="166">
        <f ca="1"/>
        <v>0</v>
      </c>
      <c r="AC136" s="166">
        <f ca="1"/>
        <v>2.876554132316822E-2</v>
      </c>
      <c r="AD136" s="166">
        <f ca="1"/>
        <v>4.5377629110659901E-2</v>
      </c>
      <c r="AE136" s="140">
        <f ca="1"/>
        <v>7.1154515919969019E-2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>
        <f t="array" aca="1" ref="N137:AE137" ca="1">IF(OR(B137="",NOT($J$2)),"",[3]!GetStripDefaultProbability(A137,B137,Parameter_Date,CDSRollDate,E137:M137,SpreadCurveMaturities,D137,C137,$J$4,$J$6))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1.2612681894565991E-3</v>
      </c>
      <c r="Q137" s="166">
        <f ca="1"/>
        <v>0</v>
      </c>
      <c r="R137" s="166">
        <f ca="1"/>
        <v>9.3946586333726323E-3</v>
      </c>
      <c r="S137" s="166">
        <f ca="1"/>
        <v>0</v>
      </c>
      <c r="T137" s="166">
        <f ca="1"/>
        <v>2.3846460807469883E-2</v>
      </c>
      <c r="U137" s="166">
        <f ca="1"/>
        <v>3.7168430799574326E-2</v>
      </c>
      <c r="V137" s="140">
        <f ca="1"/>
        <v>6.2880048102936015E-2</v>
      </c>
      <c r="W137" s="139">
        <f ca="1"/>
        <v>0</v>
      </c>
      <c r="X137" s="166">
        <f ca="1"/>
        <v>0</v>
      </c>
      <c r="Y137" s="166">
        <f ca="1"/>
        <v>1.427710774178137E-3</v>
      </c>
      <c r="Z137" s="166">
        <f ca="1"/>
        <v>0</v>
      </c>
      <c r="AA137" s="166">
        <f ca="1"/>
        <v>9.8898374990100679E-3</v>
      </c>
      <c r="AB137" s="166">
        <f ca="1"/>
        <v>0</v>
      </c>
      <c r="AC137" s="166">
        <f ca="1"/>
        <v>2.5014278346347285E-2</v>
      </c>
      <c r="AD137" s="166">
        <f ca="1"/>
        <v>3.8984922785234244E-2</v>
      </c>
      <c r="AE137" s="140">
        <f ca="1"/>
        <v>6.592010104899404E-2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>
        <f t="array" aca="1" ref="N138:AE138" ca="1">IF(OR(B138="",NOT($J$2)),"",[3]!GetStripDefaultProbability(A138,B138,Parameter_Date,CDSRollDate,E138:M138,SpreadCurveMaturities,D138,C138,$J$4,$J$6))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2.5068718825357328E-3</v>
      </c>
      <c r="Q138" s="166">
        <f ca="1"/>
        <v>0</v>
      </c>
      <c r="R138" s="166">
        <f ca="1"/>
        <v>1.3596526584674362E-2</v>
      </c>
      <c r="S138" s="166">
        <f ca="1"/>
        <v>0</v>
      </c>
      <c r="T138" s="166">
        <f ca="1"/>
        <v>3.3243820631723819E-2</v>
      </c>
      <c r="U138" s="166">
        <f ca="1"/>
        <v>5.765051226431861E-2</v>
      </c>
      <c r="V138" s="140">
        <f ca="1"/>
        <v>9.7819018722693163E-2</v>
      </c>
      <c r="W138" s="139">
        <f ca="1"/>
        <v>0</v>
      </c>
      <c r="X138" s="166">
        <f ca="1"/>
        <v>0</v>
      </c>
      <c r="Y138" s="166">
        <f ca="1"/>
        <v>2.6731068839384031E-3</v>
      </c>
      <c r="Z138" s="166">
        <f ca="1"/>
        <v>0</v>
      </c>
      <c r="AA138" s="166">
        <f ca="1"/>
        <v>1.4268123767248397E-2</v>
      </c>
      <c r="AB138" s="166">
        <f ca="1"/>
        <v>0</v>
      </c>
      <c r="AC138" s="166">
        <f ca="1"/>
        <v>3.4877113152159356E-2</v>
      </c>
      <c r="AD138" s="166">
        <f ca="1"/>
        <v>6.0458459997612679E-2</v>
      </c>
      <c r="AE138" s="140">
        <f ca="1"/>
        <v>0.10251430380599824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.199999999999999" x14ac:dyDescent="0.2">
      <c r="A139" s="97">
        <f t="shared" ref="A139:A202" ca="1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>
        <f t="array" aca="1" ref="N139:AE139" ca="1">IF(OR(B139="",NOT($J$2)),"",[3]!GetStripDefaultProbability(A139,B139,Parameter_Date,CDSRollDate,E139:M139,SpreadCurveMaturities,D139,C139,$J$4,$J$6))</f>
        <v>0</v>
      </c>
      <c r="O139" s="166">
        <f ca="1"/>
        <v>1.2497407547387152E-3</v>
      </c>
      <c r="P139" s="166">
        <f ca="1"/>
        <v>3.6824541628918128E-3</v>
      </c>
      <c r="Q139" s="166">
        <f ca="1"/>
        <v>1.0552677554796719E-2</v>
      </c>
      <c r="R139" s="166">
        <f ca="1"/>
        <v>1.8203929552983111E-2</v>
      </c>
      <c r="S139" s="166">
        <f ca="1"/>
        <v>0</v>
      </c>
      <c r="T139" s="166">
        <f ca="1"/>
        <v>3.6332852269877591E-2</v>
      </c>
      <c r="U139" s="166">
        <f ca="1"/>
        <v>5.4871016709187814E-2</v>
      </c>
      <c r="V139" s="140">
        <f ca="1"/>
        <v>8.3927591820013303E-2</v>
      </c>
      <c r="W139" s="139">
        <f ca="1"/>
        <v>0</v>
      </c>
      <c r="X139" s="166">
        <f ca="1"/>
        <v>1.342938959872364E-3</v>
      </c>
      <c r="Y139" s="166">
        <f ca="1"/>
        <v>3.8551342381403231E-3</v>
      </c>
      <c r="Z139" s="166">
        <f ca="1"/>
        <v>1.1077343065725942E-2</v>
      </c>
      <c r="AA139" s="166">
        <f ca="1"/>
        <v>1.9106242957927844E-2</v>
      </c>
      <c r="AB139" s="166">
        <f ca="1"/>
        <v>0</v>
      </c>
      <c r="AC139" s="166">
        <f ca="1"/>
        <v>3.8116649105767175E-2</v>
      </c>
      <c r="AD139" s="166">
        <f ca="1"/>
        <v>5.7542352351643622E-2</v>
      </c>
      <c r="AE139" s="140">
        <f ca="1"/>
        <v>8.7945818875889481E-2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.199999999999999" x14ac:dyDescent="0.2">
      <c r="A140" s="97">
        <f t="shared" ca="1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>
        <f t="array" aca="1" ref="N140:AE140" ca="1">IF(OR(B140="",NOT($J$2)),"",[3]!GetStripDefaultProbability(A140,B140,Parameter_Date,CDSRollDate,E140:M140,SpreadCurveMaturities,D140,C140,$J$4,$J$6))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1.3705624702581298E-3</v>
      </c>
      <c r="Q140" s="166">
        <f ca="1"/>
        <v>0</v>
      </c>
      <c r="R140" s="166">
        <f ca="1"/>
        <v>7.7242293564093734E-3</v>
      </c>
      <c r="S140" s="166">
        <f ca="1"/>
        <v>0</v>
      </c>
      <c r="T140" s="166">
        <f ca="1"/>
        <v>1.8797054141239666E-2</v>
      </c>
      <c r="U140" s="166">
        <f ca="1"/>
        <v>3.0397277807905687E-2</v>
      </c>
      <c r="V140" s="140">
        <f ca="1"/>
        <v>6.1756105689401375E-2</v>
      </c>
      <c r="W140" s="139">
        <f ca="1"/>
        <v>0</v>
      </c>
      <c r="X140" s="166">
        <f ca="1"/>
        <v>0</v>
      </c>
      <c r="Y140" s="166">
        <f ca="1"/>
        <v>1.5369868407477671E-3</v>
      </c>
      <c r="Z140" s="166">
        <f ca="1"/>
        <v>0</v>
      </c>
      <c r="AA140" s="166">
        <f ca="1"/>
        <v>8.2202432279556703E-3</v>
      </c>
      <c r="AB140" s="166">
        <f ca="1"/>
        <v>0</v>
      </c>
      <c r="AC140" s="166">
        <f ca="1"/>
        <v>1.9708884913060998E-2</v>
      </c>
      <c r="AD140" s="166">
        <f ca="1"/>
        <v>3.1876974610532627E-2</v>
      </c>
      <c r="AE140" s="140">
        <f ca="1"/>
        <v>6.4738299914087194E-2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.199999999999999" x14ac:dyDescent="0.2">
      <c r="A141" s="97">
        <f t="shared" ca="1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>
        <f t="array" aca="1" ref="N141:AE141" ca="1">IF(OR(B141="",NOT($J$2)),"",[3]!GetStripDefaultProbability(A141,B141,Parameter_Date,CDSRollDate,E141:M141,SpreadCurveMaturities,D141,C141,$J$4,$J$6))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1.663130665910062E-3</v>
      </c>
      <c r="Q141" s="166">
        <f ca="1"/>
        <v>0</v>
      </c>
      <c r="R141" s="166">
        <f ca="1"/>
        <v>1.3977408352823129E-2</v>
      </c>
      <c r="S141" s="166">
        <f ca="1"/>
        <v>0</v>
      </c>
      <c r="T141" s="166">
        <f ca="1"/>
        <v>3.3704077993779724E-2</v>
      </c>
      <c r="U141" s="166">
        <f ca="1"/>
        <v>5.5771420731162924E-2</v>
      </c>
      <c r="V141" s="140">
        <f ca="1"/>
        <v>9.8217648700557159E-2</v>
      </c>
      <c r="W141" s="139">
        <f ca="1"/>
        <v>0</v>
      </c>
      <c r="X141" s="166">
        <f ca="1"/>
        <v>0</v>
      </c>
      <c r="Y141" s="166">
        <f ca="1"/>
        <v>1.82950627909928E-3</v>
      </c>
      <c r="Z141" s="166">
        <f ca="1"/>
        <v>0</v>
      </c>
      <c r="AA141" s="166">
        <f ca="1"/>
        <v>1.4664691059545265E-2</v>
      </c>
      <c r="AB141" s="166">
        <f ca="1"/>
        <v>0</v>
      </c>
      <c r="AC141" s="166">
        <f ca="1"/>
        <v>3.5356805790481172E-2</v>
      </c>
      <c r="AD141" s="166">
        <f ca="1"/>
        <v>5.8486009501272807E-2</v>
      </c>
      <c r="AE141" s="140">
        <f ca="1"/>
        <v>0.10293056400524903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.199999999999999" x14ac:dyDescent="0.2">
      <c r="A142" s="97">
        <f t="shared" ca="1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>
        <f t="array" aca="1" ref="N142:AE142" ca="1">IF(OR(B142="",NOT($J$2)),"",[3]!GetStripDefaultProbability(A142,B142,Parameter_Date,CDSRollDate,E142:M142,SpreadCurveMaturities,D142,C142,$J$4,$J$6))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2.1264832855441007E-3</v>
      </c>
      <c r="Q142" s="166">
        <f ca="1"/>
        <v>0</v>
      </c>
      <c r="R142" s="166">
        <f ca="1"/>
        <v>9.8720946483695782E-3</v>
      </c>
      <c r="S142" s="166">
        <f ca="1"/>
        <v>0</v>
      </c>
      <c r="T142" s="166">
        <f ca="1"/>
        <v>2.0688039638446898E-2</v>
      </c>
      <c r="U142" s="166">
        <f ca="1"/>
        <v>3.2129003884179386E-2</v>
      </c>
      <c r="V142" s="140">
        <f ca="1"/>
        <v>5.5758117487792913E-2</v>
      </c>
      <c r="W142" s="139">
        <f ca="1"/>
        <v>0</v>
      </c>
      <c r="X142" s="166">
        <f ca="1"/>
        <v>0</v>
      </c>
      <c r="Y142" s="166">
        <f ca="1"/>
        <v>2.2927816797388978E-3</v>
      </c>
      <c r="Z142" s="166">
        <f ca="1"/>
        <v>0</v>
      </c>
      <c r="AA142" s="166">
        <f ca="1"/>
        <v>1.036703485565349E-2</v>
      </c>
      <c r="AB142" s="166">
        <f ca="1"/>
        <v>0</v>
      </c>
      <c r="AC142" s="166">
        <f ca="1"/>
        <v>2.1706655646795414E-2</v>
      </c>
      <c r="AD142" s="166">
        <f ca="1"/>
        <v>3.3706076993849421E-2</v>
      </c>
      <c r="AE142" s="140">
        <f ca="1"/>
        <v>5.8466876995080574E-2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.199999999999999" x14ac:dyDescent="0.2">
      <c r="A143" s="97">
        <f t="shared" ca="1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>
        <f t="array" aca="1" ref="N143:AE143" ca="1">IF(OR(B143="",NOT($J$2)),"",[3]!GetStripDefaultProbability(A143,B143,Parameter_Date,CDSRollDate,E143:M143,SpreadCurveMaturities,D143,C143,$J$4,$J$6))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2.0771631184574035E-3</v>
      </c>
      <c r="Q143" s="166">
        <f ca="1"/>
        <v>0</v>
      </c>
      <c r="R143" s="166">
        <f ca="1"/>
        <v>1.1862749119773475E-2</v>
      </c>
      <c r="S143" s="166">
        <f ca="1"/>
        <v>0</v>
      </c>
      <c r="T143" s="166">
        <f ca="1"/>
        <v>2.9152892556671195E-2</v>
      </c>
      <c r="U143" s="166">
        <f ca="1"/>
        <v>5.2939536294145939E-2</v>
      </c>
      <c r="V143" s="140">
        <f ca="1"/>
        <v>9.2612847716443403E-2</v>
      </c>
      <c r="W143" s="139">
        <f ca="1"/>
        <v>0</v>
      </c>
      <c r="X143" s="166">
        <f ca="1"/>
        <v>0</v>
      </c>
      <c r="Y143" s="166">
        <f ca="1"/>
        <v>2.2434697319880792E-3</v>
      </c>
      <c r="Z143" s="166">
        <f ca="1"/>
        <v>0</v>
      </c>
      <c r="AA143" s="166">
        <f ca="1"/>
        <v>1.2431011611174214E-2</v>
      </c>
      <c r="AB143" s="166">
        <f ca="1"/>
        <v>0</v>
      </c>
      <c r="AC143" s="166">
        <f ca="1"/>
        <v>3.0587889881039443E-2</v>
      </c>
      <c r="AD143" s="166">
        <f ca="1"/>
        <v>5.5524475835554421E-2</v>
      </c>
      <c r="AE143" s="140">
        <f ca="1"/>
        <v>9.7074008752693897E-2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.199999999999999" x14ac:dyDescent="0.2">
      <c r="A144" s="97">
        <f t="shared" ca="1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>
        <f t="array" aca="1" ref="N144:AE144" ca="1">IF(OR(B144="",NOT($J$2)),"",[3]!GetStripDefaultProbability(A144,B144,Parameter_Date,CDSRollDate,E144:M144,SpreadCurveMaturities,D144,C144,$J$4,$J$6))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2.0983006290175021E-3</v>
      </c>
      <c r="Q144" s="166">
        <f ca="1"/>
        <v>0</v>
      </c>
      <c r="R144" s="166">
        <f ca="1"/>
        <v>1.2516002741021381E-2</v>
      </c>
      <c r="S144" s="166">
        <f ca="1"/>
        <v>0</v>
      </c>
      <c r="T144" s="166">
        <f ca="1"/>
        <v>3.0370716016315247E-2</v>
      </c>
      <c r="U144" s="166">
        <f ca="1"/>
        <v>4.3638294817355594E-2</v>
      </c>
      <c r="V144" s="140">
        <f ca="1"/>
        <v>6.488145242709098E-2</v>
      </c>
      <c r="W144" s="139">
        <f ca="1"/>
        <v>0</v>
      </c>
      <c r="X144" s="166">
        <f ca="1"/>
        <v>0</v>
      </c>
      <c r="Y144" s="166">
        <f ca="1"/>
        <v>2.2646037199506308E-3</v>
      </c>
      <c r="Z144" s="166">
        <f ca="1"/>
        <v>0</v>
      </c>
      <c r="AA144" s="166">
        <f ca="1"/>
        <v>1.3114976924208044E-2</v>
      </c>
      <c r="AB144" s="166">
        <f ca="1"/>
        <v>0</v>
      </c>
      <c r="AC144" s="166">
        <f ca="1"/>
        <v>3.1865150445014478E-2</v>
      </c>
      <c r="AD144" s="166">
        <f ca="1"/>
        <v>4.5773451334125914E-2</v>
      </c>
      <c r="AE144" s="140">
        <f ca="1"/>
        <v>6.8016875991633197E-2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.199999999999999" x14ac:dyDescent="0.2">
      <c r="A145" s="97">
        <f t="shared" ca="1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>
        <f t="array" aca="1" ref="N145:AE145" ca="1">IF(OR(B145="",NOT($J$2)),"",[3]!GetStripDefaultProbability(A145,B145,Parameter_Date,CDSRollDate,E145:M145,SpreadCurveMaturities,D145,C145,$J$4,$J$6))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1.9450436136972948E-3</v>
      </c>
      <c r="Q145" s="166">
        <f ca="1"/>
        <v>0</v>
      </c>
      <c r="R145" s="166">
        <f ca="1"/>
        <v>9.2920519272504665E-3</v>
      </c>
      <c r="S145" s="166">
        <f ca="1"/>
        <v>0</v>
      </c>
      <c r="T145" s="166">
        <f ca="1"/>
        <v>2.2062474953796762E-2</v>
      </c>
      <c r="U145" s="166">
        <f ca="1"/>
        <v>4.2341214149715811E-2</v>
      </c>
      <c r="V145" s="140">
        <f ca="1"/>
        <v>7.4709459104218778E-2</v>
      </c>
      <c r="W145" s="139">
        <f ca="1"/>
        <v>0</v>
      </c>
      <c r="X145" s="166">
        <f ca="1"/>
        <v>0</v>
      </c>
      <c r="Y145" s="166">
        <f ca="1"/>
        <v>2.1113722453204309E-3</v>
      </c>
      <c r="Z145" s="166">
        <f ca="1"/>
        <v>0</v>
      </c>
      <c r="AA145" s="166">
        <f ca="1"/>
        <v>9.7872820834632446E-3</v>
      </c>
      <c r="AB145" s="166">
        <f ca="1"/>
        <v>0</v>
      </c>
      <c r="AC145" s="166">
        <f ca="1"/>
        <v>2.3144889295871329E-2</v>
      </c>
      <c r="AD145" s="166">
        <f ca="1"/>
        <v>4.4411451899602827E-2</v>
      </c>
      <c r="AE145" s="140">
        <f ca="1"/>
        <v>7.8311491488864404E-2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.199999999999999" x14ac:dyDescent="0.2">
      <c r="A146" s="97">
        <f t="shared" ca="1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>
        <f t="array" aca="1" ref="N146:AE146" ca="1">IF(OR(B146="",NOT($J$2)),"",[3]!GetStripDefaultProbability(A146,B146,Parameter_Date,CDSRollDate,E146:M146,SpreadCurveMaturities,D146,C146,$J$4,$J$6))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2.0665941966084844E-3</v>
      </c>
      <c r="Q146" s="166">
        <f ca="1"/>
        <v>0</v>
      </c>
      <c r="R146" s="166">
        <f ca="1"/>
        <v>1.6001168093167872E-2</v>
      </c>
      <c r="S146" s="166">
        <f ca="1"/>
        <v>0</v>
      </c>
      <c r="T146" s="166">
        <f ca="1"/>
        <v>3.3442274697193075E-2</v>
      </c>
      <c r="U146" s="166">
        <f ca="1"/>
        <v>5.7886998244593646E-2</v>
      </c>
      <c r="V146" s="140">
        <f ca="1"/>
        <v>0.10635363891146699</v>
      </c>
      <c r="W146" s="139">
        <f ca="1"/>
        <v>0</v>
      </c>
      <c r="X146" s="166">
        <f ca="1"/>
        <v>0</v>
      </c>
      <c r="Y146" s="166">
        <f ca="1"/>
        <v>2.2329025714868944E-3</v>
      </c>
      <c r="Z146" s="166">
        <f ca="1"/>
        <v>0</v>
      </c>
      <c r="AA146" s="166">
        <f ca="1"/>
        <v>1.6789429871667205E-2</v>
      </c>
      <c r="AB146" s="166">
        <f ca="1"/>
        <v>0</v>
      </c>
      <c r="AC146" s="166">
        <f ca="1"/>
        <v>3.5082965619732787E-2</v>
      </c>
      <c r="AD146" s="166">
        <f ca="1"/>
        <v>6.0702486930751309E-2</v>
      </c>
      <c r="AE146" s="140">
        <f ca="1"/>
        <v>0.1114474713150605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.199999999999999" x14ac:dyDescent="0.2">
      <c r="A147" s="97">
        <f t="shared" ca="1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>
        <f t="array" aca="1" ref="N147:AE147" ca="1">IF(OR(B147="",NOT($J$2)),"",[3]!GetStripDefaultProbability(A147,B147,Parameter_Date,CDSRollDate,E147:M147,SpreadCurveMaturities,D147,C147,$J$4,$J$6))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1.830526005779598E-3</v>
      </c>
      <c r="Q147" s="166">
        <f ca="1"/>
        <v>0</v>
      </c>
      <c r="R147" s="166">
        <f ca="1"/>
        <v>1.4717331084114216E-2</v>
      </c>
      <c r="S147" s="166">
        <f ca="1"/>
        <v>0</v>
      </c>
      <c r="T147" s="166">
        <f ca="1"/>
        <v>3.7496991187737527E-2</v>
      </c>
      <c r="U147" s="166">
        <f ca="1"/>
        <v>6.5894725613158678E-2</v>
      </c>
      <c r="V147" s="140">
        <f ca="1"/>
        <v>0.12469948457138047</v>
      </c>
      <c r="W147" s="139">
        <f ca="1"/>
        <v>0</v>
      </c>
      <c r="X147" s="166">
        <f ca="1"/>
        <v>0</v>
      </c>
      <c r="Y147" s="166">
        <f ca="1"/>
        <v>1.9968737220774635E-3</v>
      </c>
      <c r="Z147" s="166">
        <f ca="1"/>
        <v>0</v>
      </c>
      <c r="AA147" s="166">
        <f ca="1"/>
        <v>1.5441629401452328E-2</v>
      </c>
      <c r="AB147" s="166">
        <f ca="1"/>
        <v>0</v>
      </c>
      <c r="AC147" s="166">
        <f ca="1"/>
        <v>3.9333977927963004E-2</v>
      </c>
      <c r="AD147" s="166">
        <f ca="1"/>
        <v>6.9091927114283136E-2</v>
      </c>
      <c r="AE147" s="140">
        <f ca="1"/>
        <v>0.13063967651763364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.199999999999999" x14ac:dyDescent="0.2">
      <c r="A148" s="97">
        <f t="shared" ca="1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>
        <f t="array" aca="1" ref="N148:AE148" ca="1">IF(OR(B148="",NOT($J$2)),"",[3]!GetStripDefaultProbability(A148,B148,Parameter_Date,CDSRollDate,E148:M148,SpreadCurveMaturities,D148,C148,$J$4,$J$6))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1.6842768773231986E-3</v>
      </c>
      <c r="Q148" s="166">
        <f ca="1"/>
        <v>0</v>
      </c>
      <c r="R148" s="166">
        <f ca="1"/>
        <v>9.3269418246371139E-3</v>
      </c>
      <c r="S148" s="166">
        <f ca="1"/>
        <v>0</v>
      </c>
      <c r="T148" s="166">
        <f ca="1"/>
        <v>3.0328240858738864E-2</v>
      </c>
      <c r="U148" s="166">
        <f ca="1"/>
        <v>5.7807695937340031E-2</v>
      </c>
      <c r="V148" s="140">
        <f ca="1"/>
        <v>0.11229474631824643</v>
      </c>
      <c r="W148" s="139">
        <f ca="1"/>
        <v>0</v>
      </c>
      <c r="X148" s="166">
        <f ca="1"/>
        <v>0</v>
      </c>
      <c r="Y148" s="166">
        <f ca="1"/>
        <v>1.8506489664648074E-3</v>
      </c>
      <c r="Z148" s="166">
        <f ca="1"/>
        <v>0</v>
      </c>
      <c r="AA148" s="166">
        <f ca="1"/>
        <v>9.8221545402188415E-3</v>
      </c>
      <c r="AB148" s="166">
        <f ca="1"/>
        <v>0</v>
      </c>
      <c r="AC148" s="166">
        <f ca="1"/>
        <v>3.1813891627688995E-2</v>
      </c>
      <c r="AD148" s="166">
        <f ca="1"/>
        <v>6.0621199736286657E-2</v>
      </c>
      <c r="AE148" s="140">
        <f ca="1"/>
        <v>0.11767716447062038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.199999999999999" x14ac:dyDescent="0.2">
      <c r="A149" s="97">
        <f t="shared" ca="1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>
        <f t="array" aca="1" ref="N149:AE149" ca="1">IF(OR(B149="",NOT($J$2)),"",[3]!GetStripDefaultProbability(A149,B149,Parameter_Date,CDSRollDate,E149:M149,SpreadCurveMaturities,D149,C149,$J$4,$J$6))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1.1131731295057623E-3</v>
      </c>
      <c r="Q149" s="166">
        <f ca="1"/>
        <v>0</v>
      </c>
      <c r="R149" s="166">
        <f ca="1"/>
        <v>9.707698900832562E-3</v>
      </c>
      <c r="S149" s="166">
        <f ca="1"/>
        <v>0</v>
      </c>
      <c r="T149" s="166">
        <f ca="1"/>
        <v>2.9903944531741389E-2</v>
      </c>
      <c r="U149" s="166">
        <f ca="1"/>
        <v>5.2988771397656897E-2</v>
      </c>
      <c r="V149" s="140">
        <f ca="1"/>
        <v>0.10199035801872314</v>
      </c>
      <c r="W149" s="139">
        <f ca="1"/>
        <v>0</v>
      </c>
      <c r="X149" s="166">
        <f ca="1"/>
        <v>0</v>
      </c>
      <c r="Y149" s="166">
        <f ca="1"/>
        <v>1.2796403946595536E-3</v>
      </c>
      <c r="Z149" s="166">
        <f ca="1"/>
        <v>0</v>
      </c>
      <c r="AA149" s="166">
        <f ca="1"/>
        <v>1.0202721285442085E-2</v>
      </c>
      <c r="AB149" s="166">
        <f ca="1"/>
        <v>0</v>
      </c>
      <c r="AC149" s="166">
        <f ca="1"/>
        <v>3.1368801302901983E-2</v>
      </c>
      <c r="AD149" s="166">
        <f ca="1"/>
        <v>5.5570536867120213E-2</v>
      </c>
      <c r="AE149" s="140">
        <f ca="1"/>
        <v>0.10689162989519707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.199999999999999" x14ac:dyDescent="0.2">
      <c r="A150" s="97">
        <f t="shared" ca="1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>
        <f t="array" aca="1" ref="N150:AE150" ca="1">IF(OR(B150="",NOT($J$2)),"",[3]!GetStripDefaultProbability(A150,B150,Parameter_Date,CDSRollDate,E150:M150,SpreadCurveMaturities,D150,C150,$J$4,$J$6))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5.7879195131904648E-4</v>
      </c>
      <c r="Q150" s="166">
        <f ca="1"/>
        <v>0</v>
      </c>
      <c r="R150" s="166">
        <f ca="1"/>
        <v>5.1093286075120092E-3</v>
      </c>
      <c r="S150" s="166">
        <f ca="1"/>
        <v>0</v>
      </c>
      <c r="T150" s="166">
        <f ca="1"/>
        <v>1.4346097076826769E-2</v>
      </c>
      <c r="U150" s="166">
        <f ca="1"/>
        <v>2.7231720242548163E-2</v>
      </c>
      <c r="V150" s="140">
        <f ca="1"/>
        <v>5.2937152924326325E-2</v>
      </c>
      <c r="W150" s="139">
        <f ca="1"/>
        <v>0</v>
      </c>
      <c r="X150" s="166">
        <f ca="1"/>
        <v>0</v>
      </c>
      <c r="Y150" s="166">
        <f ca="1"/>
        <v>7.4534827258310177E-4</v>
      </c>
      <c r="Z150" s="166">
        <f ca="1"/>
        <v>0</v>
      </c>
      <c r="AA150" s="166">
        <f ca="1"/>
        <v>5.6066496026114798E-3</v>
      </c>
      <c r="AB150" s="166">
        <f ca="1"/>
        <v>0</v>
      </c>
      <c r="AC150" s="166">
        <f ca="1"/>
        <v>1.5167133183344839E-2</v>
      </c>
      <c r="AD150" s="166">
        <f ca="1"/>
        <v>2.85250200448669E-2</v>
      </c>
      <c r="AE150" s="140">
        <f ca="1"/>
        <v>5.5470059875167066E-2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.199999999999999" x14ac:dyDescent="0.2">
      <c r="A151" s="97">
        <f t="shared" ca="1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>
        <f t="array" aca="1" ref="N151:AE151" ca="1">IF(OR(B151="",NOT($J$2)),"",[3]!GetStripDefaultProbability(A151,B151,Parameter_Date,CDSRollDate,E151:M151,SpreadCurveMaturities,D151,C151,$J$4,$J$6))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5.3165807102705243E-3</v>
      </c>
      <c r="Q151" s="166">
        <f ca="1"/>
        <v>0</v>
      </c>
      <c r="R151" s="166">
        <f ca="1"/>
        <v>4.7822466840722222E-2</v>
      </c>
      <c r="S151" s="166">
        <f ca="1"/>
        <v>0</v>
      </c>
      <c r="T151" s="166">
        <f ca="1"/>
        <v>0.12656202711500497</v>
      </c>
      <c r="U151" s="166">
        <f ca="1"/>
        <v>0.19727431822354402</v>
      </c>
      <c r="V151" s="140">
        <f ca="1"/>
        <v>0.30192820026509115</v>
      </c>
      <c r="W151" s="139">
        <f ca="1"/>
        <v>0</v>
      </c>
      <c r="X151" s="166">
        <f ca="1"/>
        <v>0</v>
      </c>
      <c r="Y151" s="166">
        <f ca="1"/>
        <v>5.5668778737451019E-3</v>
      </c>
      <c r="Z151" s="166">
        <f ca="1"/>
        <v>0</v>
      </c>
      <c r="AA151" s="166">
        <f ca="1"/>
        <v>5.0168791395311274E-2</v>
      </c>
      <c r="AB151" s="166">
        <f ca="1"/>
        <v>0</v>
      </c>
      <c r="AC151" s="166">
        <f ca="1"/>
        <v>0.13258774641489601</v>
      </c>
      <c r="AD151" s="166">
        <f ca="1"/>
        <v>0.20632049079134729</v>
      </c>
      <c r="AE151" s="140">
        <f ca="1"/>
        <v>0.31493253585093262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.199999999999999" x14ac:dyDescent="0.2">
      <c r="A152" s="97">
        <f t="shared" ca="1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>
        <f t="array" aca="1" ref="N152:AE152" ca="1">IF(OR(B152="",NOT($J$2)),"",[3]!GetStripDefaultProbability(A152,B152,Parameter_Date,CDSRollDate,E152:M152,SpreadCurveMaturities,D152,C152,$J$4,$J$6))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9.3684106812486068E-4</v>
      </c>
      <c r="Q152" s="166">
        <f ca="1"/>
        <v>0</v>
      </c>
      <c r="R152" s="166">
        <f ca="1"/>
        <v>3.4738724007251642E-3</v>
      </c>
      <c r="S152" s="166">
        <f ca="1"/>
        <v>0</v>
      </c>
      <c r="T152" s="166">
        <f ca="1"/>
        <v>1.0109943932507526E-2</v>
      </c>
      <c r="U152" s="166">
        <f ca="1"/>
        <v>1.8458608649152275E-2</v>
      </c>
      <c r="V152" s="140">
        <f ca="1"/>
        <v>3.5515436014093127E-2</v>
      </c>
      <c r="W152" s="139">
        <f ca="1"/>
        <v>0</v>
      </c>
      <c r="X152" s="166">
        <f ca="1"/>
        <v>0</v>
      </c>
      <c r="Y152" s="166">
        <f ca="1"/>
        <v>1.1033377195059924E-3</v>
      </c>
      <c r="Z152" s="166">
        <f ca="1"/>
        <v>0</v>
      </c>
      <c r="AA152" s="166">
        <f ca="1"/>
        <v>3.972010919547464E-3</v>
      </c>
      <c r="AB152" s="166">
        <f ca="1"/>
        <v>0</v>
      </c>
      <c r="AC152" s="166">
        <f ca="1"/>
        <v>1.0934508696154976E-2</v>
      </c>
      <c r="AD152" s="166">
        <f ca="1"/>
        <v>1.9626268956782766E-2</v>
      </c>
      <c r="AE152" s="140">
        <f ca="1"/>
        <v>3.7151119938258592E-2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.199999999999999" x14ac:dyDescent="0.2">
      <c r="A153" s="97">
        <f t="shared" ca="1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>
        <f t="array" aca="1" ref="N153:AE153" ca="1">IF(OR(B153="",NOT($J$2)),"",[3]!GetStripDefaultProbability(A153,B153,Parameter_Date,CDSRollDate,E153:M153,SpreadCurveMaturities,D153,C153,$J$4,$J$6))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8.4513618602499729E-4</v>
      </c>
      <c r="Q153" s="166">
        <f ca="1"/>
        <v>0</v>
      </c>
      <c r="R153" s="166">
        <f ca="1"/>
        <v>6.4530828628402981E-3</v>
      </c>
      <c r="S153" s="166">
        <f ca="1"/>
        <v>0</v>
      </c>
      <c r="T153" s="166">
        <f ca="1"/>
        <v>1.8107991403894408E-2</v>
      </c>
      <c r="U153" s="166">
        <f ca="1"/>
        <v>3.1630467118074268E-2</v>
      </c>
      <c r="V153" s="140">
        <f ca="1"/>
        <v>5.4209674866130708E-2</v>
      </c>
      <c r="W153" s="139">
        <f ca="1"/>
        <v>0</v>
      </c>
      <c r="X153" s="166">
        <f ca="1"/>
        <v>0</v>
      </c>
      <c r="Y153" s="166">
        <f ca="1"/>
        <v>1.0116481202604444E-3</v>
      </c>
      <c r="Z153" s="166">
        <f ca="1"/>
        <v>0</v>
      </c>
      <c r="AA153" s="166">
        <f ca="1"/>
        <v>6.9497321487413943E-3</v>
      </c>
      <c r="AB153" s="166">
        <f ca="1"/>
        <v>0</v>
      </c>
      <c r="AC153" s="166">
        <f ca="1"/>
        <v>1.8977436545024151E-2</v>
      </c>
      <c r="AD153" s="166">
        <f ca="1"/>
        <v>3.3162473383254953E-2</v>
      </c>
      <c r="AE153" s="140">
        <f ca="1"/>
        <v>5.6825565959815916E-2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.199999999999999" x14ac:dyDescent="0.2">
      <c r="A154" s="97">
        <f t="shared" ca="1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>
        <f t="array" aca="1" ref="N154:AE154" ca="1">IF(OR(B154="",NOT($J$2)),"",[3]!GetStripDefaultProbability(A154,B154,Parameter_Date,CDSRollDate,E154:M154,SpreadCurveMaturities,D154,C154,$J$4,$J$6))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1.6173123498463005E-3</v>
      </c>
      <c r="Q154" s="166">
        <f ca="1"/>
        <v>0</v>
      </c>
      <c r="R154" s="166">
        <f ca="1"/>
        <v>8.7120287845277034E-3</v>
      </c>
      <c r="S154" s="166">
        <f ca="1"/>
        <v>0</v>
      </c>
      <c r="T154" s="166">
        <f ca="1"/>
        <v>2.1286946370622339E-2</v>
      </c>
      <c r="U154" s="166">
        <f ca="1"/>
        <v>4.2337508815250779E-2</v>
      </c>
      <c r="V154" s="140">
        <f ca="1"/>
        <v>8.303157836884778E-2</v>
      </c>
      <c r="W154" s="139">
        <f ca="1"/>
        <v>0</v>
      </c>
      <c r="X154" s="166">
        <f ca="1"/>
        <v>0</v>
      </c>
      <c r="Y154" s="166">
        <f ca="1"/>
        <v>1.7836955988180803E-3</v>
      </c>
      <c r="Z154" s="166">
        <f ca="1"/>
        <v>0</v>
      </c>
      <c r="AA154" s="166">
        <f ca="1"/>
        <v>9.2075488797790372E-3</v>
      </c>
      <c r="AB154" s="166">
        <f ca="1"/>
        <v>0</v>
      </c>
      <c r="AC154" s="166">
        <f ca="1"/>
        <v>2.2327083954432059E-2</v>
      </c>
      <c r="AD154" s="166">
        <f ca="1"/>
        <v>4.4403722298021364E-2</v>
      </c>
      <c r="AE154" s="140">
        <f ca="1"/>
        <v>8.7047551578645521E-2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.199999999999999" x14ac:dyDescent="0.2">
      <c r="A155" s="97">
        <f t="shared" ca="1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>
        <f t="array" aca="1" ref="N155:AE155" ca="1">IF(OR(B155="",NOT($J$2)),"",[3]!GetStripDefaultProbability(A155,B155,Parameter_Date,CDSRollDate,E155:M155,SpreadCurveMaturities,D155,C155,$J$4,$J$6))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7.2167411107271207E-4</v>
      </c>
      <c r="Q155" s="166">
        <f ca="1"/>
        <v>0</v>
      </c>
      <c r="R155" s="166">
        <f ca="1"/>
        <v>6.5977396735177329E-3</v>
      </c>
      <c r="S155" s="166">
        <f ca="1"/>
        <v>0</v>
      </c>
      <c r="T155" s="166">
        <f ca="1"/>
        <v>1.6358673231343102E-2</v>
      </c>
      <c r="U155" s="166">
        <f ca="1"/>
        <v>3.3338792337251011E-2</v>
      </c>
      <c r="V155" s="140">
        <f ca="1"/>
        <v>5.8521570309462367E-2</v>
      </c>
      <c r="W155" s="139">
        <f ca="1"/>
        <v>0</v>
      </c>
      <c r="X155" s="166">
        <f ca="1"/>
        <v>0</v>
      </c>
      <c r="Y155" s="166">
        <f ca="1"/>
        <v>8.8820662060995481E-4</v>
      </c>
      <c r="Z155" s="166">
        <f ca="1"/>
        <v>0</v>
      </c>
      <c r="AA155" s="166">
        <f ca="1"/>
        <v>7.0943166490554654E-3</v>
      </c>
      <c r="AB155" s="166">
        <f ca="1"/>
        <v>0</v>
      </c>
      <c r="AC155" s="166">
        <f ca="1"/>
        <v>1.7178032889725747E-2</v>
      </c>
      <c r="AD155" s="166">
        <f ca="1"/>
        <v>3.4950538740834647E-2</v>
      </c>
      <c r="AE155" s="140">
        <f ca="1"/>
        <v>6.1340569647281074E-2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.199999999999999" x14ac:dyDescent="0.2">
      <c r="A156" s="97">
        <f t="shared" ca="1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>
        <f t="array" aca="1" ref="N156:AE156" ca="1">IF(OR(B156="",NOT($J$2)),"",[3]!GetStripDefaultProbability(A156,B156,Parameter_Date,CDSRollDate,E156:M156,SpreadCurveMaturities,D156,C156,$J$4,$J$6))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7.9398417113613062E-3</v>
      </c>
      <c r="Q156" s="166">
        <f ca="1"/>
        <v>0</v>
      </c>
      <c r="R156" s="166">
        <f ca="1"/>
        <v>2.8214990094100223E-2</v>
      </c>
      <c r="S156" s="166">
        <f ca="1"/>
        <v>0</v>
      </c>
      <c r="T156" s="166">
        <f ca="1"/>
        <v>5.8449076235017938E-2</v>
      </c>
      <c r="U156" s="166">
        <f ca="1"/>
        <v>8.0138737782968539E-2</v>
      </c>
      <c r="V156" s="140">
        <f ca="1"/>
        <v>0.11180188242022637</v>
      </c>
      <c r="W156" s="139">
        <f ca="1"/>
        <v>0</v>
      </c>
      <c r="X156" s="166">
        <f ca="1"/>
        <v>0</v>
      </c>
      <c r="Y156" s="166">
        <f ca="1"/>
        <v>8.334875293973032E-3</v>
      </c>
      <c r="Z156" s="166">
        <f ca="1"/>
        <v>0</v>
      </c>
      <c r="AA156" s="166">
        <f ca="1"/>
        <v>2.9602250444568545E-2</v>
      </c>
      <c r="AB156" s="166">
        <f ca="1"/>
        <v>0</v>
      </c>
      <c r="AC156" s="166">
        <f ca="1"/>
        <v>6.1284758433058584E-2</v>
      </c>
      <c r="AD156" s="166">
        <f ca="1"/>
        <v>8.3982784130769872E-2</v>
      </c>
      <c r="AE156" s="140">
        <f ca="1"/>
        <v>0.11704920726690515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.199999999999999" x14ac:dyDescent="0.2">
      <c r="A157" s="97">
        <f t="shared" ca="1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>
        <f t="array" aca="1" ref="N157:AE157" ca="1">IF(OR(B157="",NOT($J$2)),"",[3]!GetStripDefaultProbability(A157,B157,Parameter_Date,CDSRollDate,E157:M157,SpreadCurveMaturities,D157,C157,$J$4,$J$6))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1.208379598348408E-3</v>
      </c>
      <c r="Q157" s="166">
        <f ca="1"/>
        <v>0</v>
      </c>
      <c r="R157" s="166">
        <f ca="1"/>
        <v>9.7839716041964175E-3</v>
      </c>
      <c r="S157" s="166">
        <f ca="1"/>
        <v>0</v>
      </c>
      <c r="T157" s="166">
        <f ca="1"/>
        <v>2.2944462879968208E-2</v>
      </c>
      <c r="U157" s="166">
        <f ca="1"/>
        <v>4.406517044926983E-2</v>
      </c>
      <c r="V157" s="140">
        <f ca="1"/>
        <v>8.0732317524322084E-2</v>
      </c>
      <c r="W157" s="139">
        <f ca="1"/>
        <v>0</v>
      </c>
      <c r="X157" s="166">
        <f ca="1"/>
        <v>0</v>
      </c>
      <c r="Y157" s="166">
        <f ca="1"/>
        <v>1.3748309970960104E-3</v>
      </c>
      <c r="Z157" s="166">
        <f ca="1"/>
        <v>0</v>
      </c>
      <c r="AA157" s="166">
        <f ca="1"/>
        <v>1.0278955861997674E-2</v>
      </c>
      <c r="AB157" s="166">
        <f ca="1"/>
        <v>0</v>
      </c>
      <c r="AC157" s="166">
        <f ca="1"/>
        <v>2.4069896304509508E-2</v>
      </c>
      <c r="AD157" s="166">
        <f ca="1"/>
        <v>4.6218404133920088E-2</v>
      </c>
      <c r="AE157" s="140">
        <f ca="1"/>
        <v>8.4615359671977641E-2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.199999999999999" x14ac:dyDescent="0.2">
      <c r="A158" s="97">
        <f t="shared" ca="1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>
        <f t="array" aca="1" ref="N158:AE158" ca="1">IF(OR(B158="",NOT($J$2)),"",[3]!GetStripDefaultProbability(A158,B158,Parameter_Date,CDSRollDate,E158:M158,SpreadCurveMaturities,D158,C158,$J$4,$J$6))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1.5908777568365284E-3</v>
      </c>
      <c r="Q158" s="166">
        <f ca="1"/>
        <v>0</v>
      </c>
      <c r="R158" s="166">
        <f ca="1"/>
        <v>1.1296025088689654E-2</v>
      </c>
      <c r="S158" s="166">
        <f ca="1"/>
        <v>0</v>
      </c>
      <c r="T158" s="166">
        <f ca="1"/>
        <v>2.9687761142028535E-2</v>
      </c>
      <c r="U158" s="166">
        <f ca="1"/>
        <v>5.2507317263668751E-2</v>
      </c>
      <c r="V158" s="140">
        <f ca="1"/>
        <v>8.941663864992655E-2</v>
      </c>
      <c r="W158" s="139">
        <f ca="1"/>
        <v>0</v>
      </c>
      <c r="X158" s="166">
        <f ca="1"/>
        <v>0</v>
      </c>
      <c r="Y158" s="166">
        <f ca="1"/>
        <v>1.7572654111831509E-3</v>
      </c>
      <c r="Z158" s="166">
        <f ca="1"/>
        <v>0</v>
      </c>
      <c r="AA158" s="166">
        <f ca="1"/>
        <v>1.1835957152628529E-2</v>
      </c>
      <c r="AB158" s="166">
        <f ca="1"/>
        <v>0</v>
      </c>
      <c r="AC158" s="166">
        <f ca="1"/>
        <v>3.1147204164963305E-2</v>
      </c>
      <c r="AD158" s="166">
        <f ca="1"/>
        <v>5.5070077690567709E-2</v>
      </c>
      <c r="AE158" s="140">
        <f ca="1"/>
        <v>9.370097098241037E-2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.199999999999999" x14ac:dyDescent="0.2">
      <c r="A159" s="97">
        <f t="shared" ca="1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>
        <f t="array" aca="1" ref="N159:AE159" ca="1">IF(OR(B159="",NOT($J$2)),"",[3]!GetStripDefaultProbability(A159,B159,Parameter_Date,CDSRollDate,E159:M159,SpreadCurveMaturities,D159,C159,$J$4,$J$6))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1.1096467910054475E-3</v>
      </c>
      <c r="Q159" s="166">
        <f ca="1"/>
        <v>0</v>
      </c>
      <c r="R159" s="166">
        <f ca="1"/>
        <v>9.3277264016917716E-3</v>
      </c>
      <c r="S159" s="166">
        <f ca="1"/>
        <v>0</v>
      </c>
      <c r="T159" s="166">
        <f ca="1"/>
        <v>2.2569530613231858E-2</v>
      </c>
      <c r="U159" s="166">
        <f ca="1"/>
        <v>3.9835998470660772E-2</v>
      </c>
      <c r="V159" s="140">
        <f ca="1"/>
        <v>6.7695279915938156E-2</v>
      </c>
      <c r="W159" s="139">
        <f ca="1"/>
        <v>0</v>
      </c>
      <c r="X159" s="166">
        <f ca="1"/>
        <v>0</v>
      </c>
      <c r="Y159" s="166">
        <f ca="1"/>
        <v>1.2761146438358129E-3</v>
      </c>
      <c r="Z159" s="166">
        <f ca="1"/>
        <v>0</v>
      </c>
      <c r="AA159" s="166">
        <f ca="1"/>
        <v>9.8229387251087541E-3</v>
      </c>
      <c r="AB159" s="166">
        <f ca="1"/>
        <v>0</v>
      </c>
      <c r="AC159" s="166">
        <f ca="1"/>
        <v>2.3673851278790514E-2</v>
      </c>
      <c r="AD159" s="166">
        <f ca="1"/>
        <v>4.178164779564264E-2</v>
      </c>
      <c r="AE159" s="140">
        <f ca="1"/>
        <v>7.0963508012770404E-2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.199999999999999" x14ac:dyDescent="0.2">
      <c r="A160" s="97">
        <f t="shared" ca="1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>
        <f t="array" aca="1" ref="N160:AE160" ca="1">IF(OR(B160="",NOT($J$2)),"",[3]!GetStripDefaultProbability(A160,B160,Parameter_Date,CDSRollDate,E160:M160,SpreadCurveMaturities,D160,C160,$J$4,$J$6))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2.182846229887736E-3</v>
      </c>
      <c r="Q160" s="166">
        <f ca="1"/>
        <v>0</v>
      </c>
      <c r="R160" s="166">
        <f ca="1"/>
        <v>2.0935540653508888E-2</v>
      </c>
      <c r="S160" s="166">
        <f ca="1"/>
        <v>0</v>
      </c>
      <c r="T160" s="166">
        <f ca="1"/>
        <v>4.8777853670206484E-2</v>
      </c>
      <c r="U160" s="166">
        <f ca="1"/>
        <v>8.9220492957030495E-2</v>
      </c>
      <c r="V160" s="140">
        <f ca="1"/>
        <v>0.15920384610303684</v>
      </c>
      <c r="W160" s="139">
        <f ca="1"/>
        <v>0</v>
      </c>
      <c r="X160" s="166">
        <f ca="1"/>
        <v>0</v>
      </c>
      <c r="Y160" s="166">
        <f ca="1"/>
        <v>2.3491352310432978E-3</v>
      </c>
      <c r="Z160" s="166">
        <f ca="1"/>
        <v>0</v>
      </c>
      <c r="AA160" s="166">
        <f ca="1"/>
        <v>2.1965914185960389E-2</v>
      </c>
      <c r="AB160" s="166">
        <f ca="1"/>
        <v>0</v>
      </c>
      <c r="AC160" s="166">
        <f ca="1"/>
        <v>5.1157008850304719E-2</v>
      </c>
      <c r="AD160" s="166">
        <f ca="1"/>
        <v>9.3506968967263071E-2</v>
      </c>
      <c r="AE160" s="140">
        <f ca="1"/>
        <v>0.16667081930580208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.199999999999999" x14ac:dyDescent="0.2">
      <c r="A161" s="97">
        <f t="shared" ca="1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>
        <f t="array" aca="1" ref="N161:AE161" ca="1">IF(OR(B161="",NOT($J$2)),"",[3]!GetStripDefaultProbability(A161,B161,Parameter_Date,CDSRollDate,E161:M161,SpreadCurveMaturities,D161,C161,$J$4,$J$6))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5.8965088937883103E-2</v>
      </c>
      <c r="Q161" s="166">
        <f ca="1"/>
        <v>0</v>
      </c>
      <c r="R161" s="166">
        <f ca="1"/>
        <v>0.15940371907565265</v>
      </c>
      <c r="S161" s="166">
        <f ca="1"/>
        <v>0</v>
      </c>
      <c r="T161" s="166">
        <f ca="1"/>
        <v>0.22063045831188433</v>
      </c>
      <c r="U161" s="166">
        <f ca="1"/>
        <v>0.27438911174380387</v>
      </c>
      <c r="V161" s="140">
        <f ca="1"/>
        <v>0.35544504393212717</v>
      </c>
      <c r="W161" s="139">
        <f ca="1"/>
        <v>0</v>
      </c>
      <c r="X161" s="166">
        <f ca="1"/>
        <v>0</v>
      </c>
      <c r="Y161" s="166">
        <f ca="1"/>
        <v>6.1820252786673913E-2</v>
      </c>
      <c r="Z161" s="166">
        <f ca="1"/>
        <v>0</v>
      </c>
      <c r="AA161" s="166">
        <f ca="1"/>
        <v>0.1666664778296596</v>
      </c>
      <c r="AB161" s="166">
        <f ca="1"/>
        <v>0</v>
      </c>
      <c r="AC161" s="166">
        <f ca="1"/>
        <v>0.23015119818256324</v>
      </c>
      <c r="AD161" s="166">
        <f ca="1"/>
        <v>0.28567847374340183</v>
      </c>
      <c r="AE161" s="140">
        <f ca="1"/>
        <v>0.36909411875219778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.199999999999999" x14ac:dyDescent="0.2">
      <c r="A162" s="97">
        <f t="shared" ca="1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>
        <f t="array" aca="1" ref="N162:AE162" ca="1">IF(OR(B162="",NOT($J$2)),"",[3]!GetStripDefaultProbability(A162,B162,Parameter_Date,CDSRollDate,E162:M162,SpreadCurveMaturities,D162,C162,$J$4,$J$6))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1.9098088150590886E-3</v>
      </c>
      <c r="Q162" s="166">
        <f ca="1"/>
        <v>0</v>
      </c>
      <c r="R162" s="166">
        <f ca="1"/>
        <v>1.5743612661146322E-2</v>
      </c>
      <c r="S162" s="166">
        <f ca="1"/>
        <v>0</v>
      </c>
      <c r="T162" s="166">
        <f ca="1"/>
        <v>4.2104073304338185E-2</v>
      </c>
      <c r="U162" s="166">
        <f ca="1"/>
        <v>7.8761667574874905E-2</v>
      </c>
      <c r="V162" s="140">
        <f ca="1"/>
        <v>0.14912646253682682</v>
      </c>
      <c r="W162" s="139">
        <f ca="1"/>
        <v>0</v>
      </c>
      <c r="X162" s="166">
        <f ca="1"/>
        <v>0</v>
      </c>
      <c r="Y162" s="166">
        <f ca="1"/>
        <v>2.0761433186420319E-3</v>
      </c>
      <c r="Z162" s="166">
        <f ca="1"/>
        <v>0</v>
      </c>
      <c r="AA162" s="166">
        <f ca="1"/>
        <v>1.6518647511145401E-2</v>
      </c>
      <c r="AB162" s="166">
        <f ca="1"/>
        <v>0</v>
      </c>
      <c r="AC162" s="166">
        <f ca="1"/>
        <v>4.4163553213559137E-2</v>
      </c>
      <c r="AD162" s="166">
        <f ca="1"/>
        <v>8.2566130995454068E-2</v>
      </c>
      <c r="AE162" s="140">
        <f ca="1"/>
        <v>0.15617179973179873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.199999999999999" x14ac:dyDescent="0.2">
      <c r="A163" s="97">
        <f t="shared" ca="1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>
        <f t="array" aca="1" ref="N163:AE163" ca="1">IF(OR(B163="",NOT($J$2)),"",[3]!GetStripDefaultProbability(A163,B163,Parameter_Date,CDSRollDate,E163:M163,SpreadCurveMaturities,D163,C163,$J$4,$J$6))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1.934473303671691E-3</v>
      </c>
      <c r="Q163" s="166">
        <f ca="1"/>
        <v>0</v>
      </c>
      <c r="R163" s="166">
        <f ca="1"/>
        <v>8.4594690684696161E-3</v>
      </c>
      <c r="S163" s="166">
        <f ca="1"/>
        <v>0</v>
      </c>
      <c r="T163" s="166">
        <f ca="1"/>
        <v>2.0855053807930735E-2</v>
      </c>
      <c r="U163" s="166">
        <f ca="1"/>
        <v>3.2137045224071459E-2</v>
      </c>
      <c r="V163" s="140">
        <f ca="1"/>
        <v>5.7298323015401831E-2</v>
      </c>
      <c r="W163" s="139">
        <f ca="1"/>
        <v>0</v>
      </c>
      <c r="X163" s="166">
        <f ca="1"/>
        <v>0</v>
      </c>
      <c r="Y163" s="166">
        <f ca="1"/>
        <v>2.1008036968738208E-3</v>
      </c>
      <c r="Z163" s="166">
        <f ca="1"/>
        <v>0</v>
      </c>
      <c r="AA163" s="166">
        <f ca="1"/>
        <v>8.9551154120532939E-3</v>
      </c>
      <c r="AB163" s="166">
        <f ca="1"/>
        <v>0</v>
      </c>
      <c r="AC163" s="166">
        <f ca="1"/>
        <v>2.1873886949027477E-2</v>
      </c>
      <c r="AD163" s="166">
        <f ca="1"/>
        <v>3.3706945244293185E-2</v>
      </c>
      <c r="AE163" s="140">
        <f ca="1"/>
        <v>6.0073076907364853E-2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.199999999999999" x14ac:dyDescent="0.2">
      <c r="A164" s="97">
        <f t="shared" ca="1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>
        <f t="array" aca="1" ref="N164:AE164" ca="1">IF(OR(B164="",NOT($J$2)),"",[3]!GetStripDefaultProbability(A164,B164,Parameter_Date,CDSRollDate,E164:M164,SpreadCurveMaturities,D164,C164,$J$4,$J$6))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2.6530014691230619E-3</v>
      </c>
      <c r="Q164" s="166">
        <f ca="1"/>
        <v>0</v>
      </c>
      <c r="R164" s="166">
        <f ca="1"/>
        <v>1.3419300942397405E-2</v>
      </c>
      <c r="S164" s="166">
        <f ca="1"/>
        <v>0</v>
      </c>
      <c r="T164" s="166">
        <f ca="1"/>
        <v>3.2391338994166463E-2</v>
      </c>
      <c r="U164" s="166">
        <f ca="1"/>
        <v>5.8326229240810767E-2</v>
      </c>
      <c r="V164" s="140">
        <f ca="1"/>
        <v>0.10041873663896095</v>
      </c>
      <c r="W164" s="139">
        <f ca="1"/>
        <v>0</v>
      </c>
      <c r="X164" s="166">
        <f ca="1"/>
        <v>0</v>
      </c>
      <c r="Y164" s="166">
        <f ca="1"/>
        <v>2.819212117604275E-3</v>
      </c>
      <c r="Z164" s="166">
        <f ca="1"/>
        <v>0</v>
      </c>
      <c r="AA164" s="166">
        <f ca="1"/>
        <v>1.4082697638215569E-2</v>
      </c>
      <c r="AB164" s="166">
        <f ca="1"/>
        <v>0</v>
      </c>
      <c r="AC164" s="166">
        <f ca="1"/>
        <v>3.3983731706714981E-2</v>
      </c>
      <c r="AD164" s="166">
        <f ca="1"/>
        <v>6.1167446726113295E-2</v>
      </c>
      <c r="AE164" s="140">
        <f ca="1"/>
        <v>0.10523796776623562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.199999999999999" x14ac:dyDescent="0.2">
      <c r="A165" s="97">
        <f t="shared" ca="1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>
        <f t="array" aca="1" ref="N165:AE165" ca="1">IF(OR(B165="",NOT($J$2)),"",[3]!GetStripDefaultProbability(A165,B165,Parameter_Date,CDSRollDate,E165:M165,SpreadCurveMaturities,D165,C165,$J$4,$J$6))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9.3684106812486068E-4</v>
      </c>
      <c r="Q165" s="166">
        <f ca="1"/>
        <v>0</v>
      </c>
      <c r="R165" s="166">
        <f ca="1"/>
        <v>7.5055973967176337E-3</v>
      </c>
      <c r="S165" s="166">
        <f ca="1"/>
        <v>0</v>
      </c>
      <c r="T165" s="166">
        <f ca="1"/>
        <v>1.8422519212264898E-2</v>
      </c>
      <c r="U165" s="166">
        <f ca="1"/>
        <v>3.4347298217514699E-2</v>
      </c>
      <c r="V165" s="140">
        <f ca="1"/>
        <v>7.0826395664545738E-2</v>
      </c>
      <c r="W165" s="139">
        <f ca="1"/>
        <v>0</v>
      </c>
      <c r="X165" s="166">
        <f ca="1"/>
        <v>0</v>
      </c>
      <c r="Y165" s="166">
        <f ca="1"/>
        <v>1.1033377195059924E-3</v>
      </c>
      <c r="Z165" s="166">
        <f ca="1"/>
        <v>0</v>
      </c>
      <c r="AA165" s="166">
        <f ca="1"/>
        <v>8.0017205568688743E-3</v>
      </c>
      <c r="AB165" s="166">
        <f ca="1"/>
        <v>0</v>
      </c>
      <c r="AC165" s="166">
        <f ca="1"/>
        <v>1.9313178294457223E-2</v>
      </c>
      <c r="AD165" s="166">
        <f ca="1"/>
        <v>3.6017251680120488E-2</v>
      </c>
      <c r="AE165" s="140">
        <f ca="1"/>
        <v>7.4235514980219519E-2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.199999999999999" x14ac:dyDescent="0.2">
      <c r="A166" s="97">
        <f t="shared" ca="1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>
        <f t="array" aca="1" ref="N166:AE166" ca="1">IF(OR(B166="",NOT($J$2)),"",[3]!GetStripDefaultProbability(A166,B166,Parameter_Date,CDSRollDate,E166:M166,SpreadCurveMaturities,D166,C166,$J$4,$J$6))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5.1852676163256617E-2</v>
      </c>
      <c r="Q166" s="166">
        <f ca="1"/>
        <v>0</v>
      </c>
      <c r="R166" s="166">
        <f ca="1"/>
        <v>0.1044730370691197</v>
      </c>
      <c r="S166" s="166">
        <f ca="1"/>
        <v>0</v>
      </c>
      <c r="T166" s="166">
        <f ca="1"/>
        <v>0.1391651415356252</v>
      </c>
      <c r="U166" s="166">
        <f ca="1"/>
        <v>0.17171589122083919</v>
      </c>
      <c r="V166" s="140">
        <f ca="1"/>
        <v>0.22256056166299754</v>
      </c>
      <c r="W166" s="139">
        <f ca="1"/>
        <v>0</v>
      </c>
      <c r="X166" s="166">
        <f ca="1"/>
        <v>0</v>
      </c>
      <c r="Y166" s="166">
        <f ca="1"/>
        <v>5.4373489146492648E-2</v>
      </c>
      <c r="Z166" s="166">
        <f ca="1"/>
        <v>0</v>
      </c>
      <c r="AA166" s="166">
        <f ca="1"/>
        <v>0.1093664348632819</v>
      </c>
      <c r="AB166" s="166">
        <f ca="1"/>
        <v>0</v>
      </c>
      <c r="AC166" s="166">
        <f ca="1"/>
        <v>0.14546387686912154</v>
      </c>
      <c r="AD166" s="166">
        <f ca="1"/>
        <v>0.17930202907642723</v>
      </c>
      <c r="AE166" s="140">
        <f ca="1"/>
        <v>0.23206427247869099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.199999999999999" x14ac:dyDescent="0.2">
      <c r="A167" s="97">
        <f t="shared" ca="1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>
        <f t="array" aca="1" ref="N167:AE167" ca="1">IF(OR(B167="",NOT($J$2)),"",[3]!GetStripDefaultProbability(A167,B167,Parameter_Date,CDSRollDate,E167:M167,SpreadCurveMaturities,D167,C167,$J$4,$J$6))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1.4534066770205412E-3</v>
      </c>
      <c r="Q167" s="166">
        <f ca="1"/>
        <v>0</v>
      </c>
      <c r="R167" s="166">
        <f ca="1"/>
        <v>1.3099927685995327E-2</v>
      </c>
      <c r="S167" s="166">
        <f ca="1"/>
        <v>0</v>
      </c>
      <c r="T167" s="166">
        <f ca="1"/>
        <v>3.0361338900678714E-2</v>
      </c>
      <c r="U167" s="166">
        <f ca="1"/>
        <v>5.5685444530437223E-2</v>
      </c>
      <c r="V167" s="140">
        <f ca="1"/>
        <v>0.1035404825820464</v>
      </c>
      <c r="W167" s="139">
        <f ca="1"/>
        <v>0</v>
      </c>
      <c r="X167" s="166">
        <f ca="1"/>
        <v>0</v>
      </c>
      <c r="Y167" s="166">
        <f ca="1"/>
        <v>1.6198172413184331E-3</v>
      </c>
      <c r="Z167" s="166">
        <f ca="1"/>
        <v>0</v>
      </c>
      <c r="AA167" s="166">
        <f ca="1"/>
        <v>1.3743238535099622E-2</v>
      </c>
      <c r="AB167" s="166">
        <f ca="1"/>
        <v>0</v>
      </c>
      <c r="AC167" s="166">
        <f ca="1"/>
        <v>3.1851008585470186E-2</v>
      </c>
      <c r="AD167" s="166">
        <f ca="1"/>
        <v>5.8397038923528433E-2</v>
      </c>
      <c r="AE167" s="140">
        <f ca="1"/>
        <v>0.10851015695913591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.199999999999999" x14ac:dyDescent="0.2">
      <c r="A168" s="97">
        <f t="shared" ca="1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>
        <f t="array" aca="1" ref="N168:AE168" ca="1">IF(OR(B168="",NOT($J$2)),"",[3]!GetStripDefaultProbability(A168,B168,Parameter_Date,CDSRollDate,E168:M168,SpreadCurveMaturities,D168,C168,$J$4,$J$6))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1.208379598348408E-3</v>
      </c>
      <c r="Q168" s="166">
        <f ca="1"/>
        <v>0</v>
      </c>
      <c r="R168" s="166">
        <f ca="1"/>
        <v>1.1751192499081187E-2</v>
      </c>
      <c r="S168" s="166">
        <f ca="1"/>
        <v>0</v>
      </c>
      <c r="T168" s="166">
        <f ca="1"/>
        <v>2.9670204289217739E-2</v>
      </c>
      <c r="U168" s="166">
        <f ca="1"/>
        <v>5.9934107429336581E-2</v>
      </c>
      <c r="V168" s="140">
        <f ca="1"/>
        <v>0.11213497536293049</v>
      </c>
      <c r="W168" s="139">
        <f ca="1"/>
        <v>0</v>
      </c>
      <c r="X168" s="166">
        <f ca="1"/>
        <v>0</v>
      </c>
      <c r="Y168" s="166">
        <f ca="1"/>
        <v>1.3748309970960104E-3</v>
      </c>
      <c r="Z168" s="166">
        <f ca="1"/>
        <v>0</v>
      </c>
      <c r="AA168" s="166">
        <f ca="1"/>
        <v>1.2311123825220927E-2</v>
      </c>
      <c r="AB168" s="166">
        <f ca="1"/>
        <v>0</v>
      </c>
      <c r="AC168" s="166">
        <f ca="1"/>
        <v>3.112751275185055E-2</v>
      </c>
      <c r="AD168" s="166">
        <f ca="1"/>
        <v>6.285178037388639E-2</v>
      </c>
      <c r="AE168" s="140">
        <f ca="1"/>
        <v>0.11750917374588543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.199999999999999" x14ac:dyDescent="0.2">
      <c r="A169" s="97">
        <f t="shared" ca="1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>
        <f t="array" aca="1" ref="N169:AE169" ca="1">IF(OR(B169="",NOT($J$2)),"",[3]!GetStripDefaultProbability(A169,B169,Parameter_Date,CDSRollDate,E169:M169,SpreadCurveMaturities,D169,C169,$J$4,$J$6))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8.0104432618277599E-4</v>
      </c>
      <c r="Q169" s="166">
        <f ca="1"/>
        <v>0</v>
      </c>
      <c r="R169" s="166">
        <f ca="1"/>
        <v>8.0787497948892062E-3</v>
      </c>
      <c r="S169" s="166">
        <f ca="1"/>
        <v>0</v>
      </c>
      <c r="T169" s="166">
        <f ca="1"/>
        <v>1.9681551663705332E-2</v>
      </c>
      <c r="U169" s="166">
        <f ca="1"/>
        <v>3.6525349335665425E-2</v>
      </c>
      <c r="V169" s="140">
        <f ca="1"/>
        <v>6.4096899027013543E-2</v>
      </c>
      <c r="W169" s="139">
        <f ca="1"/>
        <v>0</v>
      </c>
      <c r="X169" s="166">
        <f ca="1"/>
        <v>0</v>
      </c>
      <c r="Y169" s="166">
        <f ca="1"/>
        <v>9.6756360848093692E-4</v>
      </c>
      <c r="Z169" s="166">
        <f ca="1"/>
        <v>0</v>
      </c>
      <c r="AA169" s="166">
        <f ca="1"/>
        <v>8.5745864505069047E-3</v>
      </c>
      <c r="AB169" s="166">
        <f ca="1"/>
        <v>0</v>
      </c>
      <c r="AC169" s="166">
        <f ca="1"/>
        <v>2.0636523529492856E-2</v>
      </c>
      <c r="AD169" s="166">
        <f ca="1"/>
        <v>3.8303445550798676E-2</v>
      </c>
      <c r="AE169" s="140">
        <f ca="1"/>
        <v>6.7190017837057026E-2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.199999999999999" x14ac:dyDescent="0.2">
      <c r="A170" s="97">
        <f t="shared" ca="1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>
        <f t="array" aca="1" ref="N170:AE170" ca="1">IF(OR(B170="",NOT($J$2)),"",[3]!GetStripDefaultProbability(A170,B170,Parameter_Date,CDSRollDate,E170:M170,SpreadCurveMaturities,D170,C170,$J$4,$J$6))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1.3018142269859423E-3</v>
      </c>
      <c r="Q170" s="166">
        <f ca="1"/>
        <v>0</v>
      </c>
      <c r="R170" s="166">
        <f ca="1"/>
        <v>1.0448647395578936E-2</v>
      </c>
      <c r="S170" s="166">
        <f ca="1"/>
        <v>0</v>
      </c>
      <c r="T170" s="166">
        <f ca="1"/>
        <v>2.1127001686308766E-2</v>
      </c>
      <c r="U170" s="166">
        <f ca="1"/>
        <v>3.3724596318152611E-2</v>
      </c>
      <c r="V170" s="140">
        <f ca="1"/>
        <v>6.2905031813018986E-2</v>
      </c>
      <c r="W170" s="139">
        <f ca="1"/>
        <v>0</v>
      </c>
      <c r="X170" s="166">
        <f ca="1"/>
        <v>0</v>
      </c>
      <c r="Y170" s="166">
        <f ca="1"/>
        <v>1.4682500545684096E-3</v>
      </c>
      <c r="Z170" s="166">
        <f ca="1"/>
        <v>0</v>
      </c>
      <c r="AA170" s="166">
        <f ca="1"/>
        <v>1.0947750143693979E-2</v>
      </c>
      <c r="AB170" s="166">
        <f ca="1"/>
        <v>0</v>
      </c>
      <c r="AC170" s="166">
        <f ca="1"/>
        <v>2.2166547953403004E-2</v>
      </c>
      <c r="AD170" s="166">
        <f ca="1"/>
        <v>3.5378689522954976E-2</v>
      </c>
      <c r="AE170" s="140">
        <f ca="1"/>
        <v>6.5952527897533697E-2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.199999999999999" x14ac:dyDescent="0.2">
      <c r="A171" s="97">
        <f t="shared" ca="1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>
        <f t="array" aca="1" ref="N171:AE171" ca="1">IF(OR(B171="",NOT($J$2)),"",[3]!GetStripDefaultProbability(A171,B171,Parameter_Date,CDSRollDate,E171:M171,SpreadCurveMaturities,D171,C171,$J$4,$J$6))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1.7195195753378911E-3</v>
      </c>
      <c r="Q171" s="166">
        <f ca="1"/>
        <v>0</v>
      </c>
      <c r="R171" s="166">
        <f ca="1"/>
        <v>1.599682219309484E-2</v>
      </c>
      <c r="S171" s="166">
        <f ca="1"/>
        <v>0</v>
      </c>
      <c r="T171" s="166">
        <f ca="1"/>
        <v>4.2091886381380061E-2</v>
      </c>
      <c r="U171" s="166">
        <f ca="1"/>
        <v>7.2623938245857889E-2</v>
      </c>
      <c r="V171" s="140">
        <f ca="1"/>
        <v>0.12049405131891566</v>
      </c>
      <c r="W171" s="139">
        <f ca="1"/>
        <v>0</v>
      </c>
      <c r="X171" s="166">
        <f ca="1"/>
        <v>0</v>
      </c>
      <c r="Y171" s="166">
        <f ca="1"/>
        <v>1.8858857911606686E-3</v>
      </c>
      <c r="Z171" s="166">
        <f ca="1"/>
        <v>0</v>
      </c>
      <c r="AA171" s="166">
        <f ca="1"/>
        <v>1.6783595223711645E-2</v>
      </c>
      <c r="AB171" s="166">
        <f ca="1"/>
        <v>0</v>
      </c>
      <c r="AC171" s="166">
        <f ca="1"/>
        <v>4.4150067558629491E-2</v>
      </c>
      <c r="AD171" s="166">
        <f ca="1"/>
        <v>7.6137426393278473E-2</v>
      </c>
      <c r="AE171" s="140">
        <f ca="1"/>
        <v>0.12621819286502212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.199999999999999" x14ac:dyDescent="0.2">
      <c r="A172" s="97">
        <f t="shared" ca="1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>
        <f t="array" aca="1" ref="N172:AE172" ca="1">IF(OR(B172="",NOT($J$2)),"",[3]!GetStripDefaultProbability(A172,B172,Parameter_Date,CDSRollDate,E172:M172,SpreadCurveMaturities,D172,C172,$J$4,$J$6))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0.13976842551315916</v>
      </c>
      <c r="Q172" s="166">
        <f ca="1"/>
        <v>0</v>
      </c>
      <c r="R172" s="166">
        <f ca="1"/>
        <v>0.2259175363117476</v>
      </c>
      <c r="S172" s="166">
        <f ca="1"/>
        <v>0</v>
      </c>
      <c r="T172" s="166">
        <f ca="1"/>
        <v>0.26226451838136533</v>
      </c>
      <c r="U172" s="166">
        <f ca="1"/>
        <v>0.28801431875053118</v>
      </c>
      <c r="V172" s="140">
        <f ca="1"/>
        <v>0.34350288878851831</v>
      </c>
      <c r="W172" s="139">
        <f ca="1"/>
        <v>0</v>
      </c>
      <c r="X172" s="166">
        <f ca="1"/>
        <v>0</v>
      </c>
      <c r="Y172" s="166">
        <f ca="1"/>
        <v>0.14621937909182092</v>
      </c>
      <c r="Z172" s="166">
        <f ca="1"/>
        <v>0</v>
      </c>
      <c r="AA172" s="166">
        <f ca="1"/>
        <v>0.23541264264926798</v>
      </c>
      <c r="AB172" s="166">
        <f ca="1"/>
        <v>0</v>
      </c>
      <c r="AC172" s="166">
        <f ca="1"/>
        <v>0.27268634454284013</v>
      </c>
      <c r="AD172" s="166">
        <f ca="1"/>
        <v>0.29899955703958103</v>
      </c>
      <c r="AE172" s="140">
        <f ca="1"/>
        <v>0.35597039238752259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.199999999999999" x14ac:dyDescent="0.2">
      <c r="A173" s="97">
        <f t="shared" ca="1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>
        <f t="array" aca="1" ref="N173:AE173" ca="1">IF(OR(B173="",NOT($J$2)),"",[3]!GetStripDefaultProbability(A173,B173,Parameter_Date,CDSRollDate,E173:M173,SpreadCurveMaturities,D173,C173,$J$4,$J$6))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1.73185422804778E-3</v>
      </c>
      <c r="Q173" s="166">
        <f ca="1"/>
        <v>0</v>
      </c>
      <c r="R173" s="166">
        <f ca="1"/>
        <v>1.647806111415584E-2</v>
      </c>
      <c r="S173" s="166">
        <f ca="1"/>
        <v>0</v>
      </c>
      <c r="T173" s="166">
        <f ca="1"/>
        <v>3.9457388309688479E-2</v>
      </c>
      <c r="U173" s="166">
        <f ca="1"/>
        <v>7.1089424791324074E-2</v>
      </c>
      <c r="V173" s="140">
        <f ca="1"/>
        <v>0.12604929264049758</v>
      </c>
      <c r="W173" s="139">
        <f ca="1"/>
        <v>0</v>
      </c>
      <c r="X173" s="166">
        <f ca="1"/>
        <v>0</v>
      </c>
      <c r="Y173" s="166">
        <f ca="1"/>
        <v>1.8982183882574333E-3</v>
      </c>
      <c r="Z173" s="166">
        <f ca="1"/>
        <v>0</v>
      </c>
      <c r="AA173" s="166">
        <f ca="1"/>
        <v>1.7288506758485478E-2</v>
      </c>
      <c r="AB173" s="166">
        <f ca="1"/>
        <v>0</v>
      </c>
      <c r="AC173" s="166">
        <f ca="1"/>
        <v>4.1388284629494176E-2</v>
      </c>
      <c r="AD173" s="166">
        <f ca="1"/>
        <v>7.4530526670609221E-2</v>
      </c>
      <c r="AE173" s="140">
        <f ca="1"/>
        <v>0.13203846146271292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.199999999999999" x14ac:dyDescent="0.2">
      <c r="A174" s="97">
        <f t="shared" ca="1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>
        <f t="array" aca="1" ref="N174:AE174" ca="1">IF(OR(B174="",NOT($J$2)),"",[3]!GetStripDefaultProbability(A174,B174,Parameter_Date,CDSRollDate,E174:M174,SpreadCurveMaturities,D174,C174,$J$4,$J$6))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2.1264832855441007E-3</v>
      </c>
      <c r="Q174" s="166">
        <f ca="1"/>
        <v>0</v>
      </c>
      <c r="R174" s="166">
        <f ca="1"/>
        <v>1.4694691203995025E-2</v>
      </c>
      <c r="S174" s="166">
        <f ca="1"/>
        <v>0</v>
      </c>
      <c r="T174" s="166">
        <f ca="1"/>
        <v>4.0483376471241783E-2</v>
      </c>
      <c r="U174" s="166">
        <f ca="1"/>
        <v>7.6362411450651591E-2</v>
      </c>
      <c r="V174" s="140">
        <f ca="1"/>
        <v>0.12872814094994678</v>
      </c>
      <c r="W174" s="139">
        <f ca="1"/>
        <v>0</v>
      </c>
      <c r="X174" s="166">
        <f ca="1"/>
        <v>0</v>
      </c>
      <c r="Y174" s="166">
        <f ca="1"/>
        <v>2.2927816797388978E-3</v>
      </c>
      <c r="Z174" s="166">
        <f ca="1"/>
        <v>0</v>
      </c>
      <c r="AA174" s="166">
        <f ca="1"/>
        <v>1.5418956871639522E-2</v>
      </c>
      <c r="AB174" s="166">
        <f ca="1"/>
        <v>0</v>
      </c>
      <c r="AC174" s="166">
        <f ca="1"/>
        <v>4.2465723838712721E-2</v>
      </c>
      <c r="AD174" s="166">
        <f ca="1"/>
        <v>8.0056178560235169E-2</v>
      </c>
      <c r="AE174" s="140">
        <f ca="1"/>
        <v>0.13483640002246711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.199999999999999" x14ac:dyDescent="0.2">
      <c r="A175" s="97">
        <f t="shared" ca="1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>
        <f t="array" aca="1" ref="N175:AE175" ca="1">IF(OR(B175="",NOT($J$2)),"",[3]!GetStripDefaultProbability(A175,B175,Parameter_Date,CDSRollDate,E175:M175,SpreadCurveMaturities,D175,C175,$J$4,$J$6))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8.8746255445681932E-4</v>
      </c>
      <c r="Q175" s="166">
        <f ca="1"/>
        <v>0</v>
      </c>
      <c r="R175" s="166">
        <f ca="1"/>
        <v>1.1140519471740662E-2</v>
      </c>
      <c r="S175" s="166">
        <f ca="1"/>
        <v>0</v>
      </c>
      <c r="T175" s="166">
        <f ca="1"/>
        <v>2.5425060506319097E-2</v>
      </c>
      <c r="U175" s="166">
        <f ca="1"/>
        <v>4.683124821747886E-2</v>
      </c>
      <c r="V175" s="140">
        <f ca="1"/>
        <v>8.7614379463839764E-2</v>
      </c>
      <c r="W175" s="139">
        <f ca="1"/>
        <v>0</v>
      </c>
      <c r="X175" s="166">
        <f ca="1"/>
        <v>0</v>
      </c>
      <c r="Y175" s="166">
        <f ca="1"/>
        <v>1.0539674348974959E-3</v>
      </c>
      <c r="Z175" s="166">
        <f ca="1"/>
        <v>0</v>
      </c>
      <c r="AA175" s="166">
        <f ca="1"/>
        <v>1.1670653213361248E-2</v>
      </c>
      <c r="AB175" s="166">
        <f ca="1"/>
        <v>0</v>
      </c>
      <c r="AC175" s="166">
        <f ca="1"/>
        <v>2.6673925382315722E-2</v>
      </c>
      <c r="AD175" s="166">
        <f ca="1"/>
        <v>4.9119090629524687E-2</v>
      </c>
      <c r="AE175" s="140">
        <f ca="1"/>
        <v>9.1845145764597791E-2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.199999999999999" x14ac:dyDescent="0.2">
      <c r="A176" s="97">
        <f t="shared" ca="1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>
        <f t="array" aca="1" ref="N176:AE176" ca="1">IF(OR(B176="",NOT($J$2)),"",[3]!GetStripDefaultProbability(A176,B176,Parameter_Date,CDSRollDate,E176:M176,SpreadCurveMaturities,D176,C176,$J$4,$J$6))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2.693491453031438E-3</v>
      </c>
      <c r="Q176" s="166">
        <f ca="1"/>
        <v>0</v>
      </c>
      <c r="R176" s="166">
        <f ca="1"/>
        <v>1.5237382663066623E-2</v>
      </c>
      <c r="S176" s="166">
        <f ca="1"/>
        <v>0</v>
      </c>
      <c r="T176" s="166">
        <f ca="1"/>
        <v>3.9514034330711434E-2</v>
      </c>
      <c r="U176" s="166">
        <f ca="1"/>
        <v>6.7855662992722166E-2</v>
      </c>
      <c r="V176" s="140">
        <f ca="1"/>
        <v>0.12794766912298294</v>
      </c>
      <c r="W176" s="139">
        <f ca="1"/>
        <v>0</v>
      </c>
      <c r="X176" s="166">
        <f ca="1"/>
        <v>0</v>
      </c>
      <c r="Y176" s="166">
        <f ca="1"/>
        <v>2.8596953537578518E-3</v>
      </c>
      <c r="Z176" s="166">
        <f ca="1"/>
        <v>0</v>
      </c>
      <c r="AA176" s="166">
        <f ca="1"/>
        <v>1.5990405854754974E-2</v>
      </c>
      <c r="AB176" s="166">
        <f ca="1"/>
        <v>0</v>
      </c>
      <c r="AC176" s="166">
        <f ca="1"/>
        <v>4.1451265580603969E-2</v>
      </c>
      <c r="AD176" s="166">
        <f ca="1"/>
        <v>7.1147672714155008E-2</v>
      </c>
      <c r="AE176" s="140">
        <f ca="1"/>
        <v>0.13403519971193245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.199999999999999" x14ac:dyDescent="0.2">
      <c r="A177" s="97">
        <f t="shared" ca="1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>
        <f t="array" aca="1" ref="N177:AE177" ca="1">IF(OR(B177="",NOT($J$2)),"",[3]!GetStripDefaultProbability(A177,B177,Parameter_Date,CDSRollDate,E177:M177,SpreadCurveMaturities,D177,C177,$J$4,$J$6))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9.5094876995360789E-4</v>
      </c>
      <c r="Q177" s="166">
        <f ca="1"/>
        <v>0</v>
      </c>
      <c r="R177" s="166">
        <f ca="1"/>
        <v>9.3394486375369956E-3</v>
      </c>
      <c r="S177" s="166">
        <f ca="1"/>
        <v>0</v>
      </c>
      <c r="T177" s="166">
        <f ca="1"/>
        <v>2.2581482914178053E-2</v>
      </c>
      <c r="U177" s="166">
        <f ca="1"/>
        <v>3.9848116965432445E-2</v>
      </c>
      <c r="V177" s="140">
        <f ca="1"/>
        <v>6.770745205946116E-2</v>
      </c>
      <c r="W177" s="139">
        <f ca="1"/>
        <v>0</v>
      </c>
      <c r="X177" s="166">
        <f ca="1"/>
        <v>0</v>
      </c>
      <c r="Y177" s="166">
        <f ca="1"/>
        <v>1.1174430702367566E-3</v>
      </c>
      <c r="Z177" s="166">
        <f ca="1"/>
        <v>0</v>
      </c>
      <c r="AA177" s="166">
        <f ca="1"/>
        <v>9.8346551012631345E-3</v>
      </c>
      <c r="AB177" s="166">
        <f ca="1"/>
        <v>0</v>
      </c>
      <c r="AC177" s="166">
        <f ca="1"/>
        <v>2.3685852861382917E-2</v>
      </c>
      <c r="AD177" s="166">
        <f ca="1"/>
        <v>4.1793822884973464E-2</v>
      </c>
      <c r="AE177" s="140">
        <f ca="1"/>
        <v>7.0975737476400624E-2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.199999999999999" x14ac:dyDescent="0.2">
      <c r="A178" s="97">
        <f t="shared" ca="1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>
        <f t="array" aca="1" ref="N178:AE178" ca="1">IF(OR(B178="",NOT($J$2)),"",[3]!GetStripDefaultProbability(A178,B178,Parameter_Date,CDSRollDate,E178:M178,SpreadCurveMaturities,D178,C178,$J$4,$J$6))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1.093778114929278E-3</v>
      </c>
      <c r="Q178" s="166">
        <f ca="1"/>
        <v>0</v>
      </c>
      <c r="R178" s="166">
        <f ca="1"/>
        <v>8.1042277278565722E-3</v>
      </c>
      <c r="S178" s="166">
        <f ca="1"/>
        <v>0</v>
      </c>
      <c r="T178" s="166">
        <f ca="1"/>
        <v>1.8779436308452024E-2</v>
      </c>
      <c r="U178" s="166">
        <f ca="1"/>
        <v>3.4603166415729913E-2</v>
      </c>
      <c r="V178" s="140">
        <f ca="1"/>
        <v>6.4287281946628472E-2</v>
      </c>
      <c r="W178" s="139">
        <f ca="1"/>
        <v>0</v>
      </c>
      <c r="X178" s="166">
        <f ca="1"/>
        <v>0</v>
      </c>
      <c r="Y178" s="166">
        <f ca="1"/>
        <v>1.2602486123300949E-3</v>
      </c>
      <c r="Z178" s="166">
        <f ca="1"/>
        <v>0</v>
      </c>
      <c r="AA178" s="166">
        <f ca="1"/>
        <v>8.6000516476844036E-3</v>
      </c>
      <c r="AB178" s="166">
        <f ca="1"/>
        <v>0</v>
      </c>
      <c r="AC178" s="166">
        <f ca="1"/>
        <v>1.9691304919118524E-2</v>
      </c>
      <c r="AD178" s="166">
        <f ca="1"/>
        <v>3.6288998862882282E-2</v>
      </c>
      <c r="AE178" s="140">
        <f ca="1"/>
        <v>6.7391017437940182E-2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.199999999999999" x14ac:dyDescent="0.2">
      <c r="A179" s="97">
        <f t="shared" ca="1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>
        <f t="array" aca="1" ref="N179:AE179" ca="1">IF(OR(B179="",NOT($J$2)),"",[3]!GetStripDefaultProbability(A179,B179,Parameter_Date,CDSRollDate,E179:M179,SpreadCurveMaturities,D179,C179,$J$4,$J$6))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1.8534305702412324E-3</v>
      </c>
      <c r="Q179" s="166">
        <f ca="1"/>
        <v>0</v>
      </c>
      <c r="R179" s="166">
        <f ca="1"/>
        <v>1.1343985853858207E-2</v>
      </c>
      <c r="S179" s="166">
        <f ca="1"/>
        <v>0</v>
      </c>
      <c r="T179" s="166">
        <f ca="1"/>
        <v>2.7927282228544903E-2</v>
      </c>
      <c r="U179" s="166">
        <f ca="1"/>
        <v>5.2007944877927703E-2</v>
      </c>
      <c r="V179" s="140">
        <f ca="1"/>
        <v>8.988575724206338E-2</v>
      </c>
      <c r="W179" s="139">
        <f ca="1"/>
        <v>0</v>
      </c>
      <c r="X179" s="166">
        <f ca="1"/>
        <v>0</v>
      </c>
      <c r="Y179" s="166">
        <f ca="1"/>
        <v>2.0197744694558928E-3</v>
      </c>
      <c r="Z179" s="166">
        <f ca="1"/>
        <v>0</v>
      </c>
      <c r="AA179" s="166">
        <f ca="1"/>
        <v>1.1887103098538021E-2</v>
      </c>
      <c r="AB179" s="166">
        <f ca="1"/>
        <v>0</v>
      </c>
      <c r="AC179" s="166">
        <f ca="1"/>
        <v>2.9301713498858017E-2</v>
      </c>
      <c r="AD179" s="166">
        <f ca="1"/>
        <v>5.4547939016912461E-2</v>
      </c>
      <c r="AE179" s="140">
        <f ca="1"/>
        <v>9.4194407730281204E-2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.199999999999999" x14ac:dyDescent="0.2">
      <c r="A180" s="97">
        <f t="shared" ca="1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>
        <f t="array" aca="1" ref="N180:AE180" ca="1">IF(OR(B180="",NOT($J$2)),"",[3]!GetStripDefaultProbability(A180,B180,Parameter_Date,CDSRollDate,E180:M180,SpreadCurveMaturities,D180,C180,$J$4,$J$6))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6.4406162687091761E-4</v>
      </c>
      <c r="Q180" s="166">
        <f ca="1"/>
        <v>0</v>
      </c>
      <c r="R180" s="166">
        <f ca="1"/>
        <v>1.2386505572852258E-2</v>
      </c>
      <c r="S180" s="166">
        <f ca="1"/>
        <v>0</v>
      </c>
      <c r="T180" s="166">
        <f ca="1"/>
        <v>2.6181765060021234E-2</v>
      </c>
      <c r="U180" s="166">
        <f ca="1"/>
        <v>4.7398543860498132E-2</v>
      </c>
      <c r="V180" s="140">
        <f ca="1"/>
        <v>8.5821815640042209E-2</v>
      </c>
      <c r="W180" s="139">
        <f ca="1"/>
        <v>0</v>
      </c>
      <c r="X180" s="166">
        <f ca="1"/>
        <v>0</v>
      </c>
      <c r="Y180" s="166">
        <f ca="1"/>
        <v>8.1060707075764071E-4</v>
      </c>
      <c r="Z180" s="166">
        <f ca="1"/>
        <v>0</v>
      </c>
      <c r="AA180" s="166">
        <f ca="1"/>
        <v>1.2974207573210439E-2</v>
      </c>
      <c r="AB180" s="166">
        <f ca="1"/>
        <v>0</v>
      </c>
      <c r="AC180" s="166">
        <f ca="1"/>
        <v>2.7466835685350355E-2</v>
      </c>
      <c r="AD180" s="166">
        <f ca="1"/>
        <v>4.9712188645613442E-2</v>
      </c>
      <c r="AE180" s="140">
        <f ca="1"/>
        <v>8.993845641043352E-2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.199999999999999" x14ac:dyDescent="0.2">
      <c r="A181" s="97">
        <f t="shared" ca="1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>
        <f t="array" aca="1" ref="N181:AE181" ca="1">IF(OR(B181="",NOT($J$2)),"",[3]!GetStripDefaultProbability(A181,B181,Parameter_Date,CDSRollDate,E181:M181,SpreadCurveMaturities,D181,C181,$J$4,$J$6))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2.417070880986194E-3</v>
      </c>
      <c r="Q181" s="166">
        <f ca="1"/>
        <v>0</v>
      </c>
      <c r="R181" s="166">
        <f ca="1"/>
        <v>9.9494129624126959E-3</v>
      </c>
      <c r="S181" s="166">
        <f ca="1"/>
        <v>0</v>
      </c>
      <c r="T181" s="166">
        <f ca="1"/>
        <v>2.8894727388083075E-2</v>
      </c>
      <c r="U181" s="166">
        <f ca="1"/>
        <v>5.4043641895201056E-2</v>
      </c>
      <c r="V181" s="140">
        <f ca="1"/>
        <v>9.2385589408752633E-2</v>
      </c>
      <c r="W181" s="139">
        <f ca="1"/>
        <v>0</v>
      </c>
      <c r="X181" s="166">
        <f ca="1"/>
        <v>0</v>
      </c>
      <c r="Y181" s="166">
        <f ca="1"/>
        <v>2.583320847954762E-3</v>
      </c>
      <c r="Z181" s="166">
        <f ca="1"/>
        <v>0</v>
      </c>
      <c r="AA181" s="166">
        <f ca="1"/>
        <v>1.0444314520212328E-2</v>
      </c>
      <c r="AB181" s="166">
        <f ca="1"/>
        <v>0</v>
      </c>
      <c r="AC181" s="166">
        <f ca="1"/>
        <v>3.0316550302912915E-2</v>
      </c>
      <c r="AD181" s="166">
        <f ca="1"/>
        <v>5.6682318836460577E-2</v>
      </c>
      <c r="AE181" s="140">
        <f ca="1"/>
        <v>9.6810355963431793E-2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.199999999999999" x14ac:dyDescent="0.2">
      <c r="A182" s="97">
        <f t="shared" ca="1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>
        <f t="array" aca="1" ref="N182:AE182" ca="1">IF(OR(B182="",NOT($J$2)),"",[3]!GetStripDefaultProbability(A182,B182,Parameter_Date,CDSRollDate,E182:M182,SpreadCurveMaturities,D182,C182,$J$4,$J$6))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7.7811579577946599E-4</v>
      </c>
      <c r="Q182" s="166">
        <f ca="1"/>
        <v>0</v>
      </c>
      <c r="R182" s="166">
        <f ca="1"/>
        <v>7.5171810867102895E-3</v>
      </c>
      <c r="S182" s="166">
        <f ca="1"/>
        <v>0</v>
      </c>
      <c r="T182" s="166">
        <f ca="1"/>
        <v>1.7567347632593155E-2</v>
      </c>
      <c r="U182" s="166">
        <f ca="1"/>
        <v>3.3811622035933908E-2</v>
      </c>
      <c r="V182" s="140">
        <f ca="1"/>
        <v>6.4355550376990256E-2</v>
      </c>
      <c r="W182" s="139">
        <f ca="1"/>
        <v>0</v>
      </c>
      <c r="X182" s="166">
        <f ca="1"/>
        <v>0</v>
      </c>
      <c r="Y182" s="166">
        <f ca="1"/>
        <v>9.4463889915497035E-4</v>
      </c>
      <c r="Z182" s="166">
        <f ca="1"/>
        <v>0</v>
      </c>
      <c r="AA182" s="166">
        <f ca="1"/>
        <v>8.0132984565141063E-3</v>
      </c>
      <c r="AB182" s="166">
        <f ca="1"/>
        <v>0</v>
      </c>
      <c r="AC182" s="166">
        <f ca="1"/>
        <v>1.8396743580625596E-2</v>
      </c>
      <c r="AD182" s="166">
        <f ca="1"/>
        <v>3.5457239723444056E-2</v>
      </c>
      <c r="AE182" s="140">
        <f ca="1"/>
        <v>6.7461654948826388E-2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.199999999999999" x14ac:dyDescent="0.2">
      <c r="A183" s="97">
        <f t="shared" ca="1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>
        <f t="array" aca="1" ref="N183:AE183" ca="1">IF(OR(B183="",NOT($J$2)),"",[3]!GetStripDefaultProbability(A183,B183,Parameter_Date,CDSRollDate,E183:M183,SpreadCurveMaturities,D183,C183,$J$4,$J$6))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1.3511724156507476E-3</v>
      </c>
      <c r="Q183" s="166">
        <f ca="1"/>
        <v>0</v>
      </c>
      <c r="R183" s="166">
        <f ca="1"/>
        <v>1.2972560022911472E-2</v>
      </c>
      <c r="S183" s="166">
        <f ca="1"/>
        <v>0</v>
      </c>
      <c r="T183" s="166">
        <f ca="1"/>
        <v>2.779117227543193E-2</v>
      </c>
      <c r="U183" s="166">
        <f ca="1"/>
        <v>5.14366102131808E-2</v>
      </c>
      <c r="V183" s="140">
        <f ca="1"/>
        <v>8.9290235484524749E-2</v>
      </c>
      <c r="W183" s="139">
        <f ca="1"/>
        <v>0</v>
      </c>
      <c r="X183" s="166">
        <f ca="1"/>
        <v>0</v>
      </c>
      <c r="Y183" s="166">
        <f ca="1"/>
        <v>1.5176000175608495E-3</v>
      </c>
      <c r="Z183" s="166">
        <f ca="1"/>
        <v>0</v>
      </c>
      <c r="AA183" s="166">
        <f ca="1"/>
        <v>1.3609224371953443E-2</v>
      </c>
      <c r="AB183" s="166">
        <f ca="1"/>
        <v>0</v>
      </c>
      <c r="AC183" s="166">
        <f ca="1"/>
        <v>2.9155176990585785E-2</v>
      </c>
      <c r="AD183" s="166">
        <f ca="1"/>
        <v>5.3944419538178523E-2</v>
      </c>
      <c r="AE183" s="140">
        <f ca="1"/>
        <v>9.3566277309887425E-2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.199999999999999" x14ac:dyDescent="0.2">
      <c r="A184" s="97">
        <f t="shared" ca="1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>
        <f t="array" aca="1" ref="N184:AE184" ca="1">IF(OR(B184="",NOT($J$2)),"",[3]!GetStripDefaultProbability(A184,B184,Parameter_Date,CDSRollDate,E184:M184,SpreadCurveMaturities,D184,C184,$J$4,$J$6))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2.9856751746529797E-3</v>
      </c>
      <c r="Q184" s="166">
        <f ca="1"/>
        <v>0</v>
      </c>
      <c r="R184" s="166">
        <f ca="1"/>
        <v>2.2333046289561342E-2</v>
      </c>
      <c r="S184" s="166">
        <f ca="1"/>
        <v>0</v>
      </c>
      <c r="T184" s="166">
        <f ca="1"/>
        <v>6.3469258624754943E-2</v>
      </c>
      <c r="U184" s="166">
        <f ca="1"/>
        <v>0.11472137999417831</v>
      </c>
      <c r="V184" s="140">
        <f ca="1"/>
        <v>0.21573720123070217</v>
      </c>
      <c r="W184" s="139">
        <f ca="1"/>
        <v>0</v>
      </c>
      <c r="X184" s="166">
        <f ca="1"/>
        <v>0</v>
      </c>
      <c r="Y184" s="166">
        <f ca="1"/>
        <v>3.1518303821533866E-3</v>
      </c>
      <c r="Z184" s="166">
        <f ca="1"/>
        <v>0</v>
      </c>
      <c r="AA184" s="166">
        <f ca="1"/>
        <v>2.3434646973693019E-2</v>
      </c>
      <c r="AB184" s="166">
        <f ca="1"/>
        <v>0</v>
      </c>
      <c r="AC184" s="166">
        <f ca="1"/>
        <v>6.6549229203954896E-2</v>
      </c>
      <c r="AD184" s="166">
        <f ca="1"/>
        <v>0.12021424752820598</v>
      </c>
      <c r="AE184" s="140">
        <f ca="1"/>
        <v>0.2256530347817296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.199999999999999" x14ac:dyDescent="0.2">
      <c r="A185" s="97">
        <f t="shared" ca="1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>
        <f t="array" aca="1" ref="N185:AE185" ca="1">IF(OR(B185="",NOT($J$2)),"",[3]!GetStripDefaultProbability(A185,B185,Parameter_Date,CDSRollDate,E185:M185,SpreadCurveMaturities,D185,C185,$J$4,$J$6))</f>
        <v>0</v>
      </c>
      <c r="O185" s="166">
        <f ca="1"/>
        <v>5.224693876556552E-4</v>
      </c>
      <c r="P185" s="166">
        <f ca="1"/>
        <v>1.2380186773914836E-3</v>
      </c>
      <c r="Q185" s="166">
        <f ca="1"/>
        <v>3.8877523192236696E-3</v>
      </c>
      <c r="R185" s="166">
        <f ca="1"/>
        <v>8.0011224439613393E-3</v>
      </c>
      <c r="S185" s="166">
        <f ca="1"/>
        <v>0</v>
      </c>
      <c r="T185" s="166">
        <f ca="1"/>
        <v>2.0616975307399921E-2</v>
      </c>
      <c r="U185" s="166">
        <f ca="1"/>
        <v>3.2080441079680777E-2</v>
      </c>
      <c r="V185" s="140">
        <f ca="1"/>
        <v>5.3267601899139483E-2</v>
      </c>
      <c r="W185" s="139">
        <f ca="1"/>
        <v>0</v>
      </c>
      <c r="X185" s="166">
        <f ca="1"/>
        <v>6.1573817274318543E-4</v>
      </c>
      <c r="Y185" s="166">
        <f ca="1"/>
        <v>1.4044651366784677E-3</v>
      </c>
      <c r="Z185" s="166">
        <f ca="1"/>
        <v>4.2197344016952076E-3</v>
      </c>
      <c r="AA185" s="166">
        <f ca="1"/>
        <v>8.49699790354419E-3</v>
      </c>
      <c r="AB185" s="166">
        <f ca="1"/>
        <v>0</v>
      </c>
      <c r="AC185" s="166">
        <f ca="1"/>
        <v>2.1617008133154592E-2</v>
      </c>
      <c r="AD185" s="166">
        <f ca="1"/>
        <v>3.3640741218264325E-2</v>
      </c>
      <c r="AE185" s="140">
        <f ca="1"/>
        <v>5.5843487913788237E-2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.199999999999999" x14ac:dyDescent="0.2">
      <c r="A186" s="97">
        <f t="shared" ca="1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>
        <f t="array" aca="1" ref="N186:AE186" ca="1">IF(OR(B186="",NOT($J$2)),"",[3]!GetStripDefaultProbability(A186,B186,Parameter_Date,CDSRollDate,E186:M186,SpreadCurveMaturities,D186,C186,$J$4,$J$6))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6.2256785415787386E-3</v>
      </c>
      <c r="Q186" s="166">
        <f ca="1"/>
        <v>0</v>
      </c>
      <c r="R186" s="166">
        <f ca="1"/>
        <v>3.2781020951689555E-2</v>
      </c>
      <c r="S186" s="166">
        <f ca="1"/>
        <v>0</v>
      </c>
      <c r="T186" s="166">
        <f ca="1"/>
        <v>9.0054597788033375E-2</v>
      </c>
      <c r="U186" s="166">
        <f ca="1"/>
        <v>0.14328286493325737</v>
      </c>
      <c r="V186" s="140">
        <f ca="1"/>
        <v>0.23225296507603732</v>
      </c>
      <c r="W186" s="139">
        <f ca="1"/>
        <v>0</v>
      </c>
      <c r="X186" s="166">
        <f ca="1"/>
        <v>0</v>
      </c>
      <c r="Y186" s="166">
        <f ca="1"/>
        <v>6.5357652656882204E-3</v>
      </c>
      <c r="Z186" s="166">
        <f ca="1"/>
        <v>0</v>
      </c>
      <c r="AA186" s="166">
        <f ca="1"/>
        <v>3.4389383351140612E-2</v>
      </c>
      <c r="AB186" s="166">
        <f ca="1"/>
        <v>0</v>
      </c>
      <c r="AC186" s="166">
        <f ca="1"/>
        <v>9.4404055562463673E-2</v>
      </c>
      <c r="AD186" s="166">
        <f ca="1"/>
        <v>0.15002401633911666</v>
      </c>
      <c r="AE186" s="140">
        <f ca="1"/>
        <v>0.24269636836567821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.199999999999999" x14ac:dyDescent="0.2">
      <c r="A187" s="97">
        <f t="shared" ca="1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>
        <f t="array" aca="1" ref="N187:AE187" ca="1">IF(OR(B187="",NOT($J$2)),"",[3]!GetStripDefaultProbability(A187,B187,Parameter_Date,CDSRollDate,E187:M187,SpreadCurveMaturities,D187,C187,$J$4,$J$6))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1.8657635812646678E-3</v>
      </c>
      <c r="Q187" s="166">
        <f ca="1"/>
        <v>0</v>
      </c>
      <c r="R187" s="166">
        <f ca="1"/>
        <v>1.0073610129630928E-2</v>
      </c>
      <c r="S187" s="166">
        <f ca="1"/>
        <v>0</v>
      </c>
      <c r="T187" s="166">
        <f ca="1"/>
        <v>2.2426278143713119E-2</v>
      </c>
      <c r="U187" s="166">
        <f ca="1"/>
        <v>3.3076526320759969E-2</v>
      </c>
      <c r="V187" s="140">
        <f ca="1"/>
        <v>5.4545704190132605E-2</v>
      </c>
      <c r="W187" s="139">
        <f ca="1"/>
        <v>0</v>
      </c>
      <c r="X187" s="166">
        <f ca="1"/>
        <v>0</v>
      </c>
      <c r="Y187" s="166">
        <f ca="1"/>
        <v>2.032105425139874E-3</v>
      </c>
      <c r="Z187" s="166">
        <f ca="1"/>
        <v>0</v>
      </c>
      <c r="AA187" s="166">
        <f ca="1"/>
        <v>1.0568449604425711E-2</v>
      </c>
      <c r="AB187" s="166">
        <f ca="1"/>
        <v>0</v>
      </c>
      <c r="AC187" s="166">
        <f ca="1"/>
        <v>2.3530269608717069E-2</v>
      </c>
      <c r="AD187" s="166">
        <f ca="1"/>
        <v>3.4699421146230147E-2</v>
      </c>
      <c r="AE187" s="140">
        <f ca="1"/>
        <v>5.7195485313823013E-2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.199999999999999" x14ac:dyDescent="0.2">
      <c r="A188" s="97">
        <f t="shared" ca="1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>
        <f t="array" aca="1" ref="N188:AE188" ca="1">IF(OR(B188="",NOT($J$2)),"",[3]!GetStripDefaultProbability(A188,B188,Parameter_Date,CDSRollDate,E188:M188,SpreadCurveMaturities,D188,C188,$J$4,$J$6))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2.1264832855441007E-3</v>
      </c>
      <c r="Q188" s="166">
        <f ca="1"/>
        <v>0</v>
      </c>
      <c r="R188" s="166">
        <f ca="1"/>
        <v>1.5664703390158685E-2</v>
      </c>
      <c r="S188" s="166">
        <f ca="1"/>
        <v>0</v>
      </c>
      <c r="T188" s="166">
        <f ca="1"/>
        <v>4.166573089233272E-2</v>
      </c>
      <c r="U188" s="166">
        <f ca="1"/>
        <v>7.0003716570514407E-2</v>
      </c>
      <c r="V188" s="140">
        <f ca="1"/>
        <v>0.11603251398642789</v>
      </c>
      <c r="W188" s="139">
        <f ca="1"/>
        <v>0</v>
      </c>
      <c r="X188" s="166">
        <f ca="1"/>
        <v>0</v>
      </c>
      <c r="Y188" s="166">
        <f ca="1"/>
        <v>2.2927816797388978E-3</v>
      </c>
      <c r="Z188" s="166">
        <f ca="1"/>
        <v>0</v>
      </c>
      <c r="AA188" s="166">
        <f ca="1"/>
        <v>1.6436656055372811E-2</v>
      </c>
      <c r="AB188" s="166">
        <f ca="1"/>
        <v>0</v>
      </c>
      <c r="AC188" s="166">
        <f ca="1"/>
        <v>4.3704816123267154E-2</v>
      </c>
      <c r="AD188" s="166">
        <f ca="1"/>
        <v>7.3394745421952123E-2</v>
      </c>
      <c r="AE188" s="140">
        <f ca="1"/>
        <v>0.12155413550021565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.199999999999999" x14ac:dyDescent="0.2">
      <c r="A189" s="97">
        <f t="shared" ca="1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>
        <f t="array" aca="1" ref="N189:AE189" ca="1">IF(OR(B189="",NOT($J$2)),"",[3]!GetStripDefaultProbability(A189,B189,Parameter_Date,CDSRollDate,E189:M189,SpreadCurveMaturities,D189,C189,$J$4,$J$6))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4.6649639564133594E-3</v>
      </c>
      <c r="Q189" s="166">
        <f ca="1"/>
        <v>0</v>
      </c>
      <c r="R189" s="166">
        <f ca="1"/>
        <v>2.488290584799624E-2</v>
      </c>
      <c r="S189" s="166">
        <f ca="1"/>
        <v>0</v>
      </c>
      <c r="T189" s="166">
        <f ca="1"/>
        <v>6.214686717931861E-2</v>
      </c>
      <c r="U189" s="166">
        <f ca="1"/>
        <v>9.9265992137743564E-2</v>
      </c>
      <c r="V189" s="140">
        <f ca="1"/>
        <v>0.15703751968702018</v>
      </c>
      <c r="W189" s="139">
        <f ca="1"/>
        <v>0</v>
      </c>
      <c r="X189" s="166">
        <f ca="1"/>
        <v>0</v>
      </c>
      <c r="Y189" s="166">
        <f ca="1"/>
        <v>4.8846599157758019E-3</v>
      </c>
      <c r="Z189" s="166">
        <f ca="1"/>
        <v>0</v>
      </c>
      <c r="AA189" s="166">
        <f ca="1"/>
        <v>2.6110664206877576E-2</v>
      </c>
      <c r="AB189" s="166">
        <f ca="1"/>
        <v>0</v>
      </c>
      <c r="AC189" s="166">
        <f ca="1"/>
        <v>6.5163953904289418E-2</v>
      </c>
      <c r="AD189" s="166">
        <f ca="1"/>
        <v>0.10401035396606595</v>
      </c>
      <c r="AE189" s="140">
        <f ca="1"/>
        <v>0.16435364176159628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.199999999999999" x14ac:dyDescent="0.2">
      <c r="A190" s="97">
        <f t="shared" ca="1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>
        <f t="array" aca="1" ref="N190:AE190" ca="1">IF(OR(B190="",NOT($J$2)),"",[3]!GetStripDefaultProbability(A190,B190,Parameter_Date,CDSRollDate,E190:M190,SpreadCurveMaturities,D190,C190,$J$4,$J$6))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2.557931621356424E-3</v>
      </c>
      <c r="Q190" s="166">
        <f ca="1"/>
        <v>0</v>
      </c>
      <c r="R190" s="166">
        <f ca="1"/>
        <v>2.2651267400424557E-2</v>
      </c>
      <c r="S190" s="166">
        <f ca="1"/>
        <v>0</v>
      </c>
      <c r="T190" s="166">
        <f ca="1"/>
        <v>5.8359095054985488E-2</v>
      </c>
      <c r="U190" s="166">
        <f ca="1"/>
        <v>9.6954258228641788E-2</v>
      </c>
      <c r="V190" s="140">
        <f ca="1"/>
        <v>0.16685463080299445</v>
      </c>
      <c r="W190" s="139">
        <f ca="1"/>
        <v>0</v>
      </c>
      <c r="X190" s="166">
        <f ca="1"/>
        <v>0</v>
      </c>
      <c r="Y190" s="166">
        <f ca="1"/>
        <v>2.7241581134751502E-3</v>
      </c>
      <c r="Z190" s="166">
        <f ca="1"/>
        <v>0</v>
      </c>
      <c r="AA190" s="166">
        <f ca="1"/>
        <v>2.376677254111681E-2</v>
      </c>
      <c r="AB190" s="166">
        <f ca="1"/>
        <v>0</v>
      </c>
      <c r="AC190" s="166">
        <f ca="1"/>
        <v>6.1195656124102826E-2</v>
      </c>
      <c r="AD190" s="166">
        <f ca="1"/>
        <v>0.10159538528049972</v>
      </c>
      <c r="AE190" s="140">
        <f ca="1"/>
        <v>0.17463318992641796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.199999999999999" x14ac:dyDescent="0.2">
      <c r="A191" s="97">
        <f t="shared" ca="1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>
        <f t="array" aca="1" ref="N191:AE191" ca="1">IF(OR(B191="",NOT($J$2)),"",[3]!GetStripDefaultProbability(A191,B191,Parameter_Date,CDSRollDate,E191:M191,SpreadCurveMaturities,D191,C191,$J$4,$J$6))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2.9768757001609192E-3</v>
      </c>
      <c r="Q191" s="166">
        <f ca="1"/>
        <v>0</v>
      </c>
      <c r="R191" s="166">
        <f ca="1"/>
        <v>1.3628283040047262E-2</v>
      </c>
      <c r="S191" s="166">
        <f ca="1"/>
        <v>0</v>
      </c>
      <c r="T191" s="166">
        <f ca="1"/>
        <v>2.8011614974875254E-2</v>
      </c>
      <c r="U191" s="166">
        <f ca="1"/>
        <v>3.9282911278835764E-2</v>
      </c>
      <c r="V191" s="140">
        <f ca="1"/>
        <v>5.8128915981976892E-2</v>
      </c>
      <c r="W191" s="139">
        <f ca="1"/>
        <v>0</v>
      </c>
      <c r="X191" s="166">
        <f ca="1"/>
        <v>0</v>
      </c>
      <c r="Y191" s="166">
        <f ca="1"/>
        <v>3.1430323741244992E-3</v>
      </c>
      <c r="Z191" s="166">
        <f ca="1"/>
        <v>0</v>
      </c>
      <c r="AA191" s="166">
        <f ca="1"/>
        <v>1.4303147143505113E-2</v>
      </c>
      <c r="AB191" s="166">
        <f ca="1"/>
        <v>0</v>
      </c>
      <c r="AC191" s="166">
        <f ca="1"/>
        <v>2.9391636066878002E-2</v>
      </c>
      <c r="AD191" s="166">
        <f ca="1"/>
        <v>4.1207750996191672E-2</v>
      </c>
      <c r="AE191" s="140">
        <f ca="1"/>
        <v>6.094616559255539E-2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.199999999999999" x14ac:dyDescent="0.2">
      <c r="A192" s="97">
        <f t="shared" ca="1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>
        <f t="array" aca="1" ref="N192:AE192" ca="1">IF(OR(B192="",NOT($J$2)),"",[3]!GetStripDefaultProbability(A192,B192,Parameter_Date,CDSRollDate,E192:M192,SpreadCurveMaturities,D192,C192,$J$4,$J$6))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9.1038859420722318E-4</v>
      </c>
      <c r="Q192" s="166">
        <f ca="1"/>
        <v>0</v>
      </c>
      <c r="R192" s="166">
        <f ca="1"/>
        <v>9.8633393729474772E-3</v>
      </c>
      <c r="S192" s="166">
        <f ca="1"/>
        <v>0</v>
      </c>
      <c r="T192" s="166">
        <f ca="1"/>
        <v>2.382513656788432E-2</v>
      </c>
      <c r="U192" s="166">
        <f ca="1"/>
        <v>4.3346061655410439E-2</v>
      </c>
      <c r="V192" s="140">
        <f ca="1"/>
        <v>8.0982744663969042E-2</v>
      </c>
      <c r="W192" s="139">
        <f ca="1"/>
        <v>0</v>
      </c>
      <c r="X192" s="166">
        <f ca="1"/>
        <v>0</v>
      </c>
      <c r="Y192" s="166">
        <f ca="1"/>
        <v>1.0768896539856687E-3</v>
      </c>
      <c r="Z192" s="166">
        <f ca="1"/>
        <v>0</v>
      </c>
      <c r="AA192" s="166">
        <f ca="1"/>
        <v>1.035828395680638E-2</v>
      </c>
      <c r="AB192" s="166">
        <f ca="1"/>
        <v>0</v>
      </c>
      <c r="AC192" s="166">
        <f ca="1"/>
        <v>2.49930205115938E-2</v>
      </c>
      <c r="AD192" s="166">
        <f ca="1"/>
        <v>4.546356143481145E-2</v>
      </c>
      <c r="AE192" s="140">
        <f ca="1"/>
        <v>8.4875740242893349E-2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.199999999999999" x14ac:dyDescent="0.2">
      <c r="A193" s="97">
        <f t="shared" ca="1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>
        <f t="array" aca="1" ref="N193:AE193" ca="1">IF(OR(B193="",NOT($J$2)),"",[3]!GetStripDefaultProbability(A193,B193,Parameter_Date,CDSRollDate,E193:M193,SpreadCurveMaturities,D193,C193,$J$4,$J$6))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8.4513618602499729E-4</v>
      </c>
      <c r="Q193" s="166">
        <f ca="1"/>
        <v>0</v>
      </c>
      <c r="R193" s="166">
        <f ca="1"/>
        <v>7.0062548964492377E-3</v>
      </c>
      <c r="S193" s="166">
        <f ca="1"/>
        <v>0</v>
      </c>
      <c r="T193" s="166">
        <f ca="1"/>
        <v>1.804944983137502E-2</v>
      </c>
      <c r="U193" s="166">
        <f ca="1"/>
        <v>3.5730103725092555E-2</v>
      </c>
      <c r="V193" s="140">
        <f ca="1"/>
        <v>7.0739626944078093E-2</v>
      </c>
      <c r="W193" s="139">
        <f ca="1"/>
        <v>0</v>
      </c>
      <c r="X193" s="166">
        <f ca="1"/>
        <v>0</v>
      </c>
      <c r="Y193" s="166">
        <f ca="1"/>
        <v>1.0116481202604444E-3</v>
      </c>
      <c r="Z193" s="166">
        <f ca="1"/>
        <v>0</v>
      </c>
      <c r="AA193" s="166">
        <f ca="1"/>
        <v>7.5026276654448498E-3</v>
      </c>
      <c r="AB193" s="166">
        <f ca="1"/>
        <v>0</v>
      </c>
      <c r="AC193" s="166">
        <f ca="1"/>
        <v>1.891885655515313E-2</v>
      </c>
      <c r="AD193" s="166">
        <f ca="1"/>
        <v>3.7464749086311366E-2</v>
      </c>
      <c r="AE193" s="140">
        <f ca="1"/>
        <v>7.4142781165197125E-2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.199999999999999" x14ac:dyDescent="0.2">
      <c r="A194" s="97">
        <f t="shared" ca="1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>
        <f t="array" aca="1" ref="N194:AE194" ca="1">IF(OR(B194="",NOT($J$2)),"",[3]!GetStripDefaultProbability(A194,B194,Parameter_Date,CDSRollDate,E194:M194,SpreadCurveMaturities,D194,C194,$J$4,$J$6))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8.4513618602499729E-4</v>
      </c>
      <c r="Q194" s="166">
        <f ca="1"/>
        <v>0</v>
      </c>
      <c r="R194" s="166">
        <f ca="1"/>
        <v>7.4340477307573982E-3</v>
      </c>
      <c r="S194" s="166">
        <f ca="1"/>
        <v>0</v>
      </c>
      <c r="T194" s="166">
        <f ca="1"/>
        <v>1.8004173299761006E-2</v>
      </c>
      <c r="U194" s="166">
        <f ca="1"/>
        <v>3.3976283974757493E-2</v>
      </c>
      <c r="V194" s="140">
        <f ca="1"/>
        <v>6.3046921092120956E-2</v>
      </c>
      <c r="W194" s="139">
        <f ca="1"/>
        <v>0</v>
      </c>
      <c r="X194" s="166">
        <f ca="1"/>
        <v>0</v>
      </c>
      <c r="Y194" s="166">
        <f ca="1"/>
        <v>1.0116481202604444E-3</v>
      </c>
      <c r="Z194" s="166">
        <f ca="1"/>
        <v>0</v>
      </c>
      <c r="AA194" s="166">
        <f ca="1"/>
        <v>7.9302066568591734E-3</v>
      </c>
      <c r="AB194" s="166">
        <f ca="1"/>
        <v>0</v>
      </c>
      <c r="AC194" s="166">
        <f ca="1"/>
        <v>1.8873545762323474E-2</v>
      </c>
      <c r="AD194" s="166">
        <f ca="1"/>
        <v>3.5627532123822858E-2</v>
      </c>
      <c r="AE194" s="140">
        <f ca="1"/>
        <v>6.6088381468485391E-2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.199999999999999" x14ac:dyDescent="0.2">
      <c r="A195" s="97">
        <f t="shared" ca="1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>
        <f t="array" aca="1" ref="N195:AE195" ca="1">IF(OR(B195="",NOT($J$2)),"",[3]!GetStripDefaultProbability(A195,B195,Parameter_Date,CDSRollDate,E195:M195,SpreadCurveMaturities,D195,C195,$J$4,$J$6))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1.5080448679525293E-3</v>
      </c>
      <c r="Q195" s="166">
        <f ca="1"/>
        <v>0</v>
      </c>
      <c r="R195" s="166">
        <f ca="1"/>
        <v>9.5170314611867646E-3</v>
      </c>
      <c r="S195" s="166">
        <f ca="1"/>
        <v>0</v>
      </c>
      <c r="T195" s="166">
        <f ca="1"/>
        <v>2.5117570254784893E-2</v>
      </c>
      <c r="U195" s="166">
        <f ca="1"/>
        <v>3.8009852446675096E-2</v>
      </c>
      <c r="V195" s="140">
        <f ca="1"/>
        <v>6.5690087875505787E-2</v>
      </c>
      <c r="W195" s="139">
        <f ca="1"/>
        <v>0</v>
      </c>
      <c r="X195" s="166">
        <f ca="1"/>
        <v>0</v>
      </c>
      <c r="Y195" s="166">
        <f ca="1"/>
        <v>1.6744463266473719E-3</v>
      </c>
      <c r="Z195" s="166">
        <f ca="1"/>
        <v>0</v>
      </c>
      <c r="AA195" s="166">
        <f ca="1"/>
        <v>1.0012149155677497E-2</v>
      </c>
      <c r="AB195" s="166">
        <f ca="1"/>
        <v>0</v>
      </c>
      <c r="AC195" s="166">
        <f ca="1"/>
        <v>2.6349181211177353E-2</v>
      </c>
      <c r="AD195" s="166">
        <f ca="1"/>
        <v>3.9868442698606343E-2</v>
      </c>
      <c r="AE195" s="140">
        <f ca="1"/>
        <v>6.8863686075652297E-2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.199999999999999" x14ac:dyDescent="0.2">
      <c r="A196" s="97">
        <f t="shared" ca="1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>
        <f t="array" aca="1" ref="N196:AE196" ca="1">IF(OR(B196="",NOT($J$2)),"",[3]!GetStripDefaultProbability(A196,B196,Parameter_Date,CDSRollDate,E196:M196,SpreadCurveMaturities,D196,C196,$J$4,$J$6))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7.3225716802483021E-4</v>
      </c>
      <c r="Q196" s="166">
        <f ca="1"/>
        <v>0</v>
      </c>
      <c r="R196" s="166">
        <f ca="1"/>
        <v>8.2714974315990508E-3</v>
      </c>
      <c r="S196" s="166">
        <f ca="1"/>
        <v>0</v>
      </c>
      <c r="T196" s="166">
        <f ca="1"/>
        <v>1.792476589730474E-2</v>
      </c>
      <c r="U196" s="166">
        <f ca="1"/>
        <v>3.3684030372819085E-2</v>
      </c>
      <c r="V196" s="140">
        <f ca="1"/>
        <v>6.2305453902403607E-2</v>
      </c>
      <c r="W196" s="139">
        <f ca="1"/>
        <v>0</v>
      </c>
      <c r="X196" s="166">
        <f ca="1"/>
        <v>0</v>
      </c>
      <c r="Y196" s="166">
        <f ca="1"/>
        <v>8.9878791390107793E-4</v>
      </c>
      <c r="Z196" s="166">
        <f ca="1"/>
        <v>0</v>
      </c>
      <c r="AA196" s="166">
        <f ca="1"/>
        <v>8.7672377374738986E-3</v>
      </c>
      <c r="AB196" s="166">
        <f ca="1"/>
        <v>0</v>
      </c>
      <c r="AC196" s="166">
        <f ca="1"/>
        <v>1.8794088345361226E-2</v>
      </c>
      <c r="AD196" s="166">
        <f ca="1"/>
        <v>3.5324661615436126E-2</v>
      </c>
      <c r="AE196" s="140">
        <f ca="1"/>
        <v>6.5315256795822729E-2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.199999999999999" x14ac:dyDescent="0.2">
      <c r="A197" s="97">
        <f t="shared" ca="1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>
        <f t="array" aca="1" ref="N197:AE197" ca="1">IF(OR(B197="",NOT($J$2)),"",[3]!GetStripDefaultProbability(A197,B197,Parameter_Date,CDSRollDate,E197:M197,SpreadCurveMaturities,D197,C197,$J$4,$J$6))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3.8810589095683579E-3</v>
      </c>
      <c r="Q197" s="166">
        <f ca="1"/>
        <v>0</v>
      </c>
      <c r="R197" s="166">
        <f ca="1"/>
        <v>1.9622687166411024E-2</v>
      </c>
      <c r="S197" s="166">
        <f ca="1"/>
        <v>0</v>
      </c>
      <c r="T197" s="166">
        <f ca="1"/>
        <v>4.4913710206918589E-2</v>
      </c>
      <c r="U197" s="166">
        <f ca="1"/>
        <v>7.2161535819114775E-2</v>
      </c>
      <c r="V197" s="140">
        <f ca="1"/>
        <v>0.12213175804570864</v>
      </c>
      <c r="W197" s="139">
        <f ca="1"/>
        <v>0</v>
      </c>
      <c r="X197" s="166">
        <f ca="1"/>
        <v>0</v>
      </c>
      <c r="Y197" s="166">
        <f ca="1"/>
        <v>4.0639129601696133E-3</v>
      </c>
      <c r="Z197" s="166">
        <f ca="1"/>
        <v>0</v>
      </c>
      <c r="AA197" s="166">
        <f ca="1"/>
        <v>2.0593868907771595E-2</v>
      </c>
      <c r="AB197" s="166">
        <f ca="1"/>
        <v>0</v>
      </c>
      <c r="AC197" s="166">
        <f ca="1"/>
        <v>4.7112115881201344E-2</v>
      </c>
      <c r="AD197" s="166">
        <f ca="1"/>
        <v>7.5652976990997378E-2</v>
      </c>
      <c r="AE197" s="140">
        <f ca="1"/>
        <v>0.12792800951678052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.199999999999999" x14ac:dyDescent="0.2">
      <c r="A198" s="97">
        <f t="shared" ca="1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>
        <f t="array" aca="1" ref="N198:AE198" ca="1">IF(OR(B198="",NOT($J$2)),"",[3]!GetStripDefaultProbability(A198,B198,Parameter_Date,CDSRollDate,E198:M198,SpreadCurveMaturities,D198,C198,$J$4,$J$6))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8.6453599250746471E-4</v>
      </c>
      <c r="Q198" s="166">
        <f ca="1"/>
        <v>0</v>
      </c>
      <c r="R198" s="166">
        <f ca="1"/>
        <v>8.0115283711789109E-3</v>
      </c>
      <c r="S198" s="166">
        <f ca="1"/>
        <v>0</v>
      </c>
      <c r="T198" s="166">
        <f ca="1"/>
        <v>1.8374813585766425E-2</v>
      </c>
      <c r="U198" s="166">
        <f ca="1"/>
        <v>3.4299019076861281E-2</v>
      </c>
      <c r="V198" s="140">
        <f ca="1"/>
        <v>6.5041330881649206E-2</v>
      </c>
      <c r="W198" s="139">
        <f ca="1"/>
        <v>0</v>
      </c>
      <c r="X198" s="166">
        <f ca="1"/>
        <v>0</v>
      </c>
      <c r="Y198" s="166">
        <f ca="1"/>
        <v>1.0310446937398243E-3</v>
      </c>
      <c r="Z198" s="166">
        <f ca="1"/>
        <v>0</v>
      </c>
      <c r="AA198" s="166">
        <f ca="1"/>
        <v>8.5073986291193116E-3</v>
      </c>
      <c r="AB198" s="166">
        <f ca="1"/>
        <v>0</v>
      </c>
      <c r="AC198" s="166">
        <f ca="1"/>
        <v>1.9265445588683594E-2</v>
      </c>
      <c r="AD198" s="166">
        <f ca="1"/>
        <v>3.5968798243151245E-2</v>
      </c>
      <c r="AE198" s="140">
        <f ca="1"/>
        <v>6.8179760714188298E-2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.199999999999999" x14ac:dyDescent="0.2">
      <c r="A199" s="97">
        <f t="shared" ca="1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>
        <f t="array" aca="1" ref="N199:AE199" ca="1">IF(OR(B199="",NOT($J$2)),"",[3]!GetStripDefaultProbability(A199,B199,Parameter_Date,CDSRollDate,E199:M199,SpreadCurveMaturities,D199,C199,$J$4,$J$6))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1.4375434207237747E-3</v>
      </c>
      <c r="Q199" s="166">
        <f ca="1"/>
        <v>0</v>
      </c>
      <c r="R199" s="166">
        <f ca="1"/>
        <v>8.1155248511491918E-3</v>
      </c>
      <c r="S199" s="166">
        <f ca="1"/>
        <v>0</v>
      </c>
      <c r="T199" s="166">
        <f ca="1"/>
        <v>1.7007809580129818E-2</v>
      </c>
      <c r="U199" s="166">
        <f ca="1"/>
        <v>3.1585329764967418E-2</v>
      </c>
      <c r="V199" s="140">
        <f ca="1"/>
        <v>5.8240716707698703E-2</v>
      </c>
      <c r="W199" s="139">
        <f ca="1"/>
        <v>0</v>
      </c>
      <c r="X199" s="166">
        <f ca="1"/>
        <v>0</v>
      </c>
      <c r="Y199" s="166">
        <f ca="1"/>
        <v>1.6039566286889517E-3</v>
      </c>
      <c r="Z199" s="166">
        <f ca="1"/>
        <v>0</v>
      </c>
      <c r="AA199" s="166">
        <f ca="1"/>
        <v>8.6113431238294957E-3</v>
      </c>
      <c r="AB199" s="166">
        <f ca="1"/>
        <v>0</v>
      </c>
      <c r="AC199" s="166">
        <f ca="1"/>
        <v>1.7826628516853793E-2</v>
      </c>
      <c r="AD199" s="166">
        <f ca="1"/>
        <v>3.3126394378173551E-2</v>
      </c>
      <c r="AE199" s="140">
        <f ca="1"/>
        <v>6.1060378834294493E-2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.199999999999999" x14ac:dyDescent="0.2">
      <c r="A200" s="97">
        <f t="shared" ca="1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>
        <f t="array" aca="1" ref="N200:AE200" ca="1">IF(OR(B200="",NOT($J$2)),"",[3]!GetStripDefaultProbability(A200,B200,Parameter_Date,CDSRollDate,E200:M200,SpreadCurveMaturities,D200,C200,$J$4,$J$6))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8.6806318984100628E-4</v>
      </c>
      <c r="Q200" s="166">
        <f ca="1"/>
        <v>0</v>
      </c>
      <c r="R200" s="166">
        <f ca="1"/>
        <v>8.8244937084784869E-3</v>
      </c>
      <c r="S200" s="166">
        <f ca="1"/>
        <v>0</v>
      </c>
      <c r="T200" s="166">
        <f ca="1"/>
        <v>2.1336996461436497E-2</v>
      </c>
      <c r="U200" s="166">
        <f ca="1"/>
        <v>3.7067518386775133E-2</v>
      </c>
      <c r="V200" s="140">
        <f ca="1"/>
        <v>6.5889014035275806E-2</v>
      </c>
      <c r="W200" s="139">
        <f ca="1"/>
        <v>0</v>
      </c>
      <c r="X200" s="166">
        <f ca="1"/>
        <v>0</v>
      </c>
      <c r="Y200" s="166">
        <f ca="1"/>
        <v>1.0345713032536841E-3</v>
      </c>
      <c r="Z200" s="166">
        <f ca="1"/>
        <v>0</v>
      </c>
      <c r="AA200" s="166">
        <f ca="1"/>
        <v>9.319957585372074E-3</v>
      </c>
      <c r="AB200" s="166">
        <f ca="1"/>
        <v>0</v>
      </c>
      <c r="AC200" s="166">
        <f ca="1"/>
        <v>2.2377347624894517E-2</v>
      </c>
      <c r="AD200" s="166">
        <f ca="1"/>
        <v>3.8875512116619659E-2</v>
      </c>
      <c r="AE200" s="140">
        <f ca="1"/>
        <v>6.9069426643834864E-2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.199999999999999" x14ac:dyDescent="0.2">
      <c r="A201" s="97">
        <f t="shared" ca="1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>
        <f t="array" aca="1" ref="N201:AE201" ca="1">IF(OR(B201="",NOT($J$2)),"",[3]!GetStripDefaultProbability(A201,B201,Parameter_Date,CDSRollDate,E201:M201,SpreadCurveMaturities,D201,C201,$J$4,$J$6))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4.6737486639177872E-3</v>
      </c>
      <c r="Q201" s="166">
        <f ca="1"/>
        <v>0</v>
      </c>
      <c r="R201" s="166">
        <f ca="1"/>
        <v>3.5278177378926245E-2</v>
      </c>
      <c r="S201" s="166">
        <f ca="1"/>
        <v>0</v>
      </c>
      <c r="T201" s="166">
        <f ca="1"/>
        <v>8.988452195241925E-2</v>
      </c>
      <c r="U201" s="166">
        <f ca="1"/>
        <v>0.14235124594001747</v>
      </c>
      <c r="V201" s="140">
        <f ca="1"/>
        <v>0.24353100825431173</v>
      </c>
      <c r="W201" s="139">
        <f ca="1"/>
        <v>0</v>
      </c>
      <c r="X201" s="166">
        <f ca="1"/>
        <v>0</v>
      </c>
      <c r="Y201" s="166">
        <f ca="1"/>
        <v>4.8938573119232665E-3</v>
      </c>
      <c r="Z201" s="166">
        <f ca="1"/>
        <v>0</v>
      </c>
      <c r="AA201" s="166">
        <f ca="1"/>
        <v>3.7008275705394555E-2</v>
      </c>
      <c r="AB201" s="166">
        <f ca="1"/>
        <v>0</v>
      </c>
      <c r="AC201" s="166">
        <f ca="1"/>
        <v>9.422507286649473E-2</v>
      </c>
      <c r="AD201" s="166">
        <f ca="1"/>
        <v>0.14904849963481348</v>
      </c>
      <c r="AE201" s="140">
        <f ca="1"/>
        <v>0.25446279609682865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.199999999999999" x14ac:dyDescent="0.2">
      <c r="A202" s="97">
        <f t="shared" ca="1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>
        <f t="array" aca="1" ref="N202:AE202" ca="1">IF(OR(B202="",NOT($J$2)),"",[3]!GetStripDefaultProbability(A202,B202,Parameter_Date,CDSRollDate,E202:M202,SpreadCurveMaturities,D202,C202,$J$4,$J$6))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2.9768757001609192E-3</v>
      </c>
      <c r="Q202" s="166">
        <f ca="1"/>
        <v>0</v>
      </c>
      <c r="R202" s="166">
        <f ca="1"/>
        <v>1.612787782860492E-2</v>
      </c>
      <c r="S202" s="166">
        <f ca="1"/>
        <v>0</v>
      </c>
      <c r="T202" s="166">
        <f ca="1"/>
        <v>3.5074344684950742E-2</v>
      </c>
      <c r="U202" s="166">
        <f ca="1"/>
        <v>5.3306932090712578E-2</v>
      </c>
      <c r="V202" s="140">
        <f ca="1"/>
        <v>8.0138390717819141E-2</v>
      </c>
      <c r="W202" s="139">
        <f ca="1"/>
        <v>0</v>
      </c>
      <c r="X202" s="166">
        <f ca="1"/>
        <v>0</v>
      </c>
      <c r="Y202" s="166">
        <f ca="1"/>
        <v>3.1430323741244992E-3</v>
      </c>
      <c r="Z202" s="166">
        <f ca="1"/>
        <v>0</v>
      </c>
      <c r="AA202" s="166">
        <f ca="1"/>
        <v>1.6925700161155799E-2</v>
      </c>
      <c r="AB202" s="166">
        <f ca="1"/>
        <v>0</v>
      </c>
      <c r="AC202" s="166">
        <f ca="1"/>
        <v>3.6797254229182785E-2</v>
      </c>
      <c r="AD202" s="166">
        <f ca="1"/>
        <v>5.5904905118194126E-2</v>
      </c>
      <c r="AE202" s="140">
        <f ca="1"/>
        <v>8.3983109672256084E-2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.199999999999999" x14ac:dyDescent="0.2">
      <c r="A203" s="97">
        <f t="shared" ref="A203:A266" ca="1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>
        <f t="array" aca="1" ref="N203:AE203" ca="1">IF(OR(B203="",NOT($J$2)),"",[3]!GetStripDefaultProbability(A203,B203,Parameter_Date,CDSRollDate,E203:M203,SpreadCurveMaturities,D203,C203,$J$4,$J$6))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2.5596922557746815E-3</v>
      </c>
      <c r="Q203" s="166">
        <f ca="1"/>
        <v>0</v>
      </c>
      <c r="R203" s="166">
        <f ca="1"/>
        <v>9.7723126320067299E-3</v>
      </c>
      <c r="S203" s="166">
        <f ca="1"/>
        <v>0</v>
      </c>
      <c r="T203" s="166">
        <f ca="1"/>
        <v>3.3236540812710214E-2</v>
      </c>
      <c r="U203" s="166">
        <f ca="1"/>
        <v>6.4540124749125738E-2</v>
      </c>
      <c r="V203" s="140">
        <f ca="1"/>
        <v>0.11274686545950086</v>
      </c>
      <c r="W203" s="139">
        <f ca="1"/>
        <v>0</v>
      </c>
      <c r="X203" s="166">
        <f ca="1"/>
        <v>0</v>
      </c>
      <c r="Y203" s="166">
        <f ca="1"/>
        <v>2.7259184544774495E-3</v>
      </c>
      <c r="Z203" s="166">
        <f ca="1"/>
        <v>0</v>
      </c>
      <c r="AA203" s="166">
        <f ca="1"/>
        <v>1.0267302717879678E-2</v>
      </c>
      <c r="AB203" s="166">
        <f ca="1"/>
        <v>0</v>
      </c>
      <c r="AC203" s="166">
        <f ca="1"/>
        <v>3.486932584034208E-2</v>
      </c>
      <c r="AD203" s="166">
        <f ca="1"/>
        <v>6.7680291067001241E-2</v>
      </c>
      <c r="AE203" s="140">
        <f ca="1"/>
        <v>0.11814228816685812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.199999999999999" x14ac:dyDescent="0.2">
      <c r="A204" s="97">
        <f t="shared" ca="1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>
        <f t="array" aca="1" ref="N204:AE204" ca="1">IF(OR(B204="",NOT($J$2)),"",[3]!GetStripDefaultProbability(A204,B204,Parameter_Date,CDSRollDate,E204:M204,SpreadCurveMaturities,D204,C204,$J$4,$J$6))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8.0222271140291679E-2</v>
      </c>
      <c r="Q204" s="166">
        <f ca="1"/>
        <v>0</v>
      </c>
      <c r="R204" s="166">
        <f ca="1"/>
        <v>0.18687769022893219</v>
      </c>
      <c r="S204" s="166">
        <f ca="1"/>
        <v>0</v>
      </c>
      <c r="T204" s="166">
        <f ca="1"/>
        <v>0.24319475970027626</v>
      </c>
      <c r="U204" s="166">
        <f ca="1"/>
        <v>0.2909616989466266</v>
      </c>
      <c r="V204" s="140">
        <f ca="1"/>
        <v>0.34456611173039142</v>
      </c>
      <c r="W204" s="139">
        <f ca="1"/>
        <v>0</v>
      </c>
      <c r="X204" s="166">
        <f ca="1"/>
        <v>0</v>
      </c>
      <c r="Y204" s="166">
        <f ca="1"/>
        <v>8.4059865212735674E-2</v>
      </c>
      <c r="Z204" s="166">
        <f ca="1"/>
        <v>0</v>
      </c>
      <c r="AA204" s="166">
        <f ca="1"/>
        <v>0.19518599854881158</v>
      </c>
      <c r="AB204" s="166">
        <f ca="1"/>
        <v>0</v>
      </c>
      <c r="AC204" s="166">
        <f ca="1"/>
        <v>0.25338330473224269</v>
      </c>
      <c r="AD204" s="166">
        <f ca="1"/>
        <v>0.30256885021914015</v>
      </c>
      <c r="AE204" s="140">
        <f ca="1"/>
        <v>0.35745347117684068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.199999999999999" x14ac:dyDescent="0.2">
      <c r="A205" s="97">
        <f t="shared" ca="1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>
        <f t="array" aca="1" ref="N205:AE205" ca="1">IF(OR(B205="",NOT($J$2)),"",[3]!GetStripDefaultProbability(A205,B205,Parameter_Date,CDSRollDate,E205:M205,SpreadCurveMaturities,D205,C205,$J$4,$J$6))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4.9618444950211282E-3</v>
      </c>
      <c r="Q205" s="166">
        <f ca="1"/>
        <v>0</v>
      </c>
      <c r="R205" s="166">
        <f ca="1"/>
        <v>2.7605124226549482E-2</v>
      </c>
      <c r="S205" s="166">
        <f ca="1"/>
        <v>0</v>
      </c>
      <c r="T205" s="166">
        <f ca="1"/>
        <v>7.5485878669819373E-2</v>
      </c>
      <c r="U205" s="166">
        <f ca="1"/>
        <v>0.1244231957012506</v>
      </c>
      <c r="V205" s="140">
        <f ca="1"/>
        <v>0.21094232320313644</v>
      </c>
      <c r="W205" s="139">
        <f ca="1"/>
        <v>0</v>
      </c>
      <c r="X205" s="166">
        <f ca="1"/>
        <v>0</v>
      </c>
      <c r="Y205" s="166">
        <f ca="1"/>
        <v>5.1954851874949082E-3</v>
      </c>
      <c r="Z205" s="166">
        <f ca="1"/>
        <v>0</v>
      </c>
      <c r="AA205" s="166">
        <f ca="1"/>
        <v>2.8965026984622222E-2</v>
      </c>
      <c r="AB205" s="166">
        <f ca="1"/>
        <v>0</v>
      </c>
      <c r="AC205" s="166">
        <f ca="1"/>
        <v>7.9154119606158591E-2</v>
      </c>
      <c r="AD205" s="166">
        <f ca="1"/>
        <v>0.1303353403854135</v>
      </c>
      <c r="AE205" s="140">
        <f ca="1"/>
        <v>0.22056918989612595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.199999999999999" x14ac:dyDescent="0.2">
      <c r="A206" s="97">
        <f t="shared" ca="1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>
        <f t="array" aca="1" ref="N206:AE206" ca="1">IF(OR(B206="",NOT($J$2)),"",[3]!GetStripDefaultProbability(A206,B206,Parameter_Date,CDSRollDate,E206:M206,SpreadCurveMaturities,D206,C206,$J$4,$J$6))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1.1694435948380155E-2</v>
      </c>
      <c r="Q206" s="166">
        <f ca="1"/>
        <v>0</v>
      </c>
      <c r="R206" s="166">
        <f ca="1"/>
        <v>6.0433885006233035E-2</v>
      </c>
      <c r="S206" s="166">
        <f ca="1"/>
        <v>0</v>
      </c>
      <c r="T206" s="166">
        <f ca="1"/>
        <v>0.1454600613977568</v>
      </c>
      <c r="U206" s="166">
        <f ca="1"/>
        <v>0.2197094651371202</v>
      </c>
      <c r="V206" s="140">
        <f ca="1"/>
        <v>0.33636047602740871</v>
      </c>
      <c r="W206" s="139">
        <f ca="1"/>
        <v>0</v>
      </c>
      <c r="X206" s="166">
        <f ca="1"/>
        <v>0</v>
      </c>
      <c r="Y206" s="166">
        <f ca="1"/>
        <v>1.2274857433310471E-2</v>
      </c>
      <c r="Z206" s="166">
        <f ca="1"/>
        <v>0</v>
      </c>
      <c r="AA206" s="166">
        <f ca="1"/>
        <v>6.3373570309831817E-2</v>
      </c>
      <c r="AB206" s="166">
        <f ca="1"/>
        <v>0</v>
      </c>
      <c r="AC206" s="166">
        <f ca="1"/>
        <v>0.15229880355327718</v>
      </c>
      <c r="AD206" s="166">
        <f ca="1"/>
        <v>0.22961587150623608</v>
      </c>
      <c r="AE206" s="140">
        <f ca="1"/>
        <v>0.35049553557257918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.199999999999999" x14ac:dyDescent="0.2">
      <c r="A207" s="97">
        <f t="shared" ca="1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>
        <f t="array" aca="1" ref="N207:AE207" ca="1">IF(OR(B207="",NOT($J$2)),"",[3]!GetStripDefaultProbability(A207,B207,Parameter_Date,CDSRollDate,E207:M207,SpreadCurveMaturities,D207,C207,$J$4,$J$6))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8.3102700100812221E-4</v>
      </c>
      <c r="Q207" s="166">
        <f ca="1"/>
        <v>0</v>
      </c>
      <c r="R207" s="166">
        <f ca="1"/>
        <v>9.7754692456347714E-3</v>
      </c>
      <c r="S207" s="166">
        <f ca="1"/>
        <v>0</v>
      </c>
      <c r="T207" s="166">
        <f ca="1"/>
        <v>2.2103134858484252E-2</v>
      </c>
      <c r="U207" s="166">
        <f ca="1"/>
        <v>4.1934531975938771E-2</v>
      </c>
      <c r="V207" s="140">
        <f ca="1"/>
        <v>7.7361537574058281E-2</v>
      </c>
      <c r="W207" s="139">
        <f ca="1"/>
        <v>0</v>
      </c>
      <c r="X207" s="166">
        <f ca="1"/>
        <v>0</v>
      </c>
      <c r="Y207" s="166">
        <f ca="1"/>
        <v>9.9754128658857688E-4</v>
      </c>
      <c r="Z207" s="166">
        <f ca="1"/>
        <v>0</v>
      </c>
      <c r="AA207" s="166">
        <f ca="1"/>
        <v>1.0270457753591034E-2</v>
      </c>
      <c r="AB207" s="166">
        <f ca="1"/>
        <v>0</v>
      </c>
      <c r="AC207" s="166">
        <f ca="1"/>
        <v>2.318584213042485E-2</v>
      </c>
      <c r="AD207" s="166">
        <f ca="1"/>
        <v>4.3983252520459537E-2</v>
      </c>
      <c r="AE207" s="140">
        <f ca="1"/>
        <v>8.1086040550590321E-2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.199999999999999" x14ac:dyDescent="0.2">
      <c r="A208" s="97">
        <f t="shared" ca="1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>
        <f t="array" aca="1" ref="N208:AE208" ca="1">IF(OR(B208="",NOT($J$2)),"",[3]!GetStripDefaultProbability(A208,B208,Parameter_Date,CDSRollDate,E208:M208,SpreadCurveMaturities,D208,C208,$J$4,$J$6))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1.9785155293668977E-3</v>
      </c>
      <c r="Q208" s="166">
        <f ca="1"/>
        <v>0</v>
      </c>
      <c r="R208" s="166">
        <f ca="1"/>
        <v>9.9715537677939059E-3</v>
      </c>
      <c r="S208" s="166">
        <f ca="1"/>
        <v>0</v>
      </c>
      <c r="T208" s="166">
        <f ca="1"/>
        <v>2.5901027196399973E-2</v>
      </c>
      <c r="U208" s="166">
        <f ca="1"/>
        <v>4.8365710524924999E-2</v>
      </c>
      <c r="V208" s="140">
        <f ca="1"/>
        <v>8.9574559092729156E-2</v>
      </c>
      <c r="W208" s="139">
        <f ca="1"/>
        <v>0</v>
      </c>
      <c r="X208" s="166">
        <f ca="1"/>
        <v>0</v>
      </c>
      <c r="Y208" s="166">
        <f ca="1"/>
        <v>2.1448385828206629E-3</v>
      </c>
      <c r="Z208" s="166">
        <f ca="1"/>
        <v>0</v>
      </c>
      <c r="AA208" s="166">
        <f ca="1"/>
        <v>1.0466444257996588E-2</v>
      </c>
      <c r="AB208" s="166">
        <f ca="1"/>
        <v>0</v>
      </c>
      <c r="AC208" s="166">
        <f ca="1"/>
        <v>2.7175102133580986E-2</v>
      </c>
      <c r="AD208" s="166">
        <f ca="1"/>
        <v>5.0729984522494109E-2</v>
      </c>
      <c r="AE208" s="140">
        <f ca="1"/>
        <v>9.3899291560094911E-2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.199999999999999" x14ac:dyDescent="0.2">
      <c r="A209" s="97">
        <f t="shared" ca="1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>
        <f t="array" aca="1" ref="N209:AE209" ca="1">IF(OR(B209="",NOT($J$2)),"",[3]!GetStripDefaultProbability(A209,B209,Parameter_Date,CDSRollDate,E209:M209,SpreadCurveMaturities,D209,C209,$J$4,$J$6))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6.6854582420428299E-2</v>
      </c>
      <c r="Q209" s="166">
        <f ca="1"/>
        <v>0</v>
      </c>
      <c r="R209" s="166">
        <f ca="1"/>
        <v>0.18263382853536336</v>
      </c>
      <c r="S209" s="166">
        <f ca="1"/>
        <v>0</v>
      </c>
      <c r="T209" s="166">
        <f ca="1"/>
        <v>0.24769391249090256</v>
      </c>
      <c r="U209" s="166">
        <f ca="1"/>
        <v>0.30396699975707486</v>
      </c>
      <c r="V209" s="140">
        <f ca="1"/>
        <v>0.37854440408605117</v>
      </c>
      <c r="W209" s="139">
        <f ca="1"/>
        <v>0</v>
      </c>
      <c r="X209" s="166">
        <f ca="1"/>
        <v>0</v>
      </c>
      <c r="Y209" s="166">
        <f ca="1"/>
        <v>7.0077333399916508E-2</v>
      </c>
      <c r="Z209" s="166">
        <f ca="1"/>
        <v>0</v>
      </c>
      <c r="AA209" s="166">
        <f ca="1"/>
        <v>0.19083566985145461</v>
      </c>
      <c r="AB209" s="166">
        <f ca="1"/>
        <v>0</v>
      </c>
      <c r="AC209" s="166">
        <f ca="1"/>
        <v>0.25814035592592255</v>
      </c>
      <c r="AD209" s="166">
        <f ca="1"/>
        <v>0.31611280456369484</v>
      </c>
      <c r="AE209" s="140">
        <f ca="1"/>
        <v>0.39257158129760283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.199999999999999" x14ac:dyDescent="0.2">
      <c r="A210" s="97">
        <f t="shared" ca="1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>
        <f t="array" aca="1" ref="N210:AE210" ca="1">IF(OR(B210="",NOT($J$2)),"",[3]!GetStripDefaultProbability(A210,B210,Parameter_Date,CDSRollDate,E210:M210,SpreadCurveMaturities,D210,C210,$J$4,$J$6))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7.5177072807636192E-3</v>
      </c>
      <c r="Q210" s="166">
        <f ca="1"/>
        <v>0</v>
      </c>
      <c r="R210" s="166">
        <f ca="1"/>
        <v>3.8582594925187119E-2</v>
      </c>
      <c r="S210" s="166">
        <f ca="1"/>
        <v>0</v>
      </c>
      <c r="T210" s="166">
        <f ca="1"/>
        <v>0.10039519058092994</v>
      </c>
      <c r="U210" s="166">
        <f ca="1"/>
        <v>0.16223131028920301</v>
      </c>
      <c r="V210" s="140">
        <f ca="1"/>
        <v>0.27077803547360979</v>
      </c>
      <c r="W210" s="139">
        <f ca="1"/>
        <v>0</v>
      </c>
      <c r="X210" s="166">
        <f ca="1"/>
        <v>0</v>
      </c>
      <c r="Y210" s="166">
        <f ca="1"/>
        <v>7.8918393133506903E-3</v>
      </c>
      <c r="Z210" s="166">
        <f ca="1"/>
        <v>0</v>
      </c>
      <c r="AA210" s="166">
        <f ca="1"/>
        <v>4.0468736621591894E-2</v>
      </c>
      <c r="AB210" s="166">
        <f ca="1"/>
        <v>0</v>
      </c>
      <c r="AC210" s="166">
        <f ca="1"/>
        <v>0.10521889862475564</v>
      </c>
      <c r="AD210" s="166">
        <f ca="1"/>
        <v>0.16979820940495427</v>
      </c>
      <c r="AE210" s="140">
        <f ca="1"/>
        <v>0.2827491044504995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.199999999999999" x14ac:dyDescent="0.2">
      <c r="A211" s="97">
        <f t="shared" ca="1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>
        <f t="array" aca="1" ref="N211:AE211" ca="1">IF(OR(B211="",NOT($J$2)),"",[3]!GetStripDefaultProbability(A211,B211,Parameter_Date,CDSRollDate,E211:M211,SpreadCurveMaturities,D211,C211,$J$4,$J$6))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6.3782841513512212E-3</v>
      </c>
      <c r="Q211" s="166">
        <f ca="1"/>
        <v>0</v>
      </c>
      <c r="R211" s="166">
        <f ca="1"/>
        <v>3.9906355650780156E-2</v>
      </c>
      <c r="S211" s="166">
        <f ca="1"/>
        <v>0</v>
      </c>
      <c r="T211" s="166">
        <f ca="1"/>
        <v>0.101584805161407</v>
      </c>
      <c r="U211" s="166">
        <f ca="1"/>
        <v>0.15672012615460118</v>
      </c>
      <c r="V211" s="140">
        <f ca="1"/>
        <v>0.25177082355179103</v>
      </c>
      <c r="W211" s="139">
        <f ca="1"/>
        <v>0</v>
      </c>
      <c r="X211" s="166">
        <f ca="1"/>
        <v>0</v>
      </c>
      <c r="Y211" s="166">
        <f ca="1"/>
        <v>6.6959410840220501E-3</v>
      </c>
      <c r="Z211" s="166">
        <f ca="1"/>
        <v>0</v>
      </c>
      <c r="AA211" s="166">
        <f ca="1"/>
        <v>4.1856170323754771E-2</v>
      </c>
      <c r="AB211" s="166">
        <f ca="1"/>
        <v>0</v>
      </c>
      <c r="AC211" s="166">
        <f ca="1"/>
        <v>0.10646375568733324</v>
      </c>
      <c r="AD211" s="166">
        <f ca="1"/>
        <v>0.16403219859806428</v>
      </c>
      <c r="AE211" s="140">
        <f ca="1"/>
        <v>0.26295135950066462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.199999999999999" x14ac:dyDescent="0.2">
      <c r="A212" s="97">
        <f t="shared" ca="1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>
        <f t="array" aca="1" ref="N212:AE212" ca="1">IF(OR(B212="",NOT($J$2)),"",[3]!GetStripDefaultProbability(A212,B212,Parameter_Date,CDSRollDate,E212:M212,SpreadCurveMaturities,D212,C212,$J$4,$J$6))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1.1925124789798902E-3</v>
      </c>
      <c r="Q212" s="166">
        <f ca="1"/>
        <v>0</v>
      </c>
      <c r="R212" s="166">
        <f ca="1"/>
        <v>5.973821121571854E-3</v>
      </c>
      <c r="S212" s="166">
        <f ca="1"/>
        <v>0</v>
      </c>
      <c r="T212" s="166">
        <f ca="1"/>
        <v>1.6819912938930703E-2</v>
      </c>
      <c r="U212" s="166">
        <f ca="1"/>
        <v>3.0213642459549162E-2</v>
      </c>
      <c r="V212" s="140">
        <f ca="1"/>
        <v>6.4239051445715178E-2</v>
      </c>
      <c r="W212" s="139">
        <f ca="1"/>
        <v>0</v>
      </c>
      <c r="X212" s="166">
        <f ca="1"/>
        <v>0</v>
      </c>
      <c r="Y212" s="166">
        <f ca="1"/>
        <v>1.3589665219959635E-3</v>
      </c>
      <c r="Z212" s="166">
        <f ca="1"/>
        <v>0</v>
      </c>
      <c r="AA212" s="166">
        <f ca="1"/>
        <v>6.4707099784359068E-3</v>
      </c>
      <c r="AB212" s="166">
        <f ca="1"/>
        <v>0</v>
      </c>
      <c r="AC212" s="166">
        <f ca="1"/>
        <v>1.7638888391021568E-2</v>
      </c>
      <c r="AD212" s="166">
        <f ca="1"/>
        <v>3.1673978568858008E-2</v>
      </c>
      <c r="AE212" s="140">
        <f ca="1"/>
        <v>6.7329735651967204E-2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.199999999999999" x14ac:dyDescent="0.2">
      <c r="A213" s="97">
        <f t="shared" ca="1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>
        <f t="array" aca="1" ref="N213:AE213" ca="1">IF(OR(B213="",NOT($J$2)),"",[3]!GetStripDefaultProbability(A213,B213,Parameter_Date,CDSRollDate,E213:M213,SpreadCurveMaturities,D213,C213,$J$4,$J$6))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9.1215211408490759E-4</v>
      </c>
      <c r="Q213" s="166">
        <f ca="1"/>
        <v>0</v>
      </c>
      <c r="R213" s="166">
        <f ca="1"/>
        <v>5.5972436107266654E-3</v>
      </c>
      <c r="S213" s="166">
        <f ca="1"/>
        <v>0</v>
      </c>
      <c r="T213" s="166">
        <f ca="1"/>
        <v>1.6448408150568472E-2</v>
      </c>
      <c r="U213" s="166">
        <f ca="1"/>
        <v>2.6703619928509781E-2</v>
      </c>
      <c r="V213" s="140">
        <f ca="1"/>
        <v>4.8731688325209799E-2</v>
      </c>
      <c r="W213" s="139">
        <f ca="1"/>
        <v>0</v>
      </c>
      <c r="X213" s="166">
        <f ca="1"/>
        <v>0</v>
      </c>
      <c r="Y213" s="166">
        <f ca="1"/>
        <v>1.0786528799665573E-3</v>
      </c>
      <c r="Z213" s="166">
        <f ca="1"/>
        <v>0</v>
      </c>
      <c r="AA213" s="166">
        <f ca="1"/>
        <v>6.0943207092513108E-3</v>
      </c>
      <c r="AB213" s="166">
        <f ca="1"/>
        <v>0</v>
      </c>
      <c r="AC213" s="166">
        <f ca="1"/>
        <v>1.7267693060954548E-2</v>
      </c>
      <c r="AD213" s="166">
        <f ca="1"/>
        <v>2.7986855233419816E-2</v>
      </c>
      <c r="AE213" s="140">
        <f ca="1"/>
        <v>5.1078031950548164E-2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.199999999999999" x14ac:dyDescent="0.2">
      <c r="A214" s="97">
        <f t="shared" ca="1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>
        <f t="array" aca="1" ref="N214:AE214" ca="1">IF(OR(B214="",NOT($J$2)),"",[3]!GetStripDefaultProbability(A214,B214,Parameter_Date,CDSRollDate,E214:M214,SpreadCurveMaturities,D214,C214,$J$4,$J$6))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1.0091409498625969E-3</v>
      </c>
      <c r="Q214" s="166">
        <f ca="1"/>
        <v>0</v>
      </c>
      <c r="R214" s="166">
        <f ca="1"/>
        <v>1.2010596542195939E-2</v>
      </c>
      <c r="S214" s="166">
        <f ca="1"/>
        <v>0</v>
      </c>
      <c r="T214" s="166">
        <f ca="1"/>
        <v>3.5710111137272738E-2</v>
      </c>
      <c r="U214" s="166">
        <f ca="1"/>
        <v>7.0608664130174081E-2</v>
      </c>
      <c r="V214" s="140">
        <f ca="1"/>
        <v>0.12022641247054822</v>
      </c>
      <c r="W214" s="139">
        <f ca="1"/>
        <v>0</v>
      </c>
      <c r="X214" s="166">
        <f ca="1"/>
        <v>0</v>
      </c>
      <c r="Y214" s="166">
        <f ca="1"/>
        <v>1.1756255522581416E-3</v>
      </c>
      <c r="Z214" s="166">
        <f ca="1"/>
        <v>0</v>
      </c>
      <c r="AA214" s="166">
        <f ca="1"/>
        <v>1.2581983122562979E-2</v>
      </c>
      <c r="AB214" s="166">
        <f ca="1"/>
        <v>0</v>
      </c>
      <c r="AC214" s="166">
        <f ca="1"/>
        <v>3.7460453375181446E-2</v>
      </c>
      <c r="AD214" s="166">
        <f ca="1"/>
        <v>7.4032928421524424E-2</v>
      </c>
      <c r="AE214" s="140">
        <f ca="1"/>
        <v>0.12595655083162094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.199999999999999" x14ac:dyDescent="0.2">
      <c r="A215" s="97">
        <f t="shared" ca="1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>
        <f t="array" aca="1" ref="N215:AE215" ca="1">IF(OR(B215="",NOT($J$2)),"",[3]!GetStripDefaultProbability(A215,B215,Parameter_Date,CDSRollDate,E215:M215,SpreadCurveMaturities,D215,C215,$J$4,$J$6))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2.394179147136688E-3</v>
      </c>
      <c r="Q215" s="166">
        <f ca="1"/>
        <v>0</v>
      </c>
      <c r="R215" s="166">
        <f ca="1"/>
        <v>1.311699649252851E-2</v>
      </c>
      <c r="S215" s="166">
        <f ca="1"/>
        <v>0</v>
      </c>
      <c r="T215" s="166">
        <f ca="1"/>
        <v>3.9782893071384273E-2</v>
      </c>
      <c r="U215" s="166">
        <f ca="1"/>
        <v>6.9702524322832082E-2</v>
      </c>
      <c r="V215" s="140">
        <f ca="1"/>
        <v>0.1403078573080756</v>
      </c>
      <c r="W215" s="139">
        <f ca="1"/>
        <v>0</v>
      </c>
      <c r="X215" s="166">
        <f ca="1"/>
        <v>0</v>
      </c>
      <c r="Y215" s="166">
        <f ca="1"/>
        <v>2.5604329290928041E-3</v>
      </c>
      <c r="Z215" s="166">
        <f ca="1"/>
        <v>0</v>
      </c>
      <c r="AA215" s="166">
        <f ca="1"/>
        <v>1.3764561109765205E-2</v>
      </c>
      <c r="AB215" s="166">
        <f ca="1"/>
        <v>0</v>
      </c>
      <c r="AC215" s="166">
        <f ca="1"/>
        <v>4.173276969891937E-2</v>
      </c>
      <c r="AD215" s="166">
        <f ca="1"/>
        <v>7.3083756544750966E-2</v>
      </c>
      <c r="AE215" s="140">
        <f ca="1"/>
        <v>0.1469706628679921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.199999999999999" x14ac:dyDescent="0.2">
      <c r="A216" s="97">
        <f t="shared" ca="1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>
        <f t="array" aca="1" ref="N216:AE216" ca="1">IF(OR(B216="",NOT($J$2)),"",[3]!GetStripDefaultProbability(A216,B216,Parameter_Date,CDSRollDate,E216:M216,SpreadCurveMaturities,D216,C216,$J$4,$J$6))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5.1539675976937094E-2</v>
      </c>
      <c r="Q216" s="166">
        <f ca="1"/>
        <v>0</v>
      </c>
      <c r="R216" s="166">
        <f ca="1"/>
        <v>0.1324303476577553</v>
      </c>
      <c r="S216" s="166">
        <f ca="1"/>
        <v>0</v>
      </c>
      <c r="T216" s="166">
        <f ca="1"/>
        <v>0.18836042379383011</v>
      </c>
      <c r="U216" s="166">
        <f ca="1"/>
        <v>0.21308270482352543</v>
      </c>
      <c r="V216" s="140">
        <f ca="1"/>
        <v>0.24352565194348541</v>
      </c>
      <c r="W216" s="139">
        <f ca="1"/>
        <v>0</v>
      </c>
      <c r="X216" s="166">
        <f ca="1"/>
        <v>0</v>
      </c>
      <c r="Y216" s="166">
        <f ca="1"/>
        <v>5.4045710630722277E-2</v>
      </c>
      <c r="Z216" s="166">
        <f ca="1"/>
        <v>0</v>
      </c>
      <c r="AA216" s="166">
        <f ca="1"/>
        <v>0.13855712202682668</v>
      </c>
      <c r="AB216" s="166">
        <f ca="1"/>
        <v>0</v>
      </c>
      <c r="AC216" s="166">
        <f ca="1"/>
        <v>0.19669596110468313</v>
      </c>
      <c r="AD216" s="166">
        <f ca="1"/>
        <v>0.22216548181572326</v>
      </c>
      <c r="AE216" s="140">
        <f ca="1"/>
        <v>0.25347405470818507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.199999999999999" x14ac:dyDescent="0.2">
      <c r="A217" s="97">
        <f t="shared" ca="1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>
        <f t="array" aca="1" ref="N217:AE217" ca="1">IF(OR(B217="",NOT($J$2)),"",[3]!GetStripDefaultProbability(A217,B217,Parameter_Date,CDSRollDate,E217:M217,SpreadCurveMaturities,D217,C217,$J$4,$J$6))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2.0754016392001695E-3</v>
      </c>
      <c r="Q217" s="166">
        <f ca="1"/>
        <v>0</v>
      </c>
      <c r="R217" s="166">
        <f ca="1"/>
        <v>1.0188143065855693E-2</v>
      </c>
      <c r="S217" s="166">
        <f ca="1"/>
        <v>0</v>
      </c>
      <c r="T217" s="166">
        <f ca="1"/>
        <v>2.1090813253032303E-2</v>
      </c>
      <c r="U217" s="166">
        <f ca="1"/>
        <v>3.9036898516894847E-2</v>
      </c>
      <c r="V217" s="140">
        <f ca="1"/>
        <v>7.0301370446471778E-2</v>
      </c>
      <c r="W217" s="139">
        <f ca="1"/>
        <v>0</v>
      </c>
      <c r="X217" s="166">
        <f ca="1"/>
        <v>0</v>
      </c>
      <c r="Y217" s="166">
        <f ca="1"/>
        <v>2.2417085462873576E-3</v>
      </c>
      <c r="Z217" s="166">
        <f ca="1"/>
        <v>0</v>
      </c>
      <c r="AA217" s="166">
        <f ca="1"/>
        <v>1.0682925288429512E-2</v>
      </c>
      <c r="AB217" s="166">
        <f ca="1"/>
        <v>0</v>
      </c>
      <c r="AC217" s="166">
        <f ca="1"/>
        <v>2.2130638669128233E-2</v>
      </c>
      <c r="AD217" s="166">
        <f ca="1"/>
        <v>4.0951731748329001E-2</v>
      </c>
      <c r="AE217" s="140">
        <f ca="1"/>
        <v>7.3701063461150573E-2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.199999999999999" x14ac:dyDescent="0.2">
      <c r="A218" s="97">
        <f t="shared" ca="1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>
        <f t="array" aca="1" ref="N218:AE218" ca="1">IF(OR(B218="",NOT($J$2)),"",[3]!GetStripDefaultProbability(A218,B218,Parameter_Date,CDSRollDate,E218:M218,SpreadCurveMaturities,D218,C218,$J$4,$J$6))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1.0726194909083109E-3</v>
      </c>
      <c r="Q218" s="166">
        <f ca="1"/>
        <v>0</v>
      </c>
      <c r="R218" s="166">
        <f ca="1"/>
        <v>8.7469009598281078E-3</v>
      </c>
      <c r="S218" s="166">
        <f ca="1"/>
        <v>0</v>
      </c>
      <c r="T218" s="166">
        <f ca="1"/>
        <v>2.1761014531380463E-2</v>
      </c>
      <c r="U218" s="166">
        <f ca="1"/>
        <v>4.1220063103004523E-2</v>
      </c>
      <c r="V218" s="140">
        <f ca="1"/>
        <v>7.4138821344098771E-2</v>
      </c>
      <c r="W218" s="139">
        <f ca="1"/>
        <v>0</v>
      </c>
      <c r="X218" s="166">
        <f ca="1"/>
        <v>0</v>
      </c>
      <c r="Y218" s="166">
        <f ca="1"/>
        <v>1.2390935144251936E-3</v>
      </c>
      <c r="Z218" s="166">
        <f ca="1"/>
        <v>0</v>
      </c>
      <c r="AA218" s="166">
        <f ca="1"/>
        <v>9.2424036233285101E-3</v>
      </c>
      <c r="AB218" s="166">
        <f ca="1"/>
        <v>0</v>
      </c>
      <c r="AC218" s="166">
        <f ca="1"/>
        <v>2.2822540733483887E-2</v>
      </c>
      <c r="AD218" s="166">
        <f ca="1"/>
        <v>4.3230154161459033E-2</v>
      </c>
      <c r="AE218" s="140">
        <f ca="1"/>
        <v>7.7708583997017744E-2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.199999999999999" x14ac:dyDescent="0.2">
      <c r="A219" s="97">
        <f t="shared" ca="1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>
        <f t="array" aca="1" ref="N219:AE219" ca="1">IF(OR(B219="",NOT($J$2)),"",[3]!GetStripDefaultProbability(A219,B219,Parameter_Date,CDSRollDate,E219:M219,SpreadCurveMaturities,D219,C219,$J$4,$J$6))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5.0215613405512061E-3</v>
      </c>
      <c r="Q219" s="166">
        <f ca="1"/>
        <v>0</v>
      </c>
      <c r="R219" s="166">
        <f ca="1"/>
        <v>2.0683990234869221E-2</v>
      </c>
      <c r="S219" s="166">
        <f ca="1"/>
        <v>0</v>
      </c>
      <c r="T219" s="166">
        <f ca="1"/>
        <v>5.9222719021963077E-2</v>
      </c>
      <c r="U219" s="166">
        <f ca="1"/>
        <v>9.9046376389247737E-2</v>
      </c>
      <c r="V219" s="140">
        <f ca="1"/>
        <v>0.16799233867775065</v>
      </c>
      <c r="W219" s="139">
        <f ca="1"/>
        <v>0</v>
      </c>
      <c r="X219" s="166">
        <f ca="1"/>
        <v>0</v>
      </c>
      <c r="Y219" s="166">
        <f ca="1"/>
        <v>5.2580064507877777E-3</v>
      </c>
      <c r="Z219" s="166">
        <f ca="1"/>
        <v>0</v>
      </c>
      <c r="AA219" s="166">
        <f ca="1"/>
        <v>2.1707020406985245E-2</v>
      </c>
      <c r="AB219" s="166">
        <f ca="1"/>
        <v>0</v>
      </c>
      <c r="AC219" s="166">
        <f ca="1"/>
        <v>6.2102922102785674E-2</v>
      </c>
      <c r="AD219" s="166">
        <f ca="1"/>
        <v>0.10378871076557916</v>
      </c>
      <c r="AE219" s="140">
        <f ca="1"/>
        <v>0.17582101737673117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.199999999999999" x14ac:dyDescent="0.2">
      <c r="A220" s="97">
        <f t="shared" ca="1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>
        <f t="array" aca="1" ref="N220:AE220" ca="1">IF(OR(B220="",NOT($J$2)),"",[3]!GetStripDefaultProbability(A220,B220,Parameter_Date,CDSRollDate,E220:M220,SpreadCurveMaturities,D220,C220,$J$4,$J$6))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2.0648326988291776E-3</v>
      </c>
      <c r="Q220" s="166">
        <f ca="1"/>
        <v>0</v>
      </c>
      <c r="R220" s="166">
        <f ca="1"/>
        <v>1.112014078188206E-2</v>
      </c>
      <c r="S220" s="166">
        <f ca="1"/>
        <v>0</v>
      </c>
      <c r="T220" s="166">
        <f ca="1"/>
        <v>2.8795917420826878E-2</v>
      </c>
      <c r="U220" s="166">
        <f ca="1"/>
        <v>4.2002370149119672E-2</v>
      </c>
      <c r="V220" s="140">
        <f ca="1"/>
        <v>6.9037747612478606E-2</v>
      </c>
      <c r="W220" s="139">
        <f ca="1"/>
        <v>0</v>
      </c>
      <c r="X220" s="166">
        <f ca="1"/>
        <v>0</v>
      </c>
      <c r="Y220" s="166">
        <f ca="1"/>
        <v>2.2311413672673197E-3</v>
      </c>
      <c r="Z220" s="166">
        <f ca="1"/>
        <v>0</v>
      </c>
      <c r="AA220" s="166">
        <f ca="1"/>
        <v>1.1653497580018324E-2</v>
      </c>
      <c r="AB220" s="166">
        <f ca="1"/>
        <v>0</v>
      </c>
      <c r="AC220" s="166">
        <f ca="1"/>
        <v>3.0213453314578476E-2</v>
      </c>
      <c r="AD220" s="166">
        <f ca="1"/>
        <v>4.4059269236955134E-2</v>
      </c>
      <c r="AE220" s="140">
        <f ca="1"/>
        <v>7.2371631032543626E-2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.199999999999999" x14ac:dyDescent="0.2">
      <c r="A221" s="97">
        <f t="shared" ca="1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>
        <f t="array" aca="1" ref="N221:AE221" ca="1">IF(OR(B221="",NOT($J$2)),"",[3]!GetStripDefaultProbability(A221,B221,Parameter_Date,CDSRollDate,E221:M221,SpreadCurveMaturities,D221,C221,$J$4,$J$6))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1.4939449736464105E-3</v>
      </c>
      <c r="Q221" s="166">
        <f ca="1"/>
        <v>0</v>
      </c>
      <c r="R221" s="166">
        <f ca="1"/>
        <v>1.2364076943364166E-2</v>
      </c>
      <c r="S221" s="166">
        <f ca="1"/>
        <v>0</v>
      </c>
      <c r="T221" s="166">
        <f ca="1"/>
        <v>3.3039369981385236E-2</v>
      </c>
      <c r="U221" s="166">
        <f ca="1"/>
        <v>6.1960191909447015E-2</v>
      </c>
      <c r="V221" s="140">
        <f ca="1"/>
        <v>0.12500328264846416</v>
      </c>
      <c r="W221" s="139">
        <f ca="1"/>
        <v>0</v>
      </c>
      <c r="X221" s="166">
        <f ca="1"/>
        <v>0</v>
      </c>
      <c r="Y221" s="166">
        <f ca="1"/>
        <v>1.6603487820954221E-3</v>
      </c>
      <c r="Z221" s="166">
        <f ca="1"/>
        <v>0</v>
      </c>
      <c r="AA221" s="166">
        <f ca="1"/>
        <v>1.295376638487622E-2</v>
      </c>
      <c r="AB221" s="166">
        <f ca="1"/>
        <v>0</v>
      </c>
      <c r="AC221" s="166">
        <f ca="1"/>
        <v>3.4661660103194492E-2</v>
      </c>
      <c r="AD221" s="166">
        <f ca="1"/>
        <v>6.4974434891840849E-2</v>
      </c>
      <c r="AE221" s="140">
        <f ca="1"/>
        <v>0.13097529776195305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.199999999999999" x14ac:dyDescent="0.2">
      <c r="A222" s="97">
        <f t="shared" ca="1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>
        <f t="array" aca="1" ref="N222:AE222" ca="1">IF(OR(B222="",NOT($J$2)),"",[3]!GetStripDefaultProbability(A222,B222,Parameter_Date,CDSRollDate,E222:M222,SpreadCurveMaturities,D222,C222,$J$4,$J$6))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1.7054226442938525E-3</v>
      </c>
      <c r="Q222" s="166">
        <f ca="1"/>
        <v>0</v>
      </c>
      <c r="R222" s="166">
        <f ca="1"/>
        <v>1.1183425405788872E-2</v>
      </c>
      <c r="S222" s="166">
        <f ca="1"/>
        <v>0</v>
      </c>
      <c r="T222" s="166">
        <f ca="1"/>
        <v>2.4056644775907632E-2</v>
      </c>
      <c r="U222" s="166">
        <f ca="1"/>
        <v>4.4305885469375306E-2</v>
      </c>
      <c r="V222" s="140">
        <f ca="1"/>
        <v>8.0399928054631697E-2</v>
      </c>
      <c r="W222" s="139">
        <f ca="1"/>
        <v>0</v>
      </c>
      <c r="X222" s="166">
        <f ca="1"/>
        <v>0</v>
      </c>
      <c r="Y222" s="166">
        <f ca="1"/>
        <v>1.8717912094193823E-3</v>
      </c>
      <c r="Z222" s="166">
        <f ca="1"/>
        <v>0</v>
      </c>
      <c r="AA222" s="166">
        <f ca="1"/>
        <v>1.1718477565236252E-2</v>
      </c>
      <c r="AB222" s="166">
        <f ca="1"/>
        <v>0</v>
      </c>
      <c r="AC222" s="166">
        <f ca="1"/>
        <v>2.5241268017440976E-2</v>
      </c>
      <c r="AD222" s="166">
        <f ca="1"/>
        <v>4.647455747835294E-2</v>
      </c>
      <c r="AE222" s="140">
        <f ca="1"/>
        <v>8.4269980036214442E-2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.199999999999999" x14ac:dyDescent="0.2">
      <c r="A223" s="97">
        <f t="shared" ca="1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>
        <f t="array" aca="1" ref="N223:AE223" ca="1">IF(OR(B223="",NOT($J$2)),"",[3]!GetStripDefaultProbability(A223,B223,Parameter_Date,CDSRollDate,E223:M223,SpreadCurveMaturities,D223,C223,$J$4,$J$6))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8.9804386842862183E-4</v>
      </c>
      <c r="Q223" s="166">
        <f ca="1"/>
        <v>0</v>
      </c>
      <c r="R223" s="166">
        <f ca="1"/>
        <v>9.4371306991108961E-3</v>
      </c>
      <c r="S223" s="166">
        <f ca="1"/>
        <v>0</v>
      </c>
      <c r="T223" s="166">
        <f ca="1"/>
        <v>2.3872256312090445E-2</v>
      </c>
      <c r="U223" s="166">
        <f ca="1"/>
        <v>4.2075550906881309E-2</v>
      </c>
      <c r="V223" s="140">
        <f ca="1"/>
        <v>7.8294909801419732E-2</v>
      </c>
      <c r="W223" s="139">
        <f ca="1"/>
        <v>0</v>
      </c>
      <c r="X223" s="166">
        <f ca="1"/>
        <v>0</v>
      </c>
      <c r="Y223" s="166">
        <f ca="1"/>
        <v>1.0645469854562162E-3</v>
      </c>
      <c r="Z223" s="166">
        <f ca="1"/>
        <v>0</v>
      </c>
      <c r="AA223" s="166">
        <f ca="1"/>
        <v>9.9322883340022816E-3</v>
      </c>
      <c r="AB223" s="166">
        <f ca="1"/>
        <v>0</v>
      </c>
      <c r="AC223" s="166">
        <f ca="1"/>
        <v>2.5040191383272181E-2</v>
      </c>
      <c r="AD223" s="166">
        <f ca="1"/>
        <v>4.4129361029206504E-2</v>
      </c>
      <c r="AE223" s="140">
        <f ca="1"/>
        <v>8.206011786117029E-2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.199999999999999" x14ac:dyDescent="0.2">
      <c r="A224" s="97">
        <f t="shared" ca="1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>
        <f t="array" aca="1" ref="N224:AE224" ca="1">IF(OR(B224="",NOT($J$2)),"",[3]!GetStripDefaultProbability(A224,B224,Parameter_Date,CDSRollDate,E224:M224,SpreadCurveMaturities,D224,C224,$J$4,$J$6))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6.5993739455927347E-4</v>
      </c>
      <c r="Q224" s="166">
        <f ca="1"/>
        <v>0</v>
      </c>
      <c r="R224" s="166">
        <f ca="1"/>
        <v>8.782479457400072E-3</v>
      </c>
      <c r="S224" s="166">
        <f ca="1"/>
        <v>0</v>
      </c>
      <c r="T224" s="166">
        <f ca="1"/>
        <v>2.3098166972554846E-2</v>
      </c>
      <c r="U224" s="166">
        <f ca="1"/>
        <v>4.704220458508912E-2</v>
      </c>
      <c r="V224" s="140">
        <f ca="1"/>
        <v>8.9781561619987293E-2</v>
      </c>
      <c r="W224" s="139">
        <f ca="1"/>
        <v>0</v>
      </c>
      <c r="X224" s="166">
        <f ca="1"/>
        <v>0</v>
      </c>
      <c r="Y224" s="166">
        <f ca="1"/>
        <v>8.2648019269382367E-4</v>
      </c>
      <c r="Z224" s="166">
        <f ca="1"/>
        <v>0</v>
      </c>
      <c r="AA224" s="166">
        <f ca="1"/>
        <v>9.2779643361214914E-3</v>
      </c>
      <c r="AB224" s="166">
        <f ca="1"/>
        <v>0</v>
      </c>
      <c r="AC224" s="166">
        <f ca="1"/>
        <v>2.422388411642884E-2</v>
      </c>
      <c r="AD224" s="166">
        <f ca="1"/>
        <v>4.9332606691680492E-2</v>
      </c>
      <c r="AE224" s="140">
        <f ca="1"/>
        <v>9.4110738282527695E-2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.199999999999999" x14ac:dyDescent="0.2">
      <c r="A225" s="97">
        <f t="shared" ca="1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>
        <f t="array" aca="1" ref="N225:AE225" ca="1">IF(OR(B225="",NOT($J$2)),"",[3]!GetStripDefaultProbability(A225,B225,Parameter_Date,CDSRollDate,E225:M225,SpreadCurveMaturities,D225,C225,$J$4,$J$6))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1.0973045090061362E-3</v>
      </c>
      <c r="Q225" s="166">
        <f ca="1"/>
        <v>0</v>
      </c>
      <c r="R225" s="166">
        <f ca="1"/>
        <v>1.2154778575023339E-2</v>
      </c>
      <c r="S225" s="166">
        <f ca="1"/>
        <v>0</v>
      </c>
      <c r="T225" s="166">
        <f ca="1"/>
        <v>2.7902518072831728E-2</v>
      </c>
      <c r="U225" s="166">
        <f ca="1"/>
        <v>5.132676119617019E-2</v>
      </c>
      <c r="V225" s="140">
        <f ca="1"/>
        <v>8.9616371833947661E-2</v>
      </c>
      <c r="W225" s="139">
        <f ca="1"/>
        <v>0</v>
      </c>
      <c r="X225" s="166">
        <f ca="1"/>
        <v>0</v>
      </c>
      <c r="Y225" s="166">
        <f ca="1"/>
        <v>1.2637744187210531E-3</v>
      </c>
      <c r="Z225" s="166">
        <f ca="1"/>
        <v>0</v>
      </c>
      <c r="AA225" s="166">
        <f ca="1"/>
        <v>1.2733239480220981E-2</v>
      </c>
      <c r="AB225" s="166">
        <f ca="1"/>
        <v>0</v>
      </c>
      <c r="AC225" s="166">
        <f ca="1"/>
        <v>2.9273203054754671E-2</v>
      </c>
      <c r="AD225" s="166">
        <f ca="1"/>
        <v>5.3831029244169493E-2</v>
      </c>
      <c r="AE225" s="140">
        <f ca="1"/>
        <v>9.3909438828905012E-2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.199999999999999" x14ac:dyDescent="0.2">
      <c r="A226" s="97">
        <f t="shared" ca="1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>
        <f t="array" aca="1" ref="N226:AE226" ca="1">IF(OR(B226="",NOT($J$2)),"",[3]!GetStripDefaultProbability(A226,B226,Parameter_Date,CDSRollDate,E226:M226,SpreadCurveMaturities,D226,C226,$J$4,$J$6))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1.2771342247767103E-3</v>
      </c>
      <c r="Q226" s="166">
        <f ca="1"/>
        <v>0</v>
      </c>
      <c r="R226" s="166">
        <f ca="1"/>
        <v>8.2315347555670382E-3</v>
      </c>
      <c r="S226" s="166">
        <f ca="1"/>
        <v>0</v>
      </c>
      <c r="T226" s="166">
        <f ca="1"/>
        <v>2.2231980244294292E-2</v>
      </c>
      <c r="U226" s="166">
        <f ca="1"/>
        <v>3.6044154132440109E-2</v>
      </c>
      <c r="V226" s="140">
        <f ca="1"/>
        <v>7.0765222021280105E-2</v>
      </c>
      <c r="W226" s="139">
        <f ca="1"/>
        <v>0</v>
      </c>
      <c r="X226" s="166">
        <f ca="1"/>
        <v>0</v>
      </c>
      <c r="Y226" s="166">
        <f ca="1"/>
        <v>1.4435741653678891E-3</v>
      </c>
      <c r="Z226" s="166">
        <f ca="1"/>
        <v>0</v>
      </c>
      <c r="AA226" s="166">
        <f ca="1"/>
        <v>8.727295037779137E-3</v>
      </c>
      <c r="AB226" s="166">
        <f ca="1"/>
        <v>0</v>
      </c>
      <c r="AC226" s="166">
        <f ca="1"/>
        <v>2.3314707790414557E-2</v>
      </c>
      <c r="AD226" s="166">
        <f ca="1"/>
        <v>3.7800778675304625E-2</v>
      </c>
      <c r="AE226" s="140">
        <f ca="1"/>
        <v>7.4173318109216013E-2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.199999999999999" x14ac:dyDescent="0.2">
      <c r="A227" s="97">
        <f t="shared" ca="1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>
        <f t="array" aca="1" ref="N227:AE227" ca="1">IF(OR(B227="",NOT($J$2)),"",[3]!GetStripDefaultProbability(A227,B227,Parameter_Date,CDSRollDate,E227:M227,SpreadCurveMaturities,D227,C227,$J$4,$J$6))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7.9398944939701455E-4</v>
      </c>
      <c r="Q227" s="166">
        <f ca="1"/>
        <v>0</v>
      </c>
      <c r="R227" s="166">
        <f ca="1"/>
        <v>6.0026150641299125E-3</v>
      </c>
      <c r="S227" s="166">
        <f ca="1"/>
        <v>0</v>
      </c>
      <c r="T227" s="166">
        <f ca="1"/>
        <v>1.7726094900488931E-2</v>
      </c>
      <c r="U227" s="166">
        <f ca="1"/>
        <v>3.2700591702681803E-2</v>
      </c>
      <c r="V227" s="140">
        <f ca="1"/>
        <v>6.3766644530592886E-2</v>
      </c>
      <c r="W227" s="139">
        <f ca="1"/>
        <v>0</v>
      </c>
      <c r="X227" s="166">
        <f ca="1"/>
        <v>0</v>
      </c>
      <c r="Y227" s="166">
        <f ca="1"/>
        <v>9.6050990741514131E-4</v>
      </c>
      <c r="Z227" s="166">
        <f ca="1"/>
        <v>0</v>
      </c>
      <c r="AA227" s="166">
        <f ca="1"/>
        <v>6.4994895276312414E-3</v>
      </c>
      <c r="AB227" s="166">
        <f ca="1"/>
        <v>0</v>
      </c>
      <c r="AC227" s="166">
        <f ca="1"/>
        <v>1.8555356829835112E-2</v>
      </c>
      <c r="AD227" s="166">
        <f ca="1"/>
        <v>3.4284753803254242E-2</v>
      </c>
      <c r="AE227" s="140">
        <f ca="1"/>
        <v>6.6837563720866577E-2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.199999999999999" x14ac:dyDescent="0.2">
      <c r="A228" s="97">
        <f t="shared" ca="1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>
        <f t="array" aca="1" ref="N228:AE228" ca="1">IF(OR(B228="",NOT($J$2)),"",[3]!GetStripDefaultProbability(A228,B228,Parameter_Date,CDSRollDate,E228:M228,SpreadCurveMaturities,D228,C228,$J$4,$J$6))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9.3684106812486068E-4</v>
      </c>
      <c r="Q228" s="166">
        <f ca="1"/>
        <v>0</v>
      </c>
      <c r="R228" s="166">
        <f ca="1"/>
        <v>8.5119248183948004E-3</v>
      </c>
      <c r="S228" s="166">
        <f ca="1"/>
        <v>0</v>
      </c>
      <c r="T228" s="166">
        <f ca="1"/>
        <v>2.3104237010584949E-2</v>
      </c>
      <c r="U228" s="166">
        <f ca="1"/>
        <v>4.6415858452354852E-2</v>
      </c>
      <c r="V228" s="140">
        <f ca="1"/>
        <v>8.5196620707809423E-2</v>
      </c>
      <c r="W228" s="139">
        <f ca="1"/>
        <v>0</v>
      </c>
      <c r="X228" s="166">
        <f ca="1"/>
        <v>0</v>
      </c>
      <c r="Y228" s="166">
        <f ca="1"/>
        <v>1.1033377195059924E-3</v>
      </c>
      <c r="Z228" s="166">
        <f ca="1"/>
        <v>0</v>
      </c>
      <c r="AA228" s="166">
        <f ca="1"/>
        <v>9.0075449406408215E-3</v>
      </c>
      <c r="AB228" s="166">
        <f ca="1"/>
        <v>0</v>
      </c>
      <c r="AC228" s="166">
        <f ca="1"/>
        <v>2.4229889411714112E-2</v>
      </c>
      <c r="AD228" s="166">
        <f ca="1"/>
        <v>4.8675716897522592E-2</v>
      </c>
      <c r="AE228" s="140">
        <f ca="1"/>
        <v>8.9281257302702421E-2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.199999999999999" x14ac:dyDescent="0.2">
      <c r="A229" s="97">
        <f t="shared" ca="1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>
        <f t="array" aca="1" ref="N229:AE229" ca="1">IF(OR(B229="",NOT($J$2)),"",[3]!GetStripDefaultProbability(A229,B229,Parameter_Date,CDSRollDate,E229:M229,SpreadCurveMaturities,D229,C229,$J$4,$J$6))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2.7216574368458257E-3</v>
      </c>
      <c r="Q229" s="166">
        <f ca="1"/>
        <v>0</v>
      </c>
      <c r="R229" s="166">
        <f ca="1"/>
        <v>1.139333911307161E-2</v>
      </c>
      <c r="S229" s="166">
        <f ca="1"/>
        <v>0</v>
      </c>
      <c r="T229" s="166">
        <f ca="1"/>
        <v>2.5683474045673615E-2</v>
      </c>
      <c r="U229" s="166">
        <f ca="1"/>
        <v>4.811790806328009E-2</v>
      </c>
      <c r="V229" s="140">
        <f ca="1"/>
        <v>9.1462090657627892E-2</v>
      </c>
      <c r="W229" s="139">
        <f ca="1"/>
        <v>0</v>
      </c>
      <c r="X229" s="166">
        <f ca="1"/>
        <v>0</v>
      </c>
      <c r="Y229" s="166">
        <f ca="1"/>
        <v>2.8878566436124631E-3</v>
      </c>
      <c r="Z229" s="166">
        <f ca="1"/>
        <v>0</v>
      </c>
      <c r="AA229" s="166">
        <f ca="1"/>
        <v>1.1941863580229195E-2</v>
      </c>
      <c r="AB229" s="166">
        <f ca="1"/>
        <v>0</v>
      </c>
      <c r="AC229" s="166">
        <f ca="1"/>
        <v>2.6951165958712942E-2</v>
      </c>
      <c r="AD229" s="166">
        <f ca="1"/>
        <v>5.047370382694949E-2</v>
      </c>
      <c r="AE229" s="140">
        <f ca="1"/>
        <v>9.5880186905782261E-2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.199999999999999" x14ac:dyDescent="0.2">
      <c r="A230" s="97">
        <f t="shared" ca="1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>
        <f t="array" aca="1" ref="N230:AE230" ca="1">IF(OR(B230="",NOT($J$2)),"",[3]!GetStripDefaultProbability(A230,B230,Parameter_Date,CDSRollDate,E230:M230,SpreadCurveMaturities,D230,C230,$J$4,$J$6))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1.7424266671043354E-3</v>
      </c>
      <c r="Q230" s="166">
        <f ca="1"/>
        <v>0</v>
      </c>
      <c r="R230" s="166">
        <f ca="1"/>
        <v>1.0545952673529535E-2</v>
      </c>
      <c r="S230" s="166">
        <f ca="1"/>
        <v>0</v>
      </c>
      <c r="T230" s="166">
        <f ca="1"/>
        <v>2.6289891979969227E-2</v>
      </c>
      <c r="U230" s="166">
        <f ca="1"/>
        <v>4.7981079295134621E-2</v>
      </c>
      <c r="V230" s="140">
        <f ca="1"/>
        <v>8.6227186668140665E-2</v>
      </c>
      <c r="W230" s="139">
        <f ca="1"/>
        <v>0</v>
      </c>
      <c r="X230" s="166">
        <f ca="1"/>
        <v>0</v>
      </c>
      <c r="Y230" s="166">
        <f ca="1"/>
        <v>1.9087890654225781E-3</v>
      </c>
      <c r="Z230" s="166">
        <f ca="1"/>
        <v>0</v>
      </c>
      <c r="AA230" s="166">
        <f ca="1"/>
        <v>1.1051187292893894E-2</v>
      </c>
      <c r="AB230" s="166">
        <f ca="1"/>
        <v>0</v>
      </c>
      <c r="AC230" s="166">
        <f ca="1"/>
        <v>2.7583930594797801E-2</v>
      </c>
      <c r="AD230" s="166">
        <f ca="1"/>
        <v>5.0327373519987284E-2</v>
      </c>
      <c r="AE230" s="140">
        <f ca="1"/>
        <v>9.0367549515765089E-2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.199999999999999" x14ac:dyDescent="0.2">
      <c r="A231" s="97">
        <f t="shared" ca="1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>
        <f t="array" aca="1" ref="N231:AE231" ca="1">IF(OR(B231="",NOT($J$2)),"",[3]!GetStripDefaultProbability(A231,B231,Parameter_Date,CDSRollDate,E231:M231,SpreadCurveMaturities,D231,C231,$J$4,$J$6))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6.4521128255525917E-2</v>
      </c>
      <c r="Q231" s="166">
        <f ca="1"/>
        <v>0</v>
      </c>
      <c r="R231" s="166">
        <f ca="1"/>
        <v>0.1730149216425293</v>
      </c>
      <c r="S231" s="166">
        <f ca="1"/>
        <v>0</v>
      </c>
      <c r="T231" s="166">
        <f ca="1"/>
        <v>0.23456614799287301</v>
      </c>
      <c r="U231" s="166">
        <f ca="1"/>
        <v>0.28289112424234075</v>
      </c>
      <c r="V231" s="140">
        <f ca="1"/>
        <v>0.36049035163217746</v>
      </c>
      <c r="W231" s="139">
        <f ca="1"/>
        <v>0</v>
      </c>
      <c r="X231" s="166">
        <f ca="1"/>
        <v>0</v>
      </c>
      <c r="Y231" s="166">
        <f ca="1"/>
        <v>6.7635521325485337E-2</v>
      </c>
      <c r="Z231" s="166">
        <f ca="1"/>
        <v>0</v>
      </c>
      <c r="AA231" s="166">
        <f ca="1"/>
        <v>0.18082730283661552</v>
      </c>
      <c r="AB231" s="166">
        <f ca="1"/>
        <v>0</v>
      </c>
      <c r="AC231" s="166">
        <f ca="1"/>
        <v>0.2445553204674954</v>
      </c>
      <c r="AD231" s="166">
        <f ca="1"/>
        <v>0.29435813002225475</v>
      </c>
      <c r="AE231" s="140">
        <f ca="1"/>
        <v>0.37412897412287183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.199999999999999" x14ac:dyDescent="0.2">
      <c r="A232" s="97">
        <f t="shared" ca="1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>
        <f t="array" aca="1" ref="N232:AE232" ca="1">IF(OR(B232="",NOT($J$2)),"",[3]!GetStripDefaultProbability(A232,B232,Parameter_Date,CDSRollDate,E232:M232,SpreadCurveMaturities,D232,C232,$J$4,$J$6))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1.9362350297207342E-3</v>
      </c>
      <c r="Q232" s="166">
        <f ca="1"/>
        <v>0</v>
      </c>
      <c r="R232" s="166">
        <f ca="1"/>
        <v>1.132218489622927E-2</v>
      </c>
      <c r="S232" s="166">
        <f ca="1"/>
        <v>0</v>
      </c>
      <c r="T232" s="166">
        <f ca="1"/>
        <v>3.830242703404807E-2</v>
      </c>
      <c r="U232" s="166">
        <f ca="1"/>
        <v>6.8463794783277798E-2</v>
      </c>
      <c r="V232" s="140">
        <f ca="1"/>
        <v>0.11923825254011489</v>
      </c>
      <c r="W232" s="139">
        <f ca="1"/>
        <v>0</v>
      </c>
      <c r="X232" s="166">
        <f ca="1"/>
        <v>0</v>
      </c>
      <c r="Y232" s="166">
        <f ca="1"/>
        <v>2.1025651293250514E-3</v>
      </c>
      <c r="Z232" s="166">
        <f ca="1"/>
        <v>0</v>
      </c>
      <c r="AA232" s="166">
        <f ca="1"/>
        <v>1.1864573015912372E-2</v>
      </c>
      <c r="AB232" s="166">
        <f ca="1"/>
        <v>0</v>
      </c>
      <c r="AC232" s="166">
        <f ca="1"/>
        <v>4.0181403940841576E-2</v>
      </c>
      <c r="AD232" s="166">
        <f ca="1"/>
        <v>7.1788974199283873E-2</v>
      </c>
      <c r="AE232" s="140">
        <f ca="1"/>
        <v>0.12492498430585486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.199999999999999" x14ac:dyDescent="0.2">
      <c r="A233" s="97">
        <f t="shared" ca="1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>
        <f t="array" aca="1" ref="N233:AE233" ca="1">IF(OR(B233="",NOT($J$2)),"",[3]!GetStripDefaultProbability(A233,B233,Parameter_Date,CDSRollDate,E233:M233,SpreadCurveMaturities,D233,C233,$J$4,$J$6))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0.20315564489382631</v>
      </c>
      <c r="Q233" s="166">
        <f ca="1"/>
        <v>0</v>
      </c>
      <c r="R233" s="166">
        <f ca="1"/>
        <v>0.35595572953044285</v>
      </c>
      <c r="S233" s="166">
        <f ca="1"/>
        <v>0</v>
      </c>
      <c r="T233" s="166">
        <f ca="1"/>
        <v>0.38649024766075035</v>
      </c>
      <c r="U233" s="166">
        <f ca="1"/>
        <v>0.45945210006233261</v>
      </c>
      <c r="V233" s="140">
        <f ca="1"/>
        <v>0.53946718467367794</v>
      </c>
      <c r="W233" s="139">
        <f ca="1"/>
        <v>0</v>
      </c>
      <c r="X233" s="166">
        <f ca="1"/>
        <v>0</v>
      </c>
      <c r="Y233" s="166">
        <f ca="1"/>
        <v>0.21215202115424048</v>
      </c>
      <c r="Z233" s="166">
        <f ca="1"/>
        <v>0</v>
      </c>
      <c r="AA233" s="166">
        <f ca="1"/>
        <v>0.36933865375957253</v>
      </c>
      <c r="AB233" s="166">
        <f ca="1"/>
        <v>0</v>
      </c>
      <c r="AC233" s="166">
        <f ca="1"/>
        <v>0.39962894304488861</v>
      </c>
      <c r="AD233" s="166">
        <f ca="1"/>
        <v>0.47396491201086344</v>
      </c>
      <c r="AE233" s="140">
        <f ca="1"/>
        <v>0.554675778643414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.199999999999999" x14ac:dyDescent="0.2">
      <c r="A234" s="97">
        <f t="shared" ca="1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>
        <f t="array" aca="1" ref="N234:AE234" ca="1">IF(OR(B234="",NOT($J$2)),"",[3]!GetStripDefaultProbability(A234,B234,Parameter_Date,CDSRollDate,E234:M234,SpreadCurveMaturities,D234,C234,$J$4,$J$6))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1.0003241691868281E-3</v>
      </c>
      <c r="Q234" s="166">
        <f ca="1"/>
        <v>0</v>
      </c>
      <c r="R234" s="166">
        <f ca="1"/>
        <v>6.4940268271357349E-3</v>
      </c>
      <c r="S234" s="166">
        <f ca="1"/>
        <v>0</v>
      </c>
      <c r="T234" s="166">
        <f ca="1"/>
        <v>1.7657310184023389E-2</v>
      </c>
      <c r="U234" s="166">
        <f ca="1"/>
        <v>3.390280918341837E-2</v>
      </c>
      <c r="V234" s="140">
        <f ca="1"/>
        <v>6.5398542161450246E-2</v>
      </c>
      <c r="W234" s="139">
        <f ca="1"/>
        <v>0</v>
      </c>
      <c r="X234" s="166">
        <f ca="1"/>
        <v>0</v>
      </c>
      <c r="Y234" s="166">
        <f ca="1"/>
        <v>1.1668102409295722E-3</v>
      </c>
      <c r="Z234" s="166">
        <f ca="1"/>
        <v>0</v>
      </c>
      <c r="AA234" s="166">
        <f ca="1"/>
        <v>6.9906556461909464E-3</v>
      </c>
      <c r="AB234" s="166">
        <f ca="1"/>
        <v>0</v>
      </c>
      <c r="AC234" s="166">
        <f ca="1"/>
        <v>1.8486630183217612E-2</v>
      </c>
      <c r="AD234" s="166">
        <f ca="1"/>
        <v>3.5548761532460227E-2</v>
      </c>
      <c r="AE234" s="140">
        <f ca="1"/>
        <v>6.8550008010365371E-2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.199999999999999" x14ac:dyDescent="0.2">
      <c r="A235" s="97">
        <f t="shared" ca="1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>
        <f t="array" aca="1" ref="N235:AE235" ca="1">IF(OR(B235="",NOT($J$2)),"",[3]!GetStripDefaultProbability(A235,B235,Parameter_Date,CDSRollDate,E235:M235,SpreadCurveMaturities,D235,C235,$J$4,$J$6))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1.3405958647303429E-3</v>
      </c>
      <c r="Q235" s="166">
        <f ca="1"/>
        <v>0</v>
      </c>
      <c r="R235" s="166">
        <f ca="1"/>
        <v>1.0742417765674084E-2</v>
      </c>
      <c r="S235" s="166">
        <f ca="1"/>
        <v>0</v>
      </c>
      <c r="T235" s="166">
        <f ca="1"/>
        <v>2.3262128140205118E-2</v>
      </c>
      <c r="U235" s="166">
        <f ca="1"/>
        <v>4.417372918920548E-2</v>
      </c>
      <c r="V235" s="140">
        <f ca="1"/>
        <v>8.2324061416722105E-2</v>
      </c>
      <c r="W235" s="139">
        <f ca="1"/>
        <v>0</v>
      </c>
      <c r="X235" s="166">
        <f ca="1"/>
        <v>0</v>
      </c>
      <c r="Y235" s="166">
        <f ca="1"/>
        <v>1.5070252292597175E-3</v>
      </c>
      <c r="Z235" s="166">
        <f ca="1"/>
        <v>0</v>
      </c>
      <c r="AA235" s="166">
        <f ca="1"/>
        <v>1.1255462054094334E-2</v>
      </c>
      <c r="AB235" s="166">
        <f ca="1"/>
        <v>0</v>
      </c>
      <c r="AC235" s="166">
        <f ca="1"/>
        <v>2.4406576352000942E-2</v>
      </c>
      <c r="AD235" s="166">
        <f ca="1"/>
        <v>4.6335178632985086E-2</v>
      </c>
      <c r="AE235" s="140">
        <f ca="1"/>
        <v>8.6283745824437319E-2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.199999999999999" x14ac:dyDescent="0.2">
      <c r="A236" s="97">
        <f t="shared" ca="1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>
        <f t="array" aca="1" ref="N236:AE236" ca="1">IF(OR(B236="",NOT($J$2)),"",[3]!GetStripDefaultProbability(A236,B236,Parameter_Date,CDSRollDate,E236:M236,SpreadCurveMaturities,D236,C236,$J$4,$J$6))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2.0419329471454972E-3</v>
      </c>
      <c r="Q236" s="166">
        <f ca="1"/>
        <v>0</v>
      </c>
      <c r="R236" s="166">
        <f ca="1"/>
        <v>1.7096673763476122E-2</v>
      </c>
      <c r="S236" s="166">
        <f ca="1"/>
        <v>0</v>
      </c>
      <c r="T236" s="166">
        <f ca="1"/>
        <v>3.9787383689969369E-2</v>
      </c>
      <c r="U236" s="166">
        <f ca="1"/>
        <v>7.3663021363520209E-2</v>
      </c>
      <c r="V236" s="140">
        <f ca="1"/>
        <v>0.12889191836470337</v>
      </c>
      <c r="W236" s="139">
        <f ca="1"/>
        <v>0</v>
      </c>
      <c r="X236" s="166">
        <f ca="1"/>
        <v>0</v>
      </c>
      <c r="Y236" s="166">
        <f ca="1"/>
        <v>2.2082454319073408E-3</v>
      </c>
      <c r="Z236" s="166">
        <f ca="1"/>
        <v>0</v>
      </c>
      <c r="AA236" s="166">
        <f ca="1"/>
        <v>1.7938617453780781E-2</v>
      </c>
      <c r="AB236" s="166">
        <f ca="1"/>
        <v>0</v>
      </c>
      <c r="AC236" s="166">
        <f ca="1"/>
        <v>4.1735028362918203E-2</v>
      </c>
      <c r="AD236" s="166">
        <f ca="1"/>
        <v>7.722611958318859E-2</v>
      </c>
      <c r="AE236" s="140">
        <f ca="1"/>
        <v>0.13500896715782462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.199999999999999" x14ac:dyDescent="0.2">
      <c r="A237" s="97">
        <f t="shared" ca="1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>
        <f t="array" aca="1" ref="N237:AE237" ca="1">IF(OR(B237="",NOT($J$2)),"",[3]!GetStripDefaultProbability(A237,B237,Parameter_Date,CDSRollDate,E237:M237,SpreadCurveMaturities,D237,C237,$J$4,$J$6))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1.8728109482478716E-3</v>
      </c>
      <c r="Q237" s="166">
        <f ca="1"/>
        <v>0</v>
      </c>
      <c r="R237" s="166">
        <f ca="1"/>
        <v>1.019799581221581E-2</v>
      </c>
      <c r="S237" s="166">
        <f ca="1"/>
        <v>0</v>
      </c>
      <c r="T237" s="166">
        <f ca="1"/>
        <v>2.6748336723661725E-2</v>
      </c>
      <c r="U237" s="166">
        <f ca="1"/>
        <v>4.5680993154047833E-2</v>
      </c>
      <c r="V237" s="140">
        <f ca="1"/>
        <v>9.5742151005481557E-2</v>
      </c>
      <c r="W237" s="139">
        <f ca="1"/>
        <v>0</v>
      </c>
      <c r="X237" s="166">
        <f ca="1"/>
        <v>0</v>
      </c>
      <c r="Y237" s="166">
        <f ca="1"/>
        <v>2.0391516176545554E-3</v>
      </c>
      <c r="Z237" s="166">
        <f ca="1"/>
        <v>0</v>
      </c>
      <c r="AA237" s="166">
        <f ca="1"/>
        <v>1.069277310964456E-2</v>
      </c>
      <c r="AB237" s="166">
        <f ca="1"/>
        <v>0</v>
      </c>
      <c r="AC237" s="166">
        <f ca="1"/>
        <v>2.8064621822075586E-2</v>
      </c>
      <c r="AD237" s="166">
        <f ca="1"/>
        <v>4.7915980513459355E-2</v>
      </c>
      <c r="AE237" s="140">
        <f ca="1"/>
        <v>0.10036371553422574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.199999999999999" x14ac:dyDescent="0.2">
      <c r="A238" s="97">
        <f t="shared" ca="1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>
        <f t="array" aca="1" ref="N238:AE238" ca="1">IF(OR(B238="",NOT($J$2)),"",[3]!GetStripDefaultProbability(A238,B238,Parameter_Date,CDSRollDate,E238:M238,SpreadCurveMaturities,D238,C238,$J$4,$J$6))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1.8199544924927258E-3</v>
      </c>
      <c r="Q238" s="166">
        <f ca="1"/>
        <v>0</v>
      </c>
      <c r="R238" s="166">
        <f ca="1"/>
        <v>9.3585749346122293E-3</v>
      </c>
      <c r="S238" s="166">
        <f ca="1"/>
        <v>0</v>
      </c>
      <c r="T238" s="166">
        <f ca="1"/>
        <v>2.2939311118706285E-2</v>
      </c>
      <c r="U238" s="166">
        <f ca="1"/>
        <v>4.2662494164692366E-2</v>
      </c>
      <c r="V238" s="140">
        <f ca="1"/>
        <v>7.7708262436550712E-2</v>
      </c>
      <c r="W238" s="139">
        <f ca="1"/>
        <v>0</v>
      </c>
      <c r="X238" s="166">
        <f ca="1"/>
        <v>0</v>
      </c>
      <c r="Y238" s="166">
        <f ca="1"/>
        <v>1.9863039705703134E-3</v>
      </c>
      <c r="Z238" s="166">
        <f ca="1"/>
        <v>0</v>
      </c>
      <c r="AA238" s="166">
        <f ca="1"/>
        <v>9.8537718375923955E-3</v>
      </c>
      <c r="AB238" s="166">
        <f ca="1"/>
        <v>0</v>
      </c>
      <c r="AC238" s="166">
        <f ca="1"/>
        <v>2.4064594010036022E-2</v>
      </c>
      <c r="AD238" s="166">
        <f ca="1"/>
        <v>4.4747989199863003E-2</v>
      </c>
      <c r="AE238" s="140">
        <f ca="1"/>
        <v>8.1449930588170072E-2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.199999999999999" x14ac:dyDescent="0.2">
      <c r="A239" s="97">
        <f t="shared" ca="1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>
        <f t="array" aca="1" ref="N239:AE239" ca="1">IF(OR(B239="",NOT($J$2)),"",[3]!GetStripDefaultProbability(A239,B239,Parameter_Date,CDSRollDate,E239:M239,SpreadCurveMaturities,D239,C239,$J$4,$J$6))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1.0620400121212903E-3</v>
      </c>
      <c r="Q239" s="166">
        <f ca="1"/>
        <v>0</v>
      </c>
      <c r="R239" s="166">
        <f ca="1"/>
        <v>1.0513340258286541E-2</v>
      </c>
      <c r="S239" s="166">
        <f ca="1"/>
        <v>0</v>
      </c>
      <c r="T239" s="166">
        <f ca="1"/>
        <v>2.1572308615698144E-2</v>
      </c>
      <c r="U239" s="166">
        <f ca="1"/>
        <v>4.251871724999301E-2</v>
      </c>
      <c r="V239" s="140">
        <f ca="1"/>
        <v>7.8154486163370618E-2</v>
      </c>
      <c r="W239" s="139">
        <f ca="1"/>
        <v>0</v>
      </c>
      <c r="X239" s="166">
        <f ca="1"/>
        <v>0</v>
      </c>
      <c r="Y239" s="166">
        <f ca="1"/>
        <v>1.2285157987452777E-3</v>
      </c>
      <c r="Z239" s="166">
        <f ca="1"/>
        <v>0</v>
      </c>
      <c r="AA239" s="166">
        <f ca="1"/>
        <v>1.1014635596656608E-2</v>
      </c>
      <c r="AB239" s="166">
        <f ca="1"/>
        <v>0</v>
      </c>
      <c r="AC239" s="166">
        <f ca="1"/>
        <v>2.2632910128394523E-2</v>
      </c>
      <c r="AD239" s="166">
        <f ca="1"/>
        <v>4.4599513899255427E-2</v>
      </c>
      <c r="AE239" s="140">
        <f ca="1"/>
        <v>8.1920156078148842E-2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.199999999999999" x14ac:dyDescent="0.2">
      <c r="A240" s="97">
        <f t="shared" ca="1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>
        <f t="array" aca="1" ref="N240:AE240" ca="1">IF(OR(B240="",NOT($J$2)),"",[3]!GetStripDefaultProbability(A240,B240,Parameter_Date,CDSRollDate,E240:M240,SpreadCurveMaturities,D240,C240,$J$4,$J$6))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1.6596062541486267E-3</v>
      </c>
      <c r="Q240" s="166">
        <f ca="1"/>
        <v>0</v>
      </c>
      <c r="R240" s="166">
        <f ca="1"/>
        <v>1.0541713651533224E-2</v>
      </c>
      <c r="S240" s="166">
        <f ca="1"/>
        <v>0</v>
      </c>
      <c r="T240" s="166">
        <f ca="1"/>
        <v>2.7160219826907528E-2</v>
      </c>
      <c r="U240" s="166">
        <f ca="1"/>
        <v>4.9133267859770346E-2</v>
      </c>
      <c r="V240" s="140">
        <f ca="1"/>
        <v>8.7786600022928707E-2</v>
      </c>
      <c r="W240" s="139">
        <f ca="1"/>
        <v>0</v>
      </c>
      <c r="X240" s="166">
        <f ca="1"/>
        <v>0</v>
      </c>
      <c r="Y240" s="166">
        <f ca="1"/>
        <v>1.8259824546933423E-3</v>
      </c>
      <c r="Z240" s="166">
        <f ca="1"/>
        <v>0</v>
      </c>
      <c r="AA240" s="166">
        <f ca="1"/>
        <v>1.1046455958807044E-2</v>
      </c>
      <c r="AB240" s="166">
        <f ca="1"/>
        <v>0</v>
      </c>
      <c r="AC240" s="166">
        <f ca="1"/>
        <v>2.849651894381855E-2</v>
      </c>
      <c r="AD240" s="166">
        <f ca="1"/>
        <v>5.153470853711084E-2</v>
      </c>
      <c r="AE240" s="140">
        <f ca="1"/>
        <v>9.1998374891327339E-2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.199999999999999" x14ac:dyDescent="0.2">
      <c r="A241" s="97">
        <f t="shared" ca="1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>
        <f t="array" aca="1" ref="N241:AE241" ca="1">IF(OR(B241="",NOT($J$2)),"",[3]!GetStripDefaultProbability(A241,B241,Parameter_Date,CDSRollDate,E241:M241,SpreadCurveMaturities,D241,C241,$J$4,$J$6))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1.7759053246080292E-3</v>
      </c>
      <c r="Q241" s="166">
        <f ca="1"/>
        <v>0</v>
      </c>
      <c r="R241" s="166">
        <f ca="1"/>
        <v>1.2654653313082354E-2</v>
      </c>
      <c r="S241" s="166">
        <f ca="1"/>
        <v>0</v>
      </c>
      <c r="T241" s="166">
        <f ca="1"/>
        <v>2.3891373868868637E-2</v>
      </c>
      <c r="U241" s="166">
        <f ca="1"/>
        <v>4.0780551637400575E-2</v>
      </c>
      <c r="V241" s="140">
        <f ca="1"/>
        <v>6.4754744855872182E-2</v>
      </c>
      <c r="W241" s="139">
        <f ca="1"/>
        <v>0</v>
      </c>
      <c r="X241" s="166">
        <f ca="1"/>
        <v>0</v>
      </c>
      <c r="Y241" s="166">
        <f ca="1"/>
        <v>1.9422621435909448E-3</v>
      </c>
      <c r="Z241" s="166">
        <f ca="1"/>
        <v>0</v>
      </c>
      <c r="AA241" s="166">
        <f ca="1"/>
        <v>1.3277192181775588E-2</v>
      </c>
      <c r="AB241" s="166">
        <f ca="1"/>
        <v>0</v>
      </c>
      <c r="AC241" s="166">
        <f ca="1"/>
        <v>2.5066156045292054E-2</v>
      </c>
      <c r="AD241" s="166">
        <f ca="1"/>
        <v>4.2776027129330818E-2</v>
      </c>
      <c r="AE241" s="140">
        <f ca="1"/>
        <v>6.7886441491720406E-2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.199999999999999" x14ac:dyDescent="0.2">
      <c r="A242" s="97">
        <f t="shared" ca="1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>
        <f t="array" aca="1" ref="N242:AE242" ca="1">IF(OR(B242="",NOT($J$2)),"",[3]!GetStripDefaultProbability(A242,B242,Parameter_Date,CDSRollDate,E242:M242,SpreadCurveMaturities,D242,C242,$J$4,$J$6))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3.6630035323164112E-3</v>
      </c>
      <c r="Q242" s="166">
        <f ca="1"/>
        <v>0</v>
      </c>
      <c r="R242" s="166">
        <f ca="1"/>
        <v>1.8031730667146917E-2</v>
      </c>
      <c r="S242" s="166">
        <f ca="1"/>
        <v>0</v>
      </c>
      <c r="T242" s="166">
        <f ca="1"/>
        <v>4.4264936390068343E-2</v>
      </c>
      <c r="U242" s="166">
        <f ca="1"/>
        <v>7.2916994696787807E-2</v>
      </c>
      <c r="V242" s="140">
        <f ca="1"/>
        <v>0.11806584519506824</v>
      </c>
      <c r="W242" s="139">
        <f ca="1"/>
        <v>0</v>
      </c>
      <c r="X242" s="166">
        <f ca="1"/>
        <v>0</v>
      </c>
      <c r="Y242" s="166">
        <f ca="1"/>
        <v>3.8356039650222495E-3</v>
      </c>
      <c r="Z242" s="166">
        <f ca="1"/>
        <v>0</v>
      </c>
      <c r="AA242" s="166">
        <f ca="1"/>
        <v>1.8924990963158694E-2</v>
      </c>
      <c r="AB242" s="166">
        <f ca="1"/>
        <v>0</v>
      </c>
      <c r="AC242" s="166">
        <f ca="1"/>
        <v>4.6432896876440255E-2</v>
      </c>
      <c r="AD242" s="166">
        <f ca="1"/>
        <v>7.6446598416042066E-2</v>
      </c>
      <c r="AE242" s="140">
        <f ca="1"/>
        <v>0.1236748772565639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.199999999999999" x14ac:dyDescent="0.2">
      <c r="A243" s="97">
        <f t="shared" ca="1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>
        <f t="array" aca="1" ref="N243:AE243" ca="1">IF(OR(B243="",NOT($J$2)),"",[3]!GetStripDefaultProbability(A243,B243,Parameter_Date,CDSRollDate,E243:M243,SpreadCurveMaturities,D243,C243,$J$4,$J$6))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1.2189575389079943E-3</v>
      </c>
      <c r="Q243" s="166">
        <f ca="1"/>
        <v>0</v>
      </c>
      <c r="R243" s="166">
        <f ca="1"/>
        <v>1.5013264733915066E-2</v>
      </c>
      <c r="S243" s="166">
        <f ca="1"/>
        <v>0</v>
      </c>
      <c r="T243" s="166">
        <f ca="1"/>
        <v>3.6220907955355819E-2</v>
      </c>
      <c r="U243" s="166">
        <f ca="1"/>
        <v>6.4200935407307202E-2</v>
      </c>
      <c r="V243" s="140">
        <f ca="1"/>
        <v>0.11314200880855552</v>
      </c>
      <c r="W243" s="139">
        <f ca="1"/>
        <v>0</v>
      </c>
      <c r="X243" s="166">
        <f ca="1"/>
        <v>0</v>
      </c>
      <c r="Y243" s="166">
        <f ca="1"/>
        <v>1.3854071748048424E-3</v>
      </c>
      <c r="Z243" s="166">
        <f ca="1"/>
        <v>0</v>
      </c>
      <c r="AA243" s="166">
        <f ca="1"/>
        <v>1.5749874264227581E-2</v>
      </c>
      <c r="AB243" s="166">
        <f ca="1"/>
        <v>0</v>
      </c>
      <c r="AC243" s="166">
        <f ca="1"/>
        <v>3.7993959289454926E-2</v>
      </c>
      <c r="AD243" s="166">
        <f ca="1"/>
        <v>6.7315555456199827E-2</v>
      </c>
      <c r="AE243" s="140">
        <f ca="1"/>
        <v>0.11854221026657374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.199999999999999" x14ac:dyDescent="0.2">
      <c r="A244" s="97">
        <f t="shared" ca="1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>
        <f t="array" aca="1" ref="N244:AE244" ca="1">IF(OR(B244="",NOT($J$2)),"",[3]!GetStripDefaultProbability(A244,B244,Parameter_Date,CDSRollDate,E244:M244,SpreadCurveMaturities,D244,C244,$J$4,$J$6))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4.4101740211707208E-3</v>
      </c>
      <c r="Q244" s="166">
        <f ca="1"/>
        <v>0</v>
      </c>
      <c r="R244" s="166">
        <f ca="1"/>
        <v>3.1921482102943988E-2</v>
      </c>
      <c r="S244" s="166">
        <f ca="1"/>
        <v>0</v>
      </c>
      <c r="T244" s="166">
        <f ca="1"/>
        <v>7.0609899981114443E-2</v>
      </c>
      <c r="U244" s="166">
        <f ca="1"/>
        <v>0.11693596554036645</v>
      </c>
      <c r="V244" s="140">
        <f ca="1"/>
        <v>0.20211608368218514</v>
      </c>
      <c r="W244" s="139">
        <f ca="1"/>
        <v>0</v>
      </c>
      <c r="X244" s="166">
        <f ca="1"/>
        <v>0</v>
      </c>
      <c r="Y244" s="166">
        <f ca="1"/>
        <v>4.6178987581454445E-3</v>
      </c>
      <c r="Z244" s="166">
        <f ca="1"/>
        <v>0</v>
      </c>
      <c r="AA244" s="166">
        <f ca="1"/>
        <v>3.3490109882048591E-2</v>
      </c>
      <c r="AB244" s="166">
        <f ca="1"/>
        <v>0</v>
      </c>
      <c r="AC244" s="166">
        <f ca="1"/>
        <v>7.4021925639187192E-2</v>
      </c>
      <c r="AD244" s="166">
        <f ca="1"/>
        <v>0.12250246322656222</v>
      </c>
      <c r="AE244" s="140">
        <f ca="1"/>
        <v>0.21137800093896264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.199999999999999" x14ac:dyDescent="0.2">
      <c r="A245" s="97">
        <f t="shared" ca="1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>
        <f t="array" aca="1" ref="N245:AE245" ca="1">IF(OR(B245="",NOT($J$2)),"",[3]!GetStripDefaultProbability(A245,B245,Parameter_Date,CDSRollDate,E245:M245,SpreadCurveMaturities,D245,C245,$J$4,$J$6))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5.5132121560117486E-3</v>
      </c>
      <c r="Q245" s="166">
        <f ca="1"/>
        <v>0</v>
      </c>
      <c r="R245" s="166">
        <f ca="1"/>
        <v>3.6273602825293239E-2</v>
      </c>
      <c r="S245" s="166">
        <f ca="1"/>
        <v>0</v>
      </c>
      <c r="T245" s="166">
        <f ca="1"/>
        <v>9.7751967109866E-2</v>
      </c>
      <c r="U245" s="166">
        <f ca="1"/>
        <v>0.1547371958996423</v>
      </c>
      <c r="V245" s="140">
        <f ca="1"/>
        <v>0.24783949890301482</v>
      </c>
      <c r="W245" s="139">
        <f ca="1"/>
        <v>0</v>
      </c>
      <c r="X245" s="166">
        <f ca="1"/>
        <v>0</v>
      </c>
      <c r="Y245" s="166">
        <f ca="1"/>
        <v>5.7727393378818048E-3</v>
      </c>
      <c r="Z245" s="166">
        <f ca="1"/>
        <v>0</v>
      </c>
      <c r="AA245" s="166">
        <f ca="1"/>
        <v>3.8051353947969546E-2</v>
      </c>
      <c r="AB245" s="166">
        <f ca="1"/>
        <v>0</v>
      </c>
      <c r="AC245" s="166">
        <f ca="1"/>
        <v>0.10246104191214611</v>
      </c>
      <c r="AD245" s="166">
        <f ca="1"/>
        <v>0.16198055499713027</v>
      </c>
      <c r="AE245" s="140">
        <f ca="1"/>
        <v>0.25888588728093276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.199999999999999" x14ac:dyDescent="0.2">
      <c r="A246" s="97">
        <f t="shared" ca="1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>
        <f t="array" aca="1" ref="N246:AE246" ca="1">IF(OR(B246="",NOT($J$2)),"",[3]!GetStripDefaultProbability(A246,B246,Parameter_Date,CDSRollDate,E246:M246,SpreadCurveMaturities,D246,C246,$J$4,$J$6))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1.1272783598541558E-3</v>
      </c>
      <c r="Q246" s="166">
        <f ca="1"/>
        <v>0</v>
      </c>
      <c r="R246" s="166">
        <f ca="1"/>
        <v>7.4916990822280205E-3</v>
      </c>
      <c r="S246" s="166">
        <f ca="1"/>
        <v>0</v>
      </c>
      <c r="T246" s="166">
        <f ca="1"/>
        <v>2.2323939035336471E-2</v>
      </c>
      <c r="U246" s="166">
        <f ca="1"/>
        <v>4.0878424436267213E-2</v>
      </c>
      <c r="V246" s="140">
        <f ca="1"/>
        <v>7.6848068779944323E-2</v>
      </c>
      <c r="W246" s="139">
        <f ca="1"/>
        <v>0</v>
      </c>
      <c r="X246" s="166">
        <f ca="1"/>
        <v>0</v>
      </c>
      <c r="Y246" s="166">
        <f ca="1"/>
        <v>1.2937432743219679E-3</v>
      </c>
      <c r="Z246" s="166">
        <f ca="1"/>
        <v>0</v>
      </c>
      <c r="AA246" s="166">
        <f ca="1"/>
        <v>7.987829189795459E-3</v>
      </c>
      <c r="AB246" s="166">
        <f ca="1"/>
        <v>0</v>
      </c>
      <c r="AC246" s="166">
        <f ca="1"/>
        <v>2.3406771051228681E-2</v>
      </c>
      <c r="AD246" s="166">
        <f ca="1"/>
        <v>4.2866016032580001E-2</v>
      </c>
      <c r="AE246" s="140">
        <f ca="1"/>
        <v>8.0538698727811386E-2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.199999999999999" x14ac:dyDescent="0.2">
      <c r="A247" s="97">
        <f t="shared" ca="1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>
        <f t="array" aca="1" ref="N247:AE247" ca="1">IF(OR(B247="",NOT($J$2)),"",[3]!GetStripDefaultProbability(A247,B247,Parameter_Date,CDSRollDate,E247:M247,SpreadCurveMaturities,D247,C247,$J$4,$J$6))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1.0761459591452915E-3</v>
      </c>
      <c r="Q247" s="166">
        <f ca="1"/>
        <v>0</v>
      </c>
      <c r="R247" s="166">
        <f ca="1"/>
        <v>1.2015961949635723E-2</v>
      </c>
      <c r="S247" s="166">
        <f ca="1"/>
        <v>0</v>
      </c>
      <c r="T247" s="166">
        <f ca="1"/>
        <v>2.3146668372339252E-2</v>
      </c>
      <c r="U247" s="166">
        <f ca="1"/>
        <v>4.3424179600037638E-2</v>
      </c>
      <c r="V247" s="140">
        <f ca="1"/>
        <v>8.5123018128223205E-2</v>
      </c>
      <c r="W247" s="139">
        <f ca="1"/>
        <v>0</v>
      </c>
      <c r="X247" s="166">
        <f ca="1"/>
        <v>0</v>
      </c>
      <c r="Y247" s="166">
        <f ca="1"/>
        <v>1.2426193949639508E-3</v>
      </c>
      <c r="Z247" s="166">
        <f ca="1"/>
        <v>0</v>
      </c>
      <c r="AA247" s="166">
        <f ca="1"/>
        <v>1.2587839133281764E-2</v>
      </c>
      <c r="AB247" s="166">
        <f ca="1"/>
        <v>0</v>
      </c>
      <c r="AC247" s="166">
        <f ca="1"/>
        <v>2.4284574707182038E-2</v>
      </c>
      <c r="AD247" s="166">
        <f ca="1"/>
        <v>4.5547920401593722E-2</v>
      </c>
      <c r="AE247" s="140">
        <f ca="1"/>
        <v>8.9240526066258763E-2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.199999999999999" x14ac:dyDescent="0.2">
      <c r="A248" s="97">
        <f t="shared" ca="1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>
        <f t="array" aca="1" ref="N248:AE248" ca="1">IF(OR(B248="",NOT($J$2)),"",[3]!GetStripDefaultProbability(A248,B248,Parameter_Date,CDSRollDate,E248:M248,SpreadCurveMaturities,D248,C248,$J$4,$J$6))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4.197419201035224E-2</v>
      </c>
      <c r="Q248" s="166">
        <f ca="1"/>
        <v>0</v>
      </c>
      <c r="R248" s="166">
        <f ca="1"/>
        <v>0.11621882755096291</v>
      </c>
      <c r="S248" s="166">
        <f ca="1"/>
        <v>0</v>
      </c>
      <c r="T248" s="166">
        <f ca="1"/>
        <v>0.16688104316169972</v>
      </c>
      <c r="U248" s="166">
        <f ca="1"/>
        <v>0.2153460019855109</v>
      </c>
      <c r="V248" s="140">
        <f ca="1"/>
        <v>0.27894974105571424</v>
      </c>
      <c r="W248" s="139">
        <f ca="1"/>
        <v>0</v>
      </c>
      <c r="X248" s="166">
        <f ca="1"/>
        <v>0</v>
      </c>
      <c r="Y248" s="166">
        <f ca="1"/>
        <v>4.4012265124942052E-2</v>
      </c>
      <c r="Z248" s="166">
        <f ca="1"/>
        <v>0</v>
      </c>
      <c r="AA248" s="166">
        <f ca="1"/>
        <v>0.12166220040053877</v>
      </c>
      <c r="AB248" s="166">
        <f ca="1"/>
        <v>0</v>
      </c>
      <c r="AC248" s="166">
        <f ca="1"/>
        <v>0.17439503590790839</v>
      </c>
      <c r="AD248" s="166">
        <f ca="1"/>
        <v>0.22469984016296074</v>
      </c>
      <c r="AE248" s="140">
        <f ca="1"/>
        <v>0.29045242279719663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.199999999999999" x14ac:dyDescent="0.2">
      <c r="A249" s="97">
        <f t="shared" ca="1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>
        <f t="array" aca="1" ref="N249:AE249" ca="1">IF(OR(B249="",NOT($J$2)),"",[3]!GetStripDefaultProbability(A249,B249,Parameter_Date,CDSRollDate,E249:M249,SpreadCurveMaturities,D249,C249,$J$4,$J$6))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2.7603843765241498E-3</v>
      </c>
      <c r="Q249" s="166">
        <f ca="1"/>
        <v>0</v>
      </c>
      <c r="R249" s="166">
        <f ca="1"/>
        <v>1.2071223340363924E-2</v>
      </c>
      <c r="S249" s="166">
        <f ca="1"/>
        <v>0</v>
      </c>
      <c r="T249" s="166">
        <f ca="1"/>
        <v>2.343161595646237E-2</v>
      </c>
      <c r="U249" s="166">
        <f ca="1"/>
        <v>4.2933517266993348E-2</v>
      </c>
      <c r="V249" s="140">
        <f ca="1"/>
        <v>7.3861550507227092E-2</v>
      </c>
      <c r="W249" s="139">
        <f ca="1"/>
        <v>0</v>
      </c>
      <c r="X249" s="166">
        <f ca="1"/>
        <v>0</v>
      </c>
      <c r="Y249" s="166">
        <f ca="1"/>
        <v>2.9265771293535137E-3</v>
      </c>
      <c r="Z249" s="166">
        <f ca="1"/>
        <v>0</v>
      </c>
      <c r="AA249" s="166">
        <f ca="1"/>
        <v>1.265170787226555E-2</v>
      </c>
      <c r="AB249" s="166">
        <f ca="1"/>
        <v>0</v>
      </c>
      <c r="AC249" s="166">
        <f ca="1"/>
        <v>2.4589172555316563E-2</v>
      </c>
      <c r="AD249" s="166">
        <f ca="1"/>
        <v>4.5038943545074539E-2</v>
      </c>
      <c r="AE249" s="140">
        <f ca="1"/>
        <v>7.7428616109771808E-2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.199999999999999" x14ac:dyDescent="0.2">
      <c r="A250" s="97">
        <f t="shared" ca="1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>
        <f t="array" aca="1" ref="N250:AE250" ca="1">IF(OR(B250="",NOT($J$2)),"",[3]!GetStripDefaultProbability(A250,B250,Parameter_Date,CDSRollDate,E250:M250,SpreadCurveMaturities,D250,C250,$J$4,$J$6))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1.2312983290623247E-3</v>
      </c>
      <c r="Q250" s="166">
        <f ca="1"/>
        <v>0</v>
      </c>
      <c r="R250" s="166">
        <f ca="1"/>
        <v>8.4277500905189928E-3</v>
      </c>
      <c r="S250" s="166">
        <f ca="1"/>
        <v>0</v>
      </c>
      <c r="T250" s="166">
        <f ca="1"/>
        <v>2.3088747976644175E-2</v>
      </c>
      <c r="U250" s="166">
        <f ca="1"/>
        <v>4.4726143090274451E-2</v>
      </c>
      <c r="V250" s="140">
        <f ca="1"/>
        <v>8.6207367078198427E-2</v>
      </c>
      <c r="W250" s="139">
        <f ca="1"/>
        <v>0</v>
      </c>
      <c r="X250" s="166">
        <f ca="1"/>
        <v>0</v>
      </c>
      <c r="Y250" s="166">
        <f ca="1"/>
        <v>1.3977459083234223E-3</v>
      </c>
      <c r="Z250" s="166">
        <f ca="1"/>
        <v>0</v>
      </c>
      <c r="AA250" s="166">
        <f ca="1"/>
        <v>8.9234122896036938E-3</v>
      </c>
      <c r="AB250" s="166">
        <f ca="1"/>
        <v>0</v>
      </c>
      <c r="AC250" s="166">
        <f ca="1"/>
        <v>2.4214312697798057E-2</v>
      </c>
      <c r="AD250" s="166">
        <f ca="1"/>
        <v>4.6904952517961673E-2</v>
      </c>
      <c r="AE250" s="140">
        <f ca="1"/>
        <v>9.0368523904550413E-2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.199999999999999" x14ac:dyDescent="0.2">
      <c r="A251" s="97">
        <f t="shared" ca="1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>
        <f t="array" aca="1" ref="N251:AE251" ca="1">IF(OR(B251="",NOT($J$2)),"",[3]!GetStripDefaultProbability(A251,B251,Parameter_Date,CDSRollDate,E251:M251,SpreadCurveMaturities,D251,C251,$J$4,$J$6))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3.3974044631085443E-3</v>
      </c>
      <c r="Q251" s="166">
        <f ca="1"/>
        <v>0</v>
      </c>
      <c r="R251" s="166">
        <f ca="1"/>
        <v>2.412571038557354E-2</v>
      </c>
      <c r="S251" s="166">
        <f ca="1"/>
        <v>0</v>
      </c>
      <c r="T251" s="166">
        <f ca="1"/>
        <v>5.7252368564131184E-2</v>
      </c>
      <c r="U251" s="166">
        <f ca="1"/>
        <v>9.9907132153635336E-2</v>
      </c>
      <c r="V251" s="140">
        <f ca="1"/>
        <v>0.16599997253576437</v>
      </c>
      <c r="W251" s="139">
        <f ca="1"/>
        <v>0</v>
      </c>
      <c r="X251" s="166">
        <f ca="1"/>
        <v>0</v>
      </c>
      <c r="Y251" s="166">
        <f ca="1"/>
        <v>3.5634910547815979E-3</v>
      </c>
      <c r="Z251" s="166">
        <f ca="1"/>
        <v>0</v>
      </c>
      <c r="AA251" s="166">
        <f ca="1"/>
        <v>2.5316217825816167E-2</v>
      </c>
      <c r="AB251" s="166">
        <f ca="1"/>
        <v>0</v>
      </c>
      <c r="AC251" s="166">
        <f ca="1"/>
        <v>6.0038404578628635E-2</v>
      </c>
      <c r="AD251" s="166">
        <f ca="1"/>
        <v>0.10468563360357697</v>
      </c>
      <c r="AE251" s="140">
        <f ca="1"/>
        <v>0.17373489950563936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.199999999999999" x14ac:dyDescent="0.2">
      <c r="A252" s="97">
        <f t="shared" ca="1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>
        <f t="array" aca="1" ref="N252:AE252" ca="1">IF(OR(B252="",NOT($J$2)),"",[3]!GetStripDefaultProbability(A252,B252,Parameter_Date,CDSRollDate,E252:M252,SpreadCurveMaturities,D252,C252,$J$4,$J$6))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1.0620400121212903E-3</v>
      </c>
      <c r="Q252" s="166">
        <f ca="1"/>
        <v>0</v>
      </c>
      <c r="R252" s="166">
        <f ca="1"/>
        <v>1.4900705108712664E-2</v>
      </c>
      <c r="S252" s="166">
        <f ca="1"/>
        <v>0</v>
      </c>
      <c r="T252" s="166">
        <f ca="1"/>
        <v>3.279329802136699E-2</v>
      </c>
      <c r="U252" s="166">
        <f ca="1"/>
        <v>5.5564162313790577E-2</v>
      </c>
      <c r="V252" s="140">
        <f ca="1"/>
        <v>9.7402474637405145E-2</v>
      </c>
      <c r="W252" s="139">
        <f ca="1"/>
        <v>0</v>
      </c>
      <c r="X252" s="166">
        <f ca="1"/>
        <v>0</v>
      </c>
      <c r="Y252" s="166">
        <f ca="1"/>
        <v>1.2285157987452777E-3</v>
      </c>
      <c r="Z252" s="166">
        <f ca="1"/>
        <v>0</v>
      </c>
      <c r="AA252" s="166">
        <f ca="1"/>
        <v>1.5631205692200445E-2</v>
      </c>
      <c r="AB252" s="166">
        <f ca="1"/>
        <v>0</v>
      </c>
      <c r="AC252" s="166">
        <f ca="1"/>
        <v>3.4399474503156613E-2</v>
      </c>
      <c r="AD252" s="166">
        <f ca="1"/>
        <v>5.8266311769536006E-2</v>
      </c>
      <c r="AE252" s="140">
        <f ca="1"/>
        <v>0.10207514505332516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.199999999999999" x14ac:dyDescent="0.2">
      <c r="A253" s="97">
        <f t="shared" ca="1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>
        <f t="array" aca="1" ref="N253:AE253" ca="1">IF(OR(B253="",NOT($J$2)),"",[3]!GetStripDefaultProbability(A253,B253,Parameter_Date,CDSRollDate,E253:M253,SpreadCurveMaturities,D253,C253,$J$4,$J$6))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6.5993739455927347E-4</v>
      </c>
      <c r="Q253" s="166">
        <f ca="1"/>
        <v>0</v>
      </c>
      <c r="R253" s="166">
        <f ca="1"/>
        <v>6.5187028745490316E-3</v>
      </c>
      <c r="S253" s="166">
        <f ca="1"/>
        <v>0</v>
      </c>
      <c r="T253" s="166">
        <f ca="1"/>
        <v>1.6805900556030817E-2</v>
      </c>
      <c r="U253" s="166">
        <f ca="1"/>
        <v>3.7235900734637783E-2</v>
      </c>
      <c r="V253" s="140">
        <f ca="1"/>
        <v>6.1203333918626757E-2</v>
      </c>
      <c r="W253" s="139">
        <f ca="1"/>
        <v>0</v>
      </c>
      <c r="X253" s="166">
        <f ca="1"/>
        <v>0</v>
      </c>
      <c r="Y253" s="166">
        <f ca="1"/>
        <v>8.2648019269382367E-4</v>
      </c>
      <c r="Z253" s="166">
        <f ca="1"/>
        <v>0</v>
      </c>
      <c r="AA253" s="166">
        <f ca="1"/>
        <v>7.0153193586771634E-3</v>
      </c>
      <c r="AB253" s="166">
        <f ca="1"/>
        <v>0</v>
      </c>
      <c r="AC253" s="166">
        <f ca="1"/>
        <v>1.7624887680221857E-2</v>
      </c>
      <c r="AD253" s="166">
        <f ca="1"/>
        <v>3.9039319678069728E-2</v>
      </c>
      <c r="AE253" s="140">
        <f ca="1"/>
        <v>6.4151869398429984E-2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.199999999999999" x14ac:dyDescent="0.2">
      <c r="A254" s="97">
        <f t="shared" ca="1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>
        <f t="array" aca="1" ref="N254:AE254" ca="1">IF(OR(B254="",NOT($J$2)),"",[3]!GetStripDefaultProbability(A254,B254,Parameter_Date,CDSRollDate,E254:M254,SpreadCurveMaturities,D254,C254,$J$4,$J$6))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1.9150941135316346E-3</v>
      </c>
      <c r="Q254" s="166">
        <f ca="1"/>
        <v>0</v>
      </c>
      <c r="R254" s="166">
        <f ca="1"/>
        <v>6.6780859085007194E-3</v>
      </c>
      <c r="S254" s="166">
        <f ca="1"/>
        <v>0</v>
      </c>
      <c r="T254" s="166">
        <f ca="1"/>
        <v>1.886337640885094E-2</v>
      </c>
      <c r="U254" s="166">
        <f ca="1"/>
        <v>3.5574491446090151E-2</v>
      </c>
      <c r="V254" s="140">
        <f ca="1"/>
        <v>5.9124787205759421E-2</v>
      </c>
      <c r="W254" s="139">
        <f ca="1"/>
        <v>0</v>
      </c>
      <c r="X254" s="166">
        <f ca="1"/>
        <v>0</v>
      </c>
      <c r="Y254" s="166">
        <f ca="1"/>
        <v>2.0814277363436773E-3</v>
      </c>
      <c r="Z254" s="166">
        <f ca="1"/>
        <v>0</v>
      </c>
      <c r="AA254" s="166">
        <f ca="1"/>
        <v>7.1746227210007785E-3</v>
      </c>
      <c r="AB254" s="166">
        <f ca="1"/>
        <v>0</v>
      </c>
      <c r="AC254" s="166">
        <f ca="1"/>
        <v>1.9775145451599196E-2</v>
      </c>
      <c r="AD254" s="166">
        <f ca="1"/>
        <v>3.7303816891591568E-2</v>
      </c>
      <c r="AE254" s="140">
        <f ca="1"/>
        <v>6.1979709834864671E-2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.199999999999999" x14ac:dyDescent="0.2">
      <c r="A255" s="97">
        <f t="shared" ca="1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>
        <f t="array" aca="1" ref="N255:AE255" ca="1">IF(OR(B255="",NOT($J$2)),"",[3]!GetStripDefaultProbability(A255,B255,Parameter_Date,CDSRollDate,E255:M255,SpreadCurveMaturities,D255,C255,$J$4,$J$6))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1.2260094375456942E-3</v>
      </c>
      <c r="Q255" s="166">
        <f ca="1"/>
        <v>0</v>
      </c>
      <c r="R255" s="166">
        <f ca="1"/>
        <v>7.9850604358969735E-3</v>
      </c>
      <c r="S255" s="166">
        <f ca="1"/>
        <v>0</v>
      </c>
      <c r="T255" s="166">
        <f ca="1"/>
        <v>2.0089562308646225E-2</v>
      </c>
      <c r="U255" s="166">
        <f ca="1"/>
        <v>3.9171840065238661E-2</v>
      </c>
      <c r="V255" s="140">
        <f ca="1"/>
        <v>8.0157019102092608E-2</v>
      </c>
      <c r="W255" s="139">
        <f ca="1"/>
        <v>0</v>
      </c>
      <c r="X255" s="166">
        <f ca="1"/>
        <v>0</v>
      </c>
      <c r="Y255" s="166">
        <f ca="1"/>
        <v>1.3924578982190683E-3</v>
      </c>
      <c r="Z255" s="166">
        <f ca="1"/>
        <v>0</v>
      </c>
      <c r="AA255" s="166">
        <f ca="1"/>
        <v>8.480943924491835E-3</v>
      </c>
      <c r="AB255" s="166">
        <f ca="1"/>
        <v>0</v>
      </c>
      <c r="AC255" s="166">
        <f ca="1"/>
        <v>2.1065696265156753E-2</v>
      </c>
      <c r="AD255" s="166">
        <f ca="1"/>
        <v>4.1079695034523911E-2</v>
      </c>
      <c r="AE255" s="140">
        <f ca="1"/>
        <v>8.4034654539066334E-2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.199999999999999" x14ac:dyDescent="0.2">
      <c r="A256" s="97">
        <f t="shared" ca="1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>
        <f t="array" aca="1" ref="N256:AE256" ca="1">IF(OR(B256="",NOT($J$2)),"",[3]!GetStripDefaultProbability(A256,B256,Parameter_Date,CDSRollDate,E256:M256,SpreadCurveMaturities,D256,C256,$J$4,$J$6))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3.6201807059013991E-2</v>
      </c>
      <c r="Q256" s="166">
        <f ca="1"/>
        <v>0</v>
      </c>
      <c r="R256" s="166">
        <f ca="1"/>
        <v>9.2544988420496521E-2</v>
      </c>
      <c r="S256" s="166">
        <f ca="1"/>
        <v>0</v>
      </c>
      <c r="T256" s="166">
        <f ca="1"/>
        <v>0.12356134221244697</v>
      </c>
      <c r="U256" s="166">
        <f ca="1"/>
        <v>0.16195240814276779</v>
      </c>
      <c r="V256" s="140">
        <f ca="1"/>
        <v>0.20830112774827036</v>
      </c>
      <c r="W256" s="139">
        <f ca="1"/>
        <v>0</v>
      </c>
      <c r="X256" s="166">
        <f ca="1"/>
        <v>0</v>
      </c>
      <c r="Y256" s="166">
        <f ca="1"/>
        <v>3.7967538015451385E-2</v>
      </c>
      <c r="Z256" s="166">
        <f ca="1"/>
        <v>0</v>
      </c>
      <c r="AA256" s="166">
        <f ca="1"/>
        <v>9.6933267374442966E-2</v>
      </c>
      <c r="AB256" s="166">
        <f ca="1"/>
        <v>0</v>
      </c>
      <c r="AC256" s="166">
        <f ca="1"/>
        <v>0.12924491027797935</v>
      </c>
      <c r="AD256" s="166">
        <f ca="1"/>
        <v>0.16921894994009545</v>
      </c>
      <c r="AE256" s="140">
        <f ca="1"/>
        <v>0.21734893539933964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.199999999999999" x14ac:dyDescent="0.2">
      <c r="A257" s="97">
        <f t="shared" ca="1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>
        <f t="array" aca="1" ref="N257:AE257" ca="1">IF(OR(B257="",NOT($J$2)),"",[3]!GetStripDefaultProbability(A257,B257,Parameter_Date,CDSRollDate,E257:M257,SpreadCurveMaturities,D257,C257,$J$4,$J$6))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2.3660039902532182E-3</v>
      </c>
      <c r="Q257" s="166">
        <f ca="1"/>
        <v>0</v>
      </c>
      <c r="R257" s="166">
        <f ca="1"/>
        <v>1.3051615696722862E-2</v>
      </c>
      <c r="S257" s="166">
        <f ca="1"/>
        <v>0</v>
      </c>
      <c r="T257" s="166">
        <f ca="1"/>
        <v>2.8557626196189623E-2</v>
      </c>
      <c r="U257" s="166">
        <f ca="1"/>
        <v>4.0661393237727883E-2</v>
      </c>
      <c r="V257" s="140">
        <f ca="1"/>
        <v>5.9051227627131442E-2</v>
      </c>
      <c r="W257" s="139">
        <f ca="1"/>
        <v>0</v>
      </c>
      <c r="X257" s="166">
        <f ca="1"/>
        <v>0</v>
      </c>
      <c r="Y257" s="166">
        <f ca="1"/>
        <v>2.5322624676551442E-3</v>
      </c>
      <c r="Z257" s="166">
        <f ca="1"/>
        <v>0</v>
      </c>
      <c r="AA257" s="166">
        <f ca="1"/>
        <v>1.3695856425663844E-2</v>
      </c>
      <c r="AB257" s="166">
        <f ca="1"/>
        <v>0</v>
      </c>
      <c r="AC257" s="166">
        <f ca="1"/>
        <v>2.9962419996140799E-2</v>
      </c>
      <c r="AD257" s="166">
        <f ca="1"/>
        <v>4.265135463454206E-2</v>
      </c>
      <c r="AE257" s="140">
        <f ca="1"/>
        <v>6.1910238676186058E-2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.199999999999999" x14ac:dyDescent="0.2">
      <c r="A258" s="97">
        <f t="shared" ca="1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>
        <f t="array" aca="1" ref="N258:AE258" ca="1">IF(OR(B258="",NOT($J$2)),"",[3]!GetStripDefaultProbability(A258,B258,Parameter_Date,CDSRollDate,E258:M258,SpreadCurveMaturities,D258,C258,$J$4,$J$6))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5.0110233316749131E-3</v>
      </c>
      <c r="Q258" s="166">
        <f ca="1"/>
        <v>0</v>
      </c>
      <c r="R258" s="166">
        <f ca="1"/>
        <v>2.2428342104435117E-2</v>
      </c>
      <c r="S258" s="166">
        <f ca="1"/>
        <v>0</v>
      </c>
      <c r="T258" s="166">
        <f ca="1"/>
        <v>6.0714199979845396E-2</v>
      </c>
      <c r="U258" s="166">
        <f ca="1"/>
        <v>0.10132656131628359</v>
      </c>
      <c r="V258" s="140">
        <f ca="1"/>
        <v>0.17149814862858626</v>
      </c>
      <c r="W258" s="139">
        <f ca="1"/>
        <v>0</v>
      </c>
      <c r="X258" s="166">
        <f ca="1"/>
        <v>0</v>
      </c>
      <c r="Y258" s="166">
        <f ca="1"/>
        <v>5.2469735697836528E-3</v>
      </c>
      <c r="Z258" s="166">
        <f ca="1"/>
        <v>0</v>
      </c>
      <c r="AA258" s="166">
        <f ca="1"/>
        <v>2.3536533327802034E-2</v>
      </c>
      <c r="AB258" s="166">
        <f ca="1"/>
        <v>0</v>
      </c>
      <c r="AC258" s="166">
        <f ca="1"/>
        <v>6.3664325755013795E-2</v>
      </c>
      <c r="AD258" s="166">
        <f ca="1"/>
        <v>0.10617080509551058</v>
      </c>
      <c r="AE258" s="140">
        <f ca="1"/>
        <v>0.17947399793775942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.199999999999999" x14ac:dyDescent="0.2">
      <c r="A259" s="97">
        <f t="shared" ca="1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>
        <f t="array" aca="1" ref="N259:AE259" ca="1">IF(OR(B259="",NOT($J$2)),"",[3]!GetStripDefaultProbability(A259,B259,Parameter_Date,CDSRollDate,E259:M259,SpreadCurveMaturities,D259,C259,$J$4,$J$6))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2.0789245946136736E-3</v>
      </c>
      <c r="Q259" s="166">
        <f ca="1"/>
        <v>0</v>
      </c>
      <c r="R259" s="166">
        <f ca="1"/>
        <v>1.317204072510858E-2</v>
      </c>
      <c r="S259" s="166">
        <f ca="1"/>
        <v>0</v>
      </c>
      <c r="T259" s="166">
        <f ca="1"/>
        <v>3.9804548740981827E-2</v>
      </c>
      <c r="U259" s="166">
        <f ca="1"/>
        <v>6.8292681583027037E-2</v>
      </c>
      <c r="V259" s="140">
        <f ca="1"/>
        <v>0.11303598613313359</v>
      </c>
      <c r="W259" s="139">
        <f ca="1"/>
        <v>0</v>
      </c>
      <c r="X259" s="166">
        <f ca="1"/>
        <v>0</v>
      </c>
      <c r="Y259" s="166">
        <f ca="1"/>
        <v>2.2452309145880589E-3</v>
      </c>
      <c r="Z259" s="166">
        <f ca="1"/>
        <v>0</v>
      </c>
      <c r="AA259" s="166">
        <f ca="1"/>
        <v>1.3821175295278376E-2</v>
      </c>
      <c r="AB259" s="166">
        <f ca="1"/>
        <v>0</v>
      </c>
      <c r="AC259" s="166">
        <f ca="1"/>
        <v>4.1754411208288489E-2</v>
      </c>
      <c r="AD259" s="166">
        <f ca="1"/>
        <v>7.1605801631280941E-2</v>
      </c>
      <c r="AE259" s="140">
        <f ca="1"/>
        <v>0.1184257078659029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.199999999999999" x14ac:dyDescent="0.2">
      <c r="A260" s="97">
        <f t="shared" ca="1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>
        <f t="array" aca="1" ref="N260:AE260" ca="1">IF(OR(B260="",NOT($J$2)),"",[3]!GetStripDefaultProbability(A260,B260,Parameter_Date,CDSRollDate,E260:M260,SpreadCurveMaturities,D260,C260,$J$4,$J$6))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1.0179576533111412E-3</v>
      </c>
      <c r="Q260" s="166">
        <f ca="1"/>
        <v>0</v>
      </c>
      <c r="R260" s="166">
        <f ca="1"/>
        <v>5.9446679641463884E-3</v>
      </c>
      <c r="S260" s="166">
        <f ca="1"/>
        <v>0</v>
      </c>
      <c r="T260" s="166">
        <f ca="1"/>
        <v>1.7271074184546986E-2</v>
      </c>
      <c r="U260" s="166">
        <f ca="1"/>
        <v>3.1705795107160095E-2</v>
      </c>
      <c r="V260" s="140">
        <f ca="1"/>
        <v>5.9742938072880447E-2</v>
      </c>
      <c r="W260" s="139">
        <f ca="1"/>
        <v>0</v>
      </c>
      <c r="X260" s="166">
        <f ca="1"/>
        <v>0</v>
      </c>
      <c r="Y260" s="166">
        <f ca="1"/>
        <v>1.1844407863720319E-3</v>
      </c>
      <c r="Z260" s="166">
        <f ca="1"/>
        <v>0</v>
      </c>
      <c r="AA260" s="166">
        <f ca="1"/>
        <v>6.4415713939680597E-3</v>
      </c>
      <c r="AB260" s="166">
        <f ca="1"/>
        <v>0</v>
      </c>
      <c r="AC260" s="166">
        <f ca="1"/>
        <v>1.8089673825535391E-2</v>
      </c>
      <c r="AD260" s="166">
        <f ca="1"/>
        <v>3.324070847718652E-2</v>
      </c>
      <c r="AE260" s="140">
        <f ca="1"/>
        <v>6.2622312918362288E-2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.199999999999999" x14ac:dyDescent="0.2">
      <c r="A261" s="97">
        <f t="shared" ca="1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>
        <f t="array" aca="1" ref="N261:AE261" ca="1">IF(OR(B261="",NOT($J$2)),"",[3]!GetStripDefaultProbability(A261,B261,Parameter_Date,CDSRollDate,E261:M261,SpreadCurveMaturities,D261,C261,$J$4,$J$6))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4.4910109295022149E-3</v>
      </c>
      <c r="Q261" s="166">
        <f ca="1"/>
        <v>0</v>
      </c>
      <c r="R261" s="166">
        <f ca="1"/>
        <v>1.974500251314848E-2</v>
      </c>
      <c r="S261" s="166">
        <f ca="1"/>
        <v>0</v>
      </c>
      <c r="T261" s="166">
        <f ca="1"/>
        <v>4.2274945469774061E-2</v>
      </c>
      <c r="U261" s="166">
        <f ca="1"/>
        <v>6.5751841705936176E-2</v>
      </c>
      <c r="V261" s="140">
        <f ca="1"/>
        <v>0.1066852173729701</v>
      </c>
      <c r="W261" s="139">
        <f ca="1"/>
        <v>0</v>
      </c>
      <c r="X261" s="166">
        <f ca="1"/>
        <v>0</v>
      </c>
      <c r="Y261" s="166">
        <f ca="1"/>
        <v>4.7025341145617849E-3</v>
      </c>
      <c r="Z261" s="166">
        <f ca="1"/>
        <v>0</v>
      </c>
      <c r="AA261" s="166">
        <f ca="1"/>
        <v>2.0722145942762338E-2</v>
      </c>
      <c r="AB261" s="166">
        <f ca="1"/>
        <v>0</v>
      </c>
      <c r="AC261" s="166">
        <f ca="1"/>
        <v>4.4345954932680676E-2</v>
      </c>
      <c r="AD261" s="166">
        <f ca="1"/>
        <v>6.8939584376201735E-2</v>
      </c>
      <c r="AE261" s="140">
        <f ca="1"/>
        <v>0.11177106945384074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.199999999999999" x14ac:dyDescent="0.2">
      <c r="A262" s="97">
        <f t="shared" ca="1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>
        <f t="array" aca="1" ref="N262:AE262" ca="1">IF(OR(B262="",NOT($J$2)),"",[3]!GetStripDefaultProbability(A262,B262,Parameter_Date,CDSRollDate,E262:M262,SpreadCurveMaturities,D262,C262,$J$4,$J$6))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4.3463988407034471E-2</v>
      </c>
      <c r="Q262" s="166">
        <f ca="1"/>
        <v>0</v>
      </c>
      <c r="R262" s="166">
        <f ca="1"/>
        <v>0.12016779071803751</v>
      </c>
      <c r="S262" s="166">
        <f ca="1"/>
        <v>0</v>
      </c>
      <c r="T262" s="166">
        <f ca="1"/>
        <v>0.17234005118643447</v>
      </c>
      <c r="U262" s="166">
        <f ca="1"/>
        <v>0.2221337072642573</v>
      </c>
      <c r="V262" s="140">
        <f ca="1"/>
        <v>0.28731977371173179</v>
      </c>
      <c r="W262" s="139">
        <f ca="1"/>
        <v>0</v>
      </c>
      <c r="X262" s="166">
        <f ca="1"/>
        <v>0</v>
      </c>
      <c r="Y262" s="166">
        <f ca="1"/>
        <v>4.5571892259509639E-2</v>
      </c>
      <c r="Z262" s="166">
        <f ca="1"/>
        <v>0</v>
      </c>
      <c r="AA262" s="166">
        <f ca="1"/>
        <v>0.12578273545409657</v>
      </c>
      <c r="AB262" s="166">
        <f ca="1"/>
        <v>0</v>
      </c>
      <c r="AC262" s="166">
        <f ca="1"/>
        <v>0.18007005719334546</v>
      </c>
      <c r="AD262" s="166">
        <f ca="1"/>
        <v>0.23173249453573597</v>
      </c>
      <c r="AE262" s="140">
        <f ca="1"/>
        <v>0.29908339763247027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.199999999999999" x14ac:dyDescent="0.2">
      <c r="A263" s="97">
        <f t="shared" ca="1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>
        <f t="array" aca="1" ref="N263:AE263" ca="1">IF(OR(B263="",NOT($J$2)),"",[3]!GetStripDefaultProbability(A263,B263,Parameter_Date,CDSRollDate,E263:M263,SpreadCurveMaturities,D263,C263,$J$4,$J$6))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7.7892249134429159E-3</v>
      </c>
      <c r="Q263" s="166">
        <f ca="1"/>
        <v>0</v>
      </c>
      <c r="R263" s="166">
        <f ca="1"/>
        <v>3.9959113976518523E-2</v>
      </c>
      <c r="S263" s="166">
        <f ca="1"/>
        <v>0</v>
      </c>
      <c r="T263" s="166">
        <f ca="1"/>
        <v>0.10389272942148275</v>
      </c>
      <c r="U263" s="166">
        <f ca="1"/>
        <v>0.16772417037049869</v>
      </c>
      <c r="V263" s="140">
        <f ca="1"/>
        <v>0.27947630191713779</v>
      </c>
      <c r="W263" s="139">
        <f ca="1"/>
        <v>0</v>
      </c>
      <c r="X263" s="166">
        <f ca="1"/>
        <v>0</v>
      </c>
      <c r="Y263" s="166">
        <f ca="1"/>
        <v>8.1768021936740043E-3</v>
      </c>
      <c r="Z263" s="166">
        <f ca="1"/>
        <v>0</v>
      </c>
      <c r="AA263" s="166">
        <f ca="1"/>
        <v>4.1910858133497486E-2</v>
      </c>
      <c r="AB263" s="166">
        <f ca="1"/>
        <v>0</v>
      </c>
      <c r="AC263" s="166">
        <f ca="1"/>
        <v>0.10887721607641854</v>
      </c>
      <c r="AD263" s="166">
        <f ca="1"/>
        <v>0.17552722037396884</v>
      </c>
      <c r="AE263" s="140">
        <f ca="1"/>
        <v>0.29177499610848434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.199999999999999" x14ac:dyDescent="0.2">
      <c r="A264" s="97">
        <f t="shared" ca="1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>
        <f t="array" aca="1" ref="N264:AE264" ca="1">IF(OR(B264="",NOT($J$2)),"",[3]!GetStripDefaultProbability(A264,B264,Parameter_Date,CDSRollDate,E264:M264,SpreadCurveMaturities,D264,C264,$J$4,$J$6))</f>
        <v>0</v>
      </c>
      <c r="O264" s="166">
        <f ca="1"/>
        <v>2.0509611578531928E-3</v>
      </c>
      <c r="P264" s="166">
        <f ca="1"/>
        <v>5.1229681977726926E-3</v>
      </c>
      <c r="Q264" s="166">
        <f ca="1"/>
        <v>1.6591439943123731E-2</v>
      </c>
      <c r="R264" s="166">
        <f ca="1"/>
        <v>3.5547458086096717E-2</v>
      </c>
      <c r="S264" s="166">
        <f ca="1"/>
        <v>6.6504331619198997E-2</v>
      </c>
      <c r="T264" s="166">
        <f ca="1"/>
        <v>0.10205144279148581</v>
      </c>
      <c r="U264" s="166">
        <f ca="1"/>
        <v>0.17539686126901033</v>
      </c>
      <c r="V264" s="140">
        <f ca="1"/>
        <v>0.27543568499832727</v>
      </c>
      <c r="W264" s="139">
        <f ca="1"/>
        <v>0</v>
      </c>
      <c r="X264" s="166">
        <f ca="1"/>
        <v>2.15338935736753E-3</v>
      </c>
      <c r="Y264" s="166">
        <f ca="1"/>
        <v>5.3633677643358801E-3</v>
      </c>
      <c r="Z264" s="166">
        <f ca="1"/>
        <v>1.7415432742450165E-2</v>
      </c>
      <c r="AA264" s="166">
        <f ca="1"/>
        <v>3.7299884762793889E-2</v>
      </c>
      <c r="AB264" s="166">
        <f ca="1"/>
        <v>6.9748024945233356E-2</v>
      </c>
      <c r="AC264" s="166">
        <f ca="1"/>
        <v>0.10696436511066176</v>
      </c>
      <c r="AD264" s="166">
        <f ca="1"/>
        <v>0.18358135585780122</v>
      </c>
      <c r="AE264" s="140">
        <f ca="1"/>
        <v>0.28757221838510449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.199999999999999" x14ac:dyDescent="0.2">
      <c r="A265" s="97">
        <f t="shared" ca="1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>
        <f t="array" aca="1" ref="N265:AE265" ca="1">IF(OR(B265="",NOT($J$2)),"",[3]!GetStripDefaultProbability(A265,B265,Parameter_Date,CDSRollDate,E265:M265,SpreadCurveMaturities,D265,C265,$J$4,$J$6))</f>
        <v>0</v>
      </c>
      <c r="O265" s="166">
        <f ca="1"/>
        <v>5.0266941690249034E-3</v>
      </c>
      <c r="P265" s="166">
        <f ca="1"/>
        <v>9.4862139463658401E-3</v>
      </c>
      <c r="Q265" s="166">
        <f ca="1"/>
        <v>2.7788595835711249E-2</v>
      </c>
      <c r="R265" s="166">
        <f ca="1"/>
        <v>4.9781804261216256E-2</v>
      </c>
      <c r="S265" s="166">
        <f ca="1"/>
        <v>0</v>
      </c>
      <c r="T265" s="166">
        <f ca="1"/>
        <v>0.10368113070006846</v>
      </c>
      <c r="U265" s="166">
        <f ca="1"/>
        <v>0.16845396792474698</v>
      </c>
      <c r="V265" s="140">
        <f ca="1"/>
        <v>0.24893946055517968</v>
      </c>
      <c r="W265" s="139">
        <f ca="1"/>
        <v>0</v>
      </c>
      <c r="X265" s="166">
        <f ca="1"/>
        <v>5.2773002692817483E-3</v>
      </c>
      <c r="Y265" s="166">
        <f ca="1"/>
        <v>9.9581103279560157E-3</v>
      </c>
      <c r="Z265" s="166">
        <f ca="1"/>
        <v>2.9159547353508009E-2</v>
      </c>
      <c r="AA265" s="166">
        <f ca="1"/>
        <v>5.2214932927120983E-2</v>
      </c>
      <c r="AB265" s="166">
        <f ca="1"/>
        <v>0</v>
      </c>
      <c r="AC265" s="166">
        <f ca="1"/>
        <v>0.10863170671547784</v>
      </c>
      <c r="AD265" s="166">
        <f ca="1"/>
        <v>0.17626021072919507</v>
      </c>
      <c r="AE265" s="140">
        <f ca="1"/>
        <v>0.25991071500466079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.199999999999999" x14ac:dyDescent="0.2">
      <c r="A266" s="97">
        <f t="shared" ca="1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>
        <f t="array" aca="1" ref="N266:AE266" ca="1">IF(OR(B266="",NOT($J$2)),"",[3]!GetStripDefaultProbability(A266,B266,Parameter_Date,CDSRollDate,E266:M266,SpreadCurveMaturities,D266,C266,$J$4,$J$6))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6.6097794009432054E-3</v>
      </c>
      <c r="Q266" s="166">
        <f ca="1"/>
        <v>0</v>
      </c>
      <c r="R266" s="166">
        <f ca="1"/>
        <v>4.1331779795198975E-2</v>
      </c>
      <c r="S266" s="166">
        <f ca="1"/>
        <v>0</v>
      </c>
      <c r="T266" s="166">
        <f ca="1"/>
        <v>0.10511974840181815</v>
      </c>
      <c r="U266" s="166">
        <f ca="1"/>
        <v>0.16202105525732158</v>
      </c>
      <c r="V266" s="140">
        <f ca="1"/>
        <v>0.25989207936755498</v>
      </c>
      <c r="W266" s="139">
        <f ca="1"/>
        <v>0</v>
      </c>
      <c r="X266" s="166">
        <f ca="1"/>
        <v>0</v>
      </c>
      <c r="Y266" s="166">
        <f ca="1"/>
        <v>6.9389171067880673E-3</v>
      </c>
      <c r="Z266" s="166">
        <f ca="1"/>
        <v>0</v>
      </c>
      <c r="AA266" s="166">
        <f ca="1"/>
        <v>4.334943639024369E-2</v>
      </c>
      <c r="AB266" s="166">
        <f ca="1"/>
        <v>0</v>
      </c>
      <c r="AC266" s="166">
        <f ca="1"/>
        <v>0.1101610534882147</v>
      </c>
      <c r="AD266" s="166">
        <f ca="1"/>
        <v>0.16956118873012049</v>
      </c>
      <c r="AE266" s="140">
        <f ca="1"/>
        <v>0.27138222278880864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.199999999999999" x14ac:dyDescent="0.2">
      <c r="A267" s="97">
        <f t="shared" ref="A267:A330" ca="1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>
        <f t="array" aca="1" ref="N267:AE267" ca="1">IF(OR(B267="",NOT($J$2)),"",[3]!GetStripDefaultProbability(A267,B267,Parameter_Date,CDSRollDate,E267:M267,SpreadCurveMaturities,D267,C267,$J$4,$J$6))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4.8336169197978895E-3</v>
      </c>
      <c r="Q267" s="166">
        <f ca="1"/>
        <v>0</v>
      </c>
      <c r="R267" s="166">
        <f ca="1"/>
        <v>2.5774930790021133E-2</v>
      </c>
      <c r="S267" s="166">
        <f ca="1"/>
        <v>0</v>
      </c>
      <c r="T267" s="166">
        <f ca="1"/>
        <v>6.4344638417416E-2</v>
      </c>
      <c r="U267" s="166">
        <f ca="1"/>
        <v>0.10271651480298505</v>
      </c>
      <c r="V267" s="140">
        <f ca="1"/>
        <v>0.16235161832815248</v>
      </c>
      <c r="W267" s="139">
        <f ca="1"/>
        <v>0</v>
      </c>
      <c r="X267" s="166">
        <f ca="1"/>
        <v>0</v>
      </c>
      <c r="Y267" s="166">
        <f ca="1"/>
        <v>5.0612351950887202E-3</v>
      </c>
      <c r="Z267" s="166">
        <f ca="1"/>
        <v>0</v>
      </c>
      <c r="AA267" s="166">
        <f ca="1"/>
        <v>2.7046033413906656E-2</v>
      </c>
      <c r="AB267" s="166">
        <f ca="1"/>
        <v>0</v>
      </c>
      <c r="AC267" s="166">
        <f ca="1"/>
        <v>6.7464910158484215E-2</v>
      </c>
      <c r="AD267" s="166">
        <f ca="1"/>
        <v>0.10761754529265166</v>
      </c>
      <c r="AE267" s="140">
        <f ca="1"/>
        <v>0.16989567288375762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.199999999999999" x14ac:dyDescent="0.2">
      <c r="A268" s="97">
        <f t="shared" ca="1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>
        <f t="array" aca="1" ref="N268:AE268" ca="1">IF(OR(B268="",NOT($J$2)),"",[3]!GetStripDefaultProbability(A268,B268,Parameter_Date,CDSRollDate,E268:M268,SpreadCurveMaturities,D268,C268,$J$4,$J$6))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2.2621012773794691E-3</v>
      </c>
      <c r="Q268" s="166">
        <f ca="1"/>
        <v>0</v>
      </c>
      <c r="R268" s="166">
        <f ca="1"/>
        <v>2.1688745004773358E-2</v>
      </c>
      <c r="S268" s="166">
        <f ca="1"/>
        <v>0</v>
      </c>
      <c r="T268" s="166">
        <f ca="1"/>
        <v>5.0508918342410336E-2</v>
      </c>
      <c r="U268" s="166">
        <f ca="1"/>
        <v>9.234257355764286E-2</v>
      </c>
      <c r="V268" s="140">
        <f ca="1"/>
        <v>0.16461667210820874</v>
      </c>
      <c r="W268" s="139">
        <f ca="1"/>
        <v>0</v>
      </c>
      <c r="X268" s="166">
        <f ca="1"/>
        <v>0</v>
      </c>
      <c r="Y268" s="166">
        <f ca="1"/>
        <v>2.4283770704467411E-3</v>
      </c>
      <c r="Z268" s="166">
        <f ca="1"/>
        <v>0</v>
      </c>
      <c r="AA268" s="166">
        <f ca="1"/>
        <v>2.2756188088672413E-2</v>
      </c>
      <c r="AB268" s="166">
        <f ca="1"/>
        <v>0</v>
      </c>
      <c r="AC268" s="166">
        <f ca="1"/>
        <v>5.2970879351766587E-2</v>
      </c>
      <c r="AD268" s="166">
        <f ca="1"/>
        <v>9.6773090480665513E-2</v>
      </c>
      <c r="AE268" s="140">
        <f ca="1"/>
        <v>0.17232005771284131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.199999999999999" x14ac:dyDescent="0.2">
      <c r="A269" s="97">
        <f t="shared" ca="1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>
        <f t="array" aca="1" ref="N269:AE269" ca="1">IF(OR(B269="",NOT($J$2)),"",[3]!GetStripDefaultProbability(A269,B269,Parameter_Date,CDSRollDate,E269:M269,SpreadCurveMaturities,D269,C269,$J$4,$J$6))</f>
        <v>0</v>
      </c>
      <c r="O269" s="166">
        <f ca="1"/>
        <v>6.5303425461338271E-4</v>
      </c>
      <c r="P269" s="166">
        <f ca="1"/>
        <v>2.4845156425371551E-3</v>
      </c>
      <c r="Q269" s="166">
        <f ca="1"/>
        <v>8.685826777107053E-3</v>
      </c>
      <c r="R269" s="166">
        <f ca="1"/>
        <v>1.867955505454999E-2</v>
      </c>
      <c r="S269" s="166">
        <f ca="1"/>
        <v>0</v>
      </c>
      <c r="T269" s="166">
        <f ca="1"/>
        <v>4.8233858247651362E-2</v>
      </c>
      <c r="U269" s="166">
        <f ca="1"/>
        <v>8.383657160206448E-2</v>
      </c>
      <c r="V269" s="140">
        <f ca="1"/>
        <v>0.1453208232064731</v>
      </c>
      <c r="W269" s="139">
        <f ca="1"/>
        <v>0</v>
      </c>
      <c r="X269" s="166">
        <f ca="1"/>
        <v>7.4628912209839804E-4</v>
      </c>
      <c r="Y269" s="166">
        <f ca="1"/>
        <v>2.6507543696420166E-3</v>
      </c>
      <c r="Z269" s="166">
        <f ca="1"/>
        <v>9.0987883096406152E-3</v>
      </c>
      <c r="AA269" s="166">
        <f ca="1"/>
        <v>1.9604228637601806E-2</v>
      </c>
      <c r="AB269" s="166">
        <f ca="1"/>
        <v>0</v>
      </c>
      <c r="AC269" s="166">
        <f ca="1"/>
        <v>5.0591663770621853E-2</v>
      </c>
      <c r="AD269" s="166">
        <f ca="1"/>
        <v>8.7878843567888221E-2</v>
      </c>
      <c r="AE269" s="140">
        <f ca="1"/>
        <v>0.1521665635865842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.199999999999999" x14ac:dyDescent="0.2">
      <c r="A270" s="97">
        <f t="shared" ca="1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>
        <f t="array" aca="1" ref="N270:AE270" ca="1">IF(OR(B270="",NOT($J$2)),"",[3]!GetStripDefaultProbability(A270,B270,Parameter_Date,CDSRollDate,E270:M270,SpreadCurveMaturities,D270,C270,$J$4,$J$6))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5.0619560170975797E-3</v>
      </c>
      <c r="Q270" s="166">
        <f ca="1"/>
        <v>0</v>
      </c>
      <c r="R270" s="166">
        <f ca="1"/>
        <v>5.7643807429516913E-2</v>
      </c>
      <c r="S270" s="166">
        <f ca="1"/>
        <v>0</v>
      </c>
      <c r="T270" s="166">
        <f ca="1"/>
        <v>9.447075502827873E-2</v>
      </c>
      <c r="U270" s="166">
        <f ca="1"/>
        <v>0.12212417601795889</v>
      </c>
      <c r="V270" s="140">
        <f ca="1"/>
        <v>0.16347655113929105</v>
      </c>
      <c r="W270" s="139">
        <f ca="1"/>
        <v>0</v>
      </c>
      <c r="X270" s="166">
        <f ca="1"/>
        <v>0</v>
      </c>
      <c r="Y270" s="166">
        <f ca="1"/>
        <v>5.3002980376257725E-3</v>
      </c>
      <c r="Z270" s="166">
        <f ca="1"/>
        <v>0</v>
      </c>
      <c r="AA270" s="166">
        <f ca="1"/>
        <v>6.046218303952211E-2</v>
      </c>
      <c r="AB270" s="166">
        <f ca="1"/>
        <v>0</v>
      </c>
      <c r="AC270" s="166">
        <f ca="1"/>
        <v>9.8962943217362431E-2</v>
      </c>
      <c r="AD270" s="166">
        <f ca="1"/>
        <v>0.1278223201957146</v>
      </c>
      <c r="AE270" s="140">
        <f ca="1"/>
        <v>0.17089860087686604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.199999999999999" x14ac:dyDescent="0.2">
      <c r="A271" s="97">
        <f t="shared" ca="1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>
        <f t="array" aca="1" ref="N271:AE271" ca="1">IF(OR(B271="",NOT($J$2)),"",[3]!GetStripDefaultProbability(A271,B271,Parameter_Date,CDSRollDate,E271:M271,SpreadCurveMaturities,D271,C271,$J$4,$J$6))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3.4589734094525593E-3</v>
      </c>
      <c r="Q271" s="166">
        <f ca="1"/>
        <v>0</v>
      </c>
      <c r="R271" s="166">
        <f ca="1"/>
        <v>2.2197029653581279E-2</v>
      </c>
      <c r="S271" s="166">
        <f ca="1"/>
        <v>0</v>
      </c>
      <c r="T271" s="166">
        <f ca="1"/>
        <v>6.1393692391997767E-2</v>
      </c>
      <c r="U271" s="166">
        <f ca="1"/>
        <v>9.4921053980502879E-2</v>
      </c>
      <c r="V271" s="140">
        <f ca="1"/>
        <v>0.15358749143902484</v>
      </c>
      <c r="W271" s="139">
        <f ca="1"/>
        <v>0</v>
      </c>
      <c r="X271" s="166">
        <f ca="1"/>
        <v>0</v>
      </c>
      <c r="Y271" s="166">
        <f ca="1"/>
        <v>3.6250497404880511E-3</v>
      </c>
      <c r="Z271" s="166">
        <f ca="1"/>
        <v>0</v>
      </c>
      <c r="AA271" s="166">
        <f ca="1"/>
        <v>2.3293774135632828E-2</v>
      </c>
      <c r="AB271" s="166">
        <f ca="1"/>
        <v>0</v>
      </c>
      <c r="AC271" s="166">
        <f ca="1"/>
        <v>6.4377141573106145E-2</v>
      </c>
      <c r="AD271" s="166">
        <f ca="1"/>
        <v>9.9469568374669026E-2</v>
      </c>
      <c r="AE271" s="140">
        <f ca="1"/>
        <v>0.16076323016959781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.199999999999999" x14ac:dyDescent="0.2">
      <c r="A272" s="97">
        <f t="shared" ca="1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>
        <f t="array" aca="1" ref="N272:AE272" ca="1">IF(OR(B272="",NOT($J$2)),"",[3]!GetStripDefaultProbability(A272,B272,Parameter_Date,CDSRollDate,E272:M272,SpreadCurveMaturities,D272,C272,$J$4,$J$6))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3.5240564812459851E-3</v>
      </c>
      <c r="Q272" s="166">
        <f ca="1"/>
        <v>0</v>
      </c>
      <c r="R272" s="166">
        <f ca="1"/>
        <v>1.7970156230853851E-2</v>
      </c>
      <c r="S272" s="166">
        <f ca="1"/>
        <v>0</v>
      </c>
      <c r="T272" s="166">
        <f ca="1"/>
        <v>4.2833928615588768E-2</v>
      </c>
      <c r="U272" s="166">
        <f ca="1"/>
        <v>8.2112967633134248E-2</v>
      </c>
      <c r="V272" s="140">
        <f ca="1"/>
        <v>0.14920067028238548</v>
      </c>
      <c r="W272" s="139">
        <f ca="1"/>
        <v>0</v>
      </c>
      <c r="X272" s="166">
        <f ca="1"/>
        <v>0</v>
      </c>
      <c r="Y272" s="166">
        <f ca="1"/>
        <v>3.6901219660027129E-3</v>
      </c>
      <c r="Z272" s="166">
        <f ca="1"/>
        <v>0</v>
      </c>
      <c r="AA272" s="166">
        <f ca="1"/>
        <v>1.886039996828448E-2</v>
      </c>
      <c r="AB272" s="166">
        <f ca="1"/>
        <v>0</v>
      </c>
      <c r="AC272" s="166">
        <f ca="1"/>
        <v>4.4933103083586112E-2</v>
      </c>
      <c r="AD272" s="166">
        <f ca="1"/>
        <v>8.6076902933072907E-2</v>
      </c>
      <c r="AE272" s="140">
        <f ca="1"/>
        <v>0.15624218857663652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.199999999999999" x14ac:dyDescent="0.2">
      <c r="A273" s="97">
        <f t="shared" ca="1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>
        <f t="array" aca="1" ref="N273:AE273" ca="1">IF(OR(B273="",NOT($J$2)),"",[3]!GetStripDefaultProbability(A273,B273,Parameter_Date,CDSRollDate,E273:M273,SpreadCurveMaturities,D273,C273,$J$4,$J$6))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3.8423751171337006E-3</v>
      </c>
      <c r="Q273" s="166">
        <f ca="1"/>
        <v>0</v>
      </c>
      <c r="R273" s="166">
        <f ca="1"/>
        <v>2.0442055646550217E-2</v>
      </c>
      <c r="S273" s="166">
        <f ca="1"/>
        <v>0</v>
      </c>
      <c r="T273" s="166">
        <f ca="1"/>
        <v>4.6962279662327688E-2</v>
      </c>
      <c r="U273" s="166">
        <f ca="1"/>
        <v>7.1756730932088786E-2</v>
      </c>
      <c r="V273" s="140">
        <f ca="1"/>
        <v>0.11789317187826953</v>
      </c>
      <c r="W273" s="139">
        <f ca="1"/>
        <v>0</v>
      </c>
      <c r="X273" s="166">
        <f ca="1"/>
        <v>0</v>
      </c>
      <c r="Y273" s="166">
        <f ca="1"/>
        <v>4.0234103133915955E-3</v>
      </c>
      <c r="Z273" s="166">
        <f ca="1"/>
        <v>0</v>
      </c>
      <c r="AA273" s="166">
        <f ca="1"/>
        <v>2.1453316665320576E-2</v>
      </c>
      <c r="AB273" s="166">
        <f ca="1"/>
        <v>0</v>
      </c>
      <c r="AC273" s="166">
        <f ca="1"/>
        <v>4.925875954563852E-2</v>
      </c>
      <c r="AD273" s="166">
        <f ca="1"/>
        <v>7.5227083299108322E-2</v>
      </c>
      <c r="AE273" s="140">
        <f ca="1"/>
        <v>0.1234881704838009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.199999999999999" x14ac:dyDescent="0.2">
      <c r="A274" s="97">
        <f t="shared" ca="1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>
        <f t="array" aca="1" ref="N274:AE274" ca="1">IF(OR(B274="",NOT($J$2)),"",[3]!GetStripDefaultProbability(A274,B274,Parameter_Date,CDSRollDate,E274:M274,SpreadCurveMaturities,D274,C274,$J$4,$J$6))</f>
        <v>0</v>
      </c>
      <c r="O274" s="166">
        <f ca="1"/>
        <v>9.3277580402983951E-4</v>
      </c>
      <c r="P274" s="166">
        <f ca="1"/>
        <v>2.8343480878976202E-3</v>
      </c>
      <c r="Q274" s="166">
        <f ca="1"/>
        <v>8.3150424961720981E-3</v>
      </c>
      <c r="R274" s="166">
        <f ca="1"/>
        <v>1.602167310779945E-2</v>
      </c>
      <c r="S274" s="166">
        <f ca="1"/>
        <v>0</v>
      </c>
      <c r="T274" s="166">
        <f ca="1"/>
        <v>4.4900767361827687E-2</v>
      </c>
      <c r="U274" s="166">
        <f ca="1"/>
        <v>7.5519858339313073E-2</v>
      </c>
      <c r="V274" s="140">
        <f ca="1"/>
        <v>0.12127627736922242</v>
      </c>
      <c r="W274" s="139">
        <f ca="1"/>
        <v>0</v>
      </c>
      <c r="X274" s="166">
        <f ca="1"/>
        <v>1.0260036394392769E-3</v>
      </c>
      <c r="Y274" s="166">
        <f ca="1"/>
        <v>3.000528514470524E-3</v>
      </c>
      <c r="Z274" s="166">
        <f ca="1"/>
        <v>8.7116371549653682E-3</v>
      </c>
      <c r="AA274" s="166">
        <f ca="1"/>
        <v>1.6815899592228623E-2</v>
      </c>
      <c r="AB274" s="166">
        <f ca="1"/>
        <v>0</v>
      </c>
      <c r="AC274" s="166">
        <f ca="1"/>
        <v>4.7099784571728032E-2</v>
      </c>
      <c r="AD274" s="166">
        <f ca="1"/>
        <v>7.9174844362811969E-2</v>
      </c>
      <c r="AE274" s="140">
        <f ca="1"/>
        <v>0.12703130035059851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.199999999999999" x14ac:dyDescent="0.2">
      <c r="A275" s="97">
        <f t="shared" ca="1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>
        <f t="array" aca="1" ref="N275:AE275" ca="1">IF(OR(B275="",NOT($J$2)),"",[3]!GetStripDefaultProbability(A275,B275,Parameter_Date,CDSRollDate,E275:M275,SpreadCurveMaturities,D275,C275,$J$4,$J$6))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6.5975044782338177E-3</v>
      </c>
      <c r="Q275" s="166">
        <f ca="1"/>
        <v>0</v>
      </c>
      <c r="R275" s="166">
        <f ca="1"/>
        <v>3.8261057497295026E-2</v>
      </c>
      <c r="S275" s="166">
        <f ca="1"/>
        <v>0</v>
      </c>
      <c r="T275" s="166">
        <f ca="1"/>
        <v>0.12694720462006004</v>
      </c>
      <c r="U275" s="166">
        <f ca="1"/>
        <v>0.19721258254702645</v>
      </c>
      <c r="V275" s="140">
        <f ca="1"/>
        <v>0.29417269827123305</v>
      </c>
      <c r="W275" s="139">
        <f ca="1"/>
        <v>0</v>
      </c>
      <c r="X275" s="166">
        <f ca="1"/>
        <v>0</v>
      </c>
      <c r="Y275" s="166">
        <f ca="1"/>
        <v>6.9260335084361246E-3</v>
      </c>
      <c r="Z275" s="166">
        <f ca="1"/>
        <v>0</v>
      </c>
      <c r="AA275" s="166">
        <f ca="1"/>
        <v>4.0132208506684197E-2</v>
      </c>
      <c r="AB275" s="166">
        <f ca="1"/>
        <v>0</v>
      </c>
      <c r="AC275" s="166">
        <f ca="1"/>
        <v>0.13301373877930545</v>
      </c>
      <c r="AD275" s="166">
        <f ca="1"/>
        <v>0.20628246181677368</v>
      </c>
      <c r="AE275" s="140">
        <f ca="1"/>
        <v>0.3068908280831143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.199999999999999" x14ac:dyDescent="0.2">
      <c r="A276" s="97">
        <f t="shared" ca="1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>
        <f t="array" aca="1" ref="N276:AE276" ca="1">IF(OR(B276="",NOT($J$2)),"",[3]!GetStripDefaultProbability(A276,B276,Parameter_Date,CDSRollDate,E276:M276,SpreadCurveMaturities,D276,C276,$J$4,$J$6))</f>
        <v>0</v>
      </c>
      <c r="O276" s="166">
        <f ca="1"/>
        <v>1.7346227940791548E-2</v>
      </c>
      <c r="P276" s="166">
        <f ca="1"/>
        <v>3.2554012774867469E-2</v>
      </c>
      <c r="Q276" s="166">
        <f ca="1"/>
        <v>5.747589326582947E-2</v>
      </c>
      <c r="R276" s="166">
        <f ca="1"/>
        <v>8.0579730621096468E-2</v>
      </c>
      <c r="S276" s="166">
        <f ca="1"/>
        <v>0</v>
      </c>
      <c r="T276" s="166">
        <f ca="1"/>
        <v>0.11780780735345064</v>
      </c>
      <c r="U276" s="166">
        <f ca="1"/>
        <v>0.161123127017754</v>
      </c>
      <c r="V276" s="140">
        <f ca="1"/>
        <v>0.22223890868766227</v>
      </c>
      <c r="W276" s="139">
        <f ca="1"/>
        <v>0</v>
      </c>
      <c r="X276" s="166">
        <f ca="1"/>
        <v>1.820450335825019E-2</v>
      </c>
      <c r="Y276" s="166">
        <f ca="1"/>
        <v>3.4152868579156559E-2</v>
      </c>
      <c r="Z276" s="166">
        <f ca="1"/>
        <v>6.0253251772826033E-2</v>
      </c>
      <c r="AA276" s="166">
        <f ca="1"/>
        <v>8.44208883046903E-2</v>
      </c>
      <c r="AB276" s="166">
        <f ca="1"/>
        <v>0</v>
      </c>
      <c r="AC276" s="166">
        <f ca="1"/>
        <v>0.12326738046434649</v>
      </c>
      <c r="AD276" s="166">
        <f ca="1"/>
        <v>0.16843127986017914</v>
      </c>
      <c r="AE276" s="140">
        <f ca="1"/>
        <v>0.23192447451975695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.199999999999999" x14ac:dyDescent="0.2">
      <c r="A277" s="97">
        <f t="shared" ca="1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>
        <f t="array" aca="1" ref="N277:AE277" ca="1">IF(OR(B277="",NOT($J$2)),"",[3]!GetStripDefaultProbability(A277,B277,Parameter_Date,CDSRollDate,E277:M277,SpreadCurveMaturities,D277,C277,$J$4,$J$6))</f>
        <v>0</v>
      </c>
      <c r="O277" s="166">
        <f ca="1"/>
        <v>7.9935935589473539E-3</v>
      </c>
      <c r="P277" s="166">
        <f ca="1"/>
        <v>1.5065166701871524E-2</v>
      </c>
      <c r="Q277" s="166">
        <f ca="1"/>
        <v>2.9178531657479523E-2</v>
      </c>
      <c r="R277" s="166">
        <f ca="1"/>
        <v>4.4548376917425858E-2</v>
      </c>
      <c r="S277" s="166">
        <f ca="1"/>
        <v>0</v>
      </c>
      <c r="T277" s="166">
        <f ca="1"/>
        <v>7.8002594484348764E-2</v>
      </c>
      <c r="U277" s="166">
        <f ca="1"/>
        <v>0.10694646875297542</v>
      </c>
      <c r="V277" s="140">
        <f ca="1"/>
        <v>0.14871056843385677</v>
      </c>
      <c r="W277" s="139">
        <f ca="1"/>
        <v>0</v>
      </c>
      <c r="X277" s="166">
        <f ca="1"/>
        <v>8.3914118490253653E-3</v>
      </c>
      <c r="Y277" s="166">
        <f ca="1"/>
        <v>1.5812314131983918E-2</v>
      </c>
      <c r="Z277" s="166">
        <f ca="1"/>
        <v>3.0613903935847953E-2</v>
      </c>
      <c r="AA277" s="166">
        <f ca="1"/>
        <v>4.672301374269594E-2</v>
      </c>
      <c r="AB277" s="166">
        <f ca="1"/>
        <v>0</v>
      </c>
      <c r="AC277" s="166">
        <f ca="1"/>
        <v>8.1735585106350372E-2</v>
      </c>
      <c r="AD277" s="166">
        <f ca="1"/>
        <v>0.1119832749976698</v>
      </c>
      <c r="AE277" s="140">
        <f ca="1"/>
        <v>0.15554736458523077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.199999999999999" x14ac:dyDescent="0.2">
      <c r="A278" s="97">
        <f t="shared" ca="1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>
        <f t="array" aca="1" ref="N278:AE278" ca="1">IF(OR(B278="",NOT($J$2)),"",[3]!GetStripDefaultProbability(A278,B278,Parameter_Date,CDSRollDate,E278:M278,SpreadCurveMaturities,D278,C278,$J$4,$J$6))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4.6544222060856955E-3</v>
      </c>
      <c r="Q278" s="166">
        <f ca="1"/>
        <v>0</v>
      </c>
      <c r="R278" s="166">
        <f ca="1"/>
        <v>2.0455061174971312E-2</v>
      </c>
      <c r="S278" s="166">
        <f ca="1"/>
        <v>0</v>
      </c>
      <c r="T278" s="166">
        <f ca="1"/>
        <v>4.3778257908030027E-2</v>
      </c>
      <c r="U278" s="166">
        <f ca="1"/>
        <v>6.807391938227092E-2</v>
      </c>
      <c r="V278" s="140">
        <f ca="1"/>
        <v>0.11037272526645325</v>
      </c>
      <c r="W278" s="139">
        <f ca="1"/>
        <v>0</v>
      </c>
      <c r="X278" s="166">
        <f ca="1"/>
        <v>0</v>
      </c>
      <c r="Y278" s="166">
        <f ca="1"/>
        <v>4.8736229292184463E-3</v>
      </c>
      <c r="Z278" s="166">
        <f ca="1"/>
        <v>0</v>
      </c>
      <c r="AA278" s="166">
        <f ca="1"/>
        <v>2.1466922357796681E-2</v>
      </c>
      <c r="AB278" s="166">
        <f ca="1"/>
        <v>0</v>
      </c>
      <c r="AC278" s="166">
        <f ca="1"/>
        <v>4.5921258984095492E-2</v>
      </c>
      <c r="AD278" s="166">
        <f ca="1"/>
        <v>7.1370460465133956E-2</v>
      </c>
      <c r="AE278" s="140">
        <f ca="1"/>
        <v>0.11562515938094964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.199999999999999" x14ac:dyDescent="0.2">
      <c r="A279" s="97">
        <f t="shared" ca="1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>
        <f t="array" aca="1" ref="N279:AE279" ca="1">IF(OR(B279="",NOT($J$2)),"",[3]!GetStripDefaultProbability(A279,B279,Parameter_Date,CDSRollDate,E279:M279,SpreadCurveMaturities,D279,C279,$J$4,$J$6))</f>
        <v>0</v>
      </c>
      <c r="O279" s="166">
        <f ca="1"/>
        <v>1.1192267699196012E-3</v>
      </c>
      <c r="P279" s="166">
        <f ca="1"/>
        <v>3.0080192722674592E-3</v>
      </c>
      <c r="Q279" s="166">
        <f ca="1"/>
        <v>9.7056338526321229E-3</v>
      </c>
      <c r="R279" s="166">
        <f ca="1"/>
        <v>1.8064211663813889E-2</v>
      </c>
      <c r="S279" s="166">
        <f ca="1"/>
        <v>0</v>
      </c>
      <c r="T279" s="166">
        <f ca="1"/>
        <v>3.8441749995414942E-2</v>
      </c>
      <c r="U279" s="166">
        <f ca="1"/>
        <v>6.1863310761928858E-2</v>
      </c>
      <c r="V279" s="140">
        <f ca="1"/>
        <v>0.10503576267547376</v>
      </c>
      <c r="W279" s="139">
        <f ca="1"/>
        <v>0</v>
      </c>
      <c r="X279" s="166">
        <f ca="1"/>
        <v>1.2124363949111983E-3</v>
      </c>
      <c r="Y279" s="166">
        <f ca="1"/>
        <v>3.1741707560468679E-3</v>
      </c>
      <c r="Z279" s="166">
        <f ca="1"/>
        <v>1.0187224765522473E-2</v>
      </c>
      <c r="AA279" s="166">
        <f ca="1"/>
        <v>1.8958837554105101E-2</v>
      </c>
      <c r="AB279" s="166">
        <f ca="1"/>
        <v>0</v>
      </c>
      <c r="AC279" s="166">
        <f ca="1"/>
        <v>4.032749548339376E-2</v>
      </c>
      <c r="AD279" s="166">
        <f ca="1"/>
        <v>6.4868551924553985E-2</v>
      </c>
      <c r="AE279" s="140">
        <f ca="1"/>
        <v>0.11005486830767153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.199999999999999" x14ac:dyDescent="0.2">
      <c r="A280" s="97">
        <f t="shared" ca="1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>
        <f t="array" aca="1" ref="N280:AE280" ca="1">IF(OR(B280="",NOT($J$2)),"",[3]!GetStripDefaultProbability(A280,B280,Parameter_Date,CDSRollDate,E280:M280,SpreadCurveMaturities,D280,C280,$J$4,$J$6))</f>
        <v>0</v>
      </c>
      <c r="O280" s="166">
        <f ca="1"/>
        <v>1.0260056262103578E-3</v>
      </c>
      <c r="P280" s="166">
        <f ca="1"/>
        <v>2.6535595719868743E-3</v>
      </c>
      <c r="Q280" s="166">
        <f ca="1"/>
        <v>6.5651428785618027E-3</v>
      </c>
      <c r="R280" s="166">
        <f ca="1"/>
        <v>1.345339463577977E-2</v>
      </c>
      <c r="S280" s="166">
        <f ca="1"/>
        <v>0</v>
      </c>
      <c r="T280" s="166">
        <f ca="1"/>
        <v>3.2756879543669348E-2</v>
      </c>
      <c r="U280" s="166">
        <f ca="1"/>
        <v>5.6650793426927581E-2</v>
      </c>
      <c r="V280" s="140">
        <f ca="1"/>
        <v>9.774781966289614E-2</v>
      </c>
      <c r="W280" s="139">
        <f ca="1"/>
        <v>0</v>
      </c>
      <c r="X280" s="166">
        <f ca="1"/>
        <v>1.1192243755654419E-3</v>
      </c>
      <c r="Y280" s="166">
        <f ca="1"/>
        <v>2.8197701274703668E-3</v>
      </c>
      <c r="Z280" s="166">
        <f ca="1"/>
        <v>6.8962326462607138E-3</v>
      </c>
      <c r="AA280" s="166">
        <f ca="1"/>
        <v>1.4119580228031503E-2</v>
      </c>
      <c r="AB280" s="166">
        <f ca="1"/>
        <v>0</v>
      </c>
      <c r="AC280" s="166">
        <f ca="1"/>
        <v>3.4367855670745295E-2</v>
      </c>
      <c r="AD280" s="166">
        <f ca="1"/>
        <v>5.941267375196424E-2</v>
      </c>
      <c r="AE280" s="140">
        <f ca="1"/>
        <v>0.10244193346974007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.199999999999999" x14ac:dyDescent="0.2">
      <c r="A281" s="97">
        <f t="shared" ca="1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>
        <f t="array" aca="1" ref="N281:AE281" ca="1">IF(OR(B281="",NOT($J$2)),"",[3]!GetStripDefaultProbability(A281,B281,Parameter_Date,CDSRollDate,E281:M281,SpreadCurveMaturities,D281,C281,$J$4,$J$6))</f>
        <v>0</v>
      </c>
      <c r="O281" s="166">
        <f ca="1"/>
        <v>1.0260056262103578E-3</v>
      </c>
      <c r="P281" s="166">
        <f ca="1"/>
        <v>2.8319832602154982E-3</v>
      </c>
      <c r="Q281" s="166">
        <f ca="1"/>
        <v>6.9097030011058269E-3</v>
      </c>
      <c r="R281" s="166">
        <f ca="1"/>
        <v>1.4493466106794584E-2</v>
      </c>
      <c r="S281" s="166">
        <f ca="1"/>
        <v>0</v>
      </c>
      <c r="T281" s="166">
        <f ca="1"/>
        <v>3.354292417265381E-2</v>
      </c>
      <c r="U281" s="166">
        <f ca="1"/>
        <v>5.5157941352731443E-2</v>
      </c>
      <c r="V281" s="140">
        <f ca="1"/>
        <v>9.5834152942573692E-2</v>
      </c>
      <c r="W281" s="139">
        <f ca="1"/>
        <v>0</v>
      </c>
      <c r="X281" s="166">
        <f ca="1"/>
        <v>1.1192243755654419E-3</v>
      </c>
      <c r="Y281" s="166">
        <f ca="1"/>
        <v>2.9981640808945942E-3</v>
      </c>
      <c r="Z281" s="166">
        <f ca="1"/>
        <v>7.2406779345630667E-3</v>
      </c>
      <c r="AA281" s="166">
        <f ca="1"/>
        <v>1.5212246318829892E-2</v>
      </c>
      <c r="AB281" s="166">
        <f ca="1"/>
        <v>0</v>
      </c>
      <c r="AC281" s="166">
        <f ca="1"/>
        <v>3.5192991485346381E-2</v>
      </c>
      <c r="AD281" s="166">
        <f ca="1"/>
        <v>5.7848048078561254E-2</v>
      </c>
      <c r="AE281" s="140">
        <f ca="1"/>
        <v>0.10043850678638611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.199999999999999" x14ac:dyDescent="0.2">
      <c r="A282" s="97">
        <f t="shared" ca="1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>
        <f t="array" aca="1" ref="N282:AE282" ca="1">IF(OR(B282="",NOT($J$2)),"",[3]!GetStripDefaultProbability(A282,B282,Parameter_Date,CDSRollDate,E282:M282,SpreadCurveMaturities,D282,C282,$J$4,$J$6))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1.6472707157032529E-3</v>
      </c>
      <c r="Q282" s="166">
        <f ca="1"/>
        <v>0</v>
      </c>
      <c r="R282" s="166">
        <f ca="1"/>
        <v>1.1702658258738396E-2</v>
      </c>
      <c r="S282" s="166">
        <f ca="1"/>
        <v>0</v>
      </c>
      <c r="T282" s="166">
        <f ca="1"/>
        <v>3.0750648595551433E-2</v>
      </c>
      <c r="U282" s="166">
        <f ca="1"/>
        <v>5.4379594211188542E-2</v>
      </c>
      <c r="V282" s="140">
        <f ca="1"/>
        <v>9.2560961534685848E-2</v>
      </c>
      <c r="W282" s="139">
        <f ca="1"/>
        <v>0</v>
      </c>
      <c r="X282" s="166">
        <f ca="1"/>
        <v>0</v>
      </c>
      <c r="Y282" s="166">
        <f ca="1"/>
        <v>1.8136489720085303E-3</v>
      </c>
      <c r="Z282" s="166">
        <f ca="1"/>
        <v>0</v>
      </c>
      <c r="AA282" s="166">
        <f ca="1"/>
        <v>1.2261876280551753E-2</v>
      </c>
      <c r="AB282" s="166">
        <f ca="1"/>
        <v>0</v>
      </c>
      <c r="AC282" s="166">
        <f ca="1"/>
        <v>3.2262080649489433E-2</v>
      </c>
      <c r="AD282" s="166">
        <f ca="1"/>
        <v>5.7032063702371016E-2</v>
      </c>
      <c r="AE282" s="140">
        <f ca="1"/>
        <v>9.6989574628214781E-2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.199999999999999" x14ac:dyDescent="0.2">
      <c r="A283" s="97">
        <f t="shared" ca="1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>
        <f t="array" aca="1" ref="N283:AE283" ca="1">IF(OR(B283="",NOT($J$2)),"",[3]!GetStripDefaultProbability(A283,B283,Parameter_Date,CDSRollDate,E283:M283,SpreadCurveMaturities,D283,C283,$J$4,$J$6))</f>
        <v>0</v>
      </c>
      <c r="O283" s="166">
        <f ca="1"/>
        <v>7.4629011945415158E-4</v>
      </c>
      <c r="P283" s="166">
        <f ca="1"/>
        <v>1.7681658853830884E-3</v>
      </c>
      <c r="Q283" s="166">
        <f ca="1"/>
        <v>6.6038782652787509E-3</v>
      </c>
      <c r="R283" s="166">
        <f ca="1"/>
        <v>1.2428733584434082E-2</v>
      </c>
      <c r="S283" s="166">
        <f ca="1"/>
        <v>0</v>
      </c>
      <c r="T283" s="166">
        <f ca="1"/>
        <v>3.2878438934937915E-2</v>
      </c>
      <c r="U283" s="166">
        <f ca="1"/>
        <v>5.4191089820416871E-2</v>
      </c>
      <c r="V283" s="140">
        <f ca="1"/>
        <v>9.2570624938645762E-2</v>
      </c>
      <c r="W283" s="139">
        <f ca="1"/>
        <v>0</v>
      </c>
      <c r="X283" s="166">
        <f ca="1"/>
        <v>8.3953601351138829E-4</v>
      </c>
      <c r="Y283" s="166">
        <f ca="1"/>
        <v>1.9345239941775949E-3</v>
      </c>
      <c r="Z283" s="166">
        <f ca="1"/>
        <v>6.934955123330977E-3</v>
      </c>
      <c r="AA283" s="166">
        <f ca="1"/>
        <v>1.3042349380212648E-2</v>
      </c>
      <c r="AB283" s="166">
        <f ca="1"/>
        <v>0</v>
      </c>
      <c r="AC283" s="166">
        <f ca="1"/>
        <v>3.4493745916378327E-2</v>
      </c>
      <c r="AD283" s="166">
        <f ca="1"/>
        <v>5.6833663732416606E-2</v>
      </c>
      <c r="AE283" s="140">
        <f ca="1"/>
        <v>9.6998412216141805E-2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.199999999999999" x14ac:dyDescent="0.2">
      <c r="A284" s="97">
        <f t="shared" ca="1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>
        <f t="array" aca="1" ref="N284:AE284" ca="1">IF(OR(B284="",NOT($J$2)),"",[3]!GetStripDefaultProbability(A284,B284,Parameter_Date,CDSRollDate,E284:M284,SpreadCurveMaturities,D284,C284,$J$4,$J$6))</f>
        <v>3.8278773587874237E-4</v>
      </c>
      <c r="O284" s="166">
        <f ca="1"/>
        <v>6.9967120318303877E-4</v>
      </c>
      <c r="P284" s="166">
        <f ca="1"/>
        <v>1.724699980429456E-3</v>
      </c>
      <c r="Q284" s="166">
        <f ca="1"/>
        <v>4.1476333942300769E-3</v>
      </c>
      <c r="R284" s="166">
        <f ca="1"/>
        <v>8.9535271329055366E-3</v>
      </c>
      <c r="S284" s="166">
        <f ca="1"/>
        <v>1.45452580718054E-2</v>
      </c>
      <c r="T284" s="166">
        <f ca="1"/>
        <v>2.148477628324974E-2</v>
      </c>
      <c r="U284" s="166">
        <f ca="1"/>
        <v>4.0483364178156678E-2</v>
      </c>
      <c r="V284" s="140">
        <f ca="1"/>
        <v>7.1123230166505458E-2</v>
      </c>
      <c r="W284" s="139">
        <f ca="1"/>
        <v>4.2105829162941699E-4</v>
      </c>
      <c r="X284" s="166">
        <f ca="1"/>
        <v>7.6961126926211598E-4</v>
      </c>
      <c r="Y284" s="166">
        <f ca="1"/>
        <v>1.8494765942301816E-3</v>
      </c>
      <c r="Z284" s="166">
        <f ca="1"/>
        <v>4.3965653680836381E-3</v>
      </c>
      <c r="AA284" s="166">
        <f ca="1"/>
        <v>9.3951183651463932E-3</v>
      </c>
      <c r="AB284" s="166">
        <f ca="1"/>
        <v>1.5263816190355772E-2</v>
      </c>
      <c r="AC284" s="166">
        <f ca="1"/>
        <v>2.254549702084796E-2</v>
      </c>
      <c r="AD284" s="166">
        <f ca="1"/>
        <v>4.2469320339024841E-2</v>
      </c>
      <c r="AE284" s="140">
        <f ca="1"/>
        <v>7.4563039773068107E-2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.199999999999999" x14ac:dyDescent="0.2">
      <c r="A285" s="97">
        <f t="shared" ca="1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>
        <f t="array" aca="1" ref="N285:AE285" ca="1">IF(OR(B285="",NOT($J$2)),"",[3]!GetStripDefaultProbability(A285,B285,Parameter_Date,CDSRollDate,E285:M285,SpreadCurveMaturities,D285,C285,$J$4,$J$6))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1.5327192075048623E-3</v>
      </c>
      <c r="Q285" s="166">
        <f ca="1"/>
        <v>0</v>
      </c>
      <c r="R285" s="166">
        <f ca="1"/>
        <v>1.1742454899531962E-2</v>
      </c>
      <c r="S285" s="166">
        <f ca="1"/>
        <v>0</v>
      </c>
      <c r="T285" s="166">
        <f ca="1"/>
        <v>2.8063455469590548E-2</v>
      </c>
      <c r="U285" s="166">
        <f ca="1"/>
        <v>5.1487068611778097E-2</v>
      </c>
      <c r="V285" s="140">
        <f ca="1"/>
        <v>9.1659906664801838E-2</v>
      </c>
      <c r="W285" s="139">
        <f ca="1"/>
        <v>0</v>
      </c>
      <c r="X285" s="166">
        <f ca="1"/>
        <v>0</v>
      </c>
      <c r="Y285" s="166">
        <f ca="1"/>
        <v>1.6991165541345721E-3</v>
      </c>
      <c r="Z285" s="166">
        <f ca="1"/>
        <v>0</v>
      </c>
      <c r="AA285" s="166">
        <f ca="1"/>
        <v>1.2303131949250035E-2</v>
      </c>
      <c r="AB285" s="166">
        <f ca="1"/>
        <v>0</v>
      </c>
      <c r="AC285" s="166">
        <f ca="1"/>
        <v>2.944346046519708E-2</v>
      </c>
      <c r="AD285" s="166">
        <f ca="1"/>
        <v>5.40006716257454E-2</v>
      </c>
      <c r="AE285" s="140">
        <f ca="1"/>
        <v>9.6077045434548092E-2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>
        <f t="array" aca="1" ref="N286:AE286" ca="1">IF(OR(B286="",NOT($J$2)),"",[3]!GetStripDefaultProbability(A286,B286,Parameter_Date,CDSRollDate,E286:M286,SpreadCurveMaturities,D286,C286,$J$4,$J$6))</f>
        <v>0</v>
      </c>
      <c r="O286" s="166">
        <f ca="1"/>
        <v>5.5976970645477131E-4</v>
      </c>
      <c r="P286" s="166">
        <f ca="1"/>
        <v>1.4156757691393684E-3</v>
      </c>
      <c r="Q286" s="166">
        <f ca="1"/>
        <v>4.513501400602582E-3</v>
      </c>
      <c r="R286" s="166">
        <f ca="1"/>
        <v>9.8830391247215488E-3</v>
      </c>
      <c r="S286" s="166">
        <f ca="1"/>
        <v>0</v>
      </c>
      <c r="T286" s="166">
        <f ca="1"/>
        <v>2.6947007979066906E-2</v>
      </c>
      <c r="U286" s="166">
        <f ca="1"/>
        <v>4.8712503584440681E-2</v>
      </c>
      <c r="V286" s="140">
        <f ca="1"/>
        <v>8.686999891305025E-2</v>
      </c>
      <c r="W286" s="139">
        <f ca="1"/>
        <v>0</v>
      </c>
      <c r="X286" s="166">
        <f ca="1"/>
        <v>6.5303351059242676E-4</v>
      </c>
      <c r="Y286" s="166">
        <f ca="1"/>
        <v>1.582092621382758E-3</v>
      </c>
      <c r="Z286" s="166">
        <f ca="1"/>
        <v>4.8452749348196766E-3</v>
      </c>
      <c r="AA286" s="166">
        <f ca="1"/>
        <v>1.0377973861181111E-2</v>
      </c>
      <c r="AB286" s="166">
        <f ca="1"/>
        <v>0</v>
      </c>
      <c r="AC286" s="166">
        <f ca="1"/>
        <v>2.82670466841759E-2</v>
      </c>
      <c r="AD286" s="166">
        <f ca="1"/>
        <v>5.1088378300085835E-2</v>
      </c>
      <c r="AE286" s="140">
        <f ca="1"/>
        <v>9.1035860196434282E-2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>
        <f t="array" aca="1" ref="N287:AE287" ca="1">IF(OR(B287="",NOT($J$2)),"",[3]!GetStripDefaultProbability(A287,B287,Parameter_Date,CDSRollDate,E287:M287,SpreadCurveMaturities,D287,C287,$J$4,$J$6))</f>
        <v>0</v>
      </c>
      <c r="O287" s="166">
        <f ca="1"/>
        <v>4.6649647376628689E-4</v>
      </c>
      <c r="P287" s="166">
        <f ca="1"/>
        <v>1.2393840374057552E-3</v>
      </c>
      <c r="Q287" s="166">
        <f ca="1"/>
        <v>4.5220260703512372E-3</v>
      </c>
      <c r="R287" s="166">
        <f ca="1"/>
        <v>8.8254078548017922E-3</v>
      </c>
      <c r="S287" s="166">
        <f ca="1"/>
        <v>0</v>
      </c>
      <c r="T287" s="166">
        <f ca="1"/>
        <v>2.5244258187074431E-2</v>
      </c>
      <c r="U287" s="166">
        <f ca="1"/>
        <v>4.7693665232524829E-2</v>
      </c>
      <c r="V287" s="140">
        <f ca="1"/>
        <v>8.542333105276767E-2</v>
      </c>
      <c r="W287" s="139">
        <f ca="1"/>
        <v>0</v>
      </c>
      <c r="X287" s="166">
        <f ca="1"/>
        <v>5.5976917815403482E-4</v>
      </c>
      <c r="Y287" s="166">
        <f ca="1"/>
        <v>1.4058302691598579E-3</v>
      </c>
      <c r="Z287" s="166">
        <f ca="1"/>
        <v>4.8537967634728618E-3</v>
      </c>
      <c r="AA287" s="166">
        <f ca="1"/>
        <v>9.3208712746852829E-3</v>
      </c>
      <c r="AB287" s="166">
        <f ca="1"/>
        <v>0</v>
      </c>
      <c r="AC287" s="166">
        <f ca="1"/>
        <v>2.6476769492794761E-2</v>
      </c>
      <c r="AD287" s="166">
        <f ca="1"/>
        <v>5.0016980497495145E-2</v>
      </c>
      <c r="AE287" s="140">
        <f ca="1"/>
        <v>8.9519925210642892E-2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>
        <f t="array" aca="1" ref="N288:AE288" ca="1">IF(OR(B288="",NOT($J$2)),"",[3]!GetStripDefaultProbability(A288,B288,Parameter_Date,CDSRollDate,E288:M288,SpreadCurveMaturities,D288,C288,$J$4,$J$6))</f>
        <v>0</v>
      </c>
      <c r="O288" s="166">
        <f ca="1"/>
        <v>6.5303425461338271E-4</v>
      </c>
      <c r="P288" s="166">
        <f ca="1"/>
        <v>1.4133760813656027E-3</v>
      </c>
      <c r="Q288" s="166">
        <f ca="1"/>
        <v>4.5111641386793577E-3</v>
      </c>
      <c r="R288" s="166">
        <f ca="1"/>
        <v>1.0413644376904951E-2</v>
      </c>
      <c r="S288" s="166">
        <f ca="1"/>
        <v>0</v>
      </c>
      <c r="T288" s="166">
        <f ca="1"/>
        <v>2.8693809894656863E-2</v>
      </c>
      <c r="U288" s="166">
        <f ca="1"/>
        <v>4.8480187878614411E-2</v>
      </c>
      <c r="V288" s="140">
        <f ca="1"/>
        <v>8.4724819106601013E-2</v>
      </c>
      <c r="W288" s="139">
        <f ca="1"/>
        <v>0</v>
      </c>
      <c r="X288" s="166">
        <f ca="1"/>
        <v>7.4628912209839804E-4</v>
      </c>
      <c r="Y288" s="166">
        <f ca="1"/>
        <v>1.5797933168700817E-3</v>
      </c>
      <c r="Z288" s="166">
        <f ca="1"/>
        <v>4.8429384518453578E-3</v>
      </c>
      <c r="AA288" s="166">
        <f ca="1"/>
        <v>1.0908313877028397E-2</v>
      </c>
      <c r="AB288" s="166">
        <f ca="1"/>
        <v>0</v>
      </c>
      <c r="AC288" s="166">
        <f ca="1"/>
        <v>3.0101239610445196E-2</v>
      </c>
      <c r="AD288" s="166">
        <f ca="1"/>
        <v>5.0846079914605324E-2</v>
      </c>
      <c r="AE288" s="140">
        <f ca="1"/>
        <v>8.8790740794131962E-2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>
        <f t="array" aca="1" ref="N289:AE289" ca="1">IF(OR(B289="",NOT($J$2)),"",[3]!GetStripDefaultProbability(A289,B289,Parameter_Date,CDSRollDate,E289:M289,SpreadCurveMaturities,D289,C289,$J$4,$J$6))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9.7034653705940777E-4</v>
      </c>
      <c r="Q289" s="166">
        <f ca="1"/>
        <v>0</v>
      </c>
      <c r="R289" s="166">
        <f ca="1"/>
        <v>8.8169643211216675E-3</v>
      </c>
      <c r="S289" s="166">
        <f ca="1"/>
        <v>0</v>
      </c>
      <c r="T289" s="166">
        <f ca="1"/>
        <v>2.3933261338429213E-2</v>
      </c>
      <c r="U289" s="166">
        <f ca="1"/>
        <v>4.8066659898389763E-2</v>
      </c>
      <c r="V289" s="140">
        <f ca="1"/>
        <v>8.8168312793170389E-2</v>
      </c>
      <c r="W289" s="139">
        <f ca="1"/>
        <v>0</v>
      </c>
      <c r="X289" s="166">
        <f ca="1"/>
        <v>0</v>
      </c>
      <c r="Y289" s="166">
        <f ca="1"/>
        <v>1.1368376046794193E-3</v>
      </c>
      <c r="Z289" s="166">
        <f ca="1"/>
        <v>0</v>
      </c>
      <c r="AA289" s="166">
        <f ca="1"/>
        <v>9.3124319617314821E-3</v>
      </c>
      <c r="AB289" s="166">
        <f ca="1"/>
        <v>0</v>
      </c>
      <c r="AC289" s="166">
        <f ca="1"/>
        <v>2.5101233315885429E-2</v>
      </c>
      <c r="AD289" s="166">
        <f ca="1"/>
        <v>5.0407699896686586E-2</v>
      </c>
      <c r="AE289" s="140">
        <f ca="1"/>
        <v>9.2419643706498245E-2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>
        <f t="array" aca="1" ref="N290:AE290" ca="1">IF(OR(B290="",NOT($J$2)),"",[3]!GetStripDefaultProbability(A290,B290,Parameter_Date,CDSRollDate,E290:M290,SpreadCurveMaturities,D290,C290,$J$4,$J$6))</f>
        <v>0</v>
      </c>
      <c r="O290" s="166">
        <f ca="1"/>
        <v>6.5303425461338271E-4</v>
      </c>
      <c r="P290" s="166">
        <f ca="1"/>
        <v>1.5919363832663791E-3</v>
      </c>
      <c r="Q290" s="166">
        <f ca="1"/>
        <v>4.5049779671811896E-3</v>
      </c>
      <c r="R290" s="166">
        <f ca="1"/>
        <v>9.3413032568433474E-3</v>
      </c>
      <c r="S290" s="166">
        <f ca="1"/>
        <v>0</v>
      </c>
      <c r="T290" s="166">
        <f ca="1"/>
        <v>2.5187106521088243E-2</v>
      </c>
      <c r="U290" s="166">
        <f ca="1"/>
        <v>4.373884782314752E-2</v>
      </c>
      <c r="V290" s="140">
        <f ca="1"/>
        <v>7.6330945809923612E-2</v>
      </c>
      <c r="W290" s="139">
        <f ca="1"/>
        <v>0</v>
      </c>
      <c r="X290" s="166">
        <f ca="1"/>
        <v>7.4628912209839804E-4</v>
      </c>
      <c r="Y290" s="166">
        <f ca="1"/>
        <v>1.7583238612038921E-3</v>
      </c>
      <c r="Z290" s="166">
        <f ca="1"/>
        <v>4.8367543420609893E-3</v>
      </c>
      <c r="AA290" s="166">
        <f ca="1"/>
        <v>9.8365087935210482E-3</v>
      </c>
      <c r="AB290" s="166">
        <f ca="1"/>
        <v>0</v>
      </c>
      <c r="AC290" s="166">
        <f ca="1"/>
        <v>2.6419521538332713E-2</v>
      </c>
      <c r="AD290" s="166">
        <f ca="1"/>
        <v>4.5873150137558327E-2</v>
      </c>
      <c r="AE290" s="140">
        <f ca="1"/>
        <v>8.0004541953453301E-2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>
        <f t="array" aca="1" ref="N291:AE291" ca="1">IF(OR(B291="",NOT($J$2)),"",[3]!GetStripDefaultProbability(A291,B291,Parameter_Date,CDSRollDate,E291:M291,SpreadCurveMaturities,D291,C291,$J$4,$J$6))</f>
        <v>0</v>
      </c>
      <c r="O291" s="166">
        <f ca="1"/>
        <v>5.5976970645477131E-4</v>
      </c>
      <c r="P291" s="166">
        <f ca="1"/>
        <v>1.2370924096177793E-3</v>
      </c>
      <c r="Q291" s="166">
        <f ca="1"/>
        <v>4.168163598396335E-3</v>
      </c>
      <c r="R291" s="166">
        <f ca="1"/>
        <v>9.3726826398450314E-3</v>
      </c>
      <c r="S291" s="166">
        <f ca="1"/>
        <v>0</v>
      </c>
      <c r="T291" s="166">
        <f ca="1"/>
        <v>2.4323686971222447E-2</v>
      </c>
      <c r="U291" s="166">
        <f ca="1"/>
        <v>4.2565322075433842E-2</v>
      </c>
      <c r="V291" s="140">
        <f ca="1"/>
        <v>7.6640163356687219E-2</v>
      </c>
      <c r="W291" s="139">
        <f ca="1"/>
        <v>0</v>
      </c>
      <c r="X291" s="166">
        <f ca="1"/>
        <v>6.5303351059242676E-4</v>
      </c>
      <c r="Y291" s="166">
        <f ca="1"/>
        <v>1.4035390232739475E-3</v>
      </c>
      <c r="Z291" s="166">
        <f ca="1"/>
        <v>4.5000522260189024E-3</v>
      </c>
      <c r="AA291" s="166">
        <f ca="1"/>
        <v>9.8678724907363957E-3</v>
      </c>
      <c r="AB291" s="166">
        <f ca="1"/>
        <v>0</v>
      </c>
      <c r="AC291" s="166">
        <f ca="1"/>
        <v>2.5512377981640189E-2</v>
      </c>
      <c r="AD291" s="166">
        <f ca="1"/>
        <v>4.464153021627304E-2</v>
      </c>
      <c r="AE291" s="140">
        <f ca="1"/>
        <v>8.0327678912490597E-2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>
        <f t="array" aca="1" ref="N292:AE292" ca="1">IF(OR(B292="",NOT($J$2)),"",[3]!GetStripDefaultProbability(A292,B292,Parameter_Date,CDSRollDate,E292:M292,SpreadCurveMaturities,D292,C292,$J$4,$J$6))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5.3681740813694701E-2</v>
      </c>
      <c r="Q292" s="166">
        <f ca="1"/>
        <v>0</v>
      </c>
      <c r="R292" s="166">
        <f ca="1"/>
        <v>0.10802016745821075</v>
      </c>
      <c r="S292" s="166">
        <f ca="1"/>
        <v>0</v>
      </c>
      <c r="T292" s="166">
        <f ca="1"/>
        <v>0.14375501186292161</v>
      </c>
      <c r="U292" s="166">
        <f ca="1"/>
        <v>0.17724048448846852</v>
      </c>
      <c r="V292" s="140">
        <f ca="1"/>
        <v>0.22945206687967934</v>
      </c>
      <c r="W292" s="139">
        <f ca="1"/>
        <v>0</v>
      </c>
      <c r="X292" s="166">
        <f ca="1"/>
        <v>0</v>
      </c>
      <c r="Y292" s="166">
        <f ca="1"/>
        <v>5.6288804942881687E-2</v>
      </c>
      <c r="Z292" s="166">
        <f ca="1"/>
        <v>0</v>
      </c>
      <c r="AA292" s="166">
        <f ca="1"/>
        <v>0.11307047754870214</v>
      </c>
      <c r="AB292" s="166">
        <f ca="1"/>
        <v>0</v>
      </c>
      <c r="AC292" s="166">
        <f ca="1"/>
        <v>0.15023714378043118</v>
      </c>
      <c r="AD292" s="166">
        <f ca="1"/>
        <v>0.18503479797772837</v>
      </c>
      <c r="AE292" s="140">
        <f ca="1"/>
        <v>0.2391934059481946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>
        <f t="array" aca="1" ref="N293:AE293" ca="1">IF(OR(B293="",NOT($J$2)),"",[3]!GetStripDefaultProbability(A293,B293,Parameter_Date,CDSRollDate,E293:M293,SpreadCurveMaturities,D293,C293,$J$4,$J$6))</f>
        <v>0</v>
      </c>
      <c r="O293" s="166">
        <f ca="1"/>
        <v>4.2371282894905216E-3</v>
      </c>
      <c r="P293" s="166">
        <f ca="1"/>
        <v>1.0006045252012541E-2</v>
      </c>
      <c r="Q293" s="166">
        <f ca="1"/>
        <v>2.727220101160277E-2</v>
      </c>
      <c r="R293" s="166">
        <f ca="1"/>
        <v>4.9920306622945221E-2</v>
      </c>
      <c r="S293" s="166">
        <f ca="1"/>
        <v>0</v>
      </c>
      <c r="T293" s="166">
        <f ca="1"/>
        <v>0.10370655674345564</v>
      </c>
      <c r="U293" s="166">
        <f ca="1"/>
        <v>0.14664127840509233</v>
      </c>
      <c r="V293" s="140">
        <f ca="1"/>
        <v>0.20954712051819613</v>
      </c>
      <c r="W293" s="139">
        <f ca="1"/>
        <v>0</v>
      </c>
      <c r="X293" s="166">
        <f ca="1"/>
        <v>4.4484684865429003E-3</v>
      </c>
      <c r="Y293" s="166">
        <f ca="1"/>
        <v>1.0503917614726577E-2</v>
      </c>
      <c r="Z293" s="166">
        <f ca="1"/>
        <v>2.8618042231620566E-2</v>
      </c>
      <c r="AA293" s="166">
        <f ca="1"/>
        <v>5.2360476293229263E-2</v>
      </c>
      <c r="AB293" s="166">
        <f ca="1"/>
        <v>0</v>
      </c>
      <c r="AC293" s="166">
        <f ca="1"/>
        <v>0.10865874452398183</v>
      </c>
      <c r="AD293" s="166">
        <f ca="1"/>
        <v>0.15345940581569584</v>
      </c>
      <c r="AE293" s="140">
        <f ca="1"/>
        <v>0.21890663310645653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>
        <f t="array" aca="1" ref="N294:AE294" ca="1">IF(OR(B294="",NOT($J$2)),"",[3]!GetStripDefaultProbability(A294,B294,Parameter_Date,CDSRollDate,E294:M294,SpreadCurveMaturities,D294,C294,$J$4,$J$6))</f>
        <v>0</v>
      </c>
      <c r="O294" s="166">
        <f ca="1"/>
        <v>9.4443000645605402E-4</v>
      </c>
      <c r="P294" s="166">
        <f ca="1"/>
        <v>3.0838308475145126E-3</v>
      </c>
      <c r="Q294" s="166">
        <f ca="1"/>
        <v>1.0014169466734946E-2</v>
      </c>
      <c r="R294" s="166">
        <f ca="1"/>
        <v>2.0728680945667488E-2</v>
      </c>
      <c r="S294" s="166">
        <f ca="1"/>
        <v>0</v>
      </c>
      <c r="T294" s="166">
        <f ca="1"/>
        <v>4.6190257042181271E-2</v>
      </c>
      <c r="U294" s="166">
        <f ca="1"/>
        <v>7.1001600901640094E-2</v>
      </c>
      <c r="V294" s="140">
        <f ca="1"/>
        <v>0.10503994746804601</v>
      </c>
      <c r="W294" s="139">
        <f ca="1"/>
        <v>0</v>
      </c>
      <c r="X294" s="166">
        <f ca="1"/>
        <v>1.0143504349183763E-3</v>
      </c>
      <c r="Y294" s="166">
        <f ca="1"/>
        <v>3.2283732124601672E-3</v>
      </c>
      <c r="Z294" s="166">
        <f ca="1"/>
        <v>1.0512412333942844E-2</v>
      </c>
      <c r="AA294" s="166">
        <f ca="1"/>
        <v>2.1756143873073008E-2</v>
      </c>
      <c r="AB294" s="166">
        <f ca="1"/>
        <v>0</v>
      </c>
      <c r="AC294" s="166">
        <f ca="1"/>
        <v>4.8450611000793065E-2</v>
      </c>
      <c r="AD294" s="166">
        <f ca="1"/>
        <v>7.4437313111244685E-2</v>
      </c>
      <c r="AE294" s="140">
        <f ca="1"/>
        <v>0.11001686022918244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>
        <f t="array" aca="1" ref="N295:AE295" ca="1">IF(OR(B295="",NOT($J$2)),"",[3]!GetStripDefaultProbability(A295,B295,Parameter_Date,CDSRollDate,E295:M295,SpreadCurveMaturities,D295,C295,$J$4,$J$6))</f>
        <v>0</v>
      </c>
      <c r="O295" s="166">
        <f ca="1"/>
        <v>5.3178864858527408E-4</v>
      </c>
      <c r="P295" s="166">
        <f ca="1"/>
        <v>2.201967305798358E-3</v>
      </c>
      <c r="Q295" s="166">
        <f ca="1"/>
        <v>6.7697055764293079E-3</v>
      </c>
      <c r="R295" s="166">
        <f ca="1"/>
        <v>1.3846936635887763E-2</v>
      </c>
      <c r="S295" s="166">
        <f ca="1"/>
        <v>0</v>
      </c>
      <c r="T295" s="166">
        <f ca="1"/>
        <v>3.4532498488810459E-2</v>
      </c>
      <c r="U295" s="166">
        <f ca="1"/>
        <v>5.915923736172557E-2</v>
      </c>
      <c r="V295" s="140">
        <f ca="1"/>
        <v>0.10831422069124241</v>
      </c>
      <c r="W295" s="139">
        <f ca="1"/>
        <v>0</v>
      </c>
      <c r="X295" s="166">
        <f ca="1"/>
        <v>6.25055126598828E-4</v>
      </c>
      <c r="Y295" s="166">
        <f ca="1"/>
        <v>2.3682531203722545E-3</v>
      </c>
      <c r="Z295" s="166">
        <f ca="1"/>
        <v>7.1007271678868999E-3</v>
      </c>
      <c r="AA295" s="166">
        <f ca="1"/>
        <v>1.4531668058367808E-2</v>
      </c>
      <c r="AB295" s="166">
        <f ca="1"/>
        <v>0</v>
      </c>
      <c r="AC295" s="166">
        <f ca="1"/>
        <v>3.6228827890989357E-2</v>
      </c>
      <c r="AD295" s="166">
        <f ca="1"/>
        <v>6.203962970526633E-2</v>
      </c>
      <c r="AE295" s="140">
        <f ca="1"/>
        <v>0.11350105287401713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>
        <f t="array" aca="1" ref="N296:AE296" ca="1">IF(OR(B296="",NOT($J$2)),"",[3]!GetStripDefaultProbability(A296,B296,Parameter_Date,CDSRollDate,E296:M296,SpreadCurveMaturities,D296,C296,$J$4,$J$6))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1.1360940284930177E-3</v>
      </c>
      <c r="Q296" s="166">
        <f ca="1"/>
        <v>0</v>
      </c>
      <c r="R296" s="166">
        <f ca="1"/>
        <v>1.2593792443761465E-2</v>
      </c>
      <c r="S296" s="166">
        <f ca="1"/>
        <v>0</v>
      </c>
      <c r="T296" s="166">
        <f ca="1"/>
        <v>2.8901314341958639E-2</v>
      </c>
      <c r="U296" s="166">
        <f ca="1"/>
        <v>5.3153970194263489E-2</v>
      </c>
      <c r="V296" s="140">
        <f ca="1"/>
        <v>9.2730871841621765E-2</v>
      </c>
      <c r="W296" s="139">
        <f ca="1"/>
        <v>0</v>
      </c>
      <c r="X296" s="166">
        <f ca="1"/>
        <v>0</v>
      </c>
      <c r="Y296" s="166">
        <f ca="1"/>
        <v>1.3025574737987045E-3</v>
      </c>
      <c r="Z296" s="166">
        <f ca="1"/>
        <v>0</v>
      </c>
      <c r="AA296" s="166">
        <f ca="1"/>
        <v>1.3192966144125684E-2</v>
      </c>
      <c r="AB296" s="166">
        <f ca="1"/>
        <v>0</v>
      </c>
      <c r="AC296" s="166">
        <f ca="1"/>
        <v>3.0320879490411512E-2</v>
      </c>
      <c r="AD296" s="166">
        <f ca="1"/>
        <v>5.5745792264576877E-2</v>
      </c>
      <c r="AE296" s="140">
        <f ca="1"/>
        <v>9.719416304040096E-2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>
        <f t="array" aca="1" ref="N297:AE297" ca="1">IF(OR(B297="",NOT($J$2)),"",[3]!GetStripDefaultProbability(A297,B297,Parameter_Date,CDSRollDate,E297:M297,SpreadCurveMaturities,D297,C297,$J$4,$J$6))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1.1008308907515252E-3</v>
      </c>
      <c r="Q297" s="166">
        <f ca="1"/>
        <v>0</v>
      </c>
      <c r="R297" s="166">
        <f ca="1"/>
        <v>1.0890403696126261E-2</v>
      </c>
      <c r="S297" s="166">
        <f ca="1"/>
        <v>0</v>
      </c>
      <c r="T297" s="166">
        <f ca="1"/>
        <v>2.2348013589394977E-2</v>
      </c>
      <c r="U297" s="166">
        <f ca="1"/>
        <v>4.4037300241108746E-2</v>
      </c>
      <c r="V297" s="140">
        <f ca="1"/>
        <v>8.090846093099946E-2</v>
      </c>
      <c r="W297" s="139">
        <f ca="1"/>
        <v>0</v>
      </c>
      <c r="X297" s="166">
        <f ca="1"/>
        <v>0</v>
      </c>
      <c r="Y297" s="166">
        <f ca="1"/>
        <v>1.2673002127825406E-3</v>
      </c>
      <c r="Z297" s="166">
        <f ca="1"/>
        <v>0</v>
      </c>
      <c r="AA297" s="166">
        <f ca="1"/>
        <v>1.1409549946360453E-2</v>
      </c>
      <c r="AB297" s="166">
        <f ca="1"/>
        <v>0</v>
      </c>
      <c r="AC297" s="166">
        <f ca="1"/>
        <v>2.3446823831374974E-2</v>
      </c>
      <c r="AD297" s="166">
        <f ca="1"/>
        <v>4.6191469148718522E-2</v>
      </c>
      <c r="AE297" s="140">
        <f ca="1"/>
        <v>8.4802196895631288E-2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>
        <f t="array" aca="1" ref="N298:AE298" ca="1">IF(OR(B298="",NOT($J$2)),"",[3]!GetStripDefaultProbability(A298,B298,Parameter_Date,CDSRollDate,E298:M298,SpreadCurveMaturities,D298,C298,$J$4,$J$6))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2.1159148818730156E-3</v>
      </c>
      <c r="Q298" s="166">
        <f ca="1"/>
        <v>0</v>
      </c>
      <c r="R298" s="166">
        <f ca="1"/>
        <v>1.0294406083315666E-2</v>
      </c>
      <c r="S298" s="166">
        <f ca="1"/>
        <v>0</v>
      </c>
      <c r="T298" s="166">
        <f ca="1"/>
        <v>2.5926195736326707E-2</v>
      </c>
      <c r="U298" s="166">
        <f ca="1"/>
        <v>4.8848507164017674E-2</v>
      </c>
      <c r="V298" s="140">
        <f ca="1"/>
        <v>9.7174864172789643E-2</v>
      </c>
      <c r="W298" s="139">
        <f ca="1"/>
        <v>0</v>
      </c>
      <c r="X298" s="166">
        <f ca="1"/>
        <v>0</v>
      </c>
      <c r="Y298" s="166">
        <f ca="1"/>
        <v>2.2822150373292827E-3</v>
      </c>
      <c r="Z298" s="166">
        <f ca="1"/>
        <v>0</v>
      </c>
      <c r="AA298" s="166">
        <f ca="1"/>
        <v>1.0789135187686982E-2</v>
      </c>
      <c r="AB298" s="166">
        <f ca="1"/>
        <v>0</v>
      </c>
      <c r="AC298" s="166">
        <f ca="1"/>
        <v>2.7203701736612018E-2</v>
      </c>
      <c r="AD298" s="166">
        <f ca="1"/>
        <v>5.1238120325872494E-2</v>
      </c>
      <c r="AE298" s="140">
        <f ca="1"/>
        <v>0.10186316066868029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>
        <f t="array" aca="1" ref="N299:AE299" ca="1">IF(OR(B299="",NOT($J$2)),"",[3]!GetStripDefaultProbability(A299,B299,Parameter_Date,CDSRollDate,E299:M299,SpreadCurveMaturities,D299,C299,$J$4,$J$6))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2.1159148818730156E-3</v>
      </c>
      <c r="Q299" s="166">
        <f ca="1"/>
        <v>0</v>
      </c>
      <c r="R299" s="166">
        <f ca="1"/>
        <v>1.0294406083315666E-2</v>
      </c>
      <c r="S299" s="166">
        <f ca="1"/>
        <v>0</v>
      </c>
      <c r="T299" s="166">
        <f ca="1"/>
        <v>2.5926195736326707E-2</v>
      </c>
      <c r="U299" s="166">
        <f ca="1"/>
        <v>4.8848507164017674E-2</v>
      </c>
      <c r="V299" s="140">
        <f ca="1"/>
        <v>9.7174864172789643E-2</v>
      </c>
      <c r="W299" s="139">
        <f ca="1"/>
        <v>0</v>
      </c>
      <c r="X299" s="166">
        <f ca="1"/>
        <v>0</v>
      </c>
      <c r="Y299" s="166">
        <f ca="1"/>
        <v>2.2822150373292827E-3</v>
      </c>
      <c r="Z299" s="166">
        <f ca="1"/>
        <v>0</v>
      </c>
      <c r="AA299" s="166">
        <f ca="1"/>
        <v>1.0789135187686982E-2</v>
      </c>
      <c r="AB299" s="166">
        <f ca="1"/>
        <v>0</v>
      </c>
      <c r="AC299" s="166">
        <f ca="1"/>
        <v>2.7203701736612018E-2</v>
      </c>
      <c r="AD299" s="166">
        <f ca="1"/>
        <v>5.1238120325872494E-2</v>
      </c>
      <c r="AE299" s="140">
        <f ca="1"/>
        <v>0.10186316066868029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>
        <f t="array" aca="1" ref="N300:AE300" ca="1">IF(OR(B300="",NOT($J$2)),"",[3]!GetStripDefaultProbability(A300,B300,Parameter_Date,CDSRollDate,E300:M300,SpreadCurveMaturities,D300,C300,$J$4,$J$6))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8.6100878275441328E-4</v>
      </c>
      <c r="Q300" s="166">
        <f ca="1"/>
        <v>0</v>
      </c>
      <c r="R300" s="166">
        <f ca="1"/>
        <v>1.0127388349916111E-2</v>
      </c>
      <c r="S300" s="166">
        <f ca="1"/>
        <v>0</v>
      </c>
      <c r="T300" s="166">
        <f ca="1"/>
        <v>2.290038446632281E-2</v>
      </c>
      <c r="U300" s="166">
        <f ca="1"/>
        <v>4.3428757842083221E-2</v>
      </c>
      <c r="V300" s="140">
        <f ca="1"/>
        <v>8.0083657831250377E-2</v>
      </c>
      <c r="W300" s="139">
        <f ca="1"/>
        <v>0</v>
      </c>
      <c r="X300" s="166">
        <f ca="1"/>
        <v>0</v>
      </c>
      <c r="Y300" s="166">
        <f ca="1"/>
        <v>1.0275180718086752E-3</v>
      </c>
      <c r="Z300" s="166">
        <f ca="1"/>
        <v>0</v>
      </c>
      <c r="AA300" s="166">
        <f ca="1"/>
        <v>1.0622200942290272E-2</v>
      </c>
      <c r="AB300" s="166">
        <f ca="1"/>
        <v>0</v>
      </c>
      <c r="AC300" s="166">
        <f ca="1"/>
        <v>2.4024123241987105E-2</v>
      </c>
      <c r="AD300" s="166">
        <f ca="1"/>
        <v>4.5551541013944319E-2</v>
      </c>
      <c r="AE300" s="140">
        <f ca="1"/>
        <v>8.3936669862124891E-2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>
        <f t="array" aca="1" ref="N301:AE301" ca="1">IF(OR(B301="",NOT($J$2)),"",[3]!GetStripDefaultProbability(A301,B301,Parameter_Date,CDSRollDate,E301:M301,SpreadCurveMaturities,D301,C301,$J$4,$J$6))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1.273608460742981E-3</v>
      </c>
      <c r="Q301" s="166">
        <f ca="1"/>
        <v>0</v>
      </c>
      <c r="R301" s="166">
        <f ca="1"/>
        <v>9.237479778208324E-3</v>
      </c>
      <c r="S301" s="166">
        <f ca="1"/>
        <v>0</v>
      </c>
      <c r="T301" s="166">
        <f ca="1"/>
        <v>2.2061102458398318E-2</v>
      </c>
      <c r="U301" s="166">
        <f ca="1"/>
        <v>4.2569997931531822E-2</v>
      </c>
      <c r="V301" s="140">
        <f ca="1"/>
        <v>7.6290239895131506E-2</v>
      </c>
      <c r="W301" s="139">
        <f ca="1"/>
        <v>0</v>
      </c>
      <c r="X301" s="166">
        <f ca="1"/>
        <v>0</v>
      </c>
      <c r="Y301" s="166">
        <f ca="1"/>
        <v>1.4400489889150325E-3</v>
      </c>
      <c r="Z301" s="166">
        <f ca="1"/>
        <v>0</v>
      </c>
      <c r="AA301" s="166">
        <f ca="1"/>
        <v>9.7327372136611912E-3</v>
      </c>
      <c r="AB301" s="166">
        <f ca="1"/>
        <v>0</v>
      </c>
      <c r="AC301" s="166">
        <f ca="1"/>
        <v>2.3140639293866561E-2</v>
      </c>
      <c r="AD301" s="166">
        <f ca="1"/>
        <v>4.4648590501448093E-2</v>
      </c>
      <c r="AE301" s="140">
        <f ca="1"/>
        <v>7.9963841796402257E-2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>
        <f t="array" aca="1" ref="N302:AE302" ca="1">IF(OR(B302="",NOT($J$2)),"",[3]!GetStripDefaultProbability(A302,B302,Parameter_Date,CDSRollDate,E302:M302,SpreadCurveMaturities,D302,C302,$J$4,$J$6))</f>
        <v>0</v>
      </c>
      <c r="O302" s="166">
        <f ca="1"/>
        <v>5.5976970645477131E-4</v>
      </c>
      <c r="P302" s="166">
        <f ca="1"/>
        <v>1.0584942265940978E-3</v>
      </c>
      <c r="Q302" s="166">
        <f ca="1"/>
        <v>4.1743287011339891E-3</v>
      </c>
      <c r="R302" s="166">
        <f ca="1"/>
        <v>9.3789647097177742E-3</v>
      </c>
      <c r="S302" s="166">
        <f ca="1"/>
        <v>0</v>
      </c>
      <c r="T302" s="166">
        <f ca="1"/>
        <v>2.5225957163589885E-2</v>
      </c>
      <c r="U302" s="166">
        <f ca="1"/>
        <v>4.2478416957425047E-2</v>
      </c>
      <c r="V302" s="140">
        <f ca="1"/>
        <v>7.8472637230347253E-2</v>
      </c>
      <c r="W302" s="139">
        <f ca="1"/>
        <v>0</v>
      </c>
      <c r="X302" s="166">
        <f ca="1"/>
        <v>6.5303351059242676E-4</v>
      </c>
      <c r="Y302" s="166">
        <f ca="1"/>
        <v>1.2249706041407293E-3</v>
      </c>
      <c r="Z302" s="166">
        <f ca="1"/>
        <v>4.506215274052594E-3</v>
      </c>
      <c r="AA302" s="166">
        <f ca="1"/>
        <v>9.8741514203750658E-3</v>
      </c>
      <c r="AB302" s="166">
        <f ca="1"/>
        <v>0</v>
      </c>
      <c r="AC302" s="166">
        <f ca="1"/>
        <v>2.645854956972038E-2</v>
      </c>
      <c r="AD302" s="166">
        <f ca="1"/>
        <v>4.4549857243058932E-2</v>
      </c>
      <c r="AE302" s="140">
        <f ca="1"/>
        <v>8.2244957168391752E-2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>
        <f t="array" aca="1" ref="N303:AE303" ca="1">IF(OR(B303="",NOT($J$2)),"",[3]!GetStripDefaultProbability(A303,B303,Parameter_Date,CDSRollDate,E303:M303,SpreadCurveMaturities,D303,C303,$J$4,$J$6))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1.1501989376376809E-3</v>
      </c>
      <c r="Q303" s="166">
        <f ca="1"/>
        <v>0</v>
      </c>
      <c r="R303" s="166">
        <f ca="1"/>
        <v>9.6632930102085179E-3</v>
      </c>
      <c r="S303" s="166">
        <f ca="1"/>
        <v>0</v>
      </c>
      <c r="T303" s="166">
        <f ca="1"/>
        <v>2.337654216171825E-2</v>
      </c>
      <c r="U303" s="166">
        <f ca="1"/>
        <v>4.1252311947659881E-2</v>
      </c>
      <c r="V303" s="140">
        <f ca="1"/>
        <v>7.0069429162687435E-2</v>
      </c>
      <c r="W303" s="139">
        <f ca="1"/>
        <v>0</v>
      </c>
      <c r="X303" s="166">
        <f ca="1"/>
        <v>0</v>
      </c>
      <c r="Y303" s="166">
        <f ca="1"/>
        <v>1.3166600323534228E-3</v>
      </c>
      <c r="Z303" s="166">
        <f ca="1"/>
        <v>0</v>
      </c>
      <c r="AA303" s="166">
        <f ca="1"/>
        <v>1.0158337592271804E-2</v>
      </c>
      <c r="AB303" s="166">
        <f ca="1"/>
        <v>0</v>
      </c>
      <c r="AC303" s="166">
        <f ca="1"/>
        <v>2.4522311287250576E-2</v>
      </c>
      <c r="AD303" s="166">
        <f ca="1"/>
        <v>4.3268305196283885E-2</v>
      </c>
      <c r="AE303" s="140">
        <f ca="1"/>
        <v>7.3450811093686896E-2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>
        <f t="array" aca="1" ref="N304:AE304" ca="1">IF(OR(B304="",NOT($J$2)),"",[3]!GetStripDefaultProbability(A304,B304,Parameter_Date,CDSRollDate,E304:M304,SpreadCurveMaturities,D304,C304,$J$4,$J$6))</f>
        <v>0</v>
      </c>
      <c r="O304" s="166">
        <f ca="1"/>
        <v>4.6649647376628689E-4</v>
      </c>
      <c r="P304" s="166">
        <f ca="1"/>
        <v>8.8215636935595754E-4</v>
      </c>
      <c r="Q304" s="166">
        <f ca="1"/>
        <v>3.4794943157031577E-3</v>
      </c>
      <c r="R304" s="166">
        <f ca="1"/>
        <v>7.8199910264372674E-3</v>
      </c>
      <c r="S304" s="166">
        <f ca="1"/>
        <v>0</v>
      </c>
      <c r="T304" s="166">
        <f ca="1"/>
        <v>2.269687764270345E-2</v>
      </c>
      <c r="U304" s="166">
        <f ca="1"/>
        <v>4.031734819364885E-2</v>
      </c>
      <c r="V304" s="140">
        <f ca="1"/>
        <v>6.9664989300632585E-2</v>
      </c>
      <c r="W304" s="139">
        <f ca="1"/>
        <v>0</v>
      </c>
      <c r="X304" s="166">
        <f ca="1"/>
        <v>5.5976917815403482E-4</v>
      </c>
      <c r="Y304" s="166">
        <f ca="1"/>
        <v>1.0486621340873858E-3</v>
      </c>
      <c r="Z304" s="166">
        <f ca="1"/>
        <v>3.8116124614929747E-3</v>
      </c>
      <c r="AA304" s="166">
        <f ca="1"/>
        <v>8.315957029087051E-3</v>
      </c>
      <c r="AB304" s="166">
        <f ca="1"/>
        <v>0</v>
      </c>
      <c r="AC304" s="166">
        <f ca="1"/>
        <v>2.3797940718913058E-2</v>
      </c>
      <c r="AD304" s="166">
        <f ca="1"/>
        <v>4.2277513769318986E-2</v>
      </c>
      <c r="AE304" s="140">
        <f ca="1"/>
        <v>7.3018425965287181E-2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>
        <f t="array" aca="1" ref="N305:AE305" ca="1">IF(OR(B305="",NOT($J$2)),"",[3]!GetStripDefaultProbability(A305,B305,Parameter_Date,CDSRollDate,E305:M305,SpreadCurveMaturities,D305,C305,$J$4,$J$6))</f>
        <v>0</v>
      </c>
      <c r="O305" s="166">
        <f ca="1"/>
        <v>3.7321455535799242E-4</v>
      </c>
      <c r="P305" s="166">
        <f ca="1"/>
        <v>1.0630611822488589E-3</v>
      </c>
      <c r="Q305" s="166">
        <f ca="1"/>
        <v>3.8273671043834723E-3</v>
      </c>
      <c r="R305" s="166">
        <f ca="1"/>
        <v>7.2662306785012953E-3</v>
      </c>
      <c r="S305" s="166">
        <f ca="1"/>
        <v>0</v>
      </c>
      <c r="T305" s="166">
        <f ca="1"/>
        <v>2.0920109861846559E-2</v>
      </c>
      <c r="U305" s="166">
        <f ca="1"/>
        <v>3.9218430156084838E-2</v>
      </c>
      <c r="V305" s="140">
        <f ca="1"/>
        <v>7.1977434941885798E-2</v>
      </c>
      <c r="W305" s="139">
        <f ca="1"/>
        <v>0</v>
      </c>
      <c r="X305" s="166">
        <f ca="1"/>
        <v>4.6649612398852458E-4</v>
      </c>
      <c r="Y305" s="166">
        <f ca="1"/>
        <v>1.2295367987036343E-3</v>
      </c>
      <c r="Z305" s="166">
        <f ca="1"/>
        <v>4.1593693119061914E-3</v>
      </c>
      <c r="AA305" s="166">
        <f ca="1"/>
        <v>7.7624734921042382E-3</v>
      </c>
      <c r="AB305" s="166">
        <f ca="1"/>
        <v>0</v>
      </c>
      <c r="AC305" s="166">
        <f ca="1"/>
        <v>2.1933042134880121E-2</v>
      </c>
      <c r="AD305" s="166">
        <f ca="1"/>
        <v>4.1124813082648703E-2</v>
      </c>
      <c r="AE305" s="140">
        <f ca="1"/>
        <v>7.5440699059770355E-2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>
        <f t="array" aca="1" ref="N306:AE306" ca="1">IF(OR(B306="",NOT($J$2)),"",[3]!GetStripDefaultProbability(A306,B306,Parameter_Date,CDSRollDate,E306:M306,SpreadCurveMaturities,D306,C306,$J$4,$J$6))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6.8286861697164358E-4</v>
      </c>
      <c r="Q306" s="166">
        <f ca="1"/>
        <v>0</v>
      </c>
      <c r="R306" s="166">
        <f ca="1"/>
        <v>6.7519119531624927E-3</v>
      </c>
      <c r="S306" s="166">
        <f ca="1"/>
        <v>0</v>
      </c>
      <c r="T306" s="166">
        <f ca="1"/>
        <v>1.7412045382545482E-2</v>
      </c>
      <c r="U306" s="166">
        <f ca="1"/>
        <v>3.8563805230190984E-2</v>
      </c>
      <c r="V306" s="140">
        <f ca="1"/>
        <v>6.3373682775813234E-2</v>
      </c>
      <c r="W306" s="139">
        <f ca="1"/>
        <v>0</v>
      </c>
      <c r="X306" s="166">
        <f ca="1"/>
        <v>0</v>
      </c>
      <c r="Y306" s="166">
        <f ca="1"/>
        <v>8.4940759358020923E-4</v>
      </c>
      <c r="Z306" s="166">
        <f ca="1"/>
        <v>0</v>
      </c>
      <c r="AA306" s="166">
        <f ca="1"/>
        <v>7.2484118618753035E-3</v>
      </c>
      <c r="AB306" s="166">
        <f ca="1"/>
        <v>0</v>
      </c>
      <c r="AC306" s="166">
        <f ca="1"/>
        <v>1.8230527596426738E-2</v>
      </c>
      <c r="AD306" s="166">
        <f ca="1"/>
        <v>4.0436638970807071E-2</v>
      </c>
      <c r="AE306" s="140">
        <f ca="1"/>
        <v>6.6429865881413197E-2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>
        <f t="array" aca="1" ref="N307:AE307" ca="1">IF(OR(B307="",NOT($J$2)),"",[3]!GetStripDefaultProbability(A307,B307,Parameter_Date,CDSRollDate,E307:M307,SpreadCurveMaturities,D307,C307,$J$4,$J$6))</f>
        <v>0</v>
      </c>
      <c r="O307" s="166">
        <f ca="1"/>
        <v>3.7321455535799242E-4</v>
      </c>
      <c r="P307" s="166">
        <f ca="1"/>
        <v>1.5988606883324818E-3</v>
      </c>
      <c r="Q307" s="166">
        <f ca="1"/>
        <v>4.863427124660813E-3</v>
      </c>
      <c r="R307" s="166">
        <f ca="1"/>
        <v>8.7988721979794793E-3</v>
      </c>
      <c r="S307" s="166">
        <f ca="1"/>
        <v>0</v>
      </c>
      <c r="T307" s="166">
        <f ca="1"/>
        <v>2.1631884061536488E-2</v>
      </c>
      <c r="U307" s="166">
        <f ca="1"/>
        <v>3.5028077174685812E-2</v>
      </c>
      <c r="V307" s="140">
        <f ca="1"/>
        <v>5.8720021316694515E-2</v>
      </c>
      <c r="W307" s="139">
        <f ca="1"/>
        <v>0</v>
      </c>
      <c r="X307" s="166">
        <f ca="1"/>
        <v>4.6649612398852458E-4</v>
      </c>
      <c r="Y307" s="166">
        <f ca="1"/>
        <v>1.7652470123107333E-3</v>
      </c>
      <c r="Z307" s="166">
        <f ca="1"/>
        <v>5.1950840363904627E-3</v>
      </c>
      <c r="AA307" s="166">
        <f ca="1"/>
        <v>9.2943488823814535E-3</v>
      </c>
      <c r="AB307" s="166">
        <f ca="1"/>
        <v>0</v>
      </c>
      <c r="AC307" s="166">
        <f ca="1"/>
        <v>2.2688545903866597E-2</v>
      </c>
      <c r="AD307" s="166">
        <f ca="1"/>
        <v>3.6738454150802236E-2</v>
      </c>
      <c r="AE307" s="140">
        <f ca="1"/>
        <v>6.1562239847408828E-2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>
        <f t="array" aca="1" ref="N308:AE308" ca="1">IF(OR(B308="",NOT($J$2)),"",[3]!GetStripDefaultProbability(A308,B308,Parameter_Date,CDSRollDate,E308:M308,SpreadCurveMaturities,D308,C308,$J$4,$J$6))</f>
        <v>0</v>
      </c>
      <c r="O308" s="166">
        <f ca="1"/>
        <v>4.6649647376628689E-4</v>
      </c>
      <c r="P308" s="166">
        <f ca="1"/>
        <v>1.2393840374057552E-3</v>
      </c>
      <c r="Q308" s="166">
        <f ca="1"/>
        <v>3.8189018326942881E-3</v>
      </c>
      <c r="R308" s="166">
        <f ca="1"/>
        <v>8.3247764833102034E-3</v>
      </c>
      <c r="S308" s="166">
        <f ca="1"/>
        <v>0</v>
      </c>
      <c r="T308" s="166">
        <f ca="1"/>
        <v>1.9936386812058338E-2</v>
      </c>
      <c r="U308" s="166">
        <f ca="1"/>
        <v>3.5311455978638384E-2</v>
      </c>
      <c r="V308" s="140">
        <f ca="1"/>
        <v>6.480418710227942E-2</v>
      </c>
      <c r="W308" s="139">
        <f ca="1"/>
        <v>0</v>
      </c>
      <c r="X308" s="166">
        <f ca="1"/>
        <v>5.5976917815403482E-4</v>
      </c>
      <c r="Y308" s="166">
        <f ca="1"/>
        <v>1.4058302691598579E-3</v>
      </c>
      <c r="Z308" s="166">
        <f ca="1"/>
        <v>4.1509068615025457E-3</v>
      </c>
      <c r="AA308" s="166">
        <f ca="1"/>
        <v>8.8204901563130322E-3</v>
      </c>
      <c r="AB308" s="166">
        <f ca="1"/>
        <v>0</v>
      </c>
      <c r="AC308" s="166">
        <f ca="1"/>
        <v>2.0905155357642702E-2</v>
      </c>
      <c r="AD308" s="166">
        <f ca="1"/>
        <v>3.7031656780413869E-2</v>
      </c>
      <c r="AE308" s="140">
        <f ca="1"/>
        <v>6.7932619576215991E-2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>
        <f t="array" aca="1" ref="N309:AE309" ca="1">IF(OR(B309="",NOT($J$2)),"",[3]!GetStripDefaultProbability(A309,B309,Parameter_Date,CDSRollDate,E309:M309,SpreadCurveMaturities,D309,C309,$J$4,$J$6))</f>
        <v>0</v>
      </c>
      <c r="O309" s="166">
        <f ca="1"/>
        <v>3.7321455535799242E-4</v>
      </c>
      <c r="P309" s="166">
        <f ca="1"/>
        <v>8.8443169589835779E-4</v>
      </c>
      <c r="Q309" s="166">
        <f ca="1"/>
        <v>3.1300474157849312E-3</v>
      </c>
      <c r="R309" s="166">
        <f ca="1"/>
        <v>7.3048644324699152E-3</v>
      </c>
      <c r="S309" s="166">
        <f ca="1"/>
        <v>0</v>
      </c>
      <c r="T309" s="166">
        <f ca="1"/>
        <v>1.8264951822260733E-2</v>
      </c>
      <c r="U309" s="166">
        <f ca="1"/>
        <v>3.4316169528066376E-2</v>
      </c>
      <c r="V309" s="140">
        <f ca="1"/>
        <v>5.9491627770849931E-2</v>
      </c>
      <c r="W309" s="139">
        <f ca="1"/>
        <v>0</v>
      </c>
      <c r="X309" s="166">
        <f ca="1"/>
        <v>4.6649612398852458E-4</v>
      </c>
      <c r="Y309" s="166">
        <f ca="1"/>
        <v>1.0509370814404395E-3</v>
      </c>
      <c r="Z309" s="166">
        <f ca="1"/>
        <v>3.462282024450869E-3</v>
      </c>
      <c r="AA309" s="166">
        <f ca="1"/>
        <v>7.8010879340218997E-3</v>
      </c>
      <c r="AB309" s="166">
        <f ca="1"/>
        <v>0</v>
      </c>
      <c r="AC309" s="166">
        <f ca="1"/>
        <v>1.9145591169504761E-2</v>
      </c>
      <c r="AD309" s="166">
        <f ca="1"/>
        <v>3.5982566304058938E-2</v>
      </c>
      <c r="AE309" s="140">
        <f ca="1"/>
        <v>6.2363271011643406E-2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>
        <f t="array" aca="1" ref="N310:AE310" ca="1">IF(OR(B310="",NOT($J$2)),"",[3]!GetStripDefaultProbability(A310,B310,Parameter_Date,CDSRollDate,E310:M310,SpreadCurveMaturities,D310,C310,$J$4,$J$6))</f>
        <v>0</v>
      </c>
      <c r="O310" s="166">
        <f ca="1"/>
        <v>4.6649647376628689E-4</v>
      </c>
      <c r="P310" s="166">
        <f ca="1"/>
        <v>1.0607776163944482E-3</v>
      </c>
      <c r="Q310" s="166">
        <f ca="1"/>
        <v>4.1766586955125362E-3</v>
      </c>
      <c r="R310" s="166">
        <f ca="1"/>
        <v>8.3146840993060245E-3</v>
      </c>
      <c r="S310" s="166">
        <f ca="1"/>
        <v>0</v>
      </c>
      <c r="T310" s="166">
        <f ca="1"/>
        <v>1.9926108111941176E-2</v>
      </c>
      <c r="U310" s="166">
        <f ca="1"/>
        <v>3.2690870052863308E-2</v>
      </c>
      <c r="V310" s="140">
        <f ca="1"/>
        <v>5.7411244648998383E-2</v>
      </c>
      <c r="W310" s="139">
        <f ca="1"/>
        <v>0</v>
      </c>
      <c r="X310" s="166">
        <f ca="1"/>
        <v>5.5976917815403482E-4</v>
      </c>
      <c r="Y310" s="166">
        <f ca="1"/>
        <v>1.2272536134083634E-3</v>
      </c>
      <c r="Z310" s="166">
        <f ca="1"/>
        <v>4.5085444919210627E-3</v>
      </c>
      <c r="AA310" s="166">
        <f ca="1"/>
        <v>8.8104028172516502E-3</v>
      </c>
      <c r="AB310" s="166">
        <f ca="1"/>
        <v>0</v>
      </c>
      <c r="AC310" s="166">
        <f ca="1"/>
        <v>2.0894840011720817E-2</v>
      </c>
      <c r="AD310" s="166">
        <f ca="1"/>
        <v>3.4283643117842266E-2</v>
      </c>
      <c r="AE310" s="140">
        <f ca="1"/>
        <v>6.0188485317376084E-2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>
        <f t="array" aca="1" ref="N311:AE311" ca="1">IF(OR(B311="",NOT($J$2)),"",[3]!GetStripDefaultProbability(A311,B311,Parameter_Date,CDSRollDate,E311:M311,SpreadCurveMaturities,D311,C311,$J$4,$J$6))</f>
        <v>0</v>
      </c>
      <c r="O311" s="166">
        <f ca="1"/>
        <v>2.799239499720052E-4</v>
      </c>
      <c r="P311" s="166">
        <f ca="1"/>
        <v>8.8670719766348327E-4</v>
      </c>
      <c r="Q311" s="166">
        <f ca="1"/>
        <v>3.1323536816416642E-3</v>
      </c>
      <c r="R311" s="166">
        <f ca="1"/>
        <v>6.7733546032791025E-3</v>
      </c>
      <c r="S311" s="166">
        <f ca="1"/>
        <v>0</v>
      </c>
      <c r="T311" s="166">
        <f ca="1"/>
        <v>1.8305634510526358E-2</v>
      </c>
      <c r="U311" s="166">
        <f ca="1"/>
        <v>3.3050941598062988E-2</v>
      </c>
      <c r="V311" s="140">
        <f ca="1"/>
        <v>5.9710758819367604E-2</v>
      </c>
      <c r="W311" s="139">
        <f ca="1"/>
        <v>0</v>
      </c>
      <c r="X311" s="166">
        <f ca="1"/>
        <v>3.7321434723358582E-4</v>
      </c>
      <c r="Y311" s="166">
        <f ca="1"/>
        <v>1.0532122039936809E-3</v>
      </c>
      <c r="Z311" s="166">
        <f ca="1"/>
        <v>3.4645875217036437E-3</v>
      </c>
      <c r="AA311" s="166">
        <f ca="1"/>
        <v>7.2698437933172988E-3</v>
      </c>
      <c r="AB311" s="166">
        <f ca="1"/>
        <v>0</v>
      </c>
      <c r="AC311" s="166">
        <f ca="1"/>
        <v>1.918629724463361E-2</v>
      </c>
      <c r="AD311" s="166">
        <f ca="1"/>
        <v>3.4653733595149561E-2</v>
      </c>
      <c r="AE311" s="140">
        <f ca="1"/>
        <v>6.2591053950538655E-2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>
        <f t="array" aca="1" ref="N312:AE312" ca="1">IF(OR(B312="",NOT($J$2)),"",[3]!GetStripDefaultProbability(A312,B312,Parameter_Date,CDSRollDate,E312:M312,SpreadCurveMaturities,D312,C312,$J$4,$J$6))</f>
        <v>0</v>
      </c>
      <c r="O312" s="166">
        <f ca="1"/>
        <v>8.8820805426405025E-3</v>
      </c>
      <c r="P312" s="166">
        <f ca="1"/>
        <v>1.6732940970442423E-2</v>
      </c>
      <c r="Q312" s="166">
        <f ca="1"/>
        <v>3.1383971371333308E-2</v>
      </c>
      <c r="R312" s="166">
        <f ca="1"/>
        <v>4.5342867488924465E-2</v>
      </c>
      <c r="S312" s="166">
        <f ca="1"/>
        <v>0</v>
      </c>
      <c r="T312" s="166">
        <f ca="1"/>
        <v>6.9869776606237277E-2</v>
      </c>
      <c r="U312" s="166">
        <f ca="1"/>
        <v>9.6324547402855454E-2</v>
      </c>
      <c r="V312" s="140">
        <f ca="1"/>
        <v>0.13464338231072936</v>
      </c>
      <c r="W312" s="139">
        <f ca="1"/>
        <v>0</v>
      </c>
      <c r="X312" s="166">
        <f ca="1"/>
        <v>9.3238799254776739E-3</v>
      </c>
      <c r="Y312" s="166">
        <f ca="1"/>
        <v>1.7562041543563223E-2</v>
      </c>
      <c r="Z312" s="166">
        <f ca="1"/>
        <v>3.2925517348688982E-2</v>
      </c>
      <c r="AA312" s="166">
        <f ca="1"/>
        <v>4.7552998065400143E-2</v>
      </c>
      <c r="AB312" s="166">
        <f ca="1"/>
        <v>0</v>
      </c>
      <c r="AC312" s="166">
        <f ca="1"/>
        <v>7.3219142255891434E-2</v>
      </c>
      <c r="AD312" s="166">
        <f ca="1"/>
        <v>0.100875895273419</v>
      </c>
      <c r="AE312" s="140">
        <f ca="1"/>
        <v>0.1408750364266409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>
        <f t="array" aca="1" ref="N313:AE313" ca="1">IF(OR(B313="",NOT($J$2)),"",[3]!GetStripDefaultProbability(A313,B313,Parameter_Date,CDSRollDate,E313:M313,SpreadCurveMaturities,D313,C313,$J$4,$J$6))</f>
        <v>0</v>
      </c>
      <c r="O313" s="166">
        <f ca="1"/>
        <v>1.5735556069065293E-3</v>
      </c>
      <c r="P313" s="166">
        <f ca="1"/>
        <v>3.977172744828894E-3</v>
      </c>
      <c r="Q313" s="166">
        <f ca="1"/>
        <v>1.1670479941839451E-2</v>
      </c>
      <c r="R313" s="166">
        <f ca="1"/>
        <v>2.1583790336026643E-2</v>
      </c>
      <c r="S313" s="166">
        <f ca="1"/>
        <v>0</v>
      </c>
      <c r="T313" s="166">
        <f ca="1"/>
        <v>4.7956522407713309E-2</v>
      </c>
      <c r="U313" s="166">
        <f ca="1"/>
        <v>7.2471423932604639E-2</v>
      </c>
      <c r="V313" s="140">
        <f ca="1"/>
        <v>0.11062730661232756</v>
      </c>
      <c r="W313" s="139">
        <f ca="1"/>
        <v>0</v>
      </c>
      <c r="X313" s="166">
        <f ca="1"/>
        <v>1.6521630236442375E-3</v>
      </c>
      <c r="Y313" s="166">
        <f ca="1"/>
        <v>4.1639095178155339E-3</v>
      </c>
      <c r="Z313" s="166">
        <f ca="1"/>
        <v>1.2251326181686339E-2</v>
      </c>
      <c r="AA313" s="166">
        <f ca="1"/>
        <v>2.265331063762499E-2</v>
      </c>
      <c r="AB313" s="166">
        <f ca="1"/>
        <v>0</v>
      </c>
      <c r="AC313" s="166">
        <f ca="1"/>
        <v>5.0300871205880338E-2</v>
      </c>
      <c r="AD313" s="166">
        <f ca="1"/>
        <v>7.5974207487818801E-2</v>
      </c>
      <c r="AE313" s="140">
        <f ca="1"/>
        <v>0.11587804617051156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>
        <f t="array" aca="1" ref="N314:AE314" ca="1">IF(OR(B314="",NOT($J$2)),"",[3]!GetStripDefaultProbability(A314,B314,Parameter_Date,CDSRollDate,E314:M314,SpreadCurveMaturities,D314,C314,$J$4,$J$6))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3.5240564812459851E-3</v>
      </c>
      <c r="Q314" s="166">
        <f ca="1"/>
        <v>0</v>
      </c>
      <c r="R314" s="166">
        <f ca="1"/>
        <v>1.7970156230853851E-2</v>
      </c>
      <c r="S314" s="166">
        <f ca="1"/>
        <v>0</v>
      </c>
      <c r="T314" s="166">
        <f ca="1"/>
        <v>3.8379106981420996E-2</v>
      </c>
      <c r="U314" s="166">
        <f ca="1"/>
        <v>6.5816878178108218E-2</v>
      </c>
      <c r="V314" s="140">
        <f ca="1"/>
        <v>0.11064446998711452</v>
      </c>
      <c r="W314" s="139">
        <f ca="1"/>
        <v>0</v>
      </c>
      <c r="X314" s="166">
        <f ca="1"/>
        <v>0</v>
      </c>
      <c r="Y314" s="166">
        <f ca="1"/>
        <v>3.6901219660027129E-3</v>
      </c>
      <c r="Z314" s="166">
        <f ca="1"/>
        <v>0</v>
      </c>
      <c r="AA314" s="166">
        <f ca="1"/>
        <v>1.886039996828448E-2</v>
      </c>
      <c r="AB314" s="166">
        <f ca="1"/>
        <v>0</v>
      </c>
      <c r="AC314" s="166">
        <f ca="1"/>
        <v>4.0263239301148279E-2</v>
      </c>
      <c r="AD314" s="166">
        <f ca="1"/>
        <v>6.90118673852399E-2</v>
      </c>
      <c r="AE314" s="140">
        <f ca="1"/>
        <v>0.11592463441242062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>
        <f t="array" aca="1" ref="N315:AE315" ca="1">IF(OR(B315="",NOT($J$2)),"",[3]!GetStripDefaultProbability(A315,B315,Parameter_Date,CDSRollDate,E315:M315,SpreadCurveMaturities,D315,C315,$J$4,$J$6))</f>
        <v>4.5932766153544691E-4</v>
      </c>
      <c r="O315" s="166">
        <f ca="1"/>
        <v>8.3954657583207304E-4</v>
      </c>
      <c r="P315" s="166">
        <f ca="1"/>
        <v>2.1228749874965258E-3</v>
      </c>
      <c r="Q315" s="166">
        <f ca="1"/>
        <v>5.1842459494569892E-3</v>
      </c>
      <c r="R315" s="166">
        <f ca="1"/>
        <v>1.0884810167067216E-2</v>
      </c>
      <c r="S315" s="166">
        <f ca="1"/>
        <v>1.7632075934250535E-2</v>
      </c>
      <c r="T315" s="166">
        <f ca="1"/>
        <v>2.5985813961622806E-2</v>
      </c>
      <c r="U315" s="166">
        <f ca="1"/>
        <v>4.9569043143947722E-2</v>
      </c>
      <c r="V315" s="140">
        <f ca="1"/>
        <v>8.639962118422817E-2</v>
      </c>
      <c r="W315" s="139">
        <f ca="1"/>
        <v>4.975952146375473E-4</v>
      </c>
      <c r="X315" s="166">
        <f ca="1"/>
        <v>9.0947679810748916E-4</v>
      </c>
      <c r="Y315" s="166">
        <f ca="1"/>
        <v>2.2476018325267022E-3</v>
      </c>
      <c r="Z315" s="166">
        <f ca="1"/>
        <v>5.4329188025598052E-3</v>
      </c>
      <c r="AA315" s="166">
        <f ca="1"/>
        <v>1.1425568952447951E-2</v>
      </c>
      <c r="AB315" s="166">
        <f ca="1"/>
        <v>1.85063919172197E-2</v>
      </c>
      <c r="AC315" s="166">
        <f ca="1"/>
        <v>2.7270817766523403E-2</v>
      </c>
      <c r="AD315" s="166">
        <f ca="1"/>
        <v>5.1995922572097175E-2</v>
      </c>
      <c r="AE315" s="140">
        <f ca="1"/>
        <v>9.0576025033911378E-2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>
        <f t="array" aca="1" ref="N316:AE316" ca="1">IF(OR(B316="",NOT($J$2)),"",[3]!GetStripDefaultProbability(A316,B316,Parameter_Date,CDSRollDate,E316:M316,SpreadCurveMaturities,D316,C316,$J$4,$J$6))</f>
        <v>0</v>
      </c>
      <c r="O316" s="166">
        <f ca="1"/>
        <v>9.6540722905158471E-4</v>
      </c>
      <c r="P316" s="166">
        <f ca="1"/>
        <v>2.8156781401662556E-3</v>
      </c>
      <c r="Q316" s="166">
        <f ca="1"/>
        <v>8.1044546226529679E-3</v>
      </c>
      <c r="R316" s="166">
        <f ca="1"/>
        <v>1.5181804301493074E-2</v>
      </c>
      <c r="S316" s="166">
        <f ca="1"/>
        <v>0</v>
      </c>
      <c r="T316" s="166">
        <f ca="1"/>
        <v>3.2761387468630554E-2</v>
      </c>
      <c r="U316" s="166">
        <f ca="1"/>
        <v>5.2082308422756185E-2</v>
      </c>
      <c r="V316" s="140">
        <f ca="1"/>
        <v>8.2457227594669003E-2</v>
      </c>
      <c r="W316" s="139">
        <f ca="1"/>
        <v>0</v>
      </c>
      <c r="X316" s="166">
        <f ca="1"/>
        <v>1.0353261057775009E-3</v>
      </c>
      <c r="Y316" s="166">
        <f ca="1"/>
        <v>2.9477963097955806E-3</v>
      </c>
      <c r="Z316" s="166">
        <f ca="1"/>
        <v>8.5079104834988595E-3</v>
      </c>
      <c r="AA316" s="166">
        <f ca="1"/>
        <v>1.5935659278509817E-2</v>
      </c>
      <c r="AB316" s="166">
        <f ca="1"/>
        <v>0</v>
      </c>
      <c r="AC316" s="166">
        <f ca="1"/>
        <v>3.4374110401147684E-2</v>
      </c>
      <c r="AD316" s="166">
        <f ca="1"/>
        <v>5.4624987149023196E-2</v>
      </c>
      <c r="AE316" s="140">
        <f ca="1"/>
        <v>8.6416276344296827E-2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>
        <f t="array" aca="1" ref="N317:AE317" ca="1">IF(OR(B317="",NOT($J$2)),"",[3]!GetStripDefaultProbability(A317,B317,Parameter_Date,CDSRollDate,E317:M317,SpreadCurveMaturities,D317,C317,$J$4,$J$6))</f>
        <v>0</v>
      </c>
      <c r="O317" s="166">
        <f ca="1"/>
        <v>1.0563034497733659E-3</v>
      </c>
      <c r="P317" s="166">
        <f ca="1"/>
        <v>2.8267543855027277E-3</v>
      </c>
      <c r="Q317" s="166">
        <f ca="1"/>
        <v>7.6544958769154681E-3</v>
      </c>
      <c r="R317" s="166">
        <f ca="1"/>
        <v>1.4283965823893019E-2</v>
      </c>
      <c r="S317" s="166">
        <f ca="1"/>
        <v>0</v>
      </c>
      <c r="T317" s="166">
        <f ca="1"/>
        <v>3.2182088059931613E-2</v>
      </c>
      <c r="U317" s="166">
        <f ca="1"/>
        <v>5.1080251033323809E-2</v>
      </c>
      <c r="V317" s="140">
        <f ca="1"/>
        <v>7.9919480159250988E-2</v>
      </c>
      <c r="W317" s="139">
        <f ca="1"/>
        <v>0</v>
      </c>
      <c r="X317" s="166">
        <f ca="1"/>
        <v>1.1262155798089646E-3</v>
      </c>
      <c r="Y317" s="166">
        <f ca="1"/>
        <v>2.9594942381312439E-3</v>
      </c>
      <c r="Z317" s="166">
        <f ca="1"/>
        <v>8.035702062074157E-3</v>
      </c>
      <c r="AA317" s="166">
        <f ca="1"/>
        <v>1.4993561658048549E-2</v>
      </c>
      <c r="AB317" s="166">
        <f ca="1"/>
        <v>0</v>
      </c>
      <c r="AC317" s="166">
        <f ca="1"/>
        <v>3.3767054806403629E-2</v>
      </c>
      <c r="AD317" s="166">
        <f ca="1"/>
        <v>5.3575747928649831E-2</v>
      </c>
      <c r="AE317" s="140">
        <f ca="1"/>
        <v>8.3761659677006661E-2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>
        <f t="array" aca="1" ref="N318:AE318" ca="1">IF(OR(B318="",NOT($J$2)),"",[3]!GetStripDefaultProbability(A318,B318,Parameter_Date,CDSRollDate,E318:M318,SpreadCurveMaturities,D318,C318,$J$4,$J$6))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2.1740397280021195E-3</v>
      </c>
      <c r="Q318" s="166">
        <f ca="1"/>
        <v>0</v>
      </c>
      <c r="R318" s="166">
        <f ca="1"/>
        <v>1.2972654735105782E-2</v>
      </c>
      <c r="S318" s="166">
        <f ca="1"/>
        <v>0</v>
      </c>
      <c r="T318" s="166">
        <f ca="1"/>
        <v>3.1461051384821581E-2</v>
      </c>
      <c r="U318" s="166">
        <f ca="1"/>
        <v>4.5190702784456582E-2</v>
      </c>
      <c r="V318" s="140">
        <f ca="1"/>
        <v>6.7166478033571675E-2</v>
      </c>
      <c r="W318" s="139">
        <f ca="1"/>
        <v>0</v>
      </c>
      <c r="X318" s="166">
        <f ca="1"/>
        <v>0</v>
      </c>
      <c r="Y318" s="166">
        <f ca="1"/>
        <v>2.3403301967919177E-3</v>
      </c>
      <c r="Z318" s="166">
        <f ca="1"/>
        <v>0</v>
      </c>
      <c r="AA318" s="166">
        <f ca="1"/>
        <v>1.3612309121889932E-2</v>
      </c>
      <c r="AB318" s="166">
        <f ca="1"/>
        <v>0</v>
      </c>
      <c r="AC318" s="166">
        <f ca="1"/>
        <v>3.3006716988978169E-2</v>
      </c>
      <c r="AD318" s="166">
        <f ca="1"/>
        <v>4.7398571039670157E-2</v>
      </c>
      <c r="AE318" s="140">
        <f ca="1"/>
        <v>7.0406783901757697E-2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>
        <f t="array" aca="1" ref="N319:AE319" ca="1">IF(OR(B319="",NOT($J$2)),"",[3]!GetStripDefaultProbability(A319,B319,Parameter_Date,CDSRollDate,E319:M319,SpreadCurveMaturities,D319,C319,$J$4,$J$6))</f>
        <v>0</v>
      </c>
      <c r="O319" s="166">
        <f ca="1"/>
        <v>1.1192437531143407E-3</v>
      </c>
      <c r="P319" s="166">
        <f ca="1"/>
        <v>2.5174043393346723E-3</v>
      </c>
      <c r="Q319" s="166">
        <f ca="1"/>
        <v>6.4796350301224992E-3</v>
      </c>
      <c r="R319" s="166">
        <f ca="1"/>
        <v>1.1598075857024104E-2</v>
      </c>
      <c r="S319" s="166">
        <f ca="1"/>
        <v>0</v>
      </c>
      <c r="T319" s="166">
        <f ca="1"/>
        <v>2.3765969552525523E-2</v>
      </c>
      <c r="U319" s="166">
        <f ca="1"/>
        <v>3.4791934371880218E-2</v>
      </c>
      <c r="V319" s="140">
        <f ca="1"/>
        <v>5.040286698068086E-2</v>
      </c>
      <c r="W319" s="139">
        <f ca="1"/>
        <v>0</v>
      </c>
      <c r="X319" s="166">
        <f ca="1"/>
        <v>1.1891522559763779E-3</v>
      </c>
      <c r="Y319" s="166">
        <f ca="1"/>
        <v>2.6420818712890037E-3</v>
      </c>
      <c r="Z319" s="166">
        <f ca="1"/>
        <v>6.7900616374790834E-3</v>
      </c>
      <c r="AA319" s="166">
        <f ca="1"/>
        <v>1.2175208851253672E-2</v>
      </c>
      <c r="AB319" s="166">
        <f ca="1"/>
        <v>0</v>
      </c>
      <c r="AC319" s="166">
        <f ca="1"/>
        <v>2.4940866228833847E-2</v>
      </c>
      <c r="AD319" s="166">
        <f ca="1"/>
        <v>3.650284178559271E-2</v>
      </c>
      <c r="AE319" s="140">
        <f ca="1"/>
        <v>5.2857893569912329E-2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>
        <f t="array" aca="1" ref="N320:AE320" ca="1">IF(OR(B320="",NOT($J$2)),"",[3]!GetStripDefaultProbability(A320,B320,Parameter_Date,CDSRollDate,E320:M320,SpreadCurveMaturities,D320,C320,$J$4,$J$6))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1.6822760861582076E-2</v>
      </c>
      <c r="U320" s="166">
        <f ca="1"/>
        <v>4.4723261695792771E-2</v>
      </c>
      <c r="V320" s="140">
        <f ca="1"/>
        <v>8.731546133152468E-2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1.7641733941279658E-2</v>
      </c>
      <c r="AD320" s="166">
        <f ca="1"/>
        <v>4.692055228273917E-2</v>
      </c>
      <c r="AE320" s="140">
        <f ca="1"/>
        <v>9.1553226095387408E-2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>
        <f t="array" aca="1" ref="N321:AE321" ca="1">IF(OR(B321="",NOT($J$2)),"",[3]!GetStripDefaultProbability(A321,B321,Parameter_Date,CDSRollDate,E321:M321,SpreadCurveMaturities,D321,C321,$J$4,$J$6))</f>
        <v>0</v>
      </c>
      <c r="O321" s="166">
        <f ca="1"/>
        <v>1.1099050460458004E-3</v>
      </c>
      <c r="P321" s="166">
        <f ca="1"/>
        <v>2.5265385813129093E-3</v>
      </c>
      <c r="Q321" s="166">
        <f ca="1"/>
        <v>6.6025121900717965E-3</v>
      </c>
      <c r="R321" s="166">
        <f ca="1"/>
        <v>1.1964435602471735E-2</v>
      </c>
      <c r="S321" s="166">
        <f ca="1"/>
        <v>0</v>
      </c>
      <c r="T321" s="166">
        <f ca="1"/>
        <v>2.6621505378629062E-2</v>
      </c>
      <c r="U321" s="166">
        <f ca="1"/>
        <v>4.202581836535213E-2</v>
      </c>
      <c r="V321" s="140">
        <f ca="1"/>
        <v>6.6341726751037666E-2</v>
      </c>
      <c r="W321" s="139">
        <f ca="1"/>
        <v>0</v>
      </c>
      <c r="X321" s="166">
        <f ca="1"/>
        <v>1.2031155852008091E-3</v>
      </c>
      <c r="Y321" s="166">
        <f ca="1"/>
        <v>2.6927703051808916E-3</v>
      </c>
      <c r="Z321" s="166">
        <f ca="1"/>
        <v>6.9335895033875161E-3</v>
      </c>
      <c r="AA321" s="166">
        <f ca="1"/>
        <v>1.2556798223608778E-2</v>
      </c>
      <c r="AB321" s="166">
        <f ca="1"/>
        <v>0</v>
      </c>
      <c r="AC321" s="166">
        <f ca="1"/>
        <v>2.7933337438693528E-2</v>
      </c>
      <c r="AD321" s="166">
        <f ca="1"/>
        <v>4.408462955311454E-2</v>
      </c>
      <c r="AE321" s="140">
        <f ca="1"/>
        <v>6.9550555683127069E-2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>
        <f t="array" aca="1" ref="N322:AE322" ca="1">IF(OR(B322="",NOT($J$2)),"",[3]!GetStripDefaultProbability(A322,B322,Parameter_Date,CDSRollDate,E322:M322,SpreadCurveMaturities,D322,C322,$J$4,$J$6))</f>
        <v>0</v>
      </c>
      <c r="O322" s="166">
        <f ca="1"/>
        <v>4.6649647376628689E-4</v>
      </c>
      <c r="P322" s="166">
        <f ca="1"/>
        <v>1.4179756342108663E-3</v>
      </c>
      <c r="Q322" s="166">
        <f ca="1"/>
        <v>4.1643281717038683E-3</v>
      </c>
      <c r="R322" s="166">
        <f ca="1"/>
        <v>8.3022077948685657E-3</v>
      </c>
      <c r="S322" s="166">
        <f ca="1"/>
        <v>0</v>
      </c>
      <c r="T322" s="166">
        <f ca="1"/>
        <v>2.2605056720911954E-2</v>
      </c>
      <c r="U322" s="166">
        <f ca="1"/>
        <v>3.8922075472979323E-2</v>
      </c>
      <c r="V322" s="140">
        <f ca="1"/>
        <v>6.2036755697362111E-2</v>
      </c>
      <c r="W322" s="139">
        <f ca="1"/>
        <v>0</v>
      </c>
      <c r="X322" s="166">
        <f ca="1"/>
        <v>5.5976917815403482E-4</v>
      </c>
      <c r="Y322" s="166">
        <f ca="1"/>
        <v>1.5843921031823971E-3</v>
      </c>
      <c r="Z322" s="166">
        <f ca="1"/>
        <v>4.4962180775836025E-3</v>
      </c>
      <c r="AA322" s="166">
        <f ca="1"/>
        <v>8.7979327494193127E-3</v>
      </c>
      <c r="AB322" s="166">
        <f ca="1"/>
        <v>0</v>
      </c>
      <c r="AC322" s="166">
        <f ca="1"/>
        <v>2.3705890165743093E-2</v>
      </c>
      <c r="AD322" s="166">
        <f ca="1"/>
        <v>4.0818479933554919E-2</v>
      </c>
      <c r="AE322" s="140">
        <f ca="1"/>
        <v>6.5032571313006882E-2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>
        <f t="array" aca="1" ref="N323:AE323" ca="1">IF(OR(B323="",NOT($J$2)),"",[3]!GetStripDefaultProbability(A323,B323,Parameter_Date,CDSRollDate,E323:M323,SpreadCurveMaturities,D323,C323,$J$4,$J$6))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1.0585134944717245E-3</v>
      </c>
      <c r="Q323" s="166">
        <f ca="1"/>
        <v>0</v>
      </c>
      <c r="R323" s="166">
        <f ca="1"/>
        <v>6.2027478450060736E-3</v>
      </c>
      <c r="S323" s="166">
        <f ca="1"/>
        <v>0</v>
      </c>
      <c r="T323" s="166">
        <f ca="1"/>
        <v>1.8342865851006973E-2</v>
      </c>
      <c r="U323" s="166">
        <f ca="1"/>
        <v>3.7162098999685256E-2</v>
      </c>
      <c r="V323" s="140">
        <f ca="1"/>
        <v>7.3387859221909935E-2</v>
      </c>
      <c r="W323" s="139">
        <f ca="1"/>
        <v>0</v>
      </c>
      <c r="X323" s="166">
        <f ca="1"/>
        <v>0</v>
      </c>
      <c r="Y323" s="166">
        <f ca="1"/>
        <v>1.224989868802262E-3</v>
      </c>
      <c r="Z323" s="166">
        <f ca="1"/>
        <v>0</v>
      </c>
      <c r="AA323" s="166">
        <f ca="1"/>
        <v>6.699522267089475E-3</v>
      </c>
      <c r="AB323" s="166">
        <f ca="1"/>
        <v>0</v>
      </c>
      <c r="AC323" s="166">
        <f ca="1"/>
        <v>1.9223374881850552E-2</v>
      </c>
      <c r="AD323" s="166">
        <f ca="1"/>
        <v>3.8963330209788261E-2</v>
      </c>
      <c r="AE323" s="140">
        <f ca="1"/>
        <v>7.6912701720626697E-2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>
        <f t="array" aca="1" ref="N324:AE324" ca="1">IF(OR(B324="",NOT($J$2)),"",[3]!GetStripDefaultProbability(A324,B324,Parameter_Date,CDSRollDate,E324:M324,SpreadCurveMaturities,D324,C324,$J$4,$J$6))</f>
        <v>0</v>
      </c>
      <c r="O324" s="166">
        <f ca="1"/>
        <v>2.799239499720052E-4</v>
      </c>
      <c r="P324" s="166">
        <f ca="1"/>
        <v>8.8670719766348327E-4</v>
      </c>
      <c r="Q324" s="166">
        <f ca="1"/>
        <v>3.4841229513721261E-3</v>
      </c>
      <c r="R324" s="166">
        <f ca="1"/>
        <v>7.8246934916494926E-3</v>
      </c>
      <c r="S324" s="166">
        <f ca="1"/>
        <v>0</v>
      </c>
      <c r="T324" s="166">
        <f ca="1"/>
        <v>2.0009091265895895E-2</v>
      </c>
      <c r="U324" s="166">
        <f ca="1"/>
        <v>3.5384979759734869E-2</v>
      </c>
      <c r="V324" s="140">
        <f ca="1"/>
        <v>5.9077103439299283E-2</v>
      </c>
      <c r="W324" s="139">
        <f ca="1"/>
        <v>0</v>
      </c>
      <c r="X324" s="166">
        <f ca="1"/>
        <v>3.7321434723358582E-4</v>
      </c>
      <c r="Y324" s="166">
        <f ca="1"/>
        <v>1.0532122039936809E-3</v>
      </c>
      <c r="Z324" s="166">
        <f ca="1"/>
        <v>3.8162395545482397E-3</v>
      </c>
      <c r="AA324" s="166">
        <f ca="1"/>
        <v>8.3206571436648114E-3</v>
      </c>
      <c r="AB324" s="166">
        <f ca="1"/>
        <v>0</v>
      </c>
      <c r="AC324" s="166">
        <f ca="1"/>
        <v>2.0978005316632076E-2</v>
      </c>
      <c r="AD324" s="166">
        <f ca="1"/>
        <v>3.7105486021357215E-2</v>
      </c>
      <c r="AE324" s="140">
        <f ca="1"/>
        <v>6.1930004161832919E-2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>
        <f t="array" aca="1" ref="N325:AE325" ca="1">IF(OR(B325="",NOT($J$2)),"",[3]!GetStripDefaultProbability(A325,B325,Parameter_Date,CDSRollDate,E325:M325,SpreadCurveMaturities,D325,C325,$J$4,$J$6))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8.7511754750546622E-4</v>
      </c>
      <c r="Q325" s="166">
        <f ca="1"/>
        <v>0</v>
      </c>
      <c r="R325" s="166">
        <f ca="1"/>
        <v>6.6857675623421819E-3</v>
      </c>
      <c r="S325" s="166">
        <f ca="1"/>
        <v>0</v>
      </c>
      <c r="T325" s="166">
        <f ca="1"/>
        <v>1.8758325573149714E-2</v>
      </c>
      <c r="U325" s="166">
        <f ca="1"/>
        <v>3.2756586997930714E-2</v>
      </c>
      <c r="V325" s="140">
        <f ca="1"/>
        <v>5.6137162061262735E-2</v>
      </c>
      <c r="W325" s="139">
        <f ca="1"/>
        <v>0</v>
      </c>
      <c r="X325" s="166">
        <f ca="1"/>
        <v>0</v>
      </c>
      <c r="Y325" s="166">
        <f ca="1"/>
        <v>1.0416244852846646E-3</v>
      </c>
      <c r="Z325" s="166">
        <f ca="1"/>
        <v>0</v>
      </c>
      <c r="AA325" s="166">
        <f ca="1"/>
        <v>7.18230053495994E-3</v>
      </c>
      <c r="AB325" s="166">
        <f ca="1"/>
        <v>0</v>
      </c>
      <c r="AC325" s="166">
        <f ca="1"/>
        <v>1.9661047651119312E-2</v>
      </c>
      <c r="AD325" s="166">
        <f ca="1"/>
        <v>3.4344699825895941E-2</v>
      </c>
      <c r="AE325" s="140">
        <f ca="1"/>
        <v>5.8845929388816387E-2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>
        <f t="array" aca="1" ref="N326:AE326" ca="1">IF(OR(B326="",NOT($J$2)),"",[3]!GetStripDefaultProbability(A326,B326,Parameter_Date,CDSRollDate,E326:M326,SpreadCurveMaturities,D326,C326,$J$4,$J$6))</f>
        <v>0</v>
      </c>
      <c r="O326" s="166">
        <f ca="1"/>
        <v>4.7481668811913957E-3</v>
      </c>
      <c r="P326" s="166">
        <f ca="1"/>
        <v>8.9616891276023125E-3</v>
      </c>
      <c r="Q326" s="166">
        <f ca="1"/>
        <v>1.7407210634193149E-2</v>
      </c>
      <c r="R326" s="166">
        <f ca="1"/>
        <v>2.8255014739486328E-2</v>
      </c>
      <c r="S326" s="166">
        <f ca="1"/>
        <v>0</v>
      </c>
      <c r="T326" s="166">
        <f ca="1"/>
        <v>5.0068441206889358E-2</v>
      </c>
      <c r="U326" s="166">
        <f ca="1"/>
        <v>7.1705858060821859E-2</v>
      </c>
      <c r="V326" s="140">
        <f ca="1"/>
        <v>0.10204108616232266</v>
      </c>
      <c r="W326" s="139">
        <f ca="1"/>
        <v>0</v>
      </c>
      <c r="X326" s="166">
        <f ca="1"/>
        <v>4.9849258692044041E-3</v>
      </c>
      <c r="Y326" s="166">
        <f ca="1"/>
        <v>9.4076196844968818E-3</v>
      </c>
      <c r="Z326" s="166">
        <f ca="1"/>
        <v>1.826925508968158E-2</v>
      </c>
      <c r="AA326" s="166">
        <f ca="1"/>
        <v>2.9647360580837834E-2</v>
      </c>
      <c r="AB326" s="166">
        <f ca="1"/>
        <v>0</v>
      </c>
      <c r="AC326" s="166">
        <f ca="1"/>
        <v>5.2504656096524993E-2</v>
      </c>
      <c r="AD326" s="166">
        <f ca="1"/>
        <v>7.5157270122506614E-2</v>
      </c>
      <c r="AE326" s="140">
        <f ca="1"/>
        <v>0.10685821359386549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>
        <f t="array" aca="1" ref="N327:AE327" ca="1">IF(OR(B327="",NOT($J$2)),"",[3]!GetStripDefaultProbability(A327,B327,Parameter_Date,CDSRollDate,E327:M327,SpreadCurveMaturities,D327,C327,$J$4,$J$6))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2.1599491646329128E-3</v>
      </c>
      <c r="Q327" s="166">
        <f ca="1"/>
        <v>0</v>
      </c>
      <c r="R327" s="166">
        <f ca="1"/>
        <v>1.263085325189417E-2</v>
      </c>
      <c r="S327" s="166">
        <f ca="1"/>
        <v>0</v>
      </c>
      <c r="T327" s="166">
        <f ca="1"/>
        <v>4.2681495997860086E-2</v>
      </c>
      <c r="U327" s="166">
        <f ca="1"/>
        <v>6.7860395298329323E-2</v>
      </c>
      <c r="V327" s="140">
        <f ca="1"/>
        <v>0.10813903926284185</v>
      </c>
      <c r="W327" s="139">
        <f ca="1"/>
        <v>0</v>
      </c>
      <c r="X327" s="166">
        <f ca="1"/>
        <v>0</v>
      </c>
      <c r="Y327" s="166">
        <f ca="1"/>
        <v>2.3262419816644231E-3</v>
      </c>
      <c r="Z327" s="166">
        <f ca="1"/>
        <v>0</v>
      </c>
      <c r="AA327" s="166">
        <f ca="1"/>
        <v>1.325360897430794E-2</v>
      </c>
      <c r="AB327" s="166">
        <f ca="1"/>
        <v>0</v>
      </c>
      <c r="AC327" s="166">
        <f ca="1"/>
        <v>4.4770557766180441E-2</v>
      </c>
      <c r="AD327" s="166">
        <f ca="1"/>
        <v>7.115272890484825E-2</v>
      </c>
      <c r="AE327" s="140">
        <f ca="1"/>
        <v>0.1132964843762323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>
        <f t="array" aca="1" ref="N328:AE328" ca="1">IF(OR(B328="",NOT($J$2)),"",[3]!GetStripDefaultProbability(A328,B328,Parameter_Date,CDSRollDate,E328:M328,SpreadCurveMaturities,D328,C328,$J$4,$J$6))</f>
        <v>0</v>
      </c>
      <c r="O328" s="166">
        <f ca="1"/>
        <v>6.5769725406628066E-4</v>
      </c>
      <c r="P328" s="166">
        <f ca="1"/>
        <v>1.3373686604627455E-3</v>
      </c>
      <c r="Q328" s="166">
        <f ca="1"/>
        <v>5.2428593355846598E-3</v>
      </c>
      <c r="R328" s="166">
        <f ca="1"/>
        <v>1.1753591193853663E-2</v>
      </c>
      <c r="S328" s="166">
        <f ca="1"/>
        <v>0</v>
      </c>
      <c r="T328" s="166">
        <f ca="1"/>
        <v>3.1238031911263175E-2</v>
      </c>
      <c r="U328" s="166">
        <f ca="1"/>
        <v>4.9677829234546111E-2</v>
      </c>
      <c r="V328" s="140">
        <f ca="1"/>
        <v>7.9294630208544548E-2</v>
      </c>
      <c r="W328" s="139">
        <f ca="1"/>
        <v>0</v>
      </c>
      <c r="X328" s="166">
        <f ca="1"/>
        <v>7.2763869787850766E-4</v>
      </c>
      <c r="Y328" s="166">
        <f ca="1"/>
        <v>1.462193687649993E-3</v>
      </c>
      <c r="Z328" s="166">
        <f ca="1"/>
        <v>5.4927606719914479E-3</v>
      </c>
      <c r="AA328" s="166">
        <f ca="1"/>
        <v>1.2335949819966885E-2</v>
      </c>
      <c r="AB328" s="166">
        <f ca="1"/>
        <v>0</v>
      </c>
      <c r="AC328" s="166">
        <f ca="1"/>
        <v>3.2776165889142783E-2</v>
      </c>
      <c r="AD328" s="166">
        <f ca="1"/>
        <v>5.2106609693756134E-2</v>
      </c>
      <c r="AE328" s="140">
        <f ca="1"/>
        <v>8.3109923929190588E-2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>
        <f t="array" aca="1" ref="N329:AE329" ca="1">IF(OR(B329="",NOT($J$2)),"",[3]!GetStripDefaultProbability(A329,B329,Parameter_Date,CDSRollDate,E329:M329,SpreadCurveMaturities,D329,C329,$J$4,$J$6))</f>
        <v>0</v>
      </c>
      <c r="O329" s="166">
        <f ca="1"/>
        <v>8.8848859798384971E-4</v>
      </c>
      <c r="P329" s="166">
        <f ca="1"/>
        <v>2.3759691683896689E-3</v>
      </c>
      <c r="Q329" s="166">
        <f ca="1"/>
        <v>6.7277637967430026E-3</v>
      </c>
      <c r="R329" s="166">
        <f ca="1"/>
        <v>1.2715217222285746E-2</v>
      </c>
      <c r="S329" s="166">
        <f ca="1"/>
        <v>0</v>
      </c>
      <c r="T329" s="166">
        <f ca="1"/>
        <v>2.9698000346332187E-2</v>
      </c>
      <c r="U329" s="166">
        <f ca="1"/>
        <v>4.7870504833602112E-2</v>
      </c>
      <c r="V329" s="140">
        <f ca="1"/>
        <v>7.5175548878212206E-2</v>
      </c>
      <c r="W329" s="139">
        <f ca="1"/>
        <v>0</v>
      </c>
      <c r="X329" s="166">
        <f ca="1"/>
        <v>9.5841315500777569E-4</v>
      </c>
      <c r="Y329" s="166">
        <f ca="1"/>
        <v>2.5006643786396054E-3</v>
      </c>
      <c r="Z329" s="166">
        <f ca="1"/>
        <v>7.0492836343931664E-3</v>
      </c>
      <c r="AA329" s="166">
        <f ca="1"/>
        <v>1.3347221603417059E-2</v>
      </c>
      <c r="AB329" s="166">
        <f ca="1"/>
        <v>0</v>
      </c>
      <c r="AC329" s="166">
        <f ca="1"/>
        <v>3.1162498203333611E-2</v>
      </c>
      <c r="AD329" s="166">
        <f ca="1"/>
        <v>5.0213405645626819E-2</v>
      </c>
      <c r="AE329" s="140">
        <f ca="1"/>
        <v>7.8799734755350404E-2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>
        <f t="array" aca="1" ref="N330:AE330" ca="1">IF(OR(B330="",NOT($J$2)),"",[3]!GetStripDefaultProbability(A330,B330,Parameter_Date,CDSRollDate,E330:M330,SpreadCurveMaturities,D330,C330,$J$4,$J$6))</f>
        <v>0</v>
      </c>
      <c r="O330" s="166">
        <f ca="1"/>
        <v>6.5769725406628066E-4</v>
      </c>
      <c r="P330" s="166">
        <f ca="1"/>
        <v>2.2077388690360245E-3</v>
      </c>
      <c r="Q330" s="166">
        <f ca="1"/>
        <v>6.6871915134313342E-3</v>
      </c>
      <c r="R330" s="166">
        <f ca="1"/>
        <v>1.3328505730692219E-2</v>
      </c>
      <c r="S330" s="166">
        <f ca="1"/>
        <v>0</v>
      </c>
      <c r="T330" s="166">
        <f ca="1"/>
        <v>3.1006570841375702E-2</v>
      </c>
      <c r="U330" s="166">
        <f ca="1"/>
        <v>5.0124923666733934E-2</v>
      </c>
      <c r="V330" s="140">
        <f ca="1"/>
        <v>7.8967636837429689E-2</v>
      </c>
      <c r="W330" s="139">
        <f ca="1"/>
        <v>0</v>
      </c>
      <c r="X330" s="166">
        <f ca="1"/>
        <v>7.2763869787850766E-4</v>
      </c>
      <c r="Y330" s="166">
        <f ca="1"/>
        <v>2.3324551067469557E-3</v>
      </c>
      <c r="Z330" s="166">
        <f ca="1"/>
        <v>7.0062420029103345E-3</v>
      </c>
      <c r="AA330" s="166">
        <f ca="1"/>
        <v>1.3990357398060982E-2</v>
      </c>
      <c r="AB330" s="166">
        <f ca="1"/>
        <v>0</v>
      </c>
      <c r="AC330" s="166">
        <f ca="1"/>
        <v>3.2534257169953174E-2</v>
      </c>
      <c r="AD330" s="166">
        <f ca="1"/>
        <v>5.2575341129571629E-2</v>
      </c>
      <c r="AE330" s="140">
        <f ca="1"/>
        <v>8.276732051290725E-2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>
        <f t="array" aca="1" ref="N331:AE331" ca="1">IF(OR(B331="",NOT($J$2)),"",[3]!GetStripDefaultProbability(A331,B331,Parameter_Date,CDSRollDate,E331:M331,SpreadCurveMaturities,D331,C331,$J$4,$J$6))</f>
        <v>0</v>
      </c>
      <c r="O331" s="166">
        <f ca="1"/>
        <v>7.7659640609062386E-4</v>
      </c>
      <c r="P331" s="166">
        <f ca="1"/>
        <v>2.2984659822363751E-3</v>
      </c>
      <c r="Q331" s="166">
        <f ca="1"/>
        <v>6.7334751038564677E-3</v>
      </c>
      <c r="R331" s="166">
        <f ca="1"/>
        <v>1.300031603519558E-2</v>
      </c>
      <c r="S331" s="166">
        <f ca="1"/>
        <v>0</v>
      </c>
      <c r="T331" s="166">
        <f ca="1"/>
        <v>3.1021413812935328E-2</v>
      </c>
      <c r="U331" s="166">
        <f ca="1"/>
        <v>5.0236775528588518E-2</v>
      </c>
      <c r="V331" s="140">
        <f ca="1"/>
        <v>7.8968702250252876E-2</v>
      </c>
      <c r="W331" s="139">
        <f ca="1"/>
        <v>0</v>
      </c>
      <c r="X331" s="166">
        <f ca="1"/>
        <v>8.4652917932870331E-4</v>
      </c>
      <c r="Y331" s="166">
        <f ca="1"/>
        <v>2.4231708797786133E-3</v>
      </c>
      <c r="Z331" s="166">
        <f ca="1"/>
        <v>7.0549930927744642E-3</v>
      </c>
      <c r="AA331" s="166">
        <f ca="1"/>
        <v>1.3646191300806465E-2</v>
      </c>
      <c r="AB331" s="166">
        <f ca="1"/>
        <v>0</v>
      </c>
      <c r="AC331" s="166">
        <f ca="1"/>
        <v>3.2550158400359241E-2</v>
      </c>
      <c r="AD331" s="166">
        <f ca="1"/>
        <v>5.269305757266729E-2</v>
      </c>
      <c r="AE331" s="140">
        <f ca="1"/>
        <v>8.2768897234948402E-2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>
        <f t="array" aca="1" ref="N332:AE332" ca="1">IF(OR(B332="",NOT($J$2)),"",[3]!GetStripDefaultProbability(A332,B332,Parameter_Date,CDSRollDate,E332:M332,SpreadCurveMaturities,D332,C332,$J$4,$J$6))</f>
        <v>0</v>
      </c>
      <c r="O332" s="166">
        <f ca="1"/>
        <v>7.4162753240369916E-4</v>
      </c>
      <c r="P332" s="166">
        <f ca="1"/>
        <v>2.0315976838969352E-3</v>
      </c>
      <c r="Q332" s="166">
        <f ca="1"/>
        <v>6.4279329103646976E-3</v>
      </c>
      <c r="R332" s="166">
        <f ca="1"/>
        <v>1.2786581743651992E-2</v>
      </c>
      <c r="S332" s="166">
        <f ca="1"/>
        <v>0</v>
      </c>
      <c r="T332" s="166">
        <f ca="1"/>
        <v>3.0396646579759601E-2</v>
      </c>
      <c r="U332" s="166">
        <f ca="1"/>
        <v>4.8799894444340519E-2</v>
      </c>
      <c r="V332" s="140">
        <f ca="1"/>
        <v>7.6433798012898735E-2</v>
      </c>
      <c r="W332" s="139">
        <f ca="1"/>
        <v>0</v>
      </c>
      <c r="X332" s="166">
        <f ca="1"/>
        <v>8.1156286208849959E-4</v>
      </c>
      <c r="Y332" s="166">
        <f ca="1"/>
        <v>2.1563359378855562E-3</v>
      </c>
      <c r="Z332" s="166">
        <f ca="1"/>
        <v>6.7346509340593386E-3</v>
      </c>
      <c r="AA332" s="166">
        <f ca="1"/>
        <v>1.3421391012636286E-2</v>
      </c>
      <c r="AB332" s="166">
        <f ca="1"/>
        <v>0</v>
      </c>
      <c r="AC332" s="166">
        <f ca="1"/>
        <v>3.1894553490777522E-2</v>
      </c>
      <c r="AD332" s="166">
        <f ca="1"/>
        <v>5.1186785707812765E-2</v>
      </c>
      <c r="AE332" s="140">
        <f ca="1"/>
        <v>8.0115713191513671E-2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>
        <f t="array" aca="1" ref="N333:AE333" ca="1">IF(OR(B333="",NOT($J$2)),"",[3]!GetStripDefaultProbability(A333,B333,Parameter_Date,CDSRollDate,E333:M333,SpreadCurveMaturities,D333,C333,$J$4,$J$6))</f>
        <v>0</v>
      </c>
      <c r="O333" s="166">
        <f ca="1"/>
        <v>1.0726172827926206E-3</v>
      </c>
      <c r="P333" s="166">
        <f ca="1"/>
        <v>3.2054338385190118E-3</v>
      </c>
      <c r="Q333" s="166">
        <f ca="1"/>
        <v>9.6996966232281157E-3</v>
      </c>
      <c r="R333" s="166">
        <f ca="1"/>
        <v>1.8058171350699093E-2</v>
      </c>
      <c r="S333" s="166">
        <f ca="1"/>
        <v>0</v>
      </c>
      <c r="T333" s="166">
        <f ca="1"/>
        <v>3.9322979205270614E-2</v>
      </c>
      <c r="U333" s="166">
        <f ca="1"/>
        <v>6.175941837545218E-2</v>
      </c>
      <c r="V333" s="140">
        <f ca="1"/>
        <v>9.551476955441518E-2</v>
      </c>
      <c r="W333" s="139">
        <f ca="1"/>
        <v>0</v>
      </c>
      <c r="X333" s="166">
        <f ca="1"/>
        <v>1.1658314747735599E-3</v>
      </c>
      <c r="Y333" s="166">
        <f ca="1"/>
        <v>3.3715524226098914E-3</v>
      </c>
      <c r="Z333" s="166">
        <f ca="1"/>
        <v>1.0181271226311628E-2</v>
      </c>
      <c r="AA333" s="166">
        <f ca="1"/>
        <v>1.8952764495030916E-2</v>
      </c>
      <c r="AB333" s="166">
        <f ca="1"/>
        <v>0</v>
      </c>
      <c r="AC333" s="166">
        <f ca="1"/>
        <v>4.1251639727773903E-2</v>
      </c>
      <c r="AD333" s="166">
        <f ca="1"/>
        <v>6.4759535862833228E-2</v>
      </c>
      <c r="AE333" s="140">
        <f ca="1"/>
        <v>0.10006637955057651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>
        <f t="array" aca="1" ref="N334:AE334" ca="1">IF(OR(B334="",NOT($J$2)),"",[3]!GetStripDefaultProbability(A334,B334,Parameter_Date,CDSRollDate,E334:M334,SpreadCurveMaturities,D334,C334,$J$4,$J$6))</f>
        <v>0</v>
      </c>
      <c r="O334" s="166">
        <f ca="1"/>
        <v>1.1402176325079338E-3</v>
      </c>
      <c r="P334" s="166">
        <f ca="1"/>
        <v>2.4365818296725461E-3</v>
      </c>
      <c r="Q334" s="166">
        <f ca="1"/>
        <v>5.7974769047092201E-3</v>
      </c>
      <c r="R334" s="166">
        <f ca="1"/>
        <v>1.0834748655699333E-2</v>
      </c>
      <c r="S334" s="166">
        <f ca="1"/>
        <v>0</v>
      </c>
      <c r="T334" s="166">
        <f ca="1"/>
        <v>2.9932848116896338E-2</v>
      </c>
      <c r="U334" s="166">
        <f ca="1"/>
        <v>4.444772212591408E-2</v>
      </c>
      <c r="V334" s="140">
        <f ca="1"/>
        <v>7.0387630923869904E-2</v>
      </c>
      <c r="W334" s="139">
        <f ca="1"/>
        <v>0</v>
      </c>
      <c r="X334" s="166">
        <f ca="1"/>
        <v>1.2101245674657202E-3</v>
      </c>
      <c r="Y334" s="166">
        <f ca="1"/>
        <v>2.5612694638136313E-3</v>
      </c>
      <c r="Z334" s="166">
        <f ca="1"/>
        <v>6.0758146420730741E-3</v>
      </c>
      <c r="AA334" s="166">
        <f ca="1"/>
        <v>1.1373903835494747E-2</v>
      </c>
      <c r="AB334" s="166">
        <f ca="1"/>
        <v>0</v>
      </c>
      <c r="AC334" s="166">
        <f ca="1"/>
        <v>3.1409317602333564E-2</v>
      </c>
      <c r="AD334" s="166">
        <f ca="1"/>
        <v>4.6626441780796557E-2</v>
      </c>
      <c r="AE334" s="140">
        <f ca="1"/>
        <v>7.3787818541311889E-2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>
        <f t="array" aca="1" ref="N335:AE335" ca="1">IF(OR(B335="",NOT($J$2)),"",[3]!GetStripDefaultProbability(A335,B335,Parameter_Date,CDSRollDate,E335:M335,SpreadCurveMaturities,D335,C335,$J$4,$J$6))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3.0842240279745914E-3</v>
      </c>
      <c r="Q335" s="166">
        <f ca="1"/>
        <v>0</v>
      </c>
      <c r="R335" s="166">
        <f ca="1"/>
        <v>1.6710167797318487E-2</v>
      </c>
      <c r="S335" s="166">
        <f ca="1"/>
        <v>0</v>
      </c>
      <c r="T335" s="166">
        <f ca="1"/>
        <v>3.6330183412874195E-2</v>
      </c>
      <c r="U335" s="166">
        <f ca="1"/>
        <v>5.5198311081265383E-2</v>
      </c>
      <c r="V335" s="140">
        <f ca="1"/>
        <v>8.2932208055772727E-2</v>
      </c>
      <c r="W335" s="139">
        <f ca="1"/>
        <v>0</v>
      </c>
      <c r="X335" s="166">
        <f ca="1"/>
        <v>0</v>
      </c>
      <c r="Y335" s="166">
        <f ca="1"/>
        <v>3.2503628120066352E-3</v>
      </c>
      <c r="Z335" s="166">
        <f ca="1"/>
        <v>0</v>
      </c>
      <c r="AA335" s="166">
        <f ca="1"/>
        <v>1.7536978450891305E-2</v>
      </c>
      <c r="AB335" s="166">
        <f ca="1"/>
        <v>0</v>
      </c>
      <c r="AC335" s="166">
        <f ca="1"/>
        <v>3.8114133423271523E-2</v>
      </c>
      <c r="AD335" s="166">
        <f ca="1"/>
        <v>5.788645505487211E-2</v>
      </c>
      <c r="AE335" s="140">
        <f ca="1"/>
        <v>8.6905418309227156E-2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>
        <f t="array" aca="1" ref="N336:AE336" ca="1">IF(OR(B336="",NOT($J$2)),"",[3]!GetStripDefaultProbability(A336,B336,Parameter_Date,CDSRollDate,E336:M336,SpreadCurveMaturities,D336,C336,$J$4,$J$6))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1.3401551727195704E-3</v>
      </c>
      <c r="Q336" s="166">
        <f ca="1"/>
        <v>0</v>
      </c>
      <c r="R336" s="166">
        <f ca="1"/>
        <v>7.8528855597899128E-3</v>
      </c>
      <c r="S336" s="166">
        <f ca="1"/>
        <v>0</v>
      </c>
      <c r="T336" s="166">
        <f ca="1"/>
        <v>2.4015543924640004E-2</v>
      </c>
      <c r="U336" s="166">
        <f ca="1"/>
        <v>3.8102840273659955E-2</v>
      </c>
      <c r="V336" s="140">
        <f ca="1"/>
        <v>6.1183422123841646E-2</v>
      </c>
      <c r="W336" s="139">
        <f ca="1"/>
        <v>0</v>
      </c>
      <c r="X336" s="166">
        <f ca="1"/>
        <v>0</v>
      </c>
      <c r="Y336" s="166">
        <f ca="1"/>
        <v>1.4649798516355172E-3</v>
      </c>
      <c r="Z336" s="166">
        <f ca="1"/>
        <v>0</v>
      </c>
      <c r="AA336" s="166">
        <f ca="1"/>
        <v>8.229891824955371E-3</v>
      </c>
      <c r="AB336" s="166">
        <f ca="1"/>
        <v>0</v>
      </c>
      <c r="AC336" s="166">
        <f ca="1"/>
        <v>2.5200280310966439E-2</v>
      </c>
      <c r="AD336" s="166">
        <f ca="1"/>
        <v>3.9974092891764457E-2</v>
      </c>
      <c r="AE336" s="140">
        <f ca="1"/>
        <v>6.4152346027131713E-2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>
        <f t="array" aca="1" ref="N337:AE337" ca="1">IF(OR(B337="",NOT($J$2)),"",[3]!GetStripDefaultProbability(A337,B337,Parameter_Date,CDSRollDate,E337:M337,SpreadCurveMaturities,D337,C337,$J$4,$J$6))</f>
        <v>0</v>
      </c>
      <c r="O337" s="166">
        <f ca="1"/>
        <v>3.4989271846808112E-4</v>
      </c>
      <c r="P337" s="166">
        <f ca="1"/>
        <v>1.3315516207169642E-3</v>
      </c>
      <c r="Q337" s="166">
        <f ca="1"/>
        <v>4.1703226930849269E-3</v>
      </c>
      <c r="R337" s="166">
        <f ca="1"/>
        <v>8.5749593141668523E-3</v>
      </c>
      <c r="S337" s="166">
        <f ca="1"/>
        <v>0</v>
      </c>
      <c r="T337" s="166">
        <f ca="1"/>
        <v>2.1470691913585194E-2</v>
      </c>
      <c r="U337" s="166">
        <f ca="1"/>
        <v>3.5440365899318427E-2</v>
      </c>
      <c r="V337" s="140">
        <f ca="1"/>
        <v>5.8278535084808958E-2</v>
      </c>
      <c r="W337" s="139">
        <f ca="1"/>
        <v>0</v>
      </c>
      <c r="X337" s="166">
        <f ca="1"/>
        <v>4.1985632642504989E-4</v>
      </c>
      <c r="Y337" s="166">
        <f ca="1"/>
        <v>1.4563773749985964E-3</v>
      </c>
      <c r="Z337" s="166">
        <f ca="1"/>
        <v>4.419248995335745E-3</v>
      </c>
      <c r="AA337" s="166">
        <f ca="1"/>
        <v>8.9838378064461821E-3</v>
      </c>
      <c r="AB337" s="166">
        <f ca="1"/>
        <v>0</v>
      </c>
      <c r="AC337" s="166">
        <f ca="1"/>
        <v>2.2529457644639428E-2</v>
      </c>
      <c r="AD337" s="166">
        <f ca="1"/>
        <v>3.7181107731160346E-2</v>
      </c>
      <c r="AE337" s="140">
        <f ca="1"/>
        <v>6.1110086392760832E-2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>
        <f t="array" aca="1" ref="N338:AE338" ca="1">IF(OR(B338="",NOT($J$2)),"",[3]!GetStripDefaultProbability(A338,B338,Parameter_Date,CDSRollDate,E338:M338,SpreadCurveMaturities,D338,C338,$J$4,$J$6))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2.4065055300938054E-3</v>
      </c>
      <c r="Q338" s="166">
        <f ca="1"/>
        <v>0</v>
      </c>
      <c r="R338" s="166">
        <f ca="1"/>
        <v>1.9071843674596578E-2</v>
      </c>
      <c r="S338" s="166">
        <f ca="1"/>
        <v>0</v>
      </c>
      <c r="T338" s="166">
        <f ca="1"/>
        <v>3.656828985910332E-2</v>
      </c>
      <c r="U338" s="166">
        <f ca="1"/>
        <v>5.1019634388682067E-2</v>
      </c>
      <c r="V338" s="140">
        <f ca="1"/>
        <v>7.2577453568289596E-2</v>
      </c>
      <c r="W338" s="139">
        <f ca="1"/>
        <v>0</v>
      </c>
      <c r="X338" s="166">
        <f ca="1"/>
        <v>0</v>
      </c>
      <c r="Y338" s="166">
        <f ca="1"/>
        <v>2.5727572578150282E-3</v>
      </c>
      <c r="Z338" s="166">
        <f ca="1"/>
        <v>0</v>
      </c>
      <c r="AA338" s="166">
        <f ca="1"/>
        <v>2.0011925643612205E-2</v>
      </c>
      <c r="AB338" s="166">
        <f ca="1"/>
        <v>0</v>
      </c>
      <c r="AC338" s="166">
        <f ca="1"/>
        <v>3.8360626358663108E-2</v>
      </c>
      <c r="AD338" s="166">
        <f ca="1"/>
        <v>5.3502566031936594E-2</v>
      </c>
      <c r="AE338" s="140">
        <f ca="1"/>
        <v>7.6062539083678216E-2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>
        <f t="array" aca="1" ref="N339:AE339" ca="1">IF(OR(B339="",NOT($J$2)),"",[3]!GetStripDefaultProbability(A339,B339,Parameter_Date,CDSRollDate,E339:M339,SpreadCurveMaturities,D339,C339,$J$4,$J$6))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1.3613081726169263E-3</v>
      </c>
      <c r="Q339" s="166">
        <f ca="1"/>
        <v>0</v>
      </c>
      <c r="R339" s="166">
        <f ca="1"/>
        <v>9.7817535100271913E-3</v>
      </c>
      <c r="S339" s="166">
        <f ca="1"/>
        <v>0</v>
      </c>
      <c r="T339" s="166">
        <f ca="1"/>
        <v>2.3008484802424678E-2</v>
      </c>
      <c r="U339" s="166">
        <f ca="1"/>
        <v>3.169590988851434E-2</v>
      </c>
      <c r="V339" s="140">
        <f ca="1"/>
        <v>5.05603905724612E-2</v>
      </c>
      <c r="W339" s="139">
        <f ca="1"/>
        <v>0</v>
      </c>
      <c r="X339" s="166">
        <f ca="1"/>
        <v>0</v>
      </c>
      <c r="Y339" s="166">
        <f ca="1"/>
        <v>1.48613020756172E-3</v>
      </c>
      <c r="Z339" s="166">
        <f ca="1"/>
        <v>0</v>
      </c>
      <c r="AA339" s="166">
        <f ca="1"/>
        <v>1.0264060573708544E-2</v>
      </c>
      <c r="AB339" s="166">
        <f ca="1"/>
        <v>0</v>
      </c>
      <c r="AC339" s="166">
        <f ca="1"/>
        <v>2.4142475119282358E-2</v>
      </c>
      <c r="AD339" s="166">
        <f ca="1"/>
        <v>3.325273989172306E-2</v>
      </c>
      <c r="AE339" s="140">
        <f ca="1"/>
        <v>5.3020863056063572E-2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>
        <f t="array" aca="1" ref="N340:AE340" ca="1">IF(OR(B340="",NOT($J$2)),"",[3]!GetStripDefaultProbability(A340,B340,Parameter_Date,CDSRollDate,E340:M340,SpreadCurveMaturities,D340,C340,$J$4,$J$6))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8.7732202415702343E-4</v>
      </c>
      <c r="Q340" s="166">
        <f ca="1"/>
        <v>0</v>
      </c>
      <c r="R340" s="166">
        <f ca="1"/>
        <v>5.957436768823765E-3</v>
      </c>
      <c r="S340" s="166">
        <f ca="1"/>
        <v>0</v>
      </c>
      <c r="T340" s="166">
        <f ca="1"/>
        <v>1.7367067770142297E-2</v>
      </c>
      <c r="U340" s="166">
        <f ca="1"/>
        <v>3.1759134588584148E-2</v>
      </c>
      <c r="V340" s="140">
        <f ca="1"/>
        <v>5.675237535211608E-2</v>
      </c>
      <c r="W340" s="139">
        <f ca="1"/>
        <v>0</v>
      </c>
      <c r="X340" s="166">
        <f ca="1"/>
        <v>0</v>
      </c>
      <c r="Y340" s="166">
        <f ca="1"/>
        <v>1.0022045535635904E-3</v>
      </c>
      <c r="Z340" s="166">
        <f ca="1"/>
        <v>0</v>
      </c>
      <c r="AA340" s="166">
        <f ca="1"/>
        <v>6.3301328451397243E-3</v>
      </c>
      <c r="AB340" s="166">
        <f ca="1"/>
        <v>0</v>
      </c>
      <c r="AC340" s="166">
        <f ca="1"/>
        <v>1.8214179068549607E-2</v>
      </c>
      <c r="AD340" s="166">
        <f ca="1"/>
        <v>3.3312027683219725E-2</v>
      </c>
      <c r="AE340" s="140">
        <f ca="1"/>
        <v>5.9504831892841947E-2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>
        <f t="array" aca="1" ref="N341:AE341" ca="1">IF(OR(B341="",NOT($J$2)),"",[3]!GetStripDefaultProbability(A341,B341,Parameter_Date,CDSRollDate,E341:M341,SpreadCurveMaturities,D341,C341,$J$4,$J$6))</f>
        <v>0</v>
      </c>
      <c r="O341" s="166">
        <f ca="1"/>
        <v>4.6649647376628689E-4</v>
      </c>
      <c r="P341" s="166">
        <f ca="1"/>
        <v>1.2393840374057552E-3</v>
      </c>
      <c r="Q341" s="166">
        <f ca="1"/>
        <v>3.8189018326942881E-3</v>
      </c>
      <c r="R341" s="166">
        <f ca="1"/>
        <v>8.3247764833102034E-3</v>
      </c>
      <c r="S341" s="166">
        <f ca="1"/>
        <v>0</v>
      </c>
      <c r="T341" s="166">
        <f ca="1"/>
        <v>2.2628284397083198E-2</v>
      </c>
      <c r="U341" s="166">
        <f ca="1"/>
        <v>4.0247869398812197E-2</v>
      </c>
      <c r="V341" s="140">
        <f ca="1"/>
        <v>7.152097517879652E-2</v>
      </c>
      <c r="W341" s="139">
        <f ca="1"/>
        <v>0</v>
      </c>
      <c r="X341" s="166">
        <f ca="1"/>
        <v>5.5976917815403482E-4</v>
      </c>
      <c r="Y341" s="166">
        <f ca="1"/>
        <v>1.4058302691598579E-3</v>
      </c>
      <c r="Z341" s="166">
        <f ca="1"/>
        <v>4.1509068615025457E-3</v>
      </c>
      <c r="AA341" s="166">
        <f ca="1"/>
        <v>8.8204901563130322E-3</v>
      </c>
      <c r="AB341" s="166">
        <f ca="1"/>
        <v>0</v>
      </c>
      <c r="AC341" s="166">
        <f ca="1"/>
        <v>2.3729213052878784E-2</v>
      </c>
      <c r="AD341" s="166">
        <f ca="1"/>
        <v>4.2207707833179398E-2</v>
      </c>
      <c r="AE341" s="140">
        <f ca="1"/>
        <v>7.4964983967104937E-2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>
        <f t="array" aca="1" ref="N342:AE342" ca="1">IF(OR(B342="",NOT($J$2)),"",[3]!GetStripDefaultProbability(A342,B342,Parameter_Date,CDSRollDate,E342:M342,SpreadCurveMaturities,D342,C342,$J$4,$J$6))</f>
        <v>0</v>
      </c>
      <c r="O342" s="166">
        <f ca="1"/>
        <v>7.4629011945415158E-4</v>
      </c>
      <c r="P342" s="166">
        <f ca="1"/>
        <v>2.2501424515201096E-3</v>
      </c>
      <c r="Q342" s="166">
        <f ca="1"/>
        <v>6.4815171559188256E-3</v>
      </c>
      <c r="R342" s="166">
        <f ca="1"/>
        <v>1.188429624731302E-2</v>
      </c>
      <c r="S342" s="166">
        <f ca="1"/>
        <v>0</v>
      </c>
      <c r="T342" s="166">
        <f ca="1"/>
        <v>2.3973225784868046E-2</v>
      </c>
      <c r="U342" s="166">
        <f ca="1"/>
        <v>3.8311215499186146E-2</v>
      </c>
      <c r="V342" s="140">
        <f ca="1"/>
        <v>6.3356331726122428E-2</v>
      </c>
      <c r="W342" s="139">
        <f ca="1"/>
        <v>0</v>
      </c>
      <c r="X342" s="166">
        <f ca="1"/>
        <v>8.3953601351138829E-4</v>
      </c>
      <c r="Y342" s="166">
        <f ca="1"/>
        <v>2.4164202375785981E-3</v>
      </c>
      <c r="Z342" s="166">
        <f ca="1"/>
        <v>6.8126347941803722E-3</v>
      </c>
      <c r="AA342" s="166">
        <f ca="1"/>
        <v>1.2471474494834767E-2</v>
      </c>
      <c r="AB342" s="166">
        <f ca="1"/>
        <v>0</v>
      </c>
      <c r="AC342" s="166">
        <f ca="1"/>
        <v>2.5154207500508341E-2</v>
      </c>
      <c r="AD342" s="166">
        <f ca="1"/>
        <v>4.0189278281807406E-2</v>
      </c>
      <c r="AE342" s="140">
        <f ca="1"/>
        <v>6.6425038666900971E-2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>
        <f t="array" aca="1" ref="N343:AE343" ca="1">IF(OR(B343="",NOT($J$2)),"",[3]!GetStripDefaultProbability(A343,B343,Parameter_Date,CDSRollDate,E343:M343,SpreadCurveMaturities,D343,C343,$J$4,$J$6))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2.2255566702360507E-3</v>
      </c>
      <c r="Q343" s="166">
        <f ca="1"/>
        <v>0</v>
      </c>
      <c r="R343" s="166">
        <f ca="1"/>
        <v>1.235831551205635E-2</v>
      </c>
      <c r="S343" s="166">
        <f ca="1"/>
        <v>0</v>
      </c>
      <c r="T343" s="166">
        <f ca="1"/>
        <v>3.2757188223875966E-2</v>
      </c>
      <c r="U343" s="166">
        <f ca="1"/>
        <v>6.31580885452796E-2</v>
      </c>
      <c r="V343" s="140">
        <f ca="1"/>
        <v>8.7048319964139309E-2</v>
      </c>
      <c r="W343" s="139">
        <f ca="1"/>
        <v>0</v>
      </c>
      <c r="X343" s="166">
        <f ca="1"/>
        <v>0</v>
      </c>
      <c r="Y343" s="166">
        <f ca="1"/>
        <v>2.3502706808613549E-3</v>
      </c>
      <c r="Z343" s="166">
        <f ca="1"/>
        <v>0</v>
      </c>
      <c r="AA343" s="166">
        <f ca="1"/>
        <v>1.2971008265768136E-2</v>
      </c>
      <c r="AB343" s="166">
        <f ca="1"/>
        <v>0</v>
      </c>
      <c r="AC343" s="166">
        <f ca="1"/>
        <v>3.4369510576436113E-2</v>
      </c>
      <c r="AD343" s="166">
        <f ca="1"/>
        <v>6.623332034166951E-2</v>
      </c>
      <c r="AE343" s="140">
        <f ca="1"/>
        <v>9.1220851170783934E-2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>
        <f t="array" aca="1" ref="N344:AE344" ca="1">IF(OR(B344="",NOT($J$2)),"",[3]!GetStripDefaultProbability(A344,B344,Parameter_Date,CDSRollDate,E344:M344,SpreadCurveMaturities,D344,C344,$J$4,$J$6))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3.79489751869444E-3</v>
      </c>
      <c r="Q344" s="166">
        <f ca="1"/>
        <v>0</v>
      </c>
      <c r="R344" s="166">
        <f ca="1"/>
        <v>1.7752385075504917E-2</v>
      </c>
      <c r="S344" s="166">
        <f ca="1"/>
        <v>0</v>
      </c>
      <c r="T344" s="166">
        <f ca="1"/>
        <v>3.8045606187309566E-2</v>
      </c>
      <c r="U344" s="166">
        <f ca="1"/>
        <v>5.6350740804279487E-2</v>
      </c>
      <c r="V344" s="140">
        <f ca="1"/>
        <v>9.0723561561857347E-2</v>
      </c>
      <c r="W344" s="139">
        <f ca="1"/>
        <v>0</v>
      </c>
      <c r="X344" s="166">
        <f ca="1"/>
        <v>0</v>
      </c>
      <c r="Y344" s="166">
        <f ca="1"/>
        <v>3.9737002865535276E-3</v>
      </c>
      <c r="Z344" s="166">
        <f ca="1"/>
        <v>0</v>
      </c>
      <c r="AA344" s="166">
        <f ca="1"/>
        <v>1.8631945624556723E-2</v>
      </c>
      <c r="AB344" s="166">
        <f ca="1"/>
        <v>0</v>
      </c>
      <c r="AC344" s="166">
        <f ca="1"/>
        <v>3.9913562677014403E-2</v>
      </c>
      <c r="AD344" s="166">
        <f ca="1"/>
        <v>5.9093744654751035E-2</v>
      </c>
      <c r="AE344" s="140">
        <f ca="1"/>
        <v>9.5076666543527755E-2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>
        <f t="array" aca="1" ref="N345:AE345" ca="1">IF(OR(B345="",NOT($J$2)),"",[3]!GetStripDefaultProbability(A345,B345,Parameter_Date,CDSRollDate,E345:M345,SpreadCurveMaturities,D345,C345,$J$4,$J$6))</f>
        <v>0</v>
      </c>
      <c r="O345" s="166">
        <f ca="1"/>
        <v>8.0457062600935991E-4</v>
      </c>
      <c r="P345" s="166">
        <f ca="1"/>
        <v>2.204059524139268E-3</v>
      </c>
      <c r="Q345" s="166">
        <f ca="1"/>
        <v>7.3414293893270255E-3</v>
      </c>
      <c r="R345" s="166">
        <f ca="1"/>
        <v>1.5127369841747451E-2</v>
      </c>
      <c r="S345" s="166">
        <f ca="1"/>
        <v>0</v>
      </c>
      <c r="T345" s="166">
        <f ca="1"/>
        <v>3.5507940763510604E-2</v>
      </c>
      <c r="U345" s="166">
        <f ca="1"/>
        <v>5.5644746794737077E-2</v>
      </c>
      <c r="V345" s="140">
        <f ca="1"/>
        <v>8.3426695501040871E-2</v>
      </c>
      <c r="W345" s="139">
        <f ca="1"/>
        <v>0</v>
      </c>
      <c r="X345" s="166">
        <f ca="1"/>
        <v>8.7450135028865894E-4</v>
      </c>
      <c r="Y345" s="166">
        <f ca="1"/>
        <v>2.3287762217505392E-3</v>
      </c>
      <c r="Z345" s="166">
        <f ca="1"/>
        <v>7.7060054067895623E-3</v>
      </c>
      <c r="AA345" s="166">
        <f ca="1"/>
        <v>1.587776341759084E-2</v>
      </c>
      <c r="AB345" s="166">
        <f ca="1"/>
        <v>0</v>
      </c>
      <c r="AC345" s="166">
        <f ca="1"/>
        <v>3.7253620523906128E-2</v>
      </c>
      <c r="AD345" s="166">
        <f ca="1"/>
        <v>5.8357232096477918E-2</v>
      </c>
      <c r="AE345" s="140">
        <f ca="1"/>
        <v>8.7427243636860497E-2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>
        <f t="array" aca="1" ref="N346:AE346" ca="1">IF(OR(B346="",NOT($J$2)),"",[3]!GetStripDefaultProbability(A346,B346,Parameter_Date,CDSRollDate,E346:M346,SpreadCurveMaturities,D346,C346,$J$4,$J$6))</f>
        <v>0</v>
      </c>
      <c r="O346" s="166">
        <f ca="1"/>
        <v>1.0423199528043492E-3</v>
      </c>
      <c r="P346" s="166">
        <f ca="1"/>
        <v>2.8940137236038721E-3</v>
      </c>
      <c r="Q346" s="166">
        <f ca="1"/>
        <v>8.0469778695873018E-3</v>
      </c>
      <c r="R346" s="166">
        <f ca="1"/>
        <v>1.5418480103760568E-2</v>
      </c>
      <c r="S346" s="166">
        <f ca="1"/>
        <v>0</v>
      </c>
      <c r="T346" s="166">
        <f ca="1"/>
        <v>3.4076183558202522E-2</v>
      </c>
      <c r="U346" s="166">
        <f ca="1"/>
        <v>5.2692822532527495E-2</v>
      </c>
      <c r="V346" s="140">
        <f ca="1"/>
        <v>7.9325248707870721E-2</v>
      </c>
      <c r="W346" s="139">
        <f ca="1"/>
        <v>0</v>
      </c>
      <c r="X346" s="166">
        <f ca="1"/>
        <v>1.112233123148676E-3</v>
      </c>
      <c r="Y346" s="166">
        <f ca="1"/>
        <v>3.029860159491804E-3</v>
      </c>
      <c r="Z346" s="166">
        <f ca="1"/>
        <v>8.4476705047072942E-3</v>
      </c>
      <c r="AA346" s="166">
        <f ca="1"/>
        <v>1.6184145775519299E-2</v>
      </c>
      <c r="AB346" s="166">
        <f ca="1"/>
        <v>0</v>
      </c>
      <c r="AC346" s="166">
        <f ca="1"/>
        <v>3.5752911139274812E-2</v>
      </c>
      <c r="AD346" s="166">
        <f ca="1"/>
        <v>5.5264294353418397E-2</v>
      </c>
      <c r="AE346" s="140">
        <f ca="1"/>
        <v>8.3136393699118627E-2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>
        <f t="array" aca="1" ref="N347:AE347" ca="1">IF(OR(B347="",NOT($J$2)),"",[3]!GetStripDefaultProbability(A347,B347,Parameter_Date,CDSRollDate,E347:M347,SpreadCurveMaturities,D347,C347,$J$4,$J$6))</f>
        <v>0</v>
      </c>
      <c r="O347" s="166">
        <f ca="1"/>
        <v>9.7239953892247488E-4</v>
      </c>
      <c r="P347" s="166">
        <f ca="1"/>
        <v>2.7753554015588211E-3</v>
      </c>
      <c r="Q347" s="166">
        <f ca="1"/>
        <v>7.9216119410717711E-3</v>
      </c>
      <c r="R347" s="166">
        <f ca="1"/>
        <v>1.5112352021795283E-2</v>
      </c>
      <c r="S347" s="166">
        <f ca="1"/>
        <v>0</v>
      </c>
      <c r="T347" s="166">
        <f ca="1"/>
        <v>3.4113472211768747E-2</v>
      </c>
      <c r="U347" s="166">
        <f ca="1"/>
        <v>5.3697871274409947E-2</v>
      </c>
      <c r="V347" s="140">
        <f ca="1"/>
        <v>8.3513312117011962E-2</v>
      </c>
      <c r="W347" s="139">
        <f ca="1"/>
        <v>0</v>
      </c>
      <c r="X347" s="166">
        <f ca="1"/>
        <v>1.042317897982703E-3</v>
      </c>
      <c r="Y347" s="166">
        <f ca="1"/>
        <v>2.9056093633724744E-3</v>
      </c>
      <c r="Z347" s="166">
        <f ca="1"/>
        <v>8.3159911764094652E-3</v>
      </c>
      <c r="AA347" s="166">
        <f ca="1"/>
        <v>1.5862817456150258E-2</v>
      </c>
      <c r="AB347" s="166">
        <f ca="1"/>
        <v>0</v>
      </c>
      <c r="AC347" s="166">
        <f ca="1"/>
        <v>3.5792062204375474E-2</v>
      </c>
      <c r="AD347" s="166">
        <f ca="1"/>
        <v>5.6317917751596225E-2</v>
      </c>
      <c r="AE347" s="140">
        <f ca="1"/>
        <v>8.7520206159759528E-2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>
        <f t="array" aca="1" ref="N348:AE348" ca="1">IF(OR(B348="",NOT($J$2)),"",[3]!GetStripDefaultProbability(A348,B348,Parameter_Date,CDSRollDate,E348:M348,SpreadCurveMaturities,D348,C348,$J$4,$J$6))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4.4031444174387202E-3</v>
      </c>
      <c r="Q348" s="166">
        <f ca="1"/>
        <v>0</v>
      </c>
      <c r="R348" s="166">
        <f ca="1"/>
        <v>1.8935519533352263E-2</v>
      </c>
      <c r="S348" s="166">
        <f ca="1"/>
        <v>0</v>
      </c>
      <c r="T348" s="166">
        <f ca="1"/>
        <v>4.2643337643888835E-2</v>
      </c>
      <c r="U348" s="166">
        <f ca="1"/>
        <v>6.8960788430391884E-2</v>
      </c>
      <c r="V348" s="140">
        <f ca="1"/>
        <v>0.11884118114454845</v>
      </c>
      <c r="W348" s="139">
        <f ca="1"/>
        <v>0</v>
      </c>
      <c r="X348" s="166">
        <f ca="1"/>
        <v>0</v>
      </c>
      <c r="Y348" s="166">
        <f ca="1"/>
        <v>4.6105388246836521E-3</v>
      </c>
      <c r="Z348" s="166">
        <f ca="1"/>
        <v>0</v>
      </c>
      <c r="AA348" s="166">
        <f ca="1"/>
        <v>1.987304359962383E-2</v>
      </c>
      <c r="AB348" s="166">
        <f ca="1"/>
        <v>0</v>
      </c>
      <c r="AC348" s="166">
        <f ca="1"/>
        <v>4.4732474737756989E-2</v>
      </c>
      <c r="AD348" s="166">
        <f ca="1"/>
        <v>7.2301861845636473E-2</v>
      </c>
      <c r="AE348" s="140">
        <f ca="1"/>
        <v>0.12449256505983375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>
        <f t="array" aca="1" ref="N349:AE349" ca="1">IF(OR(B349="",NOT($J$2)),"",[3]!GetStripDefaultProbability(A349,B349,Parameter_Date,CDSRollDate,E349:M349,SpreadCurveMaturities,D349,C349,$J$4,$J$6))</f>
        <v>0</v>
      </c>
      <c r="O349" s="166">
        <f ca="1"/>
        <v>8.5352363083623928E-4</v>
      </c>
      <c r="P349" s="166">
        <f ca="1"/>
        <v>2.4170034046449018E-3</v>
      </c>
      <c r="Q349" s="166">
        <f ca="1"/>
        <v>6.9377930179925773E-3</v>
      </c>
      <c r="R349" s="166">
        <f ca="1"/>
        <v>1.3342907893163947E-2</v>
      </c>
      <c r="S349" s="166">
        <f ca="1"/>
        <v>0</v>
      </c>
      <c r="T349" s="166">
        <f ca="1"/>
        <v>3.0977432876876598E-2</v>
      </c>
      <c r="U349" s="166">
        <f ca="1"/>
        <v>4.9416502238818993E-2</v>
      </c>
      <c r="V349" s="140">
        <f ca="1"/>
        <v>7.7600616445795967E-2</v>
      </c>
      <c r="W349" s="139">
        <f ca="1"/>
        <v>0</v>
      </c>
      <c r="X349" s="166">
        <f ca="1"/>
        <v>9.2345076127819947E-4</v>
      </c>
      <c r="Y349" s="166">
        <f ca="1"/>
        <v>2.541693485935137E-3</v>
      </c>
      <c r="Z349" s="166">
        <f ca="1"/>
        <v>7.28272224042259E-3</v>
      </c>
      <c r="AA349" s="166">
        <f ca="1"/>
        <v>1.4005391610826479E-2</v>
      </c>
      <c r="AB349" s="166">
        <f ca="1"/>
        <v>0</v>
      </c>
      <c r="AC349" s="166">
        <f ca="1"/>
        <v>3.2503540953268795E-2</v>
      </c>
      <c r="AD349" s="166">
        <f ca="1"/>
        <v>5.1832527272481221E-2</v>
      </c>
      <c r="AE349" s="140">
        <f ca="1"/>
        <v>8.13361001711701E-2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>
        <f t="array" aca="1" ref="N350:AE350" ca="1">IF(OR(B350="",NOT($J$2)),"",[3]!GetStripDefaultProbability(A350,B350,Parameter_Date,CDSRollDate,E350:M350,SpreadCurveMaturities,D350,C350,$J$4,$J$6))</f>
        <v>0</v>
      </c>
      <c r="O350" s="166">
        <f ca="1"/>
        <v>9.9337617569206227E-4</v>
      </c>
      <c r="P350" s="166">
        <f ca="1"/>
        <v>2.3465637321267163E-3</v>
      </c>
      <c r="Q350" s="166">
        <f ca="1"/>
        <v>6.9102642555554095E-3</v>
      </c>
      <c r="R350" s="166">
        <f ca="1"/>
        <v>1.3263160655942241E-2</v>
      </c>
      <c r="S350" s="166">
        <f ca="1"/>
        <v>0</v>
      </c>
      <c r="T350" s="166">
        <f ca="1"/>
        <v>2.9645226080907805E-2</v>
      </c>
      <c r="U350" s="166">
        <f ca="1"/>
        <v>4.7040699560601973E-2</v>
      </c>
      <c r="V350" s="140">
        <f ca="1"/>
        <v>7.3795464275630551E-2</v>
      </c>
      <c r="W350" s="139">
        <f ca="1"/>
        <v>0</v>
      </c>
      <c r="X350" s="166">
        <f ca="1"/>
        <v>1.0632929803825464E-3</v>
      </c>
      <c r="Y350" s="166">
        <f ca="1"/>
        <v>2.4712626178132746E-3</v>
      </c>
      <c r="Z350" s="166">
        <f ca="1"/>
        <v>7.2538785210146672E-3</v>
      </c>
      <c r="AA350" s="166">
        <f ca="1"/>
        <v>1.3921752988555247E-2</v>
      </c>
      <c r="AB350" s="166">
        <f ca="1"/>
        <v>0</v>
      </c>
      <c r="AC350" s="166">
        <f ca="1"/>
        <v>3.1106431101986409E-2</v>
      </c>
      <c r="AD350" s="166">
        <f ca="1"/>
        <v>4.9342530975659771E-2</v>
      </c>
      <c r="AE350" s="140">
        <f ca="1"/>
        <v>7.735387445106523E-2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>
        <f t="array" aca="1" ref="N351:AE351" ca="1">IF(OR(B351="",NOT($J$2)),"",[3]!GetStripDefaultProbability(A351,B351,Parameter_Date,CDSRollDate,E351:M351,SpreadCurveMaturities,D351,C351,$J$4,$J$6))</f>
        <v>0</v>
      </c>
      <c r="O351" s="166">
        <f ca="1"/>
        <v>1.7249527500857731E-3</v>
      </c>
      <c r="P351" s="166">
        <f ca="1"/>
        <v>3.6523560322061499E-3</v>
      </c>
      <c r="Q351" s="166">
        <f ca="1"/>
        <v>9.7006156171811631E-3</v>
      </c>
      <c r="R351" s="166">
        <f ca="1"/>
        <v>1.6748605724256849E-2</v>
      </c>
      <c r="S351" s="166">
        <f ca="1"/>
        <v>0</v>
      </c>
      <c r="T351" s="166">
        <f ca="1"/>
        <v>3.4943990683157899E-2</v>
      </c>
      <c r="U351" s="166">
        <f ca="1"/>
        <v>5.4585764443587759E-2</v>
      </c>
      <c r="V351" s="140">
        <f ca="1"/>
        <v>8.3884219733089016E-2</v>
      </c>
      <c r="W351" s="139">
        <f ca="1"/>
        <v>0</v>
      </c>
      <c r="X351" s="166">
        <f ca="1"/>
        <v>1.8181021060176272E-3</v>
      </c>
      <c r="Y351" s="166">
        <f ca="1"/>
        <v>3.8242111778519217E-3</v>
      </c>
      <c r="Z351" s="166">
        <f ca="1"/>
        <v>1.0183584375195176E-2</v>
      </c>
      <c r="AA351" s="166">
        <f ca="1"/>
        <v>1.7579792963657304E-2</v>
      </c>
      <c r="AB351" s="166">
        <f ca="1"/>
        <v>0</v>
      </c>
      <c r="AC351" s="166">
        <f ca="1"/>
        <v>3.6661953212643095E-2</v>
      </c>
      <c r="AD351" s="166">
        <f ca="1"/>
        <v>5.7246203105075333E-2</v>
      </c>
      <c r="AE351" s="140">
        <f ca="1"/>
        <v>8.790503178325737E-2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>
        <f t="array" aca="1" ref="N352:AE352" ca="1">IF(OR(B352="",NOT($J$2)),"",[3]!GetStripDefaultProbability(A352,B352,Parameter_Date,CDSRollDate,E352:M352,SpreadCurveMaturities,D352,C352,$J$4,$J$6))</f>
        <v>0</v>
      </c>
      <c r="O352" s="166">
        <f ca="1"/>
        <v>1.3149828785382622E-3</v>
      </c>
      <c r="P352" s="166">
        <f ca="1"/>
        <v>3.876914977271162E-3</v>
      </c>
      <c r="Q352" s="166">
        <f ca="1"/>
        <v>1.1103762159032637E-2</v>
      </c>
      <c r="R352" s="166">
        <f ca="1"/>
        <v>1.9174074106584005E-2</v>
      </c>
      <c r="S352" s="166">
        <f ca="1"/>
        <v>0</v>
      </c>
      <c r="T352" s="166">
        <f ca="1"/>
        <v>3.8259873176191284E-2</v>
      </c>
      <c r="U352" s="166">
        <f ca="1"/>
        <v>5.775492316322639E-2</v>
      </c>
      <c r="V352" s="140">
        <f ca="1"/>
        <v>8.8081232573172907E-2</v>
      </c>
      <c r="W352" s="139">
        <f ca="1"/>
        <v>0</v>
      </c>
      <c r="X352" s="166">
        <f ca="1"/>
        <v>1.4081746357321734E-3</v>
      </c>
      <c r="Y352" s="166">
        <f ca="1"/>
        <v>4.0586908527350252E-3</v>
      </c>
      <c r="Z352" s="166">
        <f ca="1"/>
        <v>1.1655818702759668E-2</v>
      </c>
      <c r="AA352" s="166">
        <f ca="1"/>
        <v>2.0124192019706832E-2</v>
      </c>
      <c r="AB352" s="166">
        <f ca="1"/>
        <v>0</v>
      </c>
      <c r="AC352" s="166">
        <f ca="1"/>
        <v>4.0136569161260516E-2</v>
      </c>
      <c r="AD352" s="166">
        <f ca="1"/>
        <v>6.0562743989351686E-2</v>
      </c>
      <c r="AE352" s="140">
        <f ca="1"/>
        <v>9.2288737844382518E-2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>
        <f t="array" aca="1" ref="N353:AE353" ca="1">IF(OR(B353="",NOT($J$2)),"",[3]!GetStripDefaultProbability(A353,B353,Parameter_Date,CDSRollDate,E353:M353,SpreadCurveMaturities,D353,C353,$J$4,$J$6))</f>
        <v>0</v>
      </c>
      <c r="O353" s="166">
        <f ca="1"/>
        <v>9.5142246280754961E-4</v>
      </c>
      <c r="P353" s="166">
        <f ca="1"/>
        <v>2.7268187217706075E-3</v>
      </c>
      <c r="Q353" s="166">
        <f ca="1"/>
        <v>7.0908434143125421E-3</v>
      </c>
      <c r="R353" s="166">
        <f ca="1"/>
        <v>1.4278165294873912E-2</v>
      </c>
      <c r="S353" s="166">
        <f ca="1"/>
        <v>0</v>
      </c>
      <c r="T353" s="166">
        <f ca="1"/>
        <v>3.7117056196235843E-2</v>
      </c>
      <c r="U353" s="166">
        <f ca="1"/>
        <v>5.9940206454717648E-2</v>
      </c>
      <c r="V353" s="140">
        <f ca="1"/>
        <v>9.0946435999041508E-2</v>
      </c>
      <c r="W353" s="139">
        <f ca="1"/>
        <v>0</v>
      </c>
      <c r="X353" s="166">
        <f ca="1"/>
        <v>1.0446484840380688E-3</v>
      </c>
      <c r="Y353" s="166">
        <f ca="1"/>
        <v>2.8930170684006162E-3</v>
      </c>
      <c r="Z353" s="166">
        <f ca="1"/>
        <v>7.4300294285795099E-3</v>
      </c>
      <c r="AA353" s="166">
        <f ca="1"/>
        <v>1.4986012406482563E-2</v>
      </c>
      <c r="AB353" s="166">
        <f ca="1"/>
        <v>0</v>
      </c>
      <c r="AC353" s="166">
        <f ca="1"/>
        <v>3.8940451469491766E-2</v>
      </c>
      <c r="AD353" s="166">
        <f ca="1"/>
        <v>6.2858234152144532E-2</v>
      </c>
      <c r="AE353" s="140">
        <f ca="1"/>
        <v>9.529434308991791E-2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>
        <f t="array" aca="1" ref="N354:AE354" ca="1">IF(OR(B354="",NOT($J$2)),"",[3]!GetStripDefaultProbability(A354,B354,Parameter_Date,CDSRollDate,E354:M354,SpreadCurveMaturities,D354,C354,$J$4,$J$6))</f>
        <v>0</v>
      </c>
      <c r="O354" s="166">
        <f ca="1"/>
        <v>1.5386145530722484E-3</v>
      </c>
      <c r="P354" s="166">
        <f ca="1"/>
        <v>4.4771908833464158E-3</v>
      </c>
      <c r="Q354" s="166">
        <f ca="1"/>
        <v>1.1145573617585947E-2</v>
      </c>
      <c r="R354" s="166">
        <f ca="1"/>
        <v>1.8135255371771297E-2</v>
      </c>
      <c r="S354" s="166">
        <f ca="1"/>
        <v>0</v>
      </c>
      <c r="T354" s="166">
        <f ca="1"/>
        <v>3.5619033904700337E-2</v>
      </c>
      <c r="U354" s="166">
        <f ca="1"/>
        <v>5.4276794502357562E-2</v>
      </c>
      <c r="V354" s="140">
        <f ca="1"/>
        <v>8.3578832097436551E-2</v>
      </c>
      <c r="W354" s="139">
        <f ca="1"/>
        <v>0</v>
      </c>
      <c r="X354" s="166">
        <f ca="1"/>
        <v>1.6317826338753116E-3</v>
      </c>
      <c r="Y354" s="166">
        <f ca="1"/>
        <v>4.6870581513099863E-3</v>
      </c>
      <c r="Z354" s="166">
        <f ca="1"/>
        <v>1.1699949678927291E-2</v>
      </c>
      <c r="AA354" s="166">
        <f ca="1"/>
        <v>1.9034286557270796E-2</v>
      </c>
      <c r="AB354" s="166">
        <f ca="1"/>
        <v>0</v>
      </c>
      <c r="AC354" s="166">
        <f ca="1"/>
        <v>3.7368500557961148E-2</v>
      </c>
      <c r="AD354" s="166">
        <f ca="1"/>
        <v>5.6920086338577702E-2</v>
      </c>
      <c r="AE354" s="140">
        <f ca="1"/>
        <v>8.7582500912318229E-2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>
        <f t="array" aca="1" ref="N355:AE355" ca="1">IF(OR(B355="",NOT($J$2)),"",[3]!GetStripDefaultProbability(A355,B355,Parameter_Date,CDSRollDate,E355:M355,SpreadCurveMaturities,D355,C355,$J$4,$J$6))</f>
        <v>0</v>
      </c>
      <c r="O355" s="166">
        <f ca="1"/>
        <v>9.8871473881068095E-4</v>
      </c>
      <c r="P355" s="166">
        <f ca="1"/>
        <v>2.9935007937744729E-3</v>
      </c>
      <c r="Q355" s="166">
        <f ca="1"/>
        <v>6.940038575177776E-3</v>
      </c>
      <c r="R355" s="166">
        <f ca="1"/>
        <v>1.3104470904719334E-2</v>
      </c>
      <c r="S355" s="166">
        <f ca="1"/>
        <v>0</v>
      </c>
      <c r="T355" s="166">
        <f ca="1"/>
        <v>3.0967118620402023E-2</v>
      </c>
      <c r="U355" s="166">
        <f ca="1"/>
        <v>4.9729455267241263E-2</v>
      </c>
      <c r="V355" s="140">
        <f ca="1"/>
        <v>7.8022638441885284E-2</v>
      </c>
      <c r="W355" s="139">
        <f ca="1"/>
        <v>0</v>
      </c>
      <c r="X355" s="166">
        <f ca="1"/>
        <v>1.0819371271734157E-3</v>
      </c>
      <c r="Y355" s="166">
        <f ca="1"/>
        <v>3.1596546971001116E-3</v>
      </c>
      <c r="Z355" s="166">
        <f ca="1"/>
        <v>7.2726579454025497E-3</v>
      </c>
      <c r="AA355" s="166">
        <f ca="1"/>
        <v>1.3754662477338253E-2</v>
      </c>
      <c r="AB355" s="166">
        <f ca="1"/>
        <v>0</v>
      </c>
      <c r="AC355" s="166">
        <f ca="1"/>
        <v>3.2492221153927692E-2</v>
      </c>
      <c r="AD355" s="166">
        <f ca="1"/>
        <v>5.2160156819239134E-2</v>
      </c>
      <c r="AE355" s="140">
        <f ca="1"/>
        <v>8.1777423572396479E-2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>
        <f t="array" aca="1" ref="N356:AE356" ca="1">IF(OR(B356="",NOT($J$2)),"",[3]!GetStripDefaultProbability(A356,B356,Parameter_Date,CDSRollDate,E356:M356,SpreadCurveMaturities,D356,C356,$J$4,$J$6))</f>
        <v>0</v>
      </c>
      <c r="O356" s="166">
        <f ca="1"/>
        <v>7.6260900312974389E-4</v>
      </c>
      <c r="P356" s="166">
        <f ca="1"/>
        <v>2.0712374763389718E-3</v>
      </c>
      <c r="Q356" s="166">
        <f ca="1"/>
        <v>5.6886436546079722E-3</v>
      </c>
      <c r="R356" s="166">
        <f ca="1"/>
        <v>1.0583749200884229E-2</v>
      </c>
      <c r="S356" s="166">
        <f ca="1"/>
        <v>0</v>
      </c>
      <c r="T356" s="166">
        <f ca="1"/>
        <v>2.2549270091849816E-2</v>
      </c>
      <c r="U356" s="166">
        <f ca="1"/>
        <v>3.601282469825573E-2</v>
      </c>
      <c r="V356" s="140">
        <f ca="1"/>
        <v>5.9191075800338999E-2</v>
      </c>
      <c r="W356" s="139">
        <f ca="1"/>
        <v>0</v>
      </c>
      <c r="X356" s="166">
        <f ca="1"/>
        <v>8.3254279957489796E-4</v>
      </c>
      <c r="Y356" s="166">
        <f ca="1"/>
        <v>2.1959707756558089E-3</v>
      </c>
      <c r="Z356" s="166">
        <f ca="1"/>
        <v>5.9607991354264644E-3</v>
      </c>
      <c r="AA356" s="166">
        <f ca="1"/>
        <v>1.1109372815146901E-2</v>
      </c>
      <c r="AB356" s="166">
        <f ca="1"/>
        <v>0</v>
      </c>
      <c r="AC356" s="166">
        <f ca="1"/>
        <v>2.3663706951731256E-2</v>
      </c>
      <c r="AD356" s="166">
        <f ca="1"/>
        <v>3.7783148638046549E-2</v>
      </c>
      <c r="AE356" s="140">
        <f ca="1"/>
        <v>6.2066914661441208E-2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>
        <f t="array" aca="1" ref="N357:AE357" ca="1">IF(OR(B357="",NOT($J$2)),"",[3]!GetStripDefaultProbability(A357,B357,Parameter_Date,CDSRollDate,E357:M357,SpreadCurveMaturities,D357,C357,$J$4,$J$6))</f>
        <v>0</v>
      </c>
      <c r="O357" s="166">
        <f ca="1"/>
        <v>1.6224710336818493E-3</v>
      </c>
      <c r="P357" s="166">
        <f ca="1"/>
        <v>3.6906568835533005E-3</v>
      </c>
      <c r="Q357" s="166">
        <f ca="1"/>
        <v>9.5969451425710339E-3</v>
      </c>
      <c r="R357" s="166">
        <f ca="1"/>
        <v>1.7126583859408129E-2</v>
      </c>
      <c r="S357" s="166">
        <f ca="1"/>
        <v>0</v>
      </c>
      <c r="T357" s="166">
        <f ca="1"/>
        <v>3.4033215808646156E-2</v>
      </c>
      <c r="U357" s="166">
        <f ca="1"/>
        <v>5.2726359164234959E-2</v>
      </c>
      <c r="V357" s="140">
        <f ca="1"/>
        <v>8.4232953045433212E-2</v>
      </c>
      <c r="W357" s="139">
        <f ca="1"/>
        <v>0</v>
      </c>
      <c r="X357" s="166">
        <f ca="1"/>
        <v>1.7156307085042233E-3</v>
      </c>
      <c r="Y357" s="166">
        <f ca="1"/>
        <v>3.864165650643292E-3</v>
      </c>
      <c r="Z357" s="166">
        <f ca="1"/>
        <v>1.0074648467444658E-2</v>
      </c>
      <c r="AA357" s="166">
        <f ca="1"/>
        <v>1.7976352860403222E-2</v>
      </c>
      <c r="AB357" s="166">
        <f ca="1"/>
        <v>0</v>
      </c>
      <c r="AC357" s="166">
        <f ca="1"/>
        <v>3.5706761945417553E-2</v>
      </c>
      <c r="AD357" s="166">
        <f ca="1"/>
        <v>5.5297459343460753E-2</v>
      </c>
      <c r="AE357" s="140">
        <f ca="1"/>
        <v>8.8270875976955154E-2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>
        <f t="array" aca="1" ref="N358:AE358" ca="1">IF(OR(B358="",NOT($J$2)),"",[3]!GetStripDefaultProbability(A358,B358,Parameter_Date,CDSRollDate,E358:M358,SpreadCurveMaturities,D358,C358,$J$4,$J$6))</f>
        <v>0</v>
      </c>
      <c r="O358" s="166">
        <f ca="1"/>
        <v>9.9337617569206227E-4</v>
      </c>
      <c r="P358" s="166">
        <f ca="1"/>
        <v>2.4402529356900571E-3</v>
      </c>
      <c r="Q358" s="166">
        <f ca="1"/>
        <v>6.6174245970986867E-3</v>
      </c>
      <c r="R358" s="166">
        <f ca="1"/>
        <v>1.2994427923436636E-2</v>
      </c>
      <c r="S358" s="166">
        <f ca="1"/>
        <v>0</v>
      </c>
      <c r="T358" s="166">
        <f ca="1"/>
        <v>3.1015365957147489E-2</v>
      </c>
      <c r="U358" s="166">
        <f ca="1"/>
        <v>4.9454512109724957E-2</v>
      </c>
      <c r="V358" s="140">
        <f ca="1"/>
        <v>7.6204094604041317E-2</v>
      </c>
      <c r="W358" s="139">
        <f ca="1"/>
        <v>0</v>
      </c>
      <c r="X358" s="166">
        <f ca="1"/>
        <v>1.0632929803825464E-3</v>
      </c>
      <c r="Y358" s="166">
        <f ca="1"/>
        <v>2.5649401109661962E-3</v>
      </c>
      <c r="Z358" s="166">
        <f ca="1"/>
        <v>6.9340148337595497E-3</v>
      </c>
      <c r="AA358" s="166">
        <f ca="1"/>
        <v>1.3640511986260484E-2</v>
      </c>
      <c r="AB358" s="166">
        <f ca="1"/>
        <v>0</v>
      </c>
      <c r="AC358" s="166">
        <f ca="1"/>
        <v>3.2544325083845749E-2</v>
      </c>
      <c r="AD358" s="166">
        <f ca="1"/>
        <v>5.1873535511338997E-2</v>
      </c>
      <c r="AE358" s="140">
        <f ca="1"/>
        <v>7.9875203002502615E-2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>
        <f t="array" aca="1" ref="N359:AE359" ca="1">IF(OR(B359="",NOT($J$2)),"",[3]!GetStripDefaultProbability(A359,B359,Parameter_Date,CDSRollDate,E359:M359,SpreadCurveMaturities,D359,C359,$J$4,$J$6))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1.9045234887991036E-3</v>
      </c>
      <c r="Q359" s="166">
        <f ca="1"/>
        <v>0</v>
      </c>
      <c r="R359" s="166">
        <f ca="1"/>
        <v>8.8432543630828642E-3</v>
      </c>
      <c r="S359" s="166">
        <f ca="1"/>
        <v>0</v>
      </c>
      <c r="T359" s="166">
        <f ca="1"/>
        <v>2.3402047576051799E-2</v>
      </c>
      <c r="U359" s="166">
        <f ca="1"/>
        <v>4.1930554382516361E-2</v>
      </c>
      <c r="V359" s="140">
        <f ca="1"/>
        <v>7.2345284310824876E-2</v>
      </c>
      <c r="W359" s="139">
        <f ca="1"/>
        <v>0</v>
      </c>
      <c r="X359" s="166">
        <f ca="1"/>
        <v>0</v>
      </c>
      <c r="Y359" s="166">
        <f ca="1"/>
        <v>2.0292776260510959E-3</v>
      </c>
      <c r="Z359" s="166">
        <f ca="1"/>
        <v>0</v>
      </c>
      <c r="AA359" s="166">
        <f ca="1"/>
        <v>9.268926699616431E-3</v>
      </c>
      <c r="AB359" s="166">
        <f ca="1"/>
        <v>0</v>
      </c>
      <c r="AC359" s="166">
        <f ca="1"/>
        <v>2.4558684377330331E-2</v>
      </c>
      <c r="AD359" s="166">
        <f ca="1"/>
        <v>4.3989504693216053E-2</v>
      </c>
      <c r="AE359" s="140">
        <f ca="1"/>
        <v>7.5844036981889684E-2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>
        <f t="array" aca="1" ref="N360:AE360" ca="1">IF(OR(B360="",NOT($J$2)),"",[3]!GetStripDefaultProbability(A360,B360,Parameter_Date,CDSRollDate,E360:M360,SpreadCurveMaturities,D360,C360,$J$4,$J$6))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6.377120746210263E-2</v>
      </c>
      <c r="Q360" s="166">
        <f ca="1"/>
        <v>0</v>
      </c>
      <c r="R360" s="166">
        <f ca="1"/>
        <v>0.14898463665434269</v>
      </c>
      <c r="S360" s="166">
        <f ca="1"/>
        <v>0</v>
      </c>
      <c r="T360" s="166">
        <f ca="1"/>
        <v>0.20614223323607184</v>
      </c>
      <c r="U360" s="166">
        <f ca="1"/>
        <v>0.23529529228132084</v>
      </c>
      <c r="V360" s="140">
        <f ca="1"/>
        <v>0.27027984360805091</v>
      </c>
      <c r="W360" s="139">
        <f ca="1"/>
        <v>0</v>
      </c>
      <c r="X360" s="166">
        <f ca="1"/>
        <v>0</v>
      </c>
      <c r="Y360" s="166">
        <f ca="1"/>
        <v>6.6850711956978448E-2</v>
      </c>
      <c r="Z360" s="166">
        <f ca="1"/>
        <v>0</v>
      </c>
      <c r="AA360" s="166">
        <f ca="1"/>
        <v>0.1557816533102655</v>
      </c>
      <c r="AB360" s="166">
        <f ca="1"/>
        <v>0</v>
      </c>
      <c r="AC360" s="166">
        <f ca="1"/>
        <v>0.21510318064196576</v>
      </c>
      <c r="AD360" s="166">
        <f ca="1"/>
        <v>0.24511031132242811</v>
      </c>
      <c r="AE360" s="140">
        <f ca="1"/>
        <v>0.28106345489133466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60">
        <f t="shared" ca="1" si="7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>
        <f t="array" aca="1" ref="N361:AE361" ca="1">IF(OR(B361="",NOT($J$2)),"",[3]!GetStripDefaultProbability(A361,B361,Parameter_Date,CDSRollDate,E361:M361,SpreadCurveMaturities,D361,C361,$J$4,$J$6))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3.0842240279745914E-3</v>
      </c>
      <c r="Q361" s="166">
        <f ca="1"/>
        <v>0</v>
      </c>
      <c r="R361" s="166">
        <f ca="1"/>
        <v>1.4118257112614163E-2</v>
      </c>
      <c r="S361" s="166">
        <f ca="1"/>
        <v>0</v>
      </c>
      <c r="T361" s="166">
        <f ca="1"/>
        <v>2.9015444485822606E-2</v>
      </c>
      <c r="U361" s="166">
        <f ca="1"/>
        <v>4.0684804679405606E-2</v>
      </c>
      <c r="V361" s="140">
        <f ca="1"/>
        <v>6.0177874126816411E-2</v>
      </c>
      <c r="W361" s="139">
        <f ca="1"/>
        <v>0</v>
      </c>
      <c r="X361" s="166">
        <f ca="1"/>
        <v>0</v>
      </c>
      <c r="Y361" s="166">
        <f ca="1"/>
        <v>3.2503628120066352E-3</v>
      </c>
      <c r="Z361" s="166">
        <f ca="1"/>
        <v>0</v>
      </c>
      <c r="AA361" s="166">
        <f ca="1"/>
        <v>1.4817639660339998E-2</v>
      </c>
      <c r="AB361" s="166">
        <f ca="1"/>
        <v>0</v>
      </c>
      <c r="AC361" s="166">
        <f ca="1"/>
        <v>3.0444653663415422E-2</v>
      </c>
      <c r="AD361" s="166">
        <f ca="1"/>
        <v>4.2677370771033618E-2</v>
      </c>
      <c r="AE361" s="140">
        <f ca="1"/>
        <v>6.3091593047013839E-2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30480</xdr:rowOff>
                  </from>
                  <to>
                    <xdr:col>13</xdr:col>
                    <xdr:colOff>22860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topLeftCell="A7" zoomScale="71" workbookViewId="0">
      <selection activeCell="M19" sqref="M19"/>
    </sheetView>
  </sheetViews>
  <sheetFormatPr baseColWidth="10" defaultRowHeight="14.4" x14ac:dyDescent="0.3"/>
  <cols>
    <col min="2" max="2" width="17.5546875" bestFit="1" customWidth="1"/>
    <col min="3" max="3" width="18.33203125" bestFit="1" customWidth="1"/>
    <col min="6" max="6" width="20" bestFit="1" customWidth="1"/>
    <col min="7" max="7" width="17.6640625" customWidth="1"/>
    <col min="8" max="9" width="20.88671875" bestFit="1" customWidth="1"/>
    <col min="10" max="10" width="14.88671875" bestFit="1" customWidth="1"/>
    <col min="11" max="11" width="18.33203125" bestFit="1" customWidth="1"/>
    <col min="13" max="13" width="18.44140625" bestFit="1" customWidth="1"/>
    <col min="14" max="14" width="15.44140625" bestFit="1" customWidth="1"/>
  </cols>
  <sheetData>
    <row r="2" spans="2:11" ht="15" thickBot="1" x14ac:dyDescent="0.35"/>
    <row r="3" spans="2:11" x14ac:dyDescent="0.3">
      <c r="C3" s="400" t="s">
        <v>456</v>
      </c>
      <c r="D3" s="401"/>
      <c r="E3" s="402"/>
    </row>
    <row r="4" spans="2:11" x14ac:dyDescent="0.3">
      <c r="C4" s="403"/>
      <c r="D4" s="404"/>
      <c r="E4" s="405"/>
    </row>
    <row r="5" spans="2:11" ht="15" thickBot="1" x14ac:dyDescent="0.35">
      <c r="C5" s="406"/>
      <c r="D5" s="407"/>
      <c r="E5" s="408"/>
    </row>
    <row r="6" spans="2:11" ht="15" thickBot="1" x14ac:dyDescent="0.35"/>
    <row r="7" spans="2:11" ht="16.2" thickBot="1" x14ac:dyDescent="0.35">
      <c r="B7" s="398" t="s">
        <v>454</v>
      </c>
      <c r="C7" s="399"/>
      <c r="D7" s="79"/>
      <c r="E7" s="398" t="s">
        <v>455</v>
      </c>
      <c r="F7" s="399"/>
      <c r="G7" s="79"/>
      <c r="H7" s="79"/>
      <c r="I7" s="79"/>
      <c r="J7" s="79"/>
      <c r="K7" s="79"/>
    </row>
    <row r="8" spans="2:11" ht="15" thickBot="1" x14ac:dyDescent="0.35">
      <c r="B8" s="85"/>
      <c r="C8" s="62"/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1" t="s">
        <v>431</v>
      </c>
      <c r="C9" s="225" t="s">
        <v>86</v>
      </c>
      <c r="D9" s="79"/>
      <c r="E9" s="211" t="s">
        <v>453</v>
      </c>
      <c r="F9" s="215" t="b">
        <v>1</v>
      </c>
      <c r="I9" s="79"/>
      <c r="J9" s="79"/>
      <c r="K9" s="79"/>
    </row>
    <row r="10" spans="2:11" x14ac:dyDescent="0.3">
      <c r="B10" s="212" t="s">
        <v>432</v>
      </c>
      <c r="C10" s="197" t="s">
        <v>57</v>
      </c>
      <c r="D10" s="79"/>
      <c r="E10" s="212" t="s">
        <v>433</v>
      </c>
      <c r="F10" s="216">
        <f ca="1">[3]!GetConvertDate(CDSRollDate,C10)</f>
        <v>47197</v>
      </c>
      <c r="I10" s="79"/>
      <c r="J10" s="79"/>
      <c r="K10" s="79"/>
    </row>
    <row r="11" spans="2:11" ht="15" thickBot="1" x14ac:dyDescent="0.35">
      <c r="B11" s="212" t="s">
        <v>434</v>
      </c>
      <c r="C11" s="198">
        <v>0.01</v>
      </c>
      <c r="D11" s="79"/>
      <c r="E11" s="213" t="s">
        <v>425</v>
      </c>
      <c r="F11" s="217" t="str">
        <f ca="1">[3]!GetGetCDSName(C9)</f>
        <v>ABNAMRO_MMR.EUR.SU</v>
      </c>
      <c r="I11" s="79"/>
      <c r="J11" s="79"/>
      <c r="K11" s="79"/>
    </row>
    <row r="12" spans="2:11" ht="15" thickBot="1" x14ac:dyDescent="0.35">
      <c r="B12" s="213" t="s">
        <v>85</v>
      </c>
      <c r="C12" s="199">
        <v>0.4</v>
      </c>
      <c r="D12" s="79"/>
      <c r="E12" s="79"/>
      <c r="F12" s="79"/>
      <c r="G12" s="230"/>
      <c r="H12" s="79"/>
      <c r="I12" s="79"/>
      <c r="J12" s="79"/>
      <c r="K12" s="79"/>
    </row>
    <row r="13" spans="2:11" ht="15" thickBot="1" x14ac:dyDescent="0.35">
      <c r="B13" s="206"/>
      <c r="C13" s="79"/>
      <c r="F13" t="str">
        <f ca="1">LEFT(F14,1)</f>
        <v>-</v>
      </c>
    </row>
    <row r="14" spans="2:11" x14ac:dyDescent="0.3">
      <c r="B14" s="211" t="s">
        <v>82</v>
      </c>
      <c r="C14" s="63" t="s">
        <v>66</v>
      </c>
      <c r="E14" s="232" t="s">
        <v>435</v>
      </c>
      <c r="F14" s="368" t="str">
        <f t="array" aca="1" ref="F14:K22" ca="1">IF(NOT($F$9),"",[4]!GetCDS(C9,C10,C11,C12,C18,C19,C20,C14,C15,C16,C22,C23,C25,C27:C29,C31))</f>
        <v>-0,0270570453302925</v>
      </c>
      <c r="G14" s="359" t="str">
        <f ca="1"/>
        <v>0</v>
      </c>
      <c r="H14" s="346" t="str">
        <f ca="1"/>
        <v>0</v>
      </c>
      <c r="I14" s="358" t="str">
        <f ca="1"/>
        <v>0</v>
      </c>
      <c r="J14" s="359" t="str">
        <f ca="1"/>
        <v>0</v>
      </c>
      <c r="K14" s="346" t="str">
        <f ca="1"/>
        <v>0</v>
      </c>
    </row>
    <row r="15" spans="2:11" x14ac:dyDescent="0.3">
      <c r="B15" s="212" t="s">
        <v>437</v>
      </c>
      <c r="C15" s="69">
        <v>0</v>
      </c>
      <c r="E15" s="233" t="s">
        <v>436</v>
      </c>
      <c r="F15" s="375" t="str">
        <f ca="1"/>
        <v>0,0180442872883659</v>
      </c>
      <c r="G15" s="361" t="str">
        <f ca="1"/>
        <v>0</v>
      </c>
      <c r="H15" s="349" t="str">
        <f ca="1"/>
        <v>0</v>
      </c>
      <c r="I15" s="360" t="str">
        <f ca="1"/>
        <v>0</v>
      </c>
      <c r="J15" s="361" t="str">
        <f ca="1"/>
        <v>0</v>
      </c>
      <c r="K15" s="349" t="str">
        <f ca="1"/>
        <v>0</v>
      </c>
    </row>
    <row r="16" spans="2:11" ht="15" thickBot="1" x14ac:dyDescent="0.35">
      <c r="B16" s="213" t="s">
        <v>439</v>
      </c>
      <c r="C16" s="200">
        <v>0</v>
      </c>
      <c r="E16" s="233" t="s">
        <v>438</v>
      </c>
      <c r="F16" s="375" t="str">
        <f ca="1"/>
        <v>0,0451013326186584</v>
      </c>
      <c r="G16" s="361" t="str">
        <f ca="1"/>
        <v>0</v>
      </c>
      <c r="H16" s="349" t="str">
        <f ca="1"/>
        <v>0</v>
      </c>
      <c r="I16" s="360" t="str">
        <f ca="1"/>
        <v>0</v>
      </c>
      <c r="J16" s="361" t="str">
        <f ca="1"/>
        <v>0</v>
      </c>
      <c r="K16" s="349" t="str">
        <f ca="1"/>
        <v>0</v>
      </c>
    </row>
    <row r="17" spans="2:11" ht="15" thickBot="1" x14ac:dyDescent="0.35">
      <c r="B17" s="206"/>
      <c r="C17" s="79"/>
      <c r="E17" s="233" t="s">
        <v>440</v>
      </c>
      <c r="F17" s="375" t="str">
        <f ca="1"/>
        <v>0,00400083240132488</v>
      </c>
      <c r="G17" s="361" t="str">
        <f ca="1"/>
        <v>0</v>
      </c>
      <c r="H17" s="349" t="str">
        <f ca="1"/>
        <v>0</v>
      </c>
      <c r="I17" s="360" t="str">
        <f ca="1"/>
        <v>0</v>
      </c>
      <c r="J17" s="361" t="str">
        <f ca="1"/>
        <v>0</v>
      </c>
      <c r="K17" s="349" t="str">
        <f ca="1"/>
        <v>0</v>
      </c>
    </row>
    <row r="18" spans="2:11" x14ac:dyDescent="0.3">
      <c r="B18" s="211" t="s">
        <v>442</v>
      </c>
      <c r="C18" s="63" t="s">
        <v>83</v>
      </c>
      <c r="E18" s="233" t="s">
        <v>441</v>
      </c>
      <c r="F18" s="375" t="str">
        <f ca="1"/>
        <v>4,51013326186584</v>
      </c>
      <c r="G18" s="363" t="str">
        <f ca="1"/>
        <v>0</v>
      </c>
      <c r="H18" s="349" t="str">
        <f ca="1"/>
        <v>0</v>
      </c>
      <c r="I18" s="362" t="str">
        <f ca="1"/>
        <v>0</v>
      </c>
      <c r="J18" s="363" t="str">
        <f ca="1"/>
        <v>0</v>
      </c>
      <c r="K18" s="349" t="str">
        <f ca="1"/>
        <v>0</v>
      </c>
    </row>
    <row r="19" spans="2:11" ht="15" thickBot="1" x14ac:dyDescent="0.35">
      <c r="B19" s="212" t="s">
        <v>444</v>
      </c>
      <c r="C19" s="69" t="s">
        <v>445</v>
      </c>
      <c r="E19" s="233" t="s">
        <v>443</v>
      </c>
      <c r="F19" s="376" t="str">
        <f ca="1"/>
        <v>00:00:00.0039980</v>
      </c>
      <c r="G19" s="365" t="str">
        <f ca="1"/>
        <v>0</v>
      </c>
      <c r="H19" s="349" t="str">
        <f ca="1"/>
        <v>0</v>
      </c>
      <c r="I19" s="364" t="str">
        <f ca="1"/>
        <v>0</v>
      </c>
      <c r="J19" s="365" t="str">
        <f ca="1"/>
        <v>0</v>
      </c>
      <c r="K19" s="349" t="str">
        <f ca="1"/>
        <v>0</v>
      </c>
    </row>
    <row r="20" spans="2:11" ht="15" thickBot="1" x14ac:dyDescent="0.35">
      <c r="B20" s="213" t="s">
        <v>446</v>
      </c>
      <c r="C20" s="224"/>
      <c r="E20" s="234"/>
      <c r="F20" s="354" t="str">
        <f ca="1"/>
        <v>dPV</v>
      </c>
      <c r="G20" s="354" t="str">
        <f ca="1"/>
        <v>dHedge</v>
      </c>
      <c r="H20" s="355" t="str">
        <f ca="1"/>
        <v>delta not. (Hedge Crncy)</v>
      </c>
      <c r="I20" s="354" t="str">
        <f ca="1"/>
        <v>delta not. (Product CCY)</v>
      </c>
      <c r="J20" s="354" t="str">
        <f ca="1"/>
        <v>dPV(dBeta)</v>
      </c>
      <c r="K20" s="355" t="str">
        <f ca="1"/>
        <v>Name</v>
      </c>
    </row>
    <row r="21" spans="2:11" ht="15" thickBot="1" x14ac:dyDescent="0.35">
      <c r="B21" s="206"/>
      <c r="C21" s="79"/>
      <c r="E21" s="235"/>
      <c r="F21" s="366" t="str">
        <f ca="1"/>
        <v>0,000918326856089947</v>
      </c>
      <c r="G21" s="366" t="str">
        <f ca="1"/>
        <v>0,000900175094033918</v>
      </c>
      <c r="H21" s="367" t="str">
        <f ca="1"/>
        <v>1,02016470148567</v>
      </c>
      <c r="I21" s="366" t="str">
        <f ca="1"/>
        <v>1,02016470148567</v>
      </c>
      <c r="J21" s="366" t="str">
        <f ca="1"/>
        <v>-0,0180442872883659</v>
      </c>
      <c r="K21" s="367" t="str">
        <f ca="1"/>
        <v>ABNAMRO_MMR.EUR.SU</v>
      </c>
    </row>
    <row r="22" spans="2:11" x14ac:dyDescent="0.3">
      <c r="B22" s="214" t="s">
        <v>447</v>
      </c>
      <c r="C22" s="201" t="b">
        <v>1</v>
      </c>
      <c r="F22" t="str">
        <f ca="1"/>
        <v/>
      </c>
      <c r="G22" t="str">
        <f ca="1"/>
        <v/>
      </c>
      <c r="H22" t="str">
        <f ca="1"/>
        <v/>
      </c>
      <c r="I22" t="str">
        <f ca="1"/>
        <v/>
      </c>
      <c r="J22" t="str">
        <f ca="1"/>
        <v/>
      </c>
      <c r="K22" t="str">
        <f ca="1"/>
        <v/>
      </c>
    </row>
    <row r="23" spans="2:11" ht="15" thickBot="1" x14ac:dyDescent="0.35">
      <c r="B23" s="213" t="s">
        <v>448</v>
      </c>
      <c r="C23" s="202" t="b">
        <v>1</v>
      </c>
    </row>
    <row r="24" spans="2:11" ht="15" thickBot="1" x14ac:dyDescent="0.35">
      <c r="B24" s="207"/>
      <c r="C24" s="85"/>
      <c r="D24" s="203"/>
      <c r="H24" s="373"/>
    </row>
    <row r="25" spans="2:11" ht="15" thickBot="1" x14ac:dyDescent="0.35">
      <c r="B25" s="183" t="s">
        <v>449</v>
      </c>
      <c r="C25" s="201" t="b">
        <v>1</v>
      </c>
      <c r="D25" s="85"/>
      <c r="F25" s="369" t="s">
        <v>435</v>
      </c>
      <c r="G25" s="344">
        <f t="array" aca="1" ref="G25:I32" ca="1">IF(NOT($I$9),"",cds(D21, D22, D23,D24, D30, D31,D32,D26,D27,D28,D34,D35,D37,[5]CDS!D39:D41,D43))</f>
        <v>-2.8067015143921823E-2</v>
      </c>
      <c r="H25" s="345">
        <f ca="1"/>
        <v>-2.8067015143921823E-2</v>
      </c>
      <c r="I25" s="346" t="str">
        <f ca="1"/>
        <v/>
      </c>
    </row>
    <row r="26" spans="2:11" ht="15" thickBot="1" x14ac:dyDescent="0.35">
      <c r="B26" s="209" t="s">
        <v>450</v>
      </c>
      <c r="C26" s="223"/>
      <c r="D26" s="85"/>
      <c r="F26" s="370" t="s">
        <v>436</v>
      </c>
      <c r="G26" s="347">
        <f ca="1"/>
        <v>1.8273159238982758E-2</v>
      </c>
      <c r="H26" s="348">
        <f ca="1"/>
        <v>1.8273159238982758E-2</v>
      </c>
      <c r="I26" s="349" t="str">
        <f ca="1"/>
        <v/>
      </c>
    </row>
    <row r="27" spans="2:11" x14ac:dyDescent="0.3">
      <c r="B27" s="209" t="s">
        <v>434</v>
      </c>
      <c r="C27" s="231">
        <v>0</v>
      </c>
      <c r="D27" s="85"/>
      <c r="F27" s="370" t="s">
        <v>438</v>
      </c>
      <c r="G27" s="347">
        <f ca="1"/>
        <v>4.6340174382904581E-2</v>
      </c>
      <c r="H27" s="348">
        <f ca="1"/>
        <v>4.6340174382904581E-2</v>
      </c>
      <c r="I27" s="349" t="str">
        <f ca="1"/>
        <v/>
      </c>
    </row>
    <row r="28" spans="2:11" x14ac:dyDescent="0.3">
      <c r="B28" s="209" t="s">
        <v>447</v>
      </c>
      <c r="C28" s="204" t="b">
        <v>1</v>
      </c>
      <c r="D28" s="85"/>
      <c r="F28" s="370" t="s">
        <v>440</v>
      </c>
      <c r="G28" s="347">
        <f ca="1"/>
        <v>3.9432651003842431E-3</v>
      </c>
      <c r="H28" s="348">
        <f ca="1"/>
        <v>3.9432651003842431E-3</v>
      </c>
      <c r="I28" s="349" t="str">
        <f ca="1"/>
        <v/>
      </c>
    </row>
    <row r="29" spans="2:11" ht="15" thickBot="1" x14ac:dyDescent="0.35">
      <c r="B29" s="210" t="s">
        <v>448</v>
      </c>
      <c r="C29" s="205" t="b">
        <v>1</v>
      </c>
      <c r="D29" s="85"/>
      <c r="F29" s="370" t="s">
        <v>441</v>
      </c>
      <c r="G29" s="350">
        <f ca="1"/>
        <v>4.6340174382904582</v>
      </c>
      <c r="H29" s="351">
        <f ca="1"/>
        <v>4.6340174382904582</v>
      </c>
      <c r="I29" s="349" t="str">
        <f ca="1"/>
        <v/>
      </c>
    </row>
    <row r="30" spans="2:11" ht="15" thickBot="1" x14ac:dyDescent="0.35">
      <c r="B30" s="208"/>
      <c r="C30" s="79"/>
      <c r="D30" s="85"/>
      <c r="F30" s="370" t="s">
        <v>443</v>
      </c>
      <c r="G30" s="352">
        <f ca="1"/>
        <v>0</v>
      </c>
      <c r="H30" s="353">
        <f ca="1"/>
        <v>0</v>
      </c>
      <c r="I30" s="349" t="str">
        <f ca="1"/>
        <v/>
      </c>
    </row>
    <row r="31" spans="2:11" ht="15" thickBot="1" x14ac:dyDescent="0.35">
      <c r="B31" s="183" t="s">
        <v>451</v>
      </c>
      <c r="C31" s="189" t="s">
        <v>452</v>
      </c>
      <c r="D31" s="85"/>
      <c r="F31" s="371"/>
      <c r="G31" s="354" t="str">
        <f ca="1"/>
        <v>dPV</v>
      </c>
      <c r="H31" s="354" t="str">
        <f ca="1"/>
        <v>dHedge</v>
      </c>
      <c r="I31" s="355" t="str">
        <f ca="1"/>
        <v>delta not. (Hedge Crncy)</v>
      </c>
    </row>
    <row r="32" spans="2:11" ht="15" thickBot="1" x14ac:dyDescent="0.35">
      <c r="F32" s="372"/>
      <c r="G32" s="356">
        <f ca="1"/>
        <v>9.3244119942271272E-4</v>
      </c>
      <c r="H32" s="356">
        <f ca="1"/>
        <v>9.1323738266512497E-4</v>
      </c>
      <c r="I32" s="357">
        <f ca="1"/>
        <v>1.0210282858784698</v>
      </c>
    </row>
  </sheetData>
  <mergeCells count="3">
    <mergeCell ref="B7:C7"/>
    <mergeCell ref="E7:F7"/>
    <mergeCell ref="C3:E5"/>
  </mergeCells>
  <conditionalFormatting sqref="F21 I21 G20:H21 J20:K21">
    <cfRule type="cellIs" dxfId="3" priority="5" stopIfTrue="1" operator="equal">
      <formula>#N/A</formula>
    </cfRule>
  </conditionalFormatting>
  <conditionalFormatting sqref="F20 I20">
    <cfRule type="cellIs" dxfId="2" priority="6" stopIfTrue="1" operator="equal">
      <formula>"""#N/A"""</formula>
    </cfRule>
  </conditionalFormatting>
  <conditionalFormatting sqref="G32 H31:I32">
    <cfRule type="cellIs" dxfId="1" priority="3" stopIfTrue="1" operator="equal">
      <formula>#N/A</formula>
    </cfRule>
  </conditionalFormatting>
  <conditionalFormatting sqref="G31">
    <cfRule type="cellIs" dxfId="0" priority="4" stopIfTrue="1" operator="equal">
      <formula>"""#N/A"""</formula>
    </cfRule>
  </conditionalFormatting>
  <dataValidations disablePrompts="1"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25" sqref="E25"/>
    </sheetView>
  </sheetViews>
  <sheetFormatPr baseColWidth="10" defaultRowHeight="14.4" x14ac:dyDescent="0.3"/>
  <sheetData>
    <row r="2" spans="2:11" x14ac:dyDescent="0.3">
      <c r="I2" t="s">
        <v>486</v>
      </c>
      <c r="J2" s="374">
        <f ca="1">CDSRollDate</f>
        <v>45371</v>
      </c>
      <c r="K2" s="179">
        <f ca="1">DATE(YEAR(CDSRollDate),MONTH(CDSRollDate),DAY(CDSRollDate))</f>
        <v>45371</v>
      </c>
    </row>
    <row r="3" spans="2:11" x14ac:dyDescent="0.3">
      <c r="I3" t="s">
        <v>487</v>
      </c>
      <c r="J3" s="374">
        <f ca="1">Parameter_Date</f>
        <v>45352</v>
      </c>
      <c r="K3">
        <f ca="1">K2-J3</f>
        <v>19</v>
      </c>
    </row>
    <row r="4" spans="2:11" x14ac:dyDescent="0.3">
      <c r="K4">
        <f ca="1">K3/365</f>
        <v>5.2054794520547946E-2</v>
      </c>
    </row>
    <row r="5" spans="2:11" ht="15" thickBot="1" x14ac:dyDescent="0.35"/>
    <row r="6" spans="2:11" ht="15" thickBot="1" x14ac:dyDescent="0.35">
      <c r="B6" s="183" t="s">
        <v>423</v>
      </c>
      <c r="C6" s="189" t="b">
        <v>1</v>
      </c>
      <c r="H6" s="184" t="s">
        <v>424</v>
      </c>
      <c r="I6" s="409">
        <v>1</v>
      </c>
      <c r="J6" s="410"/>
      <c r="K6" s="411"/>
    </row>
    <row r="7" spans="2:11" ht="15" thickBot="1" x14ac:dyDescent="0.35">
      <c r="D7" s="173"/>
      <c r="H7" s="185" t="s">
        <v>425</v>
      </c>
      <c r="I7" s="412" t="str">
        <f ca="1">[3]!GetGetCDSName(I6)</f>
        <v>ABNAMRO_MMR.EUR.SU</v>
      </c>
      <c r="J7" s="413"/>
      <c r="K7" s="414"/>
    </row>
    <row r="8" spans="2:11" ht="15" thickBot="1" x14ac:dyDescent="0.35"/>
    <row r="9" spans="2:11" ht="15" thickBot="1" x14ac:dyDescent="0.35">
      <c r="B9" s="176"/>
      <c r="C9" s="177" t="s">
        <v>426</v>
      </c>
      <c r="D9" s="178" t="s">
        <v>427</v>
      </c>
      <c r="E9" s="175" t="s">
        <v>428</v>
      </c>
    </row>
    <row r="10" spans="2:11" x14ac:dyDescent="0.3">
      <c r="B10" s="186" t="str">
        <f ca="1">ROW()-ROW($B$9)&amp;"M"</f>
        <v>1M</v>
      </c>
      <c r="C10" s="218">
        <f ca="1">MAX(0,(DATE(YEAR(CDSRollDate),MONTH(CDSRollDate)+ROW()-ROW($B$9),DAY(CDSRollDate))-Parameter_Date)/365)</f>
        <v>0.13698630136986301</v>
      </c>
      <c r="D10" s="180">
        <f ca="1">IF(NOT($C$6),"",IF([3]!GetConvertDate(CDSRollDate,B10)&lt;Parameter_Date,0,[3]!GetGetDefaultprob($I$6,B10)))</f>
        <v>3.0566047307689637E-4</v>
      </c>
      <c r="E10" s="219">
        <f ca="1">IF(NOT($C$6),"",IF(C11=0,0,-LN(1-D11)/$C11))</f>
        <v>2.2316625363527315E-3</v>
      </c>
    </row>
    <row r="11" spans="2:11" x14ac:dyDescent="0.3">
      <c r="B11" s="187" t="str">
        <f t="shared" ref="B11:B74" ca="1" si="0">ROW()-ROW($B$9)&amp;"M"</f>
        <v>2M</v>
      </c>
      <c r="C11" s="220">
        <f ca="1">MAX(0,(DATE(YEAR(CDSRollDate),MONTH(CDSRollDate)+ROW()-ROW($B$9),DAY(CDSRollDate))-Parameter_Date)/365)</f>
        <v>0.21917808219178081</v>
      </c>
      <c r="D11" s="172">
        <f ca="1">IF(NOT($C$6),"",IF([4]!GetConvertDate(CDSRollDate,B11)&lt;Parameter_Date,0,[4]!GetGetDefaultprob($I$6,B11)))</f>
        <v>4.8901190949934836E-4</v>
      </c>
      <c r="E11" s="181">
        <f ca="1">IF(NOT($C$6),"",IF(C11=0,0,-LN((1-D11)/(1-D10))/($C11-$C10)))</f>
        <v>2.2316625363540195E-3</v>
      </c>
      <c r="F11" s="167"/>
      <c r="G11" s="168"/>
    </row>
    <row r="12" spans="2:11" x14ac:dyDescent="0.3">
      <c r="B12" s="187" t="str">
        <f t="shared" ca="1" si="0"/>
        <v>3M</v>
      </c>
      <c r="C12" s="220">
        <f ca="1">MAX(0,(DATE(YEAR(CDSRollDate),MONTH(CDSRollDate)+ROW()-ROW($B$9),DAY(CDSRollDate))-Parameter_Date)/365)</f>
        <v>0.30410958904109592</v>
      </c>
      <c r="D12" s="172">
        <f ca="1">IF(NOT($C$6),"",IF([3]!GetConvertDate(CDSRollDate,B12)&lt;Parameter_Date,0,[3]!GetGetDefaultprob($I$6,B12)))</f>
        <v>6.7843973242942557E-4</v>
      </c>
      <c r="E12" s="181">
        <f ca="1">IF(NOT($C$6),"",IF(C12=0,0,-LN((1-D12)/(1-D11))/($C12-$C11)))</f>
        <v>2.2316625363510032E-3</v>
      </c>
      <c r="F12" s="167"/>
      <c r="G12" s="168"/>
    </row>
    <row r="13" spans="2:11" x14ac:dyDescent="0.3">
      <c r="B13" s="187" t="str">
        <f t="shared" ca="1" si="0"/>
        <v>4M</v>
      </c>
      <c r="C13" s="220">
        <f t="shared" ref="C13:C41" ca="1" si="1">MAX(0,(DATE(YEAR(CDSRollDate),MONTH(CDSRollDate)+ROW()-ROW($B$9),DAY(CDSRollDate))-Parameter_Date)/365)</f>
        <v>0.38630136986301372</v>
      </c>
      <c r="D13" s="172">
        <f ca="1">IF(NOT($C$6),"",IF([3]!GetConvertDate(CDSRollDate,B13)&lt;Parameter_Date,0,[3]!GetGetDefaultprob($I$6,B13)))</f>
        <v>8.6172279834095811E-4</v>
      </c>
      <c r="E13" s="181">
        <f t="shared" ref="E13:E75" ca="1" si="2">IF(NOT($C$6),"",IF(C13=0,0,-LN((1-D13)/(1-D12))/($C13-$C12)))</f>
        <v>2.2316625363526686E-3</v>
      </c>
      <c r="F13" s="167"/>
      <c r="G13" s="168"/>
    </row>
    <row r="14" spans="2:11" x14ac:dyDescent="0.3">
      <c r="B14" s="187" t="str">
        <f t="shared" ca="1" si="0"/>
        <v>5M</v>
      </c>
      <c r="C14" s="220">
        <f t="shared" ca="1" si="1"/>
        <v>0.47123287671232877</v>
      </c>
      <c r="D14" s="172">
        <f ca="1">IF(NOT($C$6),"",IF([3]!GetConvertDate(CDSRollDate,B14)&lt;Parameter_Date,0,[3]!GetGetDefaultprob($I$6,B14)))</f>
        <v>1.0510799849168251E-3</v>
      </c>
      <c r="E14" s="181">
        <f t="shared" ca="1" si="2"/>
        <v>2.2316625363523121E-3</v>
      </c>
      <c r="F14" s="167"/>
      <c r="G14" s="168"/>
    </row>
    <row r="15" spans="2:11" x14ac:dyDescent="0.3">
      <c r="B15" s="187" t="str">
        <f t="shared" ca="1" si="0"/>
        <v>6M</v>
      </c>
      <c r="C15" s="220">
        <f t="shared" ca="1" si="1"/>
        <v>0.55616438356164388</v>
      </c>
      <c r="D15" s="172">
        <f ca="1">IF(NOT($C$6),"",IF([3]!GetConvertDate(CDSRollDate,B15)&lt;Parameter_Date,0,[3]!GetGetDefaultprob($I$6,B15)))</f>
        <v>1.2404012844239309E-3</v>
      </c>
      <c r="E15" s="181">
        <f t="shared" ca="1" si="2"/>
        <v>2.2316625363523108E-3</v>
      </c>
      <c r="F15" s="167"/>
      <c r="G15" s="168"/>
    </row>
    <row r="16" spans="2:11" x14ac:dyDescent="0.3">
      <c r="B16" s="187" t="str">
        <f t="shared" ca="1" si="0"/>
        <v>7M</v>
      </c>
      <c r="C16" s="220">
        <f t="shared" ca="1" si="1"/>
        <v>0.63835616438356169</v>
      </c>
      <c r="D16" s="172">
        <f ca="1">IF(NOT($C$6),"",IF([3]!GetConvertDate(CDSRollDate,B16)&lt;Parameter_Date,0,[3]!GetGetDefaultprob($I$6,B16)))</f>
        <v>1.5562411344531846E-3</v>
      </c>
      <c r="E16" s="181">
        <f t="shared" ca="1" si="2"/>
        <v>3.8480990859580187E-3</v>
      </c>
      <c r="F16" s="167"/>
      <c r="G16" s="168"/>
    </row>
    <row r="17" spans="2:7" x14ac:dyDescent="0.3">
      <c r="B17" s="187" t="str">
        <f t="shared" ca="1" si="0"/>
        <v>8M</v>
      </c>
      <c r="C17" s="220">
        <f t="shared" ca="1" si="1"/>
        <v>0.72328767123287674</v>
      </c>
      <c r="D17" s="172">
        <f ca="1">IF(NOT($C$6),"",IF([3]!GetConvertDate(CDSRollDate,B17)&lt;Parameter_Date,0,[3]!GetGetDefaultprob($I$6,B17)))</f>
        <v>1.8825040517284064E-3</v>
      </c>
      <c r="E17" s="181">
        <f t="shared" ca="1" si="2"/>
        <v>3.8480990859574662E-3</v>
      </c>
      <c r="F17" s="167"/>
      <c r="G17" s="168"/>
    </row>
    <row r="18" spans="2:7" x14ac:dyDescent="0.3">
      <c r="B18" s="187" t="str">
        <f t="shared" ca="1" si="0"/>
        <v>9M</v>
      </c>
      <c r="C18" s="220">
        <f t="shared" ca="1" si="1"/>
        <v>0.80547945205479454</v>
      </c>
      <c r="D18" s="172">
        <f ca="1">IF(NOT($C$6),"",IF([3]!GetConvertDate(CDSRollDate,B18)&lt;Parameter_Date,0,[3]!GetGetDefaultprob($I$6,B18)))</f>
        <v>2.198140848248098E-3</v>
      </c>
      <c r="E18" s="181">
        <f t="shared" ca="1" si="2"/>
        <v>3.8480990859580187E-3</v>
      </c>
      <c r="F18" s="167"/>
      <c r="G18" s="168"/>
    </row>
    <row r="19" spans="2:7" x14ac:dyDescent="0.3">
      <c r="B19" s="187" t="str">
        <f t="shared" ca="1" si="0"/>
        <v>10M</v>
      </c>
      <c r="C19" s="220">
        <f t="shared" ca="1" si="1"/>
        <v>0.8904109589041096</v>
      </c>
      <c r="D19" s="172">
        <f ca="1">IF(NOT($C$6),"",IF([3]!GetConvertDate(CDSRollDate,B19)&lt;Parameter_Date,0,[3]!GetGetDefaultprob($I$6,B19)))</f>
        <v>2.6611244658585331E-3</v>
      </c>
      <c r="E19" s="181">
        <f t="shared" ca="1" si="2"/>
        <v>5.4645356355629516E-3</v>
      </c>
      <c r="F19" s="167"/>
      <c r="G19" s="168"/>
    </row>
    <row r="20" spans="2:7" x14ac:dyDescent="0.3">
      <c r="B20" s="187" t="str">
        <f t="shared" ca="1" si="0"/>
        <v>11M</v>
      </c>
      <c r="C20" s="220">
        <f t="shared" ca="1" si="1"/>
        <v>0.97534246575342465</v>
      </c>
      <c r="D20" s="172">
        <f ca="1">IF(NOT($C$6),"",IF([3]!GetConvertDate(CDSRollDate,B20)&lt;Parameter_Date,0,[3]!GetGetDefaultprob($I$6,B20)))</f>
        <v>3.1238932574209066E-3</v>
      </c>
      <c r="E20" s="181">
        <f t="shared" ca="1" si="2"/>
        <v>5.4645356355629516E-3</v>
      </c>
      <c r="F20" s="167"/>
      <c r="G20" s="168"/>
    </row>
    <row r="21" spans="2:7" x14ac:dyDescent="0.3">
      <c r="B21" s="187" t="str">
        <f t="shared" ca="1" si="0"/>
        <v>12M</v>
      </c>
      <c r="C21" s="220">
        <f t="shared" ca="1" si="1"/>
        <v>1.0520547945205478</v>
      </c>
      <c r="D21" s="172">
        <f ca="1">IF(NOT($C$6),"",IF([3]!GetConvertDate(CDSRollDate,B21)&lt;Parameter_Date,0,[3]!GetGetDefaultprob($I$6,B21)))</f>
        <v>3.5416934077237006E-3</v>
      </c>
      <c r="E21" s="181">
        <f t="shared" ca="1" si="2"/>
        <v>5.4645356355625136E-3</v>
      </c>
      <c r="F21" s="167"/>
      <c r="G21" s="168"/>
    </row>
    <row r="22" spans="2:7" x14ac:dyDescent="0.3">
      <c r="B22" s="187" t="str">
        <f t="shared" ca="1" si="0"/>
        <v>13M</v>
      </c>
      <c r="C22" s="220">
        <f t="shared" ca="1" si="1"/>
        <v>1.1369863013698631</v>
      </c>
      <c r="D22" s="172">
        <f ca="1">IF(NOT($C$6),"",IF([3]!GetConvertDate(CDSRollDate,B22)&lt;Parameter_Date,0,[3]!GetGetDefaultprob($I$6,B22)))</f>
        <v>4.0042152495703975E-3</v>
      </c>
      <c r="E22" s="181">
        <f t="shared" ca="1" si="2"/>
        <v>5.4664464368262417E-3</v>
      </c>
      <c r="F22" s="167"/>
      <c r="G22" s="168"/>
    </row>
    <row r="23" spans="2:7" x14ac:dyDescent="0.3">
      <c r="B23" s="187" t="str">
        <f t="shared" ca="1" si="0"/>
        <v>14M</v>
      </c>
      <c r="C23" s="220">
        <f t="shared" ca="1" si="1"/>
        <v>1.2191780821917808</v>
      </c>
      <c r="D23" s="172">
        <f ca="1">IF(NOT($C$6),"",IF([3]!GetConvertDate(CDSRollDate,B23)&lt;Parameter_Date,0,[3]!GetGetDefaultprob($I$6,B23)))</f>
        <v>4.4516126205449424E-3</v>
      </c>
      <c r="E23" s="181">
        <f t="shared" ca="1" si="2"/>
        <v>5.4664464368253942E-3</v>
      </c>
      <c r="F23" s="167"/>
      <c r="G23" s="168"/>
    </row>
    <row r="24" spans="2:7" x14ac:dyDescent="0.3">
      <c r="B24" s="187" t="str">
        <f t="shared" ca="1" si="0"/>
        <v>15M</v>
      </c>
      <c r="C24" s="220">
        <f t="shared" ca="1" si="1"/>
        <v>1.3041095890410959</v>
      </c>
      <c r="D24" s="172">
        <f ca="1">IF(NOT($C$6),"",IF([3]!GetConvertDate(CDSRollDate,B24)&lt;Parameter_Date,0,[3]!GetGetDefaultprob($I$6,B24)))</f>
        <v>4.9137121090353508E-3</v>
      </c>
      <c r="E24" s="181">
        <f t="shared" ca="1" si="2"/>
        <v>5.4664464368262564E-3</v>
      </c>
      <c r="F24" s="167"/>
      <c r="G24" s="168"/>
    </row>
    <row r="25" spans="2:7" x14ac:dyDescent="0.3">
      <c r="B25" s="187" t="str">
        <f t="shared" ca="1" si="0"/>
        <v>16M</v>
      </c>
      <c r="C25" s="220">
        <f t="shared" ca="1" si="1"/>
        <v>1.3863013698630138</v>
      </c>
      <c r="D25" s="172">
        <f ca="1">IF(NOT($C$6),"",IF([3]!GetConvertDate(CDSRollDate,B25)&lt;Parameter_Date,0,[3]!GetGetDefaultprob($I$6,B25)))</f>
        <v>5.3608571478511724E-3</v>
      </c>
      <c r="E25" s="181">
        <f t="shared" ca="1" si="2"/>
        <v>5.468357238089569E-3</v>
      </c>
      <c r="F25" s="167"/>
      <c r="G25" s="168"/>
    </row>
    <row r="26" spans="2:7" x14ac:dyDescent="0.3">
      <c r="B26" s="187" t="str">
        <f t="shared" ca="1" si="0"/>
        <v>17M</v>
      </c>
      <c r="C26" s="220">
        <f t="shared" ca="1" si="1"/>
        <v>1.4712328767123288</v>
      </c>
      <c r="D26" s="172">
        <f ca="1">IF(NOT($C$6),"",IF([3]!GetConvertDate(CDSRollDate,B26)&lt;Parameter_Date,0,[3]!GetGetDefaultprob($I$6,B26)))</f>
        <v>5.8226959384455323E-3</v>
      </c>
      <c r="E26" s="181">
        <f t="shared" ca="1" si="2"/>
        <v>5.4683572380884024E-3</v>
      </c>
      <c r="F26" s="167"/>
      <c r="G26" s="168"/>
    </row>
    <row r="27" spans="2:7" x14ac:dyDescent="0.3">
      <c r="B27" s="187" t="str">
        <f t="shared" ca="1" si="0"/>
        <v>18M</v>
      </c>
      <c r="C27" s="220">
        <f t="shared" ca="1" si="1"/>
        <v>1.5561643835616439</v>
      </c>
      <c r="D27" s="172">
        <f ca="1">IF(NOT($C$6),"",IF([3]!GetConvertDate(CDSRollDate,B27)&lt;Parameter_Date,0,[3]!GetGetDefaultprob($I$6,B27)))</f>
        <v>6.2843202843640977E-3</v>
      </c>
      <c r="E27" s="181">
        <f t="shared" ca="1" si="2"/>
        <v>5.4683572380884024E-3</v>
      </c>
      <c r="F27" s="167"/>
      <c r="G27" s="168"/>
    </row>
    <row r="28" spans="2:7" x14ac:dyDescent="0.3">
      <c r="B28" s="187" t="str">
        <f t="shared" ca="1" si="0"/>
        <v>19M</v>
      </c>
      <c r="C28" s="220">
        <f t="shared" ca="1" si="1"/>
        <v>1.6383561643835616</v>
      </c>
      <c r="D28" s="172">
        <f ca="1">IF(NOT($C$6),"",IF([3]!GetConvertDate(CDSRollDate,B28)&lt;Parameter_Date,0,[3]!GetGetDefaultprob($I$6,B28)))</f>
        <v>6.7310054312950118E-3</v>
      </c>
      <c r="E28" s="181">
        <f t="shared" ca="1" si="2"/>
        <v>5.4702680393525112E-3</v>
      </c>
      <c r="F28" s="167"/>
      <c r="G28" s="168"/>
    </row>
    <row r="29" spans="2:7" x14ac:dyDescent="0.3">
      <c r="B29" s="187" t="str">
        <f t="shared" ca="1" si="0"/>
        <v>20M</v>
      </c>
      <c r="C29" s="220">
        <f t="shared" ca="1" si="1"/>
        <v>1.7232876712328766</v>
      </c>
      <c r="D29" s="172">
        <f ca="1">IF(NOT($C$6),"",IF([3]!GetConvertDate(CDSRollDate,B29)&lt;Parameter_Date,0,[3]!GetGetDefaultprob($I$6,B29)))</f>
        <v>7.192369143709576E-3</v>
      </c>
      <c r="E29" s="181">
        <f t="shared" ca="1" si="2"/>
        <v>5.4702680393520046E-3</v>
      </c>
      <c r="F29" s="167"/>
      <c r="G29" s="168"/>
    </row>
    <row r="30" spans="2:7" x14ac:dyDescent="0.3">
      <c r="B30" s="187" t="str">
        <f t="shared" ca="1" si="0"/>
        <v>21M</v>
      </c>
      <c r="C30" s="220">
        <f t="shared" ca="1" si="1"/>
        <v>1.8054794520547945</v>
      </c>
      <c r="D30" s="172">
        <f ca="1">IF(NOT($C$6),"",IF([3]!GetConvertDate(CDSRollDate,B30)&lt;Parameter_Date,0,[3]!GetGetDefaultprob($I$6,B30)))</f>
        <v>7.6386461135869999E-3</v>
      </c>
      <c r="E30" s="181">
        <f t="shared" ca="1" si="2"/>
        <v>5.4702680393524964E-3</v>
      </c>
      <c r="F30" s="167"/>
      <c r="G30" s="168"/>
    </row>
    <row r="31" spans="2:7" x14ac:dyDescent="0.3">
      <c r="B31" s="187" t="str">
        <f t="shared" ca="1" si="0"/>
        <v>22M</v>
      </c>
      <c r="C31" s="220">
        <f t="shared" ca="1" si="1"/>
        <v>1.8904109589041096</v>
      </c>
      <c r="D31" s="172">
        <f ca="1">IF(NOT($C$6),"",IF([3]!GetConvertDate(CDSRollDate,B31)&lt;Parameter_Date,0,[3]!GetGetDefaultprob($I$6,B31)))</f>
        <v>8.0997492085587153E-3</v>
      </c>
      <c r="E31" s="181">
        <f t="shared" ca="1" si="2"/>
        <v>5.4721788406157561E-3</v>
      </c>
      <c r="F31" s="167"/>
      <c r="G31" s="168"/>
    </row>
    <row r="32" spans="2:7" x14ac:dyDescent="0.3">
      <c r="B32" s="187" t="str">
        <f t="shared" ca="1" si="0"/>
        <v>23M</v>
      </c>
      <c r="C32" s="220">
        <f t="shared" ca="1" si="1"/>
        <v>1.9753424657534246</v>
      </c>
      <c r="D32" s="172">
        <f ca="1">IF(NOT($C$6),"",IF([3]!GetConvertDate(CDSRollDate,B32)&lt;Parameter_Date,0,[3]!GetGetDefaultprob($I$6,B32)))</f>
        <v>8.5606380508659319E-3</v>
      </c>
      <c r="E32" s="181">
        <f t="shared" ca="1" si="2"/>
        <v>5.4721788406157561E-3</v>
      </c>
      <c r="F32" s="167"/>
      <c r="G32" s="168"/>
    </row>
    <row r="33" spans="2:7" x14ac:dyDescent="0.3">
      <c r="B33" s="187" t="str">
        <f t="shared" ca="1" si="0"/>
        <v>24M</v>
      </c>
      <c r="C33" s="220">
        <f t="shared" ca="1" si="1"/>
        <v>2.0520547945205481</v>
      </c>
      <c r="D33" s="172">
        <f ca="1">IF(NOT($C$6),"",IF([3]!GetConvertDate(CDSRollDate,B33)&lt;Parameter_Date,0,[3]!GetGetDefaultprob($I$6,B33)))</f>
        <v>8.9767406752164769E-3</v>
      </c>
      <c r="E33" s="181">
        <f t="shared" ca="1" si="2"/>
        <v>5.4721788406159912E-3</v>
      </c>
      <c r="F33" s="167"/>
      <c r="G33" s="168"/>
    </row>
    <row r="34" spans="2:7" x14ac:dyDescent="0.3">
      <c r="B34" s="187" t="str">
        <f t="shared" ca="1" si="0"/>
        <v>25M</v>
      </c>
      <c r="C34" s="220">
        <f t="shared" ca="1" si="1"/>
        <v>2.1369863013698631</v>
      </c>
      <c r="D34" s="172">
        <f ca="1">IF(NOT($C$6),"",IF([3]!GetConvertDate(CDSRollDate,B34)&lt;Parameter_Date,0,[3]!GetGetDefaultprob($I$6,B34)))</f>
        <v>9.5023675003190755E-3</v>
      </c>
      <c r="E34" s="181">
        <f t="shared" ca="1" si="2"/>
        <v>6.2465474309922209E-3</v>
      </c>
      <c r="F34" s="167"/>
      <c r="G34" s="168"/>
    </row>
    <row r="35" spans="2:7" x14ac:dyDescent="0.3">
      <c r="B35" s="187" t="str">
        <f t="shared" ca="1" si="0"/>
        <v>26M</v>
      </c>
      <c r="C35" s="220">
        <f t="shared" ca="1" si="1"/>
        <v>2.2191780821917808</v>
      </c>
      <c r="D35" s="172">
        <f ca="1">IF(NOT($C$6),"",IF([3]!GetConvertDate(CDSRollDate,B35)&lt;Parameter_Date,0,[3]!GetGetDefaultprob($I$6,B35)))</f>
        <v>1.0010773178324217E-2</v>
      </c>
      <c r="E35" s="181">
        <f t="shared" ca="1" si="2"/>
        <v>6.2465474309924152E-3</v>
      </c>
      <c r="F35" s="167"/>
      <c r="G35" s="168"/>
    </row>
    <row r="36" spans="2:7" x14ac:dyDescent="0.3">
      <c r="B36" s="187" t="str">
        <f t="shared" ca="1" si="0"/>
        <v>27M</v>
      </c>
      <c r="C36" s="220">
        <f t="shared" ca="1" si="1"/>
        <v>2.3041095890410959</v>
      </c>
      <c r="D36" s="172">
        <f ca="1">IF(NOT($C$6),"",IF([3]!GetConvertDate(CDSRollDate,B36)&lt;Parameter_Date,0,[3]!GetGetDefaultprob($I$6,B36)))</f>
        <v>1.0535851565015797E-2</v>
      </c>
      <c r="E36" s="181">
        <f t="shared" ca="1" si="2"/>
        <v>6.2465474309922209E-3</v>
      </c>
      <c r="F36" s="167"/>
      <c r="G36" s="168"/>
    </row>
    <row r="37" spans="2:7" x14ac:dyDescent="0.3">
      <c r="B37" s="187" t="str">
        <f t="shared" ca="1" si="0"/>
        <v>28M</v>
      </c>
      <c r="C37" s="220">
        <f t="shared" ca="1" si="1"/>
        <v>2.3863013698630136</v>
      </c>
      <c r="D37" s="172">
        <f ca="1">IF(NOT($C$6),"",IF([3]!GetConvertDate(CDSRollDate,B37)&lt;Parameter_Date,0,[3]!GetGetDefaultprob($I$6,B37)))</f>
        <v>1.1106668606413517E-2</v>
      </c>
      <c r="E37" s="181">
        <f t="shared" ca="1" si="2"/>
        <v>7.0209160213683735E-3</v>
      </c>
      <c r="F37" s="167"/>
      <c r="G37" s="168"/>
    </row>
    <row r="38" spans="2:7" x14ac:dyDescent="0.3">
      <c r="B38" s="187" t="str">
        <f t="shared" ca="1" si="0"/>
        <v>29M</v>
      </c>
      <c r="C38" s="220">
        <f t="shared" ca="1" si="1"/>
        <v>2.4712328767123286</v>
      </c>
      <c r="D38" s="172">
        <f ca="1">IF(NOT($C$6),"",IF([3]!GetConvertDate(CDSRollDate,B38)&lt;Parameter_Date,0,[3]!GetGetDefaultprob($I$6,B38)))</f>
        <v>1.169616693515152E-2</v>
      </c>
      <c r="E38" s="181">
        <f t="shared" ca="1" si="2"/>
        <v>7.0209160213690102E-3</v>
      </c>
      <c r="F38" s="167"/>
      <c r="G38" s="168"/>
    </row>
    <row r="39" spans="2:7" x14ac:dyDescent="0.3">
      <c r="B39" s="187" t="str">
        <f t="shared" ca="1" si="0"/>
        <v>30M</v>
      </c>
      <c r="C39" s="220">
        <f t="shared" ca="1" si="1"/>
        <v>2.5561643835616437</v>
      </c>
      <c r="D39" s="172">
        <f ca="1">IF(NOT($C$6),"",IF([3]!GetConvertDate(CDSRollDate,B39)&lt;Parameter_Date,0,[3]!GetGetDefaultprob($I$6,B39)))</f>
        <v>1.2285313852601232E-2</v>
      </c>
      <c r="E39" s="181">
        <f t="shared" ca="1" si="2"/>
        <v>7.0209160213690102E-3</v>
      </c>
      <c r="F39" s="167"/>
      <c r="G39" s="168"/>
    </row>
    <row r="40" spans="2:7" x14ac:dyDescent="0.3">
      <c r="B40" s="187" t="str">
        <f t="shared" ca="1" si="0"/>
        <v>31M</v>
      </c>
      <c r="C40" s="220">
        <f t="shared" ca="1" si="1"/>
        <v>2.6383561643835618</v>
      </c>
      <c r="D40" s="172">
        <f ca="1">IF(NOT($C$6),"",IF([3]!GetConvertDate(CDSRollDate,B40)&lt;Parameter_Date,0,[3]!GetGetDefaultprob($I$6,B40)))</f>
        <v>1.2917948185319439E-2</v>
      </c>
      <c r="E40" s="181">
        <f t="shared" ca="1" si="2"/>
        <v>7.7952846117446649E-3</v>
      </c>
      <c r="F40" s="167"/>
      <c r="G40" s="168"/>
    </row>
    <row r="41" spans="2:7" x14ac:dyDescent="0.3">
      <c r="B41" s="187" t="str">
        <f t="shared" ca="1" si="0"/>
        <v>32M</v>
      </c>
      <c r="C41" s="220">
        <f t="shared" ca="1" si="1"/>
        <v>2.7232876712328768</v>
      </c>
      <c r="D41" s="172">
        <f ca="1">IF(NOT($C$6),"",IF([3]!GetConvertDate(CDSRollDate,B41)&lt;Parameter_Date,0,[3]!GetGetDefaultprob($I$6,B41)))</f>
        <v>1.3571244642571312E-2</v>
      </c>
      <c r="E41" s="181">
        <f t="shared" ca="1" si="2"/>
        <v>7.795284611744932E-3</v>
      </c>
      <c r="F41" s="167"/>
      <c r="G41" s="168"/>
    </row>
    <row r="42" spans="2:7" x14ac:dyDescent="0.3">
      <c r="B42" s="187" t="str">
        <f t="shared" ca="1" si="0"/>
        <v>33M</v>
      </c>
      <c r="C42" s="220">
        <f t="shared" ref="C42:C73" ca="1" si="3">MAX(0,(DATE(YEAR(CDSRollDate),MONTH(CDSRollDate)+ROW()-ROW($B$9),DAY(CDSRollDate))-Parameter_Date)/365)</f>
        <v>2.8054794520547945</v>
      </c>
      <c r="D42" s="172">
        <f ca="1">IF(NOT($C$6),"",IF([3]!GetConvertDate(CDSRollDate,B42)&lt;Parameter_Date,0,[3]!GetGetDefaultprob($I$6,B42)))</f>
        <v>1.4203055332613568E-2</v>
      </c>
      <c r="E42" s="181">
        <f t="shared" ca="1" si="2"/>
        <v>7.7952846117447074E-3</v>
      </c>
      <c r="F42" s="167"/>
      <c r="G42" s="168"/>
    </row>
    <row r="43" spans="2:7" x14ac:dyDescent="0.3">
      <c r="B43" s="187" t="str">
        <f t="shared" ca="1" si="0"/>
        <v>34M</v>
      </c>
      <c r="C43" s="220">
        <f t="shared" ca="1" si="3"/>
        <v>2.8904109589041096</v>
      </c>
      <c r="D43" s="172">
        <f ca="1">IF(NOT($C$6),"",IF([3]!GetConvertDate(CDSRollDate,B43)&lt;Parameter_Date,0,[3]!GetGetDefaultprob($I$6,B43)))</f>
        <v>1.4920290386391866E-2</v>
      </c>
      <c r="E43" s="181">
        <f t="shared" ca="1" si="2"/>
        <v>8.5696532021216267E-3</v>
      </c>
      <c r="F43" s="167"/>
      <c r="G43" s="168"/>
    </row>
    <row r="44" spans="2:7" x14ac:dyDescent="0.3">
      <c r="B44" s="187" t="str">
        <f t="shared" ca="1" si="0"/>
        <v>35M</v>
      </c>
      <c r="C44" s="220">
        <f t="shared" ca="1" si="3"/>
        <v>2.9753424657534246</v>
      </c>
      <c r="D44" s="172">
        <f ca="1">IF(NOT($C$6),"",IF([3]!GetConvertDate(CDSRollDate,B44)&lt;Parameter_Date,0,[3]!GetGetDefaultprob($I$6,B44)))</f>
        <v>1.5637003602356425E-2</v>
      </c>
      <c r="E44" s="181">
        <f t="shared" ca="1" si="2"/>
        <v>8.5696532021216267E-3</v>
      </c>
      <c r="F44" s="167"/>
      <c r="G44" s="168"/>
    </row>
    <row r="45" spans="2:7" x14ac:dyDescent="0.3">
      <c r="B45" s="187" t="str">
        <f t="shared" ca="1" si="0"/>
        <v>36M</v>
      </c>
      <c r="C45" s="220">
        <f t="shared" ca="1" si="3"/>
        <v>3.0520547945205481</v>
      </c>
      <c r="D45" s="172">
        <f ca="1">IF(NOT($C$6),"",IF([3]!GetConvertDate(CDSRollDate,B45)&lt;Parameter_Date,0,[3]!GetGetDefaultprob($I$6,B45)))</f>
        <v>1.628390925992329E-2</v>
      </c>
      <c r="E45" s="181">
        <f t="shared" ca="1" si="2"/>
        <v>8.5696532021207091E-3</v>
      </c>
      <c r="F45" s="167"/>
      <c r="G45" s="168"/>
    </row>
    <row r="46" spans="2:7" x14ac:dyDescent="0.3">
      <c r="B46" s="187" t="str">
        <f t="shared" ca="1" si="0"/>
        <v>37M</v>
      </c>
      <c r="C46" s="220">
        <f t="shared" ca="1" si="3"/>
        <v>3.1369863013698631</v>
      </c>
      <c r="D46" s="172">
        <f ca="1">IF(NOT($C$6),"",IF([3]!GetConvertDate(CDSRollDate,B46)&lt;Parameter_Date,0,[3]!GetGetDefaultprob($I$6,B46)))</f>
        <v>1.7010582136384955E-2</v>
      </c>
      <c r="E46" s="181">
        <f t="shared" ca="1" si="2"/>
        <v>8.700832377546857E-3</v>
      </c>
      <c r="F46" s="167"/>
      <c r="G46" s="168"/>
    </row>
    <row r="47" spans="2:7" x14ac:dyDescent="0.3">
      <c r="B47" s="187" t="str">
        <f t="shared" ca="1" si="0"/>
        <v>38M</v>
      </c>
      <c r="C47" s="220">
        <f t="shared" ca="1" si="3"/>
        <v>3.2191780821917808</v>
      </c>
      <c r="D47" s="172">
        <f ca="1">IF(NOT($C$6),"",IF([3]!GetConvertDate(CDSRollDate,B47)&lt;Parameter_Date,0,[3]!GetGetDefaultprob($I$6,B47)))</f>
        <v>1.7713302848313295E-2</v>
      </c>
      <c r="E47" s="181">
        <f t="shared" ca="1" si="2"/>
        <v>8.7008323775464979E-3</v>
      </c>
      <c r="F47" s="167"/>
      <c r="G47" s="168"/>
    </row>
    <row r="48" spans="2:7" x14ac:dyDescent="0.3">
      <c r="B48" s="187" t="str">
        <f t="shared" ca="1" si="0"/>
        <v>39M</v>
      </c>
      <c r="C48" s="220">
        <f t="shared" ca="1" si="3"/>
        <v>3.3041095890410959</v>
      </c>
      <c r="D48" s="172">
        <f ca="1">IF(NOT($C$6),"",IF([3]!GetConvertDate(CDSRollDate,B48)&lt;Parameter_Date,0,[3]!GetGetDefaultprob($I$6,B48)))</f>
        <v>1.8438919829115386E-2</v>
      </c>
      <c r="E48" s="181">
        <f t="shared" ca="1" si="2"/>
        <v>8.700832377548165E-3</v>
      </c>
      <c r="F48" s="167"/>
      <c r="G48" s="168"/>
    </row>
    <row r="49" spans="2:7" x14ac:dyDescent="0.3">
      <c r="B49" s="187" t="str">
        <f t="shared" ca="1" si="0"/>
        <v>40M</v>
      </c>
      <c r="C49" s="220">
        <f t="shared" ca="1" si="3"/>
        <v>3.3863013698630136</v>
      </c>
      <c r="D49" s="172">
        <f ca="1">IF(NOT($C$6),"",IF([3]!GetConvertDate(CDSRollDate,B49)&lt;Parameter_Date,0,[3]!GetGetDefaultprob($I$6,B49)))</f>
        <v>1.9151194870931754E-2</v>
      </c>
      <c r="E49" s="181">
        <f t="shared" ca="1" si="2"/>
        <v>8.8320115529727482E-3</v>
      </c>
      <c r="F49" s="167"/>
      <c r="G49" s="168"/>
    </row>
    <row r="50" spans="2:7" x14ac:dyDescent="0.3">
      <c r="B50" s="187" t="str">
        <f t="shared" ca="1" si="0"/>
        <v>41M</v>
      </c>
      <c r="C50" s="220">
        <f t="shared" ca="1" si="3"/>
        <v>3.4712328767123286</v>
      </c>
      <c r="D50" s="172">
        <f ca="1">IF(NOT($C$6),"",IF([3]!GetConvertDate(CDSRollDate,B50)&lt;Parameter_Date,0,[3]!GetGetDefaultprob($I$6,B50)))</f>
        <v>1.9886669421874226E-2</v>
      </c>
      <c r="E50" s="181">
        <f t="shared" ca="1" si="2"/>
        <v>8.8320115529744361E-3</v>
      </c>
      <c r="F50" s="167"/>
      <c r="G50" s="168"/>
    </row>
    <row r="51" spans="2:7" x14ac:dyDescent="0.3">
      <c r="B51" s="187" t="str">
        <f t="shared" ca="1" si="0"/>
        <v>42M</v>
      </c>
      <c r="C51" s="220">
        <f t="shared" ca="1" si="3"/>
        <v>3.5561643835616437</v>
      </c>
      <c r="D51" s="172">
        <f ca="1">IF(NOT($C$6),"",IF([3]!GetConvertDate(CDSRollDate,B51)&lt;Parameter_Date,0,[3]!GetGetDefaultprob($I$6,B51)))</f>
        <v>2.0621592488416329E-2</v>
      </c>
      <c r="E51" s="181">
        <f t="shared" ca="1" si="2"/>
        <v>8.8320115529731281E-3</v>
      </c>
      <c r="F51" s="167"/>
      <c r="G51" s="168"/>
    </row>
    <row r="52" spans="2:7" x14ac:dyDescent="0.3">
      <c r="B52" s="187" t="str">
        <f t="shared" ca="1" si="0"/>
        <v>43M</v>
      </c>
      <c r="C52" s="220">
        <f t="shared" ca="1" si="3"/>
        <v>3.6383561643835618</v>
      </c>
      <c r="D52" s="172">
        <f ca="1">IF(NOT($C$6),"",IF([3]!GetConvertDate(CDSRollDate,B52)&lt;Parameter_Date,0,[3]!GetGetDefaultprob($I$6,B52)))</f>
        <v>2.1342835453824205E-2</v>
      </c>
      <c r="E52" s="181">
        <f t="shared" ca="1" si="2"/>
        <v>8.9631907283985457E-3</v>
      </c>
      <c r="F52" s="167"/>
      <c r="G52" s="168"/>
    </row>
    <row r="53" spans="2:7" x14ac:dyDescent="0.3">
      <c r="B53" s="187" t="str">
        <f t="shared" ca="1" si="0"/>
        <v>44M</v>
      </c>
      <c r="C53" s="220">
        <f t="shared" ca="1" si="3"/>
        <v>3.7232876712328768</v>
      </c>
      <c r="D53" s="172">
        <f ca="1">IF(NOT($C$6),"",IF([3]!GetConvertDate(CDSRollDate,B53)&lt;Parameter_Date,0,[3]!GetGetDefaultprob($I$6,B53)))</f>
        <v>2.2087561859216009E-2</v>
      </c>
      <c r="E53" s="181">
        <f t="shared" ca="1" si="2"/>
        <v>8.9631907283985457E-3</v>
      </c>
      <c r="F53" s="167"/>
      <c r="G53" s="168"/>
    </row>
    <row r="54" spans="2:7" x14ac:dyDescent="0.3">
      <c r="B54" s="187" t="str">
        <f t="shared" ca="1" si="0"/>
        <v>45M</v>
      </c>
      <c r="C54" s="220">
        <f t="shared" ca="1" si="3"/>
        <v>3.8054794520547945</v>
      </c>
      <c r="D54" s="172">
        <f ca="1">IF(NOT($C$6),"",IF([3]!GetConvertDate(CDSRollDate,B54)&lt;Parameter_Date,0,[3]!GetGetDefaultprob($I$6,B54)))</f>
        <v>2.280772524181085E-2</v>
      </c>
      <c r="E54" s="181">
        <f t="shared" ca="1" si="2"/>
        <v>8.9631907283985925E-3</v>
      </c>
      <c r="F54" s="167"/>
      <c r="G54" s="168"/>
    </row>
    <row r="55" spans="2:7" x14ac:dyDescent="0.3">
      <c r="B55" s="187" t="str">
        <f t="shared" ca="1" si="0"/>
        <v>46M</v>
      </c>
      <c r="C55" s="220">
        <f t="shared" ca="1" si="3"/>
        <v>3.8904109589041096</v>
      </c>
      <c r="D55" s="172">
        <f ca="1">IF(NOT($C$6),"",IF([3]!GetConvertDate(CDSRollDate,B55)&lt;Parameter_Date,0,[3]!GetGetDefaultprob($I$6,B55)))</f>
        <v>2.3562215706737999E-2</v>
      </c>
      <c r="E55" s="181">
        <f t="shared" ca="1" si="2"/>
        <v>9.0943699038251412E-3</v>
      </c>
      <c r="F55" s="167"/>
      <c r="G55" s="168"/>
    </row>
    <row r="56" spans="2:7" x14ac:dyDescent="0.3">
      <c r="B56" s="187" t="str">
        <f t="shared" ca="1" si="0"/>
        <v>47M</v>
      </c>
      <c r="C56" s="220">
        <f t="shared" ca="1" si="3"/>
        <v>3.9753424657534246</v>
      </c>
      <c r="D56" s="172">
        <f ca="1">IF(NOT($C$6),"",IF([3]!GetConvertDate(CDSRollDate,B56)&lt;Parameter_Date,0,[3]!GetGetDefaultprob($I$6,B56)))</f>
        <v>2.4316123629338104E-2</v>
      </c>
      <c r="E56" s="181">
        <f t="shared" ca="1" si="2"/>
        <v>9.0943699038251412E-3</v>
      </c>
      <c r="F56" s="167"/>
      <c r="G56" s="168"/>
    </row>
    <row r="57" spans="2:7" x14ac:dyDescent="0.3">
      <c r="B57" s="187" t="str">
        <f t="shared" ca="1" si="0"/>
        <v>48M</v>
      </c>
      <c r="C57" s="220">
        <f t="shared" ca="1" si="3"/>
        <v>4.0547945205479454</v>
      </c>
      <c r="D57" s="172">
        <f ca="1">IF(NOT($C$6),"",IF([3]!GetConvertDate(CDSRollDate,B57)&lt;Parameter_Date,0,[3]!GetGetDefaultprob($I$6,B57)))</f>
        <v>2.5020865349933419E-2</v>
      </c>
      <c r="E57" s="181">
        <f t="shared" ca="1" si="2"/>
        <v>9.094369903825417E-3</v>
      </c>
      <c r="F57" s="167"/>
      <c r="G57" s="168"/>
    </row>
    <row r="58" spans="2:7" x14ac:dyDescent="0.3">
      <c r="B58" s="187" t="str">
        <f t="shared" ca="1" si="0"/>
        <v>49M</v>
      </c>
      <c r="C58" s="220">
        <f t="shared" ca="1" si="3"/>
        <v>4.13972602739726</v>
      </c>
      <c r="D58" s="172">
        <f ca="1">IF(NOT($C$6),"",IF([3]!GetConvertDate(CDSRollDate,B58)&lt;Parameter_Date,0,[3]!GetGetDefaultprob($I$6,B58)))</f>
        <v>2.5784501082736999E-2</v>
      </c>
      <c r="E58" s="181">
        <f t="shared" ca="1" si="2"/>
        <v>9.2255490792510705E-3</v>
      </c>
      <c r="F58" s="167"/>
      <c r="G58" s="168"/>
    </row>
    <row r="59" spans="2:7" x14ac:dyDescent="0.3">
      <c r="B59" s="187" t="str">
        <f t="shared" ca="1" si="0"/>
        <v>50M</v>
      </c>
      <c r="C59" s="220">
        <f t="shared" ca="1" si="3"/>
        <v>4.2219178082191782</v>
      </c>
      <c r="D59" s="172">
        <f ca="1">IF(NOT($C$6),"",IF([3]!GetConvertDate(CDSRollDate,B59)&lt;Parameter_Date,0,[3]!GetGetDefaultprob($I$6,B59)))</f>
        <v>2.6522933924738035E-2</v>
      </c>
      <c r="E59" s="181">
        <f t="shared" ca="1" si="2"/>
        <v>9.2255490792515493E-3</v>
      </c>
      <c r="F59" s="167"/>
      <c r="G59" s="168"/>
    </row>
    <row r="60" spans="2:7" x14ac:dyDescent="0.3">
      <c r="B60" s="187" t="str">
        <f t="shared" ca="1" si="0"/>
        <v>51M</v>
      </c>
      <c r="C60" s="220">
        <f t="shared" ca="1" si="3"/>
        <v>4.3068493150684928</v>
      </c>
      <c r="D60" s="172">
        <f ca="1">IF(NOT($C$6),"",IF([3]!GetConvertDate(CDSRollDate,B60)&lt;Parameter_Date,0,[3]!GetGetDefaultprob($I$6,B60)))</f>
        <v>2.7285393188019258E-2</v>
      </c>
      <c r="E60" s="181">
        <f t="shared" ca="1" si="2"/>
        <v>9.2255490792510705E-3</v>
      </c>
      <c r="F60" s="167"/>
      <c r="G60" s="168"/>
    </row>
    <row r="61" spans="2:7" x14ac:dyDescent="0.3">
      <c r="B61" s="187" t="str">
        <f t="shared" ca="1" si="0"/>
        <v>52M</v>
      </c>
      <c r="C61" s="220">
        <f t="shared" ca="1" si="3"/>
        <v>4.3890410958904109</v>
      </c>
      <c r="D61" s="172">
        <f ca="1">IF(NOT($C$6),"",IF([3]!GetConvertDate(CDSRollDate,B61)&lt;Parameter_Date,0,[3]!GetGetDefaultprob($I$6,B61)))</f>
        <v>2.8033168045593859E-2</v>
      </c>
      <c r="E61" s="181">
        <f t="shared" ca="1" si="2"/>
        <v>9.3567282546765992E-3</v>
      </c>
      <c r="F61" s="167"/>
      <c r="G61" s="168"/>
    </row>
    <row r="62" spans="2:7" x14ac:dyDescent="0.3">
      <c r="B62" s="187" t="str">
        <f t="shared" ca="1" si="0"/>
        <v>53M</v>
      </c>
      <c r="C62" s="220">
        <f t="shared" ca="1" si="3"/>
        <v>4.4739726027397264</v>
      </c>
      <c r="D62" s="172">
        <f ca="1">IF(NOT($C$6),"",IF([3]!GetConvertDate(CDSRollDate,B62)&lt;Parameter_Date,0,[3]!GetGetDefaultprob($I$6,B62)))</f>
        <v>2.8805264822627019E-2</v>
      </c>
      <c r="E62" s="181">
        <f t="shared" ca="1" si="2"/>
        <v>9.3567282546768646E-3</v>
      </c>
      <c r="F62" s="167"/>
      <c r="G62" s="168"/>
    </row>
    <row r="63" spans="2:7" x14ac:dyDescent="0.3">
      <c r="B63" s="187" t="str">
        <f t="shared" ca="1" si="0"/>
        <v>54M</v>
      </c>
      <c r="C63" s="220">
        <f t="shared" ca="1" si="3"/>
        <v>4.558904109589041</v>
      </c>
      <c r="D63" s="172">
        <f ca="1">IF(NOT($C$6),"",IF([3]!GetConvertDate(CDSRollDate,B63)&lt;Parameter_Date,0,[3]!GetGetDefaultprob($I$6,B63)))</f>
        <v>2.9576748272730158E-2</v>
      </c>
      <c r="E63" s="181">
        <f t="shared" ca="1" si="2"/>
        <v>9.3567282546769635E-3</v>
      </c>
      <c r="F63" s="167"/>
      <c r="G63" s="168"/>
    </row>
    <row r="64" spans="2:7" x14ac:dyDescent="0.3">
      <c r="B64" s="187" t="str">
        <f t="shared" ca="1" si="0"/>
        <v>55M</v>
      </c>
      <c r="C64" s="220">
        <f t="shared" ca="1" si="3"/>
        <v>4.6410958904109592</v>
      </c>
      <c r="D64" s="172">
        <f ca="1">IF(NOT($C$6),"",IF([3]!GetConvertDate(CDSRollDate,B64)&lt;Parameter_Date,0,[3]!GetGetDefaultprob($I$6,B64)))</f>
        <v>3.0333216508102057E-2</v>
      </c>
      <c r="E64" s="181">
        <f t="shared" ca="1" si="2"/>
        <v>9.4879074301037793E-3</v>
      </c>
      <c r="F64" s="167"/>
      <c r="G64" s="168"/>
    </row>
    <row r="65" spans="2:7" x14ac:dyDescent="0.3">
      <c r="B65" s="187" t="str">
        <f t="shared" ca="1" si="0"/>
        <v>56M</v>
      </c>
      <c r="C65" s="220">
        <f t="shared" ca="1" si="3"/>
        <v>4.7260273972602738</v>
      </c>
      <c r="D65" s="172">
        <f ca="1">IF(NOT($C$6),"",IF([3]!GetConvertDate(CDSRollDate,B65)&lt;Parameter_Date,0,[3]!GetGetDefaultprob($I$6,B65)))</f>
        <v>3.1114280859664833E-2</v>
      </c>
      <c r="E65" s="181">
        <f t="shared" ca="1" si="2"/>
        <v>9.4879074301035884E-3</v>
      </c>
      <c r="F65" s="167"/>
      <c r="G65" s="168"/>
    </row>
    <row r="66" spans="2:7" x14ac:dyDescent="0.3">
      <c r="B66" s="187" t="str">
        <f t="shared" ca="1" si="0"/>
        <v>57M</v>
      </c>
      <c r="C66" s="220">
        <f t="shared" ca="1" si="3"/>
        <v>4.8082191780821919</v>
      </c>
      <c r="D66" s="172">
        <f ca="1">IF(NOT($C$6),"",IF([3]!GetConvertDate(CDSRollDate,B66)&lt;Parameter_Date,0,[3]!GetGetDefaultprob($I$6,B66)))</f>
        <v>3.1869550551452019E-2</v>
      </c>
      <c r="E66" s="181">
        <f t="shared" ca="1" si="2"/>
        <v>9.4879074301037793E-3</v>
      </c>
      <c r="F66" s="167"/>
      <c r="G66" s="168"/>
    </row>
    <row r="67" spans="2:7" x14ac:dyDescent="0.3">
      <c r="B67" s="187" t="str">
        <f t="shared" ca="1" si="0"/>
        <v>58M</v>
      </c>
      <c r="C67" s="220">
        <f t="shared" ca="1" si="3"/>
        <v>4.8931506849315065</v>
      </c>
      <c r="D67" s="172">
        <f ca="1">IF(NOT($C$6),"",IF([3]!GetConvertDate(CDSRollDate,B67)&lt;Parameter_Date,0,[3]!GetGetDefaultprob($I$6,B67)))</f>
        <v>3.2660154819781129E-2</v>
      </c>
      <c r="E67" s="181">
        <f t="shared" ca="1" si="2"/>
        <v>9.6190866055290564E-3</v>
      </c>
      <c r="F67" s="167"/>
      <c r="G67" s="168"/>
    </row>
    <row r="68" spans="2:7" x14ac:dyDescent="0.3">
      <c r="B68" s="187" t="str">
        <f t="shared" ca="1" si="0"/>
        <v>59M</v>
      </c>
      <c r="C68" s="220">
        <f t="shared" ca="1" si="3"/>
        <v>4.978082191780822</v>
      </c>
      <c r="D68" s="172">
        <f ca="1">IF(NOT($C$6),"",IF([3]!GetConvertDate(CDSRollDate,B68)&lt;Parameter_Date,0,[3]!GetGetDefaultprob($I$6,B68)))</f>
        <v>3.3450113457028752E-2</v>
      </c>
      <c r="E68" s="181">
        <f t="shared" ca="1" si="2"/>
        <v>9.6190866055289558E-3</v>
      </c>
      <c r="F68" s="167"/>
      <c r="G68" s="168"/>
    </row>
    <row r="69" spans="2:7" x14ac:dyDescent="0.3">
      <c r="B69" s="187" t="str">
        <f t="shared" ca="1" si="0"/>
        <v>60M</v>
      </c>
      <c r="C69" s="220">
        <f t="shared" ca="1" si="3"/>
        <v>5.0547945205479454</v>
      </c>
      <c r="D69" s="172">
        <f ca="1">IF(NOT($C$6),"",IF([3]!GetConvertDate(CDSRollDate,B69)&lt;Parameter_Date,0,[3]!GetGetDefaultprob($I$6,B69)))</f>
        <v>3.4163069989098571E-2</v>
      </c>
      <c r="E69" s="181">
        <f t="shared" ca="1" si="2"/>
        <v>9.6190866055289904E-3</v>
      </c>
      <c r="F69" s="167"/>
      <c r="G69" s="168"/>
    </row>
    <row r="70" spans="2:7" x14ac:dyDescent="0.3">
      <c r="B70" s="187" t="str">
        <f t="shared" ca="1" si="0"/>
        <v>61M</v>
      </c>
      <c r="C70" s="220">
        <f t="shared" ca="1" si="3"/>
        <v>5.13972602739726</v>
      </c>
      <c r="D70" s="172">
        <f ca="1">IF(NOT($C$6),"",IF([3]!GetConvertDate(CDSRollDate,B70)&lt;Parameter_Date,0,[3]!GetGetDefaultprob($I$6,B70)))</f>
        <v>3.4948484649218625E-2</v>
      </c>
      <c r="E70" s="181">
        <f t="shared" ca="1" si="2"/>
        <v>9.5786214436522302E-3</v>
      </c>
      <c r="F70" s="167"/>
      <c r="G70" s="168"/>
    </row>
    <row r="71" spans="2:7" x14ac:dyDescent="0.3">
      <c r="B71" s="187" t="str">
        <f t="shared" ca="1" si="0"/>
        <v>62M</v>
      </c>
      <c r="C71" s="220">
        <f t="shared" ca="1" si="3"/>
        <v>5.2219178082191782</v>
      </c>
      <c r="D71" s="172">
        <f ca="1">IF(NOT($C$6),"",IF([3]!GetConvertDate(CDSRollDate,B71)&lt;Parameter_Date,0,[3]!GetGetDefaultprob($I$6,B71)))</f>
        <v>3.5707955223574839E-2</v>
      </c>
      <c r="E71" s="181">
        <f t="shared" ca="1" si="2"/>
        <v>9.5786214436523708E-3</v>
      </c>
      <c r="F71" s="167"/>
      <c r="G71" s="168"/>
    </row>
    <row r="72" spans="2:7" x14ac:dyDescent="0.3">
      <c r="B72" s="187" t="str">
        <f t="shared" ca="1" si="0"/>
        <v>63M</v>
      </c>
      <c r="C72" s="220">
        <f t="shared" ca="1" si="3"/>
        <v>5.3068493150684928</v>
      </c>
      <c r="D72" s="172">
        <f ca="1">IF(NOT($C$6),"",IF([3]!GetConvertDate(CDSRollDate,B72)&lt;Parameter_Date,0,[3]!GetGetDefaultprob($I$6,B72)))</f>
        <v>3.6492113589310593E-2</v>
      </c>
      <c r="E72" s="181">
        <f t="shared" ca="1" si="2"/>
        <v>9.5786214436522302E-3</v>
      </c>
      <c r="F72" s="167"/>
      <c r="G72" s="168"/>
    </row>
    <row r="73" spans="2:7" x14ac:dyDescent="0.3">
      <c r="B73" s="187" t="str">
        <f t="shared" ca="1" si="0"/>
        <v>64M</v>
      </c>
      <c r="C73" s="220">
        <f t="shared" ca="1" si="3"/>
        <v>5.3890410958904109</v>
      </c>
      <c r="D73" s="172">
        <f ca="1">IF(NOT($C$6),"",IF([3]!GetConvertDate(CDSRollDate,B73)&lt;Parameter_Date,0,[3]!GetGetDefaultprob($I$6,B73)))</f>
        <v>3.7247167349729438E-2</v>
      </c>
      <c r="E73" s="181">
        <f t="shared" ca="1" si="2"/>
        <v>9.5381562817746617E-3</v>
      </c>
      <c r="F73" s="167"/>
      <c r="G73" s="168"/>
    </row>
    <row r="74" spans="2:7" x14ac:dyDescent="0.3">
      <c r="B74" s="187" t="str">
        <f t="shared" ca="1" si="0"/>
        <v>65M</v>
      </c>
      <c r="C74" s="220">
        <f t="shared" ref="C74:C105" ca="1" si="4">MAX(0,(DATE(YEAR(CDSRollDate),MONTH(CDSRollDate)+ROW()-ROW($B$9),DAY(CDSRollDate))-Parameter_Date)/365)</f>
        <v>5.4739726027397264</v>
      </c>
      <c r="D74" s="172">
        <f ca="1">IF(NOT($C$6),"",IF([3]!GetConvertDate(CDSRollDate,B74)&lt;Parameter_Date,0,[3]!GetGetDefaultprob($I$6,B74)))</f>
        <v>3.8026767962085262E-2</v>
      </c>
      <c r="E74" s="181">
        <f t="shared" ca="1" si="2"/>
        <v>9.5381562817750901E-3</v>
      </c>
      <c r="F74" s="167"/>
      <c r="G74" s="168"/>
    </row>
    <row r="75" spans="2:7" x14ac:dyDescent="0.3">
      <c r="B75" s="187" t="str">
        <f t="shared" ref="B75:B129" ca="1" si="5">ROW()-ROW($B$9)&amp;"M"</f>
        <v>66M</v>
      </c>
      <c r="C75" s="220">
        <f t="shared" ca="1" si="4"/>
        <v>5.558904109589041</v>
      </c>
      <c r="D75" s="172">
        <f ca="1">IF(NOT($C$6),"",IF([3]!GetConvertDate(CDSRollDate,B75)&lt;Parameter_Date,0,[3]!GetGetDefaultprob($I$6,B75)))</f>
        <v>3.8805737283527986E-2</v>
      </c>
      <c r="E75" s="181">
        <f t="shared" ca="1" si="2"/>
        <v>9.5381562817751907E-3</v>
      </c>
      <c r="F75" s="167"/>
      <c r="G75" s="168"/>
    </row>
    <row r="76" spans="2:7" x14ac:dyDescent="0.3">
      <c r="B76" s="187" t="str">
        <f t="shared" ca="1" si="5"/>
        <v>67M</v>
      </c>
      <c r="C76" s="220">
        <f t="shared" ca="1" si="4"/>
        <v>5.6410958904109592</v>
      </c>
      <c r="D76" s="172">
        <f ca="1">IF(NOT($C$6),"",IF([3]!GetConvertDate(CDSRollDate,B76)&lt;Parameter_Date,0,[3]!GetGetDefaultprob($I$6,B76)))</f>
        <v>3.9555783631129215E-2</v>
      </c>
      <c r="E76" s="181">
        <f t="shared" ref="E76:E129" ca="1" si="6">IF(NOT($C$6),"",IF(C76=0,0,-LN((1-D76)/(1-D75))/($C76-$C75)))</f>
        <v>9.4976911198973273E-3</v>
      </c>
      <c r="F76" s="167"/>
      <c r="G76" s="168"/>
    </row>
    <row r="77" spans="2:7" x14ac:dyDescent="0.3">
      <c r="B77" s="187" t="str">
        <f t="shared" ca="1" si="5"/>
        <v>68M</v>
      </c>
      <c r="C77" s="220">
        <f t="shared" ca="1" si="4"/>
        <v>5.7260273972602738</v>
      </c>
      <c r="D77" s="172">
        <f ca="1">IF(NOT($C$6),"",IF([3]!GetConvertDate(CDSRollDate,B77)&lt;Parameter_Date,0,[3]!GetGetDefaultprob($I$6,B77)))</f>
        <v>4.033021665791936E-2</v>
      </c>
      <c r="E77" s="181">
        <f t="shared" ca="1" si="6"/>
        <v>9.4976911198984132E-3</v>
      </c>
      <c r="F77" s="167"/>
      <c r="G77" s="168"/>
    </row>
    <row r="78" spans="2:7" x14ac:dyDescent="0.3">
      <c r="B78" s="187" t="str">
        <f t="shared" ca="1" si="5"/>
        <v>69M</v>
      </c>
      <c r="C78" s="220">
        <f t="shared" ca="1" si="4"/>
        <v>5.8082191780821919</v>
      </c>
      <c r="D78" s="172">
        <f ca="1">IF(NOT($C$6),"",IF([3]!GetConvertDate(CDSRollDate,B78)&lt;Parameter_Date,0,[3]!GetGetDefaultprob($I$6,B78)))</f>
        <v>4.1079073412291445E-2</v>
      </c>
      <c r="E78" s="181">
        <f t="shared" ca="1" si="6"/>
        <v>9.4976911198973273E-3</v>
      </c>
      <c r="F78" s="167"/>
      <c r="G78" s="168"/>
    </row>
    <row r="79" spans="2:7" x14ac:dyDescent="0.3">
      <c r="B79" s="187" t="str">
        <f t="shared" ca="1" si="5"/>
        <v>70M</v>
      </c>
      <c r="C79" s="220">
        <f t="shared" ca="1" si="4"/>
        <v>5.8931506849315065</v>
      </c>
      <c r="D79" s="172">
        <f ca="1">IF(NOT($C$6),"",IF([3]!GetConvertDate(CDSRollDate,B79)&lt;Parameter_Date,0,[3]!GetGetDefaultprob($I$6,B79)))</f>
        <v>4.1848985231642155E-2</v>
      </c>
      <c r="E79" s="181">
        <f t="shared" ca="1" si="6"/>
        <v>9.4572259580210719E-3</v>
      </c>
      <c r="F79" s="167"/>
      <c r="G79" s="168"/>
    </row>
    <row r="80" spans="2:7" x14ac:dyDescent="0.3">
      <c r="B80" s="187" t="str">
        <f t="shared" ca="1" si="5"/>
        <v>71M</v>
      </c>
      <c r="C80" s="220">
        <f t="shared" ca="1" si="4"/>
        <v>5.978082191780822</v>
      </c>
      <c r="D80" s="172">
        <f ca="1">IF(NOT($C$6),"",IF([3]!GetConvertDate(CDSRollDate,B80)&lt;Parameter_Date,0,[3]!GetGetDefaultprob($I$6,B80)))</f>
        <v>4.2618278893443939E-2</v>
      </c>
      <c r="E80" s="181">
        <f t="shared" ca="1" si="6"/>
        <v>9.457225958020973E-3</v>
      </c>
      <c r="F80" s="167"/>
      <c r="G80" s="168"/>
    </row>
    <row r="81" spans="2:7" x14ac:dyDescent="0.3">
      <c r="B81" s="187" t="str">
        <f t="shared" ca="1" si="5"/>
        <v>72M</v>
      </c>
      <c r="C81" s="220">
        <f t="shared" ca="1" si="4"/>
        <v>6.0547945205479454</v>
      </c>
      <c r="D81" s="172">
        <f ca="1">IF(NOT($C$6),"",IF([3]!GetConvertDate(CDSRollDate,B81)&lt;Parameter_Date,0,[3]!GetGetDefaultprob($I$6,B81)))</f>
        <v>4.3312593874763494E-2</v>
      </c>
      <c r="E81" s="181">
        <f t="shared" ca="1" si="6"/>
        <v>9.4572259580211655E-3</v>
      </c>
      <c r="F81" s="167"/>
      <c r="G81" s="168"/>
    </row>
    <row r="82" spans="2:7" x14ac:dyDescent="0.3">
      <c r="B82" s="187" t="str">
        <f t="shared" ca="1" si="5"/>
        <v>73M</v>
      </c>
      <c r="C82" s="220">
        <f t="shared" ca="1" si="4"/>
        <v>6.13972602739726</v>
      </c>
      <c r="D82" s="172">
        <f ca="1">IF(NOT($C$6),"",IF([3]!GetConvertDate(CDSRollDate,B82)&lt;Parameter_Date,0,[3]!GetGetDefaultprob($I$6,B82)))</f>
        <v>4.4077427136353875E-2</v>
      </c>
      <c r="E82" s="181">
        <f t="shared" ca="1" si="6"/>
        <v>9.4167607961436403E-3</v>
      </c>
      <c r="F82" s="167"/>
      <c r="G82" s="168"/>
    </row>
    <row r="83" spans="2:7" x14ac:dyDescent="0.3">
      <c r="B83" s="187" t="str">
        <f t="shared" ca="1" si="5"/>
        <v>74M</v>
      </c>
      <c r="C83" s="220">
        <f t="shared" ca="1" si="4"/>
        <v>6.2219178082191782</v>
      </c>
      <c r="D83" s="172">
        <f ca="1">IF(NOT($C$6),"",IF([3]!GetConvertDate(CDSRollDate,B83)&lt;Parameter_Date,0,[3]!GetGetDefaultprob($I$6,B83)))</f>
        <v>4.4817006167013007E-2</v>
      </c>
      <c r="E83" s="181">
        <f t="shared" ca="1" si="6"/>
        <v>9.4167607961442197E-3</v>
      </c>
      <c r="F83" s="167"/>
      <c r="G83" s="168"/>
    </row>
    <row r="84" spans="2:7" x14ac:dyDescent="0.3">
      <c r="B84" s="187" t="str">
        <f t="shared" ca="1" si="5"/>
        <v>75M</v>
      </c>
      <c r="C84" s="220">
        <f t="shared" ca="1" si="4"/>
        <v>6.3068493150684928</v>
      </c>
      <c r="D84" s="172">
        <f ca="1">IF(NOT($C$6),"",IF([3]!GetConvertDate(CDSRollDate,B84)&lt;Parameter_Date,0,[3]!GetGetDefaultprob($I$6,B84)))</f>
        <v>4.5580636711234246E-2</v>
      </c>
      <c r="E84" s="181">
        <f t="shared" ca="1" si="6"/>
        <v>9.4167607961436403E-3</v>
      </c>
      <c r="F84" s="167"/>
      <c r="G84" s="168"/>
    </row>
    <row r="85" spans="2:7" x14ac:dyDescent="0.3">
      <c r="B85" s="187" t="str">
        <f t="shared" ca="1" si="5"/>
        <v>76M</v>
      </c>
      <c r="C85" s="220">
        <f t="shared" ca="1" si="4"/>
        <v>6.3890410958904109</v>
      </c>
      <c r="D85" s="172">
        <f ca="1">IF(NOT($C$6),"",IF([3]!GetConvertDate(CDSRollDate,B85)&lt;Parameter_Date,0,[3]!GetGetDefaultprob($I$6,B85)))</f>
        <v>4.6315880881084848E-2</v>
      </c>
      <c r="E85" s="181">
        <f t="shared" ca="1" si="6"/>
        <v>9.3762956342666372E-3</v>
      </c>
      <c r="F85" s="167"/>
      <c r="G85" s="168"/>
    </row>
    <row r="86" spans="2:7" x14ac:dyDescent="0.3">
      <c r="B86" s="187" t="str">
        <f t="shared" ca="1" si="5"/>
        <v>77M</v>
      </c>
      <c r="C86" s="220">
        <f t="shared" ca="1" si="4"/>
        <v>6.4739726027397264</v>
      </c>
      <c r="D86" s="172">
        <f ca="1">IF(NOT($C$6),"",IF([3]!GetConvertDate(CDSRollDate,B86)&lt;Parameter_Date,0,[3]!GetGetDefaultprob($I$6,B86)))</f>
        <v>4.7075038159409166E-2</v>
      </c>
      <c r="E86" s="181">
        <f t="shared" ca="1" si="6"/>
        <v>9.3762956342665037E-3</v>
      </c>
      <c r="F86" s="167"/>
      <c r="G86" s="168"/>
    </row>
    <row r="87" spans="2:7" x14ac:dyDescent="0.3">
      <c r="B87" s="187" t="str">
        <f t="shared" ca="1" si="5"/>
        <v>78M</v>
      </c>
      <c r="C87" s="220">
        <f t="shared" ca="1" si="4"/>
        <v>6.558904109589041</v>
      </c>
      <c r="D87" s="172">
        <f ca="1">IF(NOT($C$6),"",IF([3]!GetConvertDate(CDSRollDate,B87)&lt;Parameter_Date,0,[3]!GetGetDefaultprob($I$6,B87)))</f>
        <v>4.783359112886254E-2</v>
      </c>
      <c r="E87" s="181">
        <f t="shared" ca="1" si="6"/>
        <v>9.3762956342666008E-3</v>
      </c>
      <c r="F87" s="167"/>
      <c r="G87" s="168"/>
    </row>
    <row r="88" spans="2:7" x14ac:dyDescent="0.3">
      <c r="B88" s="187" t="str">
        <f t="shared" ca="1" si="5"/>
        <v>79M</v>
      </c>
      <c r="C88" s="220">
        <f t="shared" ca="1" si="4"/>
        <v>6.6410958904109592</v>
      </c>
      <c r="D88" s="172">
        <f ca="1">IF(NOT($C$6),"",IF([3]!GetConvertDate(CDSRollDate,B88)&lt;Parameter_Date,0,[3]!GetGetDefaultprob($I$6,B88)))</f>
        <v>4.8563935338769348E-2</v>
      </c>
      <c r="E88" s="181">
        <f t="shared" ca="1" si="6"/>
        <v>9.3358304723898684E-3</v>
      </c>
      <c r="F88" s="167"/>
      <c r="G88" s="168"/>
    </row>
    <row r="89" spans="2:7" x14ac:dyDescent="0.3">
      <c r="B89" s="187" t="str">
        <f t="shared" ca="1" si="5"/>
        <v>80M</v>
      </c>
      <c r="C89" s="220">
        <f t="shared" ca="1" si="4"/>
        <v>6.7260273972602738</v>
      </c>
      <c r="D89" s="172">
        <f ca="1">IF(NOT($C$6),"",IF([3]!GetConvertDate(CDSRollDate,B89)&lt;Parameter_Date,0,[3]!GetGetDefaultprob($I$6,B89)))</f>
        <v>4.9318035840523633E-2</v>
      </c>
      <c r="E89" s="181">
        <f t="shared" ca="1" si="6"/>
        <v>9.335830472389119E-3</v>
      </c>
      <c r="F89" s="167"/>
      <c r="G89" s="168"/>
    </row>
    <row r="90" spans="2:7" x14ac:dyDescent="0.3">
      <c r="B90" s="187" t="str">
        <f t="shared" ca="1" si="5"/>
        <v>81M</v>
      </c>
      <c r="C90" s="220">
        <f t="shared" ca="1" si="4"/>
        <v>6.8082191780821919</v>
      </c>
      <c r="D90" s="172">
        <f ca="1">IF(NOT($C$6),"",IF([3]!GetConvertDate(CDSRollDate,B90)&lt;Parameter_Date,0,[3]!GetGetDefaultprob($I$6,B90)))</f>
        <v>5.0047241430552614E-2</v>
      </c>
      <c r="E90" s="181">
        <f t="shared" ca="1" si="6"/>
        <v>9.3358304723898684E-3</v>
      </c>
      <c r="F90" s="167"/>
      <c r="G90" s="168"/>
    </row>
    <row r="91" spans="2:7" x14ac:dyDescent="0.3">
      <c r="B91" s="187" t="str">
        <f t="shared" ca="1" si="5"/>
        <v>82M</v>
      </c>
      <c r="C91" s="220">
        <f t="shared" ca="1" si="4"/>
        <v>6.8931506849315065</v>
      </c>
      <c r="D91" s="172">
        <f ca="1">IF(NOT($C$6),"",IF([3]!GetConvertDate(CDSRollDate,B91)&lt;Parameter_Date,0,[3]!GetGetDefaultprob($I$6,B91)))</f>
        <v>5.0796904091504058E-2</v>
      </c>
      <c r="E91" s="181">
        <f t="shared" ca="1" si="6"/>
        <v>9.295365310512985E-3</v>
      </c>
      <c r="F91" s="167"/>
      <c r="G91" s="168"/>
    </row>
    <row r="92" spans="2:7" x14ac:dyDescent="0.3">
      <c r="B92" s="187" t="str">
        <f t="shared" ca="1" si="5"/>
        <v>83M</v>
      </c>
      <c r="C92" s="220">
        <f t="shared" ca="1" si="4"/>
        <v>6.978082191780822</v>
      </c>
      <c r="D92" s="172">
        <f ca="1">IF(NOT($C$6),"",IF([3]!GetConvertDate(CDSRollDate,B92)&lt;Parameter_Date,0,[3]!GetGetDefaultprob($I$6,B92)))</f>
        <v>5.1545975150294132E-2</v>
      </c>
      <c r="E92" s="181">
        <f t="shared" ca="1" si="6"/>
        <v>9.2953653105128878E-3</v>
      </c>
      <c r="F92" s="167"/>
      <c r="G92" s="168"/>
    </row>
    <row r="93" spans="2:7" x14ac:dyDescent="0.3">
      <c r="B93" s="187" t="str">
        <f t="shared" ca="1" si="5"/>
        <v>84M</v>
      </c>
      <c r="C93" s="220">
        <f t="shared" ca="1" si="4"/>
        <v>7.0547945205479454</v>
      </c>
      <c r="D93" s="172">
        <f ca="1">IF(NOT($C$6),"",IF([3]!GetConvertDate(CDSRollDate,B93)&lt;Parameter_Date,0,[3]!GetGetDefaultprob($I$6,B93)))</f>
        <v>5.2222047355126922E-2</v>
      </c>
      <c r="E93" s="181">
        <f t="shared" ca="1" si="6"/>
        <v>9.2953653105124698E-3</v>
      </c>
      <c r="F93" s="167"/>
      <c r="G93" s="168"/>
    </row>
    <row r="94" spans="2:7" x14ac:dyDescent="0.3">
      <c r="B94" s="187" t="str">
        <f t="shared" ca="1" si="5"/>
        <v>85M</v>
      </c>
      <c r="C94" s="220">
        <f t="shared" ca="1" si="4"/>
        <v>7.13972602739726</v>
      </c>
      <c r="D94" s="172">
        <f ca="1">IF(NOT($C$6),"",IF([3]!GetConvertDate(CDSRollDate,B94)&lt;Parameter_Date,0,[3]!GetGetDefaultprob($I$6,B94)))</f>
        <v>5.2980725100681525E-2</v>
      </c>
      <c r="E94" s="181">
        <f t="shared" ca="1" si="6"/>
        <v>9.4287863255567757E-3</v>
      </c>
      <c r="F94" s="167"/>
      <c r="G94" s="168"/>
    </row>
    <row r="95" spans="2:7" x14ac:dyDescent="0.3">
      <c r="B95" s="187" t="str">
        <f t="shared" ca="1" si="5"/>
        <v>86M</v>
      </c>
      <c r="C95" s="220">
        <f t="shared" ca="1" si="4"/>
        <v>7.2219178082191782</v>
      </c>
      <c r="D95" s="172">
        <f ca="1">IF(NOT($C$6),"",IF([3]!GetConvertDate(CDSRollDate,B95)&lt;Parameter_Date,0,[3]!GetGetDefaultprob($I$6,B95)))</f>
        <v>5.3714351128705595E-2</v>
      </c>
      <c r="E95" s="181">
        <f t="shared" ca="1" si="6"/>
        <v>9.4287863255559327E-3</v>
      </c>
      <c r="F95" s="167"/>
      <c r="G95" s="168"/>
    </row>
    <row r="96" spans="2:7" x14ac:dyDescent="0.3">
      <c r="B96" s="187" t="str">
        <f t="shared" ca="1" si="5"/>
        <v>87M</v>
      </c>
      <c r="C96" s="220">
        <f t="shared" ca="1" si="4"/>
        <v>7.3068493150684928</v>
      </c>
      <c r="D96" s="172">
        <f ca="1">IF(NOT($C$6),"",IF([3]!GetConvertDate(CDSRollDate,B96)&lt;Parameter_Date,0,[3]!GetGetDefaultprob($I$6,B96)))</f>
        <v>5.4471834314226975E-2</v>
      </c>
      <c r="E96" s="181">
        <f t="shared" ca="1" si="6"/>
        <v>9.4287863255567757E-3</v>
      </c>
      <c r="F96" s="167"/>
      <c r="G96" s="168"/>
    </row>
    <row r="97" spans="2:7" x14ac:dyDescent="0.3">
      <c r="B97" s="187" t="str">
        <f t="shared" ca="1" si="5"/>
        <v>88M</v>
      </c>
      <c r="C97" s="220">
        <f t="shared" ca="1" si="4"/>
        <v>7.3890410958904109</v>
      </c>
      <c r="D97" s="172">
        <f ca="1">IF(NOT($C$6),"",IF([3]!GetConvertDate(CDSRollDate,B97)&lt;Parameter_Date,0,[3]!GetGetDefaultprob($I$6,B97)))</f>
        <v>5.5214665904359084E-2</v>
      </c>
      <c r="E97" s="181">
        <f t="shared" ca="1" si="6"/>
        <v>9.5622073406001259E-3</v>
      </c>
      <c r="F97" s="167"/>
      <c r="G97" s="168"/>
    </row>
    <row r="98" spans="2:7" x14ac:dyDescent="0.3">
      <c r="B98" s="187" t="str">
        <f t="shared" ca="1" si="5"/>
        <v>89M</v>
      </c>
      <c r="C98" s="220">
        <f t="shared" ca="1" si="4"/>
        <v>7.4739726027397264</v>
      </c>
      <c r="D98" s="172">
        <f ca="1">IF(NOT($C$6),"",IF([3]!GetConvertDate(CDSRollDate,B98)&lt;Parameter_Date,0,[3]!GetGetDefaultprob($I$6,B98)))</f>
        <v>5.5981645461366081E-2</v>
      </c>
      <c r="E98" s="181">
        <f t="shared" ca="1" si="6"/>
        <v>9.5622073406001987E-3</v>
      </c>
      <c r="F98" s="167"/>
      <c r="G98" s="168"/>
    </row>
    <row r="99" spans="2:7" x14ac:dyDescent="0.3">
      <c r="B99" s="187" t="str">
        <f t="shared" ca="1" si="5"/>
        <v>90M</v>
      </c>
      <c r="C99" s="220">
        <f t="shared" ca="1" si="4"/>
        <v>7.558904109589041</v>
      </c>
      <c r="D99" s="172">
        <f ca="1">IF(NOT($C$6),"",IF([3]!GetConvertDate(CDSRollDate,B99)&lt;Parameter_Date,0,[3]!GetGetDefaultprob($I$6,B99)))</f>
        <v>5.6748002382077112E-2</v>
      </c>
      <c r="E99" s="181">
        <f t="shared" ca="1" si="6"/>
        <v>9.5622073406002994E-3</v>
      </c>
      <c r="F99" s="167"/>
      <c r="G99" s="168"/>
    </row>
    <row r="100" spans="2:7" x14ac:dyDescent="0.3">
      <c r="B100" s="187" t="str">
        <f t="shared" ca="1" si="5"/>
        <v>91M</v>
      </c>
      <c r="C100" s="220">
        <f t="shared" ca="1" si="4"/>
        <v>7.6410958904109592</v>
      </c>
      <c r="D100" s="172">
        <f ca="1">IF(NOT($C$6),"",IF([3]!GetConvertDate(CDSRollDate,B100)&lt;Parameter_Date,0,[3]!GetGetDefaultprob($I$6,B100)))</f>
        <v>5.749938137811117E-2</v>
      </c>
      <c r="E100" s="181">
        <f t="shared" ca="1" si="6"/>
        <v>9.6956283556444076E-3</v>
      </c>
      <c r="F100" s="167"/>
      <c r="G100" s="168"/>
    </row>
    <row r="101" spans="2:7" x14ac:dyDescent="0.3">
      <c r="B101" s="187" t="str">
        <f t="shared" ca="1" si="5"/>
        <v>92M</v>
      </c>
      <c r="C101" s="220">
        <f t="shared" ca="1" si="4"/>
        <v>7.7260273972602738</v>
      </c>
      <c r="D101" s="172">
        <f ca="1">IF(NOT($C$6),"",IF([3]!GetConvertDate(CDSRollDate,B101)&lt;Parameter_Date,0,[3]!GetGetDefaultprob($I$6,B101)))</f>
        <v>5.827517755079481E-2</v>
      </c>
      <c r="E101" s="181">
        <f t="shared" ca="1" si="6"/>
        <v>9.6956283556447389E-3</v>
      </c>
      <c r="F101" s="167"/>
      <c r="G101" s="168"/>
    </row>
    <row r="102" spans="2:7" x14ac:dyDescent="0.3">
      <c r="B102" s="187" t="str">
        <f t="shared" ca="1" si="5"/>
        <v>93M</v>
      </c>
      <c r="C102" s="220">
        <f t="shared" ca="1" si="4"/>
        <v>7.8082191780821919</v>
      </c>
      <c r="D102" s="172">
        <f ca="1">IF(NOT($C$6),"",IF([3]!GetConvertDate(CDSRollDate,B102)&lt;Parameter_Date,0,[3]!GetGetDefaultprob($I$6,B102)))</f>
        <v>5.9025340024258077E-2</v>
      </c>
      <c r="E102" s="181">
        <f t="shared" ca="1" si="6"/>
        <v>9.6956283556444076E-3</v>
      </c>
      <c r="F102" s="167"/>
      <c r="G102" s="168"/>
    </row>
    <row r="103" spans="2:7" x14ac:dyDescent="0.3">
      <c r="B103" s="187" t="str">
        <f t="shared" ca="1" si="5"/>
        <v>94M</v>
      </c>
      <c r="C103" s="220">
        <f t="shared" ca="1" si="4"/>
        <v>7.8931506849315065</v>
      </c>
      <c r="D103" s="172">
        <f ca="1">IF(NOT($C$6),"",IF([3]!GetConvertDate(CDSRollDate,B103)&lt;Parameter_Date,0,[3]!GetGetDefaultprob($I$6,B103)))</f>
        <v>5.9810534097968882E-2</v>
      </c>
      <c r="E103" s="181">
        <f t="shared" ca="1" si="6"/>
        <v>9.829049370688665E-3</v>
      </c>
      <c r="F103" s="167"/>
      <c r="G103" s="168"/>
    </row>
    <row r="104" spans="2:7" x14ac:dyDescent="0.3">
      <c r="B104" s="187" t="str">
        <f t="shared" ca="1" si="5"/>
        <v>95M</v>
      </c>
      <c r="C104" s="220">
        <f t="shared" ca="1" si="4"/>
        <v>7.978082191780822</v>
      </c>
      <c r="D104" s="172">
        <f ca="1">IF(NOT($C$6),"",IF([3]!GetConvertDate(CDSRollDate,B104)&lt;Parameter_Date,0,[3]!GetGetDefaultprob($I$6,B104)))</f>
        <v>6.0595072968346764E-2</v>
      </c>
      <c r="E104" s="181">
        <f t="shared" ca="1" si="6"/>
        <v>9.8290493706885626E-3</v>
      </c>
      <c r="F104" s="167"/>
      <c r="G104" s="168"/>
    </row>
    <row r="105" spans="2:7" x14ac:dyDescent="0.3">
      <c r="B105" s="187" t="str">
        <f t="shared" ca="1" si="5"/>
        <v>96M</v>
      </c>
      <c r="C105" s="220">
        <f t="shared" ca="1" si="4"/>
        <v>8.0575342465753419</v>
      </c>
      <c r="D105" s="172">
        <f ca="1">IF(NOT($C$6),"",IF([3]!GetConvertDate(CDSRollDate,B105)&lt;Parameter_Date,0,[3]!GetGetDefaultprob($I$6,B105)))</f>
        <v>6.132840375191051E-2</v>
      </c>
      <c r="E105" s="181">
        <f t="shared" ca="1" si="6"/>
        <v>9.8290493706882087E-3</v>
      </c>
      <c r="F105" s="167"/>
      <c r="G105" s="168"/>
    </row>
    <row r="106" spans="2:7" x14ac:dyDescent="0.3">
      <c r="B106" s="187" t="str">
        <f t="shared" ca="1" si="5"/>
        <v>97M</v>
      </c>
      <c r="C106" s="220">
        <f t="shared" ref="C106:C129" ca="1" si="7">MAX(0,(DATE(YEAR(CDSRollDate),MONTH(CDSRollDate)+ROW()-ROW($B$9),DAY(CDSRollDate))-Parameter_Date)/365)</f>
        <v>8.1424657534246574</v>
      </c>
      <c r="D106" s="172">
        <f ca="1">IF(NOT($C$6),"",IF([3]!GetConvertDate(CDSRollDate,B106)&lt;Parameter_Date,0,[3]!GetGetDefaultprob($I$6,B106)))</f>
        <v>6.2122303799552414E-2</v>
      </c>
      <c r="E106" s="181">
        <f t="shared" ca="1" si="6"/>
        <v>9.9624703857318468E-3</v>
      </c>
      <c r="F106" s="167"/>
      <c r="G106" s="168"/>
    </row>
    <row r="107" spans="2:7" x14ac:dyDescent="0.3">
      <c r="B107" s="187" t="str">
        <f t="shared" ca="1" si="5"/>
        <v>98M</v>
      </c>
      <c r="C107" s="220">
        <f t="shared" ca="1" si="7"/>
        <v>8.2246575342465746</v>
      </c>
      <c r="D107" s="172">
        <f ca="1">IF(NOT($C$6),"",IF([3]!GetConvertDate(CDSRollDate,B107)&lt;Parameter_Date,0,[3]!GetGetDefaultprob($I$6,B107)))</f>
        <v>6.2889954846257368E-2</v>
      </c>
      <c r="E107" s="181">
        <f t="shared" ca="1" si="6"/>
        <v>9.9624703857327107E-3</v>
      </c>
      <c r="F107" s="167"/>
      <c r="G107" s="168"/>
    </row>
    <row r="108" spans="2:7" x14ac:dyDescent="0.3">
      <c r="B108" s="187" t="str">
        <f t="shared" ca="1" si="5"/>
        <v>99M</v>
      </c>
      <c r="C108" s="220">
        <f t="shared" ca="1" si="7"/>
        <v>8.3095890410958901</v>
      </c>
      <c r="D108" s="172">
        <f ca="1">IF(NOT($C$6),"",IF([3]!GetConvertDate(CDSRollDate,B108)&lt;Parameter_Date,0,[3]!GetGetDefaultprob($I$6,B108)))</f>
        <v>6.368253418121006E-2</v>
      </c>
      <c r="E108" s="181">
        <f t="shared" ca="1" si="6"/>
        <v>9.9624703857331548E-3</v>
      </c>
      <c r="F108" s="167"/>
      <c r="G108" s="168"/>
    </row>
    <row r="109" spans="2:7" x14ac:dyDescent="0.3">
      <c r="B109" s="187" t="str">
        <f t="shared" ca="1" si="5"/>
        <v>100M</v>
      </c>
      <c r="C109" s="220">
        <f t="shared" ca="1" si="7"/>
        <v>8.3917808219178074</v>
      </c>
      <c r="D109" s="172">
        <f ca="1">IF(NOT($C$6),"",IF([3]!GetConvertDate(CDSRollDate,B109)&lt;Parameter_Date,0,[3]!GetGetDefaultprob($I$6,B109)))</f>
        <v>6.4459167483124635E-2</v>
      </c>
      <c r="E109" s="181">
        <f t="shared" ca="1" si="6"/>
        <v>1.0095891400775627E-2</v>
      </c>
      <c r="F109" s="167"/>
      <c r="G109" s="168"/>
    </row>
    <row r="110" spans="2:7" x14ac:dyDescent="0.3">
      <c r="B110" s="187" t="str">
        <f t="shared" ca="1" si="5"/>
        <v>101M</v>
      </c>
      <c r="C110" s="220">
        <f t="shared" ca="1" si="7"/>
        <v>8.4767123287671229</v>
      </c>
      <c r="D110" s="172">
        <f ca="1">IF(NOT($C$6),"",IF([3]!GetConvertDate(CDSRollDate,B110)&lt;Parameter_Date,0,[3]!GetGetDefaultprob($I$6,B110)))</f>
        <v>6.5261011818549042E-2</v>
      </c>
      <c r="E110" s="181">
        <f t="shared" ca="1" si="6"/>
        <v>1.0095891400775676E-2</v>
      </c>
      <c r="F110" s="167"/>
      <c r="G110" s="168"/>
    </row>
    <row r="111" spans="2:7" x14ac:dyDescent="0.3">
      <c r="B111" s="187" t="str">
        <f t="shared" ca="1" si="5"/>
        <v>102M</v>
      </c>
      <c r="C111" s="220">
        <f t="shared" ca="1" si="7"/>
        <v>8.5616438356164384</v>
      </c>
      <c r="D111" s="172">
        <f ca="1">IF(NOT($C$6),"",IF([3]!GetConvertDate(CDSRollDate,B111)&lt;Parameter_Date,0,[3]!GetGetDefaultprob($I$6,B111)))</f>
        <v>6.6062168899803542E-2</v>
      </c>
      <c r="E111" s="181">
        <f t="shared" ca="1" si="6"/>
        <v>1.0095891400775676E-2</v>
      </c>
      <c r="F111" s="167"/>
      <c r="G111" s="168"/>
    </row>
    <row r="112" spans="2:7" x14ac:dyDescent="0.3">
      <c r="B112" s="187" t="str">
        <f t="shared" ca="1" si="5"/>
        <v>103M</v>
      </c>
      <c r="C112" s="220">
        <f t="shared" ca="1" si="7"/>
        <v>8.6438356164383556</v>
      </c>
      <c r="D112" s="172">
        <f ca="1">IF(NOT($C$6),"",IF([3]!GetConvertDate(CDSRollDate,B112)&lt;Parameter_Date,0,[3]!GetGetDefaultprob($I$6,B112)))</f>
        <v>6.6847061516202011E-2</v>
      </c>
      <c r="E112" s="181">
        <f t="shared" ca="1" si="6"/>
        <v>1.0229312415819347E-2</v>
      </c>
      <c r="F112" s="167"/>
      <c r="G112" s="168"/>
    </row>
    <row r="113" spans="2:7" x14ac:dyDescent="0.3">
      <c r="B113" s="187" t="str">
        <f t="shared" ca="1" si="5"/>
        <v>104M</v>
      </c>
      <c r="C113" s="220">
        <f t="shared" ca="1" si="7"/>
        <v>8.7287671232876711</v>
      </c>
      <c r="D113" s="172">
        <f ca="1">IF(NOT($C$6),"",IF([3]!GetConvertDate(CDSRollDate,B113)&lt;Parameter_Date,0,[3]!GetGetDefaultprob($I$6,B113)))</f>
        <v>6.76574242449417E-2</v>
      </c>
      <c r="E113" s="181">
        <f t="shared" ca="1" si="6"/>
        <v>1.0229312415819923E-2</v>
      </c>
      <c r="F113" s="167"/>
      <c r="G113" s="168"/>
    </row>
    <row r="114" spans="2:7" x14ac:dyDescent="0.3">
      <c r="B114" s="187" t="str">
        <f t="shared" ca="1" si="5"/>
        <v>105M</v>
      </c>
      <c r="C114" s="220">
        <f t="shared" ca="1" si="7"/>
        <v>8.8109589041095884</v>
      </c>
      <c r="D114" s="172">
        <f ca="1">IF(NOT($C$6),"",IF([3]!GetConvertDate(CDSRollDate,B114)&lt;Parameter_Date,0,[3]!GetGetDefaultprob($I$6,B114)))</f>
        <v>6.8440976189509506E-2</v>
      </c>
      <c r="E114" s="181">
        <f t="shared" ca="1" si="6"/>
        <v>1.0229312415819347E-2</v>
      </c>
      <c r="F114" s="167"/>
      <c r="G114" s="168"/>
    </row>
    <row r="115" spans="2:7" x14ac:dyDescent="0.3">
      <c r="B115" s="187" t="str">
        <f t="shared" ca="1" si="5"/>
        <v>106M</v>
      </c>
      <c r="C115" s="220">
        <f t="shared" ca="1" si="7"/>
        <v>8.8958904109589039</v>
      </c>
      <c r="D115" s="172">
        <f ca="1">IF(NOT($C$6),"",IF([3]!GetConvertDate(CDSRollDate,B115)&lt;Parameter_Date,0,[3]!GetGetDefaultprob($I$6,B115)))</f>
        <v>6.926050161302022E-2</v>
      </c>
      <c r="E115" s="181">
        <f t="shared" ca="1" si="6"/>
        <v>1.036273343086316E-2</v>
      </c>
      <c r="F115" s="167"/>
      <c r="G115" s="168"/>
    </row>
    <row r="116" spans="2:7" x14ac:dyDescent="0.3">
      <c r="B116" s="187" t="str">
        <f t="shared" ca="1" si="5"/>
        <v>107M</v>
      </c>
      <c r="C116" s="220">
        <f t="shared" ca="1" si="7"/>
        <v>8.9808219178082194</v>
      </c>
      <c r="D116" s="172">
        <f ca="1">IF(NOT($C$6),"",IF([3]!GetConvertDate(CDSRollDate,B116)&lt;Parameter_Date,0,[3]!GetGetDefaultprob($I$6,B116)))</f>
        <v>7.0079306071028413E-2</v>
      </c>
      <c r="E116" s="181">
        <f t="shared" ca="1" si="6"/>
        <v>1.036273343086316E-2</v>
      </c>
      <c r="F116" s="167"/>
      <c r="G116" s="168"/>
    </row>
    <row r="117" spans="2:7" x14ac:dyDescent="0.3">
      <c r="B117" s="187" t="str">
        <f t="shared" ca="1" si="5"/>
        <v>108M</v>
      </c>
      <c r="C117" s="220">
        <f t="shared" ca="1" si="7"/>
        <v>9.0575342465753419</v>
      </c>
      <c r="D117" s="172">
        <f ca="1">IF(NOT($C$6),"",IF([3]!GetConvertDate(CDSRollDate,B117)&lt;Parameter_Date,0,[3]!GetGetDefaultprob($I$6,B117)))</f>
        <v>7.0818252230294476E-2</v>
      </c>
      <c r="E117" s="181">
        <f t="shared" ca="1" si="6"/>
        <v>1.0362733430863694E-2</v>
      </c>
      <c r="F117" s="167"/>
      <c r="G117" s="168"/>
    </row>
    <row r="118" spans="2:7" x14ac:dyDescent="0.3">
      <c r="B118" s="187" t="str">
        <f t="shared" ca="1" si="5"/>
        <v>109M</v>
      </c>
      <c r="C118" s="220">
        <f t="shared" ca="1" si="7"/>
        <v>9.1424657534246574</v>
      </c>
      <c r="D118" s="172">
        <f ca="1">IF(NOT($C$6),"",IF([3]!GetConvertDate(CDSRollDate,B118)&lt;Parameter_Date,0,[3]!GetGetDefaultprob($I$6,B118)))</f>
        <v>7.1646206117864097E-2</v>
      </c>
      <c r="E118" s="181">
        <f t="shared" ca="1" si="6"/>
        <v>1.0496154445907879E-2</v>
      </c>
      <c r="F118" s="167"/>
      <c r="G118" s="168"/>
    </row>
    <row r="119" spans="2:7" x14ac:dyDescent="0.3">
      <c r="B119" s="187" t="str">
        <f t="shared" ca="1" si="5"/>
        <v>110M</v>
      </c>
      <c r="C119" s="220">
        <f t="shared" ca="1" si="7"/>
        <v>9.2246575342465746</v>
      </c>
      <c r="D119" s="172">
        <f ca="1">IF(NOT($C$6),"",IF([3]!GetConvertDate(CDSRollDate,B119)&lt;Parameter_Date,0,[3]!GetGetDefaultprob($I$6,B119)))</f>
        <v>7.2446749368616392E-2</v>
      </c>
      <c r="E119" s="181">
        <f t="shared" ca="1" si="6"/>
        <v>1.0496154445907197E-2</v>
      </c>
      <c r="F119" s="167"/>
      <c r="G119" s="168"/>
    </row>
    <row r="120" spans="2:7" x14ac:dyDescent="0.3">
      <c r="B120" s="187" t="str">
        <f t="shared" ca="1" si="5"/>
        <v>111M</v>
      </c>
      <c r="C120" s="220">
        <f t="shared" ca="1" si="7"/>
        <v>9.3095890410958901</v>
      </c>
      <c r="D120" s="172">
        <f ca="1">IF(NOT($C$6),"",IF([3]!GetConvertDate(CDSRollDate,B120)&lt;Parameter_Date,0,[3]!GetGetDefaultprob($I$6,B120)))</f>
        <v>7.32732521724343E-2</v>
      </c>
      <c r="E120" s="181">
        <f t="shared" ca="1" si="6"/>
        <v>1.0496154445907879E-2</v>
      </c>
      <c r="F120" s="167"/>
      <c r="G120" s="168"/>
    </row>
    <row r="121" spans="2:7" x14ac:dyDescent="0.3">
      <c r="B121" s="187" t="str">
        <f t="shared" ca="1" si="5"/>
        <v>112M</v>
      </c>
      <c r="C121" s="220">
        <f t="shared" ca="1" si="7"/>
        <v>9.3917808219178074</v>
      </c>
      <c r="D121" s="172">
        <f ca="1">IF(NOT($C$6),"",IF([3]!GetConvertDate(CDSRollDate,B121)&lt;Parameter_Date,0,[3]!GetGetDefaultprob($I$6,B121)))</f>
        <v>7.4082546148794504E-2</v>
      </c>
      <c r="E121" s="181">
        <f t="shared" ca="1" si="6"/>
        <v>1.0629575460951684E-2</v>
      </c>
      <c r="F121" s="167"/>
      <c r="G121" s="168"/>
    </row>
    <row r="122" spans="2:7" x14ac:dyDescent="0.3">
      <c r="B122" s="187" t="str">
        <f t="shared" ca="1" si="5"/>
        <v>113M</v>
      </c>
      <c r="C122" s="220">
        <f t="shared" ca="1" si="7"/>
        <v>9.4767123287671229</v>
      </c>
      <c r="D122" s="172">
        <f ca="1">IF(NOT($C$6),"",IF([3]!GetConvertDate(CDSRollDate,B122)&lt;Parameter_Date,0,[3]!GetGetDefaultprob($I$6,B122)))</f>
        <v>7.4918074126476442E-2</v>
      </c>
      <c r="E122" s="181">
        <f t="shared" ca="1" si="6"/>
        <v>1.0629575460951337E-2</v>
      </c>
      <c r="F122" s="167"/>
      <c r="G122" s="168"/>
    </row>
    <row r="123" spans="2:7" x14ac:dyDescent="0.3">
      <c r="B123" s="187" t="str">
        <f t="shared" ca="1" si="5"/>
        <v>114M</v>
      </c>
      <c r="C123" s="220">
        <f t="shared" ca="1" si="7"/>
        <v>9.5616438356164384</v>
      </c>
      <c r="D123" s="172">
        <f ca="1">IF(NOT($C$6),"",IF([3]!GetConvertDate(CDSRollDate,B123)&lt;Parameter_Date,0,[3]!GetGetDefaultprob($I$6,B123)))</f>
        <v>7.5752848141698137E-2</v>
      </c>
      <c r="E123" s="181">
        <f t="shared" ca="1" si="6"/>
        <v>1.0629575460951337E-2</v>
      </c>
      <c r="F123" s="167"/>
      <c r="G123" s="168"/>
    </row>
    <row r="124" spans="2:7" x14ac:dyDescent="0.3">
      <c r="B124" s="187" t="str">
        <f t="shared" ca="1" si="5"/>
        <v>115M</v>
      </c>
      <c r="C124" s="220">
        <f t="shared" ca="1" si="7"/>
        <v>9.6438356164383556</v>
      </c>
      <c r="D124" s="172">
        <f ca="1">IF(NOT($C$6),"",IF([3]!GetConvertDate(CDSRollDate,B124)&lt;Parameter_Date,0,[3]!GetGetDefaultprob($I$6,B124)))</f>
        <v>7.6570103221138219E-2</v>
      </c>
      <c r="E124" s="181">
        <f t="shared" ca="1" si="6"/>
        <v>1.0762996475994985E-2</v>
      </c>
      <c r="F124" s="167"/>
      <c r="G124" s="168"/>
    </row>
    <row r="125" spans="2:7" x14ac:dyDescent="0.3">
      <c r="B125" s="187" t="str">
        <f t="shared" ca="1" si="5"/>
        <v>116M</v>
      </c>
      <c r="C125" s="220">
        <f t="shared" ca="1" si="7"/>
        <v>9.7287671232876711</v>
      </c>
      <c r="D125" s="172">
        <f ca="1">IF(NOT($C$6),"",IF([3]!GetConvertDate(CDSRollDate,B125)&lt;Parameter_Date,0,[3]!GetGetDefaultprob($I$6,B125)))</f>
        <v>7.7413840961570446E-2</v>
      </c>
      <c r="E125" s="181">
        <f t="shared" ca="1" si="6"/>
        <v>1.0762996475996029E-2</v>
      </c>
      <c r="F125" s="167"/>
      <c r="G125" s="168"/>
    </row>
    <row r="126" spans="2:7" x14ac:dyDescent="0.3">
      <c r="B126" s="187" t="str">
        <f t="shared" ca="1" si="5"/>
        <v>117M</v>
      </c>
      <c r="C126" s="220">
        <f t="shared" ca="1" si="7"/>
        <v>9.8109589041095884</v>
      </c>
      <c r="D126" s="172">
        <f ca="1">IF(NOT($C$6),"",IF([3]!GetConvertDate(CDSRollDate,B126)&lt;Parameter_Date,0,[3]!GetGetDefaultprob($I$6,B126)))</f>
        <v>7.8229627326915741E-2</v>
      </c>
      <c r="E126" s="181">
        <f t="shared" ca="1" si="6"/>
        <v>1.0762996475994985E-2</v>
      </c>
      <c r="F126" s="167"/>
      <c r="G126" s="168"/>
    </row>
    <row r="127" spans="2:7" x14ac:dyDescent="0.3">
      <c r="B127" s="187" t="str">
        <f t="shared" ca="1" si="5"/>
        <v>118M</v>
      </c>
      <c r="C127" s="220">
        <f t="shared" ca="1" si="7"/>
        <v>9.8958904109589039</v>
      </c>
      <c r="D127" s="172">
        <f ca="1">IF(NOT($C$6),"",IF([3]!GetConvertDate(CDSRollDate,B127)&lt;Parameter_Date,0,[3]!GetGetDefaultprob($I$6,B127)))</f>
        <v>7.9082284334834774E-2</v>
      </c>
      <c r="E127" s="181">
        <f t="shared" ca="1" si="6"/>
        <v>1.0896417491039216E-2</v>
      </c>
      <c r="F127" s="167"/>
      <c r="G127" s="168"/>
    </row>
    <row r="128" spans="2:7" x14ac:dyDescent="0.3">
      <c r="B128" s="187" t="str">
        <f t="shared" ca="1" si="5"/>
        <v>119M</v>
      </c>
      <c r="C128" s="220">
        <f t="shared" ca="1" si="7"/>
        <v>9.9808219178082194</v>
      </c>
      <c r="D128" s="172">
        <f ca="1">IF(NOT($C$6),"",IF([3]!GetConvertDate(CDSRollDate,B128)&lt;Parameter_Date,0,[3]!GetGetDefaultprob($I$6,B128)))</f>
        <v>7.9934152617063936E-2</v>
      </c>
      <c r="E128" s="181">
        <f t="shared" ca="1" si="6"/>
        <v>1.0896417491040524E-2</v>
      </c>
      <c r="F128" s="167"/>
      <c r="G128" s="168"/>
    </row>
    <row r="129" spans="2:7" ht="15" thickBot="1" x14ac:dyDescent="0.35">
      <c r="B129" s="188" t="str">
        <f t="shared" ca="1" si="5"/>
        <v>120M</v>
      </c>
      <c r="C129" s="221">
        <f t="shared" ca="1" si="7"/>
        <v>10.057534246575342</v>
      </c>
      <c r="D129" s="182">
        <f ca="1">IF(NOT($C$6),"",IF([3]!GetConvertDate(CDSRollDate,B129)&lt;Parameter_Date,0,[3]!GetGetDefaultprob($I$6,B129)))</f>
        <v>8.0702904713596424E-2</v>
      </c>
      <c r="E129" s="222">
        <f t="shared" ca="1" si="6"/>
        <v>1.0896417491040198E-2</v>
      </c>
      <c r="F129" s="167"/>
      <c r="G129" s="168"/>
    </row>
    <row r="130" spans="2:7" x14ac:dyDescent="0.3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HN338"/>
  <sheetViews>
    <sheetView showGridLines="0" topLeftCell="A4" zoomScale="80" workbookViewId="0">
      <selection activeCell="I65" sqref="I65"/>
    </sheetView>
  </sheetViews>
  <sheetFormatPr baseColWidth="10" defaultColWidth="11.44140625" defaultRowHeight="10.199999999999999" x14ac:dyDescent="0.2"/>
  <cols>
    <col min="1" max="1" width="3.109375" style="236" customWidth="1"/>
    <col min="2" max="2" width="17.21875" style="236" customWidth="1"/>
    <col min="3" max="3" width="20" style="237" customWidth="1"/>
    <col min="4" max="4" width="10.44140625" style="237" bestFit="1" customWidth="1"/>
    <col min="5" max="5" width="10" style="237" bestFit="1" customWidth="1"/>
    <col min="6" max="6" width="9.109375" style="237" customWidth="1"/>
    <col min="7" max="7" width="1.109375" style="237" customWidth="1"/>
    <col min="8" max="8" width="11.5546875" style="237" customWidth="1"/>
    <col min="9" max="9" width="7.109375" style="236" customWidth="1"/>
    <col min="10" max="10" width="8.88671875" style="236" customWidth="1"/>
    <col min="11" max="11" width="16.5546875" style="236" bestFit="1" customWidth="1"/>
    <col min="12" max="12" width="16.77734375" style="236" bestFit="1" customWidth="1"/>
    <col min="13" max="13" width="9.109375" style="236" customWidth="1"/>
    <col min="14" max="14" width="28.5546875" style="236" bestFit="1" customWidth="1"/>
    <col min="15" max="15" width="2.21875" style="236" customWidth="1"/>
    <col min="16" max="16" width="10.77734375" style="236" customWidth="1"/>
    <col min="17" max="20" width="8.77734375" style="236" customWidth="1"/>
    <col min="21" max="21" width="13.109375" style="236" bestFit="1" customWidth="1"/>
    <col min="22" max="23" width="11.44140625" style="236" customWidth="1"/>
    <col min="24" max="24" width="13.109375" style="236" customWidth="1"/>
    <col min="25" max="16384" width="11.44140625" style="236"/>
  </cols>
  <sheetData>
    <row r="4" spans="2:23" ht="10.8" thickBot="1" x14ac:dyDescent="0.25"/>
    <row r="5" spans="2:23" ht="10.8" thickBot="1" x14ac:dyDescent="0.25">
      <c r="H5" s="238" t="s">
        <v>423</v>
      </c>
      <c r="I5" s="239" t="b">
        <v>1</v>
      </c>
    </row>
    <row r="6" spans="2:23" ht="10.8" thickBot="1" x14ac:dyDescent="0.25">
      <c r="B6" s="240" t="s">
        <v>432</v>
      </c>
      <c r="C6" s="241" t="s">
        <v>57</v>
      </c>
    </row>
    <row r="7" spans="2:23" x14ac:dyDescent="0.2">
      <c r="B7" s="240" t="s">
        <v>457</v>
      </c>
      <c r="C7" s="242">
        <f ca="1">ConvertDate(CDSRollDate,C6)</f>
        <v>45463</v>
      </c>
      <c r="E7" s="243"/>
      <c r="H7" s="244" t="s">
        <v>435</v>
      </c>
      <c r="I7" s="245">
        <f t="array" aca="1" ref="I7:N313" ca="1">IF(NOT($I$5),"",cdo(C6,C19:C20,C21:C22,C8,C17,C39:C338,D39:D338,C12,C13,C14,C15,C9,C10,E39:E338,F39:F338,C24,C25,C27,C29:C31,C36,C33,,C34))</f>
        <v>0.15804695570411731</v>
      </c>
      <c r="J7" s="246">
        <f ca="1"/>
        <v>5.2682318568039101E-2</v>
      </c>
      <c r="K7" s="247" t="str">
        <f ca="1"/>
        <v/>
      </c>
      <c r="L7" s="247" t="str">
        <f ca="1"/>
        <v/>
      </c>
      <c r="M7" s="248" t="str">
        <f ca="1"/>
        <v/>
      </c>
      <c r="N7" s="249" t="str">
        <f ca="1"/>
        <v/>
      </c>
      <c r="W7" s="270"/>
    </row>
    <row r="8" spans="2:23" x14ac:dyDescent="0.2">
      <c r="B8" s="271" t="s">
        <v>82</v>
      </c>
      <c r="C8" s="272" t="s">
        <v>66</v>
      </c>
      <c r="H8" s="273" t="s">
        <v>436</v>
      </c>
      <c r="I8" s="250">
        <f ca="1"/>
        <v>0.77701793335812597</v>
      </c>
      <c r="J8" s="251">
        <f ca="1"/>
        <v>0.25900597778604201</v>
      </c>
      <c r="K8" s="252" t="str">
        <f ca="1"/>
        <v/>
      </c>
      <c r="L8" s="252" t="str">
        <f ca="1"/>
        <v/>
      </c>
      <c r="M8" s="253" t="str">
        <f ca="1"/>
        <v/>
      </c>
      <c r="N8" s="254" t="str">
        <f ca="1"/>
        <v/>
      </c>
      <c r="W8" s="270"/>
    </row>
    <row r="9" spans="2:23" x14ac:dyDescent="0.2">
      <c r="B9" s="271" t="s">
        <v>437</v>
      </c>
      <c r="C9" s="274">
        <v>-0.05</v>
      </c>
      <c r="H9" s="273" t="s">
        <v>438</v>
      </c>
      <c r="I9" s="255">
        <f ca="1"/>
        <v>0.61897097765400866</v>
      </c>
      <c r="J9" s="251">
        <f ca="1"/>
        <v>0.20632365921800289</v>
      </c>
      <c r="K9" s="252" t="str">
        <f ca="1"/>
        <v/>
      </c>
      <c r="L9" s="252" t="str">
        <f ca="1"/>
        <v/>
      </c>
      <c r="M9" s="253" t="str">
        <f ca="1"/>
        <v/>
      </c>
      <c r="N9" s="254" t="str">
        <f ca="1"/>
        <v/>
      </c>
      <c r="W9" s="270"/>
    </row>
    <row r="10" spans="2:23" ht="10.8" thickBot="1" x14ac:dyDescent="0.25">
      <c r="B10" s="275" t="s">
        <v>439</v>
      </c>
      <c r="C10" s="276">
        <v>0.1</v>
      </c>
      <c r="E10" s="236"/>
      <c r="H10" s="273" t="s">
        <v>440</v>
      </c>
      <c r="I10" s="256">
        <f ca="1"/>
        <v>6.2766911649326323E-2</v>
      </c>
      <c r="J10" s="256">
        <f ca="1"/>
        <v>6.2766911649326323E-2</v>
      </c>
      <c r="K10" s="252" t="str">
        <f ca="1"/>
        <v/>
      </c>
      <c r="L10" s="252" t="str">
        <f ca="1"/>
        <v/>
      </c>
      <c r="M10" s="253" t="str">
        <f ca="1"/>
        <v/>
      </c>
      <c r="N10" s="254" t="str">
        <f ca="1"/>
        <v/>
      </c>
    </row>
    <row r="11" spans="2:23" ht="10.8" thickBot="1" x14ac:dyDescent="0.25">
      <c r="C11" s="236"/>
      <c r="H11" s="273" t="s">
        <v>458</v>
      </c>
      <c r="I11" s="257">
        <f ca="1"/>
        <v>4.1264731843600577</v>
      </c>
      <c r="J11" s="257">
        <f ca="1"/>
        <v>4.1264731843600577</v>
      </c>
      <c r="K11" s="252" t="str">
        <f ca="1"/>
        <v/>
      </c>
      <c r="L11" s="252" t="str">
        <f ca="1"/>
        <v/>
      </c>
      <c r="M11" s="253" t="str">
        <f ca="1"/>
        <v/>
      </c>
      <c r="N11" s="254" t="str">
        <f ca="1"/>
        <v/>
      </c>
    </row>
    <row r="12" spans="2:23" x14ac:dyDescent="0.2">
      <c r="B12" s="240" t="s">
        <v>434</v>
      </c>
      <c r="C12" s="277">
        <v>0.05</v>
      </c>
      <c r="H12" s="273" t="s">
        <v>443</v>
      </c>
      <c r="I12" s="258">
        <f ca="1"/>
        <v>1.8518519209465012E-4</v>
      </c>
      <c r="J12" s="258">
        <f ca="1"/>
        <v>1.8518519209465012E-4</v>
      </c>
      <c r="K12" s="259" t="str">
        <f ca="1"/>
        <v>Leverage=</v>
      </c>
      <c r="L12" s="260">
        <f ca="1"/>
        <v>11.636705157291649</v>
      </c>
      <c r="M12" s="253" t="str">
        <f ca="1"/>
        <v/>
      </c>
      <c r="N12" s="254" t="str">
        <f ca="1"/>
        <v/>
      </c>
    </row>
    <row r="13" spans="2:23" x14ac:dyDescent="0.2">
      <c r="B13" s="271" t="s">
        <v>459</v>
      </c>
      <c r="C13" s="272" t="s">
        <v>460</v>
      </c>
      <c r="H13" s="273" t="s">
        <v>461</v>
      </c>
      <c r="I13" s="261" t="str">
        <f ca="1"/>
        <v>dPV</v>
      </c>
      <c r="J13" s="262" t="str">
        <f ca="1"/>
        <v>dHedge</v>
      </c>
      <c r="K13" s="262" t="str">
        <f ca="1"/>
        <v>delta not. (Hedge Crncy)</v>
      </c>
      <c r="L13" s="261" t="str">
        <f ca="1"/>
        <v>delta not. (Product CCY)</v>
      </c>
      <c r="M13" s="261" t="str">
        <f ca="1"/>
        <v>dPV(dBeta)</v>
      </c>
      <c r="N13" s="263" t="str">
        <f ca="1"/>
        <v>Name</v>
      </c>
    </row>
    <row r="14" spans="2:23" x14ac:dyDescent="0.2">
      <c r="B14" s="271" t="s">
        <v>462</v>
      </c>
      <c r="C14" s="272" t="s">
        <v>445</v>
      </c>
      <c r="H14" s="273">
        <v>1</v>
      </c>
      <c r="I14" s="257">
        <f ca="1"/>
        <v>3.4545406349444362E-4</v>
      </c>
      <c r="J14" s="257">
        <f ca="1"/>
        <v>9.2541564688286765E-4</v>
      </c>
      <c r="K14" s="264">
        <f ca="1"/>
        <v>0.37329611257174761</v>
      </c>
      <c r="L14" s="264">
        <f ca="1"/>
        <v>0.37329611257174761</v>
      </c>
      <c r="M14" s="264">
        <f ca="1"/>
        <v>-2.2324074517670044E-4</v>
      </c>
      <c r="N14" s="265" t="str">
        <f ca="1"/>
        <v>ABNAMRO_MMR.EUR.SU</v>
      </c>
    </row>
    <row r="15" spans="2:23" ht="10.8" thickBot="1" x14ac:dyDescent="0.25">
      <c r="B15" s="275" t="s">
        <v>463</v>
      </c>
      <c r="C15" s="278"/>
      <c r="H15" s="273">
        <v>2</v>
      </c>
      <c r="I15" s="257">
        <f ca="1"/>
        <v>2.9216143058496957E-4</v>
      </c>
      <c r="J15" s="257">
        <f ca="1"/>
        <v>8.3576641089936493E-4</v>
      </c>
      <c r="K15" s="264">
        <f ca="1"/>
        <v>0.34957307062696596</v>
      </c>
      <c r="L15" s="264">
        <f ca="1"/>
        <v>0.34957307062696596</v>
      </c>
      <c r="M15" s="264">
        <f ca="1"/>
        <v>-1.9776473497252757E-4</v>
      </c>
      <c r="N15" s="265" t="str">
        <f ca="1"/>
        <v>ACCOR_MMR.EUR.SU</v>
      </c>
    </row>
    <row r="16" spans="2:23" ht="10.8" thickBot="1" x14ac:dyDescent="0.25">
      <c r="H16" s="273">
        <v>3</v>
      </c>
      <c r="I16" s="257">
        <f ca="1"/>
        <v>3.4021516433846433E-4</v>
      </c>
      <c r="J16" s="257">
        <f ca="1"/>
        <v>9.270061872536816E-4</v>
      </c>
      <c r="K16" s="264">
        <f ca="1"/>
        <v>0.36700420020536723</v>
      </c>
      <c r="L16" s="264">
        <f ca="1"/>
        <v>0.36700420020536723</v>
      </c>
      <c r="M16" s="264">
        <f ca="1"/>
        <v>-2.2071041559976746E-4</v>
      </c>
      <c r="N16" s="265" t="str">
        <f ca="1"/>
        <v>ADECCO_MMR.EUR.SU</v>
      </c>
    </row>
    <row r="17" spans="1:25" x14ac:dyDescent="0.2">
      <c r="B17" s="240" t="s">
        <v>464</v>
      </c>
      <c r="C17" s="279">
        <f ca="1">COUNTA(C39:C338)</f>
        <v>100</v>
      </c>
      <c r="E17" s="236"/>
      <c r="H17" s="273">
        <v>4</v>
      </c>
      <c r="I17" s="257">
        <f ca="1"/>
        <v>3.2037642847531077E-4</v>
      </c>
      <c r="J17" s="257">
        <f ca="1"/>
        <v>8.8001458797575807E-4</v>
      </c>
      <c r="K17" s="264">
        <f ca="1"/>
        <v>0.36405808818721108</v>
      </c>
      <c r="L17" s="264">
        <f ca="1"/>
        <v>0.36405808818721108</v>
      </c>
      <c r="M17" s="264">
        <f ca="1"/>
        <v>-2.1152716699717188E-4</v>
      </c>
      <c r="N17" s="265" t="str">
        <f ca="1"/>
        <v>AEGON_MMR.EUR.SU</v>
      </c>
    </row>
    <row r="18" spans="1:25" x14ac:dyDescent="0.2">
      <c r="B18" s="271" t="s">
        <v>465</v>
      </c>
      <c r="C18" s="280">
        <f ca="1">SUM(OFFSET(D38,1,0,C17))</f>
        <v>100</v>
      </c>
      <c r="G18" s="281"/>
      <c r="H18" s="273">
        <v>5</v>
      </c>
      <c r="I18" s="257">
        <f ca="1"/>
        <v>1.7666649002583411E-4</v>
      </c>
      <c r="J18" s="257">
        <f ca="1"/>
        <v>5.817915696967787E-4</v>
      </c>
      <c r="K18" s="264">
        <f ca="1"/>
        <v>0.30365941898730181</v>
      </c>
      <c r="L18" s="264">
        <f ca="1"/>
        <v>0.30365941898730181</v>
      </c>
      <c r="M18" s="264">
        <f ca="1"/>
        <v>-1.3327289422460087E-4</v>
      </c>
      <c r="N18" s="265" t="str">
        <f ca="1"/>
        <v>AKZONOBEL_MMR.EUR.SU</v>
      </c>
    </row>
    <row r="19" spans="1:25" x14ac:dyDescent="0.2">
      <c r="B19" s="271" t="s">
        <v>466</v>
      </c>
      <c r="C19" s="282">
        <v>0</v>
      </c>
      <c r="D19" s="283" t="str">
        <f ca="1">"FYI, in % = "&amp;TEXT(C19/$C$18,"0.00%")</f>
        <v>FYI, in % = 0.00%</v>
      </c>
      <c r="G19" s="284"/>
      <c r="H19" s="273">
        <v>6</v>
      </c>
      <c r="I19" s="257">
        <f ca="1"/>
        <v>2.5228245173503083E-4</v>
      </c>
      <c r="J19" s="257">
        <f ca="1"/>
        <v>7.424879388618123E-4</v>
      </c>
      <c r="K19" s="264">
        <f ca="1"/>
        <v>0.33977986514065683</v>
      </c>
      <c r="L19" s="264">
        <f ca="1"/>
        <v>0.33977986514065683</v>
      </c>
      <c r="M19" s="264">
        <f ca="1"/>
        <v>-1.774106892959315E-4</v>
      </c>
      <c r="N19" s="265" t="str">
        <f ca="1"/>
        <v>ALLIANZ_MMR.EUR.SU</v>
      </c>
    </row>
    <row r="20" spans="1:25" x14ac:dyDescent="0.2">
      <c r="B20" s="271" t="s">
        <v>467</v>
      </c>
      <c r="C20" s="282">
        <v>3</v>
      </c>
      <c r="D20" s="283" t="str">
        <f ca="1">"FYI, in % = "&amp;TEXT(C20/$C$18,"0.00%")</f>
        <v>FYI, in % = 3.00%</v>
      </c>
      <c r="G20" s="284"/>
      <c r="H20" s="273">
        <v>7</v>
      </c>
      <c r="I20" s="257">
        <f ca="1"/>
        <v>5.5748891036666581E-4</v>
      </c>
      <c r="J20" s="257">
        <f ca="1"/>
        <v>1.3151653478821405E-3</v>
      </c>
      <c r="K20" s="264">
        <f ca="1"/>
        <v>0.42389263925209925</v>
      </c>
      <c r="L20" s="264">
        <f ca="1"/>
        <v>0.42389263925209925</v>
      </c>
      <c r="M20" s="264">
        <f ca="1"/>
        <v>-3.0985252775554971E-4</v>
      </c>
      <c r="N20" s="265" t="str">
        <f ca="1"/>
        <v>ALTADIS_MMR.EUR.SU</v>
      </c>
    </row>
    <row r="21" spans="1:25" x14ac:dyDescent="0.2">
      <c r="B21" s="271" t="s">
        <v>468</v>
      </c>
      <c r="C21" s="285">
        <v>0.4</v>
      </c>
      <c r="G21" s="286"/>
      <c r="H21" s="273">
        <v>8</v>
      </c>
      <c r="I21" s="257">
        <f ca="1"/>
        <v>4.9105613190909554E-4</v>
      </c>
      <c r="J21" s="257">
        <f ca="1"/>
        <v>1.2012871701574755E-3</v>
      </c>
      <c r="K21" s="264">
        <f ca="1"/>
        <v>0.40877497413438912</v>
      </c>
      <c r="L21" s="264">
        <f ca="1"/>
        <v>0.40877497413438912</v>
      </c>
      <c r="M21" s="264">
        <f ca="1"/>
        <v>-2.8462972508582764E-4</v>
      </c>
      <c r="N21" s="265" t="str">
        <f ca="1"/>
        <v>ARCELORFINANCESCA_MMR.EUR.SU</v>
      </c>
    </row>
    <row r="22" spans="1:25" ht="10.8" thickBot="1" x14ac:dyDescent="0.25">
      <c r="B22" s="275" t="s">
        <v>469</v>
      </c>
      <c r="C22" s="287">
        <v>0.5</v>
      </c>
      <c r="G22" s="286"/>
      <c r="H22" s="273">
        <v>9</v>
      </c>
      <c r="I22" s="257">
        <f ca="1"/>
        <v>1.5905463473802061E-4</v>
      </c>
      <c r="J22" s="257">
        <f ca="1"/>
        <v>5.3603103442471781E-4</v>
      </c>
      <c r="K22" s="264">
        <f ca="1"/>
        <v>0.29672654104574764</v>
      </c>
      <c r="L22" s="264">
        <f ca="1"/>
        <v>0.29672654104574764</v>
      </c>
      <c r="M22" s="264">
        <f ca="1"/>
        <v>-1.2271475955205613E-4</v>
      </c>
      <c r="N22" s="265" t="str">
        <f ca="1"/>
        <v>AUCHAN_MMR.EUR.SU</v>
      </c>
    </row>
    <row r="23" spans="1:25" ht="10.8" thickBot="1" x14ac:dyDescent="0.25">
      <c r="H23" s="273">
        <v>10</v>
      </c>
      <c r="I23" s="257">
        <f ca="1"/>
        <v>2.3993692680250868E-4</v>
      </c>
      <c r="J23" s="257">
        <f ca="1"/>
        <v>7.1983787661343806E-4</v>
      </c>
      <c r="K23" s="264">
        <f ca="1"/>
        <v>0.33332078596825188</v>
      </c>
      <c r="L23" s="264">
        <f ca="1"/>
        <v>0.33332078596825188</v>
      </c>
      <c r="M23" s="264">
        <f ca="1"/>
        <v>-1.7107074114588449E-4</v>
      </c>
      <c r="N23" s="265" t="str">
        <f ca="1"/>
        <v>AVIVA_MMR.EUR.SU</v>
      </c>
    </row>
    <row r="24" spans="1:25" x14ac:dyDescent="0.2">
      <c r="A24" s="288"/>
      <c r="B24" s="289" t="s">
        <v>447</v>
      </c>
      <c r="C24" s="290" t="b">
        <v>1</v>
      </c>
      <c r="H24" s="273">
        <v>11</v>
      </c>
      <c r="I24" s="257">
        <f ca="1"/>
        <v>2.7434788873532679E-4</v>
      </c>
      <c r="J24" s="257">
        <f ca="1"/>
        <v>7.8847654047613008E-4</v>
      </c>
      <c r="K24" s="264">
        <f ca="1"/>
        <v>0.34794679949470514</v>
      </c>
      <c r="L24" s="264">
        <f ca="1"/>
        <v>0.34794679949470514</v>
      </c>
      <c r="M24" s="264">
        <f ca="1"/>
        <v>-1.888405850626551E-4</v>
      </c>
      <c r="N24" s="265" t="str">
        <f ca="1"/>
        <v>AXA_MMR.EUR.SU</v>
      </c>
    </row>
    <row r="25" spans="1:25" ht="10.8" thickBot="1" x14ac:dyDescent="0.25">
      <c r="A25" s="288"/>
      <c r="B25" s="275" t="s">
        <v>448</v>
      </c>
      <c r="C25" s="291" t="b">
        <v>1</v>
      </c>
      <c r="H25" s="273">
        <v>12</v>
      </c>
      <c r="I25" s="257">
        <f ca="1"/>
        <v>4.0936434916745147E-4</v>
      </c>
      <c r="J25" s="257">
        <f ca="1"/>
        <v>1.0392371247522371E-3</v>
      </c>
      <c r="K25" s="264">
        <f ca="1"/>
        <v>0.39390851175091285</v>
      </c>
      <c r="L25" s="264">
        <f ca="1"/>
        <v>0.39390851175091285</v>
      </c>
      <c r="M25" s="264">
        <f ca="1"/>
        <v>-2.5116157285538511E-4</v>
      </c>
      <c r="N25" s="265" t="str">
        <f ca="1"/>
        <v>BANCOESPIRITOSANTO_MMR.EUR.SU</v>
      </c>
    </row>
    <row r="26" spans="1:25" ht="10.8" thickBot="1" x14ac:dyDescent="0.25">
      <c r="H26" s="273">
        <v>13</v>
      </c>
      <c r="I26" s="257">
        <f ca="1"/>
        <v>3.4932743897719831E-4</v>
      </c>
      <c r="J26" s="257">
        <f ca="1"/>
        <v>9.2448614857008568E-4</v>
      </c>
      <c r="K26" s="264">
        <f ca="1"/>
        <v>0.37786119296379667</v>
      </c>
      <c r="L26" s="264">
        <f ca="1"/>
        <v>0.37786119296379667</v>
      </c>
      <c r="M26" s="264">
        <f ca="1"/>
        <v>-2.2412808378122762E-4</v>
      </c>
      <c r="N26" s="265" t="str">
        <f ca="1"/>
        <v>BARCLAYS_MMR.EUR.SU</v>
      </c>
    </row>
    <row r="27" spans="1:25" ht="10.8" thickBot="1" x14ac:dyDescent="0.25">
      <c r="B27" s="240" t="s">
        <v>449</v>
      </c>
      <c r="C27" s="279" t="b">
        <v>1</v>
      </c>
      <c r="H27" s="273">
        <v>14</v>
      </c>
      <c r="I27" s="257">
        <f ca="1"/>
        <v>1.2925508962116083E-4</v>
      </c>
      <c r="J27" s="257">
        <f ca="1"/>
        <v>4.6658157648362785E-4</v>
      </c>
      <c r="K27" s="264">
        <f ca="1"/>
        <v>0.27702570383358532</v>
      </c>
      <c r="L27" s="264">
        <f ca="1"/>
        <v>0.27702570383358532</v>
      </c>
      <c r="M27" s="264">
        <f ca="1"/>
        <v>-9.8414697745563553E-5</v>
      </c>
      <c r="N27" s="265" t="str">
        <f ca="1"/>
        <v>BASF_MMR.EUR.SU</v>
      </c>
    </row>
    <row r="28" spans="1:25" ht="10.8" thickBot="1" x14ac:dyDescent="0.25">
      <c r="B28" s="292" t="s">
        <v>450</v>
      </c>
      <c r="C28" s="293"/>
      <c r="H28" s="273">
        <v>15</v>
      </c>
      <c r="I28" s="257">
        <f ca="1"/>
        <v>2.5706659363418095E-4</v>
      </c>
      <c r="J28" s="257">
        <f ca="1"/>
        <v>7.6655763076644977E-4</v>
      </c>
      <c r="K28" s="264">
        <f ca="1"/>
        <v>0.33535194656812761</v>
      </c>
      <c r="L28" s="264">
        <f ca="1"/>
        <v>0.33535194656812761</v>
      </c>
      <c r="M28" s="264">
        <f ca="1"/>
        <v>-1.8010796404601681E-4</v>
      </c>
      <c r="N28" s="265" t="str">
        <f ca="1"/>
        <v>BAT_MMR.EUR.SU</v>
      </c>
    </row>
    <row r="29" spans="1:25" x14ac:dyDescent="0.2">
      <c r="B29" s="271" t="s">
        <v>470</v>
      </c>
      <c r="C29" s="294"/>
      <c r="H29" s="273">
        <v>16</v>
      </c>
      <c r="I29" s="257">
        <f ca="1"/>
        <v>1.7663306198787421E-4</v>
      </c>
      <c r="J29" s="257">
        <f ca="1"/>
        <v>5.8166992140800788E-4</v>
      </c>
      <c r="K29" s="264">
        <f ca="1"/>
        <v>0.30366545610663664</v>
      </c>
      <c r="L29" s="264">
        <f ca="1"/>
        <v>0.30366545610663664</v>
      </c>
      <c r="M29" s="264">
        <f ca="1"/>
        <v>-1.3322400258359847E-4</v>
      </c>
      <c r="N29" s="265" t="str">
        <f ca="1"/>
        <v>BAYER_MMR.EUR.SU</v>
      </c>
      <c r="S29" s="295"/>
    </row>
    <row r="30" spans="1:25" x14ac:dyDescent="0.2">
      <c r="B30" s="271" t="s">
        <v>447</v>
      </c>
      <c r="C30" s="296" t="b">
        <v>1</v>
      </c>
      <c r="H30" s="273">
        <v>17</v>
      </c>
      <c r="I30" s="257">
        <f ca="1"/>
        <v>2.6675156811386549E-4</v>
      </c>
      <c r="J30" s="257">
        <f ca="1"/>
        <v>7.6404423271603944E-4</v>
      </c>
      <c r="K30" s="264">
        <f ca="1"/>
        <v>0.34913105379463671</v>
      </c>
      <c r="L30" s="264">
        <f ca="1"/>
        <v>0.34913105379463671</v>
      </c>
      <c r="M30" s="264">
        <f ca="1"/>
        <v>-1.8457374854996544E-4</v>
      </c>
      <c r="N30" s="265" t="str">
        <f ca="1"/>
        <v>BBVA_MMR.EUR.SU</v>
      </c>
    </row>
    <row r="31" spans="1:25" ht="10.8" thickBot="1" x14ac:dyDescent="0.25">
      <c r="B31" s="275" t="s">
        <v>448</v>
      </c>
      <c r="C31" s="291" t="b">
        <v>1</v>
      </c>
      <c r="H31" s="273">
        <v>18</v>
      </c>
      <c r="I31" s="257">
        <f ca="1"/>
        <v>2.3587545978824841E-4</v>
      </c>
      <c r="J31" s="257">
        <f ca="1"/>
        <v>7.1936296356780365E-4</v>
      </c>
      <c r="K31" s="264">
        <f ca="1"/>
        <v>0.32789491777333618</v>
      </c>
      <c r="L31" s="264">
        <f ca="1"/>
        <v>0.32789491777333618</v>
      </c>
      <c r="M31" s="264">
        <f ca="1"/>
        <v>-1.6850201150777621E-4</v>
      </c>
      <c r="N31" s="265" t="str">
        <f ca="1"/>
        <v>BERTELSMANNAG_MMR.EUR.SU</v>
      </c>
    </row>
    <row r="32" spans="1:25" ht="10.8" thickBot="1" x14ac:dyDescent="0.25">
      <c r="H32" s="273">
        <v>19</v>
      </c>
      <c r="I32" s="257">
        <f ca="1"/>
        <v>1.8669338855878959E-4</v>
      </c>
      <c r="J32" s="257">
        <f ca="1"/>
        <v>6.0527144967831834E-4</v>
      </c>
      <c r="K32" s="264">
        <f ca="1"/>
        <v>0.30844572077207827</v>
      </c>
      <c r="L32" s="264">
        <f ca="1"/>
        <v>0.30844572077207827</v>
      </c>
      <c r="M32" s="264">
        <f ca="1"/>
        <v>-1.3965658506174262E-4</v>
      </c>
      <c r="N32" s="265" t="str">
        <f ca="1"/>
        <v>BMW_MMR.EUR.SU</v>
      </c>
      <c r="U32" s="297" t="s">
        <v>434</v>
      </c>
      <c r="V32" s="298">
        <f ca="1">C29</f>
        <v>0</v>
      </c>
      <c r="X32" s="297" t="s">
        <v>471</v>
      </c>
      <c r="Y32" s="298">
        <v>0.95</v>
      </c>
    </row>
    <row r="33" spans="2:25" ht="10.8" thickBot="1" x14ac:dyDescent="0.25">
      <c r="B33" s="240" t="s">
        <v>451</v>
      </c>
      <c r="C33" s="299" t="s">
        <v>452</v>
      </c>
      <c r="D33" s="300"/>
      <c r="E33" s="300"/>
      <c r="F33" s="300"/>
      <c r="H33" s="273">
        <v>20</v>
      </c>
      <c r="I33" s="257">
        <f ca="1"/>
        <v>2.2784794377570528E-4</v>
      </c>
      <c r="J33" s="257">
        <f ca="1"/>
        <v>6.9747899566788881E-4</v>
      </c>
      <c r="K33" s="264">
        <f ca="1"/>
        <v>0.32667355603665693</v>
      </c>
      <c r="L33" s="264">
        <f ca="1"/>
        <v>0.32667355603665693</v>
      </c>
      <c r="M33" s="264">
        <f ca="1"/>
        <v>-1.6449370679827435E-4</v>
      </c>
      <c r="N33" s="265" t="str">
        <f ca="1"/>
        <v>BNPPARIBAS_MMR.EUR.SU</v>
      </c>
      <c r="U33" s="301" t="s">
        <v>472</v>
      </c>
      <c r="V33" s="302" t="e">
        <f ca="1">SUM(V37:V336)</f>
        <v>#VALUE!</v>
      </c>
      <c r="X33" s="301" t="s">
        <v>472</v>
      </c>
      <c r="Y33" s="302" t="e">
        <f ca="1">SUM(Y37:Y336)</f>
        <v>#VALUE!</v>
      </c>
    </row>
    <row r="34" spans="2:25" x14ac:dyDescent="0.2">
      <c r="B34" s="271" t="s">
        <v>473</v>
      </c>
      <c r="C34" s="303">
        <v>0.01</v>
      </c>
      <c r="D34" s="300"/>
      <c r="E34" s="300"/>
      <c r="F34" s="300"/>
      <c r="H34" s="273">
        <v>21</v>
      </c>
      <c r="I34" s="257">
        <f ca="1"/>
        <v>3.3210274775847816E-4</v>
      </c>
      <c r="J34" s="257">
        <f ca="1"/>
        <v>9.0291870192056405E-4</v>
      </c>
      <c r="K34" s="264">
        <f ca="1"/>
        <v>0.36781024365989434</v>
      </c>
      <c r="L34" s="264">
        <f ca="1"/>
        <v>0.36781024365989434</v>
      </c>
      <c r="M34" s="264">
        <f ca="1"/>
        <v>-2.17139823360335E-4</v>
      </c>
      <c r="N34" s="265" t="str">
        <f ca="1"/>
        <v>BRITISHTELECOM_MMR.EUR.SU</v>
      </c>
      <c r="P34" s="240" t="s">
        <v>423</v>
      </c>
      <c r="Q34" s="304" t="b">
        <v>1</v>
      </c>
      <c r="U34" s="301" t="s">
        <v>474</v>
      </c>
      <c r="V34" s="305" t="e">
        <f ca="1">$J$7+V33</f>
        <v>#VALUE!</v>
      </c>
      <c r="X34" s="301" t="s">
        <v>474</v>
      </c>
      <c r="Y34" s="305" t="e">
        <f ca="1">$J$7+Y33</f>
        <v>#VALUE!</v>
      </c>
    </row>
    <row r="35" spans="2:25" ht="10.8" thickBot="1" x14ac:dyDescent="0.25">
      <c r="B35" s="271" t="s">
        <v>475</v>
      </c>
      <c r="C35" s="303">
        <v>1</v>
      </c>
      <c r="H35" s="273">
        <v>22</v>
      </c>
      <c r="I35" s="257">
        <f ca="1"/>
        <v>2.644316398888513E-4</v>
      </c>
      <c r="J35" s="257">
        <f ca="1"/>
        <v>7.6557542739756851E-4</v>
      </c>
      <c r="K35" s="264">
        <f ca="1"/>
        <v>0.34540246515975254</v>
      </c>
      <c r="L35" s="264">
        <f ca="1"/>
        <v>0.34540246515975254</v>
      </c>
      <c r="M35" s="264">
        <f ca="1"/>
        <v>-1.8344537650367699E-4</v>
      </c>
      <c r="N35" s="265" t="str">
        <f ca="1"/>
        <v>BSCH_MMR.EUR.SU</v>
      </c>
      <c r="P35" s="275" t="s">
        <v>476</v>
      </c>
      <c r="Q35" s="306">
        <f ca="1">L12</f>
        <v>11.636705157291649</v>
      </c>
      <c r="R35" s="307"/>
      <c r="U35" s="308" t="s">
        <v>477</v>
      </c>
      <c r="V35" s="309" t="e">
        <f ca="1">V34*(C20-C19)</f>
        <v>#VALUE!</v>
      </c>
      <c r="X35" s="301" t="s">
        <v>477</v>
      </c>
      <c r="Y35" s="310" t="e">
        <f ca="1">Y34*(C20-C19)</f>
        <v>#VALUE!</v>
      </c>
    </row>
    <row r="36" spans="2:25" ht="10.8" thickBot="1" x14ac:dyDescent="0.25">
      <c r="B36" s="275" t="s">
        <v>478</v>
      </c>
      <c r="C36" s="311"/>
      <c r="H36" s="273">
        <v>23</v>
      </c>
      <c r="I36" s="257">
        <f ca="1"/>
        <v>2.9582641619736451E-4</v>
      </c>
      <c r="J36" s="257">
        <f ca="1"/>
        <v>8.4504022525386398E-4</v>
      </c>
      <c r="K36" s="264">
        <f ca="1"/>
        <v>0.35007376851024269</v>
      </c>
      <c r="L36" s="264">
        <f ca="1"/>
        <v>0.35007376851024269</v>
      </c>
      <c r="M36" s="264">
        <f ca="1"/>
        <v>-1.9795865897225261E-4</v>
      </c>
      <c r="N36" s="265" t="str">
        <f ca="1"/>
        <v>CADBURYSCHWEPPES_MMR.EUR.SU</v>
      </c>
      <c r="P36" s="312" t="s">
        <v>479</v>
      </c>
      <c r="Q36" s="313" t="s">
        <v>436</v>
      </c>
      <c r="R36" s="314" t="s">
        <v>438</v>
      </c>
      <c r="S36" s="314" t="s">
        <v>440</v>
      </c>
      <c r="T36" s="314" t="s">
        <v>441</v>
      </c>
      <c r="U36" s="308" t="s">
        <v>480</v>
      </c>
      <c r="V36" s="315" t="s">
        <v>481</v>
      </c>
      <c r="W36" s="316" t="s">
        <v>482</v>
      </c>
      <c r="X36" s="317" t="s">
        <v>483</v>
      </c>
      <c r="Y36" s="318" t="s">
        <v>481</v>
      </c>
    </row>
    <row r="37" spans="2:25" ht="10.8" thickBot="1" x14ac:dyDescent="0.25">
      <c r="H37" s="273">
        <v>24</v>
      </c>
      <c r="I37" s="257">
        <f ca="1"/>
        <v>4.1891094657235949E-4</v>
      </c>
      <c r="J37" s="257">
        <f ca="1"/>
        <v>1.0626632830148916E-3</v>
      </c>
      <c r="K37" s="264">
        <f ca="1"/>
        <v>0.39420854495307622</v>
      </c>
      <c r="L37" s="264">
        <f ca="1"/>
        <v>0.39420854495307622</v>
      </c>
      <c r="M37" s="264">
        <f ca="1"/>
        <v>-2.5551350725747655E-4</v>
      </c>
      <c r="N37" s="265" t="str">
        <f ca="1"/>
        <v>CAPITALIA_MMR.EUR.SU</v>
      </c>
      <c r="P37" s="319">
        <f t="array" aca="1" ref="P37:T37" ca="1">IF(AND($Q$34,B39&lt;=$C$17,C39&lt;&gt;""),TRANSPOSE(INDEX(cds(C39,$C$6,$C$29,,$C$13,$C$14,,,,,TRUE,TRUE,FALSE,,"1m"),0,1)),"")</f>
        <v>0</v>
      </c>
      <c r="Q37" s="320">
        <f ca="1"/>
        <v>1.8520788478000566E-2</v>
      </c>
      <c r="R37" s="320">
        <f ca="1"/>
        <v>1.8520788478000566E-2</v>
      </c>
      <c r="S37" s="321">
        <f ca="1"/>
        <v>4.0019617572920598E-3</v>
      </c>
      <c r="T37" s="322">
        <f ca="1"/>
        <v>4.627927401918182</v>
      </c>
      <c r="U37" s="323">
        <f t="shared" ref="U37:U100" ca="1" si="0">IF(NOT($Q$34),"",IF(P37="","",$Q$35*$D$39/$C$18))</f>
        <v>0.11636705157291649</v>
      </c>
      <c r="V37" s="324">
        <f t="shared" ref="V37:V100" ca="1" si="1">IF(NOT($Q$34),"",IF(U37="","",U37*($V$32-S37)*T37))</f>
        <v>-2.1552095479905691E-3</v>
      </c>
      <c r="W37" s="323">
        <f t="shared" ref="W37:W100" ca="1" si="2">IF(NOT($Q$34),"",IF(P37="","",IF(ISERROR(L14),0,L14/($C$20-$C$19))))</f>
        <v>0.12443203752391586</v>
      </c>
      <c r="X37" s="325">
        <f t="shared" ref="X37:X100" ca="1" si="3">IF(NOT($Q$34),"",IF(S37="","",S37*$Y$32))</f>
        <v>3.8018636694274566E-3</v>
      </c>
      <c r="Y37" s="324">
        <f t="shared" ref="Y37:Y100" ca="1" si="4">IF(NOT($Q$34),"",IF(W37="","",W37*(X37-S37)*T37))</f>
        <v>-1.1522897234335392E-4</v>
      </c>
    </row>
    <row r="38" spans="2:25" ht="10.8" thickBot="1" x14ac:dyDescent="0.25">
      <c r="B38" s="326" t="s">
        <v>461</v>
      </c>
      <c r="C38" s="327" t="s">
        <v>80</v>
      </c>
      <c r="D38" s="327" t="s">
        <v>484</v>
      </c>
      <c r="E38" s="327" t="s">
        <v>485</v>
      </c>
      <c r="F38" s="327" t="s">
        <v>85</v>
      </c>
      <c r="H38" s="273">
        <v>25</v>
      </c>
      <c r="I38" s="257">
        <f ca="1"/>
        <v>1.5929723078580426E-4</v>
      </c>
      <c r="J38" s="257">
        <f ca="1"/>
        <v>5.3607018843232414E-4</v>
      </c>
      <c r="K38" s="264">
        <f ca="1"/>
        <v>0.29715741375518523</v>
      </c>
      <c r="L38" s="264">
        <f ca="1"/>
        <v>0.29715741375518523</v>
      </c>
      <c r="M38" s="264">
        <f ca="1"/>
        <v>-1.2281521621231305E-4</v>
      </c>
      <c r="N38" s="265" t="str">
        <f ca="1"/>
        <v>CARREFOUR_MMR.EUR.SU</v>
      </c>
      <c r="P38" s="319">
        <f t="array" aca="1" ref="P38:T38" ca="1">IF(AND($Q$34,B40&lt;=$C$17,C40&lt;&gt;""),TRANSPOSE(INDEX(cds(C40,$C$6,$C$29,,$C$13,$C$14,,,,,TRUE,TRUE,FALSE,,"1m"),0,1)),"")</f>
        <v>0</v>
      </c>
      <c r="Q38" s="320">
        <f ca="1"/>
        <v>1.6713955056968318E-2</v>
      </c>
      <c r="R38" s="320">
        <f ca="1"/>
        <v>1.6713955056968318E-2</v>
      </c>
      <c r="S38" s="321">
        <f ca="1"/>
        <v>3.6004708953108859E-3</v>
      </c>
      <c r="T38" s="322">
        <f ca="1"/>
        <v>4.6421580795822921</v>
      </c>
      <c r="U38" s="323">
        <f t="shared" ca="1" si="0"/>
        <v>0.11636705157291649</v>
      </c>
      <c r="V38" s="324">
        <f t="shared" ca="1" si="1"/>
        <v>-1.9449536701016408E-3</v>
      </c>
      <c r="W38" s="323">
        <f t="shared" ca="1" si="2"/>
        <v>0.11652435687565532</v>
      </c>
      <c r="X38" s="325">
        <f t="shared" ca="1" si="3"/>
        <v>3.4204473505453415E-3</v>
      </c>
      <c r="Y38" s="324">
        <f t="shared" ca="1" si="4"/>
        <v>-9.7379143193092058E-5</v>
      </c>
    </row>
    <row r="39" spans="2:25" x14ac:dyDescent="0.2">
      <c r="B39" s="328">
        <v>1</v>
      </c>
      <c r="C39" s="329" t="s">
        <v>86</v>
      </c>
      <c r="D39" s="330">
        <v>1</v>
      </c>
      <c r="E39" s="294"/>
      <c r="F39" s="274"/>
      <c r="H39" s="273">
        <v>26</v>
      </c>
      <c r="I39" s="257">
        <f ca="1"/>
        <v>7.1723037999247283E-4</v>
      </c>
      <c r="J39" s="257">
        <f ca="1"/>
        <v>1.5620945362041661E-3</v>
      </c>
      <c r="K39" s="264">
        <f ca="1"/>
        <v>0.45914659027955951</v>
      </c>
      <c r="L39" s="264">
        <f ca="1"/>
        <v>0.45914659027955951</v>
      </c>
      <c r="M39" s="264">
        <f ca="1"/>
        <v>-3.6460427839988261E-4</v>
      </c>
      <c r="N39" s="265" t="str">
        <f ca="1"/>
        <v>CASINOGUICHARD_MMR.EUR.SU</v>
      </c>
      <c r="P39" s="319">
        <f t="array" aca="1" ref="P39:T39" ca="1">IF(AND($Q$34,B41&lt;=$C$17,C41&lt;&gt;""),TRANSPOSE(INDEX(cds(C41,$C$6,$C$29,,$C$13,$C$14,,,,,TRUE,TRUE,FALSE,,"1m"),0,1)),"")</f>
        <v>0</v>
      </c>
      <c r="Q39" s="320">
        <f ca="1"/>
        <v>1.8551658395391125E-2</v>
      </c>
      <c r="R39" s="320">
        <f ca="1"/>
        <v>1.8551658395391125E-2</v>
      </c>
      <c r="S39" s="321">
        <f ca="1"/>
        <v>4.0019592699966026E-3</v>
      </c>
      <c r="T39" s="322">
        <f ca="1"/>
        <v>4.6356439793068844</v>
      </c>
      <c r="U39" s="323" t="e">
        <f t="shared" ca="1" si="0"/>
        <v>#VALUE!</v>
      </c>
      <c r="V39" s="324" t="e">
        <f t="shared" ca="1" si="1"/>
        <v>#VALUE!</v>
      </c>
      <c r="W39" s="323" t="e">
        <f t="shared" ca="1" si="2"/>
        <v>#VALUE!</v>
      </c>
      <c r="X39" s="325" t="e">
        <f t="shared" ca="1" si="3"/>
        <v>#VALUE!</v>
      </c>
      <c r="Y39" s="324" t="e">
        <f t="shared" ca="1" si="4"/>
        <v>#VALUE!</v>
      </c>
    </row>
    <row r="40" spans="2:25" x14ac:dyDescent="0.2">
      <c r="B40" s="331">
        <v>2</v>
      </c>
      <c r="C40" s="332" t="s">
        <v>88</v>
      </c>
      <c r="D40" s="333">
        <v>1</v>
      </c>
      <c r="E40" s="294"/>
      <c r="F40" s="274"/>
      <c r="H40" s="273">
        <v>27</v>
      </c>
      <c r="I40" s="257">
        <f ca="1"/>
        <v>1.5906254088215999E-4</v>
      </c>
      <c r="J40" s="257">
        <f ca="1"/>
        <v>5.354961370873276E-4</v>
      </c>
      <c r="K40" s="264">
        <f ca="1"/>
        <v>0.29703769993063533</v>
      </c>
      <c r="L40" s="264">
        <f ca="1"/>
        <v>0.29703769993063533</v>
      </c>
      <c r="M40" s="264">
        <f ca="1"/>
        <v>-1.2268324504405292E-4</v>
      </c>
      <c r="N40" s="265" t="str">
        <f ca="1"/>
        <v>CENTRICA_MMR.EUR.SU</v>
      </c>
      <c r="P40" s="319">
        <f t="array" aca="1" ref="P40:T40" ca="1">IF(AND($Q$34,B42&lt;=$C$17,C42&lt;&gt;""),TRANSPOSE(INDEX(cds(C42,$C$6,$C$29,,$C$13,$C$14,,,,,TRUE,TRUE,FALSE,,"1m"),0,1)),"")</f>
        <v>0</v>
      </c>
      <c r="Q40" s="320">
        <f ca="1"/>
        <v>1.7611431712913232E-2</v>
      </c>
      <c r="R40" s="320">
        <f ca="1"/>
        <v>1.7611431712913232E-2</v>
      </c>
      <c r="S40" s="321">
        <f ca="1"/>
        <v>3.8016967581951692E-3</v>
      </c>
      <c r="T40" s="322">
        <f ca="1"/>
        <v>4.6325188022818908</v>
      </c>
      <c r="U40" s="323" t="e">
        <f t="shared" ca="1" si="0"/>
        <v>#VALUE!</v>
      </c>
      <c r="V40" s="324" t="e">
        <f t="shared" ca="1" si="1"/>
        <v>#VALUE!</v>
      </c>
      <c r="W40" s="323" t="e">
        <f t="shared" ca="1" si="2"/>
        <v>#VALUE!</v>
      </c>
      <c r="X40" s="325" t="e">
        <f t="shared" ca="1" si="3"/>
        <v>#VALUE!</v>
      </c>
      <c r="Y40" s="324" t="e">
        <f t="shared" ca="1" si="4"/>
        <v>#VALUE!</v>
      </c>
    </row>
    <row r="41" spans="2:25" ht="12.75" customHeight="1" x14ac:dyDescent="0.2">
      <c r="B41" s="331">
        <v>3</v>
      </c>
      <c r="C41" s="332" t="s">
        <v>89</v>
      </c>
      <c r="D41" s="333">
        <v>1</v>
      </c>
      <c r="E41" s="294"/>
      <c r="F41" s="274"/>
      <c r="H41" s="273">
        <v>28</v>
      </c>
      <c r="I41" s="257">
        <f ca="1"/>
        <v>4.7810474382201649E-4</v>
      </c>
      <c r="J41" s="257">
        <f ca="1"/>
        <v>1.1763050649477216E-3</v>
      </c>
      <c r="K41" s="264">
        <f ca="1"/>
        <v>0.40644621711568069</v>
      </c>
      <c r="L41" s="264">
        <f ca="1"/>
        <v>0.40644621711568069</v>
      </c>
      <c r="M41" s="264">
        <f ca="1"/>
        <v>-2.7998943596618808E-4</v>
      </c>
      <c r="N41" s="265" t="str">
        <f ca="1"/>
        <v>CIBASC_MMR.EUR.SU</v>
      </c>
      <c r="P41" s="319">
        <f t="array" aca="1" ref="P41:T41" ca="1">IF(AND($Q$34,B43&lt;=$C$17,C43&lt;&gt;""),TRANSPOSE(INDEX(cds(C43,$C$6,$C$29,,$C$13,$C$14,,,,,TRUE,TRUE,FALSE,,"1m"),0,1)),"")</f>
        <v>0</v>
      </c>
      <c r="Q41" s="320">
        <f ca="1"/>
        <v>1.164680799583633E-2</v>
      </c>
      <c r="R41" s="320">
        <f ca="1"/>
        <v>1.164680799583633E-2</v>
      </c>
      <c r="S41" s="321">
        <f ca="1"/>
        <v>2.4999273900312936E-3</v>
      </c>
      <c r="T41" s="322">
        <f ca="1"/>
        <v>4.6588585101627844</v>
      </c>
      <c r="U41" s="323" t="e">
        <f t="shared" ca="1" si="0"/>
        <v>#VALUE!</v>
      </c>
      <c r="V41" s="324" t="e">
        <f t="shared" ca="1" si="1"/>
        <v>#VALUE!</v>
      </c>
      <c r="W41" s="323" t="e">
        <f t="shared" ca="1" si="2"/>
        <v>#VALUE!</v>
      </c>
      <c r="X41" s="325" t="e">
        <f t="shared" ca="1" si="3"/>
        <v>#VALUE!</v>
      </c>
      <c r="Y41" s="324" t="e">
        <f t="shared" ca="1" si="4"/>
        <v>#VALUE!</v>
      </c>
    </row>
    <row r="42" spans="2:25" x14ac:dyDescent="0.2">
      <c r="B42" s="331">
        <v>4</v>
      </c>
      <c r="C42" s="332" t="s">
        <v>90</v>
      </c>
      <c r="D42" s="333">
        <v>1</v>
      </c>
      <c r="E42" s="294"/>
      <c r="F42" s="274"/>
      <c r="H42" s="273">
        <v>29</v>
      </c>
      <c r="I42" s="257">
        <f ca="1"/>
        <v>3.8387432517430489E-4</v>
      </c>
      <c r="J42" s="257">
        <f ca="1"/>
        <v>9.9354393694084365E-4</v>
      </c>
      <c r="K42" s="264">
        <f ca="1"/>
        <v>0.38636874616362443</v>
      </c>
      <c r="L42" s="264">
        <f ca="1"/>
        <v>0.38636874616362443</v>
      </c>
      <c r="M42" s="264">
        <f ca="1"/>
        <v>-2.4007191529975546E-4</v>
      </c>
      <c r="N42" s="265" t="str">
        <f ca="1"/>
        <v>COMMERZBANK_MMR.EUR.SU</v>
      </c>
      <c r="P42" s="319">
        <f t="array" aca="1" ref="P42:T42" ca="1">IF(AND($Q$34,B44&lt;=$C$17,C44&lt;&gt;""),TRANSPOSE(INDEX(cds(C44,$C$6,$C$29,,$C$13,$C$14,,,,,TRUE,TRUE,FALSE,,"1m"),0,1)),"")</f>
        <v>0</v>
      </c>
      <c r="Q42" s="320">
        <f ca="1"/>
        <v>1.4852449586768011E-2</v>
      </c>
      <c r="R42" s="320">
        <f ca="1"/>
        <v>1.4852449586768011E-2</v>
      </c>
      <c r="S42" s="321">
        <f ca="1"/>
        <v>3.2003661461281262E-3</v>
      </c>
      <c r="T42" s="322">
        <f ca="1"/>
        <v>4.6408594856363026</v>
      </c>
      <c r="U42" s="323" t="e">
        <f t="shared" ca="1" si="0"/>
        <v>#VALUE!</v>
      </c>
      <c r="V42" s="324" t="e">
        <f t="shared" ca="1" si="1"/>
        <v>#VALUE!</v>
      </c>
      <c r="W42" s="323" t="e">
        <f t="shared" ca="1" si="2"/>
        <v>#VALUE!</v>
      </c>
      <c r="X42" s="325" t="e">
        <f t="shared" ca="1" si="3"/>
        <v>#VALUE!</v>
      </c>
      <c r="Y42" s="324" t="e">
        <f t="shared" ca="1" si="4"/>
        <v>#VALUE!</v>
      </c>
    </row>
    <row r="43" spans="2:25" x14ac:dyDescent="0.2">
      <c r="B43" s="331">
        <v>5</v>
      </c>
      <c r="C43" s="332" t="s">
        <v>93</v>
      </c>
      <c r="D43" s="333">
        <v>1</v>
      </c>
      <c r="E43" s="294"/>
      <c r="F43" s="274"/>
      <c r="H43" s="273">
        <v>30</v>
      </c>
      <c r="I43" s="257">
        <f ca="1"/>
        <v>2.0623843982205958E-4</v>
      </c>
      <c r="J43" s="257">
        <f ca="1"/>
        <v>6.5131736179803305E-4</v>
      </c>
      <c r="K43" s="264">
        <f ca="1"/>
        <v>0.31664815329460239</v>
      </c>
      <c r="L43" s="264">
        <f ca="1"/>
        <v>0.31664815329460239</v>
      </c>
      <c r="M43" s="264">
        <f ca="1"/>
        <v>-1.5201602710845918E-4</v>
      </c>
      <c r="N43" s="265" t="str">
        <f ca="1"/>
        <v>COMPASS_MMR.EUR.SU</v>
      </c>
      <c r="P43" s="319">
        <f t="array" aca="1" ref="P43:T43" ca="1">IF(AND($Q$34,B45&lt;=$C$17,C45&lt;&gt;""),TRANSPOSE(INDEX(cds(C45,$C$6,$C$29,,$C$13,$C$14,,,,,TRUE,TRUE,FALSE,,"1m"),0,1)),"")</f>
        <v>0</v>
      </c>
      <c r="Q43" s="320">
        <f ca="1"/>
        <v>2.6324846925076424E-2</v>
      </c>
      <c r="R43" s="320">
        <f ca="1"/>
        <v>2.6324846925076424E-2</v>
      </c>
      <c r="S43" s="321">
        <f ca="1"/>
        <v>5.7028039336345362E-3</v>
      </c>
      <c r="T43" s="322">
        <f ca="1"/>
        <v>4.6161234423325084</v>
      </c>
      <c r="U43" s="323" t="e">
        <f t="shared" ca="1" si="0"/>
        <v>#VALUE!</v>
      </c>
      <c r="V43" s="324" t="e">
        <f t="shared" ca="1" si="1"/>
        <v>#VALUE!</v>
      </c>
      <c r="W43" s="323" t="e">
        <f t="shared" ca="1" si="2"/>
        <v>#VALUE!</v>
      </c>
      <c r="X43" s="325" t="e">
        <f t="shared" ca="1" si="3"/>
        <v>#VALUE!</v>
      </c>
      <c r="Y43" s="324" t="e">
        <f t="shared" ca="1" si="4"/>
        <v>#VALUE!</v>
      </c>
    </row>
    <row r="44" spans="2:25" x14ac:dyDescent="0.2">
      <c r="B44" s="331">
        <v>6</v>
      </c>
      <c r="C44" s="332" t="s">
        <v>94</v>
      </c>
      <c r="D44" s="333">
        <v>1</v>
      </c>
      <c r="E44" s="294"/>
      <c r="F44" s="274"/>
      <c r="H44" s="273">
        <v>31</v>
      </c>
      <c r="I44" s="257">
        <f ca="1"/>
        <v>5.8990964456075992E-4</v>
      </c>
      <c r="J44" s="257">
        <f ca="1"/>
        <v>1.3587615925971545E-3</v>
      </c>
      <c r="K44" s="264">
        <f ca="1"/>
        <v>0.43415242804530485</v>
      </c>
      <c r="L44" s="264">
        <f ca="1"/>
        <v>0.43415242804530485</v>
      </c>
      <c r="M44" s="264">
        <f ca="1"/>
        <v>-3.2152569059746839E-4</v>
      </c>
      <c r="N44" s="265" t="str">
        <f ca="1"/>
        <v>CONTINENTAL_MMR.EUR.SU</v>
      </c>
      <c r="P44" s="319" t="e">
        <f t="array" aca="1" ref="P44:T44" ca="1">IF(AND($Q$34,B46&lt;=$C$17,C46&lt;&gt;""),TRANSPOSE(INDEX(cds(C46,$C$6,$C$29,,$C$13,$C$14,,,,,TRUE,TRUE,FALSE,,"1m"),0,1)),"")</f>
        <v>#VALUE!</v>
      </c>
      <c r="Q44" s="320" t="e">
        <f ca="1"/>
        <v>#VALUE!</v>
      </c>
      <c r="R44" s="320" t="e">
        <f ca="1"/>
        <v>#VALUE!</v>
      </c>
      <c r="S44" s="321" t="e">
        <f ca="1"/>
        <v>#VALUE!</v>
      </c>
      <c r="T44" s="322" t="e">
        <f ca="1"/>
        <v>#VALUE!</v>
      </c>
      <c r="U44" s="323" t="e">
        <f t="shared" ca="1" si="0"/>
        <v>#VALUE!</v>
      </c>
      <c r="V44" s="324" t="e">
        <f t="shared" ca="1" si="1"/>
        <v>#VALUE!</v>
      </c>
      <c r="W44" s="323" t="e">
        <f t="shared" ca="1" si="2"/>
        <v>#VALUE!</v>
      </c>
      <c r="X44" s="325" t="e">
        <f t="shared" ca="1" si="3"/>
        <v>#VALUE!</v>
      </c>
      <c r="Y44" s="324" t="e">
        <f t="shared" ca="1" si="4"/>
        <v>#VALUE!</v>
      </c>
    </row>
    <row r="45" spans="2:25" x14ac:dyDescent="0.2">
      <c r="B45" s="331">
        <v>7</v>
      </c>
      <c r="C45" s="332" t="s">
        <v>95</v>
      </c>
      <c r="D45" s="333">
        <v>1</v>
      </c>
      <c r="E45" s="294"/>
      <c r="F45" s="274"/>
      <c r="H45" s="273">
        <v>32</v>
      </c>
      <c r="I45" s="257">
        <f ca="1"/>
        <v>2.2810349487814018E-4</v>
      </c>
      <c r="J45" s="257">
        <f ca="1"/>
        <v>6.9718746829772974E-4</v>
      </c>
      <c r="K45" s="264">
        <f ca="1"/>
        <v>0.32717669959714474</v>
      </c>
      <c r="L45" s="264">
        <f ca="1"/>
        <v>0.32717669959714474</v>
      </c>
      <c r="M45" s="264">
        <f ca="1"/>
        <v>-1.6454038865127975E-4</v>
      </c>
      <c r="N45" s="265" t="str">
        <f ca="1"/>
        <v>CREDITAGRICOLE_MMR.EUR.SU</v>
      </c>
      <c r="P45" s="319" t="e">
        <f t="array" aca="1" ref="P45:T45" ca="1">IF(AND($Q$34,B47&lt;=$C$17,C47&lt;&gt;""),TRANSPOSE(INDEX(cds(C47,$C$6,$C$29,,$C$13,$C$14,,,,,TRUE,TRUE,FALSE,,"1m"),0,1)),"")</f>
        <v>#VALUE!</v>
      </c>
      <c r="Q45" s="320" t="e">
        <f ca="1"/>
        <v>#VALUE!</v>
      </c>
      <c r="R45" s="320" t="e">
        <f ca="1"/>
        <v>#VALUE!</v>
      </c>
      <c r="S45" s="321" t="e">
        <f ca="1"/>
        <v>#VALUE!</v>
      </c>
      <c r="T45" s="322" t="e">
        <f ca="1"/>
        <v>#VALUE!</v>
      </c>
      <c r="U45" s="323" t="e">
        <f t="shared" ca="1" si="0"/>
        <v>#VALUE!</v>
      </c>
      <c r="V45" s="324" t="e">
        <f t="shared" ca="1" si="1"/>
        <v>#VALUE!</v>
      </c>
      <c r="W45" s="323" t="e">
        <f t="shared" ca="1" si="2"/>
        <v>#VALUE!</v>
      </c>
      <c r="X45" s="325" t="e">
        <f t="shared" ca="1" si="3"/>
        <v>#VALUE!</v>
      </c>
      <c r="Y45" s="324" t="e">
        <f t="shared" ca="1" si="4"/>
        <v>#VALUE!</v>
      </c>
    </row>
    <row r="46" spans="2:25" x14ac:dyDescent="0.2">
      <c r="B46" s="331">
        <v>8</v>
      </c>
      <c r="C46" s="332" t="s">
        <v>96</v>
      </c>
      <c r="D46" s="333">
        <v>1</v>
      </c>
      <c r="E46" s="294"/>
      <c r="F46" s="274"/>
      <c r="H46" s="273">
        <v>33</v>
      </c>
      <c r="I46" s="257">
        <f ca="1"/>
        <v>4.432360758923837E-4</v>
      </c>
      <c r="J46" s="257">
        <f ca="1"/>
        <v>1.1084416302889739E-3</v>
      </c>
      <c r="K46" s="264">
        <f ca="1"/>
        <v>0.39987317670198907</v>
      </c>
      <c r="L46" s="264">
        <f ca="1"/>
        <v>0.39987317670198907</v>
      </c>
      <c r="M46" s="264">
        <f ca="1"/>
        <v>-2.6572183727662234E-4</v>
      </c>
      <c r="N46" s="265" t="str">
        <f ca="1"/>
        <v>CREDITSUISSEGROUP_MMR.EUR.SU</v>
      </c>
      <c r="P46" s="319">
        <f t="array" aca="1" ref="P46:T46" ca="1">IF(AND($Q$34,B48&lt;=$C$17,C48&lt;&gt;""),TRANSPOSE(INDEX(cds(C48,$C$6,$C$29,,$C$13,$C$14,,,,,TRUE,TRUE,FALSE,,"1m"),0,1)),"")</f>
        <v>0</v>
      </c>
      <c r="Q46" s="320">
        <f ca="1"/>
        <v>1.4040230840183425E-2</v>
      </c>
      <c r="R46" s="320">
        <f ca="1"/>
        <v>1.4040230840183425E-2</v>
      </c>
      <c r="S46" s="321">
        <f ca="1"/>
        <v>3.1003896125007101E-3</v>
      </c>
      <c r="T46" s="322">
        <f ca="1"/>
        <v>4.5285375694633636</v>
      </c>
      <c r="U46" s="323">
        <f t="shared" ca="1" si="0"/>
        <v>0.11636705157291649</v>
      </c>
      <c r="V46" s="324">
        <f t="shared" ca="1" si="1"/>
        <v>-1.6338202662752775E-3</v>
      </c>
      <c r="W46" s="323">
        <f t="shared" ca="1" si="2"/>
        <v>0.11110692865608396</v>
      </c>
      <c r="X46" s="325">
        <f t="shared" ca="1" si="3"/>
        <v>2.9453701318756745E-3</v>
      </c>
      <c r="Y46" s="324">
        <f t="shared" ca="1" si="4"/>
        <v>-7.7998346313760513E-5</v>
      </c>
    </row>
    <row r="47" spans="2:25" x14ac:dyDescent="0.2">
      <c r="B47" s="331">
        <v>9</v>
      </c>
      <c r="C47" s="332" t="s">
        <v>97</v>
      </c>
      <c r="D47" s="333">
        <v>1</v>
      </c>
      <c r="E47" s="294"/>
      <c r="F47" s="274"/>
      <c r="H47" s="273">
        <v>34</v>
      </c>
      <c r="I47" s="257">
        <f ca="1"/>
        <v>2.0050005417748817E-4</v>
      </c>
      <c r="J47" s="257">
        <f ca="1"/>
        <v>6.2726187727837825E-4</v>
      </c>
      <c r="K47" s="264">
        <f ca="1"/>
        <v>0.31964329642897527</v>
      </c>
      <c r="L47" s="264">
        <f ca="1"/>
        <v>0.31964329642897527</v>
      </c>
      <c r="M47" s="264">
        <f ca="1"/>
        <v>-1.489997363106177E-4</v>
      </c>
      <c r="N47" s="265" t="str">
        <f ca="1"/>
        <v>DAIMLERCHRYSLER_MMR.EUR.SU</v>
      </c>
      <c r="P47" s="319">
        <f t="array" aca="1" ref="P47:T47" ca="1">IF(AND($Q$34,B49&lt;=$C$17,C49&lt;&gt;""),TRANSPOSE(INDEX(cds(C49,$C$6,$C$29,,$C$13,$C$14,,,,,TRUE,TRUE,FALSE,,"1m"),0,1)),"")</f>
        <v>0</v>
      </c>
      <c r="Q47" s="320">
        <f ca="1"/>
        <v>1.537818627251499E-2</v>
      </c>
      <c r="R47" s="320">
        <f ca="1"/>
        <v>1.537818627251499E-2</v>
      </c>
      <c r="S47" s="321">
        <f ca="1"/>
        <v>3.399957323815735E-3</v>
      </c>
      <c r="T47" s="322">
        <f ca="1"/>
        <v>4.5230527350432208</v>
      </c>
      <c r="U47" s="323">
        <f t="shared" ca="1" si="0"/>
        <v>0.11636705157291649</v>
      </c>
      <c r="V47" s="324">
        <f t="shared" ca="1" si="1"/>
        <v>-1.7895141950716681E-3</v>
      </c>
      <c r="W47" s="323">
        <f t="shared" ca="1" si="2"/>
        <v>0.11598226649823505</v>
      </c>
      <c r="X47" s="325">
        <f t="shared" ca="1" si="3"/>
        <v>3.229959457624948E-3</v>
      </c>
      <c r="Y47" s="324">
        <f t="shared" ca="1" si="4"/>
        <v>-8.917984492591677E-5</v>
      </c>
    </row>
    <row r="48" spans="2:25" x14ac:dyDescent="0.2">
      <c r="B48" s="331">
        <v>10</v>
      </c>
      <c r="C48" s="332" t="s">
        <v>98</v>
      </c>
      <c r="D48" s="333">
        <v>1</v>
      </c>
      <c r="E48" s="294"/>
      <c r="F48" s="274"/>
      <c r="H48" s="273">
        <v>35</v>
      </c>
      <c r="I48" s="257">
        <f ca="1"/>
        <v>1.9677270629294696E-4</v>
      </c>
      <c r="J48" s="257">
        <f ca="1"/>
        <v>6.2829039591817454E-4</v>
      </c>
      <c r="K48" s="264">
        <f ca="1"/>
        <v>0.31318751260774275</v>
      </c>
      <c r="L48" s="264">
        <f ca="1"/>
        <v>0.31318751260774275</v>
      </c>
      <c r="M48" s="264">
        <f ca="1"/>
        <v>-1.4628331076855795E-4</v>
      </c>
      <c r="N48" s="265" t="str">
        <f ca="1"/>
        <v>DANONE_MMR.EUR.SU</v>
      </c>
      <c r="P48" s="319" t="e">
        <f t="array" aca="1" ref="P48:T48" ca="1">IF(AND($Q$34,B50&lt;=$C$17,C50&lt;&gt;""),TRANSPOSE(INDEX(cds(C50,$C$6,$C$29,,$C$13,$C$14,,,,,TRUE,TRUE,FALSE,,"1m"),0,1)),"")</f>
        <v>#VALUE!</v>
      </c>
      <c r="Q48" s="320" t="e">
        <f ca="1"/>
        <v>#VALUE!</v>
      </c>
      <c r="R48" s="320" t="e">
        <f ca="1"/>
        <v>#VALUE!</v>
      </c>
      <c r="S48" s="321" t="e">
        <f ca="1"/>
        <v>#VALUE!</v>
      </c>
      <c r="T48" s="322" t="e">
        <f ca="1"/>
        <v>#VALUE!</v>
      </c>
      <c r="U48" s="323" t="e">
        <f t="shared" ca="1" si="0"/>
        <v>#VALUE!</v>
      </c>
      <c r="V48" s="324" t="e">
        <f t="shared" ca="1" si="1"/>
        <v>#VALUE!</v>
      </c>
      <c r="W48" s="323" t="e">
        <f t="shared" ca="1" si="2"/>
        <v>#VALUE!</v>
      </c>
      <c r="X48" s="325" t="e">
        <f t="shared" ca="1" si="3"/>
        <v>#VALUE!</v>
      </c>
      <c r="Y48" s="324" t="e">
        <f t="shared" ca="1" si="4"/>
        <v>#VALUE!</v>
      </c>
    </row>
    <row r="49" spans="2:25" x14ac:dyDescent="0.2">
      <c r="B49" s="331">
        <v>11</v>
      </c>
      <c r="C49" s="332" t="s">
        <v>99</v>
      </c>
      <c r="D49" s="333">
        <v>1</v>
      </c>
      <c r="E49" s="294"/>
      <c r="F49" s="274"/>
      <c r="H49" s="273">
        <v>36</v>
      </c>
      <c r="I49" s="257">
        <f ca="1"/>
        <v>3.5777911565766375E-4</v>
      </c>
      <c r="J49" s="257">
        <f ca="1"/>
        <v>9.4720495866883365E-4</v>
      </c>
      <c r="K49" s="264">
        <f ca="1"/>
        <v>0.37772090652953622</v>
      </c>
      <c r="L49" s="264">
        <f ca="1"/>
        <v>0.37772090652953622</v>
      </c>
      <c r="M49" s="264">
        <f ca="1"/>
        <v>-2.2867318785178004E-4</v>
      </c>
      <c r="N49" s="265" t="str">
        <f ca="1"/>
        <v>DEUTSCHEBANK_MMR.EUR.SU</v>
      </c>
      <c r="P49" s="319" t="e">
        <f t="array" aca="1" ref="P49:T49" ca="1">IF(AND($Q$34,B51&lt;=$C$17,C51&lt;&gt;""),TRANSPOSE(INDEX(cds(C51,$C$6,$C$29,,$C$13,$C$14,,,,,TRUE,TRUE,FALSE,,"1m"),0,1)),"")</f>
        <v>#VALUE!</v>
      </c>
      <c r="Q49" s="320" t="e">
        <f ca="1"/>
        <v>#VALUE!</v>
      </c>
      <c r="R49" s="320" t="e">
        <f ca="1"/>
        <v>#VALUE!</v>
      </c>
      <c r="S49" s="321" t="e">
        <f ca="1"/>
        <v>#VALUE!</v>
      </c>
      <c r="T49" s="322" t="e">
        <f ca="1"/>
        <v>#VALUE!</v>
      </c>
      <c r="U49" s="323" t="e">
        <f t="shared" ca="1" si="0"/>
        <v>#VALUE!</v>
      </c>
      <c r="V49" s="324" t="e">
        <f t="shared" ca="1" si="1"/>
        <v>#VALUE!</v>
      </c>
      <c r="W49" s="323" t="e">
        <f t="shared" ca="1" si="2"/>
        <v>#VALUE!</v>
      </c>
      <c r="X49" s="325" t="e">
        <f t="shared" ca="1" si="3"/>
        <v>#VALUE!</v>
      </c>
      <c r="Y49" s="324" t="e">
        <f t="shared" ca="1" si="4"/>
        <v>#VALUE!</v>
      </c>
    </row>
    <row r="50" spans="2:25" x14ac:dyDescent="0.2">
      <c r="B50" s="331">
        <v>12</v>
      </c>
      <c r="C50" s="332" t="s">
        <v>100</v>
      </c>
      <c r="D50" s="333">
        <v>1</v>
      </c>
      <c r="E50" s="294"/>
      <c r="F50" s="274"/>
      <c r="H50" s="273">
        <v>37</v>
      </c>
      <c r="I50" s="257">
        <f ca="1"/>
        <v>1.6788450872420312E-4</v>
      </c>
      <c r="J50" s="257">
        <f ca="1"/>
        <v>5.590363100577959E-4</v>
      </c>
      <c r="K50" s="264">
        <f ca="1"/>
        <v>0.30031056248716009</v>
      </c>
      <c r="L50" s="264">
        <f ca="1"/>
        <v>0.30031056248716009</v>
      </c>
      <c r="M50" s="264">
        <f ca="1"/>
        <v>-1.2793530123340614E-4</v>
      </c>
      <c r="N50" s="265" t="str">
        <f ca="1"/>
        <v>DEUTSCHEPOSTAG_MMR.EUR.SU</v>
      </c>
      <c r="P50" s="319" t="e">
        <f t="array" aca="1" ref="P50:T50" ca="1">IF(AND($Q$34,B52&lt;=$C$17,C52&lt;&gt;""),TRANSPOSE(INDEX(cds(C52,$C$6,$C$29,,$C$13,$C$14,,,,,TRUE,TRUE,FALSE,,"1m"),0,1)),"")</f>
        <v>#VALUE!</v>
      </c>
      <c r="Q50" s="320" t="e">
        <f ca="1"/>
        <v>#VALUE!</v>
      </c>
      <c r="R50" s="320" t="e">
        <f ca="1"/>
        <v>#VALUE!</v>
      </c>
      <c r="S50" s="321" t="e">
        <f ca="1"/>
        <v>#VALUE!</v>
      </c>
      <c r="T50" s="322" t="e">
        <f ca="1"/>
        <v>#VALUE!</v>
      </c>
      <c r="U50" s="323" t="e">
        <f t="shared" ca="1" si="0"/>
        <v>#VALUE!</v>
      </c>
      <c r="V50" s="324" t="e">
        <f t="shared" ca="1" si="1"/>
        <v>#VALUE!</v>
      </c>
      <c r="W50" s="323" t="e">
        <f t="shared" ca="1" si="2"/>
        <v>#VALUE!</v>
      </c>
      <c r="X50" s="325" t="e">
        <f t="shared" ca="1" si="3"/>
        <v>#VALUE!</v>
      </c>
      <c r="Y50" s="324" t="e">
        <f t="shared" ca="1" si="4"/>
        <v>#VALUE!</v>
      </c>
    </row>
    <row r="51" spans="2:25" x14ac:dyDescent="0.2">
      <c r="B51" s="331">
        <v>13</v>
      </c>
      <c r="C51" s="332" t="s">
        <v>101</v>
      </c>
      <c r="D51" s="333">
        <v>1</v>
      </c>
      <c r="E51" s="294"/>
      <c r="F51" s="274"/>
      <c r="H51" s="273">
        <v>38</v>
      </c>
      <c r="I51" s="257">
        <f ca="1"/>
        <v>3.3008673824339583E-4</v>
      </c>
      <c r="J51" s="257">
        <f ca="1"/>
        <v>9.0338860860169148E-4</v>
      </c>
      <c r="K51" s="264">
        <f ca="1"/>
        <v>0.3653873151603273</v>
      </c>
      <c r="L51" s="264">
        <f ca="1"/>
        <v>0.3653873151603273</v>
      </c>
      <c r="M51" s="264">
        <f ca="1"/>
        <v>-2.1635593891435878E-4</v>
      </c>
      <c r="N51" s="265" t="str">
        <f ca="1"/>
        <v>DEUTSCHETELEKOM_MMR.EUR.SU</v>
      </c>
      <c r="P51" s="319" t="e">
        <f t="array" aca="1" ref="P51:T51" ca="1">IF(AND($Q$34,B53&lt;=$C$17,C53&lt;&gt;""),TRANSPOSE(INDEX(cds(C53,$C$6,$C$29,,$C$13,$C$14,,,,,TRUE,TRUE,FALSE,,"1m"),0,1)),"")</f>
        <v>#VALUE!</v>
      </c>
      <c r="Q51" s="320" t="e">
        <f ca="1"/>
        <v>#VALUE!</v>
      </c>
      <c r="R51" s="320" t="e">
        <f ca="1"/>
        <v>#VALUE!</v>
      </c>
      <c r="S51" s="321" t="e">
        <f ca="1"/>
        <v>#VALUE!</v>
      </c>
      <c r="T51" s="322" t="e">
        <f ca="1"/>
        <v>#VALUE!</v>
      </c>
      <c r="U51" s="323" t="e">
        <f t="shared" ca="1" si="0"/>
        <v>#VALUE!</v>
      </c>
      <c r="V51" s="324" t="e">
        <f t="shared" ca="1" si="1"/>
        <v>#VALUE!</v>
      </c>
      <c r="W51" s="323" t="e">
        <f t="shared" ca="1" si="2"/>
        <v>#VALUE!</v>
      </c>
      <c r="X51" s="325" t="e">
        <f t="shared" ca="1" si="3"/>
        <v>#VALUE!</v>
      </c>
      <c r="Y51" s="324" t="e">
        <f t="shared" ca="1" si="4"/>
        <v>#VALUE!</v>
      </c>
    </row>
    <row r="52" spans="2:25" x14ac:dyDescent="0.2">
      <c r="B52" s="331">
        <v>14</v>
      </c>
      <c r="C52" s="332" t="s">
        <v>102</v>
      </c>
      <c r="D52" s="333">
        <v>1</v>
      </c>
      <c r="E52" s="294"/>
      <c r="F52" s="274"/>
      <c r="H52" s="273">
        <v>39</v>
      </c>
      <c r="I52" s="257">
        <f ca="1"/>
        <v>2.1622782095749306E-4</v>
      </c>
      <c r="J52" s="257">
        <f ca="1"/>
        <v>6.7473205451343081E-4</v>
      </c>
      <c r="K52" s="264">
        <f ca="1"/>
        <v>0.32046472301278367</v>
      </c>
      <c r="L52" s="264">
        <f ca="1"/>
        <v>0.32046472301278367</v>
      </c>
      <c r="M52" s="264">
        <f ca="1"/>
        <v>-1.5727797948650313E-4</v>
      </c>
      <c r="N52" s="265" t="str">
        <f ca="1"/>
        <v>DIAGEO_MMR.EUR.SU</v>
      </c>
      <c r="P52" s="319" t="e">
        <f t="array" aca="1" ref="P52:T52" ca="1">IF(AND($Q$34,B54&lt;=$C$17,C54&lt;&gt;""),TRANSPOSE(INDEX(cds(C54,$C$6,$C$29,,$C$13,$C$14,,,,,TRUE,TRUE,FALSE,,"1m"),0,1)),"")</f>
        <v>#VALUE!</v>
      </c>
      <c r="Q52" s="320" t="e">
        <f ca="1"/>
        <v>#VALUE!</v>
      </c>
      <c r="R52" s="320" t="e">
        <f ca="1"/>
        <v>#VALUE!</v>
      </c>
      <c r="S52" s="321" t="e">
        <f ca="1"/>
        <v>#VALUE!</v>
      </c>
      <c r="T52" s="322" t="e">
        <f ca="1"/>
        <v>#VALUE!</v>
      </c>
      <c r="U52" s="323" t="e">
        <f t="shared" ca="1" si="0"/>
        <v>#VALUE!</v>
      </c>
      <c r="V52" s="324" t="e">
        <f t="shared" ca="1" si="1"/>
        <v>#VALUE!</v>
      </c>
      <c r="W52" s="323" t="e">
        <f t="shared" ca="1" si="2"/>
        <v>#VALUE!</v>
      </c>
      <c r="X52" s="325" t="e">
        <f t="shared" ca="1" si="3"/>
        <v>#VALUE!</v>
      </c>
      <c r="Y52" s="324" t="e">
        <f t="shared" ca="1" si="4"/>
        <v>#VALUE!</v>
      </c>
    </row>
    <row r="53" spans="2:25" x14ac:dyDescent="0.2">
      <c r="B53" s="331">
        <v>15</v>
      </c>
      <c r="C53" s="332" t="s">
        <v>103</v>
      </c>
      <c r="D53" s="333">
        <v>1</v>
      </c>
      <c r="E53" s="294"/>
      <c r="F53" s="274"/>
      <c r="H53" s="273">
        <v>40</v>
      </c>
      <c r="I53" s="257">
        <f ca="1"/>
        <v>8.9939505727785194E-4</v>
      </c>
      <c r="J53" s="257">
        <f ca="1"/>
        <v>1.8305380937630436E-3</v>
      </c>
      <c r="K53" s="264">
        <f ca="1"/>
        <v>0.49132823858855751</v>
      </c>
      <c r="L53" s="264">
        <f ca="1"/>
        <v>0.49132823858855751</v>
      </c>
      <c r="M53" s="264">
        <f ca="1"/>
        <v>-4.1860497488501738E-4</v>
      </c>
      <c r="N53" s="265" t="str">
        <f ca="1"/>
        <v>DIXONSGROUPPLC_MMR.EUR.SU</v>
      </c>
      <c r="P53" s="319" t="e">
        <f t="array" aca="1" ref="P53:T53" ca="1">IF(AND($Q$34,B55&lt;=$C$17,C55&lt;&gt;""),TRANSPOSE(INDEX(cds(C55,$C$6,$C$29,,$C$13,$C$14,,,,,TRUE,TRUE,FALSE,,"1m"),0,1)),"")</f>
        <v>#VALUE!</v>
      </c>
      <c r="Q53" s="320" t="e">
        <f ca="1"/>
        <v>#VALUE!</v>
      </c>
      <c r="R53" s="320" t="e">
        <f ca="1"/>
        <v>#VALUE!</v>
      </c>
      <c r="S53" s="321" t="e">
        <f ca="1"/>
        <v>#VALUE!</v>
      </c>
      <c r="T53" s="322" t="e">
        <f ca="1"/>
        <v>#VALUE!</v>
      </c>
      <c r="U53" s="323" t="e">
        <f t="shared" ca="1" si="0"/>
        <v>#VALUE!</v>
      </c>
      <c r="V53" s="324" t="e">
        <f t="shared" ca="1" si="1"/>
        <v>#VALUE!</v>
      </c>
      <c r="W53" s="323" t="e">
        <f t="shared" ca="1" si="2"/>
        <v>#VALUE!</v>
      </c>
      <c r="X53" s="325" t="e">
        <f t="shared" ca="1" si="3"/>
        <v>#VALUE!</v>
      </c>
      <c r="Y53" s="324" t="e">
        <f t="shared" ca="1" si="4"/>
        <v>#VALUE!</v>
      </c>
    </row>
    <row r="54" spans="2:25" x14ac:dyDescent="0.2">
      <c r="B54" s="331">
        <v>16</v>
      </c>
      <c r="C54" s="332" t="s">
        <v>104</v>
      </c>
      <c r="D54" s="333">
        <v>1</v>
      </c>
      <c r="E54" s="294"/>
      <c r="F54" s="274"/>
      <c r="H54" s="273">
        <v>41</v>
      </c>
      <c r="I54" s="257">
        <f ca="1"/>
        <v>2.0620946198910418E-4</v>
      </c>
      <c r="J54" s="257">
        <f ca="1"/>
        <v>6.5184376307622063E-4</v>
      </c>
      <c r="K54" s="264">
        <f ca="1"/>
        <v>0.31634798654197133</v>
      </c>
      <c r="L54" s="264">
        <f ca="1"/>
        <v>0.31634798654197133</v>
      </c>
      <c r="M54" s="264">
        <f ca="1"/>
        <v>-1.5151170088412158E-4</v>
      </c>
      <c r="N54" s="265" t="str">
        <f ca="1"/>
        <v>DSM_MMR.EUR.SU</v>
      </c>
      <c r="P54" s="319" t="e">
        <f t="array" aca="1" ref="P54:T54" ca="1">IF(AND($Q$34,B56&lt;=$C$17,C56&lt;&gt;""),TRANSPOSE(INDEX(cds(C56,$C$6,$C$29,,$C$13,$C$14,,,,,TRUE,TRUE,FALSE,,"1m"),0,1)),"")</f>
        <v>#VALUE!</v>
      </c>
      <c r="Q54" s="320" t="e">
        <f ca="1"/>
        <v>#VALUE!</v>
      </c>
      <c r="R54" s="320" t="e">
        <f ca="1"/>
        <v>#VALUE!</v>
      </c>
      <c r="S54" s="321" t="e">
        <f ca="1"/>
        <v>#VALUE!</v>
      </c>
      <c r="T54" s="322" t="e">
        <f ca="1"/>
        <v>#VALUE!</v>
      </c>
      <c r="U54" s="323" t="e">
        <f t="shared" ca="1" si="0"/>
        <v>#VALUE!</v>
      </c>
      <c r="V54" s="324" t="e">
        <f t="shared" ca="1" si="1"/>
        <v>#VALUE!</v>
      </c>
      <c r="W54" s="323" t="e">
        <f t="shared" ca="1" si="2"/>
        <v>#VALUE!</v>
      </c>
      <c r="X54" s="325" t="e">
        <f t="shared" ca="1" si="3"/>
        <v>#VALUE!</v>
      </c>
      <c r="Y54" s="324" t="e">
        <f t="shared" ca="1" si="4"/>
        <v>#VALUE!</v>
      </c>
    </row>
    <row r="55" spans="2:25" x14ac:dyDescent="0.2">
      <c r="B55" s="331">
        <v>17</v>
      </c>
      <c r="C55" s="332" t="s">
        <v>105</v>
      </c>
      <c r="D55" s="333">
        <v>1</v>
      </c>
      <c r="E55" s="294"/>
      <c r="F55" s="274"/>
      <c r="H55" s="273">
        <v>42</v>
      </c>
      <c r="I55" s="257">
        <f ca="1"/>
        <v>2.0620964337461078E-4</v>
      </c>
      <c r="J55" s="257">
        <f ca="1"/>
        <v>6.5257555090970291E-4</v>
      </c>
      <c r="K55" s="264">
        <f ca="1"/>
        <v>0.31599351689953836</v>
      </c>
      <c r="L55" s="264">
        <f ca="1"/>
        <v>0.31599351689953836</v>
      </c>
      <c r="M55" s="264">
        <f ca="1"/>
        <v>-1.5107636940701053E-4</v>
      </c>
      <c r="N55" s="265" t="str">
        <f ca="1"/>
        <v>EADS_MMR.EUR.SU</v>
      </c>
      <c r="P55" s="319" t="e">
        <f t="array" aca="1" ref="P55:T55" ca="1">IF(AND($Q$34,B57&lt;=$C$17,C57&lt;&gt;""),TRANSPOSE(INDEX(cds(C57,$C$6,$C$29,,$C$13,$C$14,,,,,TRUE,TRUE,FALSE,,"1m"),0,1)),"")</f>
        <v>#VALUE!</v>
      </c>
      <c r="Q55" s="320" t="e">
        <f ca="1"/>
        <v>#VALUE!</v>
      </c>
      <c r="R55" s="320" t="e">
        <f ca="1"/>
        <v>#VALUE!</v>
      </c>
      <c r="S55" s="321" t="e">
        <f ca="1"/>
        <v>#VALUE!</v>
      </c>
      <c r="T55" s="322" t="e">
        <f ca="1"/>
        <v>#VALUE!</v>
      </c>
      <c r="U55" s="323" t="e">
        <f t="shared" ca="1" si="0"/>
        <v>#VALUE!</v>
      </c>
      <c r="V55" s="324" t="e">
        <f t="shared" ca="1" si="1"/>
        <v>#VALUE!</v>
      </c>
      <c r="W55" s="323" t="e">
        <f t="shared" ca="1" si="2"/>
        <v>#VALUE!</v>
      </c>
      <c r="X55" s="325" t="e">
        <f t="shared" ca="1" si="3"/>
        <v>#VALUE!</v>
      </c>
      <c r="Y55" s="324" t="e">
        <f t="shared" ca="1" si="4"/>
        <v>#VALUE!</v>
      </c>
    </row>
    <row r="56" spans="2:25" x14ac:dyDescent="0.2">
      <c r="B56" s="331">
        <v>18</v>
      </c>
      <c r="C56" s="332" t="s">
        <v>106</v>
      </c>
      <c r="D56" s="333">
        <v>1</v>
      </c>
      <c r="E56" s="294"/>
      <c r="F56" s="274"/>
      <c r="H56" s="273">
        <v>43</v>
      </c>
      <c r="I56" s="257">
        <f ca="1"/>
        <v>1.4119285558633621E-4</v>
      </c>
      <c r="J56" s="257">
        <f ca="1"/>
        <v>4.8958286913947991E-4</v>
      </c>
      <c r="K56" s="264">
        <f ca="1"/>
        <v>0.28839419123161969</v>
      </c>
      <c r="L56" s="264">
        <f ca="1"/>
        <v>0.28839419123161969</v>
      </c>
      <c r="M56" s="264">
        <f ca="1"/>
        <v>-1.106265104239279E-4</v>
      </c>
      <c r="N56" s="265" t="str">
        <f ca="1"/>
        <v>EDF_MMR.EUR.SU</v>
      </c>
      <c r="P56" s="319" t="e">
        <f t="array" aca="1" ref="P56:T56" ca="1">IF(AND($Q$34,B58&lt;=$C$17,C58&lt;&gt;""),TRANSPOSE(INDEX(cds(C58,$C$6,$C$29,,$C$13,$C$14,,,,,TRUE,TRUE,FALSE,,"1m"),0,1)),"")</f>
        <v>#VALUE!</v>
      </c>
      <c r="Q56" s="320" t="e">
        <f ca="1"/>
        <v>#VALUE!</v>
      </c>
      <c r="R56" s="320" t="e">
        <f ca="1"/>
        <v>#VALUE!</v>
      </c>
      <c r="S56" s="321" t="e">
        <f ca="1"/>
        <v>#VALUE!</v>
      </c>
      <c r="T56" s="322" t="e">
        <f ca="1"/>
        <v>#VALUE!</v>
      </c>
      <c r="U56" s="323" t="e">
        <f t="shared" ca="1" si="0"/>
        <v>#VALUE!</v>
      </c>
      <c r="V56" s="324" t="e">
        <f t="shared" ca="1" si="1"/>
        <v>#VALUE!</v>
      </c>
      <c r="W56" s="323" t="e">
        <f t="shared" ca="1" si="2"/>
        <v>#VALUE!</v>
      </c>
      <c r="X56" s="325" t="e">
        <f t="shared" ca="1" si="3"/>
        <v>#VALUE!</v>
      </c>
      <c r="Y56" s="324" t="e">
        <f t="shared" ca="1" si="4"/>
        <v>#VALUE!</v>
      </c>
    </row>
    <row r="57" spans="2:25" x14ac:dyDescent="0.2">
      <c r="B57" s="331">
        <v>19</v>
      </c>
      <c r="C57" s="332" t="s">
        <v>107</v>
      </c>
      <c r="D57" s="333">
        <v>1</v>
      </c>
      <c r="E57" s="294"/>
      <c r="F57" s="274"/>
      <c r="H57" s="273">
        <v>44</v>
      </c>
      <c r="I57" s="257">
        <f ca="1"/>
        <v>2.724871950703367E-4</v>
      </c>
      <c r="J57" s="257">
        <f ca="1"/>
        <v>7.8891596411945067E-4</v>
      </c>
      <c r="K57" s="264">
        <f ca="1"/>
        <v>0.34539444942589487</v>
      </c>
      <c r="L57" s="264">
        <f ca="1"/>
        <v>0.34539444942589487</v>
      </c>
      <c r="M57" s="264">
        <f ca="1"/>
        <v>-1.8793031440644814E-4</v>
      </c>
      <c r="N57" s="265" t="str">
        <f ca="1"/>
        <v>EDISON_MMR.EUR.SU</v>
      </c>
      <c r="P57" s="319">
        <f t="array" aca="1" ref="P57:T57" ca="1">IF(AND($Q$34,B59&lt;=$C$17,C59&lt;&gt;""),TRANSPOSE(INDEX(cds(C59,$C$6,$C$29,,$C$13,$C$14,,,,,TRUE,TRUE,FALSE,,"1m"),0,1)),"")</f>
        <v>0</v>
      </c>
      <c r="Q57" s="320">
        <f ca="1"/>
        <v>1.7615305367335653E-2</v>
      </c>
      <c r="R57" s="320">
        <f ca="1"/>
        <v>1.7615305367335653E-2</v>
      </c>
      <c r="S57" s="321">
        <f ca="1"/>
        <v>3.9005127036259484E-3</v>
      </c>
      <c r="T57" s="322">
        <f ca="1"/>
        <v>4.5161512615919239</v>
      </c>
      <c r="U57" s="323">
        <f t="shared" ca="1" si="0"/>
        <v>0.11636705157291649</v>
      </c>
      <c r="V57" s="324">
        <f t="shared" ca="1" si="1"/>
        <v>-2.0498411481534207E-3</v>
      </c>
      <c r="W57" s="323">
        <f t="shared" ca="1" si="2"/>
        <v>0.12260341455329811</v>
      </c>
      <c r="X57" s="325">
        <f t="shared" ca="1" si="3"/>
        <v>3.7054870684446509E-3</v>
      </c>
      <c r="Y57" s="324">
        <f t="shared" ca="1" si="4"/>
        <v>-1.0798482932171953E-4</v>
      </c>
    </row>
    <row r="58" spans="2:25" x14ac:dyDescent="0.2">
      <c r="B58" s="331">
        <v>20</v>
      </c>
      <c r="C58" s="332" t="s">
        <v>108</v>
      </c>
      <c r="D58" s="333">
        <v>1</v>
      </c>
      <c r="E58" s="294"/>
      <c r="F58" s="274"/>
      <c r="H58" s="273">
        <v>45</v>
      </c>
      <c r="I58" s="257">
        <f ca="1"/>
        <v>2.9602076465153895E-4</v>
      </c>
      <c r="J58" s="257">
        <f ca="1"/>
        <v>8.3454884589211032E-4</v>
      </c>
      <c r="K58" s="264">
        <f ca="1"/>
        <v>0.35470753582446179</v>
      </c>
      <c r="L58" s="264">
        <f ca="1"/>
        <v>0.35470753582446179</v>
      </c>
      <c r="M58" s="264">
        <f ca="1"/>
        <v>-1.9981256713310635E-4</v>
      </c>
      <c r="N58" s="265" t="str">
        <f ca="1"/>
        <v>ELECTRICITEDEPORTUGAL_MMR.EUR.SU</v>
      </c>
      <c r="P58" s="319" t="e">
        <f t="array" aca="1" ref="P58:T58" ca="1">IF(AND($Q$34,B60&lt;=$C$17,C60&lt;&gt;""),TRANSPOSE(INDEX(cds(C60,$C$6,$C$29,,$C$13,$C$14,,,,,TRUE,TRUE,FALSE,,"1m"),0,1)),"")</f>
        <v>#VALUE!</v>
      </c>
      <c r="Q58" s="320" t="e">
        <f ca="1"/>
        <v>#VALUE!</v>
      </c>
      <c r="R58" s="320" t="e">
        <f ca="1"/>
        <v>#VALUE!</v>
      </c>
      <c r="S58" s="321" t="e">
        <f ca="1"/>
        <v>#VALUE!</v>
      </c>
      <c r="T58" s="322" t="e">
        <f ca="1"/>
        <v>#VALUE!</v>
      </c>
      <c r="U58" s="323" t="e">
        <f t="shared" ca="1" si="0"/>
        <v>#VALUE!</v>
      </c>
      <c r="V58" s="324" t="e">
        <f t="shared" ca="1" si="1"/>
        <v>#VALUE!</v>
      </c>
      <c r="W58" s="323" t="e">
        <f t="shared" ca="1" si="2"/>
        <v>#VALUE!</v>
      </c>
      <c r="X58" s="325" t="e">
        <f t="shared" ca="1" si="3"/>
        <v>#VALUE!</v>
      </c>
      <c r="Y58" s="324" t="e">
        <f t="shared" ca="1" si="4"/>
        <v>#VALUE!</v>
      </c>
    </row>
    <row r="59" spans="2:25" x14ac:dyDescent="0.2">
      <c r="B59" s="331">
        <v>21</v>
      </c>
      <c r="C59" s="332" t="s">
        <v>109</v>
      </c>
      <c r="D59" s="333">
        <v>1</v>
      </c>
      <c r="E59" s="294"/>
      <c r="F59" s="274"/>
      <c r="H59" s="273">
        <v>46</v>
      </c>
      <c r="I59" s="257">
        <f ca="1"/>
        <v>2.8029078230795701E-4</v>
      </c>
      <c r="J59" s="257">
        <f ca="1"/>
        <v>8.1359285824119786E-4</v>
      </c>
      <c r="K59" s="264">
        <f ca="1"/>
        <v>0.3445098853422604</v>
      </c>
      <c r="L59" s="264">
        <f ca="1"/>
        <v>0.3445098853422604</v>
      </c>
      <c r="M59" s="264">
        <f ca="1"/>
        <v>-1.9158269289745177E-4</v>
      </c>
      <c r="N59" s="265" t="str">
        <f ca="1"/>
        <v>ELECTROLUX_MMR.EUR.SU</v>
      </c>
      <c r="P59" s="319" t="e">
        <f t="array" aca="1" ref="P59:T59" ca="1">IF(AND($Q$34,B61&lt;=$C$17,C61&lt;&gt;""),TRANSPOSE(INDEX(cds(C61,$C$6,$C$29,,$C$13,$C$14,,,,,TRUE,TRUE,FALSE,,"1m"),0,1)),"")</f>
        <v>#VALUE!</v>
      </c>
      <c r="Q59" s="320" t="e">
        <f ca="1"/>
        <v>#VALUE!</v>
      </c>
      <c r="R59" s="320" t="e">
        <f ca="1"/>
        <v>#VALUE!</v>
      </c>
      <c r="S59" s="321" t="e">
        <f ca="1"/>
        <v>#VALUE!</v>
      </c>
      <c r="T59" s="322" t="e">
        <f ca="1"/>
        <v>#VALUE!</v>
      </c>
      <c r="U59" s="323" t="e">
        <f t="shared" ca="1" si="0"/>
        <v>#VALUE!</v>
      </c>
      <c r="V59" s="324" t="e">
        <f t="shared" ca="1" si="1"/>
        <v>#VALUE!</v>
      </c>
      <c r="W59" s="323" t="e">
        <f t="shared" ca="1" si="2"/>
        <v>#VALUE!</v>
      </c>
      <c r="X59" s="325" t="e">
        <f t="shared" ca="1" si="3"/>
        <v>#VALUE!</v>
      </c>
      <c r="Y59" s="324" t="e">
        <f t="shared" ca="1" si="4"/>
        <v>#VALUE!</v>
      </c>
    </row>
    <row r="60" spans="2:25" x14ac:dyDescent="0.2">
      <c r="B60" s="331">
        <v>22</v>
      </c>
      <c r="C60" s="332" t="s">
        <v>110</v>
      </c>
      <c r="D60" s="333">
        <v>1</v>
      </c>
      <c r="E60" s="294"/>
      <c r="F60" s="274"/>
      <c r="H60" s="273">
        <v>47</v>
      </c>
      <c r="I60" s="257">
        <f ca="1"/>
        <v>4.0685293253845957E-4</v>
      </c>
      <c r="J60" s="257">
        <f ca="1"/>
        <v>1.0396078682855898E-3</v>
      </c>
      <c r="K60" s="264">
        <f ca="1"/>
        <v>0.39135230210348249</v>
      </c>
      <c r="L60" s="264">
        <f ca="1"/>
        <v>0.39135230210348249</v>
      </c>
      <c r="M60" s="264">
        <f ca="1"/>
        <v>-2.5025745133766542E-4</v>
      </c>
      <c r="N60" s="265" t="str">
        <f ca="1"/>
        <v>ENDESA_MMR.EUR.SU</v>
      </c>
      <c r="P60" s="319" t="e">
        <f t="array" aca="1" ref="P60:T60" ca="1">IF(AND($Q$34,B62&lt;=$C$17,C62&lt;&gt;""),TRANSPOSE(INDEX(cds(C62,$C$6,$C$29,,$C$13,$C$14,,,,,TRUE,TRUE,FALSE,,"1m"),0,1)),"")</f>
        <v>#VALUE!</v>
      </c>
      <c r="Q60" s="320" t="e">
        <f ca="1"/>
        <v>#VALUE!</v>
      </c>
      <c r="R60" s="320" t="e">
        <f ca="1"/>
        <v>#VALUE!</v>
      </c>
      <c r="S60" s="321" t="e">
        <f ca="1"/>
        <v>#VALUE!</v>
      </c>
      <c r="T60" s="322" t="e">
        <f ca="1"/>
        <v>#VALUE!</v>
      </c>
      <c r="U60" s="323" t="e">
        <f t="shared" ca="1" si="0"/>
        <v>#VALUE!</v>
      </c>
      <c r="V60" s="324" t="e">
        <f t="shared" ca="1" si="1"/>
        <v>#VALUE!</v>
      </c>
      <c r="W60" s="323" t="e">
        <f t="shared" ca="1" si="2"/>
        <v>#VALUE!</v>
      </c>
      <c r="X60" s="325" t="e">
        <f t="shared" ca="1" si="3"/>
        <v>#VALUE!</v>
      </c>
      <c r="Y60" s="324" t="e">
        <f t="shared" ca="1" si="4"/>
        <v>#VALUE!</v>
      </c>
    </row>
    <row r="61" spans="2:25" x14ac:dyDescent="0.2">
      <c r="B61" s="331">
        <v>23</v>
      </c>
      <c r="C61" s="332" t="s">
        <v>111</v>
      </c>
      <c r="D61" s="333">
        <v>1</v>
      </c>
      <c r="E61" s="294"/>
      <c r="F61" s="274"/>
      <c r="H61" s="273">
        <v>48</v>
      </c>
      <c r="I61" s="257">
        <f ca="1"/>
        <v>3.2016864168102897E-4</v>
      </c>
      <c r="J61" s="257">
        <f ca="1"/>
        <v>8.8078394345452848E-4</v>
      </c>
      <c r="K61" s="264">
        <f ca="1"/>
        <v>0.36350417609259933</v>
      </c>
      <c r="L61" s="264">
        <f ca="1"/>
        <v>0.36350417609259933</v>
      </c>
      <c r="M61" s="264">
        <f ca="1"/>
        <v>-2.111200745590347E-4</v>
      </c>
      <c r="N61" s="265" t="str">
        <f ca="1"/>
        <v>ENEL_MMR.EUR.SU</v>
      </c>
      <c r="P61" s="319">
        <f t="array" aca="1" ref="P61:T61" ca="1">IF(AND($Q$34,B63&lt;=$C$17,C63&lt;&gt;""),TRANSPOSE(INDEX(cds(C63,$C$6,$C$29,,$C$13,$C$14,,,,,TRUE,TRUE,FALSE,,"1m"),0,1)),"")</f>
        <v>0</v>
      </c>
      <c r="Q61" s="320">
        <f ca="1"/>
        <v>1.0443825074170812E-2</v>
      </c>
      <c r="R61" s="320">
        <f ca="1"/>
        <v>1.0443825074170812E-2</v>
      </c>
      <c r="S61" s="321">
        <f ca="1"/>
        <v>2.2992676138435812E-3</v>
      </c>
      <c r="T61" s="322">
        <f ca="1"/>
        <v>4.5422398903415786</v>
      </c>
      <c r="U61" s="323">
        <f t="shared" ca="1" si="0"/>
        <v>0.11636705157291649</v>
      </c>
      <c r="V61" s="324">
        <f t="shared" ca="1" si="1"/>
        <v>-1.2153171310245532E-3</v>
      </c>
      <c r="W61" s="323">
        <f t="shared" ca="1" si="2"/>
        <v>9.9052471251728405E-2</v>
      </c>
      <c r="X61" s="325">
        <f t="shared" ca="1" si="3"/>
        <v>2.184304233151402E-3</v>
      </c>
      <c r="Y61" s="324">
        <f t="shared" ca="1" si="4"/>
        <v>-5.1724334145869301E-5</v>
      </c>
    </row>
    <row r="62" spans="2:25" x14ac:dyDescent="0.2">
      <c r="B62" s="331">
        <v>24</v>
      </c>
      <c r="C62" s="332" t="s">
        <v>112</v>
      </c>
      <c r="D62" s="333">
        <v>1</v>
      </c>
      <c r="E62" s="294"/>
      <c r="F62" s="274"/>
      <c r="H62" s="273">
        <v>49</v>
      </c>
      <c r="I62" s="257">
        <f ca="1"/>
        <v>1.5118578020805183E-4</v>
      </c>
      <c r="J62" s="257">
        <f ca="1"/>
        <v>5.1253238769507342E-4</v>
      </c>
      <c r="K62" s="264">
        <f ca="1"/>
        <v>0.29497800302524191</v>
      </c>
      <c r="L62" s="264">
        <f ca="1"/>
        <v>0.29497800302524191</v>
      </c>
      <c r="M62" s="264">
        <f ca="1"/>
        <v>-1.1802130593476789E-4</v>
      </c>
      <c r="N62" s="265" t="str">
        <f ca="1"/>
        <v>ENERGIEBADENWUERTTEMBERG_MMR.EUR.SU</v>
      </c>
      <c r="P62" s="319" t="e">
        <f t="array" aca="1" ref="P62:T62" ca="1">IF(AND($Q$34,B64&lt;=$C$17,C64&lt;&gt;""),TRANSPOSE(INDEX(cds(C64,$C$6,$C$29,,$C$13,$C$14,,,,,TRUE,TRUE,FALSE,,"1m"),0,1)),"")</f>
        <v>#VALUE!</v>
      </c>
      <c r="Q62" s="320" t="e">
        <f ca="1"/>
        <v>#VALUE!</v>
      </c>
      <c r="R62" s="320" t="e">
        <f ca="1"/>
        <v>#VALUE!</v>
      </c>
      <c r="S62" s="321" t="e">
        <f ca="1"/>
        <v>#VALUE!</v>
      </c>
      <c r="T62" s="322" t="e">
        <f ca="1"/>
        <v>#VALUE!</v>
      </c>
      <c r="U62" s="323" t="e">
        <f t="shared" ca="1" si="0"/>
        <v>#VALUE!</v>
      </c>
      <c r="V62" s="324" t="e">
        <f t="shared" ca="1" si="1"/>
        <v>#VALUE!</v>
      </c>
      <c r="W62" s="323" t="e">
        <f t="shared" ca="1" si="2"/>
        <v>#VALUE!</v>
      </c>
      <c r="X62" s="325" t="e">
        <f t="shared" ca="1" si="3"/>
        <v>#VALUE!</v>
      </c>
      <c r="Y62" s="324" t="e">
        <f t="shared" ca="1" si="4"/>
        <v>#VALUE!</v>
      </c>
    </row>
    <row r="63" spans="2:25" x14ac:dyDescent="0.2">
      <c r="B63" s="331">
        <v>25</v>
      </c>
      <c r="C63" s="332" t="s">
        <v>113</v>
      </c>
      <c r="D63" s="333">
        <v>1</v>
      </c>
      <c r="E63" s="294"/>
      <c r="F63" s="274"/>
      <c r="H63" s="273">
        <v>50</v>
      </c>
      <c r="I63" s="257">
        <f ca="1"/>
        <v>1.6908982259522531E-4</v>
      </c>
      <c r="J63" s="257">
        <f ca="1"/>
        <v>5.5803472364858659E-4</v>
      </c>
      <c r="K63" s="264">
        <f ca="1"/>
        <v>0.3030094999996934</v>
      </c>
      <c r="L63" s="264">
        <f ca="1"/>
        <v>0.3030094999996934</v>
      </c>
      <c r="M63" s="264">
        <f ca="1"/>
        <v>-1.297337360610884E-4</v>
      </c>
      <c r="N63" s="265" t="str">
        <f ca="1"/>
        <v>EON_MMR.EUR.SU</v>
      </c>
      <c r="P63" s="319" t="e">
        <f t="array" aca="1" ref="P63:T63" ca="1">IF(AND($Q$34,B65&lt;=$C$17,C65&lt;&gt;""),TRANSPOSE(INDEX(cds(C65,$C$6,$C$29,,$C$13,$C$14,,,,,TRUE,TRUE,FALSE,,"1m"),0,1)),"")</f>
        <v>#VALUE!</v>
      </c>
      <c r="Q63" s="320" t="e">
        <f ca="1"/>
        <v>#VALUE!</v>
      </c>
      <c r="R63" s="320" t="e">
        <f ca="1"/>
        <v>#VALUE!</v>
      </c>
      <c r="S63" s="321" t="e">
        <f ca="1"/>
        <v>#VALUE!</v>
      </c>
      <c r="T63" s="322" t="e">
        <f ca="1"/>
        <v>#VALUE!</v>
      </c>
      <c r="U63" s="323" t="e">
        <f t="shared" ca="1" si="0"/>
        <v>#VALUE!</v>
      </c>
      <c r="V63" s="324" t="e">
        <f t="shared" ca="1" si="1"/>
        <v>#VALUE!</v>
      </c>
      <c r="W63" s="323" t="e">
        <f t="shared" ca="1" si="2"/>
        <v>#VALUE!</v>
      </c>
      <c r="X63" s="325" t="e">
        <f t="shared" ca="1" si="3"/>
        <v>#VALUE!</v>
      </c>
      <c r="Y63" s="324" t="e">
        <f t="shared" ca="1" si="4"/>
        <v>#VALUE!</v>
      </c>
    </row>
    <row r="64" spans="2:25" x14ac:dyDescent="0.2">
      <c r="B64" s="331">
        <v>26</v>
      </c>
      <c r="C64" s="332" t="s">
        <v>114</v>
      </c>
      <c r="D64" s="333">
        <v>1</v>
      </c>
      <c r="E64" s="294"/>
      <c r="F64" s="274"/>
      <c r="H64" s="273">
        <v>51</v>
      </c>
      <c r="I64" s="257">
        <f ca="1"/>
        <v>1.959473277951096E-4</v>
      </c>
      <c r="J64" s="257">
        <f ca="1"/>
        <v>6.2789680569768291E-4</v>
      </c>
      <c r="K64" s="264">
        <f ca="1"/>
        <v>0.31206931778763258</v>
      </c>
      <c r="L64" s="264">
        <f ca="1"/>
        <v>0.31206931778763258</v>
      </c>
      <c r="M64" s="264">
        <f ca="1"/>
        <v>-1.4536193392387098E-4</v>
      </c>
      <c r="N64" s="265" t="str">
        <f ca="1"/>
        <v>FORTUMOYJ_MMR.EUR.SU</v>
      </c>
      <c r="P64" s="319" t="e">
        <f t="array" aca="1" ref="P64:T64" ca="1">IF(AND($Q$34,B66&lt;=$C$17,C66&lt;&gt;""),TRANSPOSE(INDEX(cds(C66,$C$6,$C$29,,$C$13,$C$14,,,,,TRUE,TRUE,FALSE,,"1m"),0,1)),"")</f>
        <v>#VALUE!</v>
      </c>
      <c r="Q64" s="320" t="e">
        <f ca="1"/>
        <v>#VALUE!</v>
      </c>
      <c r="R64" s="320" t="e">
        <f ca="1"/>
        <v>#VALUE!</v>
      </c>
      <c r="S64" s="321" t="e">
        <f ca="1"/>
        <v>#VALUE!</v>
      </c>
      <c r="T64" s="322" t="e">
        <f ca="1"/>
        <v>#VALUE!</v>
      </c>
      <c r="U64" s="323" t="e">
        <f t="shared" ca="1" si="0"/>
        <v>#VALUE!</v>
      </c>
      <c r="V64" s="324" t="e">
        <f t="shared" ca="1" si="1"/>
        <v>#VALUE!</v>
      </c>
      <c r="W64" s="323" t="e">
        <f t="shared" ca="1" si="2"/>
        <v>#VALUE!</v>
      </c>
      <c r="X64" s="325" t="e">
        <f t="shared" ca="1" si="3"/>
        <v>#VALUE!</v>
      </c>
      <c r="Y64" s="324" t="e">
        <f t="shared" ca="1" si="4"/>
        <v>#VALUE!</v>
      </c>
    </row>
    <row r="65" spans="2:25" x14ac:dyDescent="0.2">
      <c r="B65" s="331">
        <v>27</v>
      </c>
      <c r="C65" s="332" t="s">
        <v>115</v>
      </c>
      <c r="D65" s="333">
        <v>1</v>
      </c>
      <c r="E65" s="294"/>
      <c r="F65" s="274"/>
      <c r="H65" s="273">
        <v>52</v>
      </c>
      <c r="I65" s="257">
        <f ca="1"/>
        <v>2.2859748617043429E-4</v>
      </c>
      <c r="J65" s="257">
        <f ca="1"/>
        <v>6.9693256156152063E-4</v>
      </c>
      <c r="K65" s="264">
        <f ca="1"/>
        <v>0.32800517407056923</v>
      </c>
      <c r="L65" s="264">
        <f ca="1"/>
        <v>0.32800517407056923</v>
      </c>
      <c r="M65" s="264">
        <f ca="1"/>
        <v>-1.6490906835040509E-4</v>
      </c>
      <c r="N65" s="265" t="str">
        <f ca="1"/>
        <v>FRANCETELECOM_MMR.EUR.SU</v>
      </c>
      <c r="P65" s="319" t="e">
        <f t="array" aca="1" ref="P65:T65" ca="1">IF(AND($Q$34,B67&lt;=$C$17,C67&lt;&gt;""),TRANSPOSE(INDEX(cds(C67,$C$6,$C$29,,$C$13,$C$14,,,,,TRUE,TRUE,FALSE,,"1m"),0,1)),"")</f>
        <v>#VALUE!</v>
      </c>
      <c r="Q65" s="320" t="e">
        <f ca="1"/>
        <v>#VALUE!</v>
      </c>
      <c r="R65" s="320" t="e">
        <f ca="1"/>
        <v>#VALUE!</v>
      </c>
      <c r="S65" s="321" t="e">
        <f ca="1"/>
        <v>#VALUE!</v>
      </c>
      <c r="T65" s="322" t="e">
        <f ca="1"/>
        <v>#VALUE!</v>
      </c>
      <c r="U65" s="323" t="e">
        <f t="shared" ca="1" si="0"/>
        <v>#VALUE!</v>
      </c>
      <c r="V65" s="324" t="e">
        <f t="shared" ca="1" si="1"/>
        <v>#VALUE!</v>
      </c>
      <c r="W65" s="323" t="e">
        <f t="shared" ca="1" si="2"/>
        <v>#VALUE!</v>
      </c>
      <c r="X65" s="325" t="e">
        <f t="shared" ca="1" si="3"/>
        <v>#VALUE!</v>
      </c>
      <c r="Y65" s="324" t="e">
        <f t="shared" ca="1" si="4"/>
        <v>#VALUE!</v>
      </c>
    </row>
    <row r="66" spans="2:25" x14ac:dyDescent="0.2">
      <c r="B66" s="331">
        <v>28</v>
      </c>
      <c r="C66" s="332" t="s">
        <v>116</v>
      </c>
      <c r="D66" s="333">
        <v>1</v>
      </c>
      <c r="E66" s="294"/>
      <c r="F66" s="274"/>
      <c r="H66" s="273">
        <v>53</v>
      </c>
      <c r="I66" s="257">
        <f ca="1"/>
        <v>1.5852268983003183E-4</v>
      </c>
      <c r="J66" s="257">
        <f ca="1"/>
        <v>5.3604905301505126E-4</v>
      </c>
      <c r="K66" s="264">
        <f ca="1"/>
        <v>0.29572422325607728</v>
      </c>
      <c r="L66" s="264">
        <f ca="1"/>
        <v>0.29572422325607728</v>
      </c>
      <c r="M66" s="264">
        <f ca="1"/>
        <v>-1.2209696425728999E-4</v>
      </c>
      <c r="N66" s="265" t="str">
        <f ca="1"/>
        <v>GALLAHERGROUPPLC_MMR.EUR.SU</v>
      </c>
      <c r="P66" s="319" t="e">
        <f t="array" aca="1" ref="P66:T66" ca="1">IF(AND($Q$34,B68&lt;=$C$17,C68&lt;&gt;""),TRANSPOSE(INDEX(cds(C68,$C$6,$C$29,,$C$13,$C$14,,,,,TRUE,TRUE,FALSE,,"1m"),0,1)),"")</f>
        <v>#VALUE!</v>
      </c>
      <c r="Q66" s="320" t="e">
        <f ca="1"/>
        <v>#VALUE!</v>
      </c>
      <c r="R66" s="320" t="e">
        <f ca="1"/>
        <v>#VALUE!</v>
      </c>
      <c r="S66" s="321" t="e">
        <f ca="1"/>
        <v>#VALUE!</v>
      </c>
      <c r="T66" s="322" t="e">
        <f ca="1"/>
        <v>#VALUE!</v>
      </c>
      <c r="U66" s="323" t="e">
        <f t="shared" ca="1" si="0"/>
        <v>#VALUE!</v>
      </c>
      <c r="V66" s="324" t="e">
        <f t="shared" ca="1" si="1"/>
        <v>#VALUE!</v>
      </c>
      <c r="W66" s="323" t="e">
        <f t="shared" ca="1" si="2"/>
        <v>#VALUE!</v>
      </c>
      <c r="X66" s="325" t="e">
        <f t="shared" ca="1" si="3"/>
        <v>#VALUE!</v>
      </c>
      <c r="Y66" s="324" t="e">
        <f t="shared" ca="1" si="4"/>
        <v>#VALUE!</v>
      </c>
    </row>
    <row r="67" spans="2:25" x14ac:dyDescent="0.2">
      <c r="B67" s="331">
        <v>29</v>
      </c>
      <c r="C67" s="332" t="s">
        <v>117</v>
      </c>
      <c r="D67" s="333">
        <v>1</v>
      </c>
      <c r="E67" s="294"/>
      <c r="F67" s="274"/>
      <c r="H67" s="273">
        <v>54</v>
      </c>
      <c r="I67" s="257">
        <f ca="1"/>
        <v>1.3227743272468118E-4</v>
      </c>
      <c r="J67" s="257">
        <f ca="1"/>
        <v>4.6645270532962669E-4</v>
      </c>
      <c r="K67" s="264">
        <f ca="1"/>
        <v>0.28358166050554923</v>
      </c>
      <c r="L67" s="264">
        <f ca="1"/>
        <v>0.28358166050554923</v>
      </c>
      <c r="M67" s="264">
        <f ca="1"/>
        <v>-1.0436270609985865E-4</v>
      </c>
      <c r="N67" s="265" t="str">
        <f ca="1"/>
        <v>GASNATURALSDGSA_MMR.EUR.SU</v>
      </c>
      <c r="P67" s="319" t="e">
        <f t="array" aca="1" ref="P67:T67" ca="1">IF(AND($Q$34,B69&lt;=$C$17,C69&lt;&gt;""),TRANSPOSE(INDEX(cds(C69,$C$6,$C$29,,$C$13,$C$14,,,,,TRUE,TRUE,FALSE,,"1m"),0,1)),"")</f>
        <v>#VALUE!</v>
      </c>
      <c r="Q67" s="320" t="e">
        <f ca="1"/>
        <v>#VALUE!</v>
      </c>
      <c r="R67" s="320" t="e">
        <f ca="1"/>
        <v>#VALUE!</v>
      </c>
      <c r="S67" s="321" t="e">
        <f ca="1"/>
        <v>#VALUE!</v>
      </c>
      <c r="T67" s="322" t="e">
        <f ca="1"/>
        <v>#VALUE!</v>
      </c>
      <c r="U67" s="323" t="e">
        <f t="shared" ca="1" si="0"/>
        <v>#VALUE!</v>
      </c>
      <c r="V67" s="324" t="e">
        <f t="shared" ca="1" si="1"/>
        <v>#VALUE!</v>
      </c>
      <c r="W67" s="323" t="e">
        <f t="shared" ca="1" si="2"/>
        <v>#VALUE!</v>
      </c>
      <c r="X67" s="325" t="e">
        <f t="shared" ca="1" si="3"/>
        <v>#VALUE!</v>
      </c>
      <c r="Y67" s="324" t="e">
        <f t="shared" ca="1" si="4"/>
        <v>#VALUE!</v>
      </c>
    </row>
    <row r="68" spans="2:25" x14ac:dyDescent="0.2">
      <c r="B68" s="331">
        <v>30</v>
      </c>
      <c r="C68" s="332" t="s">
        <v>118</v>
      </c>
      <c r="D68" s="333">
        <v>1</v>
      </c>
      <c r="E68" s="294"/>
      <c r="F68" s="274"/>
      <c r="H68" s="273">
        <v>55</v>
      </c>
      <c r="I68" s="257">
        <f ca="1"/>
        <v>1.4086374075021889E-4</v>
      </c>
      <c r="J68" s="257">
        <f ca="1"/>
        <v>4.8946747570665294E-4</v>
      </c>
      <c r="K68" s="264">
        <f ca="1"/>
        <v>0.28778978735379995</v>
      </c>
      <c r="L68" s="264">
        <f ca="1"/>
        <v>0.28778978735379995</v>
      </c>
      <c r="M68" s="264">
        <f ca="1"/>
        <v>-1.1040309402430282E-4</v>
      </c>
      <c r="N68" s="265" t="str">
        <f ca="1"/>
        <v>GAZDEFRANCE_MMR.EUR.SU</v>
      </c>
      <c r="P68" s="319">
        <f t="array" aca="1" ref="P68:T68" ca="1">IF(AND($Q$34,B70&lt;=$C$17,C70&lt;&gt;""),TRANSPOSE(INDEX(cds(C70,$C$6,$C$29,,$C$13,$C$14,,,,,TRUE,TRUE,FALSE,,"1m"),0,1)),"")</f>
        <v>0</v>
      </c>
      <c r="Q68" s="320">
        <f ca="1"/>
        <v>1.3596106322065767E-2</v>
      </c>
      <c r="R68" s="320">
        <f ca="1"/>
        <v>1.3596106322065767E-2</v>
      </c>
      <c r="S68" s="321">
        <f ca="1"/>
        <v>3.0002284738062843E-3</v>
      </c>
      <c r="T68" s="322">
        <f ca="1"/>
        <v>4.5316903165100841</v>
      </c>
      <c r="U68" s="323">
        <f t="shared" ca="1" si="0"/>
        <v>0.11636705157291649</v>
      </c>
      <c r="V68" s="324">
        <f t="shared" ca="1" si="1"/>
        <v>-1.5821388055706832E-3</v>
      </c>
      <c r="W68" s="323">
        <f t="shared" ca="1" si="2"/>
        <v>0.10905889986571492</v>
      </c>
      <c r="X68" s="325">
        <f t="shared" ca="1" si="3"/>
        <v>2.8502170501159699E-3</v>
      </c>
      <c r="Y68" s="324">
        <f t="shared" ca="1" si="4"/>
        <v>-7.4138819897089295E-5</v>
      </c>
    </row>
    <row r="69" spans="2:25" x14ac:dyDescent="0.2">
      <c r="B69" s="331">
        <v>31</v>
      </c>
      <c r="C69" s="332" t="s">
        <v>119</v>
      </c>
      <c r="D69" s="333">
        <v>1</v>
      </c>
      <c r="E69" s="294"/>
      <c r="F69" s="274"/>
      <c r="H69" s="273">
        <v>56</v>
      </c>
      <c r="I69" s="257">
        <f ca="1"/>
        <v>2.4074826621882649E-4</v>
      </c>
      <c r="J69" s="257">
        <f ca="1"/>
        <v>7.1984439583157485E-4</v>
      </c>
      <c r="K69" s="264">
        <f ca="1"/>
        <v>0.33444487115956573</v>
      </c>
      <c r="L69" s="264">
        <f ca="1"/>
        <v>0.33444487115956573</v>
      </c>
      <c r="M69" s="264">
        <f ca="1"/>
        <v>-1.7137579419961301E-4</v>
      </c>
      <c r="N69" s="265" t="str">
        <f ca="1"/>
        <v>GENERALI_MMR.EUR.SU</v>
      </c>
      <c r="P69" s="319" t="e">
        <f t="array" aca="1" ref="P69:T69" ca="1">IF(AND($Q$34,B71&lt;=$C$17,C71&lt;&gt;""),TRANSPOSE(INDEX(cds(C71,$C$6,$C$29,,$C$13,$C$14,,,,,TRUE,TRUE,FALSE,,"1m"),0,1)),"")</f>
        <v>#VALUE!</v>
      </c>
      <c r="Q69" s="320" t="e">
        <f ca="1"/>
        <v>#VALUE!</v>
      </c>
      <c r="R69" s="320" t="e">
        <f ca="1"/>
        <v>#VALUE!</v>
      </c>
      <c r="S69" s="321" t="e">
        <f ca="1"/>
        <v>#VALUE!</v>
      </c>
      <c r="T69" s="322" t="e">
        <f ca="1"/>
        <v>#VALUE!</v>
      </c>
      <c r="U69" s="323" t="e">
        <f t="shared" ca="1" si="0"/>
        <v>#VALUE!</v>
      </c>
      <c r="V69" s="324" t="e">
        <f t="shared" ca="1" si="1"/>
        <v>#VALUE!</v>
      </c>
      <c r="W69" s="323" t="e">
        <f t="shared" ca="1" si="2"/>
        <v>#VALUE!</v>
      </c>
      <c r="X69" s="325" t="e">
        <f t="shared" ca="1" si="3"/>
        <v>#VALUE!</v>
      </c>
      <c r="Y69" s="324" t="e">
        <f t="shared" ca="1" si="4"/>
        <v>#VALUE!</v>
      </c>
    </row>
    <row r="70" spans="2:25" x14ac:dyDescent="0.2">
      <c r="B70" s="331">
        <v>32</v>
      </c>
      <c r="C70" s="332" t="s">
        <v>120</v>
      </c>
      <c r="D70" s="333">
        <v>1</v>
      </c>
      <c r="E70" s="294"/>
      <c r="F70" s="274"/>
      <c r="H70" s="273">
        <v>57</v>
      </c>
      <c r="I70" s="257">
        <f ca="1"/>
        <v>5.3314743528829476E-4</v>
      </c>
      <c r="J70" s="257">
        <f ca="1"/>
        <v>1.2683624893669212E-3</v>
      </c>
      <c r="K70" s="264">
        <f ca="1"/>
        <v>0.42034311149835807</v>
      </c>
      <c r="L70" s="264">
        <f ca="1"/>
        <v>0.42034311149835807</v>
      </c>
      <c r="M70" s="264">
        <f ca="1"/>
        <v>-3.0118787731956418E-4</v>
      </c>
      <c r="N70" s="265" t="str">
        <f ca="1"/>
        <v>GKN HOLDINGS  PLC_MMR.EUR.SU</v>
      </c>
      <c r="P70" s="319" t="e">
        <f t="array" aca="1" ref="P70:T70" ca="1">IF(AND($Q$34,B72&lt;=$C$17,C72&lt;&gt;""),TRANSPOSE(INDEX(cds(C72,$C$6,$C$29,,$C$13,$C$14,,,,,TRUE,TRUE,FALSE,,"1m"),0,1)),"")</f>
        <v>#VALUE!</v>
      </c>
      <c r="Q70" s="320" t="e">
        <f ca="1"/>
        <v>#VALUE!</v>
      </c>
      <c r="R70" s="320" t="e">
        <f ca="1"/>
        <v>#VALUE!</v>
      </c>
      <c r="S70" s="321" t="e">
        <f ca="1"/>
        <v>#VALUE!</v>
      </c>
      <c r="T70" s="322" t="e">
        <f ca="1"/>
        <v>#VALUE!</v>
      </c>
      <c r="U70" s="323" t="e">
        <f t="shared" ca="1" si="0"/>
        <v>#VALUE!</v>
      </c>
      <c r="V70" s="324" t="e">
        <f t="shared" ca="1" si="1"/>
        <v>#VALUE!</v>
      </c>
      <c r="W70" s="323" t="e">
        <f t="shared" ca="1" si="2"/>
        <v>#VALUE!</v>
      </c>
      <c r="X70" s="325" t="e">
        <f t="shared" ca="1" si="3"/>
        <v>#VALUE!</v>
      </c>
      <c r="Y70" s="324" t="e">
        <f t="shared" ca="1" si="4"/>
        <v>#VALUE!</v>
      </c>
    </row>
    <row r="71" spans="2:25" x14ac:dyDescent="0.2">
      <c r="B71" s="331">
        <v>33</v>
      </c>
      <c r="C71" s="332" t="s">
        <v>121</v>
      </c>
      <c r="D71" s="333">
        <v>1</v>
      </c>
      <c r="E71" s="294"/>
      <c r="F71" s="274"/>
      <c r="H71" s="273">
        <v>58</v>
      </c>
      <c r="I71" s="257">
        <f ca="1"/>
        <v>6.0587427372527092E-4</v>
      </c>
      <c r="J71" s="257">
        <f ca="1"/>
        <v>1.3800653232995147E-3</v>
      </c>
      <c r="K71" s="264">
        <f ca="1"/>
        <v>0.43901854752550606</v>
      </c>
      <c r="L71" s="264">
        <f ca="1"/>
        <v>0.43901854752550606</v>
      </c>
      <c r="M71" s="264">
        <f ca="1"/>
        <v>-3.274624224491651E-4</v>
      </c>
      <c r="N71" s="265" t="str">
        <f ca="1"/>
        <v>GLENCOREINTAG_MMR.EUR.SU</v>
      </c>
      <c r="P71" s="319" t="e">
        <f t="array" aca="1" ref="P71:T71" ca="1">IF(AND($Q$34,B73&lt;=$C$17,C73&lt;&gt;""),TRANSPOSE(INDEX(cds(C73,$C$6,$C$29,,$C$13,$C$14,,,,,TRUE,TRUE,FALSE,,"1m"),0,1)),"")</f>
        <v>#VALUE!</v>
      </c>
      <c r="Q71" s="320" t="e">
        <f ca="1"/>
        <v>#VALUE!</v>
      </c>
      <c r="R71" s="320" t="e">
        <f ca="1"/>
        <v>#VALUE!</v>
      </c>
      <c r="S71" s="321" t="e">
        <f ca="1"/>
        <v>#VALUE!</v>
      </c>
      <c r="T71" s="322" t="e">
        <f ca="1"/>
        <v>#VALUE!</v>
      </c>
      <c r="U71" s="323" t="e">
        <f t="shared" ca="1" si="0"/>
        <v>#VALUE!</v>
      </c>
      <c r="V71" s="324" t="e">
        <f t="shared" ca="1" si="1"/>
        <v>#VALUE!</v>
      </c>
      <c r="W71" s="323" t="e">
        <f t="shared" ca="1" si="2"/>
        <v>#VALUE!</v>
      </c>
      <c r="X71" s="325" t="e">
        <f t="shared" ca="1" si="3"/>
        <v>#VALUE!</v>
      </c>
      <c r="Y71" s="324" t="e">
        <f t="shared" ca="1" si="4"/>
        <v>#VALUE!</v>
      </c>
    </row>
    <row r="72" spans="2:25" x14ac:dyDescent="0.2">
      <c r="B72" s="331">
        <v>34</v>
      </c>
      <c r="C72" s="332" t="s">
        <v>122</v>
      </c>
      <c r="D72" s="333">
        <v>1</v>
      </c>
      <c r="E72" s="294"/>
      <c r="F72" s="274"/>
      <c r="H72" s="273">
        <v>59</v>
      </c>
      <c r="I72" s="257">
        <f ca="1"/>
        <v>2.8034382327051243E-4</v>
      </c>
      <c r="J72" s="257">
        <f ca="1"/>
        <v>8.1338529341397695E-4</v>
      </c>
      <c r="K72" s="264">
        <f ca="1"/>
        <v>0.34466300969598412</v>
      </c>
      <c r="L72" s="264">
        <f ca="1"/>
        <v>0.34466300969598412</v>
      </c>
      <c r="M72" s="264">
        <f ca="1"/>
        <v>-1.917543694357482E-4</v>
      </c>
      <c r="N72" s="265" t="str">
        <f ca="1"/>
        <v>GREATUNIVERSALSTORES_MMR.EUR.SU</v>
      </c>
      <c r="P72" s="319">
        <f t="array" aca="1" ref="P72:T72" ca="1">IF(AND($Q$34,B74&lt;=$C$17,C74&lt;&gt;""),TRANSPOSE(INDEX(cds(C74,$C$6,$C$29,,$C$13,$C$14,,,,,TRUE,TRUE,FALSE,,"1m"),0,1)),"")</f>
        <v>0</v>
      </c>
      <c r="Q72" s="320">
        <f ca="1"/>
        <v>1.8493992147090906E-2</v>
      </c>
      <c r="R72" s="320">
        <f ca="1"/>
        <v>1.8493992147090906E-2</v>
      </c>
      <c r="S72" s="321">
        <f ca="1"/>
        <v>4.0991597166073696E-3</v>
      </c>
      <c r="T72" s="322">
        <f ca="1"/>
        <v>4.5116544427786485</v>
      </c>
      <c r="U72" s="323">
        <f t="shared" ca="1" si="0"/>
        <v>0.11636705157291649</v>
      </c>
      <c r="V72" s="324">
        <f t="shared" ca="1" si="1"/>
        <v>-2.1520913379696398E-3</v>
      </c>
      <c r="W72" s="323">
        <f t="shared" ca="1" si="2"/>
        <v>0.12590696884317873</v>
      </c>
      <c r="X72" s="325">
        <f t="shared" ca="1" si="3"/>
        <v>3.8942017307770009E-3</v>
      </c>
      <c r="Y72" s="324">
        <f t="shared" ca="1" si="4"/>
        <v>-1.1642612465248846E-4</v>
      </c>
    </row>
    <row r="73" spans="2:25" x14ac:dyDescent="0.2">
      <c r="B73" s="331">
        <v>35</v>
      </c>
      <c r="C73" s="332" t="s">
        <v>123</v>
      </c>
      <c r="D73" s="333">
        <v>1</v>
      </c>
      <c r="E73" s="294"/>
      <c r="F73" s="274"/>
      <c r="H73" s="273">
        <v>60</v>
      </c>
      <c r="I73" s="257">
        <f ca="1"/>
        <v>2.3035633094186105E-4</v>
      </c>
      <c r="J73" s="257">
        <f ca="1"/>
        <v>6.9697394183548236E-4</v>
      </c>
      <c r="K73" s="264">
        <f ca="1"/>
        <v>0.3305092444851197</v>
      </c>
      <c r="L73" s="264">
        <f ca="1"/>
        <v>0.3305092444851197</v>
      </c>
      <c r="M73" s="264">
        <f ca="1"/>
        <v>-1.6574902696049333E-4</v>
      </c>
      <c r="N73" s="265" t="str">
        <f ca="1"/>
        <v>HANNOVERRUECK_MMR.EUR.SU</v>
      </c>
      <c r="P73" s="319" t="e">
        <f t="array" aca="1" ref="P73:T73" ca="1">IF(AND($Q$34,B75&lt;=$C$17,C75&lt;&gt;""),TRANSPOSE(INDEX(cds(C75,$C$6,$C$29,,$C$13,$C$14,,,,,TRUE,TRUE,FALSE,,"1m"),0,1)),"")</f>
        <v>#VALUE!</v>
      </c>
      <c r="Q73" s="320" t="e">
        <f ca="1"/>
        <v>#VALUE!</v>
      </c>
      <c r="R73" s="320" t="e">
        <f ca="1"/>
        <v>#VALUE!</v>
      </c>
      <c r="S73" s="321" t="e">
        <f ca="1"/>
        <v>#VALUE!</v>
      </c>
      <c r="T73" s="322" t="e">
        <f ca="1"/>
        <v>#VALUE!</v>
      </c>
      <c r="U73" s="323" t="e">
        <f t="shared" ca="1" si="0"/>
        <v>#VALUE!</v>
      </c>
      <c r="V73" s="324" t="e">
        <f t="shared" ca="1" si="1"/>
        <v>#VALUE!</v>
      </c>
      <c r="W73" s="323" t="e">
        <f t="shared" ca="1" si="2"/>
        <v>#VALUE!</v>
      </c>
      <c r="X73" s="325" t="e">
        <f t="shared" ca="1" si="3"/>
        <v>#VALUE!</v>
      </c>
      <c r="Y73" s="324" t="e">
        <f t="shared" ca="1" si="4"/>
        <v>#VALUE!</v>
      </c>
    </row>
    <row r="74" spans="2:25" x14ac:dyDescent="0.2">
      <c r="B74" s="331">
        <v>36</v>
      </c>
      <c r="C74" s="332" t="s">
        <v>124</v>
      </c>
      <c r="D74" s="333">
        <v>1</v>
      </c>
      <c r="E74" s="294"/>
      <c r="F74" s="274"/>
      <c r="H74" s="273">
        <v>61</v>
      </c>
      <c r="I74" s="257">
        <f ca="1"/>
        <v>4.2792145488390609E-4</v>
      </c>
      <c r="J74" s="257">
        <f ca="1"/>
        <v>1.0876000153011518E-3</v>
      </c>
      <c r="K74" s="264">
        <f ca="1"/>
        <v>0.39345480770834346</v>
      </c>
      <c r="L74" s="264">
        <f ca="1"/>
        <v>0.39345480770834346</v>
      </c>
      <c r="M74" s="264">
        <f ca="1"/>
        <v>-2.5898988321182426E-4</v>
      </c>
      <c r="N74" s="265" t="str">
        <f ca="1"/>
        <v>HELLENIC TELCOM_MMR.EUR.SU</v>
      </c>
      <c r="P74" s="319" t="e">
        <f t="array" aca="1" ref="P74:T74" ca="1">IF(AND($Q$34,B76&lt;=$C$17,C76&lt;&gt;""),TRANSPOSE(INDEX(cds(C76,$C$6,$C$29,,$C$13,$C$14,,,,,TRUE,TRUE,FALSE,,"1m"),0,1)),"")</f>
        <v>#VALUE!</v>
      </c>
      <c r="Q74" s="320" t="e">
        <f ca="1"/>
        <v>#VALUE!</v>
      </c>
      <c r="R74" s="320" t="e">
        <f ca="1"/>
        <v>#VALUE!</v>
      </c>
      <c r="S74" s="321" t="e">
        <f ca="1"/>
        <v>#VALUE!</v>
      </c>
      <c r="T74" s="322" t="e">
        <f ca="1"/>
        <v>#VALUE!</v>
      </c>
      <c r="U74" s="323" t="e">
        <f t="shared" ca="1" si="0"/>
        <v>#VALUE!</v>
      </c>
      <c r="V74" s="324" t="e">
        <f t="shared" ca="1" si="1"/>
        <v>#VALUE!</v>
      </c>
      <c r="W74" s="323" t="e">
        <f t="shared" ca="1" si="2"/>
        <v>#VALUE!</v>
      </c>
      <c r="X74" s="325" t="e">
        <f t="shared" ca="1" si="3"/>
        <v>#VALUE!</v>
      </c>
      <c r="Y74" s="324" t="e">
        <f t="shared" ca="1" si="4"/>
        <v>#VALUE!</v>
      </c>
    </row>
    <row r="75" spans="2:25" x14ac:dyDescent="0.2">
      <c r="B75" s="331">
        <v>37</v>
      </c>
      <c r="C75" s="332" t="s">
        <v>125</v>
      </c>
      <c r="D75" s="333">
        <v>1</v>
      </c>
      <c r="E75" s="294"/>
      <c r="F75" s="274"/>
      <c r="H75" s="273">
        <v>62</v>
      </c>
      <c r="I75" s="257">
        <f ca="1"/>
        <v>1.6745016381993771E-4</v>
      </c>
      <c r="J75" s="257">
        <f ca="1"/>
        <v>5.5929763004660283E-4</v>
      </c>
      <c r="K75" s="264">
        <f ca="1"/>
        <v>0.29939365880378416</v>
      </c>
      <c r="L75" s="264">
        <f ca="1"/>
        <v>0.29939365880378416</v>
      </c>
      <c r="M75" s="264">
        <f ca="1"/>
        <v>-1.2730622125072254E-4</v>
      </c>
      <c r="N75" s="265" t="str">
        <f ca="1"/>
        <v>HENKELKG_MMR.EUR.SU</v>
      </c>
      <c r="P75" s="319" t="e">
        <f t="array" aca="1" ref="P75:T75" ca="1">IF(AND($Q$34,B77&lt;=$C$17,C77&lt;&gt;""),TRANSPOSE(INDEX(cds(C77,$C$6,$C$29,,$C$13,$C$14,,,,,TRUE,TRUE,FALSE,,"1m"),0,1)),"")</f>
        <v>#VALUE!</v>
      </c>
      <c r="Q75" s="320" t="e">
        <f ca="1"/>
        <v>#VALUE!</v>
      </c>
      <c r="R75" s="320" t="e">
        <f ca="1"/>
        <v>#VALUE!</v>
      </c>
      <c r="S75" s="321" t="e">
        <f ca="1"/>
        <v>#VALUE!</v>
      </c>
      <c r="T75" s="322" t="e">
        <f ca="1"/>
        <v>#VALUE!</v>
      </c>
      <c r="U75" s="323" t="e">
        <f t="shared" ca="1" si="0"/>
        <v>#VALUE!</v>
      </c>
      <c r="V75" s="324" t="e">
        <f t="shared" ca="1" si="1"/>
        <v>#VALUE!</v>
      </c>
      <c r="W75" s="323" t="e">
        <f t="shared" ca="1" si="2"/>
        <v>#VALUE!</v>
      </c>
      <c r="X75" s="325" t="e">
        <f t="shared" ca="1" si="3"/>
        <v>#VALUE!</v>
      </c>
      <c r="Y75" s="324" t="e">
        <f t="shared" ca="1" si="4"/>
        <v>#VALUE!</v>
      </c>
    </row>
    <row r="76" spans="2:25" x14ac:dyDescent="0.2">
      <c r="B76" s="331">
        <v>38</v>
      </c>
      <c r="C76" s="332" t="s">
        <v>126</v>
      </c>
      <c r="D76" s="333">
        <v>1</v>
      </c>
      <c r="E76" s="294"/>
      <c r="F76" s="274"/>
      <c r="H76" s="273">
        <v>63</v>
      </c>
      <c r="I76" s="257">
        <f ca="1"/>
        <v>2.7339258139762456E-4</v>
      </c>
      <c r="J76" s="257">
        <f ca="1"/>
        <v>7.8866197231851332E-4</v>
      </c>
      <c r="K76" s="264">
        <f ca="1"/>
        <v>0.34665368813701436</v>
      </c>
      <c r="L76" s="264">
        <f ca="1"/>
        <v>0.34665368813701436</v>
      </c>
      <c r="M76" s="264">
        <f ca="1"/>
        <v>-1.8832295946498158E-4</v>
      </c>
      <c r="N76" s="265" t="str">
        <f ca="1"/>
        <v>IBERDROLA_MMR.EUR.SU</v>
      </c>
      <c r="P76" s="319" t="e">
        <f t="array" aca="1" ref="P76:T76" ca="1">IF(AND($Q$34,B78&lt;=$C$17,C78&lt;&gt;""),TRANSPOSE(INDEX(cds(C78,$C$6,$C$29,,$C$13,$C$14,,,,,TRUE,TRUE,FALSE,,"1m"),0,1)),"")</f>
        <v>#VALUE!</v>
      </c>
      <c r="Q76" s="320" t="e">
        <f ca="1"/>
        <v>#VALUE!</v>
      </c>
      <c r="R76" s="320" t="e">
        <f ca="1"/>
        <v>#VALUE!</v>
      </c>
      <c r="S76" s="321" t="e">
        <f ca="1"/>
        <v>#VALUE!</v>
      </c>
      <c r="T76" s="322" t="e">
        <f ca="1"/>
        <v>#VALUE!</v>
      </c>
      <c r="U76" s="323" t="e">
        <f t="shared" ca="1" si="0"/>
        <v>#VALUE!</v>
      </c>
      <c r="V76" s="324" t="e">
        <f t="shared" ca="1" si="1"/>
        <v>#VALUE!</v>
      </c>
      <c r="W76" s="323" t="e">
        <f t="shared" ca="1" si="2"/>
        <v>#VALUE!</v>
      </c>
      <c r="X76" s="325" t="e">
        <f t="shared" ca="1" si="3"/>
        <v>#VALUE!</v>
      </c>
      <c r="Y76" s="324" t="e">
        <f t="shared" ca="1" si="4"/>
        <v>#VALUE!</v>
      </c>
    </row>
    <row r="77" spans="2:25" x14ac:dyDescent="0.2">
      <c r="B77" s="331">
        <v>39</v>
      </c>
      <c r="C77" s="332" t="s">
        <v>127</v>
      </c>
      <c r="D77" s="333">
        <v>1</v>
      </c>
      <c r="E77" s="294"/>
      <c r="F77" s="274"/>
      <c r="H77" s="273">
        <v>64</v>
      </c>
      <c r="I77" s="257">
        <f ca="1"/>
        <v>1.0836191696010911E-4</v>
      </c>
      <c r="J77" s="257">
        <f ca="1"/>
        <v>4.6734386392773702E-4</v>
      </c>
      <c r="K77" s="264">
        <f ca="1"/>
        <v>0.23186763606864122</v>
      </c>
      <c r="L77" s="264">
        <f ca="1"/>
        <v>0.23186763606864122</v>
      </c>
      <c r="M77" s="264">
        <f ca="1"/>
        <v>-6.3452814397368934E-5</v>
      </c>
      <c r="N77" s="265" t="str">
        <f ca="1"/>
        <v>ICI_MMR.EUR.SU</v>
      </c>
      <c r="P77" s="319" t="e">
        <f t="array" aca="1" ref="P77:T77" ca="1">IF(AND($Q$34,B79&lt;=$C$17,C79&lt;&gt;""),TRANSPOSE(INDEX(cds(C79,$C$6,$C$29,,$C$13,$C$14,,,,,TRUE,TRUE,FALSE,,"1m"),0,1)),"")</f>
        <v>#VALUE!</v>
      </c>
      <c r="Q77" s="320" t="e">
        <f ca="1"/>
        <v>#VALUE!</v>
      </c>
      <c r="R77" s="320" t="e">
        <f ca="1"/>
        <v>#VALUE!</v>
      </c>
      <c r="S77" s="321" t="e">
        <f ca="1"/>
        <v>#VALUE!</v>
      </c>
      <c r="T77" s="322" t="e">
        <f ca="1"/>
        <v>#VALUE!</v>
      </c>
      <c r="U77" s="323" t="e">
        <f t="shared" ca="1" si="0"/>
        <v>#VALUE!</v>
      </c>
      <c r="V77" s="324" t="e">
        <f t="shared" ca="1" si="1"/>
        <v>#VALUE!</v>
      </c>
      <c r="W77" s="323" t="e">
        <f t="shared" ca="1" si="2"/>
        <v>#VALUE!</v>
      </c>
      <c r="X77" s="325" t="e">
        <f t="shared" ca="1" si="3"/>
        <v>#VALUE!</v>
      </c>
      <c r="Y77" s="324" t="e">
        <f t="shared" ca="1" si="4"/>
        <v>#VALUE!</v>
      </c>
    </row>
    <row r="78" spans="2:25" x14ac:dyDescent="0.2">
      <c r="B78" s="331">
        <v>40</v>
      </c>
      <c r="C78" s="332" t="s">
        <v>128</v>
      </c>
      <c r="D78" s="333">
        <v>1</v>
      </c>
      <c r="E78" s="294"/>
      <c r="F78" s="274"/>
      <c r="H78" s="273">
        <v>65</v>
      </c>
      <c r="I78" s="257">
        <f ca="1"/>
        <v>2.3156792319192209E-4</v>
      </c>
      <c r="J78" s="257">
        <f ca="1"/>
        <v>6.9632067056685861E-4</v>
      </c>
      <c r="K78" s="264">
        <f ca="1"/>
        <v>0.33255931208161316</v>
      </c>
      <c r="L78" s="264">
        <f ca="1"/>
        <v>0.33255931208161316</v>
      </c>
      <c r="M78" s="264">
        <f ca="1"/>
        <v>-1.663166288486284E-4</v>
      </c>
      <c r="N78" s="265" t="str">
        <f ca="1"/>
        <v>INTESA_MMR.EUR.SU</v>
      </c>
      <c r="P78" s="319">
        <f t="array" aca="1" ref="P78:T78" ca="1">IF(AND($Q$34,B80&lt;=$C$17,C80&lt;&gt;""),TRANSPOSE(INDEX(cds(C80,$C$6,$C$29,,$C$13,$C$14,,,,,TRUE,TRUE,FALSE,,"1m"),0,1)),"")</f>
        <v>0</v>
      </c>
      <c r="Q78" s="320">
        <f ca="1"/>
        <v>1.270230826275659E-2</v>
      </c>
      <c r="R78" s="320">
        <f ca="1"/>
        <v>1.270230826275659E-2</v>
      </c>
      <c r="S78" s="321">
        <f ca="1"/>
        <v>2.7989952833537284E-3</v>
      </c>
      <c r="T78" s="322">
        <f ca="1"/>
        <v>4.5381670838461758</v>
      </c>
      <c r="U78" s="323">
        <f t="shared" ca="1" si="0"/>
        <v>0.11636705157291649</v>
      </c>
      <c r="V78" s="324">
        <f t="shared" ca="1" si="1"/>
        <v>-1.4781301607072793E-3</v>
      </c>
      <c r="W78" s="323">
        <f t="shared" ca="1" si="2"/>
        <v>0.10533117229984612</v>
      </c>
      <c r="X78" s="325">
        <f t="shared" ca="1" si="3"/>
        <v>2.6590455191860419E-3</v>
      </c>
      <c r="Y78" s="324">
        <f t="shared" ca="1" si="4"/>
        <v>-6.6897451011508705E-5</v>
      </c>
    </row>
    <row r="79" spans="2:25" x14ac:dyDescent="0.2">
      <c r="B79" s="331">
        <v>41</v>
      </c>
      <c r="C79" s="332" t="s">
        <v>129</v>
      </c>
      <c r="D79" s="333">
        <v>1</v>
      </c>
      <c r="E79" s="294"/>
      <c r="F79" s="274"/>
      <c r="H79" s="273">
        <v>66</v>
      </c>
      <c r="I79" s="257">
        <f ca="1"/>
        <v>1.2693592154595201E-3</v>
      </c>
      <c r="J79" s="257">
        <f ca="1"/>
        <v>2.3411951921451196E-3</v>
      </c>
      <c r="K79" s="264">
        <f ca="1"/>
        <v>0.54218427396327851</v>
      </c>
      <c r="L79" s="264">
        <f ca="1"/>
        <v>0.54218427396327851</v>
      </c>
      <c r="M79" s="264">
        <f ca="1"/>
        <v>-5.0854245918090517E-4</v>
      </c>
      <c r="N79" s="265" t="str">
        <f ca="1"/>
        <v>KINGFISHER_MMR.EUR.SU</v>
      </c>
      <c r="P79" s="319">
        <f t="array" aca="1" ref="P79:T79" ca="1">IF(AND($Q$34,B81&lt;=$C$17,C81&lt;&gt;""),TRANSPOSE(INDEX(cds(C81,$C$6,$C$29,,$C$13,$C$14,,,,,TRUE,TRUE,FALSE,,"1m"),0,1)),"")</f>
        <v>0</v>
      </c>
      <c r="Q79" s="320">
        <f ca="1"/>
        <v>9.5471374939894074E-3</v>
      </c>
      <c r="R79" s="320">
        <f ca="1"/>
        <v>9.5471374939894074E-3</v>
      </c>
      <c r="S79" s="321">
        <f ca="1"/>
        <v>2.1002183419101561E-3</v>
      </c>
      <c r="T79" s="322">
        <f ca="1"/>
        <v>4.5457833137988173</v>
      </c>
      <c r="U79" s="323">
        <f t="shared" ca="1" si="0"/>
        <v>0.11636705157291649</v>
      </c>
      <c r="V79" s="324">
        <f t="shared" ca="1" si="1"/>
        <v>-1.11097224113679E-3</v>
      </c>
      <c r="W79" s="323">
        <f t="shared" ca="1" si="2"/>
        <v>9.6131397077206568E-2</v>
      </c>
      <c r="X79" s="325">
        <f t="shared" ca="1" si="3"/>
        <v>1.995207424814648E-3</v>
      </c>
      <c r="Y79" s="324">
        <f t="shared" ca="1" si="4"/>
        <v>-4.5888983269269227E-5</v>
      </c>
    </row>
    <row r="80" spans="2:25" x14ac:dyDescent="0.2">
      <c r="B80" s="331">
        <v>42</v>
      </c>
      <c r="C80" s="332" t="s">
        <v>130</v>
      </c>
      <c r="D80" s="333">
        <v>1</v>
      </c>
      <c r="E80" s="294"/>
      <c r="F80" s="274"/>
      <c r="H80" s="273">
        <v>67</v>
      </c>
      <c r="I80" s="257">
        <f ca="1"/>
        <v>3.4143586949351155E-4</v>
      </c>
      <c r="J80" s="257">
        <f ca="1"/>
        <v>9.2736493785616151E-4</v>
      </c>
      <c r="K80" s="264">
        <f ca="1"/>
        <v>0.3681785406755046</v>
      </c>
      <c r="L80" s="264">
        <f ca="1"/>
        <v>0.3681785406755046</v>
      </c>
      <c r="M80" s="264">
        <f ca="1"/>
        <v>-2.2117700155457331E-4</v>
      </c>
      <c r="N80" s="265" t="str">
        <f ca="1"/>
        <v>KPN_MMR.EUR.SU</v>
      </c>
      <c r="P80" s="319" t="e">
        <f t="array" aca="1" ref="P80:T80" ca="1">IF(AND($Q$34,B82&lt;=$C$17,C82&lt;&gt;""),TRANSPOSE(INDEX(cds(C82,$C$6,$C$29,,$C$13,$C$14,,,,,TRUE,TRUE,FALSE,,"1m"),0,1)),"")</f>
        <v>#VALUE!</v>
      </c>
      <c r="Q80" s="320" t="e">
        <f ca="1"/>
        <v>#VALUE!</v>
      </c>
      <c r="R80" s="320" t="e">
        <f ca="1"/>
        <v>#VALUE!</v>
      </c>
      <c r="S80" s="321" t="e">
        <f ca="1"/>
        <v>#VALUE!</v>
      </c>
      <c r="T80" s="322" t="e">
        <f ca="1"/>
        <v>#VALUE!</v>
      </c>
      <c r="U80" s="323" t="e">
        <f t="shared" ca="1" si="0"/>
        <v>#VALUE!</v>
      </c>
      <c r="V80" s="324" t="e">
        <f t="shared" ca="1" si="1"/>
        <v>#VALUE!</v>
      </c>
      <c r="W80" s="323" t="e">
        <f t="shared" ca="1" si="2"/>
        <v>#VALUE!</v>
      </c>
      <c r="X80" s="325" t="e">
        <f t="shared" ca="1" si="3"/>
        <v>#VALUE!</v>
      </c>
      <c r="Y80" s="324" t="e">
        <f t="shared" ca="1" si="4"/>
        <v>#VALUE!</v>
      </c>
    </row>
    <row r="81" spans="2:25" x14ac:dyDescent="0.2">
      <c r="B81" s="331">
        <v>43</v>
      </c>
      <c r="C81" s="332" t="s">
        <v>131</v>
      </c>
      <c r="D81" s="333">
        <v>1</v>
      </c>
      <c r="E81" s="294"/>
      <c r="F81" s="274"/>
      <c r="H81" s="273">
        <v>68</v>
      </c>
      <c r="I81" s="257">
        <f ca="1"/>
        <v>4.7817809188661632E-4</v>
      </c>
      <c r="J81" s="257">
        <f ca="1"/>
        <v>1.1782074612150006E-3</v>
      </c>
      <c r="K81" s="264">
        <f ca="1"/>
        <v>0.40585220143955436</v>
      </c>
      <c r="L81" s="264">
        <f ca="1"/>
        <v>0.40585220143955436</v>
      </c>
      <c r="M81" s="264">
        <f ca="1"/>
        <v>-2.797809741399204E-4</v>
      </c>
      <c r="N81" s="265" t="str">
        <f ca="1"/>
        <v>LAFARGE_MMR.EUR.SU</v>
      </c>
      <c r="P81" s="319" t="e">
        <f t="array" aca="1" ref="P81:T81" ca="1">IF(AND($Q$34,B83&lt;=$C$17,C83&lt;&gt;""),TRANSPOSE(INDEX(cds(C83,$C$6,$C$29,,$C$13,$C$14,,,,,TRUE,TRUE,FALSE,,"1m"),0,1)),"")</f>
        <v>#VALUE!</v>
      </c>
      <c r="Q81" s="320" t="e">
        <f ca="1"/>
        <v>#VALUE!</v>
      </c>
      <c r="R81" s="320" t="e">
        <f ca="1"/>
        <v>#VALUE!</v>
      </c>
      <c r="S81" s="321" t="e">
        <f ca="1"/>
        <v>#VALUE!</v>
      </c>
      <c r="T81" s="322" t="e">
        <f ca="1"/>
        <v>#VALUE!</v>
      </c>
      <c r="U81" s="323" t="e">
        <f t="shared" ca="1" si="0"/>
        <v>#VALUE!</v>
      </c>
      <c r="V81" s="324" t="e">
        <f t="shared" ca="1" si="1"/>
        <v>#VALUE!</v>
      </c>
      <c r="W81" s="323" t="e">
        <f t="shared" ca="1" si="2"/>
        <v>#VALUE!</v>
      </c>
      <c r="X81" s="325" t="e">
        <f t="shared" ca="1" si="3"/>
        <v>#VALUE!</v>
      </c>
      <c r="Y81" s="324" t="e">
        <f t="shared" ca="1" si="4"/>
        <v>#VALUE!</v>
      </c>
    </row>
    <row r="82" spans="2:25" x14ac:dyDescent="0.2">
      <c r="B82" s="331">
        <v>44</v>
      </c>
      <c r="C82" s="332" t="s">
        <v>132</v>
      </c>
      <c r="D82" s="333">
        <v>1</v>
      </c>
      <c r="E82" s="294"/>
      <c r="F82" s="274"/>
      <c r="H82" s="273">
        <v>69</v>
      </c>
      <c r="I82" s="257">
        <f ca="1"/>
        <v>1.9601028132762988E-4</v>
      </c>
      <c r="J82" s="257">
        <f ca="1"/>
        <v>6.2835630850666124E-4</v>
      </c>
      <c r="K82" s="264">
        <f ca="1"/>
        <v>0.31194129616278365</v>
      </c>
      <c r="L82" s="264">
        <f ca="1"/>
        <v>0.31194129616278365</v>
      </c>
      <c r="M82" s="264">
        <f ca="1"/>
        <v>-1.457164211162043E-4</v>
      </c>
      <c r="N82" s="265" t="str">
        <f ca="1"/>
        <v>LINDE_MMR.EUR.SU</v>
      </c>
      <c r="P82" s="319" t="e">
        <f t="array" aca="1" ref="P82:T82" ca="1">IF(AND($Q$34,B84&lt;=$C$17,C84&lt;&gt;""),TRANSPOSE(INDEX(cds(C84,$C$6,$C$29,,$C$13,$C$14,,,,,TRUE,TRUE,FALSE,,"1m"),0,1)),"")</f>
        <v>#VALUE!</v>
      </c>
      <c r="Q82" s="320" t="e">
        <f ca="1"/>
        <v>#VALUE!</v>
      </c>
      <c r="R82" s="320" t="e">
        <f ca="1"/>
        <v>#VALUE!</v>
      </c>
      <c r="S82" s="321" t="e">
        <f ca="1"/>
        <v>#VALUE!</v>
      </c>
      <c r="T82" s="322" t="e">
        <f ca="1"/>
        <v>#VALUE!</v>
      </c>
      <c r="U82" s="323" t="e">
        <f t="shared" ca="1" si="0"/>
        <v>#VALUE!</v>
      </c>
      <c r="V82" s="324" t="e">
        <f t="shared" ca="1" si="1"/>
        <v>#VALUE!</v>
      </c>
      <c r="W82" s="323" t="e">
        <f t="shared" ca="1" si="2"/>
        <v>#VALUE!</v>
      </c>
      <c r="X82" s="325" t="e">
        <f t="shared" ca="1" si="3"/>
        <v>#VALUE!</v>
      </c>
      <c r="Y82" s="324" t="e">
        <f t="shared" ca="1" si="4"/>
        <v>#VALUE!</v>
      </c>
    </row>
    <row r="83" spans="2:25" x14ac:dyDescent="0.2">
      <c r="B83" s="331">
        <v>45</v>
      </c>
      <c r="C83" s="332" t="s">
        <v>133</v>
      </c>
      <c r="D83" s="333">
        <v>1</v>
      </c>
      <c r="E83" s="294"/>
      <c r="F83" s="274"/>
      <c r="H83" s="273">
        <v>70</v>
      </c>
      <c r="I83" s="257">
        <f ca="1"/>
        <v>3.7679689028096152E-4</v>
      </c>
      <c r="J83" s="257">
        <f ca="1"/>
        <v>9.9563481113855001E-4</v>
      </c>
      <c r="K83" s="264">
        <f ca="1"/>
        <v>0.37844889116530439</v>
      </c>
      <c r="L83" s="264">
        <f ca="1"/>
        <v>0.37844889116530439</v>
      </c>
      <c r="M83" s="264">
        <f ca="1"/>
        <v>-2.3716099531083666E-4</v>
      </c>
      <c r="N83" s="265" t="str">
        <f ca="1"/>
        <v>LUFTHANSA_MMR.EUR.SU</v>
      </c>
      <c r="P83" s="319" t="e">
        <f t="array" aca="1" ref="P83:T83" ca="1">IF(AND($Q$34,B85&lt;=$C$17,C85&lt;&gt;""),TRANSPOSE(INDEX(cds(C85,$C$6,$C$29,,$C$13,$C$14,,,,,TRUE,TRUE,FALSE,,"1m"),0,1)),"")</f>
        <v>#VALUE!</v>
      </c>
      <c r="Q83" s="320" t="e">
        <f ca="1"/>
        <v>#VALUE!</v>
      </c>
      <c r="R83" s="320" t="e">
        <f ca="1"/>
        <v>#VALUE!</v>
      </c>
      <c r="S83" s="321" t="e">
        <f ca="1"/>
        <v>#VALUE!</v>
      </c>
      <c r="T83" s="322" t="e">
        <f ca="1"/>
        <v>#VALUE!</v>
      </c>
      <c r="U83" s="323" t="e">
        <f t="shared" ca="1" si="0"/>
        <v>#VALUE!</v>
      </c>
      <c r="V83" s="324" t="e">
        <f t="shared" ca="1" si="1"/>
        <v>#VALUE!</v>
      </c>
      <c r="W83" s="323" t="e">
        <f t="shared" ca="1" si="2"/>
        <v>#VALUE!</v>
      </c>
      <c r="X83" s="325" t="e">
        <f t="shared" ca="1" si="3"/>
        <v>#VALUE!</v>
      </c>
      <c r="Y83" s="324" t="e">
        <f t="shared" ca="1" si="4"/>
        <v>#VALUE!</v>
      </c>
    </row>
    <row r="84" spans="2:25" x14ac:dyDescent="0.2">
      <c r="B84" s="331">
        <v>46</v>
      </c>
      <c r="C84" s="332" t="s">
        <v>134</v>
      </c>
      <c r="D84" s="333">
        <v>1</v>
      </c>
      <c r="E84" s="294"/>
      <c r="F84" s="274"/>
      <c r="H84" s="273">
        <v>71</v>
      </c>
      <c r="I84" s="257">
        <f ca="1"/>
        <v>2.0654765985559376E-4</v>
      </c>
      <c r="J84" s="257">
        <f ca="1"/>
        <v>6.5234823712843383E-4</v>
      </c>
      <c r="K84" s="264">
        <f ca="1"/>
        <v>0.31662177974879513</v>
      </c>
      <c r="L84" s="264">
        <f ca="1"/>
        <v>0.31662177974879513</v>
      </c>
      <c r="M84" s="264">
        <f ca="1"/>
        <v>-1.5172738746396241E-4</v>
      </c>
      <c r="N84" s="265" t="str">
        <f ca="1"/>
        <v>LVMH_MMR.EUR.SU</v>
      </c>
      <c r="P84" s="319" t="e">
        <f t="array" aca="1" ref="P84:T84" ca="1">IF(AND($Q$34,B86&lt;=$C$17,C86&lt;&gt;""),TRANSPOSE(INDEX(cds(C86,$C$6,$C$29,,$C$13,$C$14,,,,,TRUE,TRUE,FALSE,,"1m"),0,1)),"")</f>
        <v>#VALUE!</v>
      </c>
      <c r="Q84" s="320" t="e">
        <f ca="1"/>
        <v>#VALUE!</v>
      </c>
      <c r="R84" s="320" t="e">
        <f ca="1"/>
        <v>#VALUE!</v>
      </c>
      <c r="S84" s="321" t="e">
        <f ca="1"/>
        <v>#VALUE!</v>
      </c>
      <c r="T84" s="322" t="e">
        <f ca="1"/>
        <v>#VALUE!</v>
      </c>
      <c r="U84" s="323" t="e">
        <f t="shared" ca="1" si="0"/>
        <v>#VALUE!</v>
      </c>
      <c r="V84" s="324" t="e">
        <f t="shared" ca="1" si="1"/>
        <v>#VALUE!</v>
      </c>
      <c r="W84" s="323" t="e">
        <f t="shared" ca="1" si="2"/>
        <v>#VALUE!</v>
      </c>
      <c r="X84" s="325" t="e">
        <f t="shared" ca="1" si="3"/>
        <v>#VALUE!</v>
      </c>
      <c r="Y84" s="324" t="e">
        <f t="shared" ca="1" si="4"/>
        <v>#VALUE!</v>
      </c>
    </row>
    <row r="85" spans="2:25" x14ac:dyDescent="0.2">
      <c r="B85" s="331">
        <v>47</v>
      </c>
      <c r="C85" s="332" t="s">
        <v>135</v>
      </c>
      <c r="D85" s="333">
        <v>1</v>
      </c>
      <c r="E85" s="294"/>
      <c r="F85" s="274"/>
      <c r="H85" s="273">
        <v>72</v>
      </c>
      <c r="I85" s="257">
        <f ca="1"/>
        <v>3.3848623955479162E-4</v>
      </c>
      <c r="J85" s="257">
        <f ca="1"/>
        <v>9.2718288882542182E-4</v>
      </c>
      <c r="K85" s="264">
        <f ca="1"/>
        <v>0.36506954952932141</v>
      </c>
      <c r="L85" s="264">
        <f ca="1"/>
        <v>0.36506954952932141</v>
      </c>
      <c r="M85" s="264">
        <f ca="1"/>
        <v>-2.2018279169122579E-4</v>
      </c>
      <c r="N85" s="265" t="str">
        <f ca="1"/>
        <v>MARKSANDSPENCERPLC_MMR.EUR.SU</v>
      </c>
      <c r="P85" s="319" t="e">
        <f t="array" aca="1" ref="P85:T85" ca="1">IF(AND($Q$34,B87&lt;=$C$17,C87&lt;&gt;""),TRANSPOSE(INDEX(cds(C87,$C$6,$C$29,,$C$13,$C$14,,,,,TRUE,TRUE,FALSE,,"1m"),0,1)),"")</f>
        <v>#VALUE!</v>
      </c>
      <c r="Q85" s="320" t="e">
        <f ca="1"/>
        <v>#VALUE!</v>
      </c>
      <c r="R85" s="320" t="e">
        <f ca="1"/>
        <v>#VALUE!</v>
      </c>
      <c r="S85" s="321" t="e">
        <f ca="1"/>
        <v>#VALUE!</v>
      </c>
      <c r="T85" s="322" t="e">
        <f ca="1"/>
        <v>#VALUE!</v>
      </c>
      <c r="U85" s="323" t="e">
        <f t="shared" ca="1" si="0"/>
        <v>#VALUE!</v>
      </c>
      <c r="V85" s="324" t="e">
        <f t="shared" ca="1" si="1"/>
        <v>#VALUE!</v>
      </c>
      <c r="W85" s="323" t="e">
        <f t="shared" ca="1" si="2"/>
        <v>#VALUE!</v>
      </c>
      <c r="X85" s="325" t="e">
        <f t="shared" ca="1" si="3"/>
        <v>#VALUE!</v>
      </c>
      <c r="Y85" s="324" t="e">
        <f t="shared" ca="1" si="4"/>
        <v>#VALUE!</v>
      </c>
    </row>
    <row r="86" spans="2:25" x14ac:dyDescent="0.2">
      <c r="B86" s="331">
        <v>48</v>
      </c>
      <c r="C86" s="332" t="s">
        <v>136</v>
      </c>
      <c r="D86" s="333">
        <v>1</v>
      </c>
      <c r="E86" s="294"/>
      <c r="F86" s="274"/>
      <c r="H86" s="273">
        <v>73</v>
      </c>
      <c r="I86" s="257">
        <f ca="1"/>
        <v>2.3829074733996424E-4</v>
      </c>
      <c r="J86" s="257">
        <f ca="1"/>
        <v>7.2020284680770715E-4</v>
      </c>
      <c r="K86" s="264">
        <f ca="1"/>
        <v>0.33086615582843903</v>
      </c>
      <c r="L86" s="264">
        <f ca="1"/>
        <v>0.33086615582843903</v>
      </c>
      <c r="M86" s="264">
        <f ca="1"/>
        <v>-1.7011485902032052E-4</v>
      </c>
      <c r="N86" s="265" t="str">
        <f ca="1"/>
        <v>METRO_MMR.EUR.SU</v>
      </c>
      <c r="P86" s="319" t="e">
        <f t="array" aca="1" ref="P86:T86" ca="1">IF(AND($Q$34,B88&lt;=$C$17,C88&lt;&gt;""),TRANSPOSE(INDEX(cds(C88,$C$6,$C$29,,$C$13,$C$14,,,,,TRUE,TRUE,FALSE,,"1m"),0,1)),"")</f>
        <v>#VALUE!</v>
      </c>
      <c r="Q86" s="320" t="e">
        <f ca="1"/>
        <v>#VALUE!</v>
      </c>
      <c r="R86" s="320" t="e">
        <f ca="1"/>
        <v>#VALUE!</v>
      </c>
      <c r="S86" s="321" t="e">
        <f ca="1"/>
        <v>#VALUE!</v>
      </c>
      <c r="T86" s="322" t="e">
        <f ca="1"/>
        <v>#VALUE!</v>
      </c>
      <c r="U86" s="323" t="e">
        <f t="shared" ca="1" si="0"/>
        <v>#VALUE!</v>
      </c>
      <c r="V86" s="324" t="e">
        <f t="shared" ca="1" si="1"/>
        <v>#VALUE!</v>
      </c>
      <c r="W86" s="323" t="e">
        <f t="shared" ca="1" si="2"/>
        <v>#VALUE!</v>
      </c>
      <c r="X86" s="325" t="e">
        <f t="shared" ca="1" si="3"/>
        <v>#VALUE!</v>
      </c>
      <c r="Y86" s="324" t="e">
        <f t="shared" ca="1" si="4"/>
        <v>#VALUE!</v>
      </c>
    </row>
    <row r="87" spans="2:25" x14ac:dyDescent="0.2">
      <c r="B87" s="331">
        <v>49</v>
      </c>
      <c r="C87" s="332" t="s">
        <v>137</v>
      </c>
      <c r="D87" s="333">
        <v>1</v>
      </c>
      <c r="E87" s="294"/>
      <c r="F87" s="274"/>
      <c r="H87" s="273">
        <v>74</v>
      </c>
      <c r="I87" s="257">
        <f ca="1"/>
        <v>3.3848820315396377E-4</v>
      </c>
      <c r="J87" s="257">
        <f ca="1"/>
        <v>9.2747976149761045E-4</v>
      </c>
      <c r="K87" s="264">
        <f ca="1"/>
        <v>0.36495481325371848</v>
      </c>
      <c r="L87" s="264">
        <f ca="1"/>
        <v>0.36495481325371848</v>
      </c>
      <c r="M87" s="264">
        <f ca="1"/>
        <v>-2.199208993716173E-4</v>
      </c>
      <c r="N87" s="265" t="str">
        <f ca="1"/>
        <v>MICHELIN_MMR.EUR.SU</v>
      </c>
      <c r="P87" s="319" t="e">
        <f t="array" aca="1" ref="P87:T87" ca="1">IF(AND($Q$34,B89&lt;=$C$17,C89&lt;&gt;""),TRANSPOSE(INDEX(cds(C89,$C$6,$C$29,,$C$13,$C$14,,,,,TRUE,TRUE,FALSE,,"1m"),0,1)),"")</f>
        <v>#VALUE!</v>
      </c>
      <c r="Q87" s="320" t="e">
        <f ca="1"/>
        <v>#VALUE!</v>
      </c>
      <c r="R87" s="320" t="e">
        <f ca="1"/>
        <v>#VALUE!</v>
      </c>
      <c r="S87" s="321" t="e">
        <f ca="1"/>
        <v>#VALUE!</v>
      </c>
      <c r="T87" s="322" t="e">
        <f ca="1"/>
        <v>#VALUE!</v>
      </c>
      <c r="U87" s="323" t="e">
        <f t="shared" ca="1" si="0"/>
        <v>#VALUE!</v>
      </c>
      <c r="V87" s="324" t="e">
        <f t="shared" ca="1" si="1"/>
        <v>#VALUE!</v>
      </c>
      <c r="W87" s="323" t="e">
        <f t="shared" ca="1" si="2"/>
        <v>#VALUE!</v>
      </c>
      <c r="X87" s="325" t="e">
        <f t="shared" ca="1" si="3"/>
        <v>#VALUE!</v>
      </c>
      <c r="Y87" s="324" t="e">
        <f t="shared" ca="1" si="4"/>
        <v>#VALUE!</v>
      </c>
    </row>
    <row r="88" spans="2:25" x14ac:dyDescent="0.2">
      <c r="B88" s="331">
        <v>50</v>
      </c>
      <c r="C88" s="332" t="s">
        <v>138</v>
      </c>
      <c r="D88" s="333">
        <v>1</v>
      </c>
      <c r="E88" s="294"/>
      <c r="F88" s="274"/>
      <c r="H88" s="273">
        <v>75</v>
      </c>
      <c r="I88" s="257">
        <f ca="1"/>
        <v>3.1181609841459681E-4</v>
      </c>
      <c r="J88" s="257">
        <f ca="1"/>
        <v>8.5608441741992492E-4</v>
      </c>
      <c r="K88" s="264">
        <f ca="1"/>
        <v>0.36423522268323844</v>
      </c>
      <c r="L88" s="264">
        <f ca="1"/>
        <v>0.36423522268323844</v>
      </c>
      <c r="M88" s="264">
        <f ca="1"/>
        <v>-2.069902923855782E-4</v>
      </c>
      <c r="N88" s="265" t="str">
        <f ca="1"/>
        <v>MONTEDEIPASCHI_MMR.EUR.SU</v>
      </c>
      <c r="P88" s="319" t="e">
        <f t="array" aca="1" ref="P88:T88" ca="1">IF(AND($Q$34,B90&lt;=$C$17,C90&lt;&gt;""),TRANSPOSE(INDEX(cds(C90,$C$6,$C$29,,$C$13,$C$14,,,,,TRUE,TRUE,FALSE,,"1m"),0,1)),"")</f>
        <v>#VALUE!</v>
      </c>
      <c r="Q88" s="320" t="e">
        <f ca="1"/>
        <v>#VALUE!</v>
      </c>
      <c r="R88" s="320" t="e">
        <f ca="1"/>
        <v>#VALUE!</v>
      </c>
      <c r="S88" s="321" t="e">
        <f ca="1"/>
        <v>#VALUE!</v>
      </c>
      <c r="T88" s="322" t="e">
        <f ca="1"/>
        <v>#VALUE!</v>
      </c>
      <c r="U88" s="323" t="e">
        <f t="shared" ca="1" si="0"/>
        <v>#VALUE!</v>
      </c>
      <c r="V88" s="324" t="e">
        <f t="shared" ca="1" si="1"/>
        <v>#VALUE!</v>
      </c>
      <c r="W88" s="323" t="e">
        <f t="shared" ca="1" si="2"/>
        <v>#VALUE!</v>
      </c>
      <c r="X88" s="325" t="e">
        <f t="shared" ca="1" si="3"/>
        <v>#VALUE!</v>
      </c>
      <c r="Y88" s="324" t="e">
        <f t="shared" ca="1" si="4"/>
        <v>#VALUE!</v>
      </c>
    </row>
    <row r="89" spans="2:25" x14ac:dyDescent="0.2">
      <c r="B89" s="331">
        <v>51</v>
      </c>
      <c r="C89" s="332" t="s">
        <v>139</v>
      </c>
      <c r="D89" s="333">
        <v>1</v>
      </c>
      <c r="E89" s="294"/>
      <c r="F89" s="274"/>
      <c r="H89" s="273">
        <v>76</v>
      </c>
      <c r="I89" s="257">
        <f ca="1"/>
        <v>2.2061284560053186E-4</v>
      </c>
      <c r="J89" s="257">
        <f ca="1"/>
        <v>6.7333599803466517E-4</v>
      </c>
      <c r="K89" s="264">
        <f ca="1"/>
        <v>0.32764154336684392</v>
      </c>
      <c r="L89" s="264">
        <f ca="1"/>
        <v>0.32764154336684392</v>
      </c>
      <c r="M89" s="264">
        <f ca="1"/>
        <v>-1.6043670797629694E-4</v>
      </c>
      <c r="N89" s="265" t="str">
        <f ca="1"/>
        <v>MUNICHRE_MMR.EUR.SU</v>
      </c>
      <c r="P89" s="319">
        <f t="array" aca="1" ref="P89:T89" ca="1">IF(AND($Q$34,B91&lt;=$C$17,C91&lt;&gt;""),TRANSPOSE(INDEX(cds(C91,$C$6,$C$29,,$C$13,$C$14,,,,,TRUE,TRUE,FALSE,,"1m"),0,1)),"")</f>
        <v>1.7347234759768071E-18</v>
      </c>
      <c r="Q89" s="320">
        <f ca="1"/>
        <v>1.045158536111704E-2</v>
      </c>
      <c r="R89" s="320">
        <f ca="1"/>
        <v>1.0451585361117038E-2</v>
      </c>
      <c r="S89" s="321">
        <f ca="1"/>
        <v>2.3001796008509335E-3</v>
      </c>
      <c r="T89" s="322">
        <f ca="1"/>
        <v>4.5438127341232644</v>
      </c>
      <c r="U89" s="323">
        <f t="shared" ca="1" si="0"/>
        <v>0.11636705157291649</v>
      </c>
      <c r="V89" s="324">
        <f t="shared" ca="1" si="1"/>
        <v>-1.2162201727358454E-3</v>
      </c>
      <c r="W89" s="323">
        <f t="shared" ca="1" si="2"/>
        <v>9.8574741085359088E-2</v>
      </c>
      <c r="X89" s="325">
        <f t="shared" ca="1" si="3"/>
        <v>2.1851706208083866E-3</v>
      </c>
      <c r="Y89" s="324">
        <f t="shared" ca="1" si="4"/>
        <v>-5.1513116045182171E-5</v>
      </c>
    </row>
    <row r="90" spans="2:25" x14ac:dyDescent="0.2">
      <c r="B90" s="331">
        <v>52</v>
      </c>
      <c r="C90" s="332" t="s">
        <v>140</v>
      </c>
      <c r="D90" s="333">
        <v>1</v>
      </c>
      <c r="E90" s="294"/>
      <c r="F90" s="274"/>
      <c r="H90" s="273">
        <v>77</v>
      </c>
      <c r="I90" s="257">
        <f ca="1"/>
        <v>2.5804456017175514E-4</v>
      </c>
      <c r="J90" s="257">
        <f ca="1"/>
        <v>7.65993813805073E-4</v>
      </c>
      <c r="K90" s="264">
        <f ca="1"/>
        <v>0.33687551455529285</v>
      </c>
      <c r="L90" s="264">
        <f ca="1"/>
        <v>0.33687551455529285</v>
      </c>
      <c r="M90" s="264">
        <f ca="1"/>
        <v>-1.8061362747783248E-4</v>
      </c>
      <c r="N90" s="265" t="str">
        <f ca="1"/>
        <v>NATIONALGRIDTRANSCOPLC_MMR.EUR.SU</v>
      </c>
      <c r="P90" s="319" t="e">
        <f t="array" aca="1" ref="P90:T90" ca="1">IF(AND($Q$34,B92&lt;=$C$17,C92&lt;&gt;""),TRANSPOSE(INDEX(cds(C92,$C$6,$C$29,,$C$13,$C$14,,,,,TRUE,TRUE,FALSE,,"1m"),0,1)),"")</f>
        <v>#VALUE!</v>
      </c>
      <c r="Q90" s="320" t="e">
        <f ca="1"/>
        <v>#VALUE!</v>
      </c>
      <c r="R90" s="320" t="e">
        <f ca="1"/>
        <v>#VALUE!</v>
      </c>
      <c r="S90" s="321" t="e">
        <f ca="1"/>
        <v>#VALUE!</v>
      </c>
      <c r="T90" s="322" t="e">
        <f ca="1"/>
        <v>#VALUE!</v>
      </c>
      <c r="U90" s="323" t="e">
        <f t="shared" ca="1" si="0"/>
        <v>#VALUE!</v>
      </c>
      <c r="V90" s="324" t="e">
        <f t="shared" ca="1" si="1"/>
        <v>#VALUE!</v>
      </c>
      <c r="W90" s="323" t="e">
        <f t="shared" ca="1" si="2"/>
        <v>#VALUE!</v>
      </c>
      <c r="X90" s="325" t="e">
        <f t="shared" ca="1" si="3"/>
        <v>#VALUE!</v>
      </c>
      <c r="Y90" s="324" t="e">
        <f t="shared" ca="1" si="4"/>
        <v>#VALUE!</v>
      </c>
    </row>
    <row r="91" spans="2:25" x14ac:dyDescent="0.2">
      <c r="B91" s="331">
        <v>53</v>
      </c>
      <c r="C91" s="332" t="s">
        <v>141</v>
      </c>
      <c r="D91" s="333">
        <v>1</v>
      </c>
      <c r="E91" s="294"/>
      <c r="F91" s="274"/>
      <c r="H91" s="273">
        <v>78</v>
      </c>
      <c r="I91" s="257">
        <f ca="1"/>
        <v>6.0094668684389512E-4</v>
      </c>
      <c r="J91" s="257">
        <f ca="1"/>
        <v>1.3812086287984533E-3</v>
      </c>
      <c r="K91" s="264">
        <f ca="1"/>
        <v>0.43508755615483891</v>
      </c>
      <c r="L91" s="264">
        <f ca="1"/>
        <v>0.43508755615483891</v>
      </c>
      <c r="M91" s="264">
        <f ca="1"/>
        <v>-3.2561708113125752E-4</v>
      </c>
      <c r="N91" s="265" t="str">
        <f ca="1"/>
        <v>NEXTPLC_MMR.EUR.SU</v>
      </c>
      <c r="P91" s="319" t="e">
        <f t="array" aca="1" ref="P91:T91" ca="1">IF(AND($Q$34,B93&lt;=$C$17,C93&lt;&gt;""),TRANSPOSE(INDEX(cds(C93,$C$6,$C$29,,$C$13,$C$14,,,,,TRUE,TRUE,FALSE,,"1m"),0,1)),"")</f>
        <v>#VALUE!</v>
      </c>
      <c r="Q91" s="320" t="e">
        <f ca="1"/>
        <v>#VALUE!</v>
      </c>
      <c r="R91" s="320" t="e">
        <f ca="1"/>
        <v>#VALUE!</v>
      </c>
      <c r="S91" s="321" t="e">
        <f ca="1"/>
        <v>#VALUE!</v>
      </c>
      <c r="T91" s="322" t="e">
        <f ca="1"/>
        <v>#VALUE!</v>
      </c>
      <c r="U91" s="323" t="e">
        <f t="shared" ca="1" si="0"/>
        <v>#VALUE!</v>
      </c>
      <c r="V91" s="324" t="e">
        <f t="shared" ca="1" si="1"/>
        <v>#VALUE!</v>
      </c>
      <c r="W91" s="323" t="e">
        <f t="shared" ca="1" si="2"/>
        <v>#VALUE!</v>
      </c>
      <c r="X91" s="325" t="e">
        <f t="shared" ca="1" si="3"/>
        <v>#VALUE!</v>
      </c>
      <c r="Y91" s="324" t="e">
        <f t="shared" ca="1" si="4"/>
        <v>#VALUE!</v>
      </c>
    </row>
    <row r="92" spans="2:25" x14ac:dyDescent="0.2">
      <c r="B92" s="331">
        <v>54</v>
      </c>
      <c r="C92" s="332" t="s">
        <v>142</v>
      </c>
      <c r="D92" s="333">
        <v>1</v>
      </c>
      <c r="E92" s="294"/>
      <c r="F92" s="274"/>
      <c r="H92" s="273">
        <v>79</v>
      </c>
      <c r="I92" s="257">
        <f ca="1"/>
        <v>2.6929242086468628E-4</v>
      </c>
      <c r="J92" s="257">
        <f ca="1"/>
        <v>7.896507314608933E-4</v>
      </c>
      <c r="K92" s="264">
        <f ca="1"/>
        <v>0.3410272543741989</v>
      </c>
      <c r="L92" s="264">
        <f ca="1"/>
        <v>0.3410272543741989</v>
      </c>
      <c r="M92" s="264">
        <f ca="1"/>
        <v>-1.8617541677359294E-4</v>
      </c>
      <c r="N92" s="265" t="str">
        <f ca="1"/>
        <v>PEARSON_MMR.EUR.SU</v>
      </c>
      <c r="P92" s="319" t="e">
        <f t="array" aca="1" ref="P92:T92" ca="1">IF(AND($Q$34,B94&lt;=$C$17,C94&lt;&gt;""),TRANSPOSE(INDEX(cds(C94,$C$6,$C$29,,$C$13,$C$14,,,,,TRUE,TRUE,FALSE,,"1m"),0,1)),"")</f>
        <v>#VALUE!</v>
      </c>
      <c r="Q92" s="320" t="e">
        <f ca="1"/>
        <v>#VALUE!</v>
      </c>
      <c r="R92" s="320" t="e">
        <f ca="1"/>
        <v>#VALUE!</v>
      </c>
      <c r="S92" s="321" t="e">
        <f ca="1"/>
        <v>#VALUE!</v>
      </c>
      <c r="T92" s="322" t="e">
        <f ca="1"/>
        <v>#VALUE!</v>
      </c>
      <c r="U92" s="323" t="e">
        <f t="shared" ca="1" si="0"/>
        <v>#VALUE!</v>
      </c>
      <c r="V92" s="324" t="e">
        <f t="shared" ca="1" si="1"/>
        <v>#VALUE!</v>
      </c>
      <c r="W92" s="323" t="e">
        <f t="shared" ca="1" si="2"/>
        <v>#VALUE!</v>
      </c>
      <c r="X92" s="325" t="e">
        <f t="shared" ca="1" si="3"/>
        <v>#VALUE!</v>
      </c>
      <c r="Y92" s="324" t="e">
        <f t="shared" ca="1" si="4"/>
        <v>#VALUE!</v>
      </c>
    </row>
    <row r="93" spans="2:25" x14ac:dyDescent="0.2">
      <c r="B93" s="331">
        <v>55</v>
      </c>
      <c r="C93" s="332" t="s">
        <v>143</v>
      </c>
      <c r="D93" s="333">
        <v>1</v>
      </c>
      <c r="E93" s="294"/>
      <c r="F93" s="274"/>
      <c r="H93" s="273">
        <v>80</v>
      </c>
      <c r="I93" s="257">
        <f ca="1"/>
        <v>3.0310442453536092E-4</v>
      </c>
      <c r="J93" s="257">
        <f ca="1"/>
        <v>8.5869410726864396E-4</v>
      </c>
      <c r="K93" s="264">
        <f ca="1"/>
        <v>0.35298300287570761</v>
      </c>
      <c r="L93" s="264">
        <f ca="1"/>
        <v>0.35298300287570761</v>
      </c>
      <c r="M93" s="264">
        <f ca="1"/>
        <v>-2.0313549060657632E-4</v>
      </c>
      <c r="N93" s="265" t="str">
        <f ca="1"/>
        <v>PEUGEOT_MMR.EUR.SU</v>
      </c>
      <c r="P93" s="319" t="e">
        <f t="array" aca="1" ref="P93:T93" ca="1">IF(AND($Q$34,B95&lt;=$C$17,C95&lt;&gt;""),TRANSPOSE(INDEX(cds(C95,$C$6,$C$29,,$C$13,$C$14,,,,,TRUE,TRUE,FALSE,,"1m"),0,1)),"")</f>
        <v>#VALUE!</v>
      </c>
      <c r="Q93" s="320" t="e">
        <f ca="1"/>
        <v>#VALUE!</v>
      </c>
      <c r="R93" s="320" t="e">
        <f ca="1"/>
        <v>#VALUE!</v>
      </c>
      <c r="S93" s="321" t="e">
        <f ca="1"/>
        <v>#VALUE!</v>
      </c>
      <c r="T93" s="322" t="e">
        <f ca="1"/>
        <v>#VALUE!</v>
      </c>
      <c r="U93" s="323" t="e">
        <f t="shared" ca="1" si="0"/>
        <v>#VALUE!</v>
      </c>
      <c r="V93" s="324" t="e">
        <f t="shared" ca="1" si="1"/>
        <v>#VALUE!</v>
      </c>
      <c r="W93" s="323" t="e">
        <f t="shared" ca="1" si="2"/>
        <v>#VALUE!</v>
      </c>
      <c r="X93" s="325" t="e">
        <f t="shared" ca="1" si="3"/>
        <v>#VALUE!</v>
      </c>
      <c r="Y93" s="324" t="e">
        <f t="shared" ca="1" si="4"/>
        <v>#VALUE!</v>
      </c>
    </row>
    <row r="94" spans="2:25" x14ac:dyDescent="0.2">
      <c r="B94" s="331">
        <v>56</v>
      </c>
      <c r="C94" s="332" t="s">
        <v>144</v>
      </c>
      <c r="D94" s="333">
        <v>1</v>
      </c>
      <c r="E94" s="294"/>
      <c r="F94" s="274"/>
      <c r="H94" s="273">
        <v>81</v>
      </c>
      <c r="I94" s="257">
        <f ca="1"/>
        <v>1.9622122109128615E-4</v>
      </c>
      <c r="J94" s="257">
        <f ca="1"/>
        <v>6.2820217778111764E-4</v>
      </c>
      <c r="K94" s="264">
        <f ca="1"/>
        <v>0.31235361485750029</v>
      </c>
      <c r="L94" s="264">
        <f ca="1"/>
        <v>0.31235361485750029</v>
      </c>
      <c r="M94" s="264">
        <f ca="1"/>
        <v>-1.4552042150450806E-4</v>
      </c>
      <c r="N94" s="265" t="str">
        <f ca="1"/>
        <v>PHILIPSELEC_MMR.EUR.SU</v>
      </c>
      <c r="P94" s="319" t="e">
        <f t="array" aca="1" ref="P94:T94" ca="1">IF(AND($Q$34,B96&lt;=$C$17,C96&lt;&gt;""),TRANSPOSE(INDEX(cds(C96,$C$6,$C$29,,$C$13,$C$14,,,,,TRUE,TRUE,FALSE,,"1m"),0,1)),"")</f>
        <v>#VALUE!</v>
      </c>
      <c r="Q94" s="320" t="e">
        <f ca="1"/>
        <v>#VALUE!</v>
      </c>
      <c r="R94" s="320" t="e">
        <f ca="1"/>
        <v>#VALUE!</v>
      </c>
      <c r="S94" s="321" t="e">
        <f ca="1"/>
        <v>#VALUE!</v>
      </c>
      <c r="T94" s="322" t="e">
        <f ca="1"/>
        <v>#VALUE!</v>
      </c>
      <c r="U94" s="323" t="e">
        <f t="shared" ca="1" si="0"/>
        <v>#VALUE!</v>
      </c>
      <c r="V94" s="324" t="e">
        <f t="shared" ca="1" si="1"/>
        <v>#VALUE!</v>
      </c>
      <c r="W94" s="323" t="e">
        <f t="shared" ca="1" si="2"/>
        <v>#VALUE!</v>
      </c>
      <c r="X94" s="325" t="e">
        <f t="shared" ca="1" si="3"/>
        <v>#VALUE!</v>
      </c>
      <c r="Y94" s="324" t="e">
        <f t="shared" ca="1" si="4"/>
        <v>#VALUE!</v>
      </c>
    </row>
    <row r="95" spans="2:25" x14ac:dyDescent="0.2">
      <c r="B95" s="331">
        <v>57</v>
      </c>
      <c r="C95" s="332" t="s">
        <v>145</v>
      </c>
      <c r="D95" s="333">
        <v>1</v>
      </c>
      <c r="E95" s="294"/>
      <c r="F95" s="274"/>
      <c r="H95" s="273">
        <v>82</v>
      </c>
      <c r="I95" s="257">
        <f ca="1"/>
        <v>7.1819862615287724E-4</v>
      </c>
      <c r="J95" s="257">
        <f ca="1"/>
        <v>1.5628275451332733E-3</v>
      </c>
      <c r="K95" s="264">
        <f ca="1"/>
        <v>0.45955078561891571</v>
      </c>
      <c r="L95" s="264">
        <f ca="1"/>
        <v>0.45955078561891571</v>
      </c>
      <c r="M95" s="264">
        <f ca="1"/>
        <v>-3.6460888498621722E-4</v>
      </c>
      <c r="N95" s="265" t="str">
        <f ca="1"/>
        <v>PINAULTPRINTEMPS_MMR.EUR.SU</v>
      </c>
      <c r="P95" s="319" t="e">
        <f t="array" aca="1" ref="P95:T95" ca="1">IF(AND($Q$34,B97&lt;=$C$17,C97&lt;&gt;""),TRANSPOSE(INDEX(cds(C97,$C$6,$C$29,,$C$13,$C$14,,,,,TRUE,TRUE,FALSE,,"1m"),0,1)),"")</f>
        <v>#VALUE!</v>
      </c>
      <c r="Q95" s="320" t="e">
        <f ca="1"/>
        <v>#VALUE!</v>
      </c>
      <c r="R95" s="320" t="e">
        <f ca="1"/>
        <v>#VALUE!</v>
      </c>
      <c r="S95" s="321" t="e">
        <f ca="1"/>
        <v>#VALUE!</v>
      </c>
      <c r="T95" s="322" t="e">
        <f ca="1"/>
        <v>#VALUE!</v>
      </c>
      <c r="U95" s="323" t="e">
        <f t="shared" ca="1" si="0"/>
        <v>#VALUE!</v>
      </c>
      <c r="V95" s="324" t="e">
        <f t="shared" ca="1" si="1"/>
        <v>#VALUE!</v>
      </c>
      <c r="W95" s="323" t="e">
        <f t="shared" ca="1" si="2"/>
        <v>#VALUE!</v>
      </c>
      <c r="X95" s="325" t="e">
        <f t="shared" ca="1" si="3"/>
        <v>#VALUE!</v>
      </c>
      <c r="Y95" s="324" t="e">
        <f t="shared" ca="1" si="4"/>
        <v>#VALUE!</v>
      </c>
    </row>
    <row r="96" spans="2:25" x14ac:dyDescent="0.2">
      <c r="B96" s="331">
        <v>58</v>
      </c>
      <c r="C96" s="332" t="s">
        <v>146</v>
      </c>
      <c r="D96" s="333">
        <v>1</v>
      </c>
      <c r="E96" s="294"/>
      <c r="F96" s="274"/>
      <c r="H96" s="273">
        <v>83</v>
      </c>
      <c r="I96" s="257">
        <f ca="1"/>
        <v>4.3767883576046885E-4</v>
      </c>
      <c r="J96" s="257">
        <f ca="1"/>
        <v>1.1073653564734344E-3</v>
      </c>
      <c r="K96" s="264">
        <f ca="1"/>
        <v>0.39524338846423784</v>
      </c>
      <c r="L96" s="264">
        <f ca="1"/>
        <v>0.39524338846423784</v>
      </c>
      <c r="M96" s="264">
        <f ca="1"/>
        <v>-2.6356194131700318E-4</v>
      </c>
      <c r="N96" s="265" t="str">
        <f ca="1"/>
        <v>PORTUGALTELECOM_MMR.EUR.SU</v>
      </c>
      <c r="P96" s="319" t="e">
        <f t="array" aca="1" ref="P96:T96" ca="1">IF(AND($Q$34,B98&lt;=$C$17,C98&lt;&gt;""),TRANSPOSE(INDEX(cds(C98,$C$6,$C$29,,$C$13,$C$14,,,,,TRUE,TRUE,FALSE,,"1m"),0,1)),"")</f>
        <v>#VALUE!</v>
      </c>
      <c r="Q96" s="320" t="e">
        <f ca="1"/>
        <v>#VALUE!</v>
      </c>
      <c r="R96" s="320" t="e">
        <f ca="1"/>
        <v>#VALUE!</v>
      </c>
      <c r="S96" s="321" t="e">
        <f ca="1"/>
        <v>#VALUE!</v>
      </c>
      <c r="T96" s="322" t="e">
        <f ca="1"/>
        <v>#VALUE!</v>
      </c>
      <c r="U96" s="323" t="e">
        <f t="shared" ca="1" si="0"/>
        <v>#VALUE!</v>
      </c>
      <c r="V96" s="324" t="e">
        <f t="shared" ca="1" si="1"/>
        <v>#VALUE!</v>
      </c>
      <c r="W96" s="323" t="e">
        <f t="shared" ca="1" si="2"/>
        <v>#VALUE!</v>
      </c>
      <c r="X96" s="325" t="e">
        <f t="shared" ca="1" si="3"/>
        <v>#VALUE!</v>
      </c>
      <c r="Y96" s="324" t="e">
        <f t="shared" ca="1" si="4"/>
        <v>#VALUE!</v>
      </c>
    </row>
    <row r="97" spans="2:25" x14ac:dyDescent="0.2">
      <c r="B97" s="331">
        <v>59</v>
      </c>
      <c r="C97" s="332" t="s">
        <v>147</v>
      </c>
      <c r="D97" s="333">
        <v>1</v>
      </c>
      <c r="E97" s="294"/>
      <c r="F97" s="274"/>
      <c r="H97" s="273">
        <v>84</v>
      </c>
      <c r="I97" s="257">
        <f ca="1"/>
        <v>2.259762934960552E-4</v>
      </c>
      <c r="J97" s="257">
        <f ca="1"/>
        <v>6.9774834741052828E-4</v>
      </c>
      <c r="K97" s="264">
        <f ca="1"/>
        <v>0.32386503577499615</v>
      </c>
      <c r="L97" s="264">
        <f ca="1"/>
        <v>0.32386503577499615</v>
      </c>
      <c r="M97" s="264">
        <f ca="1"/>
        <v>-1.6286472889945892E-4</v>
      </c>
      <c r="N97" s="265" t="str">
        <f ca="1"/>
        <v>REEDELSEVIER_MMR.EUR.SU</v>
      </c>
      <c r="P97" s="319" t="e">
        <f t="array" aca="1" ref="P97:T97" ca="1">IF(AND($Q$34,B99&lt;=$C$17,C99&lt;&gt;""),TRANSPOSE(INDEX(cds(C99,$C$6,$C$29,,$C$13,$C$14,,,,,TRUE,TRUE,FALSE,,"1m"),0,1)),"")</f>
        <v>#VALUE!</v>
      </c>
      <c r="Q97" s="320" t="e">
        <f ca="1"/>
        <v>#VALUE!</v>
      </c>
      <c r="R97" s="320" t="e">
        <f ca="1"/>
        <v>#VALUE!</v>
      </c>
      <c r="S97" s="321" t="e">
        <f ca="1"/>
        <v>#VALUE!</v>
      </c>
      <c r="T97" s="322" t="e">
        <f ca="1"/>
        <v>#VALUE!</v>
      </c>
      <c r="U97" s="323" t="e">
        <f t="shared" ca="1" si="0"/>
        <v>#VALUE!</v>
      </c>
      <c r="V97" s="324" t="e">
        <f t="shared" ca="1" si="1"/>
        <v>#VALUE!</v>
      </c>
      <c r="W97" s="323" t="e">
        <f t="shared" ca="1" si="2"/>
        <v>#VALUE!</v>
      </c>
      <c r="X97" s="325" t="e">
        <f t="shared" ca="1" si="3"/>
        <v>#VALUE!</v>
      </c>
      <c r="Y97" s="324" t="e">
        <f t="shared" ca="1" si="4"/>
        <v>#VALUE!</v>
      </c>
    </row>
    <row r="98" spans="2:25" x14ac:dyDescent="0.2">
      <c r="B98" s="331">
        <v>60</v>
      </c>
      <c r="C98" s="332" t="s">
        <v>148</v>
      </c>
      <c r="D98" s="333">
        <v>1</v>
      </c>
      <c r="E98" s="294"/>
      <c r="F98" s="274"/>
      <c r="H98" s="273">
        <v>85</v>
      </c>
      <c r="I98" s="257">
        <f ca="1"/>
        <v>3.0295832406281866E-4</v>
      </c>
      <c r="J98" s="257">
        <f ca="1"/>
        <v>8.5880095880983887E-4</v>
      </c>
      <c r="K98" s="264">
        <f ca="1"/>
        <v>0.35276896346584263</v>
      </c>
      <c r="L98" s="264">
        <f ca="1"/>
        <v>0.35276896346584263</v>
      </c>
      <c r="M98" s="264">
        <f ca="1"/>
        <v>-2.029135804691773E-4</v>
      </c>
      <c r="N98" s="265" t="str">
        <f ca="1"/>
        <v>RENAULT_MMR.EUR.SU</v>
      </c>
      <c r="P98" s="319" t="e">
        <f t="array" aca="1" ref="P98:T98" ca="1">IF(AND($Q$34,B100&lt;=$C$17,C100&lt;&gt;""),TRANSPOSE(INDEX(cds(C100,$C$6,$C$29,,$C$13,$C$14,,,,,TRUE,TRUE,FALSE,,"1m"),0,1)),"")</f>
        <v>#VALUE!</v>
      </c>
      <c r="Q98" s="320" t="e">
        <f ca="1"/>
        <v>#VALUE!</v>
      </c>
      <c r="R98" s="320" t="e">
        <f ca="1"/>
        <v>#VALUE!</v>
      </c>
      <c r="S98" s="321" t="e">
        <f ca="1"/>
        <v>#VALUE!</v>
      </c>
      <c r="T98" s="322" t="e">
        <f ca="1"/>
        <v>#VALUE!</v>
      </c>
      <c r="U98" s="323" t="e">
        <f t="shared" ca="1" si="0"/>
        <v>#VALUE!</v>
      </c>
      <c r="V98" s="324" t="e">
        <f t="shared" ca="1" si="1"/>
        <v>#VALUE!</v>
      </c>
      <c r="W98" s="323" t="e">
        <f t="shared" ca="1" si="2"/>
        <v>#VALUE!</v>
      </c>
      <c r="X98" s="325" t="e">
        <f t="shared" ca="1" si="3"/>
        <v>#VALUE!</v>
      </c>
      <c r="Y98" s="324" t="e">
        <f t="shared" ca="1" si="4"/>
        <v>#VALUE!</v>
      </c>
    </row>
    <row r="99" spans="2:25" x14ac:dyDescent="0.2">
      <c r="B99" s="331">
        <v>61</v>
      </c>
      <c r="C99" s="332" t="s">
        <v>149</v>
      </c>
      <c r="D99" s="333">
        <v>1</v>
      </c>
      <c r="E99" s="294"/>
      <c r="F99" s="274"/>
      <c r="H99" s="273">
        <v>86</v>
      </c>
      <c r="I99" s="257">
        <f ca="1"/>
        <v>4.4296011057747274E-4</v>
      </c>
      <c r="J99" s="257">
        <f ca="1"/>
        <v>1.108495499043149E-3</v>
      </c>
      <c r="K99" s="264">
        <f ca="1"/>
        <v>0.39960478951861783</v>
      </c>
      <c r="L99" s="264">
        <f ca="1"/>
        <v>0.39960478951861783</v>
      </c>
      <c r="M99" s="264">
        <f ca="1"/>
        <v>-2.6560022401382887E-4</v>
      </c>
      <c r="N99" s="265" t="str">
        <f ca="1"/>
        <v>REPSOL_MMR.EUR.SU</v>
      </c>
      <c r="P99" s="319" t="e">
        <f t="array" aca="1" ref="P99:T99" ca="1">IF(AND($Q$34,B101&lt;=$C$17,C101&lt;&gt;""),TRANSPOSE(INDEX(cds(C101,$C$6,$C$29,,$C$13,$C$14,,,,,TRUE,TRUE,FALSE,,"1m"),0,1)),"")</f>
        <v>#VALUE!</v>
      </c>
      <c r="Q99" s="320" t="e">
        <f ca="1"/>
        <v>#VALUE!</v>
      </c>
      <c r="R99" s="320" t="e">
        <f ca="1"/>
        <v>#VALUE!</v>
      </c>
      <c r="S99" s="321" t="e">
        <f ca="1"/>
        <v>#VALUE!</v>
      </c>
      <c r="T99" s="322" t="e">
        <f ca="1"/>
        <v>#VALUE!</v>
      </c>
      <c r="U99" s="323" t="e">
        <f t="shared" ca="1" si="0"/>
        <v>#VALUE!</v>
      </c>
      <c r="V99" s="324" t="e">
        <f t="shared" ca="1" si="1"/>
        <v>#VALUE!</v>
      </c>
      <c r="W99" s="323" t="e">
        <f t="shared" ca="1" si="2"/>
        <v>#VALUE!</v>
      </c>
      <c r="X99" s="325" t="e">
        <f t="shared" ca="1" si="3"/>
        <v>#VALUE!</v>
      </c>
      <c r="Y99" s="324" t="e">
        <f t="shared" ca="1" si="4"/>
        <v>#VALUE!</v>
      </c>
    </row>
    <row r="100" spans="2:25" x14ac:dyDescent="0.2">
      <c r="B100" s="331">
        <v>62</v>
      </c>
      <c r="C100" s="332" t="s">
        <v>150</v>
      </c>
      <c r="D100" s="333">
        <v>1</v>
      </c>
      <c r="E100" s="294"/>
      <c r="F100" s="274"/>
      <c r="H100" s="273">
        <v>87</v>
      </c>
      <c r="I100" s="257">
        <f ca="1"/>
        <v>1.4055151654064347E-4</v>
      </c>
      <c r="J100" s="257">
        <f ca="1"/>
        <v>4.897081579446677E-4</v>
      </c>
      <c r="K100" s="264">
        <f ca="1"/>
        <v>0.28701077215161369</v>
      </c>
      <c r="L100" s="264">
        <f ca="1"/>
        <v>0.28701077215161369</v>
      </c>
      <c r="M100" s="264">
        <f ca="1"/>
        <v>-1.099698603171495E-4</v>
      </c>
      <c r="N100" s="265" t="str">
        <f ca="1"/>
        <v>REUTERS_MMR.EUR.SU</v>
      </c>
      <c r="P100" s="319">
        <f t="array" aca="1" ref="P100:T100" ca="1">IF(AND($Q$34,B102&lt;=$C$17,C102&lt;&gt;""),TRANSPOSE(INDEX(cds(C102,$C$6,$C$29,,$C$13,$C$14,,,,,TRUE,TRUE,FALSE,,"1m"),0,1)),"")</f>
        <v>0</v>
      </c>
      <c r="Q100" s="320">
        <f ca="1"/>
        <v>5.9234306398090741E-3</v>
      </c>
      <c r="R100" s="320">
        <f ca="1"/>
        <v>5.9234306398090741E-3</v>
      </c>
      <c r="S100" s="321">
        <f ca="1"/>
        <v>1.3000554081528449E-3</v>
      </c>
      <c r="T100" s="322">
        <f ca="1"/>
        <v>4.5562909108814447</v>
      </c>
      <c r="U100" s="323">
        <f t="shared" ca="1" si="0"/>
        <v>0.11636705157291649</v>
      </c>
      <c r="V100" s="324">
        <f t="shared" ca="1" si="1"/>
        <v>-6.8929215875125627E-4</v>
      </c>
      <c r="W100" s="323">
        <f t="shared" ca="1" si="2"/>
        <v>7.7289212022880402E-2</v>
      </c>
      <c r="X100" s="325">
        <f t="shared" ca="1" si="3"/>
        <v>1.2350526377452025E-3</v>
      </c>
      <c r="Y100" s="324">
        <f t="shared" ca="1" si="4"/>
        <v>-2.2890864331151535E-5</v>
      </c>
    </row>
    <row r="101" spans="2:25" x14ac:dyDescent="0.2">
      <c r="B101" s="331">
        <v>63</v>
      </c>
      <c r="C101" s="332" t="s">
        <v>151</v>
      </c>
      <c r="D101" s="333">
        <v>1</v>
      </c>
      <c r="E101" s="294"/>
      <c r="F101" s="274"/>
      <c r="H101" s="273">
        <v>88</v>
      </c>
      <c r="I101" s="257">
        <f ca="1"/>
        <v>3.7451729483988226E-4</v>
      </c>
      <c r="J101" s="257">
        <f ca="1"/>
        <v>9.7015701242841922E-4</v>
      </c>
      <c r="K101" s="264">
        <f ca="1"/>
        <v>0.38603781660292347</v>
      </c>
      <c r="L101" s="264">
        <f ca="1"/>
        <v>0.38603781660292347</v>
      </c>
      <c r="M101" s="264">
        <f ca="1"/>
        <v>-2.3525642594590668E-4</v>
      </c>
      <c r="N101" s="265" t="str">
        <f ca="1"/>
        <v>ROYALBANKSCOTLAND_MMR.EUR.SU</v>
      </c>
      <c r="P101" s="319" t="e">
        <f t="array" aca="1" ref="P101:T101" ca="1">IF(AND($Q$34,B103&lt;=$C$17,C103&lt;&gt;""),TRANSPOSE(INDEX(cds(C103,$C$6,$C$29,,$C$13,$C$14,,,,,TRUE,TRUE,FALSE,,"1m"),0,1)),"")</f>
        <v>#VALUE!</v>
      </c>
      <c r="Q101" s="320" t="e">
        <f ca="1"/>
        <v>#VALUE!</v>
      </c>
      <c r="R101" s="320" t="e">
        <f ca="1"/>
        <v>#VALUE!</v>
      </c>
      <c r="S101" s="321" t="e">
        <f ca="1"/>
        <v>#VALUE!</v>
      </c>
      <c r="T101" s="322" t="e">
        <f ca="1"/>
        <v>#VALUE!</v>
      </c>
      <c r="U101" s="323" t="e">
        <f t="shared" ref="U101:U164" ca="1" si="5">IF(NOT($Q$34),"",IF(P101="","",$Q$35*$D$39/$C$18))</f>
        <v>#VALUE!</v>
      </c>
      <c r="V101" s="324" t="e">
        <f t="shared" ref="V101:V164" ca="1" si="6">IF(NOT($Q$34),"",IF(U101="","",U101*($V$32-S101)*T101))</f>
        <v>#VALUE!</v>
      </c>
      <c r="W101" s="323" t="e">
        <f t="shared" ref="W101:W164" ca="1" si="7">IF(NOT($Q$34),"",IF(P101="","",IF(ISERROR(L78),0,L78/($C$20-$C$19))))</f>
        <v>#VALUE!</v>
      </c>
      <c r="X101" s="325" t="e">
        <f t="shared" ref="X101:X164" ca="1" si="8">IF(NOT($Q$34),"",IF(S101="","",S101*$Y$32))</f>
        <v>#VALUE!</v>
      </c>
      <c r="Y101" s="324" t="e">
        <f t="shared" ref="Y101:Y164" ca="1" si="9">IF(NOT($Q$34),"",IF(W101="","",W101*(X101-S101)*T101))</f>
        <v>#VALUE!</v>
      </c>
    </row>
    <row r="102" spans="2:25" x14ac:dyDescent="0.2">
      <c r="B102" s="331">
        <v>64</v>
      </c>
      <c r="C102" s="332" t="s">
        <v>152</v>
      </c>
      <c r="D102" s="333">
        <v>1</v>
      </c>
      <c r="E102" s="294"/>
      <c r="F102" s="274"/>
      <c r="H102" s="273">
        <v>89</v>
      </c>
      <c r="I102" s="257">
        <f ca="1"/>
        <v>1.4147328096627553E-4</v>
      </c>
      <c r="J102" s="257">
        <f ca="1"/>
        <v>4.895451387740609E-4</v>
      </c>
      <c r="K102" s="264">
        <f ca="1"/>
        <v>0.28898924687631206</v>
      </c>
      <c r="L102" s="264">
        <f ca="1"/>
        <v>0.28898924687631206</v>
      </c>
      <c r="M102" s="264">
        <f ca="1"/>
        <v>-1.1077608186835786E-4</v>
      </c>
      <c r="N102" s="265" t="str">
        <f ca="1"/>
        <v>RWE_MMR.EUR.SU</v>
      </c>
      <c r="P102" s="319" t="e">
        <f t="array" aca="1" ref="P102:T102" ca="1">IF(AND($Q$34,B104&lt;=$C$17,C104&lt;&gt;""),TRANSPOSE(INDEX(cds(C104,$C$6,$C$29,,$C$13,$C$14,,,,,TRUE,TRUE,FALSE,,"1m"),0,1)),"")</f>
        <v>#VALUE!</v>
      </c>
      <c r="Q102" s="320" t="e">
        <f ca="1"/>
        <v>#VALUE!</v>
      </c>
      <c r="R102" s="320" t="e">
        <f ca="1"/>
        <v>#VALUE!</v>
      </c>
      <c r="S102" s="321" t="e">
        <f ca="1"/>
        <v>#VALUE!</v>
      </c>
      <c r="T102" s="322" t="e">
        <f ca="1"/>
        <v>#VALUE!</v>
      </c>
      <c r="U102" s="323" t="e">
        <f t="shared" ca="1" si="5"/>
        <v>#VALUE!</v>
      </c>
      <c r="V102" s="324" t="e">
        <f t="shared" ca="1" si="6"/>
        <v>#VALUE!</v>
      </c>
      <c r="W102" s="323" t="e">
        <f t="shared" ca="1" si="7"/>
        <v>#VALUE!</v>
      </c>
      <c r="X102" s="325" t="e">
        <f t="shared" ca="1" si="8"/>
        <v>#VALUE!</v>
      </c>
      <c r="Y102" s="324" t="e">
        <f t="shared" ca="1" si="9"/>
        <v>#VALUE!</v>
      </c>
    </row>
    <row r="103" spans="2:25" x14ac:dyDescent="0.2">
      <c r="B103" s="331">
        <v>65</v>
      </c>
      <c r="C103" s="332" t="s">
        <v>153</v>
      </c>
      <c r="D103" s="333">
        <v>1</v>
      </c>
      <c r="E103" s="294"/>
      <c r="F103" s="274"/>
      <c r="H103" s="273">
        <v>90</v>
      </c>
      <c r="I103" s="257">
        <f ca="1"/>
        <v>5.0452464888288699E-4</v>
      </c>
      <c r="J103" s="257">
        <f ca="1"/>
        <v>1.2237104616899318E-3</v>
      </c>
      <c r="K103" s="264">
        <f ca="1"/>
        <v>0.41229086836942097</v>
      </c>
      <c r="L103" s="264">
        <f ca="1"/>
        <v>0.41229086836942097</v>
      </c>
      <c r="M103" s="264">
        <f ca="1"/>
        <v>-2.9015523704329916E-4</v>
      </c>
      <c r="N103" s="265" t="str">
        <f ca="1"/>
        <v>SAFEWAYPLC_MMR.EUR.SU</v>
      </c>
      <c r="P103" s="319" t="e">
        <f t="array" aca="1" ref="P103:T103" ca="1">IF(AND($Q$34,B105&lt;=$C$17,C105&lt;&gt;""),TRANSPOSE(INDEX(cds(C105,$C$6,$C$29,,$C$13,$C$14,,,,,TRUE,TRUE,FALSE,,"1m"),0,1)),"")</f>
        <v>#VALUE!</v>
      </c>
      <c r="Q103" s="320" t="e">
        <f ca="1"/>
        <v>#VALUE!</v>
      </c>
      <c r="R103" s="320" t="e">
        <f ca="1"/>
        <v>#VALUE!</v>
      </c>
      <c r="S103" s="321" t="e">
        <f ca="1"/>
        <v>#VALUE!</v>
      </c>
      <c r="T103" s="322" t="e">
        <f ca="1"/>
        <v>#VALUE!</v>
      </c>
      <c r="U103" s="323" t="e">
        <f t="shared" ca="1" si="5"/>
        <v>#VALUE!</v>
      </c>
      <c r="V103" s="324" t="e">
        <f t="shared" ca="1" si="6"/>
        <v>#VALUE!</v>
      </c>
      <c r="W103" s="323" t="e">
        <f t="shared" ca="1" si="7"/>
        <v>#VALUE!</v>
      </c>
      <c r="X103" s="325" t="e">
        <f t="shared" ca="1" si="8"/>
        <v>#VALUE!</v>
      </c>
      <c r="Y103" s="324" t="e">
        <f t="shared" ca="1" si="9"/>
        <v>#VALUE!</v>
      </c>
    </row>
    <row r="104" spans="2:25" x14ac:dyDescent="0.2">
      <c r="B104" s="331">
        <v>66</v>
      </c>
      <c r="C104" s="332" t="s">
        <v>154</v>
      </c>
      <c r="D104" s="333">
        <v>1</v>
      </c>
      <c r="E104" s="294"/>
      <c r="F104" s="274"/>
      <c r="H104" s="273">
        <v>91</v>
      </c>
      <c r="I104" s="257">
        <f ca="1"/>
        <v>1.3189685212720015E-4</v>
      </c>
      <c r="J104" s="257">
        <f ca="1"/>
        <v>4.665644208508644E-4</v>
      </c>
      <c r="K104" s="264">
        <f ca="1"/>
        <v>0.28269805032853224</v>
      </c>
      <c r="L104" s="264">
        <f ca="1"/>
        <v>0.28269805032853224</v>
      </c>
      <c r="M104" s="264">
        <f ca="1"/>
        <v>-1.0383409966208124E-4</v>
      </c>
      <c r="N104" s="265" t="str">
        <f ca="1"/>
        <v>SANOFIAVENTIS_MMR.EUR.SU</v>
      </c>
      <c r="P104" s="319">
        <f t="array" aca="1" ref="P104:T104" ca="1">IF(AND($Q$34,B106&lt;=$C$17,C106&lt;&gt;""),TRANSPOSE(INDEX(cds(C106,$C$6,$C$29,,$C$13,$C$14,,,,,TRUE,TRUE,FALSE,,"1m"),0,1)),"")</f>
        <v>0</v>
      </c>
      <c r="Q104" s="320">
        <f ca="1"/>
        <v>2.2988444312974837E-2</v>
      </c>
      <c r="R104" s="320">
        <f ca="1"/>
        <v>2.2988444312974837E-2</v>
      </c>
      <c r="S104" s="321">
        <f ca="1"/>
        <v>5.1006731901306794E-3</v>
      </c>
      <c r="T104" s="322">
        <f ca="1"/>
        <v>4.5069431928035115</v>
      </c>
      <c r="U104" s="323">
        <f t="shared" ca="1" si="5"/>
        <v>0.11636705157291649</v>
      </c>
      <c r="V104" s="324">
        <f t="shared" ca="1" si="6"/>
        <v>-2.6750974849490618E-3</v>
      </c>
      <c r="W104" s="323">
        <f t="shared" ca="1" si="7"/>
        <v>0.13528406714651811</v>
      </c>
      <c r="X104" s="325">
        <f t="shared" ca="1" si="8"/>
        <v>4.845639530624145E-3</v>
      </c>
      <c r="Y104" s="324">
        <f t="shared" ca="1" si="9"/>
        <v>-1.5549851220152431E-4</v>
      </c>
    </row>
    <row r="105" spans="2:25" x14ac:dyDescent="0.2">
      <c r="B105" s="331">
        <v>67</v>
      </c>
      <c r="C105" s="332" t="s">
        <v>155</v>
      </c>
      <c r="D105" s="333">
        <v>1</v>
      </c>
      <c r="E105" s="294"/>
      <c r="F105" s="274"/>
      <c r="H105" s="273">
        <v>92</v>
      </c>
      <c r="I105" s="257">
        <f ca="1"/>
        <v>1.3229253429145605E-4</v>
      </c>
      <c r="J105" s="257">
        <f ca="1"/>
        <v>4.6644632956289523E-4</v>
      </c>
      <c r="K105" s="264">
        <f ca="1"/>
        <v>0.28361791251616619</v>
      </c>
      <c r="L105" s="264">
        <f ca="1"/>
        <v>0.28361791251616619</v>
      </c>
      <c r="M105" s="264">
        <f ca="1"/>
        <v>-1.0439187079602785E-4</v>
      </c>
      <c r="N105" s="265" t="str">
        <f ca="1"/>
        <v>SIEMENS_MMR.EUR.SU</v>
      </c>
      <c r="P105" s="319" t="e">
        <f t="array" aca="1" ref="P105:T105" ca="1">IF(AND($Q$34,B107&lt;=$C$17,C107&lt;&gt;""),TRANSPOSE(INDEX(cds(C107,$C$6,$C$29,,$C$13,$C$14,,,,,TRUE,TRUE,FALSE,,"1m"),0,1)),"")</f>
        <v>#VALUE!</v>
      </c>
      <c r="Q105" s="320" t="e">
        <f ca="1"/>
        <v>#VALUE!</v>
      </c>
      <c r="R105" s="320" t="e">
        <f ca="1"/>
        <v>#VALUE!</v>
      </c>
      <c r="S105" s="321" t="e">
        <f ca="1"/>
        <v>#VALUE!</v>
      </c>
      <c r="T105" s="322" t="e">
        <f ca="1"/>
        <v>#VALUE!</v>
      </c>
      <c r="U105" s="323" t="e">
        <f t="shared" ca="1" si="5"/>
        <v>#VALUE!</v>
      </c>
      <c r="V105" s="324" t="e">
        <f t="shared" ca="1" si="6"/>
        <v>#VALUE!</v>
      </c>
      <c r="W105" s="323" t="e">
        <f t="shared" ca="1" si="7"/>
        <v>#VALUE!</v>
      </c>
      <c r="X105" s="325" t="e">
        <f t="shared" ca="1" si="8"/>
        <v>#VALUE!</v>
      </c>
      <c r="Y105" s="324" t="e">
        <f t="shared" ca="1" si="9"/>
        <v>#VALUE!</v>
      </c>
    </row>
    <row r="106" spans="2:25" x14ac:dyDescent="0.2">
      <c r="B106" s="331">
        <v>68</v>
      </c>
      <c r="C106" s="332" t="s">
        <v>156</v>
      </c>
      <c r="D106" s="333">
        <v>1</v>
      </c>
      <c r="E106" s="294"/>
      <c r="F106" s="274"/>
      <c r="H106" s="273">
        <v>93</v>
      </c>
      <c r="I106" s="257">
        <f ca="1"/>
        <v>2.166328512763327E-4</v>
      </c>
      <c r="J106" s="257">
        <f ca="1"/>
        <v>6.741814007742605E-4</v>
      </c>
      <c r="K106" s="264">
        <f ca="1"/>
        <v>0.32132724371740562</v>
      </c>
      <c r="L106" s="264">
        <f ca="1"/>
        <v>0.32132724371740562</v>
      </c>
      <c r="M106" s="264">
        <f ca="1"/>
        <v>-1.5847518337850364E-4</v>
      </c>
      <c r="N106" s="265" t="str">
        <f ca="1"/>
        <v>SODEXHOALLIANCE_MMR.EUR.SU</v>
      </c>
      <c r="P106" s="319" t="e">
        <f t="array" aca="1" ref="P106:T106" ca="1">IF(AND($Q$34,B108&lt;=$C$17,C108&lt;&gt;""),TRANSPOSE(INDEX(cds(C108,$C$6,$C$29,,$C$13,$C$14,,,,,TRUE,TRUE,FALSE,,"1m"),0,1)),"")</f>
        <v>#VALUE!</v>
      </c>
      <c r="Q106" s="320" t="e">
        <f ca="1"/>
        <v>#VALUE!</v>
      </c>
      <c r="R106" s="320" t="e">
        <f ca="1"/>
        <v>#VALUE!</v>
      </c>
      <c r="S106" s="321" t="e">
        <f ca="1"/>
        <v>#VALUE!</v>
      </c>
      <c r="T106" s="322" t="e">
        <f ca="1"/>
        <v>#VALUE!</v>
      </c>
      <c r="U106" s="323" t="e">
        <f t="shared" ca="1" si="5"/>
        <v>#VALUE!</v>
      </c>
      <c r="V106" s="324" t="e">
        <f t="shared" ca="1" si="6"/>
        <v>#VALUE!</v>
      </c>
      <c r="W106" s="323" t="e">
        <f t="shared" ca="1" si="7"/>
        <v>#VALUE!</v>
      </c>
      <c r="X106" s="325" t="e">
        <f t="shared" ca="1" si="8"/>
        <v>#VALUE!</v>
      </c>
      <c r="Y106" s="324" t="e">
        <f t="shared" ca="1" si="9"/>
        <v>#VALUE!</v>
      </c>
    </row>
    <row r="107" spans="2:25" x14ac:dyDescent="0.2">
      <c r="B107" s="331">
        <v>69</v>
      </c>
      <c r="C107" s="332" t="s">
        <v>157</v>
      </c>
      <c r="D107" s="333">
        <v>1</v>
      </c>
      <c r="E107" s="294"/>
      <c r="F107" s="274"/>
      <c r="H107" s="273">
        <v>94</v>
      </c>
      <c r="I107" s="257">
        <f ca="1"/>
        <v>1.4055151654064347E-4</v>
      </c>
      <c r="J107" s="257">
        <f ca="1"/>
        <v>4.897081579446677E-4</v>
      </c>
      <c r="K107" s="264">
        <f ca="1"/>
        <v>0.28701077215161369</v>
      </c>
      <c r="L107" s="264">
        <f ca="1"/>
        <v>0.28701077215161369</v>
      </c>
      <c r="M107" s="264">
        <f ca="1"/>
        <v>-1.099698603171495E-4</v>
      </c>
      <c r="N107" s="265" t="str">
        <f ca="1"/>
        <v>SOLVAY_MMR.EUR.SU</v>
      </c>
      <c r="P107" s="319" t="e">
        <f t="array" aca="1" ref="P107:T107" ca="1">IF(AND($Q$34,B109&lt;=$C$17,C109&lt;&gt;""),TRANSPOSE(INDEX(cds(C109,$C$6,$C$29,,$C$13,$C$14,,,,,TRUE,TRUE,FALSE,,"1m"),0,1)),"")</f>
        <v>#VALUE!</v>
      </c>
      <c r="Q107" s="320" t="e">
        <f ca="1"/>
        <v>#VALUE!</v>
      </c>
      <c r="R107" s="320" t="e">
        <f ca="1"/>
        <v>#VALUE!</v>
      </c>
      <c r="S107" s="321" t="e">
        <f ca="1"/>
        <v>#VALUE!</v>
      </c>
      <c r="T107" s="322" t="e">
        <f ca="1"/>
        <v>#VALUE!</v>
      </c>
      <c r="U107" s="323" t="e">
        <f t="shared" ca="1" si="5"/>
        <v>#VALUE!</v>
      </c>
      <c r="V107" s="324" t="e">
        <f t="shared" ca="1" si="6"/>
        <v>#VALUE!</v>
      </c>
      <c r="W107" s="323" t="e">
        <f t="shared" ca="1" si="7"/>
        <v>#VALUE!</v>
      </c>
      <c r="X107" s="325" t="e">
        <f t="shared" ca="1" si="8"/>
        <v>#VALUE!</v>
      </c>
      <c r="Y107" s="324" t="e">
        <f t="shared" ca="1" si="9"/>
        <v>#VALUE!</v>
      </c>
    </row>
    <row r="108" spans="2:25" x14ac:dyDescent="0.2">
      <c r="B108" s="331">
        <v>70</v>
      </c>
      <c r="C108" s="332" t="s">
        <v>158</v>
      </c>
      <c r="D108" s="333">
        <v>1</v>
      </c>
      <c r="E108" s="294"/>
      <c r="F108" s="274"/>
      <c r="H108" s="273">
        <v>95</v>
      </c>
      <c r="I108" s="257">
        <f ca="1"/>
        <v>3.7403733839656004E-4</v>
      </c>
      <c r="J108" s="257">
        <f ca="1"/>
        <v>9.9650922315888614E-4</v>
      </c>
      <c r="K108" s="264">
        <f ca="1"/>
        <v>0.375347593081858</v>
      </c>
      <c r="L108" s="264">
        <f ca="1"/>
        <v>0.375347593081858</v>
      </c>
      <c r="M108" s="264">
        <f ca="1"/>
        <v>-2.3584614138141279E-4</v>
      </c>
      <c r="N108" s="265" t="str">
        <f ca="1"/>
        <v>STGOBAIN_MMR.EUR.SU</v>
      </c>
      <c r="P108" s="319" t="e">
        <f t="array" aca="1" ref="P108:T108" ca="1">IF(AND($Q$34,B110&lt;=$C$17,C110&lt;&gt;""),TRANSPOSE(INDEX(cds(C110,$C$6,$C$29,,$C$13,$C$14,,,,,TRUE,TRUE,FALSE,,"1m"),0,1)),"")</f>
        <v>#VALUE!</v>
      </c>
      <c r="Q108" s="320" t="e">
        <f ca="1"/>
        <v>#VALUE!</v>
      </c>
      <c r="R108" s="320" t="e">
        <f ca="1"/>
        <v>#VALUE!</v>
      </c>
      <c r="S108" s="321" t="e">
        <f ca="1"/>
        <v>#VALUE!</v>
      </c>
      <c r="T108" s="322" t="e">
        <f ca="1"/>
        <v>#VALUE!</v>
      </c>
      <c r="U108" s="323" t="e">
        <f t="shared" ca="1" si="5"/>
        <v>#VALUE!</v>
      </c>
      <c r="V108" s="324" t="e">
        <f t="shared" ca="1" si="6"/>
        <v>#VALUE!</v>
      </c>
      <c r="W108" s="323" t="e">
        <f t="shared" ca="1" si="7"/>
        <v>#VALUE!</v>
      </c>
      <c r="X108" s="325" t="e">
        <f t="shared" ca="1" si="8"/>
        <v>#VALUE!</v>
      </c>
      <c r="Y108" s="324" t="e">
        <f t="shared" ca="1" si="9"/>
        <v>#VALUE!</v>
      </c>
    </row>
    <row r="109" spans="2:25" x14ac:dyDescent="0.2">
      <c r="B109" s="331">
        <v>71</v>
      </c>
      <c r="C109" s="332" t="s">
        <v>159</v>
      </c>
      <c r="D109" s="333">
        <v>1</v>
      </c>
      <c r="E109" s="294"/>
      <c r="F109" s="274"/>
      <c r="H109" s="273">
        <v>96</v>
      </c>
      <c r="I109" s="257">
        <f ca="1"/>
        <v>1.8620211709516888E-4</v>
      </c>
      <c r="J109" s="257">
        <f ca="1"/>
        <v>6.0549493858175923E-4</v>
      </c>
      <c r="K109" s="264">
        <f ca="1"/>
        <v>0.3075205178945129</v>
      </c>
      <c r="L109" s="264">
        <f ca="1"/>
        <v>0.3075205178945129</v>
      </c>
      <c r="M109" s="264">
        <f ca="1"/>
        <v>-1.3925071827622926E-4</v>
      </c>
      <c r="N109" s="265" t="str">
        <f ca="1"/>
        <v>STMICRO_MMR.EUR.SU</v>
      </c>
      <c r="P109" s="319" t="e">
        <f t="array" aca="1" ref="P109:T109" ca="1">IF(AND($Q$34,B111&lt;=$C$17,C111&lt;&gt;""),TRANSPOSE(INDEX(cds(C111,$C$6,$C$29,,$C$13,$C$14,,,,,TRUE,TRUE,FALSE,,"1m"),0,1)),"")</f>
        <v>#VALUE!</v>
      </c>
      <c r="Q109" s="320" t="e">
        <f ca="1"/>
        <v>#VALUE!</v>
      </c>
      <c r="R109" s="320" t="e">
        <f ca="1"/>
        <v>#VALUE!</v>
      </c>
      <c r="S109" s="321" t="e">
        <f ca="1"/>
        <v>#VALUE!</v>
      </c>
      <c r="T109" s="322" t="e">
        <f ca="1"/>
        <v>#VALUE!</v>
      </c>
      <c r="U109" s="323" t="e">
        <f t="shared" ca="1" si="5"/>
        <v>#VALUE!</v>
      </c>
      <c r="V109" s="324" t="e">
        <f t="shared" ca="1" si="6"/>
        <v>#VALUE!</v>
      </c>
      <c r="W109" s="323" t="e">
        <f t="shared" ca="1" si="7"/>
        <v>#VALUE!</v>
      </c>
      <c r="X109" s="325" t="e">
        <f t="shared" ca="1" si="8"/>
        <v>#VALUE!</v>
      </c>
      <c r="Y109" s="324" t="e">
        <f t="shared" ca="1" si="9"/>
        <v>#VALUE!</v>
      </c>
    </row>
    <row r="110" spans="2:25" x14ac:dyDescent="0.2">
      <c r="B110" s="331">
        <v>72</v>
      </c>
      <c r="C110" s="332" t="s">
        <v>160</v>
      </c>
      <c r="D110" s="333">
        <v>1</v>
      </c>
      <c r="E110" s="294"/>
      <c r="F110" s="274"/>
      <c r="H110" s="273">
        <v>97</v>
      </c>
      <c r="I110" s="257">
        <f ca="1"/>
        <v>4.4959729099145471E-4</v>
      </c>
      <c r="J110" s="257">
        <f ca="1"/>
        <v>1.1342203254434519E-3</v>
      </c>
      <c r="K110" s="264">
        <f ca="1"/>
        <v>0.39639325879270709</v>
      </c>
      <c r="L110" s="264">
        <f ca="1"/>
        <v>0.39639325879270709</v>
      </c>
      <c r="M110" s="264">
        <f ca="1"/>
        <v>-2.6798842560065149E-4</v>
      </c>
      <c r="N110" s="265" t="str">
        <f ca="1"/>
        <v>SUEDZUCKERAG_MMR.EUR.SU</v>
      </c>
      <c r="P110" s="319">
        <f t="array" aca="1" ref="P110:T110" ca="1">IF(AND($Q$34,B112&lt;=$C$17,C112&lt;&gt;""),TRANSPOSE(INDEX(cds(C112,$C$6,$C$29,,$C$13,$C$14,,,,,TRUE,TRUE,FALSE,,"1m"),0,1)),"")</f>
        <v>0</v>
      </c>
      <c r="Q110" s="320">
        <f ca="1"/>
        <v>1.8092501363652612E-2</v>
      </c>
      <c r="R110" s="320">
        <f ca="1"/>
        <v>1.8092501363652612E-2</v>
      </c>
      <c r="S110" s="321">
        <f ca="1"/>
        <v>4.0005261571860132E-3</v>
      </c>
      <c r="T110" s="322">
        <f ca="1"/>
        <v>4.5225304504392874</v>
      </c>
      <c r="U110" s="323">
        <f t="shared" ca="1" si="5"/>
        <v>0.11636705157291649</v>
      </c>
      <c r="V110" s="324">
        <f t="shared" ca="1" si="6"/>
        <v>-2.1053710392672257E-3</v>
      </c>
      <c r="W110" s="323">
        <f t="shared" ca="1" si="7"/>
        <v>0.12165160441790616</v>
      </c>
      <c r="X110" s="325">
        <f t="shared" ca="1" si="8"/>
        <v>3.8004998493267124E-3</v>
      </c>
      <c r="Y110" s="324">
        <f t="shared" ca="1" si="9"/>
        <v>-1.1004909094107486E-4</v>
      </c>
    </row>
    <row r="111" spans="2:25" x14ac:dyDescent="0.2">
      <c r="B111" s="331">
        <v>73</v>
      </c>
      <c r="C111" s="332" t="s">
        <v>161</v>
      </c>
      <c r="D111" s="333">
        <v>1</v>
      </c>
      <c r="E111" s="294"/>
      <c r="F111" s="274"/>
      <c r="H111" s="273">
        <v>98</v>
      </c>
      <c r="I111" s="257">
        <f ca="1"/>
        <v>1.7776163488230078E-4</v>
      </c>
      <c r="J111" s="257">
        <f ca="1"/>
        <v>5.8174093766559E-4</v>
      </c>
      <c r="K111" s="264">
        <f ca="1"/>
        <v>0.30556837824689226</v>
      </c>
      <c r="L111" s="264">
        <f ca="1"/>
        <v>0.30556837824689226</v>
      </c>
      <c r="M111" s="264">
        <f ca="1"/>
        <v>-1.3472052509029276E-4</v>
      </c>
      <c r="N111" s="265" t="str">
        <f ca="1"/>
        <v>SUEZLYONNAISE_MMR.EUR.SU</v>
      </c>
      <c r="P111" s="319">
        <f t="array" aca="1" ref="P111:T111" ca="1">IF(AND($Q$34,B113&lt;=$C$17,C113&lt;&gt;""),TRANSPOSE(INDEX(cds(C113,$C$6,$C$29,,$C$13,$C$14,,,,,TRUE,TRUE,FALSE,,"1m"),0,1)),"")</f>
        <v>0</v>
      </c>
      <c r="Q111" s="320">
        <f ca="1"/>
        <v>1.6707817006979448E-2</v>
      </c>
      <c r="R111" s="320">
        <f ca="1"/>
        <v>1.6707817006979448E-2</v>
      </c>
      <c r="S111" s="321">
        <f ca="1"/>
        <v>3.7001377011485139E-3</v>
      </c>
      <c r="T111" s="322">
        <f ca="1"/>
        <v>4.5154581684334021</v>
      </c>
      <c r="U111" s="323">
        <f t="shared" ca="1" si="5"/>
        <v>0.11636705157291649</v>
      </c>
      <c r="V111" s="324">
        <f t="shared" ca="1" si="6"/>
        <v>-1.9442394033220285E-3</v>
      </c>
      <c r="W111" s="323">
        <f t="shared" ca="1" si="7"/>
        <v>0.12141174089441281</v>
      </c>
      <c r="X111" s="325">
        <f t="shared" ca="1" si="8"/>
        <v>3.5151308160910879E-3</v>
      </c>
      <c r="Y111" s="324">
        <f t="shared" ca="1" si="9"/>
        <v>-1.0142625746813275E-4</v>
      </c>
    </row>
    <row r="112" spans="2:25" x14ac:dyDescent="0.2">
      <c r="B112" s="331">
        <v>74</v>
      </c>
      <c r="C112" s="332" t="s">
        <v>162</v>
      </c>
      <c r="D112" s="333">
        <v>1</v>
      </c>
      <c r="E112" s="294"/>
      <c r="F112" s="274"/>
      <c r="H112" s="273">
        <v>99</v>
      </c>
      <c r="I112" s="257">
        <f ca="1"/>
        <v>3.5969572108134339E-4</v>
      </c>
      <c r="J112" s="257">
        <f ca="1"/>
        <v>9.742892309604974E-4</v>
      </c>
      <c r="K112" s="264">
        <f ca="1"/>
        <v>0.36918782395525346</v>
      </c>
      <c r="L112" s="264">
        <f ca="1"/>
        <v>0.36918782395525346</v>
      </c>
      <c r="M112" s="264">
        <f ca="1"/>
        <v>-2.2925828847122353E-4</v>
      </c>
      <c r="N112" s="265" t="str">
        <f ca="1"/>
        <v>SVENSKACELLULOSAAB_MMR.EUR.SU</v>
      </c>
      <c r="P112" s="319" t="e">
        <f t="array" aca="1" ref="P112:T112" ca="1">IF(AND($Q$34,B114&lt;=$C$17,C114&lt;&gt;""),TRANSPOSE(INDEX(cds(C114,$C$6,$C$29,,$C$13,$C$14,,,,,TRUE,TRUE,FALSE,,"1m"),0,1)),"")</f>
        <v>#VALUE!</v>
      </c>
      <c r="Q112" s="320" t="e">
        <f ca="1"/>
        <v>#VALUE!</v>
      </c>
      <c r="R112" s="320" t="e">
        <f ca="1"/>
        <v>#VALUE!</v>
      </c>
      <c r="S112" s="321" t="e">
        <f ca="1"/>
        <v>#VALUE!</v>
      </c>
      <c r="T112" s="322" t="e">
        <f ca="1"/>
        <v>#VALUE!</v>
      </c>
      <c r="U112" s="323" t="e">
        <f t="shared" ca="1" si="5"/>
        <v>#VALUE!</v>
      </c>
      <c r="V112" s="324" t="e">
        <f t="shared" ca="1" si="6"/>
        <v>#VALUE!</v>
      </c>
      <c r="W112" s="323" t="e">
        <f t="shared" ca="1" si="7"/>
        <v>#VALUE!</v>
      </c>
      <c r="X112" s="325" t="e">
        <f t="shared" ca="1" si="8"/>
        <v>#VALUE!</v>
      </c>
      <c r="Y112" s="324" t="e">
        <f t="shared" ca="1" si="9"/>
        <v>#VALUE!</v>
      </c>
    </row>
    <row r="113" spans="2:25" x14ac:dyDescent="0.2">
      <c r="B113" s="331">
        <v>75</v>
      </c>
      <c r="C113" s="332" t="s">
        <v>163</v>
      </c>
      <c r="D113" s="333">
        <v>1</v>
      </c>
      <c r="E113" s="294"/>
      <c r="F113" s="274"/>
      <c r="H113" s="273">
        <v>100</v>
      </c>
      <c r="I113" s="257">
        <f ca="1"/>
        <v>2.6461374728286023E-4</v>
      </c>
      <c r="J113" s="257">
        <f ca="1"/>
        <v>7.6487646417043554E-4</v>
      </c>
      <c r="K113" s="264">
        <f ca="1"/>
        <v>0.34595618989251187</v>
      </c>
      <c r="L113" s="264">
        <f ca="1"/>
        <v>0.34595618989251187</v>
      </c>
      <c r="M113" s="264">
        <f ca="1"/>
        <v>-1.8380866256675343E-4</v>
      </c>
      <c r="N113" s="265" t="str">
        <f ca="1"/>
        <v>SWISSRE_MMR.EUR.SU</v>
      </c>
      <c r="P113" s="319" t="e">
        <f t="array" aca="1" ref="P113:T113" ca="1">IF(AND($Q$34,B115&lt;=$C$17,C115&lt;&gt;""),TRANSPOSE(INDEX(cds(C115,$C$6,$C$29,,$C$13,$C$14,,,,,TRUE,TRUE,FALSE,,"1m"),0,1)),"")</f>
        <v>#VALUE!</v>
      </c>
      <c r="Q113" s="320" t="e">
        <f ca="1"/>
        <v>#VALUE!</v>
      </c>
      <c r="R113" s="320" t="e">
        <f ca="1"/>
        <v>#VALUE!</v>
      </c>
      <c r="S113" s="321" t="e">
        <f ca="1"/>
        <v>#VALUE!</v>
      </c>
      <c r="T113" s="322" t="e">
        <f ca="1"/>
        <v>#VALUE!</v>
      </c>
      <c r="U113" s="323" t="e">
        <f t="shared" ca="1" si="5"/>
        <v>#VALUE!</v>
      </c>
      <c r="V113" s="324" t="e">
        <f t="shared" ca="1" si="6"/>
        <v>#VALUE!</v>
      </c>
      <c r="W113" s="323" t="e">
        <f t="shared" ca="1" si="7"/>
        <v>#VALUE!</v>
      </c>
      <c r="X113" s="325" t="e">
        <f t="shared" ca="1" si="8"/>
        <v>#VALUE!</v>
      </c>
      <c r="Y113" s="324" t="e">
        <f t="shared" ca="1" si="9"/>
        <v>#VALUE!</v>
      </c>
    </row>
    <row r="114" spans="2:25" x14ac:dyDescent="0.2">
      <c r="B114" s="331">
        <v>76</v>
      </c>
      <c r="C114" s="332" t="s">
        <v>164</v>
      </c>
      <c r="D114" s="333">
        <v>1</v>
      </c>
      <c r="E114" s="294"/>
      <c r="F114" s="274"/>
      <c r="H114" s="273">
        <v>101</v>
      </c>
      <c r="I114" s="257" t="e">
        <f ca="1"/>
        <v>#N/A</v>
      </c>
      <c r="J114" s="257" t="e">
        <f ca="1"/>
        <v>#N/A</v>
      </c>
      <c r="K114" s="264" t="e">
        <f ca="1"/>
        <v>#N/A</v>
      </c>
      <c r="L114" s="264" t="e">
        <f ca="1"/>
        <v>#N/A</v>
      </c>
      <c r="M114" s="264" t="e">
        <f ca="1"/>
        <v>#N/A</v>
      </c>
      <c r="N114" s="265" t="e">
        <f ca="1"/>
        <v>#N/A</v>
      </c>
      <c r="P114" s="319" t="e">
        <f t="array" aca="1" ref="P114:T114" ca="1">IF(AND($Q$34,B116&lt;=$C$17,C116&lt;&gt;""),TRANSPOSE(INDEX(cds(C116,$C$6,$C$29,,$C$13,$C$14,,,,,TRUE,TRUE,FALSE,,"1m"),0,1)),"")</f>
        <v>#VALUE!</v>
      </c>
      <c r="Q114" s="320" t="e">
        <f ca="1"/>
        <v>#VALUE!</v>
      </c>
      <c r="R114" s="320" t="e">
        <f ca="1"/>
        <v>#VALUE!</v>
      </c>
      <c r="S114" s="321" t="e">
        <f ca="1"/>
        <v>#VALUE!</v>
      </c>
      <c r="T114" s="322" t="e">
        <f ca="1"/>
        <v>#VALUE!</v>
      </c>
      <c r="U114" s="323" t="e">
        <f t="shared" ca="1" si="5"/>
        <v>#VALUE!</v>
      </c>
      <c r="V114" s="324" t="e">
        <f t="shared" ca="1" si="6"/>
        <v>#VALUE!</v>
      </c>
      <c r="W114" s="323" t="e">
        <f t="shared" ca="1" si="7"/>
        <v>#VALUE!</v>
      </c>
      <c r="X114" s="325" t="e">
        <f t="shared" ca="1" si="8"/>
        <v>#VALUE!</v>
      </c>
      <c r="Y114" s="324" t="e">
        <f t="shared" ca="1" si="9"/>
        <v>#VALUE!</v>
      </c>
    </row>
    <row r="115" spans="2:25" x14ac:dyDescent="0.2">
      <c r="B115" s="331">
        <v>77</v>
      </c>
      <c r="C115" s="332" t="s">
        <v>165</v>
      </c>
      <c r="D115" s="333">
        <v>1</v>
      </c>
      <c r="E115" s="294"/>
      <c r="F115" s="274"/>
      <c r="H115" s="273">
        <v>102</v>
      </c>
      <c r="I115" s="257" t="e">
        <f ca="1"/>
        <v>#N/A</v>
      </c>
      <c r="J115" s="257" t="e">
        <f ca="1"/>
        <v>#N/A</v>
      </c>
      <c r="K115" s="264" t="e">
        <f ca="1"/>
        <v>#N/A</v>
      </c>
      <c r="L115" s="264" t="e">
        <f ca="1"/>
        <v>#N/A</v>
      </c>
      <c r="M115" s="264" t="e">
        <f ca="1"/>
        <v>#N/A</v>
      </c>
      <c r="N115" s="265" t="e">
        <f ca="1"/>
        <v>#N/A</v>
      </c>
      <c r="P115" s="319" t="e">
        <f t="array" aca="1" ref="P115:T115" ca="1">IF(AND($Q$34,B117&lt;=$C$17,C117&lt;&gt;""),TRANSPOSE(INDEX(cds(C117,$C$6,$C$29,,$C$13,$C$14,,,,,TRUE,TRUE,FALSE,,"1m"),0,1)),"")</f>
        <v>#VALUE!</v>
      </c>
      <c r="Q115" s="320" t="e">
        <f ca="1"/>
        <v>#VALUE!</v>
      </c>
      <c r="R115" s="320" t="e">
        <f ca="1"/>
        <v>#VALUE!</v>
      </c>
      <c r="S115" s="321" t="e">
        <f ca="1"/>
        <v>#VALUE!</v>
      </c>
      <c r="T115" s="322" t="e">
        <f ca="1"/>
        <v>#VALUE!</v>
      </c>
      <c r="U115" s="323" t="e">
        <f t="shared" ca="1" si="5"/>
        <v>#VALUE!</v>
      </c>
      <c r="V115" s="324" t="e">
        <f t="shared" ca="1" si="6"/>
        <v>#VALUE!</v>
      </c>
      <c r="W115" s="323" t="e">
        <f t="shared" ca="1" si="7"/>
        <v>#VALUE!</v>
      </c>
      <c r="X115" s="325" t="e">
        <f t="shared" ca="1" si="8"/>
        <v>#VALUE!</v>
      </c>
      <c r="Y115" s="324" t="e">
        <f t="shared" ca="1" si="9"/>
        <v>#VALUE!</v>
      </c>
    </row>
    <row r="116" spans="2:25" x14ac:dyDescent="0.2">
      <c r="B116" s="331">
        <v>78</v>
      </c>
      <c r="C116" s="332" t="s">
        <v>166</v>
      </c>
      <c r="D116" s="333">
        <v>1</v>
      </c>
      <c r="E116" s="294"/>
      <c r="F116" s="274"/>
      <c r="H116" s="273">
        <v>103</v>
      </c>
      <c r="I116" s="257" t="e">
        <f ca="1"/>
        <v>#N/A</v>
      </c>
      <c r="J116" s="257" t="e">
        <f ca="1"/>
        <v>#N/A</v>
      </c>
      <c r="K116" s="264" t="e">
        <f ca="1"/>
        <v>#N/A</v>
      </c>
      <c r="L116" s="264" t="e">
        <f ca="1"/>
        <v>#N/A</v>
      </c>
      <c r="M116" s="264" t="e">
        <f ca="1"/>
        <v>#N/A</v>
      </c>
      <c r="N116" s="265" t="e">
        <f ca="1"/>
        <v>#N/A</v>
      </c>
      <c r="P116" s="319" t="e">
        <f t="array" aca="1" ref="P116:T116" ca="1">IF(AND($Q$34,B118&lt;=$C$17,C118&lt;&gt;""),TRANSPOSE(INDEX(cds(C118,$C$6,$C$29,,$C$13,$C$14,,,,,TRUE,TRUE,FALSE,,"1m"),0,1)),"")</f>
        <v>#VALUE!</v>
      </c>
      <c r="Q116" s="320" t="e">
        <f ca="1"/>
        <v>#VALUE!</v>
      </c>
      <c r="R116" s="320" t="e">
        <f ca="1"/>
        <v>#VALUE!</v>
      </c>
      <c r="S116" s="321" t="e">
        <f ca="1"/>
        <v>#VALUE!</v>
      </c>
      <c r="T116" s="322" t="e">
        <f ca="1"/>
        <v>#VALUE!</v>
      </c>
      <c r="U116" s="323" t="e">
        <f t="shared" ca="1" si="5"/>
        <v>#VALUE!</v>
      </c>
      <c r="V116" s="324" t="e">
        <f t="shared" ca="1" si="6"/>
        <v>#VALUE!</v>
      </c>
      <c r="W116" s="323" t="e">
        <f t="shared" ca="1" si="7"/>
        <v>#VALUE!</v>
      </c>
      <c r="X116" s="325" t="e">
        <f t="shared" ca="1" si="8"/>
        <v>#VALUE!</v>
      </c>
      <c r="Y116" s="324" t="e">
        <f t="shared" ca="1" si="9"/>
        <v>#VALUE!</v>
      </c>
    </row>
    <row r="117" spans="2:25" x14ac:dyDescent="0.2">
      <c r="B117" s="331">
        <v>79</v>
      </c>
      <c r="C117" s="332" t="s">
        <v>167</v>
      </c>
      <c r="D117" s="333">
        <v>1</v>
      </c>
      <c r="E117" s="294"/>
      <c r="F117" s="274"/>
      <c r="H117" s="273">
        <v>104</v>
      </c>
      <c r="I117" s="257" t="e">
        <f ca="1"/>
        <v>#N/A</v>
      </c>
      <c r="J117" s="257" t="e">
        <f ca="1"/>
        <v>#N/A</v>
      </c>
      <c r="K117" s="264" t="e">
        <f ca="1"/>
        <v>#N/A</v>
      </c>
      <c r="L117" s="264" t="e">
        <f ca="1"/>
        <v>#N/A</v>
      </c>
      <c r="M117" s="264" t="e">
        <f ca="1"/>
        <v>#N/A</v>
      </c>
      <c r="N117" s="265" t="e">
        <f ca="1"/>
        <v>#N/A</v>
      </c>
      <c r="P117" s="319" t="e">
        <f t="array" aca="1" ref="P117:T117" ca="1">IF(AND($Q$34,B119&lt;=$C$17,C119&lt;&gt;""),TRANSPOSE(INDEX(cds(C119,$C$6,$C$29,,$C$13,$C$14,,,,,TRUE,TRUE,FALSE,,"1m"),0,1)),"")</f>
        <v>#VALUE!</v>
      </c>
      <c r="Q117" s="320" t="e">
        <f ca="1"/>
        <v>#VALUE!</v>
      </c>
      <c r="R117" s="320" t="e">
        <f ca="1"/>
        <v>#VALUE!</v>
      </c>
      <c r="S117" s="321" t="e">
        <f ca="1"/>
        <v>#VALUE!</v>
      </c>
      <c r="T117" s="322" t="e">
        <f ca="1"/>
        <v>#VALUE!</v>
      </c>
      <c r="U117" s="323" t="e">
        <f t="shared" ca="1" si="5"/>
        <v>#VALUE!</v>
      </c>
      <c r="V117" s="324" t="e">
        <f t="shared" ca="1" si="6"/>
        <v>#VALUE!</v>
      </c>
      <c r="W117" s="323" t="e">
        <f t="shared" ca="1" si="7"/>
        <v>#VALUE!</v>
      </c>
      <c r="X117" s="325" t="e">
        <f t="shared" ca="1" si="8"/>
        <v>#VALUE!</v>
      </c>
      <c r="Y117" s="324" t="e">
        <f t="shared" ca="1" si="9"/>
        <v>#VALUE!</v>
      </c>
    </row>
    <row r="118" spans="2:25" x14ac:dyDescent="0.2">
      <c r="B118" s="331">
        <v>80</v>
      </c>
      <c r="C118" s="332" t="s">
        <v>168</v>
      </c>
      <c r="D118" s="333">
        <v>1</v>
      </c>
      <c r="E118" s="294"/>
      <c r="F118" s="274"/>
      <c r="H118" s="273">
        <v>105</v>
      </c>
      <c r="I118" s="257" t="e">
        <f ca="1"/>
        <v>#N/A</v>
      </c>
      <c r="J118" s="257" t="e">
        <f ca="1"/>
        <v>#N/A</v>
      </c>
      <c r="K118" s="264" t="e">
        <f ca="1"/>
        <v>#N/A</v>
      </c>
      <c r="L118" s="264" t="e">
        <f ca="1"/>
        <v>#N/A</v>
      </c>
      <c r="M118" s="264" t="e">
        <f ca="1"/>
        <v>#N/A</v>
      </c>
      <c r="N118" s="265" t="e">
        <f ca="1"/>
        <v>#N/A</v>
      </c>
      <c r="P118" s="319" t="e">
        <f t="array" aca="1" ref="P118:T118" ca="1">IF(AND($Q$34,B120&lt;=$C$17,C120&lt;&gt;""),TRANSPOSE(INDEX(cds(C120,$C$6,$C$29,,$C$13,$C$14,,,,,TRUE,TRUE,FALSE,,"1m"),0,1)),"")</f>
        <v>#VALUE!</v>
      </c>
      <c r="Q118" s="320" t="e">
        <f ca="1"/>
        <v>#VALUE!</v>
      </c>
      <c r="R118" s="320" t="e">
        <f ca="1"/>
        <v>#VALUE!</v>
      </c>
      <c r="S118" s="321" t="e">
        <f ca="1"/>
        <v>#VALUE!</v>
      </c>
      <c r="T118" s="322" t="e">
        <f ca="1"/>
        <v>#VALUE!</v>
      </c>
      <c r="U118" s="323" t="e">
        <f t="shared" ca="1" si="5"/>
        <v>#VALUE!</v>
      </c>
      <c r="V118" s="324" t="e">
        <f t="shared" ca="1" si="6"/>
        <v>#VALUE!</v>
      </c>
      <c r="W118" s="323" t="e">
        <f t="shared" ca="1" si="7"/>
        <v>#VALUE!</v>
      </c>
      <c r="X118" s="325" t="e">
        <f t="shared" ca="1" si="8"/>
        <v>#VALUE!</v>
      </c>
      <c r="Y118" s="324" t="e">
        <f t="shared" ca="1" si="9"/>
        <v>#VALUE!</v>
      </c>
    </row>
    <row r="119" spans="2:25" x14ac:dyDescent="0.2">
      <c r="B119" s="331">
        <v>81</v>
      </c>
      <c r="C119" s="332" t="s">
        <v>169</v>
      </c>
      <c r="D119" s="333">
        <v>1</v>
      </c>
      <c r="E119" s="294"/>
      <c r="F119" s="274"/>
      <c r="H119" s="273">
        <v>106</v>
      </c>
      <c r="I119" s="257" t="e">
        <f ca="1"/>
        <v>#N/A</v>
      </c>
      <c r="J119" s="257" t="e">
        <f ca="1"/>
        <v>#N/A</v>
      </c>
      <c r="K119" s="264" t="e">
        <f ca="1"/>
        <v>#N/A</v>
      </c>
      <c r="L119" s="264" t="e">
        <f ca="1"/>
        <v>#N/A</v>
      </c>
      <c r="M119" s="264" t="e">
        <f ca="1"/>
        <v>#N/A</v>
      </c>
      <c r="N119" s="265" t="e">
        <f ca="1"/>
        <v>#N/A</v>
      </c>
      <c r="P119" s="319" t="e">
        <f t="array" aca="1" ref="P119:T119" ca="1">IF(AND($Q$34,B121&lt;=$C$17,C121&lt;&gt;""),TRANSPOSE(INDEX(cds(C121,$C$6,$C$29,,$C$13,$C$14,,,,,TRUE,TRUE,FALSE,,"1m"),0,1)),"")</f>
        <v>#VALUE!</v>
      </c>
      <c r="Q119" s="320" t="e">
        <f ca="1"/>
        <v>#VALUE!</v>
      </c>
      <c r="R119" s="320" t="e">
        <f ca="1"/>
        <v>#VALUE!</v>
      </c>
      <c r="S119" s="321" t="e">
        <f ca="1"/>
        <v>#VALUE!</v>
      </c>
      <c r="T119" s="322" t="e">
        <f ca="1"/>
        <v>#VALUE!</v>
      </c>
      <c r="U119" s="323" t="e">
        <f t="shared" ca="1" si="5"/>
        <v>#VALUE!</v>
      </c>
      <c r="V119" s="324" t="e">
        <f t="shared" ca="1" si="6"/>
        <v>#VALUE!</v>
      </c>
      <c r="W119" s="323" t="e">
        <f t="shared" ca="1" si="7"/>
        <v>#VALUE!</v>
      </c>
      <c r="X119" s="325" t="e">
        <f t="shared" ca="1" si="8"/>
        <v>#VALUE!</v>
      </c>
      <c r="Y119" s="324" t="e">
        <f t="shared" ca="1" si="9"/>
        <v>#VALUE!</v>
      </c>
    </row>
    <row r="120" spans="2:25" x14ac:dyDescent="0.2">
      <c r="B120" s="331">
        <v>82</v>
      </c>
      <c r="C120" s="332" t="s">
        <v>170</v>
      </c>
      <c r="D120" s="333">
        <v>1</v>
      </c>
      <c r="E120" s="294"/>
      <c r="F120" s="274"/>
      <c r="H120" s="273">
        <v>107</v>
      </c>
      <c r="I120" s="257" t="e">
        <f ca="1"/>
        <v>#N/A</v>
      </c>
      <c r="J120" s="257" t="e">
        <f ca="1"/>
        <v>#N/A</v>
      </c>
      <c r="K120" s="264" t="e">
        <f ca="1"/>
        <v>#N/A</v>
      </c>
      <c r="L120" s="264" t="e">
        <f ca="1"/>
        <v>#N/A</v>
      </c>
      <c r="M120" s="264" t="e">
        <f ca="1"/>
        <v>#N/A</v>
      </c>
      <c r="N120" s="265" t="e">
        <f ca="1"/>
        <v>#N/A</v>
      </c>
      <c r="P120" s="319" t="e">
        <f t="array" aca="1" ref="P120:T120" ca="1">IF(AND($Q$34,B122&lt;=$C$17,C122&lt;&gt;""),TRANSPOSE(INDEX(cds(C122,$C$6,$C$29,,$C$13,$C$14,,,,,TRUE,TRUE,FALSE,,"1m"),0,1)),"")</f>
        <v>#VALUE!</v>
      </c>
      <c r="Q120" s="320" t="e">
        <f ca="1"/>
        <v>#VALUE!</v>
      </c>
      <c r="R120" s="320" t="e">
        <f ca="1"/>
        <v>#VALUE!</v>
      </c>
      <c r="S120" s="321" t="e">
        <f ca="1"/>
        <v>#VALUE!</v>
      </c>
      <c r="T120" s="322" t="e">
        <f ca="1"/>
        <v>#VALUE!</v>
      </c>
      <c r="U120" s="323" t="e">
        <f t="shared" ca="1" si="5"/>
        <v>#VALUE!</v>
      </c>
      <c r="V120" s="324" t="e">
        <f t="shared" ca="1" si="6"/>
        <v>#VALUE!</v>
      </c>
      <c r="W120" s="323" t="e">
        <f t="shared" ca="1" si="7"/>
        <v>#VALUE!</v>
      </c>
      <c r="X120" s="325" t="e">
        <f t="shared" ca="1" si="8"/>
        <v>#VALUE!</v>
      </c>
      <c r="Y120" s="324" t="e">
        <f t="shared" ca="1" si="9"/>
        <v>#VALUE!</v>
      </c>
    </row>
    <row r="121" spans="2:25" x14ac:dyDescent="0.2">
      <c r="B121" s="331">
        <v>83</v>
      </c>
      <c r="C121" s="332" t="s">
        <v>171</v>
      </c>
      <c r="D121" s="333">
        <v>1</v>
      </c>
      <c r="E121" s="294"/>
      <c r="F121" s="274"/>
      <c r="H121" s="273">
        <v>108</v>
      </c>
      <c r="I121" s="257" t="e">
        <f ca="1"/>
        <v>#N/A</v>
      </c>
      <c r="J121" s="257" t="e">
        <f ca="1"/>
        <v>#N/A</v>
      </c>
      <c r="K121" s="264" t="e">
        <f ca="1"/>
        <v>#N/A</v>
      </c>
      <c r="L121" s="264" t="e">
        <f ca="1"/>
        <v>#N/A</v>
      </c>
      <c r="M121" s="264" t="e">
        <f ca="1"/>
        <v>#N/A</v>
      </c>
      <c r="N121" s="265" t="e">
        <f ca="1"/>
        <v>#N/A</v>
      </c>
      <c r="P121" s="319">
        <f t="array" aca="1" ref="P121:T121" ca="1">IF(AND($Q$34,B123&lt;=$C$17,C123&lt;&gt;""),TRANSPOSE(INDEX(cds(C123,$C$6,$C$29,,$C$13,$C$14,,,,,TRUE,TRUE,FALSE,,"1m"),0,1)),"")</f>
        <v>0</v>
      </c>
      <c r="Q121" s="320">
        <f ca="1"/>
        <v>1.6751679696970598E-2</v>
      </c>
      <c r="R121" s="320">
        <f ca="1"/>
        <v>1.6751679696970598E-2</v>
      </c>
      <c r="S121" s="321">
        <f ca="1"/>
        <v>3.7004858398765519E-3</v>
      </c>
      <c r="T121" s="322">
        <f ca="1"/>
        <v>4.5268865824195217</v>
      </c>
      <c r="U121" s="323">
        <f t="shared" ca="1" si="5"/>
        <v>0.11636705157291649</v>
      </c>
      <c r="V121" s="324">
        <f t="shared" ca="1" si="6"/>
        <v>-1.9493435752303556E-3</v>
      </c>
      <c r="W121" s="323">
        <f t="shared" ca="1" si="7"/>
        <v>0.11758965448861421</v>
      </c>
      <c r="X121" s="325">
        <f t="shared" ca="1" si="8"/>
        <v>3.5154615478827241E-3</v>
      </c>
      <c r="Y121" s="324">
        <f t="shared" ca="1" si="9"/>
        <v>-9.8491211383535394E-5</v>
      </c>
    </row>
    <row r="122" spans="2:25" x14ac:dyDescent="0.2">
      <c r="B122" s="331">
        <v>84</v>
      </c>
      <c r="C122" s="332" t="s">
        <v>172</v>
      </c>
      <c r="D122" s="333">
        <v>1</v>
      </c>
      <c r="E122" s="294"/>
      <c r="F122" s="274"/>
      <c r="H122" s="273">
        <v>109</v>
      </c>
      <c r="I122" s="257" t="e">
        <f ca="1"/>
        <v>#N/A</v>
      </c>
      <c r="J122" s="257" t="e">
        <f ca="1"/>
        <v>#N/A</v>
      </c>
      <c r="K122" s="264" t="e">
        <f ca="1"/>
        <v>#N/A</v>
      </c>
      <c r="L122" s="264" t="e">
        <f ca="1"/>
        <v>#N/A</v>
      </c>
      <c r="M122" s="264" t="e">
        <f ca="1"/>
        <v>#N/A</v>
      </c>
      <c r="N122" s="265" t="e">
        <f ca="1"/>
        <v>#N/A</v>
      </c>
      <c r="P122" s="319" t="e">
        <f t="array" aca="1" ref="P122:T122" ca="1">IF(AND($Q$34,B124&lt;=$C$17,C124&lt;&gt;""),TRANSPOSE(INDEX(cds(C124,$C$6,$C$29,,$C$13,$C$14,,,,,TRUE,TRUE,FALSE,,"1m"),0,1)),"")</f>
        <v>#VALUE!</v>
      </c>
      <c r="Q122" s="320" t="e">
        <f ca="1"/>
        <v>#VALUE!</v>
      </c>
      <c r="R122" s="320" t="e">
        <f ca="1"/>
        <v>#VALUE!</v>
      </c>
      <c r="S122" s="321" t="e">
        <f ca="1"/>
        <v>#VALUE!</v>
      </c>
      <c r="T122" s="322" t="e">
        <f ca="1"/>
        <v>#VALUE!</v>
      </c>
      <c r="U122" s="323" t="e">
        <f t="shared" ca="1" si="5"/>
        <v>#VALUE!</v>
      </c>
      <c r="V122" s="324" t="e">
        <f t="shared" ca="1" si="6"/>
        <v>#VALUE!</v>
      </c>
      <c r="W122" s="323" t="e">
        <f t="shared" ca="1" si="7"/>
        <v>#VALUE!</v>
      </c>
      <c r="X122" s="325" t="e">
        <f t="shared" ca="1" si="8"/>
        <v>#VALUE!</v>
      </c>
      <c r="Y122" s="324" t="e">
        <f t="shared" ca="1" si="9"/>
        <v>#VALUE!</v>
      </c>
    </row>
    <row r="123" spans="2:25" x14ac:dyDescent="0.2">
      <c r="B123" s="331">
        <v>85</v>
      </c>
      <c r="C123" s="332" t="s">
        <v>173</v>
      </c>
      <c r="D123" s="333">
        <v>1</v>
      </c>
      <c r="E123" s="294"/>
      <c r="F123" s="274"/>
      <c r="H123" s="273">
        <v>110</v>
      </c>
      <c r="I123" s="257" t="e">
        <f ca="1"/>
        <v>#N/A</v>
      </c>
      <c r="J123" s="257" t="e">
        <f ca="1"/>
        <v>#N/A</v>
      </c>
      <c r="K123" s="264" t="e">
        <f ca="1"/>
        <v>#N/A</v>
      </c>
      <c r="L123" s="264" t="e">
        <f ca="1"/>
        <v>#N/A</v>
      </c>
      <c r="M123" s="264" t="e">
        <f ca="1"/>
        <v>#N/A</v>
      </c>
      <c r="N123" s="265" t="e">
        <f ca="1"/>
        <v>#N/A</v>
      </c>
      <c r="P123" s="319" t="e">
        <f t="array" aca="1" ref="P123:T123" ca="1">IF(AND($Q$34,B125&lt;=$C$17,C125&lt;&gt;""),TRANSPOSE(INDEX(cds(C125,$C$6,$C$29,,$C$13,$C$14,,,,,TRUE,TRUE,FALSE,,"1m"),0,1)),"")</f>
        <v>#VALUE!</v>
      </c>
      <c r="Q123" s="320" t="e">
        <f ca="1"/>
        <v>#VALUE!</v>
      </c>
      <c r="R123" s="320" t="e">
        <f ca="1"/>
        <v>#VALUE!</v>
      </c>
      <c r="S123" s="321" t="e">
        <f ca="1"/>
        <v>#VALUE!</v>
      </c>
      <c r="T123" s="322" t="e">
        <f ca="1"/>
        <v>#VALUE!</v>
      </c>
      <c r="U123" s="323" t="e">
        <f t="shared" ca="1" si="5"/>
        <v>#VALUE!</v>
      </c>
      <c r="V123" s="324" t="e">
        <f t="shared" ca="1" si="6"/>
        <v>#VALUE!</v>
      </c>
      <c r="W123" s="323" t="e">
        <f t="shared" ca="1" si="7"/>
        <v>#VALUE!</v>
      </c>
      <c r="X123" s="325" t="e">
        <f t="shared" ca="1" si="8"/>
        <v>#VALUE!</v>
      </c>
      <c r="Y123" s="324" t="e">
        <f t="shared" ca="1" si="9"/>
        <v>#VALUE!</v>
      </c>
    </row>
    <row r="124" spans="2:25" x14ac:dyDescent="0.2">
      <c r="B124" s="331">
        <v>86</v>
      </c>
      <c r="C124" s="332" t="s">
        <v>174</v>
      </c>
      <c r="D124" s="333">
        <v>1</v>
      </c>
      <c r="E124" s="294"/>
      <c r="F124" s="274"/>
      <c r="H124" s="273">
        <v>111</v>
      </c>
      <c r="I124" s="257" t="e">
        <f ca="1"/>
        <v>#N/A</v>
      </c>
      <c r="J124" s="257" t="e">
        <f ca="1"/>
        <v>#N/A</v>
      </c>
      <c r="K124" s="264" t="e">
        <f ca="1"/>
        <v>#N/A</v>
      </c>
      <c r="L124" s="264" t="e">
        <f ca="1"/>
        <v>#N/A</v>
      </c>
      <c r="M124" s="264" t="e">
        <f ca="1"/>
        <v>#N/A</v>
      </c>
      <c r="N124" s="265" t="e">
        <f ca="1"/>
        <v>#N/A</v>
      </c>
      <c r="P124" s="319" t="e">
        <f t="array" aca="1" ref="P124:T124" ca="1">IF(AND($Q$34,B126&lt;=$C$17,C126&lt;&gt;""),TRANSPOSE(INDEX(cds(C126,$C$6,$C$29,,$C$13,$C$14,,,,,TRUE,TRUE,FALSE,,"1m"),0,1)),"")</f>
        <v>#VALUE!</v>
      </c>
      <c r="Q124" s="320" t="e">
        <f ca="1"/>
        <v>#VALUE!</v>
      </c>
      <c r="R124" s="320" t="e">
        <f ca="1"/>
        <v>#VALUE!</v>
      </c>
      <c r="S124" s="321" t="e">
        <f ca="1"/>
        <v>#VALUE!</v>
      </c>
      <c r="T124" s="322" t="e">
        <f ca="1"/>
        <v>#VALUE!</v>
      </c>
      <c r="U124" s="323" t="e">
        <f t="shared" ca="1" si="5"/>
        <v>#VALUE!</v>
      </c>
      <c r="V124" s="324" t="e">
        <f t="shared" ca="1" si="6"/>
        <v>#VALUE!</v>
      </c>
      <c r="W124" s="323" t="e">
        <f t="shared" ca="1" si="7"/>
        <v>#VALUE!</v>
      </c>
      <c r="X124" s="325" t="e">
        <f t="shared" ca="1" si="8"/>
        <v>#VALUE!</v>
      </c>
      <c r="Y124" s="324" t="e">
        <f t="shared" ca="1" si="9"/>
        <v>#VALUE!</v>
      </c>
    </row>
    <row r="125" spans="2:25" x14ac:dyDescent="0.2">
      <c r="B125" s="331">
        <v>87</v>
      </c>
      <c r="C125" s="332" t="s">
        <v>175</v>
      </c>
      <c r="D125" s="333">
        <v>1</v>
      </c>
      <c r="E125" s="294"/>
      <c r="F125" s="274"/>
      <c r="H125" s="273">
        <v>112</v>
      </c>
      <c r="I125" s="257" t="e">
        <f ca="1"/>
        <v>#N/A</v>
      </c>
      <c r="J125" s="257" t="e">
        <f ca="1"/>
        <v>#N/A</v>
      </c>
      <c r="K125" s="264" t="e">
        <f ca="1"/>
        <v>#N/A</v>
      </c>
      <c r="L125" s="264" t="e">
        <f ca="1"/>
        <v>#N/A</v>
      </c>
      <c r="M125" s="264" t="e">
        <f ca="1"/>
        <v>#N/A</v>
      </c>
      <c r="N125" s="265" t="e">
        <f ca="1"/>
        <v>#N/A</v>
      </c>
      <c r="P125" s="319" t="e">
        <f t="array" aca="1" ref="P125:T125" ca="1">IF(AND($Q$34,B127&lt;=$C$17,C127&lt;&gt;""),TRANSPOSE(INDEX(cds(C127,$C$6,$C$29,,$C$13,$C$14,,,,,TRUE,TRUE,FALSE,,"1m"),0,1)),"")</f>
        <v>#VALUE!</v>
      </c>
      <c r="Q125" s="320" t="e">
        <f ca="1"/>
        <v>#VALUE!</v>
      </c>
      <c r="R125" s="320" t="e">
        <f ca="1"/>
        <v>#VALUE!</v>
      </c>
      <c r="S125" s="321" t="e">
        <f ca="1"/>
        <v>#VALUE!</v>
      </c>
      <c r="T125" s="322" t="e">
        <f ca="1"/>
        <v>#VALUE!</v>
      </c>
      <c r="U125" s="323" t="e">
        <f t="shared" ca="1" si="5"/>
        <v>#VALUE!</v>
      </c>
      <c r="V125" s="324" t="e">
        <f t="shared" ca="1" si="6"/>
        <v>#VALUE!</v>
      </c>
      <c r="W125" s="323" t="e">
        <f t="shared" ca="1" si="7"/>
        <v>#VALUE!</v>
      </c>
      <c r="X125" s="325" t="e">
        <f t="shared" ca="1" si="8"/>
        <v>#VALUE!</v>
      </c>
      <c r="Y125" s="324" t="e">
        <f t="shared" ca="1" si="9"/>
        <v>#VALUE!</v>
      </c>
    </row>
    <row r="126" spans="2:25" x14ac:dyDescent="0.2">
      <c r="B126" s="331">
        <v>88</v>
      </c>
      <c r="C126" s="332" t="s">
        <v>176</v>
      </c>
      <c r="D126" s="333">
        <v>1</v>
      </c>
      <c r="E126" s="294"/>
      <c r="F126" s="274"/>
      <c r="H126" s="273">
        <v>113</v>
      </c>
      <c r="I126" s="257" t="e">
        <f ca="1"/>
        <v>#N/A</v>
      </c>
      <c r="J126" s="257" t="e">
        <f ca="1"/>
        <v>#N/A</v>
      </c>
      <c r="K126" s="264" t="e">
        <f ca="1"/>
        <v>#N/A</v>
      </c>
      <c r="L126" s="264" t="e">
        <f ca="1"/>
        <v>#N/A</v>
      </c>
      <c r="M126" s="264" t="e">
        <f ca="1"/>
        <v>#N/A</v>
      </c>
      <c r="N126" s="265" t="e">
        <f ca="1"/>
        <v>#N/A</v>
      </c>
      <c r="P126" s="319" t="e">
        <f t="array" aca="1" ref="P126:T126" ca="1">IF(AND($Q$34,B128&lt;=$C$17,C128&lt;&gt;""),TRANSPOSE(INDEX(cds(C128,$C$6,$C$29,,$C$13,$C$14,,,,,TRUE,TRUE,FALSE,,"1m"),0,1)),"")</f>
        <v>#VALUE!</v>
      </c>
      <c r="Q126" s="320" t="e">
        <f ca="1"/>
        <v>#VALUE!</v>
      </c>
      <c r="R126" s="320" t="e">
        <f ca="1"/>
        <v>#VALUE!</v>
      </c>
      <c r="S126" s="321" t="e">
        <f ca="1"/>
        <v>#VALUE!</v>
      </c>
      <c r="T126" s="322" t="e">
        <f ca="1"/>
        <v>#VALUE!</v>
      </c>
      <c r="U126" s="323" t="e">
        <f t="shared" ca="1" si="5"/>
        <v>#VALUE!</v>
      </c>
      <c r="V126" s="324" t="e">
        <f t="shared" ca="1" si="6"/>
        <v>#VALUE!</v>
      </c>
      <c r="W126" s="323" t="e">
        <f t="shared" ca="1" si="7"/>
        <v>#VALUE!</v>
      </c>
      <c r="X126" s="325" t="e">
        <f t="shared" ca="1" si="8"/>
        <v>#VALUE!</v>
      </c>
      <c r="Y126" s="324" t="e">
        <f t="shared" ca="1" si="9"/>
        <v>#VALUE!</v>
      </c>
    </row>
    <row r="127" spans="2:25" x14ac:dyDescent="0.2">
      <c r="B127" s="331">
        <v>89</v>
      </c>
      <c r="C127" s="332" t="s">
        <v>177</v>
      </c>
      <c r="D127" s="333">
        <v>1</v>
      </c>
      <c r="E127" s="294"/>
      <c r="F127" s="274"/>
      <c r="H127" s="273">
        <v>114</v>
      </c>
      <c r="I127" s="257" t="e">
        <f ca="1"/>
        <v>#N/A</v>
      </c>
      <c r="J127" s="257" t="e">
        <f ca="1"/>
        <v>#N/A</v>
      </c>
      <c r="K127" s="264" t="e">
        <f ca="1"/>
        <v>#N/A</v>
      </c>
      <c r="L127" s="264" t="e">
        <f ca="1"/>
        <v>#N/A</v>
      </c>
      <c r="M127" s="264" t="e">
        <f ca="1"/>
        <v>#N/A</v>
      </c>
      <c r="N127" s="265" t="e">
        <f ca="1"/>
        <v>#N/A</v>
      </c>
      <c r="P127" s="319" t="e">
        <f t="array" aca="1" ref="P127:T127" ca="1">IF(AND($Q$34,B129&lt;=$C$17,C129&lt;&gt;""),TRANSPOSE(INDEX(cds(C129,$C$6,$C$29,,$C$13,$C$14,,,,,TRUE,TRUE,FALSE,,"1m"),0,1)),"")</f>
        <v>#VALUE!</v>
      </c>
      <c r="Q127" s="320" t="e">
        <f ca="1"/>
        <v>#VALUE!</v>
      </c>
      <c r="R127" s="320" t="e">
        <f ca="1"/>
        <v>#VALUE!</v>
      </c>
      <c r="S127" s="321" t="e">
        <f ca="1"/>
        <v>#VALUE!</v>
      </c>
      <c r="T127" s="322" t="e">
        <f ca="1"/>
        <v>#VALUE!</v>
      </c>
      <c r="U127" s="323" t="e">
        <f t="shared" ca="1" si="5"/>
        <v>#VALUE!</v>
      </c>
      <c r="V127" s="324" t="e">
        <f t="shared" ca="1" si="6"/>
        <v>#VALUE!</v>
      </c>
      <c r="W127" s="323" t="e">
        <f t="shared" ca="1" si="7"/>
        <v>#VALUE!</v>
      </c>
      <c r="X127" s="325" t="e">
        <f t="shared" ca="1" si="8"/>
        <v>#VALUE!</v>
      </c>
      <c r="Y127" s="324" t="e">
        <f t="shared" ca="1" si="9"/>
        <v>#VALUE!</v>
      </c>
    </row>
    <row r="128" spans="2:25" x14ac:dyDescent="0.2">
      <c r="B128" s="331">
        <v>90</v>
      </c>
      <c r="C128" s="332" t="s">
        <v>178</v>
      </c>
      <c r="D128" s="333">
        <v>1</v>
      </c>
      <c r="E128" s="294"/>
      <c r="F128" s="274"/>
      <c r="H128" s="273">
        <v>115</v>
      </c>
      <c r="I128" s="257" t="e">
        <f ca="1"/>
        <v>#N/A</v>
      </c>
      <c r="J128" s="257" t="e">
        <f ca="1"/>
        <v>#N/A</v>
      </c>
      <c r="K128" s="264" t="e">
        <f ca="1"/>
        <v>#N/A</v>
      </c>
      <c r="L128" s="264" t="e">
        <f ca="1"/>
        <v>#N/A</v>
      </c>
      <c r="M128" s="264" t="e">
        <f ca="1"/>
        <v>#N/A</v>
      </c>
      <c r="N128" s="265" t="e">
        <f ca="1"/>
        <v>#N/A</v>
      </c>
      <c r="P128" s="319" t="e">
        <f t="array" aca="1" ref="P128:T128" ca="1">IF(AND($Q$34,B130&lt;=$C$17,C130&lt;&gt;""),TRANSPOSE(INDEX(cds(C130,$C$6,$C$29,,$C$13,$C$14,,,,,TRUE,TRUE,FALSE,,"1m"),0,1)),"")</f>
        <v>#VALUE!</v>
      </c>
      <c r="Q128" s="320" t="e">
        <f ca="1"/>
        <v>#VALUE!</v>
      </c>
      <c r="R128" s="320" t="e">
        <f ca="1"/>
        <v>#VALUE!</v>
      </c>
      <c r="S128" s="321" t="e">
        <f ca="1"/>
        <v>#VALUE!</v>
      </c>
      <c r="T128" s="322" t="e">
        <f ca="1"/>
        <v>#VALUE!</v>
      </c>
      <c r="U128" s="323" t="e">
        <f t="shared" ca="1" si="5"/>
        <v>#VALUE!</v>
      </c>
      <c r="V128" s="324" t="e">
        <f t="shared" ca="1" si="6"/>
        <v>#VALUE!</v>
      </c>
      <c r="W128" s="323" t="e">
        <f t="shared" ca="1" si="7"/>
        <v>#VALUE!</v>
      </c>
      <c r="X128" s="325" t="e">
        <f t="shared" ca="1" si="8"/>
        <v>#VALUE!</v>
      </c>
      <c r="Y128" s="324" t="e">
        <f t="shared" ca="1" si="9"/>
        <v>#VALUE!</v>
      </c>
    </row>
    <row r="129" spans="2:25" x14ac:dyDescent="0.2">
      <c r="B129" s="331">
        <v>91</v>
      </c>
      <c r="C129" s="332" t="s">
        <v>179</v>
      </c>
      <c r="D129" s="333">
        <v>1</v>
      </c>
      <c r="E129" s="294"/>
      <c r="F129" s="274"/>
      <c r="H129" s="273">
        <v>116</v>
      </c>
      <c r="I129" s="257" t="e">
        <f ca="1"/>
        <v>#N/A</v>
      </c>
      <c r="J129" s="257" t="e">
        <f ca="1"/>
        <v>#N/A</v>
      </c>
      <c r="K129" s="264" t="e">
        <f ca="1"/>
        <v>#N/A</v>
      </c>
      <c r="L129" s="264" t="e">
        <f ca="1"/>
        <v>#N/A</v>
      </c>
      <c r="M129" s="264" t="e">
        <f ca="1"/>
        <v>#N/A</v>
      </c>
      <c r="N129" s="265" t="e">
        <f ca="1"/>
        <v>#N/A</v>
      </c>
      <c r="P129" s="319" t="e">
        <f t="array" aca="1" ref="P129:T129" ca="1">IF(AND($Q$34,B131&lt;=$C$17,C131&lt;&gt;""),TRANSPOSE(INDEX(cds(C131,$C$6,$C$29,,$C$13,$C$14,,,,,TRUE,TRUE,FALSE,,"1m"),0,1)),"")</f>
        <v>#VALUE!</v>
      </c>
      <c r="Q129" s="320" t="e">
        <f ca="1"/>
        <v>#VALUE!</v>
      </c>
      <c r="R129" s="320" t="e">
        <f ca="1"/>
        <v>#VALUE!</v>
      </c>
      <c r="S129" s="321" t="e">
        <f ca="1"/>
        <v>#VALUE!</v>
      </c>
      <c r="T129" s="322" t="e">
        <f ca="1"/>
        <v>#VALUE!</v>
      </c>
      <c r="U129" s="323" t="e">
        <f t="shared" ca="1" si="5"/>
        <v>#VALUE!</v>
      </c>
      <c r="V129" s="324" t="e">
        <f t="shared" ca="1" si="6"/>
        <v>#VALUE!</v>
      </c>
      <c r="W129" s="323" t="e">
        <f t="shared" ca="1" si="7"/>
        <v>#VALUE!</v>
      </c>
      <c r="X129" s="325" t="e">
        <f t="shared" ca="1" si="8"/>
        <v>#VALUE!</v>
      </c>
      <c r="Y129" s="324" t="e">
        <f t="shared" ca="1" si="9"/>
        <v>#VALUE!</v>
      </c>
    </row>
    <row r="130" spans="2:25" x14ac:dyDescent="0.2">
      <c r="B130" s="331">
        <v>92</v>
      </c>
      <c r="C130" s="332" t="s">
        <v>180</v>
      </c>
      <c r="D130" s="333">
        <v>1</v>
      </c>
      <c r="E130" s="294"/>
      <c r="F130" s="274"/>
      <c r="H130" s="273">
        <v>117</v>
      </c>
      <c r="I130" s="257" t="e">
        <f ca="1"/>
        <v>#N/A</v>
      </c>
      <c r="J130" s="257" t="e">
        <f ca="1"/>
        <v>#N/A</v>
      </c>
      <c r="K130" s="264" t="e">
        <f ca="1"/>
        <v>#N/A</v>
      </c>
      <c r="L130" s="264" t="e">
        <f ca="1"/>
        <v>#N/A</v>
      </c>
      <c r="M130" s="264" t="e">
        <f ca="1"/>
        <v>#N/A</v>
      </c>
      <c r="N130" s="265" t="e">
        <f ca="1"/>
        <v>#N/A</v>
      </c>
      <c r="P130" s="319" t="e">
        <f t="array" aca="1" ref="P130:T130" ca="1">IF(AND($Q$34,B132&lt;=$C$17,C132&lt;&gt;""),TRANSPOSE(INDEX(cds(C132,$C$6,$C$29,,$C$13,$C$14,,,,,TRUE,TRUE,FALSE,,"1m"),0,1)),"")</f>
        <v>#VALUE!</v>
      </c>
      <c r="Q130" s="320" t="e">
        <f ca="1"/>
        <v>#VALUE!</v>
      </c>
      <c r="R130" s="320" t="e">
        <f ca="1"/>
        <v>#VALUE!</v>
      </c>
      <c r="S130" s="321" t="e">
        <f ca="1"/>
        <v>#VALUE!</v>
      </c>
      <c r="T130" s="322" t="e">
        <f ca="1"/>
        <v>#VALUE!</v>
      </c>
      <c r="U130" s="323" t="e">
        <f t="shared" ca="1" si="5"/>
        <v>#VALUE!</v>
      </c>
      <c r="V130" s="324" t="e">
        <f t="shared" ca="1" si="6"/>
        <v>#VALUE!</v>
      </c>
      <c r="W130" s="323" t="e">
        <f t="shared" ca="1" si="7"/>
        <v>#VALUE!</v>
      </c>
      <c r="X130" s="325" t="e">
        <f t="shared" ca="1" si="8"/>
        <v>#VALUE!</v>
      </c>
      <c r="Y130" s="324" t="e">
        <f t="shared" ca="1" si="9"/>
        <v>#VALUE!</v>
      </c>
    </row>
    <row r="131" spans="2:25" x14ac:dyDescent="0.2">
      <c r="B131" s="331">
        <v>93</v>
      </c>
      <c r="C131" s="332" t="s">
        <v>181</v>
      </c>
      <c r="D131" s="333">
        <v>1</v>
      </c>
      <c r="E131" s="294"/>
      <c r="F131" s="274"/>
      <c r="H131" s="273">
        <v>118</v>
      </c>
      <c r="I131" s="257" t="e">
        <f ca="1"/>
        <v>#N/A</v>
      </c>
      <c r="J131" s="257" t="e">
        <f ca="1"/>
        <v>#N/A</v>
      </c>
      <c r="K131" s="264" t="e">
        <f ca="1"/>
        <v>#N/A</v>
      </c>
      <c r="L131" s="264" t="e">
        <f ca="1"/>
        <v>#N/A</v>
      </c>
      <c r="M131" s="264" t="e">
        <f ca="1"/>
        <v>#N/A</v>
      </c>
      <c r="N131" s="265" t="e">
        <f ca="1"/>
        <v>#N/A</v>
      </c>
      <c r="P131" s="319" t="e">
        <f t="array" aca="1" ref="P131:T131" ca="1">IF(AND($Q$34,B133&lt;=$C$17,C133&lt;&gt;""),TRANSPOSE(INDEX(cds(C133,$C$6,$C$29,,$C$13,$C$14,,,,,TRUE,TRUE,FALSE,,"1m"),0,1)),"")</f>
        <v>#VALUE!</v>
      </c>
      <c r="Q131" s="320" t="e">
        <f ca="1"/>
        <v>#VALUE!</v>
      </c>
      <c r="R131" s="320" t="e">
        <f ca="1"/>
        <v>#VALUE!</v>
      </c>
      <c r="S131" s="321" t="e">
        <f ca="1"/>
        <v>#VALUE!</v>
      </c>
      <c r="T131" s="322" t="e">
        <f ca="1"/>
        <v>#VALUE!</v>
      </c>
      <c r="U131" s="323" t="e">
        <f t="shared" ca="1" si="5"/>
        <v>#VALUE!</v>
      </c>
      <c r="V131" s="324" t="e">
        <f t="shared" ca="1" si="6"/>
        <v>#VALUE!</v>
      </c>
      <c r="W131" s="323" t="e">
        <f t="shared" ca="1" si="7"/>
        <v>#VALUE!</v>
      </c>
      <c r="X131" s="325" t="e">
        <f t="shared" ca="1" si="8"/>
        <v>#VALUE!</v>
      </c>
      <c r="Y131" s="324" t="e">
        <f t="shared" ca="1" si="9"/>
        <v>#VALUE!</v>
      </c>
    </row>
    <row r="132" spans="2:25" x14ac:dyDescent="0.2">
      <c r="B132" s="331">
        <v>94</v>
      </c>
      <c r="C132" s="332" t="s">
        <v>182</v>
      </c>
      <c r="D132" s="333">
        <v>1</v>
      </c>
      <c r="E132" s="294"/>
      <c r="F132" s="274"/>
      <c r="H132" s="273">
        <v>119</v>
      </c>
      <c r="I132" s="257" t="e">
        <f ca="1"/>
        <v>#N/A</v>
      </c>
      <c r="J132" s="257" t="e">
        <f ca="1"/>
        <v>#N/A</v>
      </c>
      <c r="K132" s="264" t="e">
        <f ca="1"/>
        <v>#N/A</v>
      </c>
      <c r="L132" s="264" t="e">
        <f ca="1"/>
        <v>#N/A</v>
      </c>
      <c r="M132" s="264" t="e">
        <f ca="1"/>
        <v>#N/A</v>
      </c>
      <c r="N132" s="265" t="e">
        <f ca="1"/>
        <v>#N/A</v>
      </c>
      <c r="P132" s="319">
        <f t="array" aca="1" ref="P132:T132" ca="1">IF(AND($Q$34,B134&lt;=$C$17,C134&lt;&gt;""),TRANSPOSE(INDEX(cds(C134,$C$6,$C$29,,$C$13,$C$14,,,,,TRUE,TRUE,FALSE,,"1m"),0,1)),"")</f>
        <v>0</v>
      </c>
      <c r="Q132" s="320">
        <f ca="1"/>
        <v>1.1808792009761329E-2</v>
      </c>
      <c r="R132" s="320">
        <f ca="1"/>
        <v>1.1808792009761329E-2</v>
      </c>
      <c r="S132" s="321">
        <f ca="1"/>
        <v>2.6003406618377895E-3</v>
      </c>
      <c r="T132" s="322">
        <f ca="1"/>
        <v>4.5412480691723953</v>
      </c>
      <c r="U132" s="323">
        <f t="shared" ca="1" si="5"/>
        <v>0.11636705157291649</v>
      </c>
      <c r="V132" s="324">
        <f t="shared" ca="1" si="6"/>
        <v>-1.3741543088137409E-3</v>
      </c>
      <c r="W132" s="323">
        <f t="shared" ca="1" si="7"/>
        <v>0.10250683929817096</v>
      </c>
      <c r="X132" s="325">
        <f t="shared" ca="1" si="8"/>
        <v>2.4703236287458999E-3</v>
      </c>
      <c r="Y132" s="324">
        <f t="shared" ca="1" si="9"/>
        <v>-6.0524097242506526E-5</v>
      </c>
    </row>
    <row r="133" spans="2:25" x14ac:dyDescent="0.2">
      <c r="B133" s="331">
        <v>95</v>
      </c>
      <c r="C133" s="332" t="s">
        <v>183</v>
      </c>
      <c r="D133" s="333">
        <v>1</v>
      </c>
      <c r="E133" s="294"/>
      <c r="F133" s="274"/>
      <c r="H133" s="273">
        <v>120</v>
      </c>
      <c r="I133" s="257" t="e">
        <f ca="1"/>
        <v>#N/A</v>
      </c>
      <c r="J133" s="257" t="e">
        <f ca="1"/>
        <v>#N/A</v>
      </c>
      <c r="K133" s="264" t="e">
        <f ca="1"/>
        <v>#N/A</v>
      </c>
      <c r="L133" s="264" t="e">
        <f ca="1"/>
        <v>#N/A</v>
      </c>
      <c r="M133" s="264" t="e">
        <f ca="1"/>
        <v>#N/A</v>
      </c>
      <c r="N133" s="265" t="e">
        <f ca="1"/>
        <v>#N/A</v>
      </c>
      <c r="P133" s="319" t="e">
        <f t="array" aca="1" ref="P133:T133" ca="1">IF(AND($Q$34,B135&lt;=$C$17,C135&lt;&gt;""),TRANSPOSE(INDEX(cds(C135,$C$6,$C$29,,$C$13,$C$14,,,,,TRUE,TRUE,FALSE,,"1m"),0,1)),"")</f>
        <v>#VALUE!</v>
      </c>
      <c r="Q133" s="320" t="e">
        <f ca="1"/>
        <v>#VALUE!</v>
      </c>
      <c r="R133" s="320" t="e">
        <f ca="1"/>
        <v>#VALUE!</v>
      </c>
      <c r="S133" s="321" t="e">
        <f ca="1"/>
        <v>#VALUE!</v>
      </c>
      <c r="T133" s="322" t="e">
        <f ca="1"/>
        <v>#VALUE!</v>
      </c>
      <c r="U133" s="323" t="e">
        <f t="shared" ca="1" si="5"/>
        <v>#VALUE!</v>
      </c>
      <c r="V133" s="324" t="e">
        <f t="shared" ca="1" si="6"/>
        <v>#VALUE!</v>
      </c>
      <c r="W133" s="323" t="e">
        <f t="shared" ca="1" si="7"/>
        <v>#VALUE!</v>
      </c>
      <c r="X133" s="325" t="e">
        <f t="shared" ca="1" si="8"/>
        <v>#VALUE!</v>
      </c>
      <c r="Y133" s="324" t="e">
        <f t="shared" ca="1" si="9"/>
        <v>#VALUE!</v>
      </c>
    </row>
    <row r="134" spans="2:25" x14ac:dyDescent="0.2">
      <c r="B134" s="331">
        <v>96</v>
      </c>
      <c r="C134" s="332" t="s">
        <v>184</v>
      </c>
      <c r="D134" s="333">
        <v>1</v>
      </c>
      <c r="E134" s="294"/>
      <c r="F134" s="274"/>
      <c r="H134" s="273">
        <v>121</v>
      </c>
      <c r="I134" s="257" t="e">
        <f ca="1"/>
        <v>#N/A</v>
      </c>
      <c r="J134" s="257" t="e">
        <f ca="1"/>
        <v>#N/A</v>
      </c>
      <c r="K134" s="264" t="e">
        <f ca="1"/>
        <v>#N/A</v>
      </c>
      <c r="L134" s="264" t="e">
        <f ca="1"/>
        <v>#N/A</v>
      </c>
      <c r="M134" s="264" t="e">
        <f ca="1"/>
        <v>#N/A</v>
      </c>
      <c r="N134" s="265" t="e">
        <f ca="1"/>
        <v>#N/A</v>
      </c>
      <c r="P134" s="319" t="e">
        <f t="array" aca="1" ref="P134:T134" ca="1">IF(AND($Q$34,B136&lt;=$C$17,C136&lt;&gt;""),TRANSPOSE(INDEX(cds(C136,$C$6,$C$29,,$C$13,$C$14,,,,,TRUE,TRUE,FALSE,,"1m"),0,1)),"")</f>
        <v>#VALUE!</v>
      </c>
      <c r="Q134" s="320" t="e">
        <f ca="1"/>
        <v>#VALUE!</v>
      </c>
      <c r="R134" s="320" t="e">
        <f ca="1"/>
        <v>#VALUE!</v>
      </c>
      <c r="S134" s="321" t="e">
        <f ca="1"/>
        <v>#VALUE!</v>
      </c>
      <c r="T134" s="322" t="e">
        <f ca="1"/>
        <v>#VALUE!</v>
      </c>
      <c r="U134" s="323" t="e">
        <f t="shared" ca="1" si="5"/>
        <v>#VALUE!</v>
      </c>
      <c r="V134" s="324" t="e">
        <f t="shared" ca="1" si="6"/>
        <v>#VALUE!</v>
      </c>
      <c r="W134" s="323" t="e">
        <f t="shared" ca="1" si="7"/>
        <v>#VALUE!</v>
      </c>
      <c r="X134" s="325" t="e">
        <f t="shared" ca="1" si="8"/>
        <v>#VALUE!</v>
      </c>
      <c r="Y134" s="324" t="e">
        <f t="shared" ca="1" si="9"/>
        <v>#VALUE!</v>
      </c>
    </row>
    <row r="135" spans="2:25" x14ac:dyDescent="0.2">
      <c r="B135" s="331">
        <v>97</v>
      </c>
      <c r="C135" s="332" t="s">
        <v>185</v>
      </c>
      <c r="D135" s="333">
        <v>1</v>
      </c>
      <c r="E135" s="294"/>
      <c r="F135" s="274"/>
      <c r="H135" s="273">
        <v>122</v>
      </c>
      <c r="I135" s="257" t="e">
        <f ca="1"/>
        <v>#N/A</v>
      </c>
      <c r="J135" s="257" t="e">
        <f ca="1"/>
        <v>#N/A</v>
      </c>
      <c r="K135" s="264" t="e">
        <f ca="1"/>
        <v>#N/A</v>
      </c>
      <c r="L135" s="264" t="e">
        <f ca="1"/>
        <v>#N/A</v>
      </c>
      <c r="M135" s="264" t="e">
        <f ca="1"/>
        <v>#N/A</v>
      </c>
      <c r="N135" s="265" t="e">
        <f ca="1"/>
        <v>#N/A</v>
      </c>
      <c r="P135" s="319" t="e">
        <f t="array" aca="1" ref="P135:T135" ca="1">IF(AND($Q$34,B137&lt;=$C$17,C137&lt;&gt;""),TRANSPOSE(INDEX(cds(C137,$C$6,$C$29,,$C$13,$C$14,,,,,TRUE,TRUE,FALSE,,"1m"),0,1)),"")</f>
        <v>#VALUE!</v>
      </c>
      <c r="Q135" s="320" t="e">
        <f ca="1"/>
        <v>#VALUE!</v>
      </c>
      <c r="R135" s="320" t="e">
        <f ca="1"/>
        <v>#VALUE!</v>
      </c>
      <c r="S135" s="321" t="e">
        <f ca="1"/>
        <v>#VALUE!</v>
      </c>
      <c r="T135" s="322" t="e">
        <f ca="1"/>
        <v>#VALUE!</v>
      </c>
      <c r="U135" s="323" t="e">
        <f t="shared" ca="1" si="5"/>
        <v>#VALUE!</v>
      </c>
      <c r="V135" s="324" t="e">
        <f t="shared" ca="1" si="6"/>
        <v>#VALUE!</v>
      </c>
      <c r="W135" s="323" t="e">
        <f t="shared" ca="1" si="7"/>
        <v>#VALUE!</v>
      </c>
      <c r="X135" s="325" t="e">
        <f t="shared" ca="1" si="8"/>
        <v>#VALUE!</v>
      </c>
      <c r="Y135" s="324" t="e">
        <f t="shared" ca="1" si="9"/>
        <v>#VALUE!</v>
      </c>
    </row>
    <row r="136" spans="2:25" x14ac:dyDescent="0.2">
      <c r="B136" s="331">
        <v>98</v>
      </c>
      <c r="C136" s="332" t="s">
        <v>186</v>
      </c>
      <c r="D136" s="333">
        <v>1</v>
      </c>
      <c r="E136" s="294"/>
      <c r="F136" s="274"/>
      <c r="H136" s="273">
        <v>123</v>
      </c>
      <c r="I136" s="257" t="e">
        <f ca="1"/>
        <v>#N/A</v>
      </c>
      <c r="J136" s="257" t="e">
        <f ca="1"/>
        <v>#N/A</v>
      </c>
      <c r="K136" s="264" t="e">
        <f ca="1"/>
        <v>#N/A</v>
      </c>
      <c r="L136" s="264" t="e">
        <f ca="1"/>
        <v>#N/A</v>
      </c>
      <c r="M136" s="264" t="e">
        <f ca="1"/>
        <v>#N/A</v>
      </c>
      <c r="N136" s="265" t="e">
        <f ca="1"/>
        <v>#N/A</v>
      </c>
      <c r="P136" s="319">
        <f t="array" aca="1" ref="P136:T136" ca="1">IF(AND($Q$34,B138&lt;=$C$17,C138&lt;&gt;""),TRANSPOSE(INDEX(cds(C138,$C$6,$C$29,,$C$13,$C$14,,,,,TRUE,TRUE,FALSE,,"1m"),0,1)),"")</f>
        <v>0</v>
      </c>
      <c r="Q136" s="320">
        <f ca="1"/>
        <v>1.4924292297261945E-2</v>
      </c>
      <c r="R136" s="320">
        <f ca="1"/>
        <v>1.4924292297261945E-2</v>
      </c>
      <c r="S136" s="321">
        <f ca="1"/>
        <v>3.3001148999183398E-3</v>
      </c>
      <c r="T136" s="322">
        <f ca="1"/>
        <v>4.5223553572729367</v>
      </c>
      <c r="U136" s="323">
        <f t="shared" ca="1" si="5"/>
        <v>0.11636705157291649</v>
      </c>
      <c r="V136" s="324">
        <f t="shared" ca="1" si="6"/>
        <v>-1.7366958914447612E-3</v>
      </c>
      <c r="W136" s="323">
        <f t="shared" ca="1" si="7"/>
        <v>0.11531872996417063</v>
      </c>
      <c r="X136" s="325">
        <f t="shared" ca="1" si="8"/>
        <v>3.1351091549224226E-3</v>
      </c>
      <c r="Y136" s="324">
        <f t="shared" ca="1" si="9"/>
        <v>-8.6052521666715178E-5</v>
      </c>
    </row>
    <row r="137" spans="2:25" x14ac:dyDescent="0.2">
      <c r="B137" s="331">
        <v>99</v>
      </c>
      <c r="C137" s="332" t="s">
        <v>187</v>
      </c>
      <c r="D137" s="333">
        <v>1</v>
      </c>
      <c r="E137" s="294"/>
      <c r="F137" s="274"/>
      <c r="H137" s="273">
        <v>124</v>
      </c>
      <c r="I137" s="257" t="e">
        <f ca="1"/>
        <v>#N/A</v>
      </c>
      <c r="J137" s="257" t="e">
        <f ca="1"/>
        <v>#N/A</v>
      </c>
      <c r="K137" s="264" t="e">
        <f ca="1"/>
        <v>#N/A</v>
      </c>
      <c r="L137" s="264" t="e">
        <f ca="1"/>
        <v>#N/A</v>
      </c>
      <c r="M137" s="264" t="e">
        <f ca="1"/>
        <v>#N/A</v>
      </c>
      <c r="N137" s="265" t="e">
        <f ca="1"/>
        <v>#N/A</v>
      </c>
      <c r="P137" s="319" t="str">
        <f t="array" aca="1" ref="P137:T137" ca="1">IF(AND($Q$34,B139&lt;=$C$17,C139&lt;&gt;""),TRANSPOSE(INDEX(cds(C139,$C$6,$C$29,,$C$13,$C$14,,,,,TRUE,TRUE,FALSE,,"1m"),0,1)),"")</f>
        <v/>
      </c>
      <c r="Q137" s="320" t="str">
        <f ca="1"/>
        <v/>
      </c>
      <c r="R137" s="320" t="str">
        <f ca="1"/>
        <v/>
      </c>
      <c r="S137" s="321" t="str">
        <f ca="1"/>
        <v/>
      </c>
      <c r="T137" s="322" t="str">
        <f ca="1"/>
        <v/>
      </c>
      <c r="U137" s="323" t="str">
        <f t="shared" ca="1" si="5"/>
        <v/>
      </c>
      <c r="V137" s="324" t="str">
        <f t="shared" ca="1" si="6"/>
        <v/>
      </c>
      <c r="W137" s="323" t="str">
        <f t="shared" ca="1" si="7"/>
        <v/>
      </c>
      <c r="X137" s="325" t="str">
        <f t="shared" ca="1" si="8"/>
        <v/>
      </c>
      <c r="Y137" s="324" t="str">
        <f t="shared" ca="1" si="9"/>
        <v/>
      </c>
    </row>
    <row r="138" spans="2:25" x14ac:dyDescent="0.2">
      <c r="B138" s="331">
        <v>100</v>
      </c>
      <c r="C138" s="332" t="s">
        <v>188</v>
      </c>
      <c r="D138" s="333">
        <v>1</v>
      </c>
      <c r="E138" s="294"/>
      <c r="F138" s="274"/>
      <c r="H138" s="273">
        <v>125</v>
      </c>
      <c r="I138" s="257" t="e">
        <f ca="1"/>
        <v>#N/A</v>
      </c>
      <c r="J138" s="257" t="e">
        <f ca="1"/>
        <v>#N/A</v>
      </c>
      <c r="K138" s="264" t="e">
        <f ca="1"/>
        <v>#N/A</v>
      </c>
      <c r="L138" s="264" t="e">
        <f ca="1"/>
        <v>#N/A</v>
      </c>
      <c r="M138" s="264" t="e">
        <f ca="1"/>
        <v>#N/A</v>
      </c>
      <c r="N138" s="265" t="e">
        <f ca="1"/>
        <v>#N/A</v>
      </c>
      <c r="P138" s="319" t="str">
        <f t="array" aca="1" ref="P138:T138" ca="1">IF(AND($Q$34,B140&lt;=$C$17,C140&lt;&gt;""),TRANSPOSE(INDEX(cds(C140,$C$6,$C$29,,$C$13,$C$14,,,,,TRUE,TRUE,FALSE,,"1m"),0,1)),"")</f>
        <v/>
      </c>
      <c r="Q138" s="320" t="str">
        <f ca="1"/>
        <v/>
      </c>
      <c r="R138" s="320" t="str">
        <f ca="1"/>
        <v/>
      </c>
      <c r="S138" s="321" t="str">
        <f ca="1"/>
        <v/>
      </c>
      <c r="T138" s="322" t="str">
        <f ca="1"/>
        <v/>
      </c>
      <c r="U138" s="323" t="str">
        <f t="shared" ca="1" si="5"/>
        <v/>
      </c>
      <c r="V138" s="324" t="str">
        <f t="shared" ca="1" si="6"/>
        <v/>
      </c>
      <c r="W138" s="323" t="str">
        <f t="shared" ca="1" si="7"/>
        <v/>
      </c>
      <c r="X138" s="325" t="str">
        <f t="shared" ca="1" si="8"/>
        <v/>
      </c>
      <c r="Y138" s="324" t="str">
        <f t="shared" ca="1" si="9"/>
        <v/>
      </c>
    </row>
    <row r="139" spans="2:25" x14ac:dyDescent="0.2">
      <c r="B139" s="331">
        <v>101</v>
      </c>
      <c r="C139" s="332"/>
      <c r="D139" s="333"/>
      <c r="E139" s="294"/>
      <c r="F139" s="274"/>
      <c r="H139" s="273">
        <v>126</v>
      </c>
      <c r="I139" s="257" t="e">
        <f ca="1"/>
        <v>#N/A</v>
      </c>
      <c r="J139" s="257" t="e">
        <f ca="1"/>
        <v>#N/A</v>
      </c>
      <c r="K139" s="264" t="e">
        <f ca="1"/>
        <v>#N/A</v>
      </c>
      <c r="L139" s="264" t="e">
        <f ca="1"/>
        <v>#N/A</v>
      </c>
      <c r="M139" s="257" t="e">
        <f ca="1"/>
        <v>#N/A</v>
      </c>
      <c r="N139" s="266" t="e">
        <f ca="1"/>
        <v>#N/A</v>
      </c>
      <c r="P139" s="319" t="str">
        <f t="array" aca="1" ref="P139:T139" ca="1">IF(AND($Q$34,B141&lt;=$C$17,C141&lt;&gt;""),TRANSPOSE(INDEX(cds(C141,$C$6,$C$29,,$C$13,$C$14,,,,,TRUE,TRUE,FALSE,,"1m"),0,1)),"")</f>
        <v/>
      </c>
      <c r="Q139" s="320" t="str">
        <f ca="1"/>
        <v/>
      </c>
      <c r="R139" s="320" t="str">
        <f ca="1"/>
        <v/>
      </c>
      <c r="S139" s="321" t="str">
        <f ca="1"/>
        <v/>
      </c>
      <c r="T139" s="322" t="str">
        <f ca="1"/>
        <v/>
      </c>
      <c r="U139" s="323" t="str">
        <f t="shared" ca="1" si="5"/>
        <v/>
      </c>
      <c r="V139" s="324" t="str">
        <f t="shared" ca="1" si="6"/>
        <v/>
      </c>
      <c r="W139" s="323" t="str">
        <f t="shared" ca="1" si="7"/>
        <v/>
      </c>
      <c r="X139" s="325" t="str">
        <f t="shared" ca="1" si="8"/>
        <v/>
      </c>
      <c r="Y139" s="324" t="str">
        <f t="shared" ca="1" si="9"/>
        <v/>
      </c>
    </row>
    <row r="140" spans="2:25" x14ac:dyDescent="0.2">
      <c r="B140" s="331">
        <v>102</v>
      </c>
      <c r="C140" s="332"/>
      <c r="D140" s="333"/>
      <c r="E140" s="294"/>
      <c r="F140" s="274"/>
      <c r="H140" s="273">
        <v>127</v>
      </c>
      <c r="I140" s="257" t="e">
        <f ca="1"/>
        <v>#N/A</v>
      </c>
      <c r="J140" s="257" t="e">
        <f ca="1"/>
        <v>#N/A</v>
      </c>
      <c r="K140" s="264" t="e">
        <f ca="1"/>
        <v>#N/A</v>
      </c>
      <c r="L140" s="264" t="e">
        <f ca="1"/>
        <v>#N/A</v>
      </c>
      <c r="M140" s="257" t="e">
        <f ca="1"/>
        <v>#N/A</v>
      </c>
      <c r="N140" s="266" t="e">
        <f ca="1"/>
        <v>#N/A</v>
      </c>
      <c r="P140" s="319" t="str">
        <f t="array" aca="1" ref="P140:T140" ca="1">IF(AND($Q$34,B142&lt;=$C$17,C142&lt;&gt;""),TRANSPOSE(INDEX(cds(C142,$C$6,$C$29,,$C$13,$C$14,,,,,TRUE,TRUE,FALSE,,"1m"),0,1)),"")</f>
        <v/>
      </c>
      <c r="Q140" s="320" t="str">
        <f ca="1"/>
        <v/>
      </c>
      <c r="R140" s="320" t="str">
        <f ca="1"/>
        <v/>
      </c>
      <c r="S140" s="321" t="str">
        <f ca="1"/>
        <v/>
      </c>
      <c r="T140" s="322" t="str">
        <f ca="1"/>
        <v/>
      </c>
      <c r="U140" s="323" t="str">
        <f t="shared" ca="1" si="5"/>
        <v/>
      </c>
      <c r="V140" s="324" t="str">
        <f t="shared" ca="1" si="6"/>
        <v/>
      </c>
      <c r="W140" s="323" t="str">
        <f t="shared" ca="1" si="7"/>
        <v/>
      </c>
      <c r="X140" s="325" t="str">
        <f t="shared" ca="1" si="8"/>
        <v/>
      </c>
      <c r="Y140" s="324" t="str">
        <f t="shared" ca="1" si="9"/>
        <v/>
      </c>
    </row>
    <row r="141" spans="2:25" x14ac:dyDescent="0.2">
      <c r="B141" s="331">
        <v>103</v>
      </c>
      <c r="C141" s="332"/>
      <c r="D141" s="333"/>
      <c r="E141" s="294"/>
      <c r="F141" s="274"/>
      <c r="H141" s="273">
        <v>128</v>
      </c>
      <c r="I141" s="257" t="e">
        <f ca="1"/>
        <v>#N/A</v>
      </c>
      <c r="J141" s="257" t="e">
        <f ca="1"/>
        <v>#N/A</v>
      </c>
      <c r="K141" s="264" t="e">
        <f ca="1"/>
        <v>#N/A</v>
      </c>
      <c r="L141" s="264" t="e">
        <f ca="1"/>
        <v>#N/A</v>
      </c>
      <c r="M141" s="257" t="e">
        <f ca="1"/>
        <v>#N/A</v>
      </c>
      <c r="N141" s="266" t="e">
        <f ca="1"/>
        <v>#N/A</v>
      </c>
      <c r="P141" s="319" t="str">
        <f t="array" aca="1" ref="P141:T141" ca="1">IF(AND($Q$34,B143&lt;=$C$17,C143&lt;&gt;""),TRANSPOSE(INDEX(cds(C143,$C$6,$C$29,,$C$13,$C$14,,,,,TRUE,TRUE,FALSE,,"1m"),0,1)),"")</f>
        <v/>
      </c>
      <c r="Q141" s="320" t="str">
        <f ca="1"/>
        <v/>
      </c>
      <c r="R141" s="320" t="str">
        <f ca="1"/>
        <v/>
      </c>
      <c r="S141" s="321" t="str">
        <f ca="1"/>
        <v/>
      </c>
      <c r="T141" s="322" t="str">
        <f ca="1"/>
        <v/>
      </c>
      <c r="U141" s="323" t="str">
        <f t="shared" ca="1" si="5"/>
        <v/>
      </c>
      <c r="V141" s="324" t="str">
        <f t="shared" ca="1" si="6"/>
        <v/>
      </c>
      <c r="W141" s="323" t="str">
        <f t="shared" ca="1" si="7"/>
        <v/>
      </c>
      <c r="X141" s="325" t="str">
        <f t="shared" ca="1" si="8"/>
        <v/>
      </c>
      <c r="Y141" s="324" t="str">
        <f t="shared" ca="1" si="9"/>
        <v/>
      </c>
    </row>
    <row r="142" spans="2:25" x14ac:dyDescent="0.2">
      <c r="B142" s="331">
        <v>104</v>
      </c>
      <c r="C142" s="332"/>
      <c r="D142" s="333"/>
      <c r="E142" s="294"/>
      <c r="F142" s="274"/>
      <c r="H142" s="273">
        <v>129</v>
      </c>
      <c r="I142" s="257" t="e">
        <f ca="1"/>
        <v>#N/A</v>
      </c>
      <c r="J142" s="257" t="e">
        <f ca="1"/>
        <v>#N/A</v>
      </c>
      <c r="K142" s="264" t="e">
        <f ca="1"/>
        <v>#N/A</v>
      </c>
      <c r="L142" s="264" t="e">
        <f ca="1"/>
        <v>#N/A</v>
      </c>
      <c r="M142" s="257" t="e">
        <f ca="1"/>
        <v>#N/A</v>
      </c>
      <c r="N142" s="266" t="e">
        <f ca="1"/>
        <v>#N/A</v>
      </c>
      <c r="P142" s="319" t="str">
        <f t="array" aca="1" ref="P142:T142" ca="1">IF(AND($Q$34,B144&lt;=$C$17,C144&lt;&gt;""),TRANSPOSE(INDEX(cds(C144,$C$6,$C$29,,$C$13,$C$14,,,,,TRUE,TRUE,FALSE,,"1m"),0,1)),"")</f>
        <v/>
      </c>
      <c r="Q142" s="320" t="str">
        <f ca="1"/>
        <v/>
      </c>
      <c r="R142" s="320" t="str">
        <f ca="1"/>
        <v/>
      </c>
      <c r="S142" s="321" t="str">
        <f ca="1"/>
        <v/>
      </c>
      <c r="T142" s="322" t="str">
        <f ca="1"/>
        <v/>
      </c>
      <c r="U142" s="323" t="str">
        <f t="shared" ca="1" si="5"/>
        <v/>
      </c>
      <c r="V142" s="324" t="str">
        <f t="shared" ca="1" si="6"/>
        <v/>
      </c>
      <c r="W142" s="323" t="str">
        <f t="shared" ca="1" si="7"/>
        <v/>
      </c>
      <c r="X142" s="325" t="str">
        <f t="shared" ca="1" si="8"/>
        <v/>
      </c>
      <c r="Y142" s="324" t="str">
        <f t="shared" ca="1" si="9"/>
        <v/>
      </c>
    </row>
    <row r="143" spans="2:25" x14ac:dyDescent="0.2">
      <c r="B143" s="331">
        <v>105</v>
      </c>
      <c r="C143" s="332"/>
      <c r="D143" s="333"/>
      <c r="E143" s="294"/>
      <c r="F143" s="274"/>
      <c r="H143" s="273">
        <v>130</v>
      </c>
      <c r="I143" s="257" t="e">
        <f ca="1"/>
        <v>#N/A</v>
      </c>
      <c r="J143" s="257" t="e">
        <f ca="1"/>
        <v>#N/A</v>
      </c>
      <c r="K143" s="264" t="e">
        <f ca="1"/>
        <v>#N/A</v>
      </c>
      <c r="L143" s="264" t="e">
        <f ca="1"/>
        <v>#N/A</v>
      </c>
      <c r="M143" s="257" t="e">
        <f ca="1"/>
        <v>#N/A</v>
      </c>
      <c r="N143" s="266" t="e">
        <f ca="1"/>
        <v>#N/A</v>
      </c>
      <c r="P143" s="319" t="str">
        <f t="array" aca="1" ref="P143:T143" ca="1">IF(AND($Q$34,B145&lt;=$C$17,C145&lt;&gt;""),TRANSPOSE(INDEX(cds(C145,$C$6,$C$29,,$C$13,$C$14,,,,,TRUE,TRUE,FALSE,,"1m"),0,1)),"")</f>
        <v/>
      </c>
      <c r="Q143" s="320" t="str">
        <f ca="1"/>
        <v/>
      </c>
      <c r="R143" s="320" t="str">
        <f ca="1"/>
        <v/>
      </c>
      <c r="S143" s="321" t="str">
        <f ca="1"/>
        <v/>
      </c>
      <c r="T143" s="322" t="str">
        <f ca="1"/>
        <v/>
      </c>
      <c r="U143" s="323" t="str">
        <f t="shared" ca="1" si="5"/>
        <v/>
      </c>
      <c r="V143" s="324" t="str">
        <f t="shared" ca="1" si="6"/>
        <v/>
      </c>
      <c r="W143" s="323" t="str">
        <f t="shared" ca="1" si="7"/>
        <v/>
      </c>
      <c r="X143" s="325" t="str">
        <f t="shared" ca="1" si="8"/>
        <v/>
      </c>
      <c r="Y143" s="324" t="str">
        <f t="shared" ca="1" si="9"/>
        <v/>
      </c>
    </row>
    <row r="144" spans="2:25" x14ac:dyDescent="0.2">
      <c r="B144" s="331">
        <v>106</v>
      </c>
      <c r="C144" s="332"/>
      <c r="D144" s="333"/>
      <c r="E144" s="294"/>
      <c r="F144" s="274"/>
      <c r="H144" s="273">
        <v>131</v>
      </c>
      <c r="I144" s="257" t="e">
        <f ca="1"/>
        <v>#N/A</v>
      </c>
      <c r="J144" s="257" t="e">
        <f ca="1"/>
        <v>#N/A</v>
      </c>
      <c r="K144" s="264" t="e">
        <f ca="1"/>
        <v>#N/A</v>
      </c>
      <c r="L144" s="264" t="e">
        <f ca="1"/>
        <v>#N/A</v>
      </c>
      <c r="M144" s="257" t="e">
        <f ca="1"/>
        <v>#N/A</v>
      </c>
      <c r="N144" s="266" t="e">
        <f ca="1"/>
        <v>#N/A</v>
      </c>
      <c r="P144" s="319" t="str">
        <f t="array" aca="1" ref="P144:T144" ca="1">IF(AND($Q$34,B146&lt;=$C$17,C146&lt;&gt;""),TRANSPOSE(INDEX(cds(C146,$C$6,$C$29,,$C$13,$C$14,,,,,TRUE,TRUE,FALSE,,"1m"),0,1)),"")</f>
        <v/>
      </c>
      <c r="Q144" s="320" t="str">
        <f ca="1"/>
        <v/>
      </c>
      <c r="R144" s="320" t="str">
        <f ca="1"/>
        <v/>
      </c>
      <c r="S144" s="321" t="str">
        <f ca="1"/>
        <v/>
      </c>
      <c r="T144" s="322" t="str">
        <f ca="1"/>
        <v/>
      </c>
      <c r="U144" s="323" t="str">
        <f t="shared" ca="1" si="5"/>
        <v/>
      </c>
      <c r="V144" s="324" t="str">
        <f t="shared" ca="1" si="6"/>
        <v/>
      </c>
      <c r="W144" s="323" t="str">
        <f t="shared" ca="1" si="7"/>
        <v/>
      </c>
      <c r="X144" s="325" t="str">
        <f t="shared" ca="1" si="8"/>
        <v/>
      </c>
      <c r="Y144" s="324" t="str">
        <f t="shared" ca="1" si="9"/>
        <v/>
      </c>
    </row>
    <row r="145" spans="2:25" x14ac:dyDescent="0.2">
      <c r="B145" s="331">
        <v>107</v>
      </c>
      <c r="C145" s="332"/>
      <c r="D145" s="333"/>
      <c r="E145" s="294"/>
      <c r="F145" s="274"/>
      <c r="H145" s="273">
        <v>132</v>
      </c>
      <c r="I145" s="257" t="e">
        <f ca="1"/>
        <v>#N/A</v>
      </c>
      <c r="J145" s="257" t="e">
        <f ca="1"/>
        <v>#N/A</v>
      </c>
      <c r="K145" s="264" t="e">
        <f ca="1"/>
        <v>#N/A</v>
      </c>
      <c r="L145" s="264" t="e">
        <f ca="1"/>
        <v>#N/A</v>
      </c>
      <c r="M145" s="257" t="e">
        <f ca="1"/>
        <v>#N/A</v>
      </c>
      <c r="N145" s="266" t="e">
        <f ca="1"/>
        <v>#N/A</v>
      </c>
      <c r="P145" s="319" t="str">
        <f t="array" aca="1" ref="P145:T145" ca="1">IF(AND($Q$34,B147&lt;=$C$17,C147&lt;&gt;""),TRANSPOSE(INDEX(cds(C147,$C$6,$C$29,,$C$13,$C$14,,,,,TRUE,TRUE,FALSE,,"1m"),0,1)),"")</f>
        <v/>
      </c>
      <c r="Q145" s="320" t="str">
        <f ca="1"/>
        <v/>
      </c>
      <c r="R145" s="320" t="str">
        <f ca="1"/>
        <v/>
      </c>
      <c r="S145" s="321" t="str">
        <f ca="1"/>
        <v/>
      </c>
      <c r="T145" s="322" t="str">
        <f ca="1"/>
        <v/>
      </c>
      <c r="U145" s="323" t="str">
        <f t="shared" ca="1" si="5"/>
        <v/>
      </c>
      <c r="V145" s="324" t="str">
        <f t="shared" ca="1" si="6"/>
        <v/>
      </c>
      <c r="W145" s="323" t="str">
        <f t="shared" ca="1" si="7"/>
        <v/>
      </c>
      <c r="X145" s="325" t="str">
        <f t="shared" ca="1" si="8"/>
        <v/>
      </c>
      <c r="Y145" s="324" t="str">
        <f t="shared" ca="1" si="9"/>
        <v/>
      </c>
    </row>
    <row r="146" spans="2:25" x14ac:dyDescent="0.2">
      <c r="B146" s="331">
        <v>108</v>
      </c>
      <c r="C146" s="332"/>
      <c r="D146" s="333"/>
      <c r="E146" s="294"/>
      <c r="F146" s="274"/>
      <c r="H146" s="273">
        <v>133</v>
      </c>
      <c r="I146" s="257" t="e">
        <f ca="1"/>
        <v>#N/A</v>
      </c>
      <c r="J146" s="257" t="e">
        <f ca="1"/>
        <v>#N/A</v>
      </c>
      <c r="K146" s="264" t="e">
        <f ca="1"/>
        <v>#N/A</v>
      </c>
      <c r="L146" s="264" t="e">
        <f ca="1"/>
        <v>#N/A</v>
      </c>
      <c r="M146" s="257" t="e">
        <f ca="1"/>
        <v>#N/A</v>
      </c>
      <c r="N146" s="266" t="e">
        <f ca="1"/>
        <v>#N/A</v>
      </c>
      <c r="P146" s="319" t="str">
        <f t="array" aca="1" ref="P146:T146" ca="1">IF(AND($Q$34,B148&lt;=$C$17,C148&lt;&gt;""),TRANSPOSE(INDEX(cds(C148,$C$6,$C$29,,$C$13,$C$14,,,,,TRUE,TRUE,FALSE,,"1m"),0,1)),"")</f>
        <v/>
      </c>
      <c r="Q146" s="320" t="str">
        <f ca="1"/>
        <v/>
      </c>
      <c r="R146" s="320" t="str">
        <f ca="1"/>
        <v/>
      </c>
      <c r="S146" s="321" t="str">
        <f ca="1"/>
        <v/>
      </c>
      <c r="T146" s="322" t="str">
        <f ca="1"/>
        <v/>
      </c>
      <c r="U146" s="323" t="str">
        <f t="shared" ca="1" si="5"/>
        <v/>
      </c>
      <c r="V146" s="324" t="str">
        <f t="shared" ca="1" si="6"/>
        <v/>
      </c>
      <c r="W146" s="323" t="str">
        <f t="shared" ca="1" si="7"/>
        <v/>
      </c>
      <c r="X146" s="325" t="str">
        <f t="shared" ca="1" si="8"/>
        <v/>
      </c>
      <c r="Y146" s="324" t="str">
        <f t="shared" ca="1" si="9"/>
        <v/>
      </c>
    </row>
    <row r="147" spans="2:25" x14ac:dyDescent="0.2">
      <c r="B147" s="331">
        <v>109</v>
      </c>
      <c r="C147" s="332"/>
      <c r="D147" s="333"/>
      <c r="E147" s="294"/>
      <c r="F147" s="274"/>
      <c r="H147" s="273">
        <v>134</v>
      </c>
      <c r="I147" s="257" t="e">
        <f ca="1"/>
        <v>#N/A</v>
      </c>
      <c r="J147" s="257" t="e">
        <f ca="1"/>
        <v>#N/A</v>
      </c>
      <c r="K147" s="264" t="e">
        <f ca="1"/>
        <v>#N/A</v>
      </c>
      <c r="L147" s="264" t="e">
        <f ca="1"/>
        <v>#N/A</v>
      </c>
      <c r="M147" s="257" t="e">
        <f ca="1"/>
        <v>#N/A</v>
      </c>
      <c r="N147" s="266" t="e">
        <f ca="1"/>
        <v>#N/A</v>
      </c>
      <c r="P147" s="319" t="str">
        <f t="array" aca="1" ref="P147:T147" ca="1">IF(AND($Q$34,B149&lt;=$C$17,C149&lt;&gt;""),TRANSPOSE(INDEX(cds(C149,$C$6,$C$29,,$C$13,$C$14,,,,,TRUE,TRUE,FALSE,,"1m"),0,1)),"")</f>
        <v/>
      </c>
      <c r="Q147" s="320" t="str">
        <f ca="1"/>
        <v/>
      </c>
      <c r="R147" s="320" t="str">
        <f ca="1"/>
        <v/>
      </c>
      <c r="S147" s="321" t="str">
        <f ca="1"/>
        <v/>
      </c>
      <c r="T147" s="322" t="str">
        <f ca="1"/>
        <v/>
      </c>
      <c r="U147" s="323" t="str">
        <f t="shared" ca="1" si="5"/>
        <v/>
      </c>
      <c r="V147" s="324" t="str">
        <f t="shared" ca="1" si="6"/>
        <v/>
      </c>
      <c r="W147" s="323" t="str">
        <f t="shared" ca="1" si="7"/>
        <v/>
      </c>
      <c r="X147" s="325" t="str">
        <f t="shared" ca="1" si="8"/>
        <v/>
      </c>
      <c r="Y147" s="324" t="str">
        <f t="shared" ca="1" si="9"/>
        <v/>
      </c>
    </row>
    <row r="148" spans="2:25" x14ac:dyDescent="0.2">
      <c r="B148" s="331">
        <v>110</v>
      </c>
      <c r="C148" s="332"/>
      <c r="D148" s="333"/>
      <c r="E148" s="294"/>
      <c r="F148" s="274"/>
      <c r="H148" s="273">
        <v>135</v>
      </c>
      <c r="I148" s="257" t="e">
        <f ca="1"/>
        <v>#N/A</v>
      </c>
      <c r="J148" s="257" t="e">
        <f ca="1"/>
        <v>#N/A</v>
      </c>
      <c r="K148" s="264" t="e">
        <f ca="1"/>
        <v>#N/A</v>
      </c>
      <c r="L148" s="264" t="e">
        <f ca="1"/>
        <v>#N/A</v>
      </c>
      <c r="M148" s="257" t="e">
        <f ca="1"/>
        <v>#N/A</v>
      </c>
      <c r="N148" s="266" t="e">
        <f ca="1"/>
        <v>#N/A</v>
      </c>
      <c r="P148" s="319" t="str">
        <f t="array" aca="1" ref="P148:T148" ca="1">IF(AND($Q$34,B150&lt;=$C$17,C150&lt;&gt;""),TRANSPOSE(INDEX(cds(C150,$C$6,$C$29,,$C$13,$C$14,,,,,TRUE,TRUE,FALSE,,"1m"),0,1)),"")</f>
        <v/>
      </c>
      <c r="Q148" s="320" t="str">
        <f ca="1"/>
        <v/>
      </c>
      <c r="R148" s="320" t="str">
        <f ca="1"/>
        <v/>
      </c>
      <c r="S148" s="321" t="str">
        <f ca="1"/>
        <v/>
      </c>
      <c r="T148" s="322" t="str">
        <f ca="1"/>
        <v/>
      </c>
      <c r="U148" s="323" t="str">
        <f t="shared" ca="1" si="5"/>
        <v/>
      </c>
      <c r="V148" s="324" t="str">
        <f t="shared" ca="1" si="6"/>
        <v/>
      </c>
      <c r="W148" s="323" t="str">
        <f t="shared" ca="1" si="7"/>
        <v/>
      </c>
      <c r="X148" s="325" t="str">
        <f t="shared" ca="1" si="8"/>
        <v/>
      </c>
      <c r="Y148" s="324" t="str">
        <f t="shared" ca="1" si="9"/>
        <v/>
      </c>
    </row>
    <row r="149" spans="2:25" x14ac:dyDescent="0.2">
      <c r="B149" s="331">
        <v>111</v>
      </c>
      <c r="C149" s="332"/>
      <c r="D149" s="333"/>
      <c r="E149" s="294"/>
      <c r="F149" s="274"/>
      <c r="H149" s="273">
        <v>136</v>
      </c>
      <c r="I149" s="257" t="e">
        <f ca="1"/>
        <v>#N/A</v>
      </c>
      <c r="J149" s="257" t="e">
        <f ca="1"/>
        <v>#N/A</v>
      </c>
      <c r="K149" s="264" t="e">
        <f ca="1"/>
        <v>#N/A</v>
      </c>
      <c r="L149" s="264" t="e">
        <f ca="1"/>
        <v>#N/A</v>
      </c>
      <c r="M149" s="257" t="e">
        <f ca="1"/>
        <v>#N/A</v>
      </c>
      <c r="N149" s="266" t="e">
        <f ca="1"/>
        <v>#N/A</v>
      </c>
      <c r="P149" s="319" t="str">
        <f t="array" aca="1" ref="P149:T149" ca="1">IF(AND($Q$34,B151&lt;=$C$17,C151&lt;&gt;""),TRANSPOSE(INDEX(cds(C151,$C$6,$C$29,,$C$13,$C$14,,,,,TRUE,TRUE,FALSE,,"1m"),0,1)),"")</f>
        <v/>
      </c>
      <c r="Q149" s="320" t="str">
        <f ca="1"/>
        <v/>
      </c>
      <c r="R149" s="320" t="str">
        <f ca="1"/>
        <v/>
      </c>
      <c r="S149" s="321" t="str">
        <f ca="1"/>
        <v/>
      </c>
      <c r="T149" s="322" t="str">
        <f ca="1"/>
        <v/>
      </c>
      <c r="U149" s="323" t="str">
        <f t="shared" ca="1" si="5"/>
        <v/>
      </c>
      <c r="V149" s="324" t="str">
        <f t="shared" ca="1" si="6"/>
        <v/>
      </c>
      <c r="W149" s="323" t="str">
        <f t="shared" ca="1" si="7"/>
        <v/>
      </c>
      <c r="X149" s="325" t="str">
        <f t="shared" ca="1" si="8"/>
        <v/>
      </c>
      <c r="Y149" s="324" t="str">
        <f t="shared" ca="1" si="9"/>
        <v/>
      </c>
    </row>
    <row r="150" spans="2:25" x14ac:dyDescent="0.2">
      <c r="B150" s="331">
        <v>112</v>
      </c>
      <c r="C150" s="332"/>
      <c r="D150" s="333"/>
      <c r="E150" s="294"/>
      <c r="F150" s="274"/>
      <c r="H150" s="273">
        <v>137</v>
      </c>
      <c r="I150" s="257" t="e">
        <f ca="1"/>
        <v>#N/A</v>
      </c>
      <c r="J150" s="257" t="e">
        <f ca="1"/>
        <v>#N/A</v>
      </c>
      <c r="K150" s="264" t="e">
        <f ca="1"/>
        <v>#N/A</v>
      </c>
      <c r="L150" s="264" t="e">
        <f ca="1"/>
        <v>#N/A</v>
      </c>
      <c r="M150" s="257" t="e">
        <f ca="1"/>
        <v>#N/A</v>
      </c>
      <c r="N150" s="266" t="e">
        <f ca="1"/>
        <v>#N/A</v>
      </c>
      <c r="P150" s="319" t="str">
        <f t="array" aca="1" ref="P150:T150" ca="1">IF(AND($Q$34,B152&lt;=$C$17,C152&lt;&gt;""),TRANSPOSE(INDEX(cds(C152,$C$6,$C$29,,$C$13,$C$14,,,,,TRUE,TRUE,FALSE,,"1m"),0,1)),"")</f>
        <v/>
      </c>
      <c r="Q150" s="320" t="str">
        <f ca="1"/>
        <v/>
      </c>
      <c r="R150" s="320" t="str">
        <f ca="1"/>
        <v/>
      </c>
      <c r="S150" s="321" t="str">
        <f ca="1"/>
        <v/>
      </c>
      <c r="T150" s="322" t="str">
        <f ca="1"/>
        <v/>
      </c>
      <c r="U150" s="323" t="str">
        <f t="shared" ca="1" si="5"/>
        <v/>
      </c>
      <c r="V150" s="324" t="str">
        <f t="shared" ca="1" si="6"/>
        <v/>
      </c>
      <c r="W150" s="323" t="str">
        <f t="shared" ca="1" si="7"/>
        <v/>
      </c>
      <c r="X150" s="325" t="str">
        <f t="shared" ca="1" si="8"/>
        <v/>
      </c>
      <c r="Y150" s="324" t="str">
        <f t="shared" ca="1" si="9"/>
        <v/>
      </c>
    </row>
    <row r="151" spans="2:25" x14ac:dyDescent="0.2">
      <c r="B151" s="331">
        <v>113</v>
      </c>
      <c r="C151" s="332"/>
      <c r="D151" s="333"/>
      <c r="E151" s="294"/>
      <c r="F151" s="274"/>
      <c r="H151" s="273">
        <v>138</v>
      </c>
      <c r="I151" s="257" t="e">
        <f ca="1"/>
        <v>#N/A</v>
      </c>
      <c r="J151" s="257" t="e">
        <f ca="1"/>
        <v>#N/A</v>
      </c>
      <c r="K151" s="264" t="e">
        <f ca="1"/>
        <v>#N/A</v>
      </c>
      <c r="L151" s="264" t="e">
        <f ca="1"/>
        <v>#N/A</v>
      </c>
      <c r="M151" s="257" t="e">
        <f ca="1"/>
        <v>#N/A</v>
      </c>
      <c r="N151" s="266" t="e">
        <f ca="1"/>
        <v>#N/A</v>
      </c>
      <c r="P151" s="319" t="str">
        <f t="array" aca="1" ref="P151:T151" ca="1">IF(AND($Q$34,B153&lt;=$C$17,C153&lt;&gt;""),TRANSPOSE(INDEX(cds(C153,$C$6,$C$29,,$C$13,$C$14,,,,,TRUE,TRUE,FALSE,,"1m"),0,1)),"")</f>
        <v/>
      </c>
      <c r="Q151" s="320" t="str">
        <f ca="1"/>
        <v/>
      </c>
      <c r="R151" s="320" t="str">
        <f ca="1"/>
        <v/>
      </c>
      <c r="S151" s="321" t="str">
        <f ca="1"/>
        <v/>
      </c>
      <c r="T151" s="322" t="str">
        <f ca="1"/>
        <v/>
      </c>
      <c r="U151" s="323" t="str">
        <f t="shared" ca="1" si="5"/>
        <v/>
      </c>
      <c r="V151" s="324" t="str">
        <f t="shared" ca="1" si="6"/>
        <v/>
      </c>
      <c r="W151" s="323" t="str">
        <f t="shared" ca="1" si="7"/>
        <v/>
      </c>
      <c r="X151" s="325" t="str">
        <f t="shared" ca="1" si="8"/>
        <v/>
      </c>
      <c r="Y151" s="324" t="str">
        <f t="shared" ca="1" si="9"/>
        <v/>
      </c>
    </row>
    <row r="152" spans="2:25" x14ac:dyDescent="0.2">
      <c r="B152" s="331">
        <v>114</v>
      </c>
      <c r="C152" s="332"/>
      <c r="D152" s="333"/>
      <c r="E152" s="294"/>
      <c r="F152" s="274"/>
      <c r="H152" s="273">
        <v>139</v>
      </c>
      <c r="I152" s="257" t="e">
        <f ca="1"/>
        <v>#N/A</v>
      </c>
      <c r="J152" s="257" t="e">
        <f ca="1"/>
        <v>#N/A</v>
      </c>
      <c r="K152" s="264" t="e">
        <f ca="1"/>
        <v>#N/A</v>
      </c>
      <c r="L152" s="264" t="e">
        <f ca="1"/>
        <v>#N/A</v>
      </c>
      <c r="M152" s="257" t="e">
        <f ca="1"/>
        <v>#N/A</v>
      </c>
      <c r="N152" s="266" t="e">
        <f ca="1"/>
        <v>#N/A</v>
      </c>
      <c r="P152" s="319" t="str">
        <f t="array" aca="1" ref="P152:T152" ca="1">IF(AND($Q$34,B154&lt;=$C$17,C154&lt;&gt;""),TRANSPOSE(INDEX(cds(C154,$C$6,$C$29,,$C$13,$C$14,,,,,TRUE,TRUE,FALSE,,"1m"),0,1)),"")</f>
        <v/>
      </c>
      <c r="Q152" s="320" t="str">
        <f ca="1"/>
        <v/>
      </c>
      <c r="R152" s="320" t="str">
        <f ca="1"/>
        <v/>
      </c>
      <c r="S152" s="321" t="str">
        <f ca="1"/>
        <v/>
      </c>
      <c r="T152" s="322" t="str">
        <f ca="1"/>
        <v/>
      </c>
      <c r="U152" s="323" t="str">
        <f t="shared" ca="1" si="5"/>
        <v/>
      </c>
      <c r="V152" s="324" t="str">
        <f t="shared" ca="1" si="6"/>
        <v/>
      </c>
      <c r="W152" s="323" t="str">
        <f t="shared" ca="1" si="7"/>
        <v/>
      </c>
      <c r="X152" s="325" t="str">
        <f t="shared" ca="1" si="8"/>
        <v/>
      </c>
      <c r="Y152" s="324" t="str">
        <f t="shared" ca="1" si="9"/>
        <v/>
      </c>
    </row>
    <row r="153" spans="2:25" x14ac:dyDescent="0.2">
      <c r="B153" s="331">
        <v>115</v>
      </c>
      <c r="C153" s="332"/>
      <c r="D153" s="333"/>
      <c r="E153" s="294"/>
      <c r="F153" s="274"/>
      <c r="H153" s="273">
        <v>140</v>
      </c>
      <c r="I153" s="257" t="e">
        <f ca="1"/>
        <v>#N/A</v>
      </c>
      <c r="J153" s="257" t="e">
        <f ca="1"/>
        <v>#N/A</v>
      </c>
      <c r="K153" s="264" t="e">
        <f ca="1"/>
        <v>#N/A</v>
      </c>
      <c r="L153" s="264" t="e">
        <f ca="1"/>
        <v>#N/A</v>
      </c>
      <c r="M153" s="257" t="e">
        <f ca="1"/>
        <v>#N/A</v>
      </c>
      <c r="N153" s="266" t="e">
        <f ca="1"/>
        <v>#N/A</v>
      </c>
      <c r="P153" s="319" t="str">
        <f t="array" aca="1" ref="P153:T153" ca="1">IF(AND($Q$34,B155&lt;=$C$17,C155&lt;&gt;""),TRANSPOSE(INDEX(cds(C155,$C$6,$C$29,,$C$13,$C$14,,,,,TRUE,TRUE,FALSE,,"1m"),0,1)),"")</f>
        <v/>
      </c>
      <c r="Q153" s="320" t="str">
        <f ca="1"/>
        <v/>
      </c>
      <c r="R153" s="320" t="str">
        <f ca="1"/>
        <v/>
      </c>
      <c r="S153" s="321" t="str">
        <f ca="1"/>
        <v/>
      </c>
      <c r="T153" s="322" t="str">
        <f ca="1"/>
        <v/>
      </c>
      <c r="U153" s="323" t="str">
        <f t="shared" ca="1" si="5"/>
        <v/>
      </c>
      <c r="V153" s="324" t="str">
        <f t="shared" ca="1" si="6"/>
        <v/>
      </c>
      <c r="W153" s="323" t="str">
        <f t="shared" ca="1" si="7"/>
        <v/>
      </c>
      <c r="X153" s="325" t="str">
        <f t="shared" ca="1" si="8"/>
        <v/>
      </c>
      <c r="Y153" s="324" t="str">
        <f t="shared" ca="1" si="9"/>
        <v/>
      </c>
    </row>
    <row r="154" spans="2:25" x14ac:dyDescent="0.2">
      <c r="B154" s="331">
        <v>116</v>
      </c>
      <c r="C154" s="332"/>
      <c r="D154" s="333"/>
      <c r="E154" s="294"/>
      <c r="F154" s="274"/>
      <c r="H154" s="273">
        <v>141</v>
      </c>
      <c r="I154" s="257" t="e">
        <f ca="1"/>
        <v>#N/A</v>
      </c>
      <c r="J154" s="257" t="e">
        <f ca="1"/>
        <v>#N/A</v>
      </c>
      <c r="K154" s="264" t="e">
        <f ca="1"/>
        <v>#N/A</v>
      </c>
      <c r="L154" s="264" t="e">
        <f ca="1"/>
        <v>#N/A</v>
      </c>
      <c r="M154" s="257" t="e">
        <f ca="1"/>
        <v>#N/A</v>
      </c>
      <c r="N154" s="266" t="e">
        <f ca="1"/>
        <v>#N/A</v>
      </c>
      <c r="P154" s="319" t="str">
        <f t="array" aca="1" ref="P154:T154" ca="1">IF(AND($Q$34,B156&lt;=$C$17,C156&lt;&gt;""),TRANSPOSE(INDEX(cds(C156,$C$6,$C$29,,$C$13,$C$14,,,,,TRUE,TRUE,FALSE,,"1m"),0,1)),"")</f>
        <v/>
      </c>
      <c r="Q154" s="320" t="str">
        <f ca="1"/>
        <v/>
      </c>
      <c r="R154" s="320" t="str">
        <f ca="1"/>
        <v/>
      </c>
      <c r="S154" s="321" t="str">
        <f ca="1"/>
        <v/>
      </c>
      <c r="T154" s="322" t="str">
        <f ca="1"/>
        <v/>
      </c>
      <c r="U154" s="323" t="str">
        <f t="shared" ca="1" si="5"/>
        <v/>
      </c>
      <c r="V154" s="324" t="str">
        <f t="shared" ca="1" si="6"/>
        <v/>
      </c>
      <c r="W154" s="323" t="str">
        <f t="shared" ca="1" si="7"/>
        <v/>
      </c>
      <c r="X154" s="325" t="str">
        <f t="shared" ca="1" si="8"/>
        <v/>
      </c>
      <c r="Y154" s="324" t="str">
        <f t="shared" ca="1" si="9"/>
        <v/>
      </c>
    </row>
    <row r="155" spans="2:25" x14ac:dyDescent="0.2">
      <c r="B155" s="331">
        <v>117</v>
      </c>
      <c r="C155" s="332"/>
      <c r="D155" s="333"/>
      <c r="E155" s="294"/>
      <c r="F155" s="274"/>
      <c r="H155" s="273">
        <v>142</v>
      </c>
      <c r="I155" s="257" t="e">
        <f ca="1"/>
        <v>#N/A</v>
      </c>
      <c r="J155" s="257" t="e">
        <f ca="1"/>
        <v>#N/A</v>
      </c>
      <c r="K155" s="264" t="e">
        <f ca="1"/>
        <v>#N/A</v>
      </c>
      <c r="L155" s="264" t="e">
        <f ca="1"/>
        <v>#N/A</v>
      </c>
      <c r="M155" s="257" t="e">
        <f ca="1"/>
        <v>#N/A</v>
      </c>
      <c r="N155" s="266" t="e">
        <f ca="1"/>
        <v>#N/A</v>
      </c>
      <c r="P155" s="319" t="str">
        <f t="array" aca="1" ref="P155:T155" ca="1">IF(AND($Q$34,B157&lt;=$C$17,C157&lt;&gt;""),TRANSPOSE(INDEX(cds(C157,$C$6,$C$29,,$C$13,$C$14,,,,,TRUE,TRUE,FALSE,,"1m"),0,1)),"")</f>
        <v/>
      </c>
      <c r="Q155" s="320" t="str">
        <f ca="1"/>
        <v/>
      </c>
      <c r="R155" s="320" t="str">
        <f ca="1"/>
        <v/>
      </c>
      <c r="S155" s="321" t="str">
        <f ca="1"/>
        <v/>
      </c>
      <c r="T155" s="322" t="str">
        <f ca="1"/>
        <v/>
      </c>
      <c r="U155" s="323" t="str">
        <f t="shared" ca="1" si="5"/>
        <v/>
      </c>
      <c r="V155" s="324" t="str">
        <f t="shared" ca="1" si="6"/>
        <v/>
      </c>
      <c r="W155" s="323" t="str">
        <f t="shared" ca="1" si="7"/>
        <v/>
      </c>
      <c r="X155" s="325" t="str">
        <f t="shared" ca="1" si="8"/>
        <v/>
      </c>
      <c r="Y155" s="324" t="str">
        <f t="shared" ca="1" si="9"/>
        <v/>
      </c>
    </row>
    <row r="156" spans="2:25" x14ac:dyDescent="0.2">
      <c r="B156" s="331">
        <v>118</v>
      </c>
      <c r="C156" s="332"/>
      <c r="D156" s="333"/>
      <c r="E156" s="294"/>
      <c r="F156" s="274"/>
      <c r="H156" s="273">
        <v>143</v>
      </c>
      <c r="I156" s="257" t="e">
        <f ca="1"/>
        <v>#N/A</v>
      </c>
      <c r="J156" s="257" t="e">
        <f ca="1"/>
        <v>#N/A</v>
      </c>
      <c r="K156" s="264" t="e">
        <f ca="1"/>
        <v>#N/A</v>
      </c>
      <c r="L156" s="264" t="e">
        <f ca="1"/>
        <v>#N/A</v>
      </c>
      <c r="M156" s="257" t="e">
        <f ca="1"/>
        <v>#N/A</v>
      </c>
      <c r="N156" s="266" t="e">
        <f ca="1"/>
        <v>#N/A</v>
      </c>
      <c r="P156" s="319" t="str">
        <f t="array" aca="1" ref="P156:T156" ca="1">IF(AND($Q$34,B158&lt;=$C$17,C158&lt;&gt;""),TRANSPOSE(INDEX(cds(C158,$C$6,$C$29,,$C$13,$C$14,,,,,TRUE,TRUE,FALSE,,"1m"),0,1)),"")</f>
        <v/>
      </c>
      <c r="Q156" s="320" t="str">
        <f ca="1"/>
        <v/>
      </c>
      <c r="R156" s="320" t="str">
        <f ca="1"/>
        <v/>
      </c>
      <c r="S156" s="321" t="str">
        <f ca="1"/>
        <v/>
      </c>
      <c r="T156" s="322" t="str">
        <f ca="1"/>
        <v/>
      </c>
      <c r="U156" s="323" t="str">
        <f t="shared" ca="1" si="5"/>
        <v/>
      </c>
      <c r="V156" s="324" t="str">
        <f t="shared" ca="1" si="6"/>
        <v/>
      </c>
      <c r="W156" s="323" t="str">
        <f t="shared" ca="1" si="7"/>
        <v/>
      </c>
      <c r="X156" s="325" t="str">
        <f t="shared" ca="1" si="8"/>
        <v/>
      </c>
      <c r="Y156" s="324" t="str">
        <f t="shared" ca="1" si="9"/>
        <v/>
      </c>
    </row>
    <row r="157" spans="2:25" x14ac:dyDescent="0.2">
      <c r="B157" s="331">
        <v>119</v>
      </c>
      <c r="C157" s="332"/>
      <c r="D157" s="333"/>
      <c r="E157" s="294"/>
      <c r="F157" s="274"/>
      <c r="H157" s="273">
        <v>144</v>
      </c>
      <c r="I157" s="257" t="e">
        <f ca="1"/>
        <v>#N/A</v>
      </c>
      <c r="J157" s="257" t="e">
        <f ca="1"/>
        <v>#N/A</v>
      </c>
      <c r="K157" s="264" t="e">
        <f ca="1"/>
        <v>#N/A</v>
      </c>
      <c r="L157" s="264" t="e">
        <f ca="1"/>
        <v>#N/A</v>
      </c>
      <c r="M157" s="257" t="e">
        <f ca="1"/>
        <v>#N/A</v>
      </c>
      <c r="N157" s="266" t="e">
        <f ca="1"/>
        <v>#N/A</v>
      </c>
      <c r="P157" s="319" t="str">
        <f t="array" aca="1" ref="P157:T157" ca="1">IF(AND($Q$34,B159&lt;=$C$17,C159&lt;&gt;""),TRANSPOSE(INDEX(cds(C159,$C$6,$C$29,,$C$13,$C$14,,,,,TRUE,TRUE,FALSE,,"1m"),0,1)),"")</f>
        <v/>
      </c>
      <c r="Q157" s="320" t="str">
        <f ca="1"/>
        <v/>
      </c>
      <c r="R157" s="320" t="str">
        <f ca="1"/>
        <v/>
      </c>
      <c r="S157" s="321" t="str">
        <f ca="1"/>
        <v/>
      </c>
      <c r="T157" s="322" t="str">
        <f ca="1"/>
        <v/>
      </c>
      <c r="U157" s="323" t="str">
        <f t="shared" ca="1" si="5"/>
        <v/>
      </c>
      <c r="V157" s="324" t="str">
        <f t="shared" ca="1" si="6"/>
        <v/>
      </c>
      <c r="W157" s="323" t="str">
        <f t="shared" ca="1" si="7"/>
        <v/>
      </c>
      <c r="X157" s="325" t="str">
        <f t="shared" ca="1" si="8"/>
        <v/>
      </c>
      <c r="Y157" s="324" t="str">
        <f t="shared" ca="1" si="9"/>
        <v/>
      </c>
    </row>
    <row r="158" spans="2:25" x14ac:dyDescent="0.2">
      <c r="B158" s="331">
        <v>120</v>
      </c>
      <c r="C158" s="332"/>
      <c r="D158" s="333"/>
      <c r="E158" s="294"/>
      <c r="F158" s="274"/>
      <c r="H158" s="273">
        <v>145</v>
      </c>
      <c r="I158" s="257" t="e">
        <f ca="1"/>
        <v>#N/A</v>
      </c>
      <c r="J158" s="257" t="e">
        <f ca="1"/>
        <v>#N/A</v>
      </c>
      <c r="K158" s="264" t="e">
        <f ca="1"/>
        <v>#N/A</v>
      </c>
      <c r="L158" s="264" t="e">
        <f ca="1"/>
        <v>#N/A</v>
      </c>
      <c r="M158" s="257" t="e">
        <f ca="1"/>
        <v>#N/A</v>
      </c>
      <c r="N158" s="266" t="e">
        <f ca="1"/>
        <v>#N/A</v>
      </c>
      <c r="P158" s="319" t="str">
        <f t="array" aca="1" ref="P158:T158" ca="1">IF(AND($Q$34,B160&lt;=$C$17,C160&lt;&gt;""),TRANSPOSE(INDEX(cds(C160,$C$6,$C$29,,$C$13,$C$14,,,,,TRUE,TRUE,FALSE,,"1m"),0,1)),"")</f>
        <v/>
      </c>
      <c r="Q158" s="320" t="str">
        <f ca="1"/>
        <v/>
      </c>
      <c r="R158" s="320" t="str">
        <f ca="1"/>
        <v/>
      </c>
      <c r="S158" s="321" t="str">
        <f ca="1"/>
        <v/>
      </c>
      <c r="T158" s="322" t="str">
        <f ca="1"/>
        <v/>
      </c>
      <c r="U158" s="323" t="str">
        <f t="shared" ca="1" si="5"/>
        <v/>
      </c>
      <c r="V158" s="324" t="str">
        <f t="shared" ca="1" si="6"/>
        <v/>
      </c>
      <c r="W158" s="323" t="str">
        <f t="shared" ca="1" si="7"/>
        <v/>
      </c>
      <c r="X158" s="325" t="str">
        <f t="shared" ca="1" si="8"/>
        <v/>
      </c>
      <c r="Y158" s="324" t="str">
        <f t="shared" ca="1" si="9"/>
        <v/>
      </c>
    </row>
    <row r="159" spans="2:25" x14ac:dyDescent="0.2">
      <c r="B159" s="331">
        <v>121</v>
      </c>
      <c r="C159" s="332"/>
      <c r="D159" s="333"/>
      <c r="E159" s="294"/>
      <c r="F159" s="274"/>
      <c r="H159" s="273">
        <v>146</v>
      </c>
      <c r="I159" s="257" t="e">
        <f ca="1"/>
        <v>#N/A</v>
      </c>
      <c r="J159" s="257" t="e">
        <f ca="1"/>
        <v>#N/A</v>
      </c>
      <c r="K159" s="264" t="e">
        <f ca="1"/>
        <v>#N/A</v>
      </c>
      <c r="L159" s="264" t="e">
        <f ca="1"/>
        <v>#N/A</v>
      </c>
      <c r="M159" s="257" t="e">
        <f ca="1"/>
        <v>#N/A</v>
      </c>
      <c r="N159" s="266" t="e">
        <f ca="1"/>
        <v>#N/A</v>
      </c>
      <c r="P159" s="319" t="str">
        <f t="array" aca="1" ref="P159:T159" ca="1">IF(AND($Q$34,B161&lt;=$C$17,C161&lt;&gt;""),TRANSPOSE(INDEX(cds(C161,$C$6,$C$29,,$C$13,$C$14,,,,,TRUE,TRUE,FALSE,,"1m"),0,1)),"")</f>
        <v/>
      </c>
      <c r="Q159" s="320" t="str">
        <f ca="1"/>
        <v/>
      </c>
      <c r="R159" s="320" t="str">
        <f ca="1"/>
        <v/>
      </c>
      <c r="S159" s="321" t="str">
        <f ca="1"/>
        <v/>
      </c>
      <c r="T159" s="322" t="str">
        <f ca="1"/>
        <v/>
      </c>
      <c r="U159" s="323" t="str">
        <f t="shared" ca="1" si="5"/>
        <v/>
      </c>
      <c r="V159" s="324" t="str">
        <f t="shared" ca="1" si="6"/>
        <v/>
      </c>
      <c r="W159" s="323" t="str">
        <f t="shared" ca="1" si="7"/>
        <v/>
      </c>
      <c r="X159" s="325" t="str">
        <f t="shared" ca="1" si="8"/>
        <v/>
      </c>
      <c r="Y159" s="324" t="str">
        <f t="shared" ca="1" si="9"/>
        <v/>
      </c>
    </row>
    <row r="160" spans="2:25" x14ac:dyDescent="0.2">
      <c r="B160" s="331">
        <v>122</v>
      </c>
      <c r="C160" s="332"/>
      <c r="D160" s="333"/>
      <c r="E160" s="294"/>
      <c r="F160" s="274"/>
      <c r="H160" s="273">
        <v>147</v>
      </c>
      <c r="I160" s="257" t="e">
        <f ca="1"/>
        <v>#N/A</v>
      </c>
      <c r="J160" s="257" t="e">
        <f ca="1"/>
        <v>#N/A</v>
      </c>
      <c r="K160" s="264" t="e">
        <f ca="1"/>
        <v>#N/A</v>
      </c>
      <c r="L160" s="264" t="e">
        <f ca="1"/>
        <v>#N/A</v>
      </c>
      <c r="M160" s="257" t="e">
        <f ca="1"/>
        <v>#N/A</v>
      </c>
      <c r="N160" s="266" t="e">
        <f ca="1"/>
        <v>#N/A</v>
      </c>
      <c r="P160" s="319" t="str">
        <f t="array" aca="1" ref="P160:T160" ca="1">IF(AND($Q$34,B162&lt;=$C$17,C162&lt;&gt;""),TRANSPOSE(INDEX(cds(C162,$C$6,$C$29,,$C$13,$C$14,,,,,TRUE,TRUE,FALSE,,"1m"),0,1)),"")</f>
        <v/>
      </c>
      <c r="Q160" s="320" t="str">
        <f ca="1"/>
        <v/>
      </c>
      <c r="R160" s="320" t="str">
        <f ca="1"/>
        <v/>
      </c>
      <c r="S160" s="321" t="str">
        <f ca="1"/>
        <v/>
      </c>
      <c r="T160" s="322" t="str">
        <f ca="1"/>
        <v/>
      </c>
      <c r="U160" s="323" t="str">
        <f t="shared" ca="1" si="5"/>
        <v/>
      </c>
      <c r="V160" s="324" t="str">
        <f t="shared" ca="1" si="6"/>
        <v/>
      </c>
      <c r="W160" s="323" t="str">
        <f t="shared" ca="1" si="7"/>
        <v/>
      </c>
      <c r="X160" s="325" t="str">
        <f t="shared" ca="1" si="8"/>
        <v/>
      </c>
      <c r="Y160" s="324" t="str">
        <f t="shared" ca="1" si="9"/>
        <v/>
      </c>
    </row>
    <row r="161" spans="2:25" x14ac:dyDescent="0.2">
      <c r="B161" s="331">
        <v>123</v>
      </c>
      <c r="C161" s="332"/>
      <c r="D161" s="333"/>
      <c r="E161" s="294"/>
      <c r="F161" s="274"/>
      <c r="H161" s="273">
        <v>148</v>
      </c>
      <c r="I161" s="257" t="e">
        <f ca="1"/>
        <v>#N/A</v>
      </c>
      <c r="J161" s="257" t="e">
        <f ca="1"/>
        <v>#N/A</v>
      </c>
      <c r="K161" s="264" t="e">
        <f ca="1"/>
        <v>#N/A</v>
      </c>
      <c r="L161" s="264" t="e">
        <f ca="1"/>
        <v>#N/A</v>
      </c>
      <c r="M161" s="257" t="e">
        <f ca="1"/>
        <v>#N/A</v>
      </c>
      <c r="N161" s="266" t="e">
        <f ca="1"/>
        <v>#N/A</v>
      </c>
      <c r="P161" s="319" t="str">
        <f t="array" aca="1" ref="P161:T161" ca="1">IF(AND($Q$34,B163&lt;=$C$17,C163&lt;&gt;""),TRANSPOSE(INDEX(cds(C163,$C$6,$C$29,,$C$13,$C$14,,,,,TRUE,TRUE,FALSE,,"1m"),0,1)),"")</f>
        <v/>
      </c>
      <c r="Q161" s="320" t="str">
        <f ca="1"/>
        <v/>
      </c>
      <c r="R161" s="320" t="str">
        <f ca="1"/>
        <v/>
      </c>
      <c r="S161" s="321" t="str">
        <f ca="1"/>
        <v/>
      </c>
      <c r="T161" s="322" t="str">
        <f ca="1"/>
        <v/>
      </c>
      <c r="U161" s="323" t="str">
        <f t="shared" ca="1" si="5"/>
        <v/>
      </c>
      <c r="V161" s="324" t="str">
        <f t="shared" ca="1" si="6"/>
        <v/>
      </c>
      <c r="W161" s="323" t="str">
        <f t="shared" ca="1" si="7"/>
        <v/>
      </c>
      <c r="X161" s="325" t="str">
        <f t="shared" ca="1" si="8"/>
        <v/>
      </c>
      <c r="Y161" s="324" t="str">
        <f t="shared" ca="1" si="9"/>
        <v/>
      </c>
    </row>
    <row r="162" spans="2:25" x14ac:dyDescent="0.2">
      <c r="B162" s="331">
        <v>124</v>
      </c>
      <c r="C162" s="332"/>
      <c r="D162" s="333"/>
      <c r="E162" s="294"/>
      <c r="F162" s="274"/>
      <c r="H162" s="273">
        <v>149</v>
      </c>
      <c r="I162" s="257" t="e">
        <f ca="1"/>
        <v>#N/A</v>
      </c>
      <c r="J162" s="257" t="e">
        <f ca="1"/>
        <v>#N/A</v>
      </c>
      <c r="K162" s="264" t="e">
        <f ca="1"/>
        <v>#N/A</v>
      </c>
      <c r="L162" s="264" t="e">
        <f ca="1"/>
        <v>#N/A</v>
      </c>
      <c r="M162" s="264" t="e">
        <f ca="1"/>
        <v>#N/A</v>
      </c>
      <c r="N162" s="265" t="e">
        <f ca="1"/>
        <v>#N/A</v>
      </c>
      <c r="P162" s="319" t="str">
        <f t="array" aca="1" ref="P162:T162" ca="1">IF(AND($Q$34,B164&lt;=$C$17,C164&lt;&gt;""),TRANSPOSE(INDEX(cds(C164,$C$6,$C$29,,$C$13,$C$14,,,,,TRUE,TRUE,FALSE,,"1m"),0,1)),"")</f>
        <v/>
      </c>
      <c r="Q162" s="320" t="str">
        <f ca="1"/>
        <v/>
      </c>
      <c r="R162" s="320" t="str">
        <f ca="1"/>
        <v/>
      </c>
      <c r="S162" s="321" t="str">
        <f ca="1"/>
        <v/>
      </c>
      <c r="T162" s="322" t="str">
        <f ca="1"/>
        <v/>
      </c>
      <c r="U162" s="323" t="str">
        <f t="shared" ca="1" si="5"/>
        <v/>
      </c>
      <c r="V162" s="324" t="str">
        <f t="shared" ca="1" si="6"/>
        <v/>
      </c>
      <c r="W162" s="323" t="str">
        <f t="shared" ca="1" si="7"/>
        <v/>
      </c>
      <c r="X162" s="325" t="str">
        <f t="shared" ca="1" si="8"/>
        <v/>
      </c>
      <c r="Y162" s="324" t="str">
        <f t="shared" ca="1" si="9"/>
        <v/>
      </c>
    </row>
    <row r="163" spans="2:25" x14ac:dyDescent="0.2">
      <c r="B163" s="331">
        <v>125</v>
      </c>
      <c r="C163" s="332"/>
      <c r="D163" s="333"/>
      <c r="E163" s="294"/>
      <c r="F163" s="274"/>
      <c r="H163" s="273">
        <v>150</v>
      </c>
      <c r="I163" s="257" t="e">
        <f ca="1"/>
        <v>#N/A</v>
      </c>
      <c r="J163" s="257" t="e">
        <f ca="1"/>
        <v>#N/A</v>
      </c>
      <c r="K163" s="264" t="e">
        <f ca="1"/>
        <v>#N/A</v>
      </c>
      <c r="L163" s="264" t="e">
        <f ca="1"/>
        <v>#N/A</v>
      </c>
      <c r="M163" s="264" t="e">
        <f ca="1"/>
        <v>#N/A</v>
      </c>
      <c r="N163" s="265" t="e">
        <f ca="1"/>
        <v>#N/A</v>
      </c>
      <c r="P163" s="319" t="str">
        <f t="array" aca="1" ref="P163:T163" ca="1">IF(AND($Q$34,B165&lt;=$C$17,C165&lt;&gt;""),TRANSPOSE(INDEX(cds(C165,$C$6,$C$29,,$C$13,$C$14,,,,,TRUE,TRUE,FALSE,,"1m"),0,1)),"")</f>
        <v/>
      </c>
      <c r="Q163" s="320" t="str">
        <f ca="1"/>
        <v/>
      </c>
      <c r="R163" s="320" t="str">
        <f ca="1"/>
        <v/>
      </c>
      <c r="S163" s="321" t="str">
        <f ca="1"/>
        <v/>
      </c>
      <c r="T163" s="322" t="str">
        <f ca="1"/>
        <v/>
      </c>
      <c r="U163" s="323" t="str">
        <f t="shared" ca="1" si="5"/>
        <v/>
      </c>
      <c r="V163" s="324" t="str">
        <f t="shared" ca="1" si="6"/>
        <v/>
      </c>
      <c r="W163" s="323" t="str">
        <f t="shared" ca="1" si="7"/>
        <v/>
      </c>
      <c r="X163" s="325" t="str">
        <f t="shared" ca="1" si="8"/>
        <v/>
      </c>
      <c r="Y163" s="324" t="str">
        <f t="shared" ca="1" si="9"/>
        <v/>
      </c>
    </row>
    <row r="164" spans="2:25" x14ac:dyDescent="0.2">
      <c r="B164" s="331">
        <v>126</v>
      </c>
      <c r="C164" s="334"/>
      <c r="D164" s="333"/>
      <c r="E164" s="294"/>
      <c r="F164" s="274"/>
      <c r="H164" s="273">
        <v>151</v>
      </c>
      <c r="I164" s="257" t="e">
        <f ca="1"/>
        <v>#N/A</v>
      </c>
      <c r="J164" s="257" t="e">
        <f ca="1"/>
        <v>#N/A</v>
      </c>
      <c r="K164" s="264" t="e">
        <f ca="1"/>
        <v>#N/A</v>
      </c>
      <c r="L164" s="264" t="e">
        <f ca="1"/>
        <v>#N/A</v>
      </c>
      <c r="M164" s="264" t="e">
        <f ca="1"/>
        <v>#N/A</v>
      </c>
      <c r="N164" s="265" t="e">
        <f ca="1"/>
        <v>#N/A</v>
      </c>
      <c r="P164" s="319" t="str">
        <f t="array" aca="1" ref="P164:T164" ca="1">IF(AND($Q$34,B166&lt;=$C$17,C166&lt;&gt;""),TRANSPOSE(INDEX(cds(C166,$C$6,$C$29,,$C$13,$C$14,,,,,TRUE,TRUE,FALSE,,"1m"),0,1)),"")</f>
        <v/>
      </c>
      <c r="Q164" s="320" t="str">
        <f ca="1"/>
        <v/>
      </c>
      <c r="R164" s="320" t="str">
        <f ca="1"/>
        <v/>
      </c>
      <c r="S164" s="321" t="str">
        <f ca="1"/>
        <v/>
      </c>
      <c r="T164" s="322" t="str">
        <f ca="1"/>
        <v/>
      </c>
      <c r="U164" s="323" t="str">
        <f t="shared" ca="1" si="5"/>
        <v/>
      </c>
      <c r="V164" s="324" t="str">
        <f t="shared" ca="1" si="6"/>
        <v/>
      </c>
      <c r="W164" s="323" t="str">
        <f t="shared" ca="1" si="7"/>
        <v/>
      </c>
      <c r="X164" s="325" t="str">
        <f t="shared" ca="1" si="8"/>
        <v/>
      </c>
      <c r="Y164" s="324" t="str">
        <f t="shared" ca="1" si="9"/>
        <v/>
      </c>
    </row>
    <row r="165" spans="2:25" x14ac:dyDescent="0.2">
      <c r="B165" s="331">
        <v>127</v>
      </c>
      <c r="C165" s="334"/>
      <c r="D165" s="333"/>
      <c r="E165" s="294"/>
      <c r="F165" s="274"/>
      <c r="H165" s="273">
        <v>152</v>
      </c>
      <c r="I165" s="257" t="e">
        <f ca="1"/>
        <v>#N/A</v>
      </c>
      <c r="J165" s="257" t="e">
        <f ca="1"/>
        <v>#N/A</v>
      </c>
      <c r="K165" s="264" t="e">
        <f ca="1"/>
        <v>#N/A</v>
      </c>
      <c r="L165" s="264" t="e">
        <f ca="1"/>
        <v>#N/A</v>
      </c>
      <c r="M165" s="264" t="e">
        <f ca="1"/>
        <v>#N/A</v>
      </c>
      <c r="N165" s="265" t="e">
        <f ca="1"/>
        <v>#N/A</v>
      </c>
      <c r="P165" s="319" t="str">
        <f t="array" aca="1" ref="P165:T165" ca="1">IF(AND($Q$34,B167&lt;=$C$17,C167&lt;&gt;""),TRANSPOSE(INDEX(cds(C167,$C$6,$C$29,,$C$13,$C$14,,,,,TRUE,TRUE,FALSE,,"1m"),0,1)),"")</f>
        <v/>
      </c>
      <c r="Q165" s="320" t="str">
        <f ca="1"/>
        <v/>
      </c>
      <c r="R165" s="320" t="str">
        <f ca="1"/>
        <v/>
      </c>
      <c r="S165" s="321" t="str">
        <f ca="1"/>
        <v/>
      </c>
      <c r="T165" s="322" t="str">
        <f ca="1"/>
        <v/>
      </c>
      <c r="U165" s="323" t="str">
        <f t="shared" ref="U165:U228" ca="1" si="10">IF(NOT($Q$34),"",IF(P165="","",$Q$35*$D$39/$C$18))</f>
        <v/>
      </c>
      <c r="V165" s="324" t="str">
        <f t="shared" ref="V165:V228" ca="1" si="11">IF(NOT($Q$34),"",IF(U165="","",U165*($V$32-S165)*T165))</f>
        <v/>
      </c>
      <c r="W165" s="323" t="str">
        <f t="shared" ref="W165:W228" ca="1" si="12">IF(NOT($Q$34),"",IF(P165="","",IF(ISERROR(L142),0,L142/($C$20-$C$19))))</f>
        <v/>
      </c>
      <c r="X165" s="325" t="str">
        <f t="shared" ref="X165:X228" ca="1" si="13">IF(NOT($Q$34),"",IF(S165="","",S165*$Y$32))</f>
        <v/>
      </c>
      <c r="Y165" s="324" t="str">
        <f t="shared" ref="Y165:Y228" ca="1" si="14">IF(NOT($Q$34),"",IF(W165="","",W165*(X165-S165)*T165))</f>
        <v/>
      </c>
    </row>
    <row r="166" spans="2:25" x14ac:dyDescent="0.2">
      <c r="B166" s="331">
        <v>128</v>
      </c>
      <c r="C166" s="334"/>
      <c r="D166" s="333"/>
      <c r="E166" s="294"/>
      <c r="F166" s="274"/>
      <c r="H166" s="273">
        <v>153</v>
      </c>
      <c r="I166" s="257" t="e">
        <f ca="1"/>
        <v>#N/A</v>
      </c>
      <c r="J166" s="257" t="e">
        <f ca="1"/>
        <v>#N/A</v>
      </c>
      <c r="K166" s="264" t="e">
        <f ca="1"/>
        <v>#N/A</v>
      </c>
      <c r="L166" s="264" t="e">
        <f ca="1"/>
        <v>#N/A</v>
      </c>
      <c r="M166" s="264" t="e">
        <f ca="1"/>
        <v>#N/A</v>
      </c>
      <c r="N166" s="265" t="e">
        <f ca="1"/>
        <v>#N/A</v>
      </c>
      <c r="P166" s="319" t="str">
        <f t="array" aca="1" ref="P166:T166" ca="1">IF(AND($Q$34,B168&lt;=$C$17,C168&lt;&gt;""),TRANSPOSE(INDEX(cds(C168,$C$6,$C$29,,$C$13,$C$14,,,,,TRUE,TRUE,FALSE,,"1m"),0,1)),"")</f>
        <v/>
      </c>
      <c r="Q166" s="320" t="str">
        <f ca="1"/>
        <v/>
      </c>
      <c r="R166" s="320" t="str">
        <f ca="1"/>
        <v/>
      </c>
      <c r="S166" s="321" t="str">
        <f ca="1"/>
        <v/>
      </c>
      <c r="T166" s="322" t="str">
        <f ca="1"/>
        <v/>
      </c>
      <c r="U166" s="323" t="str">
        <f t="shared" ca="1" si="10"/>
        <v/>
      </c>
      <c r="V166" s="324" t="str">
        <f t="shared" ca="1" si="11"/>
        <v/>
      </c>
      <c r="W166" s="323" t="str">
        <f t="shared" ca="1" si="12"/>
        <v/>
      </c>
      <c r="X166" s="325" t="str">
        <f t="shared" ca="1" si="13"/>
        <v/>
      </c>
      <c r="Y166" s="324" t="str">
        <f t="shared" ca="1" si="14"/>
        <v/>
      </c>
    </row>
    <row r="167" spans="2:25" x14ac:dyDescent="0.2">
      <c r="B167" s="331">
        <v>129</v>
      </c>
      <c r="C167" s="334"/>
      <c r="D167" s="333"/>
      <c r="E167" s="294"/>
      <c r="F167" s="274"/>
      <c r="H167" s="273">
        <v>154</v>
      </c>
      <c r="I167" s="257" t="e">
        <f ca="1"/>
        <v>#N/A</v>
      </c>
      <c r="J167" s="257" t="e">
        <f ca="1"/>
        <v>#N/A</v>
      </c>
      <c r="K167" s="264" t="e">
        <f ca="1"/>
        <v>#N/A</v>
      </c>
      <c r="L167" s="264" t="e">
        <f ca="1"/>
        <v>#N/A</v>
      </c>
      <c r="M167" s="264" t="e">
        <f ca="1"/>
        <v>#N/A</v>
      </c>
      <c r="N167" s="265" t="e">
        <f ca="1"/>
        <v>#N/A</v>
      </c>
      <c r="P167" s="319" t="str">
        <f t="array" aca="1" ref="P167:T167" ca="1">IF(AND($Q$34,B169&lt;=$C$17,C169&lt;&gt;""),TRANSPOSE(INDEX(cds(C169,$C$6,$C$29,,$C$13,$C$14,,,,,TRUE,TRUE,FALSE,,"1m"),0,1)),"")</f>
        <v/>
      </c>
      <c r="Q167" s="320" t="str">
        <f ca="1"/>
        <v/>
      </c>
      <c r="R167" s="320" t="str">
        <f ca="1"/>
        <v/>
      </c>
      <c r="S167" s="321" t="str">
        <f ca="1"/>
        <v/>
      </c>
      <c r="T167" s="322" t="str">
        <f ca="1"/>
        <v/>
      </c>
      <c r="U167" s="323" t="str">
        <f t="shared" ca="1" si="10"/>
        <v/>
      </c>
      <c r="V167" s="324" t="str">
        <f t="shared" ca="1" si="11"/>
        <v/>
      </c>
      <c r="W167" s="323" t="str">
        <f t="shared" ca="1" si="12"/>
        <v/>
      </c>
      <c r="X167" s="325" t="str">
        <f t="shared" ca="1" si="13"/>
        <v/>
      </c>
      <c r="Y167" s="324" t="str">
        <f t="shared" ca="1" si="14"/>
        <v/>
      </c>
    </row>
    <row r="168" spans="2:25" x14ac:dyDescent="0.2">
      <c r="B168" s="331">
        <v>130</v>
      </c>
      <c r="C168" s="334"/>
      <c r="D168" s="333"/>
      <c r="E168" s="294"/>
      <c r="F168" s="274"/>
      <c r="H168" s="273">
        <v>155</v>
      </c>
      <c r="I168" s="257" t="e">
        <f ca="1"/>
        <v>#N/A</v>
      </c>
      <c r="J168" s="257" t="e">
        <f ca="1"/>
        <v>#N/A</v>
      </c>
      <c r="K168" s="264" t="e">
        <f ca="1"/>
        <v>#N/A</v>
      </c>
      <c r="L168" s="264" t="e">
        <f ca="1"/>
        <v>#N/A</v>
      </c>
      <c r="M168" s="264" t="e">
        <f ca="1"/>
        <v>#N/A</v>
      </c>
      <c r="N168" s="265" t="e">
        <f ca="1"/>
        <v>#N/A</v>
      </c>
      <c r="P168" s="319" t="str">
        <f t="array" aca="1" ref="P168:T168" ca="1">IF(AND($Q$34,B170&lt;=$C$17,C170&lt;&gt;""),TRANSPOSE(INDEX(cds(C170,$C$6,$C$29,,$C$13,$C$14,,,,,TRUE,TRUE,FALSE,,"1m"),0,1)),"")</f>
        <v/>
      </c>
      <c r="Q168" s="320" t="str">
        <f ca="1"/>
        <v/>
      </c>
      <c r="R168" s="320" t="str">
        <f ca="1"/>
        <v/>
      </c>
      <c r="S168" s="321" t="str">
        <f ca="1"/>
        <v/>
      </c>
      <c r="T168" s="322" t="str">
        <f ca="1"/>
        <v/>
      </c>
      <c r="U168" s="323" t="str">
        <f t="shared" ca="1" si="10"/>
        <v/>
      </c>
      <c r="V168" s="324" t="str">
        <f t="shared" ca="1" si="11"/>
        <v/>
      </c>
      <c r="W168" s="323" t="str">
        <f t="shared" ca="1" si="12"/>
        <v/>
      </c>
      <c r="X168" s="325" t="str">
        <f t="shared" ca="1" si="13"/>
        <v/>
      </c>
      <c r="Y168" s="324" t="str">
        <f t="shared" ca="1" si="14"/>
        <v/>
      </c>
    </row>
    <row r="169" spans="2:25" x14ac:dyDescent="0.2">
      <c r="B169" s="331">
        <v>131</v>
      </c>
      <c r="C169" s="334"/>
      <c r="D169" s="333"/>
      <c r="E169" s="294"/>
      <c r="F169" s="274"/>
      <c r="H169" s="273">
        <v>156</v>
      </c>
      <c r="I169" s="257" t="e">
        <f ca="1"/>
        <v>#N/A</v>
      </c>
      <c r="J169" s="257" t="e">
        <f ca="1"/>
        <v>#N/A</v>
      </c>
      <c r="K169" s="264" t="e">
        <f ca="1"/>
        <v>#N/A</v>
      </c>
      <c r="L169" s="264" t="e">
        <f ca="1"/>
        <v>#N/A</v>
      </c>
      <c r="M169" s="264" t="e">
        <f ca="1"/>
        <v>#N/A</v>
      </c>
      <c r="N169" s="265" t="e">
        <f ca="1"/>
        <v>#N/A</v>
      </c>
      <c r="P169" s="319" t="str">
        <f t="array" aca="1" ref="P169:T169" ca="1">IF(AND($Q$34,B171&lt;=$C$17,C171&lt;&gt;""),TRANSPOSE(INDEX(cds(C171,$C$6,$C$29,,$C$13,$C$14,,,,,TRUE,TRUE,FALSE,,"1m"),0,1)),"")</f>
        <v/>
      </c>
      <c r="Q169" s="320" t="str">
        <f ca="1"/>
        <v/>
      </c>
      <c r="R169" s="320" t="str">
        <f ca="1"/>
        <v/>
      </c>
      <c r="S169" s="321" t="str">
        <f ca="1"/>
        <v/>
      </c>
      <c r="T169" s="322" t="str">
        <f ca="1"/>
        <v/>
      </c>
      <c r="U169" s="323" t="str">
        <f t="shared" ca="1" si="10"/>
        <v/>
      </c>
      <c r="V169" s="324" t="str">
        <f t="shared" ca="1" si="11"/>
        <v/>
      </c>
      <c r="W169" s="323" t="str">
        <f t="shared" ca="1" si="12"/>
        <v/>
      </c>
      <c r="X169" s="325" t="str">
        <f t="shared" ca="1" si="13"/>
        <v/>
      </c>
      <c r="Y169" s="324" t="str">
        <f t="shared" ca="1" si="14"/>
        <v/>
      </c>
    </row>
    <row r="170" spans="2:25" x14ac:dyDescent="0.2">
      <c r="B170" s="331">
        <v>132</v>
      </c>
      <c r="C170" s="334"/>
      <c r="D170" s="333"/>
      <c r="E170" s="294"/>
      <c r="F170" s="274"/>
      <c r="H170" s="273">
        <v>157</v>
      </c>
      <c r="I170" s="257" t="e">
        <f ca="1"/>
        <v>#N/A</v>
      </c>
      <c r="J170" s="257" t="e">
        <f ca="1"/>
        <v>#N/A</v>
      </c>
      <c r="K170" s="264" t="e">
        <f ca="1"/>
        <v>#N/A</v>
      </c>
      <c r="L170" s="264" t="e">
        <f ca="1"/>
        <v>#N/A</v>
      </c>
      <c r="M170" s="264" t="e">
        <f ca="1"/>
        <v>#N/A</v>
      </c>
      <c r="N170" s="265" t="e">
        <f ca="1"/>
        <v>#N/A</v>
      </c>
      <c r="P170" s="319" t="str">
        <f t="array" aca="1" ref="P170:T170" ca="1">IF(AND($Q$34,B172&lt;=$C$17,C172&lt;&gt;""),TRANSPOSE(INDEX(cds(C172,$C$6,$C$29,,$C$13,$C$14,,,,,TRUE,TRUE,FALSE,,"1m"),0,1)),"")</f>
        <v/>
      </c>
      <c r="Q170" s="320" t="str">
        <f ca="1"/>
        <v/>
      </c>
      <c r="R170" s="320" t="str">
        <f ca="1"/>
        <v/>
      </c>
      <c r="S170" s="321" t="str">
        <f ca="1"/>
        <v/>
      </c>
      <c r="T170" s="322" t="str">
        <f ca="1"/>
        <v/>
      </c>
      <c r="U170" s="323" t="str">
        <f t="shared" ca="1" si="10"/>
        <v/>
      </c>
      <c r="V170" s="324" t="str">
        <f t="shared" ca="1" si="11"/>
        <v/>
      </c>
      <c r="W170" s="323" t="str">
        <f t="shared" ca="1" si="12"/>
        <v/>
      </c>
      <c r="X170" s="325" t="str">
        <f t="shared" ca="1" si="13"/>
        <v/>
      </c>
      <c r="Y170" s="324" t="str">
        <f t="shared" ca="1" si="14"/>
        <v/>
      </c>
    </row>
    <row r="171" spans="2:25" x14ac:dyDescent="0.2">
      <c r="B171" s="331">
        <v>133</v>
      </c>
      <c r="C171" s="334"/>
      <c r="D171" s="333"/>
      <c r="E171" s="294"/>
      <c r="F171" s="274"/>
      <c r="H171" s="273">
        <v>158</v>
      </c>
      <c r="I171" s="257" t="e">
        <f ca="1"/>
        <v>#N/A</v>
      </c>
      <c r="J171" s="257" t="e">
        <f ca="1"/>
        <v>#N/A</v>
      </c>
      <c r="K171" s="264" t="e">
        <f ca="1"/>
        <v>#N/A</v>
      </c>
      <c r="L171" s="264" t="e">
        <f ca="1"/>
        <v>#N/A</v>
      </c>
      <c r="M171" s="264" t="e">
        <f ca="1"/>
        <v>#N/A</v>
      </c>
      <c r="N171" s="265" t="e">
        <f ca="1"/>
        <v>#N/A</v>
      </c>
      <c r="P171" s="319" t="str">
        <f t="array" aca="1" ref="P171:T171" ca="1">IF(AND($Q$34,B173&lt;=$C$17,C173&lt;&gt;""),TRANSPOSE(INDEX(cds(C173,$C$6,$C$29,,$C$13,$C$14,,,,,TRUE,TRUE,FALSE,,"1m"),0,1)),"")</f>
        <v/>
      </c>
      <c r="Q171" s="320" t="str">
        <f ca="1"/>
        <v/>
      </c>
      <c r="R171" s="320" t="str">
        <f ca="1"/>
        <v/>
      </c>
      <c r="S171" s="321" t="str">
        <f ca="1"/>
        <v/>
      </c>
      <c r="T171" s="322" t="str">
        <f ca="1"/>
        <v/>
      </c>
      <c r="U171" s="323" t="str">
        <f t="shared" ca="1" si="10"/>
        <v/>
      </c>
      <c r="V171" s="324" t="str">
        <f t="shared" ca="1" si="11"/>
        <v/>
      </c>
      <c r="W171" s="323" t="str">
        <f t="shared" ca="1" si="12"/>
        <v/>
      </c>
      <c r="X171" s="325" t="str">
        <f t="shared" ca="1" si="13"/>
        <v/>
      </c>
      <c r="Y171" s="324" t="str">
        <f t="shared" ca="1" si="14"/>
        <v/>
      </c>
    </row>
    <row r="172" spans="2:25" x14ac:dyDescent="0.2">
      <c r="B172" s="331">
        <v>134</v>
      </c>
      <c r="C172" s="334"/>
      <c r="D172" s="333"/>
      <c r="E172" s="294"/>
      <c r="F172" s="274"/>
      <c r="H172" s="273">
        <v>159</v>
      </c>
      <c r="I172" s="257" t="e">
        <f ca="1"/>
        <v>#N/A</v>
      </c>
      <c r="J172" s="257" t="e">
        <f ca="1"/>
        <v>#N/A</v>
      </c>
      <c r="K172" s="264" t="e">
        <f ca="1"/>
        <v>#N/A</v>
      </c>
      <c r="L172" s="264" t="e">
        <f ca="1"/>
        <v>#N/A</v>
      </c>
      <c r="M172" s="264" t="e">
        <f ca="1"/>
        <v>#N/A</v>
      </c>
      <c r="N172" s="265" t="e">
        <f ca="1"/>
        <v>#N/A</v>
      </c>
      <c r="P172" s="319" t="str">
        <f t="array" aca="1" ref="P172:T172" ca="1">IF(AND($Q$34,B174&lt;=$C$17,C174&lt;&gt;""),TRANSPOSE(INDEX(cds(C174,$C$6,$C$29,,$C$13,$C$14,,,,,TRUE,TRUE,FALSE,,"1m"),0,1)),"")</f>
        <v/>
      </c>
      <c r="Q172" s="320" t="str">
        <f ca="1"/>
        <v/>
      </c>
      <c r="R172" s="320" t="str">
        <f ca="1"/>
        <v/>
      </c>
      <c r="S172" s="321" t="str">
        <f ca="1"/>
        <v/>
      </c>
      <c r="T172" s="322" t="str">
        <f ca="1"/>
        <v/>
      </c>
      <c r="U172" s="323" t="str">
        <f t="shared" ca="1" si="10"/>
        <v/>
      </c>
      <c r="V172" s="324" t="str">
        <f t="shared" ca="1" si="11"/>
        <v/>
      </c>
      <c r="W172" s="323" t="str">
        <f t="shared" ca="1" si="12"/>
        <v/>
      </c>
      <c r="X172" s="325" t="str">
        <f t="shared" ca="1" si="13"/>
        <v/>
      </c>
      <c r="Y172" s="324" t="str">
        <f t="shared" ca="1" si="14"/>
        <v/>
      </c>
    </row>
    <row r="173" spans="2:25" x14ac:dyDescent="0.2">
      <c r="B173" s="331">
        <v>135</v>
      </c>
      <c r="C173" s="334"/>
      <c r="D173" s="333"/>
      <c r="E173" s="294"/>
      <c r="F173" s="274"/>
      <c r="H173" s="273">
        <v>160</v>
      </c>
      <c r="I173" s="257" t="e">
        <f ca="1"/>
        <v>#N/A</v>
      </c>
      <c r="J173" s="257" t="e">
        <f ca="1"/>
        <v>#N/A</v>
      </c>
      <c r="K173" s="264" t="e">
        <f ca="1"/>
        <v>#N/A</v>
      </c>
      <c r="L173" s="264" t="e">
        <f ca="1"/>
        <v>#N/A</v>
      </c>
      <c r="M173" s="264" t="e">
        <f ca="1"/>
        <v>#N/A</v>
      </c>
      <c r="N173" s="265" t="e">
        <f ca="1"/>
        <v>#N/A</v>
      </c>
      <c r="P173" s="319" t="str">
        <f t="array" aca="1" ref="P173:T173" ca="1">IF(AND($Q$34,B175&lt;=$C$17,C175&lt;&gt;""),TRANSPOSE(INDEX(cds(C175,$C$6,$C$29,,$C$13,$C$14,,,,,TRUE,TRUE,FALSE,,"1m"),0,1)),"")</f>
        <v/>
      </c>
      <c r="Q173" s="320" t="str">
        <f ca="1"/>
        <v/>
      </c>
      <c r="R173" s="320" t="str">
        <f ca="1"/>
        <v/>
      </c>
      <c r="S173" s="321" t="str">
        <f ca="1"/>
        <v/>
      </c>
      <c r="T173" s="322" t="str">
        <f ca="1"/>
        <v/>
      </c>
      <c r="U173" s="323" t="str">
        <f t="shared" ca="1" si="10"/>
        <v/>
      </c>
      <c r="V173" s="324" t="str">
        <f t="shared" ca="1" si="11"/>
        <v/>
      </c>
      <c r="W173" s="323" t="str">
        <f t="shared" ca="1" si="12"/>
        <v/>
      </c>
      <c r="X173" s="325" t="str">
        <f t="shared" ca="1" si="13"/>
        <v/>
      </c>
      <c r="Y173" s="324" t="str">
        <f t="shared" ca="1" si="14"/>
        <v/>
      </c>
    </row>
    <row r="174" spans="2:25" x14ac:dyDescent="0.2">
      <c r="B174" s="331">
        <v>136</v>
      </c>
      <c r="C174" s="334"/>
      <c r="D174" s="333"/>
      <c r="E174" s="294"/>
      <c r="F174" s="274"/>
      <c r="H174" s="273">
        <v>161</v>
      </c>
      <c r="I174" s="257" t="e">
        <f ca="1"/>
        <v>#N/A</v>
      </c>
      <c r="J174" s="257" t="e">
        <f ca="1"/>
        <v>#N/A</v>
      </c>
      <c r="K174" s="264" t="e">
        <f ca="1"/>
        <v>#N/A</v>
      </c>
      <c r="L174" s="264" t="e">
        <f ca="1"/>
        <v>#N/A</v>
      </c>
      <c r="M174" s="264" t="e">
        <f ca="1"/>
        <v>#N/A</v>
      </c>
      <c r="N174" s="265" t="e">
        <f ca="1"/>
        <v>#N/A</v>
      </c>
      <c r="P174" s="319" t="str">
        <f t="array" aca="1" ref="P174:T174" ca="1">IF(AND($Q$34,B176&lt;=$C$17,C176&lt;&gt;""),TRANSPOSE(INDEX(cds(C176,$C$6,$C$29,,$C$13,$C$14,,,,,TRUE,TRUE,FALSE,,"1m"),0,1)),"")</f>
        <v/>
      </c>
      <c r="Q174" s="320" t="str">
        <f ca="1"/>
        <v/>
      </c>
      <c r="R174" s="320" t="str">
        <f ca="1"/>
        <v/>
      </c>
      <c r="S174" s="321" t="str">
        <f ca="1"/>
        <v/>
      </c>
      <c r="T174" s="322" t="str">
        <f ca="1"/>
        <v/>
      </c>
      <c r="U174" s="323" t="str">
        <f t="shared" ca="1" si="10"/>
        <v/>
      </c>
      <c r="V174" s="324" t="str">
        <f t="shared" ca="1" si="11"/>
        <v/>
      </c>
      <c r="W174" s="323" t="str">
        <f t="shared" ca="1" si="12"/>
        <v/>
      </c>
      <c r="X174" s="325" t="str">
        <f t="shared" ca="1" si="13"/>
        <v/>
      </c>
      <c r="Y174" s="324" t="str">
        <f t="shared" ca="1" si="14"/>
        <v/>
      </c>
    </row>
    <row r="175" spans="2:25" x14ac:dyDescent="0.2">
      <c r="B175" s="331">
        <v>137</v>
      </c>
      <c r="C175" s="334"/>
      <c r="D175" s="333"/>
      <c r="E175" s="294"/>
      <c r="F175" s="274"/>
      <c r="H175" s="273">
        <v>162</v>
      </c>
      <c r="I175" s="257" t="e">
        <f ca="1"/>
        <v>#N/A</v>
      </c>
      <c r="J175" s="257" t="e">
        <f ca="1"/>
        <v>#N/A</v>
      </c>
      <c r="K175" s="264" t="e">
        <f ca="1"/>
        <v>#N/A</v>
      </c>
      <c r="L175" s="264" t="e">
        <f ca="1"/>
        <v>#N/A</v>
      </c>
      <c r="M175" s="264" t="e">
        <f ca="1"/>
        <v>#N/A</v>
      </c>
      <c r="N175" s="265" t="e">
        <f ca="1"/>
        <v>#N/A</v>
      </c>
      <c r="P175" s="319" t="str">
        <f t="array" aca="1" ref="P175:T175" ca="1">IF(AND($Q$34,B177&lt;=$C$17,C177&lt;&gt;""),TRANSPOSE(INDEX(cds(C177,$C$6,$C$29,,$C$13,$C$14,,,,,TRUE,TRUE,FALSE,,"1m"),0,1)),"")</f>
        <v/>
      </c>
      <c r="Q175" s="320" t="str">
        <f ca="1"/>
        <v/>
      </c>
      <c r="R175" s="320" t="str">
        <f ca="1"/>
        <v/>
      </c>
      <c r="S175" s="321" t="str">
        <f ca="1"/>
        <v/>
      </c>
      <c r="T175" s="322" t="str">
        <f ca="1"/>
        <v/>
      </c>
      <c r="U175" s="323" t="str">
        <f t="shared" ca="1" si="10"/>
        <v/>
      </c>
      <c r="V175" s="324" t="str">
        <f t="shared" ca="1" si="11"/>
        <v/>
      </c>
      <c r="W175" s="323" t="str">
        <f t="shared" ca="1" si="12"/>
        <v/>
      </c>
      <c r="X175" s="325" t="str">
        <f t="shared" ca="1" si="13"/>
        <v/>
      </c>
      <c r="Y175" s="324" t="str">
        <f t="shared" ca="1" si="14"/>
        <v/>
      </c>
    </row>
    <row r="176" spans="2:25" x14ac:dyDescent="0.2">
      <c r="B176" s="331">
        <v>138</v>
      </c>
      <c r="C176" s="334"/>
      <c r="D176" s="333"/>
      <c r="E176" s="294"/>
      <c r="F176" s="274"/>
      <c r="H176" s="273">
        <v>163</v>
      </c>
      <c r="I176" s="257" t="e">
        <f ca="1"/>
        <v>#N/A</v>
      </c>
      <c r="J176" s="257" t="e">
        <f ca="1"/>
        <v>#N/A</v>
      </c>
      <c r="K176" s="264" t="e">
        <f ca="1"/>
        <v>#N/A</v>
      </c>
      <c r="L176" s="264" t="e">
        <f ca="1"/>
        <v>#N/A</v>
      </c>
      <c r="M176" s="264" t="e">
        <f ca="1"/>
        <v>#N/A</v>
      </c>
      <c r="N176" s="265" t="e">
        <f ca="1"/>
        <v>#N/A</v>
      </c>
      <c r="P176" s="319" t="str">
        <f t="array" aca="1" ref="P176:T176" ca="1">IF(AND($Q$34,B178&lt;=$C$17,C178&lt;&gt;""),TRANSPOSE(INDEX(cds(C178,$C$6,$C$29,,$C$13,$C$14,,,,,TRUE,TRUE,FALSE,,"1m"),0,1)),"")</f>
        <v/>
      </c>
      <c r="Q176" s="320" t="str">
        <f ca="1"/>
        <v/>
      </c>
      <c r="R176" s="320" t="str">
        <f ca="1"/>
        <v/>
      </c>
      <c r="S176" s="321" t="str">
        <f ca="1"/>
        <v/>
      </c>
      <c r="T176" s="322" t="str">
        <f ca="1"/>
        <v/>
      </c>
      <c r="U176" s="323" t="str">
        <f t="shared" ca="1" si="10"/>
        <v/>
      </c>
      <c r="V176" s="324" t="str">
        <f t="shared" ca="1" si="11"/>
        <v/>
      </c>
      <c r="W176" s="323" t="str">
        <f t="shared" ca="1" si="12"/>
        <v/>
      </c>
      <c r="X176" s="325" t="str">
        <f t="shared" ca="1" si="13"/>
        <v/>
      </c>
      <c r="Y176" s="324" t="str">
        <f t="shared" ca="1" si="14"/>
        <v/>
      </c>
    </row>
    <row r="177" spans="2:25" x14ac:dyDescent="0.2">
      <c r="B177" s="331">
        <v>139</v>
      </c>
      <c r="C177" s="334"/>
      <c r="D177" s="333"/>
      <c r="E177" s="294"/>
      <c r="F177" s="274"/>
      <c r="H177" s="273">
        <v>164</v>
      </c>
      <c r="I177" s="257" t="e">
        <f ca="1"/>
        <v>#N/A</v>
      </c>
      <c r="J177" s="257" t="e">
        <f ca="1"/>
        <v>#N/A</v>
      </c>
      <c r="K177" s="264" t="e">
        <f ca="1"/>
        <v>#N/A</v>
      </c>
      <c r="L177" s="264" t="e">
        <f ca="1"/>
        <v>#N/A</v>
      </c>
      <c r="M177" s="264" t="e">
        <f ca="1"/>
        <v>#N/A</v>
      </c>
      <c r="N177" s="265" t="e">
        <f ca="1"/>
        <v>#N/A</v>
      </c>
      <c r="P177" s="319" t="str">
        <f t="array" aca="1" ref="P177:T177" ca="1">IF(AND($Q$34,B179&lt;=$C$17,C179&lt;&gt;""),TRANSPOSE(INDEX(cds(C179,$C$6,$C$29,,$C$13,$C$14,,,,,TRUE,TRUE,FALSE,,"1m"),0,1)),"")</f>
        <v/>
      </c>
      <c r="Q177" s="320" t="str">
        <f ca="1"/>
        <v/>
      </c>
      <c r="R177" s="320" t="str">
        <f ca="1"/>
        <v/>
      </c>
      <c r="S177" s="321" t="str">
        <f ca="1"/>
        <v/>
      </c>
      <c r="T177" s="322" t="str">
        <f ca="1"/>
        <v/>
      </c>
      <c r="U177" s="323" t="str">
        <f t="shared" ca="1" si="10"/>
        <v/>
      </c>
      <c r="V177" s="324" t="str">
        <f t="shared" ca="1" si="11"/>
        <v/>
      </c>
      <c r="W177" s="323" t="str">
        <f t="shared" ca="1" si="12"/>
        <v/>
      </c>
      <c r="X177" s="325" t="str">
        <f t="shared" ca="1" si="13"/>
        <v/>
      </c>
      <c r="Y177" s="324" t="str">
        <f t="shared" ca="1" si="14"/>
        <v/>
      </c>
    </row>
    <row r="178" spans="2:25" x14ac:dyDescent="0.2">
      <c r="B178" s="331">
        <v>140</v>
      </c>
      <c r="C178" s="334"/>
      <c r="D178" s="333"/>
      <c r="E178" s="294"/>
      <c r="F178" s="274"/>
      <c r="H178" s="273">
        <v>165</v>
      </c>
      <c r="I178" s="257" t="e">
        <f ca="1"/>
        <v>#N/A</v>
      </c>
      <c r="J178" s="257" t="e">
        <f ca="1"/>
        <v>#N/A</v>
      </c>
      <c r="K178" s="264" t="e">
        <f ca="1"/>
        <v>#N/A</v>
      </c>
      <c r="L178" s="264" t="e">
        <f ca="1"/>
        <v>#N/A</v>
      </c>
      <c r="M178" s="264" t="e">
        <f ca="1"/>
        <v>#N/A</v>
      </c>
      <c r="N178" s="265" t="e">
        <f ca="1"/>
        <v>#N/A</v>
      </c>
      <c r="P178" s="319" t="str">
        <f t="array" aca="1" ref="P178:T178" ca="1">IF(AND($Q$34,B180&lt;=$C$17,C180&lt;&gt;""),TRANSPOSE(INDEX(cds(C180,$C$6,$C$29,,$C$13,$C$14,,,,,TRUE,TRUE,FALSE,,"1m"),0,1)),"")</f>
        <v/>
      </c>
      <c r="Q178" s="320" t="str">
        <f ca="1"/>
        <v/>
      </c>
      <c r="R178" s="320" t="str">
        <f ca="1"/>
        <v/>
      </c>
      <c r="S178" s="321" t="str">
        <f ca="1"/>
        <v/>
      </c>
      <c r="T178" s="322" t="str">
        <f ca="1"/>
        <v/>
      </c>
      <c r="U178" s="323" t="str">
        <f t="shared" ca="1" si="10"/>
        <v/>
      </c>
      <c r="V178" s="324" t="str">
        <f t="shared" ca="1" si="11"/>
        <v/>
      </c>
      <c r="W178" s="323" t="str">
        <f t="shared" ca="1" si="12"/>
        <v/>
      </c>
      <c r="X178" s="325" t="str">
        <f t="shared" ca="1" si="13"/>
        <v/>
      </c>
      <c r="Y178" s="324" t="str">
        <f t="shared" ca="1" si="14"/>
        <v/>
      </c>
    </row>
    <row r="179" spans="2:25" x14ac:dyDescent="0.2">
      <c r="B179" s="331">
        <v>141</v>
      </c>
      <c r="C179" s="334"/>
      <c r="D179" s="333"/>
      <c r="E179" s="294"/>
      <c r="F179" s="274"/>
      <c r="H179" s="273">
        <v>166</v>
      </c>
      <c r="I179" s="257" t="e">
        <f ca="1"/>
        <v>#N/A</v>
      </c>
      <c r="J179" s="257" t="e">
        <f ca="1"/>
        <v>#N/A</v>
      </c>
      <c r="K179" s="264" t="e">
        <f ca="1"/>
        <v>#N/A</v>
      </c>
      <c r="L179" s="264" t="e">
        <f ca="1"/>
        <v>#N/A</v>
      </c>
      <c r="M179" s="264" t="e">
        <f ca="1"/>
        <v>#N/A</v>
      </c>
      <c r="N179" s="265" t="e">
        <f ca="1"/>
        <v>#N/A</v>
      </c>
      <c r="P179" s="319" t="str">
        <f t="array" aca="1" ref="P179:T179" ca="1">IF(AND($Q$34,B181&lt;=$C$17,C181&lt;&gt;""),TRANSPOSE(INDEX(cds(C181,$C$6,$C$29,,$C$13,$C$14,,,,,TRUE,TRUE,FALSE,,"1m"),0,1)),"")</f>
        <v/>
      </c>
      <c r="Q179" s="320" t="str">
        <f ca="1"/>
        <v/>
      </c>
      <c r="R179" s="320" t="str">
        <f ca="1"/>
        <v/>
      </c>
      <c r="S179" s="321" t="str">
        <f ca="1"/>
        <v/>
      </c>
      <c r="T179" s="322" t="str">
        <f ca="1"/>
        <v/>
      </c>
      <c r="U179" s="323" t="str">
        <f t="shared" ca="1" si="10"/>
        <v/>
      </c>
      <c r="V179" s="324" t="str">
        <f t="shared" ca="1" si="11"/>
        <v/>
      </c>
      <c r="W179" s="323" t="str">
        <f t="shared" ca="1" si="12"/>
        <v/>
      </c>
      <c r="X179" s="325" t="str">
        <f t="shared" ca="1" si="13"/>
        <v/>
      </c>
      <c r="Y179" s="324" t="str">
        <f t="shared" ca="1" si="14"/>
        <v/>
      </c>
    </row>
    <row r="180" spans="2:25" x14ac:dyDescent="0.2">
      <c r="B180" s="331">
        <v>142</v>
      </c>
      <c r="C180" s="334"/>
      <c r="D180" s="333"/>
      <c r="E180" s="294"/>
      <c r="F180" s="274"/>
      <c r="H180" s="273">
        <v>167</v>
      </c>
      <c r="I180" s="257" t="e">
        <f ca="1"/>
        <v>#N/A</v>
      </c>
      <c r="J180" s="257" t="e">
        <f ca="1"/>
        <v>#N/A</v>
      </c>
      <c r="K180" s="264" t="e">
        <f ca="1"/>
        <v>#N/A</v>
      </c>
      <c r="L180" s="264" t="e">
        <f ca="1"/>
        <v>#N/A</v>
      </c>
      <c r="M180" s="264" t="e">
        <f ca="1"/>
        <v>#N/A</v>
      </c>
      <c r="N180" s="265" t="e">
        <f ca="1"/>
        <v>#N/A</v>
      </c>
      <c r="P180" s="319" t="str">
        <f t="array" aca="1" ref="P180:T180" ca="1">IF(AND($Q$34,B182&lt;=$C$17,C182&lt;&gt;""),TRANSPOSE(INDEX(cds(C182,$C$6,$C$29,,$C$13,$C$14,,,,,TRUE,TRUE,FALSE,,"1m"),0,1)),"")</f>
        <v/>
      </c>
      <c r="Q180" s="320" t="str">
        <f ca="1"/>
        <v/>
      </c>
      <c r="R180" s="320" t="str">
        <f ca="1"/>
        <v/>
      </c>
      <c r="S180" s="321" t="str">
        <f ca="1"/>
        <v/>
      </c>
      <c r="T180" s="322" t="str">
        <f ca="1"/>
        <v/>
      </c>
      <c r="U180" s="323" t="str">
        <f t="shared" ca="1" si="10"/>
        <v/>
      </c>
      <c r="V180" s="324" t="str">
        <f t="shared" ca="1" si="11"/>
        <v/>
      </c>
      <c r="W180" s="323" t="str">
        <f t="shared" ca="1" si="12"/>
        <v/>
      </c>
      <c r="X180" s="325" t="str">
        <f t="shared" ca="1" si="13"/>
        <v/>
      </c>
      <c r="Y180" s="324" t="str">
        <f t="shared" ca="1" si="14"/>
        <v/>
      </c>
    </row>
    <row r="181" spans="2:25" x14ac:dyDescent="0.2">
      <c r="B181" s="331">
        <v>143</v>
      </c>
      <c r="C181" s="334"/>
      <c r="D181" s="333"/>
      <c r="E181" s="294"/>
      <c r="F181" s="274"/>
      <c r="H181" s="273">
        <v>168</v>
      </c>
      <c r="I181" s="257" t="e">
        <f ca="1"/>
        <v>#N/A</v>
      </c>
      <c r="J181" s="257" t="e">
        <f ca="1"/>
        <v>#N/A</v>
      </c>
      <c r="K181" s="264" t="e">
        <f ca="1"/>
        <v>#N/A</v>
      </c>
      <c r="L181" s="264" t="e">
        <f ca="1"/>
        <v>#N/A</v>
      </c>
      <c r="M181" s="264" t="e">
        <f ca="1"/>
        <v>#N/A</v>
      </c>
      <c r="N181" s="265" t="e">
        <f ca="1"/>
        <v>#N/A</v>
      </c>
      <c r="P181" s="319" t="str">
        <f t="array" aca="1" ref="P181:T181" ca="1">IF(AND($Q$34,B183&lt;=$C$17,C183&lt;&gt;""),TRANSPOSE(INDEX(cds(C183,$C$6,$C$29,,$C$13,$C$14,,,,,TRUE,TRUE,FALSE,,"1m"),0,1)),"")</f>
        <v/>
      </c>
      <c r="Q181" s="320" t="str">
        <f ca="1"/>
        <v/>
      </c>
      <c r="R181" s="320" t="str">
        <f ca="1"/>
        <v/>
      </c>
      <c r="S181" s="321" t="str">
        <f ca="1"/>
        <v/>
      </c>
      <c r="T181" s="322" t="str">
        <f ca="1"/>
        <v/>
      </c>
      <c r="U181" s="323" t="str">
        <f t="shared" ca="1" si="10"/>
        <v/>
      </c>
      <c r="V181" s="324" t="str">
        <f t="shared" ca="1" si="11"/>
        <v/>
      </c>
      <c r="W181" s="323" t="str">
        <f t="shared" ca="1" si="12"/>
        <v/>
      </c>
      <c r="X181" s="325" t="str">
        <f t="shared" ca="1" si="13"/>
        <v/>
      </c>
      <c r="Y181" s="324" t="str">
        <f t="shared" ca="1" si="14"/>
        <v/>
      </c>
    </row>
    <row r="182" spans="2:25" x14ac:dyDescent="0.2">
      <c r="B182" s="331">
        <v>144</v>
      </c>
      <c r="C182" s="334"/>
      <c r="D182" s="333"/>
      <c r="E182" s="294"/>
      <c r="F182" s="274"/>
      <c r="H182" s="273">
        <v>169</v>
      </c>
      <c r="I182" s="257" t="e">
        <f ca="1"/>
        <v>#N/A</v>
      </c>
      <c r="J182" s="257" t="e">
        <f ca="1"/>
        <v>#N/A</v>
      </c>
      <c r="K182" s="264" t="e">
        <f ca="1"/>
        <v>#N/A</v>
      </c>
      <c r="L182" s="264" t="e">
        <f ca="1"/>
        <v>#N/A</v>
      </c>
      <c r="M182" s="264" t="e">
        <f ca="1"/>
        <v>#N/A</v>
      </c>
      <c r="N182" s="265" t="e">
        <f ca="1"/>
        <v>#N/A</v>
      </c>
      <c r="P182" s="319" t="str">
        <f t="array" aca="1" ref="P182:T182" ca="1">IF(AND($Q$34,B184&lt;=$C$17,C184&lt;&gt;""),TRANSPOSE(INDEX(cds(C184,$C$6,$C$29,,$C$13,$C$14,,,,,TRUE,TRUE,FALSE,,"1m"),0,1)),"")</f>
        <v/>
      </c>
      <c r="Q182" s="320" t="str">
        <f ca="1"/>
        <v/>
      </c>
      <c r="R182" s="320" t="str">
        <f ca="1"/>
        <v/>
      </c>
      <c r="S182" s="321" t="str">
        <f ca="1"/>
        <v/>
      </c>
      <c r="T182" s="322" t="str">
        <f ca="1"/>
        <v/>
      </c>
      <c r="U182" s="323" t="str">
        <f t="shared" ca="1" si="10"/>
        <v/>
      </c>
      <c r="V182" s="324" t="str">
        <f t="shared" ca="1" si="11"/>
        <v/>
      </c>
      <c r="W182" s="323" t="str">
        <f t="shared" ca="1" si="12"/>
        <v/>
      </c>
      <c r="X182" s="325" t="str">
        <f t="shared" ca="1" si="13"/>
        <v/>
      </c>
      <c r="Y182" s="324" t="str">
        <f t="shared" ca="1" si="14"/>
        <v/>
      </c>
    </row>
    <row r="183" spans="2:25" x14ac:dyDescent="0.2">
      <c r="B183" s="331">
        <v>145</v>
      </c>
      <c r="C183" s="334"/>
      <c r="D183" s="333"/>
      <c r="E183" s="294"/>
      <c r="F183" s="274"/>
      <c r="H183" s="273">
        <v>170</v>
      </c>
      <c r="I183" s="257" t="e">
        <f ca="1"/>
        <v>#N/A</v>
      </c>
      <c r="J183" s="257" t="e">
        <f ca="1"/>
        <v>#N/A</v>
      </c>
      <c r="K183" s="264" t="e">
        <f ca="1"/>
        <v>#N/A</v>
      </c>
      <c r="L183" s="264" t="e">
        <f ca="1"/>
        <v>#N/A</v>
      </c>
      <c r="M183" s="264" t="e">
        <f ca="1"/>
        <v>#N/A</v>
      </c>
      <c r="N183" s="265" t="e">
        <f ca="1"/>
        <v>#N/A</v>
      </c>
      <c r="P183" s="319" t="str">
        <f t="array" aca="1" ref="P183:T183" ca="1">IF(AND($Q$34,B185&lt;=$C$17,C185&lt;&gt;""),TRANSPOSE(INDEX(cds(C185,$C$6,$C$29,,$C$13,$C$14,,,,,TRUE,TRUE,FALSE,,"1m"),0,1)),"")</f>
        <v/>
      </c>
      <c r="Q183" s="320" t="str">
        <f ca="1"/>
        <v/>
      </c>
      <c r="R183" s="320" t="str">
        <f ca="1"/>
        <v/>
      </c>
      <c r="S183" s="321" t="str">
        <f ca="1"/>
        <v/>
      </c>
      <c r="T183" s="322" t="str">
        <f ca="1"/>
        <v/>
      </c>
      <c r="U183" s="323" t="str">
        <f t="shared" ca="1" si="10"/>
        <v/>
      </c>
      <c r="V183" s="324" t="str">
        <f t="shared" ca="1" si="11"/>
        <v/>
      </c>
      <c r="W183" s="323" t="str">
        <f t="shared" ca="1" si="12"/>
        <v/>
      </c>
      <c r="X183" s="325" t="str">
        <f t="shared" ca="1" si="13"/>
        <v/>
      </c>
      <c r="Y183" s="324" t="str">
        <f t="shared" ca="1" si="14"/>
        <v/>
      </c>
    </row>
    <row r="184" spans="2:25" x14ac:dyDescent="0.2">
      <c r="B184" s="331">
        <v>146</v>
      </c>
      <c r="C184" s="334"/>
      <c r="D184" s="333"/>
      <c r="E184" s="294"/>
      <c r="F184" s="274"/>
      <c r="H184" s="273">
        <v>171</v>
      </c>
      <c r="I184" s="257" t="e">
        <f ca="1"/>
        <v>#N/A</v>
      </c>
      <c r="J184" s="257" t="e">
        <f ca="1"/>
        <v>#N/A</v>
      </c>
      <c r="K184" s="264" t="e">
        <f ca="1"/>
        <v>#N/A</v>
      </c>
      <c r="L184" s="264" t="e">
        <f ca="1"/>
        <v>#N/A</v>
      </c>
      <c r="M184" s="264" t="e">
        <f ca="1"/>
        <v>#N/A</v>
      </c>
      <c r="N184" s="265" t="e">
        <f ca="1"/>
        <v>#N/A</v>
      </c>
      <c r="P184" s="319" t="str">
        <f t="array" aca="1" ref="P184:T184" ca="1">IF(AND($Q$34,B186&lt;=$C$17,C186&lt;&gt;""),TRANSPOSE(INDEX(cds(C186,$C$6,$C$29,,$C$13,$C$14,,,,,TRUE,TRUE,FALSE,,"1m"),0,1)),"")</f>
        <v/>
      </c>
      <c r="Q184" s="320" t="str">
        <f ca="1"/>
        <v/>
      </c>
      <c r="R184" s="320" t="str">
        <f ca="1"/>
        <v/>
      </c>
      <c r="S184" s="321" t="str">
        <f ca="1"/>
        <v/>
      </c>
      <c r="T184" s="322" t="str">
        <f ca="1"/>
        <v/>
      </c>
      <c r="U184" s="323" t="str">
        <f t="shared" ca="1" si="10"/>
        <v/>
      </c>
      <c r="V184" s="324" t="str">
        <f t="shared" ca="1" si="11"/>
        <v/>
      </c>
      <c r="W184" s="323" t="str">
        <f t="shared" ca="1" si="12"/>
        <v/>
      </c>
      <c r="X184" s="325" t="str">
        <f t="shared" ca="1" si="13"/>
        <v/>
      </c>
      <c r="Y184" s="324" t="str">
        <f t="shared" ca="1" si="14"/>
        <v/>
      </c>
    </row>
    <row r="185" spans="2:25" x14ac:dyDescent="0.2">
      <c r="B185" s="331">
        <v>147</v>
      </c>
      <c r="C185" s="334"/>
      <c r="D185" s="333"/>
      <c r="E185" s="294"/>
      <c r="F185" s="274"/>
      <c r="H185" s="273">
        <v>172</v>
      </c>
      <c r="I185" s="257" t="e">
        <f ca="1"/>
        <v>#N/A</v>
      </c>
      <c r="J185" s="257" t="e">
        <f ca="1"/>
        <v>#N/A</v>
      </c>
      <c r="K185" s="264" t="e">
        <f ca="1"/>
        <v>#N/A</v>
      </c>
      <c r="L185" s="264" t="e">
        <f ca="1"/>
        <v>#N/A</v>
      </c>
      <c r="M185" s="264" t="e">
        <f ca="1"/>
        <v>#N/A</v>
      </c>
      <c r="N185" s="265" t="e">
        <f ca="1"/>
        <v>#N/A</v>
      </c>
      <c r="P185" s="319" t="str">
        <f t="array" aca="1" ref="P185:T185" ca="1">IF(AND($Q$34,B187&lt;=$C$17,C187&lt;&gt;""),TRANSPOSE(INDEX(cds(C187,$C$6,$C$29,,$C$13,$C$14,,,,,TRUE,TRUE,FALSE,,"1m"),0,1)),"")</f>
        <v/>
      </c>
      <c r="Q185" s="320" t="str">
        <f ca="1"/>
        <v/>
      </c>
      <c r="R185" s="320" t="str">
        <f ca="1"/>
        <v/>
      </c>
      <c r="S185" s="321" t="str">
        <f ca="1"/>
        <v/>
      </c>
      <c r="T185" s="322" t="str">
        <f ca="1"/>
        <v/>
      </c>
      <c r="U185" s="323" t="str">
        <f t="shared" ca="1" si="10"/>
        <v/>
      </c>
      <c r="V185" s="324" t="str">
        <f t="shared" ca="1" si="11"/>
        <v/>
      </c>
      <c r="W185" s="323" t="str">
        <f t="shared" ca="1" si="12"/>
        <v/>
      </c>
      <c r="X185" s="325" t="str">
        <f t="shared" ca="1" si="13"/>
        <v/>
      </c>
      <c r="Y185" s="324" t="str">
        <f t="shared" ca="1" si="14"/>
        <v/>
      </c>
    </row>
    <row r="186" spans="2:25" x14ac:dyDescent="0.2">
      <c r="B186" s="331">
        <v>148</v>
      </c>
      <c r="C186" s="334"/>
      <c r="D186" s="333"/>
      <c r="E186" s="294"/>
      <c r="F186" s="274"/>
      <c r="H186" s="273">
        <v>173</v>
      </c>
      <c r="I186" s="257" t="e">
        <f ca="1"/>
        <v>#N/A</v>
      </c>
      <c r="J186" s="257" t="e">
        <f ca="1"/>
        <v>#N/A</v>
      </c>
      <c r="K186" s="264" t="e">
        <f ca="1"/>
        <v>#N/A</v>
      </c>
      <c r="L186" s="264" t="e">
        <f ca="1"/>
        <v>#N/A</v>
      </c>
      <c r="M186" s="264" t="e">
        <f ca="1"/>
        <v>#N/A</v>
      </c>
      <c r="N186" s="265" t="e">
        <f ca="1"/>
        <v>#N/A</v>
      </c>
      <c r="P186" s="319" t="str">
        <f t="array" aca="1" ref="P186:T186" ca="1">IF(AND($Q$34,B188&lt;=$C$17,C188&lt;&gt;""),TRANSPOSE(INDEX(cds(C188,$C$6,$C$29,,$C$13,$C$14,,,,,TRUE,TRUE,FALSE,,"1m"),0,1)),"")</f>
        <v/>
      </c>
      <c r="Q186" s="320" t="str">
        <f ca="1"/>
        <v/>
      </c>
      <c r="R186" s="320" t="str">
        <f ca="1"/>
        <v/>
      </c>
      <c r="S186" s="321" t="str">
        <f ca="1"/>
        <v/>
      </c>
      <c r="T186" s="322" t="str">
        <f ca="1"/>
        <v/>
      </c>
      <c r="U186" s="323" t="str">
        <f t="shared" ca="1" si="10"/>
        <v/>
      </c>
      <c r="V186" s="324" t="str">
        <f t="shared" ca="1" si="11"/>
        <v/>
      </c>
      <c r="W186" s="323" t="str">
        <f t="shared" ca="1" si="12"/>
        <v/>
      </c>
      <c r="X186" s="325" t="str">
        <f t="shared" ca="1" si="13"/>
        <v/>
      </c>
      <c r="Y186" s="324" t="str">
        <f t="shared" ca="1" si="14"/>
        <v/>
      </c>
    </row>
    <row r="187" spans="2:25" x14ac:dyDescent="0.2">
      <c r="B187" s="331">
        <v>149</v>
      </c>
      <c r="C187" s="334"/>
      <c r="D187" s="333"/>
      <c r="E187" s="294"/>
      <c r="F187" s="274"/>
      <c r="H187" s="273">
        <v>174</v>
      </c>
      <c r="I187" s="257" t="e">
        <f ca="1"/>
        <v>#N/A</v>
      </c>
      <c r="J187" s="257" t="e">
        <f ca="1"/>
        <v>#N/A</v>
      </c>
      <c r="K187" s="264" t="e">
        <f ca="1"/>
        <v>#N/A</v>
      </c>
      <c r="L187" s="264" t="e">
        <f ca="1"/>
        <v>#N/A</v>
      </c>
      <c r="M187" s="264" t="e">
        <f ca="1"/>
        <v>#N/A</v>
      </c>
      <c r="N187" s="265" t="e">
        <f ca="1"/>
        <v>#N/A</v>
      </c>
      <c r="P187" s="319" t="str">
        <f t="array" aca="1" ref="P187:T187" ca="1">IF(AND($Q$34,B189&lt;=$C$17,C189&lt;&gt;""),TRANSPOSE(INDEX(cds(C189,$C$6,$C$29,,$C$13,$C$14,,,,,TRUE,TRUE,FALSE,,"1m"),0,1)),"")</f>
        <v/>
      </c>
      <c r="Q187" s="320" t="str">
        <f ca="1"/>
        <v/>
      </c>
      <c r="R187" s="320" t="str">
        <f ca="1"/>
        <v/>
      </c>
      <c r="S187" s="321" t="str">
        <f ca="1"/>
        <v/>
      </c>
      <c r="T187" s="322" t="str">
        <f ca="1"/>
        <v/>
      </c>
      <c r="U187" s="323" t="str">
        <f t="shared" ca="1" si="10"/>
        <v/>
      </c>
      <c r="V187" s="324" t="str">
        <f t="shared" ca="1" si="11"/>
        <v/>
      </c>
      <c r="W187" s="323" t="str">
        <f t="shared" ca="1" si="12"/>
        <v/>
      </c>
      <c r="X187" s="325" t="str">
        <f t="shared" ca="1" si="13"/>
        <v/>
      </c>
      <c r="Y187" s="324" t="str">
        <f t="shared" ca="1" si="14"/>
        <v/>
      </c>
    </row>
    <row r="188" spans="2:25" x14ac:dyDescent="0.2">
      <c r="B188" s="331">
        <v>150</v>
      </c>
      <c r="C188" s="334"/>
      <c r="D188" s="333"/>
      <c r="E188" s="294"/>
      <c r="F188" s="274"/>
      <c r="H188" s="273">
        <v>175</v>
      </c>
      <c r="I188" s="257" t="e">
        <f ca="1"/>
        <v>#N/A</v>
      </c>
      <c r="J188" s="257" t="e">
        <f ca="1"/>
        <v>#N/A</v>
      </c>
      <c r="K188" s="264" t="e">
        <f ca="1"/>
        <v>#N/A</v>
      </c>
      <c r="L188" s="264" t="e">
        <f ca="1"/>
        <v>#N/A</v>
      </c>
      <c r="M188" s="264" t="e">
        <f ca="1"/>
        <v>#N/A</v>
      </c>
      <c r="N188" s="265" t="e">
        <f ca="1"/>
        <v>#N/A</v>
      </c>
      <c r="P188" s="319" t="str">
        <f t="array" aca="1" ref="P188:T188" ca="1">IF(AND($Q$34,B190&lt;=$C$17,C190&lt;&gt;""),TRANSPOSE(INDEX(cds(C190,$C$6,$C$29,,$C$13,$C$14,,,,,TRUE,TRUE,FALSE,,"1m"),0,1)),"")</f>
        <v/>
      </c>
      <c r="Q188" s="320" t="str">
        <f ca="1"/>
        <v/>
      </c>
      <c r="R188" s="320" t="str">
        <f ca="1"/>
        <v/>
      </c>
      <c r="S188" s="321" t="str">
        <f ca="1"/>
        <v/>
      </c>
      <c r="T188" s="322" t="str">
        <f ca="1"/>
        <v/>
      </c>
      <c r="U188" s="323" t="str">
        <f t="shared" ca="1" si="10"/>
        <v/>
      </c>
      <c r="V188" s="324" t="str">
        <f t="shared" ca="1" si="11"/>
        <v/>
      </c>
      <c r="W188" s="323" t="str">
        <f t="shared" ca="1" si="12"/>
        <v/>
      </c>
      <c r="X188" s="325" t="str">
        <f t="shared" ca="1" si="13"/>
        <v/>
      </c>
      <c r="Y188" s="324" t="str">
        <f t="shared" ca="1" si="14"/>
        <v/>
      </c>
    </row>
    <row r="189" spans="2:25" x14ac:dyDescent="0.2">
      <c r="B189" s="331">
        <v>151</v>
      </c>
      <c r="C189" s="334"/>
      <c r="D189" s="333"/>
      <c r="E189" s="294"/>
      <c r="F189" s="274"/>
      <c r="H189" s="273">
        <v>176</v>
      </c>
      <c r="I189" s="257" t="e">
        <f ca="1"/>
        <v>#N/A</v>
      </c>
      <c r="J189" s="257" t="e">
        <f ca="1"/>
        <v>#N/A</v>
      </c>
      <c r="K189" s="264" t="e">
        <f ca="1"/>
        <v>#N/A</v>
      </c>
      <c r="L189" s="264" t="e">
        <f ca="1"/>
        <v>#N/A</v>
      </c>
      <c r="M189" s="264" t="e">
        <f ca="1"/>
        <v>#N/A</v>
      </c>
      <c r="N189" s="265" t="e">
        <f ca="1"/>
        <v>#N/A</v>
      </c>
      <c r="P189" s="319" t="str">
        <f t="array" aca="1" ref="P189:T189" ca="1">IF(AND($Q$34,B191&lt;=$C$17,C191&lt;&gt;""),TRANSPOSE(INDEX(cds(C191,$C$6,$C$29,,$C$13,$C$14,,,,,TRUE,TRUE,FALSE,,"1m"),0,1)),"")</f>
        <v/>
      </c>
      <c r="Q189" s="320" t="str">
        <f ca="1"/>
        <v/>
      </c>
      <c r="R189" s="320" t="str">
        <f ca="1"/>
        <v/>
      </c>
      <c r="S189" s="321" t="str">
        <f ca="1"/>
        <v/>
      </c>
      <c r="T189" s="322" t="str">
        <f ca="1"/>
        <v/>
      </c>
      <c r="U189" s="323" t="str">
        <f t="shared" ca="1" si="10"/>
        <v/>
      </c>
      <c r="V189" s="324" t="str">
        <f t="shared" ca="1" si="11"/>
        <v/>
      </c>
      <c r="W189" s="323" t="str">
        <f t="shared" ca="1" si="12"/>
        <v/>
      </c>
      <c r="X189" s="325" t="str">
        <f t="shared" ca="1" si="13"/>
        <v/>
      </c>
      <c r="Y189" s="324" t="str">
        <f t="shared" ca="1" si="14"/>
        <v/>
      </c>
    </row>
    <row r="190" spans="2:25" x14ac:dyDescent="0.2">
      <c r="B190" s="331">
        <v>152</v>
      </c>
      <c r="C190" s="334"/>
      <c r="D190" s="333"/>
      <c r="E190" s="294"/>
      <c r="F190" s="274"/>
      <c r="H190" s="273">
        <v>177</v>
      </c>
      <c r="I190" s="257" t="e">
        <f ca="1"/>
        <v>#N/A</v>
      </c>
      <c r="J190" s="257" t="e">
        <f ca="1"/>
        <v>#N/A</v>
      </c>
      <c r="K190" s="264" t="e">
        <f ca="1"/>
        <v>#N/A</v>
      </c>
      <c r="L190" s="264" t="e">
        <f ca="1"/>
        <v>#N/A</v>
      </c>
      <c r="M190" s="264" t="e">
        <f ca="1"/>
        <v>#N/A</v>
      </c>
      <c r="N190" s="265" t="e">
        <f ca="1"/>
        <v>#N/A</v>
      </c>
      <c r="P190" s="319" t="str">
        <f t="array" aca="1" ref="P190:T190" ca="1">IF(AND($Q$34,B192&lt;=$C$17,C192&lt;&gt;""),TRANSPOSE(INDEX(cds(C192,$C$6,$C$29,,$C$13,$C$14,,,,,TRUE,TRUE,FALSE,,"1m"),0,1)),"")</f>
        <v/>
      </c>
      <c r="Q190" s="320" t="str">
        <f ca="1"/>
        <v/>
      </c>
      <c r="R190" s="320" t="str">
        <f ca="1"/>
        <v/>
      </c>
      <c r="S190" s="321" t="str">
        <f ca="1"/>
        <v/>
      </c>
      <c r="T190" s="322" t="str">
        <f ca="1"/>
        <v/>
      </c>
      <c r="U190" s="323" t="str">
        <f t="shared" ca="1" si="10"/>
        <v/>
      </c>
      <c r="V190" s="324" t="str">
        <f t="shared" ca="1" si="11"/>
        <v/>
      </c>
      <c r="W190" s="323" t="str">
        <f t="shared" ca="1" si="12"/>
        <v/>
      </c>
      <c r="X190" s="325" t="str">
        <f t="shared" ca="1" si="13"/>
        <v/>
      </c>
      <c r="Y190" s="324" t="str">
        <f t="shared" ca="1" si="14"/>
        <v/>
      </c>
    </row>
    <row r="191" spans="2:25" x14ac:dyDescent="0.2">
      <c r="B191" s="331">
        <v>153</v>
      </c>
      <c r="C191" s="334"/>
      <c r="D191" s="333"/>
      <c r="E191" s="294"/>
      <c r="F191" s="274"/>
      <c r="H191" s="273">
        <v>178</v>
      </c>
      <c r="I191" s="257" t="e">
        <f ca="1"/>
        <v>#N/A</v>
      </c>
      <c r="J191" s="257" t="e">
        <f ca="1"/>
        <v>#N/A</v>
      </c>
      <c r="K191" s="264" t="e">
        <f ca="1"/>
        <v>#N/A</v>
      </c>
      <c r="L191" s="264" t="e">
        <f ca="1"/>
        <v>#N/A</v>
      </c>
      <c r="M191" s="264" t="e">
        <f ca="1"/>
        <v>#N/A</v>
      </c>
      <c r="N191" s="265" t="e">
        <f ca="1"/>
        <v>#N/A</v>
      </c>
      <c r="P191" s="319" t="str">
        <f t="array" aca="1" ref="P191:T191" ca="1">IF(AND($Q$34,B193&lt;=$C$17,C193&lt;&gt;""),TRANSPOSE(INDEX(cds(C193,$C$6,$C$29,,$C$13,$C$14,,,,,TRUE,TRUE,FALSE,,"1m"),0,1)),"")</f>
        <v/>
      </c>
      <c r="Q191" s="320" t="str">
        <f ca="1"/>
        <v/>
      </c>
      <c r="R191" s="320" t="str">
        <f ca="1"/>
        <v/>
      </c>
      <c r="S191" s="321" t="str">
        <f ca="1"/>
        <v/>
      </c>
      <c r="T191" s="322" t="str">
        <f ca="1"/>
        <v/>
      </c>
      <c r="U191" s="323" t="str">
        <f t="shared" ca="1" si="10"/>
        <v/>
      </c>
      <c r="V191" s="324" t="str">
        <f t="shared" ca="1" si="11"/>
        <v/>
      </c>
      <c r="W191" s="323" t="str">
        <f t="shared" ca="1" si="12"/>
        <v/>
      </c>
      <c r="X191" s="325" t="str">
        <f t="shared" ca="1" si="13"/>
        <v/>
      </c>
      <c r="Y191" s="324" t="str">
        <f t="shared" ca="1" si="14"/>
        <v/>
      </c>
    </row>
    <row r="192" spans="2:25" x14ac:dyDescent="0.2">
      <c r="B192" s="331">
        <v>154</v>
      </c>
      <c r="C192" s="334"/>
      <c r="D192" s="333"/>
      <c r="E192" s="294"/>
      <c r="F192" s="274"/>
      <c r="H192" s="273">
        <v>179</v>
      </c>
      <c r="I192" s="257" t="e">
        <f ca="1"/>
        <v>#N/A</v>
      </c>
      <c r="J192" s="257" t="e">
        <f ca="1"/>
        <v>#N/A</v>
      </c>
      <c r="K192" s="264" t="e">
        <f ca="1"/>
        <v>#N/A</v>
      </c>
      <c r="L192" s="264" t="e">
        <f ca="1"/>
        <v>#N/A</v>
      </c>
      <c r="M192" s="264" t="e">
        <f ca="1"/>
        <v>#N/A</v>
      </c>
      <c r="N192" s="265" t="e">
        <f ca="1"/>
        <v>#N/A</v>
      </c>
      <c r="P192" s="319" t="str">
        <f t="array" aca="1" ref="P192:T192" ca="1">IF(AND($Q$34,B194&lt;=$C$17,C194&lt;&gt;""),TRANSPOSE(INDEX(cds(C194,$C$6,$C$29,,$C$13,$C$14,,,,,TRUE,TRUE,FALSE,,"1m"),0,1)),"")</f>
        <v/>
      </c>
      <c r="Q192" s="320" t="str">
        <f ca="1"/>
        <v/>
      </c>
      <c r="R192" s="320" t="str">
        <f ca="1"/>
        <v/>
      </c>
      <c r="S192" s="321" t="str">
        <f ca="1"/>
        <v/>
      </c>
      <c r="T192" s="322" t="str">
        <f ca="1"/>
        <v/>
      </c>
      <c r="U192" s="323" t="str">
        <f t="shared" ca="1" si="10"/>
        <v/>
      </c>
      <c r="V192" s="324" t="str">
        <f t="shared" ca="1" si="11"/>
        <v/>
      </c>
      <c r="W192" s="323" t="str">
        <f t="shared" ca="1" si="12"/>
        <v/>
      </c>
      <c r="X192" s="325" t="str">
        <f t="shared" ca="1" si="13"/>
        <v/>
      </c>
      <c r="Y192" s="324" t="str">
        <f t="shared" ca="1" si="14"/>
        <v/>
      </c>
    </row>
    <row r="193" spans="2:25" x14ac:dyDescent="0.2">
      <c r="B193" s="331">
        <v>155</v>
      </c>
      <c r="C193" s="334"/>
      <c r="D193" s="333"/>
      <c r="E193" s="294"/>
      <c r="F193" s="274"/>
      <c r="H193" s="273">
        <v>180</v>
      </c>
      <c r="I193" s="257" t="e">
        <f ca="1"/>
        <v>#N/A</v>
      </c>
      <c r="J193" s="257" t="e">
        <f ca="1"/>
        <v>#N/A</v>
      </c>
      <c r="K193" s="264" t="e">
        <f ca="1"/>
        <v>#N/A</v>
      </c>
      <c r="L193" s="264" t="e">
        <f ca="1"/>
        <v>#N/A</v>
      </c>
      <c r="M193" s="264" t="e">
        <f ca="1"/>
        <v>#N/A</v>
      </c>
      <c r="N193" s="265" t="e">
        <f ca="1"/>
        <v>#N/A</v>
      </c>
      <c r="P193" s="319" t="str">
        <f t="array" aca="1" ref="P193:T193" ca="1">IF(AND($Q$34,B195&lt;=$C$17,C195&lt;&gt;""),TRANSPOSE(INDEX(cds(C195,$C$6,$C$29,,$C$13,$C$14,,,,,TRUE,TRUE,FALSE,,"1m"),0,1)),"")</f>
        <v/>
      </c>
      <c r="Q193" s="320" t="str">
        <f ca="1"/>
        <v/>
      </c>
      <c r="R193" s="320" t="str">
        <f ca="1"/>
        <v/>
      </c>
      <c r="S193" s="321" t="str">
        <f ca="1"/>
        <v/>
      </c>
      <c r="T193" s="322" t="str">
        <f ca="1"/>
        <v/>
      </c>
      <c r="U193" s="323" t="str">
        <f t="shared" ca="1" si="10"/>
        <v/>
      </c>
      <c r="V193" s="324" t="str">
        <f t="shared" ca="1" si="11"/>
        <v/>
      </c>
      <c r="W193" s="323" t="str">
        <f t="shared" ca="1" si="12"/>
        <v/>
      </c>
      <c r="X193" s="325" t="str">
        <f t="shared" ca="1" si="13"/>
        <v/>
      </c>
      <c r="Y193" s="324" t="str">
        <f t="shared" ca="1" si="14"/>
        <v/>
      </c>
    </row>
    <row r="194" spans="2:25" x14ac:dyDescent="0.2">
      <c r="B194" s="331">
        <v>156</v>
      </c>
      <c r="C194" s="334"/>
      <c r="D194" s="333"/>
      <c r="E194" s="294"/>
      <c r="F194" s="274"/>
      <c r="H194" s="273">
        <v>181</v>
      </c>
      <c r="I194" s="257" t="e">
        <f ca="1"/>
        <v>#N/A</v>
      </c>
      <c r="J194" s="257" t="e">
        <f ca="1"/>
        <v>#N/A</v>
      </c>
      <c r="K194" s="264" t="e">
        <f ca="1"/>
        <v>#N/A</v>
      </c>
      <c r="L194" s="264" t="e">
        <f ca="1"/>
        <v>#N/A</v>
      </c>
      <c r="M194" s="264" t="e">
        <f ca="1"/>
        <v>#N/A</v>
      </c>
      <c r="N194" s="265" t="e">
        <f ca="1"/>
        <v>#N/A</v>
      </c>
      <c r="P194" s="319" t="str">
        <f t="array" aca="1" ref="P194:T194" ca="1">IF(AND($Q$34,B196&lt;=$C$17,C196&lt;&gt;""),TRANSPOSE(INDEX(cds(C196,$C$6,$C$29,,$C$13,$C$14,,,,,TRUE,TRUE,FALSE,,"1m"),0,1)),"")</f>
        <v/>
      </c>
      <c r="Q194" s="320" t="str">
        <f ca="1"/>
        <v/>
      </c>
      <c r="R194" s="320" t="str">
        <f ca="1"/>
        <v/>
      </c>
      <c r="S194" s="321" t="str">
        <f ca="1"/>
        <v/>
      </c>
      <c r="T194" s="322" t="str">
        <f ca="1"/>
        <v/>
      </c>
      <c r="U194" s="323" t="str">
        <f t="shared" ca="1" si="10"/>
        <v/>
      </c>
      <c r="V194" s="324" t="str">
        <f t="shared" ca="1" si="11"/>
        <v/>
      </c>
      <c r="W194" s="323" t="str">
        <f t="shared" ca="1" si="12"/>
        <v/>
      </c>
      <c r="X194" s="325" t="str">
        <f t="shared" ca="1" si="13"/>
        <v/>
      </c>
      <c r="Y194" s="324" t="str">
        <f t="shared" ca="1" si="14"/>
        <v/>
      </c>
    </row>
    <row r="195" spans="2:25" x14ac:dyDescent="0.2">
      <c r="B195" s="331">
        <v>157</v>
      </c>
      <c r="C195" s="334"/>
      <c r="D195" s="333"/>
      <c r="E195" s="294"/>
      <c r="F195" s="274"/>
      <c r="H195" s="273">
        <v>182</v>
      </c>
      <c r="I195" s="257" t="e">
        <f ca="1"/>
        <v>#N/A</v>
      </c>
      <c r="J195" s="257" t="e">
        <f ca="1"/>
        <v>#N/A</v>
      </c>
      <c r="K195" s="264" t="e">
        <f ca="1"/>
        <v>#N/A</v>
      </c>
      <c r="L195" s="264" t="e">
        <f ca="1"/>
        <v>#N/A</v>
      </c>
      <c r="M195" s="264" t="e">
        <f ca="1"/>
        <v>#N/A</v>
      </c>
      <c r="N195" s="265" t="e">
        <f ca="1"/>
        <v>#N/A</v>
      </c>
      <c r="P195" s="319" t="str">
        <f t="array" aca="1" ref="P195:T195" ca="1">IF(AND($Q$34,B197&lt;=$C$17,C197&lt;&gt;""),TRANSPOSE(INDEX(cds(C197,$C$6,$C$29,,$C$13,$C$14,,,,,TRUE,TRUE,FALSE,,"1m"),0,1)),"")</f>
        <v/>
      </c>
      <c r="Q195" s="320" t="str">
        <f ca="1"/>
        <v/>
      </c>
      <c r="R195" s="320" t="str">
        <f ca="1"/>
        <v/>
      </c>
      <c r="S195" s="321" t="str">
        <f ca="1"/>
        <v/>
      </c>
      <c r="T195" s="322" t="str">
        <f ca="1"/>
        <v/>
      </c>
      <c r="U195" s="323" t="str">
        <f t="shared" ca="1" si="10"/>
        <v/>
      </c>
      <c r="V195" s="324" t="str">
        <f t="shared" ca="1" si="11"/>
        <v/>
      </c>
      <c r="W195" s="323" t="str">
        <f t="shared" ca="1" si="12"/>
        <v/>
      </c>
      <c r="X195" s="325" t="str">
        <f t="shared" ca="1" si="13"/>
        <v/>
      </c>
      <c r="Y195" s="324" t="str">
        <f t="shared" ca="1" si="14"/>
        <v/>
      </c>
    </row>
    <row r="196" spans="2:25" x14ac:dyDescent="0.2">
      <c r="B196" s="331">
        <v>158</v>
      </c>
      <c r="C196" s="334"/>
      <c r="D196" s="333"/>
      <c r="E196" s="294"/>
      <c r="F196" s="274"/>
      <c r="H196" s="273">
        <v>183</v>
      </c>
      <c r="I196" s="257" t="e">
        <f ca="1"/>
        <v>#N/A</v>
      </c>
      <c r="J196" s="257" t="e">
        <f ca="1"/>
        <v>#N/A</v>
      </c>
      <c r="K196" s="264" t="e">
        <f ca="1"/>
        <v>#N/A</v>
      </c>
      <c r="L196" s="264" t="e">
        <f ca="1"/>
        <v>#N/A</v>
      </c>
      <c r="M196" s="264" t="e">
        <f ca="1"/>
        <v>#N/A</v>
      </c>
      <c r="N196" s="265" t="e">
        <f ca="1"/>
        <v>#N/A</v>
      </c>
      <c r="P196" s="319" t="str">
        <f t="array" aca="1" ref="P196:T196" ca="1">IF(AND($Q$34,B198&lt;=$C$17,C198&lt;&gt;""),TRANSPOSE(INDEX(cds(C198,$C$6,$C$29,,$C$13,$C$14,,,,,TRUE,TRUE,FALSE,,"1m"),0,1)),"")</f>
        <v/>
      </c>
      <c r="Q196" s="320" t="str">
        <f ca="1"/>
        <v/>
      </c>
      <c r="R196" s="320" t="str">
        <f ca="1"/>
        <v/>
      </c>
      <c r="S196" s="321" t="str">
        <f ca="1"/>
        <v/>
      </c>
      <c r="T196" s="322" t="str">
        <f ca="1"/>
        <v/>
      </c>
      <c r="U196" s="323" t="str">
        <f t="shared" ca="1" si="10"/>
        <v/>
      </c>
      <c r="V196" s="324" t="str">
        <f t="shared" ca="1" si="11"/>
        <v/>
      </c>
      <c r="W196" s="323" t="str">
        <f t="shared" ca="1" si="12"/>
        <v/>
      </c>
      <c r="X196" s="325" t="str">
        <f t="shared" ca="1" si="13"/>
        <v/>
      </c>
      <c r="Y196" s="324" t="str">
        <f t="shared" ca="1" si="14"/>
        <v/>
      </c>
    </row>
    <row r="197" spans="2:25" x14ac:dyDescent="0.2">
      <c r="B197" s="331">
        <v>159</v>
      </c>
      <c r="C197" s="334"/>
      <c r="D197" s="333"/>
      <c r="E197" s="294"/>
      <c r="F197" s="274"/>
      <c r="H197" s="273">
        <v>184</v>
      </c>
      <c r="I197" s="257" t="e">
        <f ca="1"/>
        <v>#N/A</v>
      </c>
      <c r="J197" s="257" t="e">
        <f ca="1"/>
        <v>#N/A</v>
      </c>
      <c r="K197" s="264" t="e">
        <f ca="1"/>
        <v>#N/A</v>
      </c>
      <c r="L197" s="264" t="e">
        <f ca="1"/>
        <v>#N/A</v>
      </c>
      <c r="M197" s="264" t="e">
        <f ca="1"/>
        <v>#N/A</v>
      </c>
      <c r="N197" s="265" t="e">
        <f ca="1"/>
        <v>#N/A</v>
      </c>
      <c r="P197" s="319" t="str">
        <f t="array" aca="1" ref="P197:T197" ca="1">IF(AND($Q$34,B199&lt;=$C$17,C199&lt;&gt;""),TRANSPOSE(INDEX(cds(C199,$C$6,$C$29,,$C$13,$C$14,,,,,TRUE,TRUE,FALSE,,"1m"),0,1)),"")</f>
        <v/>
      </c>
      <c r="Q197" s="320" t="str">
        <f ca="1"/>
        <v/>
      </c>
      <c r="R197" s="320" t="str">
        <f ca="1"/>
        <v/>
      </c>
      <c r="S197" s="321" t="str">
        <f ca="1"/>
        <v/>
      </c>
      <c r="T197" s="322" t="str">
        <f ca="1"/>
        <v/>
      </c>
      <c r="U197" s="323" t="str">
        <f t="shared" ca="1" si="10"/>
        <v/>
      </c>
      <c r="V197" s="324" t="str">
        <f t="shared" ca="1" si="11"/>
        <v/>
      </c>
      <c r="W197" s="323" t="str">
        <f t="shared" ca="1" si="12"/>
        <v/>
      </c>
      <c r="X197" s="325" t="str">
        <f t="shared" ca="1" si="13"/>
        <v/>
      </c>
      <c r="Y197" s="324" t="str">
        <f t="shared" ca="1" si="14"/>
        <v/>
      </c>
    </row>
    <row r="198" spans="2:25" x14ac:dyDescent="0.2">
      <c r="B198" s="331">
        <v>160</v>
      </c>
      <c r="C198" s="334"/>
      <c r="D198" s="333"/>
      <c r="E198" s="294"/>
      <c r="F198" s="274"/>
      <c r="H198" s="273">
        <v>185</v>
      </c>
      <c r="I198" s="257" t="e">
        <f ca="1"/>
        <v>#N/A</v>
      </c>
      <c r="J198" s="257" t="e">
        <f ca="1"/>
        <v>#N/A</v>
      </c>
      <c r="K198" s="264" t="e">
        <f ca="1"/>
        <v>#N/A</v>
      </c>
      <c r="L198" s="264" t="e">
        <f ca="1"/>
        <v>#N/A</v>
      </c>
      <c r="M198" s="264" t="e">
        <f ca="1"/>
        <v>#N/A</v>
      </c>
      <c r="N198" s="265" t="e">
        <f ca="1"/>
        <v>#N/A</v>
      </c>
      <c r="P198" s="319" t="str">
        <f t="array" aca="1" ref="P198:T198" ca="1">IF(AND($Q$34,B200&lt;=$C$17,C200&lt;&gt;""),TRANSPOSE(INDEX(cds(C200,$C$6,$C$29,,$C$13,$C$14,,,,,TRUE,TRUE,FALSE,,"1m"),0,1)),"")</f>
        <v/>
      </c>
      <c r="Q198" s="320" t="str">
        <f ca="1"/>
        <v/>
      </c>
      <c r="R198" s="320" t="str">
        <f ca="1"/>
        <v/>
      </c>
      <c r="S198" s="321" t="str">
        <f ca="1"/>
        <v/>
      </c>
      <c r="T198" s="322" t="str">
        <f ca="1"/>
        <v/>
      </c>
      <c r="U198" s="323" t="str">
        <f t="shared" ca="1" si="10"/>
        <v/>
      </c>
      <c r="V198" s="324" t="str">
        <f t="shared" ca="1" si="11"/>
        <v/>
      </c>
      <c r="W198" s="323" t="str">
        <f t="shared" ca="1" si="12"/>
        <v/>
      </c>
      <c r="X198" s="325" t="str">
        <f t="shared" ca="1" si="13"/>
        <v/>
      </c>
      <c r="Y198" s="324" t="str">
        <f t="shared" ca="1" si="14"/>
        <v/>
      </c>
    </row>
    <row r="199" spans="2:25" x14ac:dyDescent="0.2">
      <c r="B199" s="331">
        <v>161</v>
      </c>
      <c r="C199" s="334"/>
      <c r="D199" s="333"/>
      <c r="E199" s="294"/>
      <c r="F199" s="274"/>
      <c r="H199" s="273">
        <v>186</v>
      </c>
      <c r="I199" s="257" t="e">
        <f ca="1"/>
        <v>#N/A</v>
      </c>
      <c r="J199" s="257" t="e">
        <f ca="1"/>
        <v>#N/A</v>
      </c>
      <c r="K199" s="264" t="e">
        <f ca="1"/>
        <v>#N/A</v>
      </c>
      <c r="L199" s="264" t="e">
        <f ca="1"/>
        <v>#N/A</v>
      </c>
      <c r="M199" s="264" t="e">
        <f ca="1"/>
        <v>#N/A</v>
      </c>
      <c r="N199" s="265" t="e">
        <f ca="1"/>
        <v>#N/A</v>
      </c>
      <c r="P199" s="319" t="str">
        <f t="array" aca="1" ref="P199:T199" ca="1">IF(AND($Q$34,B201&lt;=$C$17,C201&lt;&gt;""),TRANSPOSE(INDEX(cds(C201,$C$6,$C$29,,$C$13,$C$14,,,,,TRUE,TRUE,FALSE,,"1m"),0,1)),"")</f>
        <v/>
      </c>
      <c r="Q199" s="320" t="str">
        <f ca="1"/>
        <v/>
      </c>
      <c r="R199" s="320" t="str">
        <f ca="1"/>
        <v/>
      </c>
      <c r="S199" s="321" t="str">
        <f ca="1"/>
        <v/>
      </c>
      <c r="T199" s="322" t="str">
        <f ca="1"/>
        <v/>
      </c>
      <c r="U199" s="323" t="str">
        <f t="shared" ca="1" si="10"/>
        <v/>
      </c>
      <c r="V199" s="324" t="str">
        <f t="shared" ca="1" si="11"/>
        <v/>
      </c>
      <c r="W199" s="323" t="str">
        <f t="shared" ca="1" si="12"/>
        <v/>
      </c>
      <c r="X199" s="325" t="str">
        <f t="shared" ca="1" si="13"/>
        <v/>
      </c>
      <c r="Y199" s="324" t="str">
        <f t="shared" ca="1" si="14"/>
        <v/>
      </c>
    </row>
    <row r="200" spans="2:25" x14ac:dyDescent="0.2">
      <c r="B200" s="331">
        <v>162</v>
      </c>
      <c r="C200" s="334"/>
      <c r="D200" s="333"/>
      <c r="E200" s="294"/>
      <c r="F200" s="274"/>
      <c r="H200" s="273">
        <v>187</v>
      </c>
      <c r="I200" s="257" t="e">
        <f ca="1"/>
        <v>#N/A</v>
      </c>
      <c r="J200" s="257" t="e">
        <f ca="1"/>
        <v>#N/A</v>
      </c>
      <c r="K200" s="264" t="e">
        <f ca="1"/>
        <v>#N/A</v>
      </c>
      <c r="L200" s="264" t="e">
        <f ca="1"/>
        <v>#N/A</v>
      </c>
      <c r="M200" s="264" t="e">
        <f ca="1"/>
        <v>#N/A</v>
      </c>
      <c r="N200" s="265" t="e">
        <f ca="1"/>
        <v>#N/A</v>
      </c>
      <c r="P200" s="319" t="str">
        <f t="array" aca="1" ref="P200:T200" ca="1">IF(AND($Q$34,B202&lt;=$C$17,C202&lt;&gt;""),TRANSPOSE(INDEX(cds(C202,$C$6,$C$29,,$C$13,$C$14,,,,,TRUE,TRUE,FALSE,,"1m"),0,1)),"")</f>
        <v/>
      </c>
      <c r="Q200" s="320" t="str">
        <f ca="1"/>
        <v/>
      </c>
      <c r="R200" s="320" t="str">
        <f ca="1"/>
        <v/>
      </c>
      <c r="S200" s="321" t="str">
        <f ca="1"/>
        <v/>
      </c>
      <c r="T200" s="322" t="str">
        <f ca="1"/>
        <v/>
      </c>
      <c r="U200" s="323" t="str">
        <f t="shared" ca="1" si="10"/>
        <v/>
      </c>
      <c r="V200" s="324" t="str">
        <f t="shared" ca="1" si="11"/>
        <v/>
      </c>
      <c r="W200" s="323" t="str">
        <f t="shared" ca="1" si="12"/>
        <v/>
      </c>
      <c r="X200" s="325" t="str">
        <f t="shared" ca="1" si="13"/>
        <v/>
      </c>
      <c r="Y200" s="324" t="str">
        <f t="shared" ca="1" si="14"/>
        <v/>
      </c>
    </row>
    <row r="201" spans="2:25" x14ac:dyDescent="0.2">
      <c r="B201" s="331">
        <v>163</v>
      </c>
      <c r="C201" s="334"/>
      <c r="D201" s="333"/>
      <c r="E201" s="294"/>
      <c r="F201" s="274"/>
      <c r="H201" s="273">
        <v>188</v>
      </c>
      <c r="I201" s="257" t="e">
        <f ca="1"/>
        <v>#N/A</v>
      </c>
      <c r="J201" s="257" t="e">
        <f ca="1"/>
        <v>#N/A</v>
      </c>
      <c r="K201" s="264" t="e">
        <f ca="1"/>
        <v>#N/A</v>
      </c>
      <c r="L201" s="264" t="e">
        <f ca="1"/>
        <v>#N/A</v>
      </c>
      <c r="M201" s="264" t="e">
        <f ca="1"/>
        <v>#N/A</v>
      </c>
      <c r="N201" s="265" t="e">
        <f ca="1"/>
        <v>#N/A</v>
      </c>
      <c r="P201" s="319" t="str">
        <f t="array" aca="1" ref="P201:T201" ca="1">IF(AND($Q$34,B203&lt;=$C$17,C203&lt;&gt;""),TRANSPOSE(INDEX(cds(C203,$C$6,$C$29,,$C$13,$C$14,,,,,TRUE,TRUE,FALSE,,"1m"),0,1)),"")</f>
        <v/>
      </c>
      <c r="Q201" s="320" t="str">
        <f ca="1"/>
        <v/>
      </c>
      <c r="R201" s="320" t="str">
        <f ca="1"/>
        <v/>
      </c>
      <c r="S201" s="321" t="str">
        <f ca="1"/>
        <v/>
      </c>
      <c r="T201" s="322" t="str">
        <f ca="1"/>
        <v/>
      </c>
      <c r="U201" s="323" t="str">
        <f t="shared" ca="1" si="10"/>
        <v/>
      </c>
      <c r="V201" s="324" t="str">
        <f t="shared" ca="1" si="11"/>
        <v/>
      </c>
      <c r="W201" s="323" t="str">
        <f t="shared" ca="1" si="12"/>
        <v/>
      </c>
      <c r="X201" s="325" t="str">
        <f t="shared" ca="1" si="13"/>
        <v/>
      </c>
      <c r="Y201" s="324" t="str">
        <f t="shared" ca="1" si="14"/>
        <v/>
      </c>
    </row>
    <row r="202" spans="2:25" x14ac:dyDescent="0.2">
      <c r="B202" s="331">
        <v>164</v>
      </c>
      <c r="C202" s="334"/>
      <c r="D202" s="333"/>
      <c r="E202" s="294"/>
      <c r="F202" s="274"/>
      <c r="H202" s="273">
        <v>189</v>
      </c>
      <c r="I202" s="257" t="e">
        <f ca="1"/>
        <v>#N/A</v>
      </c>
      <c r="J202" s="257" t="e">
        <f ca="1"/>
        <v>#N/A</v>
      </c>
      <c r="K202" s="264" t="e">
        <f ca="1"/>
        <v>#N/A</v>
      </c>
      <c r="L202" s="264" t="e">
        <f ca="1"/>
        <v>#N/A</v>
      </c>
      <c r="M202" s="264" t="e">
        <f ca="1"/>
        <v>#N/A</v>
      </c>
      <c r="N202" s="265" t="e">
        <f ca="1"/>
        <v>#N/A</v>
      </c>
      <c r="P202" s="319" t="str">
        <f t="array" aca="1" ref="P202:T202" ca="1">IF(AND($Q$34,B204&lt;=$C$17,C204&lt;&gt;""),TRANSPOSE(INDEX(cds(C204,$C$6,$C$29,,$C$13,$C$14,,,,,TRUE,TRUE,FALSE,,"1m"),0,1)),"")</f>
        <v/>
      </c>
      <c r="Q202" s="320" t="str">
        <f ca="1"/>
        <v/>
      </c>
      <c r="R202" s="320" t="str">
        <f ca="1"/>
        <v/>
      </c>
      <c r="S202" s="321" t="str">
        <f ca="1"/>
        <v/>
      </c>
      <c r="T202" s="322" t="str">
        <f ca="1"/>
        <v/>
      </c>
      <c r="U202" s="323" t="str">
        <f t="shared" ca="1" si="10"/>
        <v/>
      </c>
      <c r="V202" s="324" t="str">
        <f t="shared" ca="1" si="11"/>
        <v/>
      </c>
      <c r="W202" s="323" t="str">
        <f t="shared" ca="1" si="12"/>
        <v/>
      </c>
      <c r="X202" s="325" t="str">
        <f t="shared" ca="1" si="13"/>
        <v/>
      </c>
      <c r="Y202" s="324" t="str">
        <f t="shared" ca="1" si="14"/>
        <v/>
      </c>
    </row>
    <row r="203" spans="2:25" x14ac:dyDescent="0.2">
      <c r="B203" s="331">
        <v>165</v>
      </c>
      <c r="C203" s="334"/>
      <c r="D203" s="333"/>
      <c r="E203" s="294"/>
      <c r="F203" s="274"/>
      <c r="H203" s="273">
        <v>190</v>
      </c>
      <c r="I203" s="257" t="e">
        <f ca="1"/>
        <v>#N/A</v>
      </c>
      <c r="J203" s="257" t="e">
        <f ca="1"/>
        <v>#N/A</v>
      </c>
      <c r="K203" s="264" t="e">
        <f ca="1"/>
        <v>#N/A</v>
      </c>
      <c r="L203" s="264" t="e">
        <f ca="1"/>
        <v>#N/A</v>
      </c>
      <c r="M203" s="264" t="e">
        <f ca="1"/>
        <v>#N/A</v>
      </c>
      <c r="N203" s="265" t="e">
        <f ca="1"/>
        <v>#N/A</v>
      </c>
      <c r="P203" s="319" t="str">
        <f t="array" aca="1" ref="P203:T203" ca="1">IF(AND($Q$34,B205&lt;=$C$17,C205&lt;&gt;""),TRANSPOSE(INDEX(cds(C205,$C$6,$C$29,,$C$13,$C$14,,,,,TRUE,TRUE,FALSE,,"1m"),0,1)),"")</f>
        <v/>
      </c>
      <c r="Q203" s="320" t="str">
        <f ca="1"/>
        <v/>
      </c>
      <c r="R203" s="320" t="str">
        <f ca="1"/>
        <v/>
      </c>
      <c r="S203" s="321" t="str">
        <f ca="1"/>
        <v/>
      </c>
      <c r="T203" s="322" t="str">
        <f ca="1"/>
        <v/>
      </c>
      <c r="U203" s="323" t="str">
        <f t="shared" ca="1" si="10"/>
        <v/>
      </c>
      <c r="V203" s="324" t="str">
        <f t="shared" ca="1" si="11"/>
        <v/>
      </c>
      <c r="W203" s="323" t="str">
        <f t="shared" ca="1" si="12"/>
        <v/>
      </c>
      <c r="X203" s="325" t="str">
        <f t="shared" ca="1" si="13"/>
        <v/>
      </c>
      <c r="Y203" s="324" t="str">
        <f t="shared" ca="1" si="14"/>
        <v/>
      </c>
    </row>
    <row r="204" spans="2:25" x14ac:dyDescent="0.2">
      <c r="B204" s="331">
        <v>166</v>
      </c>
      <c r="C204" s="334"/>
      <c r="D204" s="333"/>
      <c r="E204" s="294"/>
      <c r="F204" s="274"/>
      <c r="H204" s="273">
        <v>191</v>
      </c>
      <c r="I204" s="257" t="e">
        <f ca="1"/>
        <v>#N/A</v>
      </c>
      <c r="J204" s="257" t="e">
        <f ca="1"/>
        <v>#N/A</v>
      </c>
      <c r="K204" s="264" t="e">
        <f ca="1"/>
        <v>#N/A</v>
      </c>
      <c r="L204" s="264" t="e">
        <f ca="1"/>
        <v>#N/A</v>
      </c>
      <c r="M204" s="264" t="e">
        <f ca="1"/>
        <v>#N/A</v>
      </c>
      <c r="N204" s="265" t="e">
        <f ca="1"/>
        <v>#N/A</v>
      </c>
      <c r="P204" s="319" t="str">
        <f t="array" aca="1" ref="P204:T204" ca="1">IF(AND($Q$34,B206&lt;=$C$17,C206&lt;&gt;""),TRANSPOSE(INDEX(cds(C206,$C$6,$C$29,,$C$13,$C$14,,,,,TRUE,TRUE,FALSE,,"1m"),0,1)),"")</f>
        <v/>
      </c>
      <c r="Q204" s="320" t="str">
        <f ca="1"/>
        <v/>
      </c>
      <c r="R204" s="320" t="str">
        <f ca="1"/>
        <v/>
      </c>
      <c r="S204" s="321" t="str">
        <f ca="1"/>
        <v/>
      </c>
      <c r="T204" s="322" t="str">
        <f ca="1"/>
        <v/>
      </c>
      <c r="U204" s="323" t="str">
        <f t="shared" ca="1" si="10"/>
        <v/>
      </c>
      <c r="V204" s="324" t="str">
        <f t="shared" ca="1" si="11"/>
        <v/>
      </c>
      <c r="W204" s="323" t="str">
        <f t="shared" ca="1" si="12"/>
        <v/>
      </c>
      <c r="X204" s="325" t="str">
        <f t="shared" ca="1" si="13"/>
        <v/>
      </c>
      <c r="Y204" s="324" t="str">
        <f t="shared" ca="1" si="14"/>
        <v/>
      </c>
    </row>
    <row r="205" spans="2:25" x14ac:dyDescent="0.2">
      <c r="B205" s="331">
        <v>167</v>
      </c>
      <c r="C205" s="334"/>
      <c r="D205" s="333"/>
      <c r="E205" s="294"/>
      <c r="F205" s="274"/>
      <c r="H205" s="273">
        <v>192</v>
      </c>
      <c r="I205" s="257" t="e">
        <f ca="1"/>
        <v>#N/A</v>
      </c>
      <c r="J205" s="257" t="e">
        <f ca="1"/>
        <v>#N/A</v>
      </c>
      <c r="K205" s="264" t="e">
        <f ca="1"/>
        <v>#N/A</v>
      </c>
      <c r="L205" s="264" t="e">
        <f ca="1"/>
        <v>#N/A</v>
      </c>
      <c r="M205" s="264" t="e">
        <f ca="1"/>
        <v>#N/A</v>
      </c>
      <c r="N205" s="265" t="e">
        <f ca="1"/>
        <v>#N/A</v>
      </c>
      <c r="P205" s="319" t="str">
        <f t="array" aca="1" ref="P205:T205" ca="1">IF(AND($Q$34,B207&lt;=$C$17,C207&lt;&gt;""),TRANSPOSE(INDEX(cds(C207,$C$6,$C$29,,$C$13,$C$14,,,,,TRUE,TRUE,FALSE,,"1m"),0,1)),"")</f>
        <v/>
      </c>
      <c r="Q205" s="320" t="str">
        <f ca="1"/>
        <v/>
      </c>
      <c r="R205" s="320" t="str">
        <f ca="1"/>
        <v/>
      </c>
      <c r="S205" s="321" t="str">
        <f ca="1"/>
        <v/>
      </c>
      <c r="T205" s="322" t="str">
        <f ca="1"/>
        <v/>
      </c>
      <c r="U205" s="323" t="str">
        <f t="shared" ca="1" si="10"/>
        <v/>
      </c>
      <c r="V205" s="324" t="str">
        <f t="shared" ca="1" si="11"/>
        <v/>
      </c>
      <c r="W205" s="323" t="str">
        <f t="shared" ca="1" si="12"/>
        <v/>
      </c>
      <c r="X205" s="325" t="str">
        <f t="shared" ca="1" si="13"/>
        <v/>
      </c>
      <c r="Y205" s="324" t="str">
        <f t="shared" ca="1" si="14"/>
        <v/>
      </c>
    </row>
    <row r="206" spans="2:25" x14ac:dyDescent="0.2">
      <c r="B206" s="331">
        <v>168</v>
      </c>
      <c r="C206" s="334"/>
      <c r="D206" s="333"/>
      <c r="E206" s="294"/>
      <c r="F206" s="274"/>
      <c r="H206" s="273">
        <v>193</v>
      </c>
      <c r="I206" s="257" t="e">
        <f ca="1"/>
        <v>#N/A</v>
      </c>
      <c r="J206" s="257" t="e">
        <f ca="1"/>
        <v>#N/A</v>
      </c>
      <c r="K206" s="264" t="e">
        <f ca="1"/>
        <v>#N/A</v>
      </c>
      <c r="L206" s="264" t="e">
        <f ca="1"/>
        <v>#N/A</v>
      </c>
      <c r="M206" s="264" t="e">
        <f ca="1"/>
        <v>#N/A</v>
      </c>
      <c r="N206" s="265" t="e">
        <f ca="1"/>
        <v>#N/A</v>
      </c>
      <c r="P206" s="319" t="str">
        <f t="array" aca="1" ref="P206:T206" ca="1">IF(AND($Q$34,B208&lt;=$C$17,C208&lt;&gt;""),TRANSPOSE(INDEX(cds(C208,$C$6,$C$29,,$C$13,$C$14,,,,,TRUE,TRUE,FALSE,,"1m"),0,1)),"")</f>
        <v/>
      </c>
      <c r="Q206" s="320" t="str">
        <f ca="1"/>
        <v/>
      </c>
      <c r="R206" s="320" t="str">
        <f ca="1"/>
        <v/>
      </c>
      <c r="S206" s="321" t="str">
        <f ca="1"/>
        <v/>
      </c>
      <c r="T206" s="322" t="str">
        <f ca="1"/>
        <v/>
      </c>
      <c r="U206" s="323" t="str">
        <f t="shared" ca="1" si="10"/>
        <v/>
      </c>
      <c r="V206" s="324" t="str">
        <f t="shared" ca="1" si="11"/>
        <v/>
      </c>
      <c r="W206" s="323" t="str">
        <f t="shared" ca="1" si="12"/>
        <v/>
      </c>
      <c r="X206" s="325" t="str">
        <f t="shared" ca="1" si="13"/>
        <v/>
      </c>
      <c r="Y206" s="324" t="str">
        <f t="shared" ca="1" si="14"/>
        <v/>
      </c>
    </row>
    <row r="207" spans="2:25" x14ac:dyDescent="0.2">
      <c r="B207" s="331">
        <v>169</v>
      </c>
      <c r="C207" s="334"/>
      <c r="D207" s="333"/>
      <c r="E207" s="294"/>
      <c r="F207" s="274"/>
      <c r="H207" s="273">
        <v>194</v>
      </c>
      <c r="I207" s="257" t="e">
        <f ca="1"/>
        <v>#N/A</v>
      </c>
      <c r="J207" s="257" t="e">
        <f ca="1"/>
        <v>#N/A</v>
      </c>
      <c r="K207" s="264" t="e">
        <f ca="1"/>
        <v>#N/A</v>
      </c>
      <c r="L207" s="264" t="e">
        <f ca="1"/>
        <v>#N/A</v>
      </c>
      <c r="M207" s="264" t="e">
        <f ca="1"/>
        <v>#N/A</v>
      </c>
      <c r="N207" s="265" t="e">
        <f ca="1"/>
        <v>#N/A</v>
      </c>
      <c r="P207" s="319" t="str">
        <f t="array" aca="1" ref="P207:T207" ca="1">IF(AND($Q$34,B209&lt;=$C$17,C209&lt;&gt;""),TRANSPOSE(INDEX(cds(C209,$C$6,$C$29,,$C$13,$C$14,,,,,TRUE,TRUE,FALSE,,"1m"),0,1)),"")</f>
        <v/>
      </c>
      <c r="Q207" s="320" t="str">
        <f ca="1"/>
        <v/>
      </c>
      <c r="R207" s="320" t="str">
        <f ca="1"/>
        <v/>
      </c>
      <c r="S207" s="321" t="str">
        <f ca="1"/>
        <v/>
      </c>
      <c r="T207" s="322" t="str">
        <f ca="1"/>
        <v/>
      </c>
      <c r="U207" s="323" t="str">
        <f t="shared" ca="1" si="10"/>
        <v/>
      </c>
      <c r="V207" s="324" t="str">
        <f t="shared" ca="1" si="11"/>
        <v/>
      </c>
      <c r="W207" s="323" t="str">
        <f t="shared" ca="1" si="12"/>
        <v/>
      </c>
      <c r="X207" s="325" t="str">
        <f t="shared" ca="1" si="13"/>
        <v/>
      </c>
      <c r="Y207" s="324" t="str">
        <f t="shared" ca="1" si="14"/>
        <v/>
      </c>
    </row>
    <row r="208" spans="2:25" x14ac:dyDescent="0.2">
      <c r="B208" s="331">
        <v>170</v>
      </c>
      <c r="C208" s="334"/>
      <c r="D208" s="333"/>
      <c r="E208" s="294"/>
      <c r="F208" s="274"/>
      <c r="H208" s="273">
        <v>195</v>
      </c>
      <c r="I208" s="257" t="e">
        <f ca="1"/>
        <v>#N/A</v>
      </c>
      <c r="J208" s="257" t="e">
        <f ca="1"/>
        <v>#N/A</v>
      </c>
      <c r="K208" s="264" t="e">
        <f ca="1"/>
        <v>#N/A</v>
      </c>
      <c r="L208" s="264" t="e">
        <f ca="1"/>
        <v>#N/A</v>
      </c>
      <c r="M208" s="264" t="e">
        <f ca="1"/>
        <v>#N/A</v>
      </c>
      <c r="N208" s="265" t="e">
        <f ca="1"/>
        <v>#N/A</v>
      </c>
      <c r="P208" s="319" t="str">
        <f t="array" aca="1" ref="P208:T208" ca="1">IF(AND($Q$34,B210&lt;=$C$17,C210&lt;&gt;""),TRANSPOSE(INDEX(cds(C210,$C$6,$C$29,,$C$13,$C$14,,,,,TRUE,TRUE,FALSE,,"1m"),0,1)),"")</f>
        <v/>
      </c>
      <c r="Q208" s="320" t="str">
        <f ca="1"/>
        <v/>
      </c>
      <c r="R208" s="320" t="str">
        <f ca="1"/>
        <v/>
      </c>
      <c r="S208" s="321" t="str">
        <f ca="1"/>
        <v/>
      </c>
      <c r="T208" s="322" t="str">
        <f ca="1"/>
        <v/>
      </c>
      <c r="U208" s="323" t="str">
        <f t="shared" ca="1" si="10"/>
        <v/>
      </c>
      <c r="V208" s="324" t="str">
        <f t="shared" ca="1" si="11"/>
        <v/>
      </c>
      <c r="W208" s="323" t="str">
        <f t="shared" ca="1" si="12"/>
        <v/>
      </c>
      <c r="X208" s="325" t="str">
        <f t="shared" ca="1" si="13"/>
        <v/>
      </c>
      <c r="Y208" s="324" t="str">
        <f t="shared" ca="1" si="14"/>
        <v/>
      </c>
    </row>
    <row r="209" spans="2:25" x14ac:dyDescent="0.2">
      <c r="B209" s="331">
        <v>171</v>
      </c>
      <c r="C209" s="334"/>
      <c r="D209" s="333"/>
      <c r="E209" s="294"/>
      <c r="F209" s="274"/>
      <c r="H209" s="273">
        <v>196</v>
      </c>
      <c r="I209" s="257" t="e">
        <f ca="1"/>
        <v>#N/A</v>
      </c>
      <c r="J209" s="257" t="e">
        <f ca="1"/>
        <v>#N/A</v>
      </c>
      <c r="K209" s="264" t="e">
        <f ca="1"/>
        <v>#N/A</v>
      </c>
      <c r="L209" s="264" t="e">
        <f ca="1"/>
        <v>#N/A</v>
      </c>
      <c r="M209" s="264" t="e">
        <f ca="1"/>
        <v>#N/A</v>
      </c>
      <c r="N209" s="265" t="e">
        <f ca="1"/>
        <v>#N/A</v>
      </c>
      <c r="P209" s="319" t="str">
        <f t="array" aca="1" ref="P209:T209" ca="1">IF(AND($Q$34,B211&lt;=$C$17,C211&lt;&gt;""),TRANSPOSE(INDEX(cds(C211,$C$6,$C$29,,$C$13,$C$14,,,,,TRUE,TRUE,FALSE,,"1m"),0,1)),"")</f>
        <v/>
      </c>
      <c r="Q209" s="320" t="str">
        <f ca="1"/>
        <v/>
      </c>
      <c r="R209" s="320" t="str">
        <f ca="1"/>
        <v/>
      </c>
      <c r="S209" s="321" t="str">
        <f ca="1"/>
        <v/>
      </c>
      <c r="T209" s="322" t="str">
        <f ca="1"/>
        <v/>
      </c>
      <c r="U209" s="323" t="str">
        <f t="shared" ca="1" si="10"/>
        <v/>
      </c>
      <c r="V209" s="324" t="str">
        <f t="shared" ca="1" si="11"/>
        <v/>
      </c>
      <c r="W209" s="323" t="str">
        <f t="shared" ca="1" si="12"/>
        <v/>
      </c>
      <c r="X209" s="325" t="str">
        <f t="shared" ca="1" si="13"/>
        <v/>
      </c>
      <c r="Y209" s="324" t="str">
        <f t="shared" ca="1" si="14"/>
        <v/>
      </c>
    </row>
    <row r="210" spans="2:25" x14ac:dyDescent="0.2">
      <c r="B210" s="331">
        <v>172</v>
      </c>
      <c r="C210" s="334"/>
      <c r="D210" s="333"/>
      <c r="E210" s="294"/>
      <c r="F210" s="274"/>
      <c r="H210" s="273">
        <v>197</v>
      </c>
      <c r="I210" s="257" t="e">
        <f ca="1"/>
        <v>#N/A</v>
      </c>
      <c r="J210" s="257" t="e">
        <f ca="1"/>
        <v>#N/A</v>
      </c>
      <c r="K210" s="264" t="e">
        <f ca="1"/>
        <v>#N/A</v>
      </c>
      <c r="L210" s="264" t="e">
        <f ca="1"/>
        <v>#N/A</v>
      </c>
      <c r="M210" s="264" t="e">
        <f ca="1"/>
        <v>#N/A</v>
      </c>
      <c r="N210" s="265" t="e">
        <f ca="1"/>
        <v>#N/A</v>
      </c>
      <c r="P210" s="319" t="str">
        <f t="array" aca="1" ref="P210:T210" ca="1">IF(AND($Q$34,B212&lt;=$C$17,C212&lt;&gt;""),TRANSPOSE(INDEX(cds(C212,$C$6,$C$29,,$C$13,$C$14,,,,,TRUE,TRUE,FALSE,,"1m"),0,1)),"")</f>
        <v/>
      </c>
      <c r="Q210" s="320" t="str">
        <f ca="1"/>
        <v/>
      </c>
      <c r="R210" s="320" t="str">
        <f ca="1"/>
        <v/>
      </c>
      <c r="S210" s="321" t="str">
        <f ca="1"/>
        <v/>
      </c>
      <c r="T210" s="322" t="str">
        <f ca="1"/>
        <v/>
      </c>
      <c r="U210" s="323" t="str">
        <f t="shared" ca="1" si="10"/>
        <v/>
      </c>
      <c r="V210" s="324" t="str">
        <f t="shared" ca="1" si="11"/>
        <v/>
      </c>
      <c r="W210" s="323" t="str">
        <f t="shared" ca="1" si="12"/>
        <v/>
      </c>
      <c r="X210" s="325" t="str">
        <f t="shared" ca="1" si="13"/>
        <v/>
      </c>
      <c r="Y210" s="324" t="str">
        <f t="shared" ca="1" si="14"/>
        <v/>
      </c>
    </row>
    <row r="211" spans="2:25" x14ac:dyDescent="0.2">
      <c r="B211" s="331">
        <v>173</v>
      </c>
      <c r="C211" s="334"/>
      <c r="D211" s="333"/>
      <c r="E211" s="294"/>
      <c r="F211" s="274"/>
      <c r="H211" s="273">
        <v>198</v>
      </c>
      <c r="I211" s="257" t="e">
        <f ca="1"/>
        <v>#N/A</v>
      </c>
      <c r="J211" s="257" t="e">
        <f ca="1"/>
        <v>#N/A</v>
      </c>
      <c r="K211" s="264" t="e">
        <f ca="1"/>
        <v>#N/A</v>
      </c>
      <c r="L211" s="264" t="e">
        <f ca="1"/>
        <v>#N/A</v>
      </c>
      <c r="M211" s="264" t="e">
        <f ca="1"/>
        <v>#N/A</v>
      </c>
      <c r="N211" s="265" t="e">
        <f ca="1"/>
        <v>#N/A</v>
      </c>
      <c r="P211" s="319" t="str">
        <f t="array" aca="1" ref="P211:T211" ca="1">IF(AND($Q$34,B213&lt;=$C$17,C213&lt;&gt;""),TRANSPOSE(INDEX(cds(C213,$C$6,$C$29,,$C$13,$C$14,,,,,TRUE,TRUE,FALSE,,"1m"),0,1)),"")</f>
        <v/>
      </c>
      <c r="Q211" s="320" t="str">
        <f ca="1"/>
        <v/>
      </c>
      <c r="R211" s="320" t="str">
        <f ca="1"/>
        <v/>
      </c>
      <c r="S211" s="321" t="str">
        <f ca="1"/>
        <v/>
      </c>
      <c r="T211" s="322" t="str">
        <f ca="1"/>
        <v/>
      </c>
      <c r="U211" s="323" t="str">
        <f t="shared" ca="1" si="10"/>
        <v/>
      </c>
      <c r="V211" s="324" t="str">
        <f t="shared" ca="1" si="11"/>
        <v/>
      </c>
      <c r="W211" s="323" t="str">
        <f t="shared" ca="1" si="12"/>
        <v/>
      </c>
      <c r="X211" s="325" t="str">
        <f t="shared" ca="1" si="13"/>
        <v/>
      </c>
      <c r="Y211" s="324" t="str">
        <f t="shared" ca="1" si="14"/>
        <v/>
      </c>
    </row>
    <row r="212" spans="2:25" x14ac:dyDescent="0.2">
      <c r="B212" s="331">
        <v>174</v>
      </c>
      <c r="C212" s="334"/>
      <c r="D212" s="333"/>
      <c r="E212" s="294"/>
      <c r="F212" s="274"/>
      <c r="H212" s="273">
        <v>199</v>
      </c>
      <c r="I212" s="257" t="e">
        <f ca="1"/>
        <v>#N/A</v>
      </c>
      <c r="J212" s="257" t="e">
        <f ca="1"/>
        <v>#N/A</v>
      </c>
      <c r="K212" s="264" t="e">
        <f ca="1"/>
        <v>#N/A</v>
      </c>
      <c r="L212" s="264" t="e">
        <f ca="1"/>
        <v>#N/A</v>
      </c>
      <c r="M212" s="264" t="e">
        <f ca="1"/>
        <v>#N/A</v>
      </c>
      <c r="N212" s="265" t="e">
        <f ca="1"/>
        <v>#N/A</v>
      </c>
      <c r="P212" s="319" t="str">
        <f t="array" aca="1" ref="P212:T212" ca="1">IF(AND($Q$34,B214&lt;=$C$17,C214&lt;&gt;""),TRANSPOSE(INDEX(cds(C214,$C$6,$C$29,,$C$13,$C$14,,,,,TRUE,TRUE,FALSE,,"1m"),0,1)),"")</f>
        <v/>
      </c>
      <c r="Q212" s="320" t="str">
        <f ca="1"/>
        <v/>
      </c>
      <c r="R212" s="320" t="str">
        <f ca="1"/>
        <v/>
      </c>
      <c r="S212" s="321" t="str">
        <f ca="1"/>
        <v/>
      </c>
      <c r="T212" s="322" t="str">
        <f ca="1"/>
        <v/>
      </c>
      <c r="U212" s="323" t="str">
        <f t="shared" ca="1" si="10"/>
        <v/>
      </c>
      <c r="V212" s="324" t="str">
        <f t="shared" ca="1" si="11"/>
        <v/>
      </c>
      <c r="W212" s="323" t="str">
        <f t="shared" ca="1" si="12"/>
        <v/>
      </c>
      <c r="X212" s="325" t="str">
        <f t="shared" ca="1" si="13"/>
        <v/>
      </c>
      <c r="Y212" s="324" t="str">
        <f t="shared" ca="1" si="14"/>
        <v/>
      </c>
    </row>
    <row r="213" spans="2:25" x14ac:dyDescent="0.2">
      <c r="B213" s="331">
        <v>175</v>
      </c>
      <c r="C213" s="334"/>
      <c r="D213" s="333"/>
      <c r="E213" s="294"/>
      <c r="F213" s="274"/>
      <c r="H213" s="273">
        <v>200</v>
      </c>
      <c r="I213" s="257" t="e">
        <f ca="1"/>
        <v>#N/A</v>
      </c>
      <c r="J213" s="257" t="e">
        <f ca="1"/>
        <v>#N/A</v>
      </c>
      <c r="K213" s="264" t="e">
        <f ca="1"/>
        <v>#N/A</v>
      </c>
      <c r="L213" s="264" t="e">
        <f ca="1"/>
        <v>#N/A</v>
      </c>
      <c r="M213" s="264" t="e">
        <f ca="1"/>
        <v>#N/A</v>
      </c>
      <c r="N213" s="265" t="e">
        <f ca="1"/>
        <v>#N/A</v>
      </c>
      <c r="P213" s="319" t="str">
        <f t="array" aca="1" ref="P213:T213" ca="1">IF(AND($Q$34,B215&lt;=$C$17,C215&lt;&gt;""),TRANSPOSE(INDEX(cds(C215,$C$6,$C$29,,$C$13,$C$14,,,,,TRUE,TRUE,FALSE,,"1m"),0,1)),"")</f>
        <v/>
      </c>
      <c r="Q213" s="320" t="str">
        <f ca="1"/>
        <v/>
      </c>
      <c r="R213" s="320" t="str">
        <f ca="1"/>
        <v/>
      </c>
      <c r="S213" s="321" t="str">
        <f ca="1"/>
        <v/>
      </c>
      <c r="T213" s="322" t="str">
        <f ca="1"/>
        <v/>
      </c>
      <c r="U213" s="323" t="str">
        <f t="shared" ca="1" si="10"/>
        <v/>
      </c>
      <c r="V213" s="324" t="str">
        <f t="shared" ca="1" si="11"/>
        <v/>
      </c>
      <c r="W213" s="323" t="str">
        <f t="shared" ca="1" si="12"/>
        <v/>
      </c>
      <c r="X213" s="325" t="str">
        <f t="shared" ca="1" si="13"/>
        <v/>
      </c>
      <c r="Y213" s="324" t="str">
        <f t="shared" ca="1" si="14"/>
        <v/>
      </c>
    </row>
    <row r="214" spans="2:25" x14ac:dyDescent="0.2">
      <c r="B214" s="331">
        <v>176</v>
      </c>
      <c r="C214" s="334"/>
      <c r="D214" s="333"/>
      <c r="E214" s="294"/>
      <c r="F214" s="274"/>
      <c r="H214" s="273">
        <v>201</v>
      </c>
      <c r="I214" s="257" t="e">
        <f ca="1"/>
        <v>#N/A</v>
      </c>
      <c r="J214" s="257" t="e">
        <f ca="1"/>
        <v>#N/A</v>
      </c>
      <c r="K214" s="264" t="e">
        <f ca="1"/>
        <v>#N/A</v>
      </c>
      <c r="L214" s="264" t="e">
        <f ca="1"/>
        <v>#N/A</v>
      </c>
      <c r="M214" s="264" t="e">
        <f ca="1"/>
        <v>#N/A</v>
      </c>
      <c r="N214" s="265" t="e">
        <f ca="1"/>
        <v>#N/A</v>
      </c>
      <c r="P214" s="319" t="str">
        <f t="array" aca="1" ref="P214:T214" ca="1">IF(AND($Q$34,B216&lt;=$C$17,C216&lt;&gt;""),TRANSPOSE(INDEX(cds(C216,$C$6,$C$29,,$C$13,$C$14,,,,,TRUE,TRUE,FALSE,,"1m"),0,1)),"")</f>
        <v/>
      </c>
      <c r="Q214" s="320" t="str">
        <f ca="1"/>
        <v/>
      </c>
      <c r="R214" s="320" t="str">
        <f ca="1"/>
        <v/>
      </c>
      <c r="S214" s="321" t="str">
        <f ca="1"/>
        <v/>
      </c>
      <c r="T214" s="322" t="str">
        <f ca="1"/>
        <v/>
      </c>
      <c r="U214" s="323" t="str">
        <f t="shared" ca="1" si="10"/>
        <v/>
      </c>
      <c r="V214" s="324" t="str">
        <f t="shared" ca="1" si="11"/>
        <v/>
      </c>
      <c r="W214" s="323" t="str">
        <f t="shared" ca="1" si="12"/>
        <v/>
      </c>
      <c r="X214" s="325" t="str">
        <f t="shared" ca="1" si="13"/>
        <v/>
      </c>
      <c r="Y214" s="324" t="str">
        <f t="shared" ca="1" si="14"/>
        <v/>
      </c>
    </row>
    <row r="215" spans="2:25" x14ac:dyDescent="0.2">
      <c r="B215" s="331">
        <v>177</v>
      </c>
      <c r="C215" s="334"/>
      <c r="D215" s="333"/>
      <c r="E215" s="294"/>
      <c r="F215" s="274"/>
      <c r="H215" s="273">
        <v>202</v>
      </c>
      <c r="I215" s="257" t="e">
        <f ca="1"/>
        <v>#N/A</v>
      </c>
      <c r="J215" s="257" t="e">
        <f ca="1"/>
        <v>#N/A</v>
      </c>
      <c r="K215" s="264" t="e">
        <f ca="1"/>
        <v>#N/A</v>
      </c>
      <c r="L215" s="264" t="e">
        <f ca="1"/>
        <v>#N/A</v>
      </c>
      <c r="M215" s="264" t="e">
        <f ca="1"/>
        <v>#N/A</v>
      </c>
      <c r="N215" s="265" t="e">
        <f ca="1"/>
        <v>#N/A</v>
      </c>
      <c r="P215" s="319" t="str">
        <f t="array" aca="1" ref="P215:T215" ca="1">IF(AND($Q$34,B217&lt;=$C$17,C217&lt;&gt;""),TRANSPOSE(INDEX(cds(C217,$C$6,$C$29,,$C$13,$C$14,,,,,TRUE,TRUE,FALSE,,"1m"),0,1)),"")</f>
        <v/>
      </c>
      <c r="Q215" s="320" t="str">
        <f ca="1"/>
        <v/>
      </c>
      <c r="R215" s="320" t="str">
        <f ca="1"/>
        <v/>
      </c>
      <c r="S215" s="321" t="str">
        <f ca="1"/>
        <v/>
      </c>
      <c r="T215" s="322" t="str">
        <f ca="1"/>
        <v/>
      </c>
      <c r="U215" s="323" t="str">
        <f t="shared" ca="1" si="10"/>
        <v/>
      </c>
      <c r="V215" s="324" t="str">
        <f t="shared" ca="1" si="11"/>
        <v/>
      </c>
      <c r="W215" s="323" t="str">
        <f t="shared" ca="1" si="12"/>
        <v/>
      </c>
      <c r="X215" s="325" t="str">
        <f t="shared" ca="1" si="13"/>
        <v/>
      </c>
      <c r="Y215" s="324" t="str">
        <f t="shared" ca="1" si="14"/>
        <v/>
      </c>
    </row>
    <row r="216" spans="2:25" x14ac:dyDescent="0.2">
      <c r="B216" s="331">
        <v>178</v>
      </c>
      <c r="C216" s="334"/>
      <c r="D216" s="333"/>
      <c r="E216" s="294"/>
      <c r="F216" s="274"/>
      <c r="H216" s="273">
        <v>203</v>
      </c>
      <c r="I216" s="257" t="e">
        <f ca="1"/>
        <v>#N/A</v>
      </c>
      <c r="J216" s="257" t="e">
        <f ca="1"/>
        <v>#N/A</v>
      </c>
      <c r="K216" s="264" t="e">
        <f ca="1"/>
        <v>#N/A</v>
      </c>
      <c r="L216" s="264" t="e">
        <f ca="1"/>
        <v>#N/A</v>
      </c>
      <c r="M216" s="264" t="e">
        <f ca="1"/>
        <v>#N/A</v>
      </c>
      <c r="N216" s="265" t="e">
        <f ca="1"/>
        <v>#N/A</v>
      </c>
      <c r="P216" s="319" t="str">
        <f t="array" aca="1" ref="P216:T216" ca="1">IF(AND($Q$34,B218&lt;=$C$17,C218&lt;&gt;""),TRANSPOSE(INDEX(cds(C218,$C$6,$C$29,,$C$13,$C$14,,,,,TRUE,TRUE,FALSE,,"1m"),0,1)),"")</f>
        <v/>
      </c>
      <c r="Q216" s="320" t="str">
        <f ca="1"/>
        <v/>
      </c>
      <c r="R216" s="320" t="str">
        <f ca="1"/>
        <v/>
      </c>
      <c r="S216" s="321" t="str">
        <f ca="1"/>
        <v/>
      </c>
      <c r="T216" s="322" t="str">
        <f ca="1"/>
        <v/>
      </c>
      <c r="U216" s="323" t="str">
        <f t="shared" ca="1" si="10"/>
        <v/>
      </c>
      <c r="V216" s="324" t="str">
        <f t="shared" ca="1" si="11"/>
        <v/>
      </c>
      <c r="W216" s="323" t="str">
        <f t="shared" ca="1" si="12"/>
        <v/>
      </c>
      <c r="X216" s="325" t="str">
        <f t="shared" ca="1" si="13"/>
        <v/>
      </c>
      <c r="Y216" s="324" t="str">
        <f t="shared" ca="1" si="14"/>
        <v/>
      </c>
    </row>
    <row r="217" spans="2:25" x14ac:dyDescent="0.2">
      <c r="B217" s="331">
        <v>179</v>
      </c>
      <c r="C217" s="334"/>
      <c r="D217" s="333"/>
      <c r="E217" s="294"/>
      <c r="F217" s="274"/>
      <c r="H217" s="273">
        <v>204</v>
      </c>
      <c r="I217" s="257" t="e">
        <f ca="1"/>
        <v>#N/A</v>
      </c>
      <c r="J217" s="257" t="e">
        <f ca="1"/>
        <v>#N/A</v>
      </c>
      <c r="K217" s="264" t="e">
        <f ca="1"/>
        <v>#N/A</v>
      </c>
      <c r="L217" s="264" t="e">
        <f ca="1"/>
        <v>#N/A</v>
      </c>
      <c r="M217" s="264" t="e">
        <f ca="1"/>
        <v>#N/A</v>
      </c>
      <c r="N217" s="265" t="e">
        <f ca="1"/>
        <v>#N/A</v>
      </c>
      <c r="P217" s="319" t="str">
        <f t="array" aca="1" ref="P217:T217" ca="1">IF(AND($Q$34,B219&lt;=$C$17,C219&lt;&gt;""),TRANSPOSE(INDEX(cds(C219,$C$6,$C$29,,$C$13,$C$14,,,,,TRUE,TRUE,FALSE,,"1m"),0,1)),"")</f>
        <v/>
      </c>
      <c r="Q217" s="320" t="str">
        <f ca="1"/>
        <v/>
      </c>
      <c r="R217" s="320" t="str">
        <f ca="1"/>
        <v/>
      </c>
      <c r="S217" s="321" t="str">
        <f ca="1"/>
        <v/>
      </c>
      <c r="T217" s="322" t="str">
        <f ca="1"/>
        <v/>
      </c>
      <c r="U217" s="323" t="str">
        <f t="shared" ca="1" si="10"/>
        <v/>
      </c>
      <c r="V217" s="324" t="str">
        <f t="shared" ca="1" si="11"/>
        <v/>
      </c>
      <c r="W217" s="323" t="str">
        <f t="shared" ca="1" si="12"/>
        <v/>
      </c>
      <c r="X217" s="325" t="str">
        <f t="shared" ca="1" si="13"/>
        <v/>
      </c>
      <c r="Y217" s="324" t="str">
        <f t="shared" ca="1" si="14"/>
        <v/>
      </c>
    </row>
    <row r="218" spans="2:25" x14ac:dyDescent="0.2">
      <c r="B218" s="331">
        <v>180</v>
      </c>
      <c r="C218" s="334"/>
      <c r="D218" s="333"/>
      <c r="E218" s="294"/>
      <c r="F218" s="274"/>
      <c r="H218" s="273">
        <v>205</v>
      </c>
      <c r="I218" s="257" t="e">
        <f ca="1"/>
        <v>#N/A</v>
      </c>
      <c r="J218" s="257" t="e">
        <f ca="1"/>
        <v>#N/A</v>
      </c>
      <c r="K218" s="264" t="e">
        <f ca="1"/>
        <v>#N/A</v>
      </c>
      <c r="L218" s="264" t="e">
        <f ca="1"/>
        <v>#N/A</v>
      </c>
      <c r="M218" s="264" t="e">
        <f ca="1"/>
        <v>#N/A</v>
      </c>
      <c r="N218" s="265" t="e">
        <f ca="1"/>
        <v>#N/A</v>
      </c>
      <c r="P218" s="319" t="str">
        <f t="array" aca="1" ref="P218:T218" ca="1">IF(AND($Q$34,B220&lt;=$C$17,C220&lt;&gt;""),TRANSPOSE(INDEX(cds(C220,$C$6,$C$29,,$C$13,$C$14,,,,,TRUE,TRUE,FALSE,,"1m"),0,1)),"")</f>
        <v/>
      </c>
      <c r="Q218" s="320" t="str">
        <f ca="1"/>
        <v/>
      </c>
      <c r="R218" s="320" t="str">
        <f ca="1"/>
        <v/>
      </c>
      <c r="S218" s="321" t="str">
        <f ca="1"/>
        <v/>
      </c>
      <c r="T218" s="322" t="str">
        <f ca="1"/>
        <v/>
      </c>
      <c r="U218" s="323" t="str">
        <f t="shared" ca="1" si="10"/>
        <v/>
      </c>
      <c r="V218" s="324" t="str">
        <f t="shared" ca="1" si="11"/>
        <v/>
      </c>
      <c r="W218" s="323" t="str">
        <f t="shared" ca="1" si="12"/>
        <v/>
      </c>
      <c r="X218" s="325" t="str">
        <f t="shared" ca="1" si="13"/>
        <v/>
      </c>
      <c r="Y218" s="324" t="str">
        <f t="shared" ca="1" si="14"/>
        <v/>
      </c>
    </row>
    <row r="219" spans="2:25" x14ac:dyDescent="0.2">
      <c r="B219" s="331">
        <v>181</v>
      </c>
      <c r="C219" s="334"/>
      <c r="D219" s="333"/>
      <c r="E219" s="294"/>
      <c r="F219" s="274"/>
      <c r="H219" s="273">
        <v>206</v>
      </c>
      <c r="I219" s="257" t="e">
        <f ca="1"/>
        <v>#N/A</v>
      </c>
      <c r="J219" s="257" t="e">
        <f ca="1"/>
        <v>#N/A</v>
      </c>
      <c r="K219" s="264" t="e">
        <f ca="1"/>
        <v>#N/A</v>
      </c>
      <c r="L219" s="264" t="e">
        <f ca="1"/>
        <v>#N/A</v>
      </c>
      <c r="M219" s="264" t="e">
        <f ca="1"/>
        <v>#N/A</v>
      </c>
      <c r="N219" s="265" t="e">
        <f ca="1"/>
        <v>#N/A</v>
      </c>
      <c r="P219" s="319" t="str">
        <f t="array" aca="1" ref="P219:T219" ca="1">IF(AND($Q$34,B221&lt;=$C$17,C221&lt;&gt;""),TRANSPOSE(INDEX(cds(C221,$C$6,$C$29,,$C$13,$C$14,,,,,TRUE,TRUE,FALSE,,"1m"),0,1)),"")</f>
        <v/>
      </c>
      <c r="Q219" s="320" t="str">
        <f ca="1"/>
        <v/>
      </c>
      <c r="R219" s="320" t="str">
        <f ca="1"/>
        <v/>
      </c>
      <c r="S219" s="321" t="str">
        <f ca="1"/>
        <v/>
      </c>
      <c r="T219" s="322" t="str">
        <f ca="1"/>
        <v/>
      </c>
      <c r="U219" s="323" t="str">
        <f t="shared" ca="1" si="10"/>
        <v/>
      </c>
      <c r="V219" s="324" t="str">
        <f t="shared" ca="1" si="11"/>
        <v/>
      </c>
      <c r="W219" s="323" t="str">
        <f t="shared" ca="1" si="12"/>
        <v/>
      </c>
      <c r="X219" s="325" t="str">
        <f t="shared" ca="1" si="13"/>
        <v/>
      </c>
      <c r="Y219" s="324" t="str">
        <f t="shared" ca="1" si="14"/>
        <v/>
      </c>
    </row>
    <row r="220" spans="2:25" x14ac:dyDescent="0.2">
      <c r="B220" s="331">
        <v>182</v>
      </c>
      <c r="C220" s="334"/>
      <c r="D220" s="333"/>
      <c r="E220" s="294"/>
      <c r="F220" s="274"/>
      <c r="H220" s="273">
        <v>207</v>
      </c>
      <c r="I220" s="257" t="e">
        <f ca="1"/>
        <v>#N/A</v>
      </c>
      <c r="J220" s="257" t="e">
        <f ca="1"/>
        <v>#N/A</v>
      </c>
      <c r="K220" s="264" t="e">
        <f ca="1"/>
        <v>#N/A</v>
      </c>
      <c r="L220" s="264" t="e">
        <f ca="1"/>
        <v>#N/A</v>
      </c>
      <c r="M220" s="264" t="e">
        <f ca="1"/>
        <v>#N/A</v>
      </c>
      <c r="N220" s="265" t="e">
        <f ca="1"/>
        <v>#N/A</v>
      </c>
      <c r="P220" s="319" t="str">
        <f t="array" aca="1" ref="P220:T220" ca="1">IF(AND($Q$34,B222&lt;=$C$17,C222&lt;&gt;""),TRANSPOSE(INDEX(cds(C222,$C$6,$C$29,,$C$13,$C$14,,,,,TRUE,TRUE,FALSE,,"1m"),0,1)),"")</f>
        <v/>
      </c>
      <c r="Q220" s="320" t="str">
        <f ca="1"/>
        <v/>
      </c>
      <c r="R220" s="320" t="str">
        <f ca="1"/>
        <v/>
      </c>
      <c r="S220" s="321" t="str">
        <f ca="1"/>
        <v/>
      </c>
      <c r="T220" s="322" t="str">
        <f ca="1"/>
        <v/>
      </c>
      <c r="U220" s="323" t="str">
        <f t="shared" ca="1" si="10"/>
        <v/>
      </c>
      <c r="V220" s="324" t="str">
        <f t="shared" ca="1" si="11"/>
        <v/>
      </c>
      <c r="W220" s="323" t="str">
        <f t="shared" ca="1" si="12"/>
        <v/>
      </c>
      <c r="X220" s="325" t="str">
        <f t="shared" ca="1" si="13"/>
        <v/>
      </c>
      <c r="Y220" s="324" t="str">
        <f t="shared" ca="1" si="14"/>
        <v/>
      </c>
    </row>
    <row r="221" spans="2:25" x14ac:dyDescent="0.2">
      <c r="B221" s="331">
        <v>183</v>
      </c>
      <c r="C221" s="334"/>
      <c r="D221" s="333"/>
      <c r="E221" s="294"/>
      <c r="F221" s="274"/>
      <c r="H221" s="273">
        <v>208</v>
      </c>
      <c r="I221" s="257" t="e">
        <f ca="1"/>
        <v>#N/A</v>
      </c>
      <c r="J221" s="257" t="e">
        <f ca="1"/>
        <v>#N/A</v>
      </c>
      <c r="K221" s="264" t="e">
        <f ca="1"/>
        <v>#N/A</v>
      </c>
      <c r="L221" s="264" t="e">
        <f ca="1"/>
        <v>#N/A</v>
      </c>
      <c r="M221" s="264" t="e">
        <f ca="1"/>
        <v>#N/A</v>
      </c>
      <c r="N221" s="265" t="e">
        <f ca="1"/>
        <v>#N/A</v>
      </c>
      <c r="P221" s="319" t="str">
        <f t="array" aca="1" ref="P221:T221" ca="1">IF(AND($Q$34,B223&lt;=$C$17,C223&lt;&gt;""),TRANSPOSE(INDEX(cds(C223,$C$6,$C$29,,$C$13,$C$14,,,,,TRUE,TRUE,FALSE,,"1m"),0,1)),"")</f>
        <v/>
      </c>
      <c r="Q221" s="320" t="str">
        <f ca="1"/>
        <v/>
      </c>
      <c r="R221" s="320" t="str">
        <f ca="1"/>
        <v/>
      </c>
      <c r="S221" s="321" t="str">
        <f ca="1"/>
        <v/>
      </c>
      <c r="T221" s="322" t="str">
        <f ca="1"/>
        <v/>
      </c>
      <c r="U221" s="323" t="str">
        <f t="shared" ca="1" si="10"/>
        <v/>
      </c>
      <c r="V221" s="324" t="str">
        <f t="shared" ca="1" si="11"/>
        <v/>
      </c>
      <c r="W221" s="323" t="str">
        <f t="shared" ca="1" si="12"/>
        <v/>
      </c>
      <c r="X221" s="325" t="str">
        <f t="shared" ca="1" si="13"/>
        <v/>
      </c>
      <c r="Y221" s="324" t="str">
        <f t="shared" ca="1" si="14"/>
        <v/>
      </c>
    </row>
    <row r="222" spans="2:25" x14ac:dyDescent="0.2">
      <c r="B222" s="331">
        <v>184</v>
      </c>
      <c r="C222" s="334"/>
      <c r="D222" s="333"/>
      <c r="E222" s="294"/>
      <c r="F222" s="274"/>
      <c r="H222" s="273">
        <v>209</v>
      </c>
      <c r="I222" s="257" t="e">
        <f ca="1"/>
        <v>#N/A</v>
      </c>
      <c r="J222" s="257" t="e">
        <f ca="1"/>
        <v>#N/A</v>
      </c>
      <c r="K222" s="264" t="e">
        <f ca="1"/>
        <v>#N/A</v>
      </c>
      <c r="L222" s="264" t="e">
        <f ca="1"/>
        <v>#N/A</v>
      </c>
      <c r="M222" s="264" t="e">
        <f ca="1"/>
        <v>#N/A</v>
      </c>
      <c r="N222" s="265" t="e">
        <f ca="1"/>
        <v>#N/A</v>
      </c>
      <c r="P222" s="319" t="str">
        <f t="array" aca="1" ref="P222:T222" ca="1">IF(AND($Q$34,B224&lt;=$C$17,C224&lt;&gt;""),TRANSPOSE(INDEX(cds(C224,$C$6,$C$29,,$C$13,$C$14,,,,,TRUE,TRUE,FALSE,,"1m"),0,1)),"")</f>
        <v/>
      </c>
      <c r="Q222" s="320" t="str">
        <f ca="1"/>
        <v/>
      </c>
      <c r="R222" s="320" t="str">
        <f ca="1"/>
        <v/>
      </c>
      <c r="S222" s="321" t="str">
        <f ca="1"/>
        <v/>
      </c>
      <c r="T222" s="322" t="str">
        <f ca="1"/>
        <v/>
      </c>
      <c r="U222" s="323" t="str">
        <f t="shared" ca="1" si="10"/>
        <v/>
      </c>
      <c r="V222" s="324" t="str">
        <f t="shared" ca="1" si="11"/>
        <v/>
      </c>
      <c r="W222" s="323" t="str">
        <f t="shared" ca="1" si="12"/>
        <v/>
      </c>
      <c r="X222" s="325" t="str">
        <f t="shared" ca="1" si="13"/>
        <v/>
      </c>
      <c r="Y222" s="324" t="str">
        <f t="shared" ca="1" si="14"/>
        <v/>
      </c>
    </row>
    <row r="223" spans="2:25" x14ac:dyDescent="0.2">
      <c r="B223" s="331">
        <v>185</v>
      </c>
      <c r="C223" s="334"/>
      <c r="D223" s="333"/>
      <c r="E223" s="294"/>
      <c r="F223" s="274"/>
      <c r="H223" s="273">
        <v>210</v>
      </c>
      <c r="I223" s="257" t="e">
        <f ca="1"/>
        <v>#N/A</v>
      </c>
      <c r="J223" s="257" t="e">
        <f ca="1"/>
        <v>#N/A</v>
      </c>
      <c r="K223" s="264" t="e">
        <f ca="1"/>
        <v>#N/A</v>
      </c>
      <c r="L223" s="264" t="e">
        <f ca="1"/>
        <v>#N/A</v>
      </c>
      <c r="M223" s="264" t="e">
        <f ca="1"/>
        <v>#N/A</v>
      </c>
      <c r="N223" s="265" t="e">
        <f ca="1"/>
        <v>#N/A</v>
      </c>
      <c r="P223" s="319" t="str">
        <f t="array" aca="1" ref="P223:T223" ca="1">IF(AND($Q$34,B225&lt;=$C$17,C225&lt;&gt;""),TRANSPOSE(INDEX(cds(C225,$C$6,$C$29,,$C$13,$C$14,,,,,TRUE,TRUE,FALSE,,"1m"),0,1)),"")</f>
        <v/>
      </c>
      <c r="Q223" s="320" t="str">
        <f ca="1"/>
        <v/>
      </c>
      <c r="R223" s="320" t="str">
        <f ca="1"/>
        <v/>
      </c>
      <c r="S223" s="321" t="str">
        <f ca="1"/>
        <v/>
      </c>
      <c r="T223" s="322" t="str">
        <f ca="1"/>
        <v/>
      </c>
      <c r="U223" s="323" t="str">
        <f t="shared" ca="1" si="10"/>
        <v/>
      </c>
      <c r="V223" s="324" t="str">
        <f t="shared" ca="1" si="11"/>
        <v/>
      </c>
      <c r="W223" s="323" t="str">
        <f t="shared" ca="1" si="12"/>
        <v/>
      </c>
      <c r="X223" s="325" t="str">
        <f t="shared" ca="1" si="13"/>
        <v/>
      </c>
      <c r="Y223" s="324" t="str">
        <f t="shared" ca="1" si="14"/>
        <v/>
      </c>
    </row>
    <row r="224" spans="2:25" x14ac:dyDescent="0.2">
      <c r="B224" s="331">
        <v>186</v>
      </c>
      <c r="C224" s="334"/>
      <c r="D224" s="333"/>
      <c r="E224" s="294"/>
      <c r="F224" s="274"/>
      <c r="H224" s="273">
        <v>211</v>
      </c>
      <c r="I224" s="257" t="e">
        <f ca="1"/>
        <v>#N/A</v>
      </c>
      <c r="J224" s="257" t="e">
        <f ca="1"/>
        <v>#N/A</v>
      </c>
      <c r="K224" s="264" t="e">
        <f ca="1"/>
        <v>#N/A</v>
      </c>
      <c r="L224" s="264" t="e">
        <f ca="1"/>
        <v>#N/A</v>
      </c>
      <c r="M224" s="264" t="e">
        <f ca="1"/>
        <v>#N/A</v>
      </c>
      <c r="N224" s="265" t="e">
        <f ca="1"/>
        <v>#N/A</v>
      </c>
      <c r="P224" s="319" t="str">
        <f t="array" aca="1" ref="P224:T224" ca="1">IF(AND($Q$34,B226&lt;=$C$17,C226&lt;&gt;""),TRANSPOSE(INDEX(cds(C226,$C$6,$C$29,,$C$13,$C$14,,,,,TRUE,TRUE,FALSE,,"1m"),0,1)),"")</f>
        <v/>
      </c>
      <c r="Q224" s="320" t="str">
        <f ca="1"/>
        <v/>
      </c>
      <c r="R224" s="320" t="str">
        <f ca="1"/>
        <v/>
      </c>
      <c r="S224" s="321" t="str">
        <f ca="1"/>
        <v/>
      </c>
      <c r="T224" s="322" t="str">
        <f ca="1"/>
        <v/>
      </c>
      <c r="U224" s="323" t="str">
        <f t="shared" ca="1" si="10"/>
        <v/>
      </c>
      <c r="V224" s="324" t="str">
        <f t="shared" ca="1" si="11"/>
        <v/>
      </c>
      <c r="W224" s="323" t="str">
        <f t="shared" ca="1" si="12"/>
        <v/>
      </c>
      <c r="X224" s="325" t="str">
        <f t="shared" ca="1" si="13"/>
        <v/>
      </c>
      <c r="Y224" s="324" t="str">
        <f t="shared" ca="1" si="14"/>
        <v/>
      </c>
    </row>
    <row r="225" spans="2:25" x14ac:dyDescent="0.2">
      <c r="B225" s="331">
        <v>187</v>
      </c>
      <c r="C225" s="334"/>
      <c r="D225" s="333"/>
      <c r="E225" s="294"/>
      <c r="F225" s="274"/>
      <c r="H225" s="273">
        <v>212</v>
      </c>
      <c r="I225" s="257" t="e">
        <f ca="1"/>
        <v>#N/A</v>
      </c>
      <c r="J225" s="257" t="e">
        <f ca="1"/>
        <v>#N/A</v>
      </c>
      <c r="K225" s="264" t="e">
        <f ca="1"/>
        <v>#N/A</v>
      </c>
      <c r="L225" s="264" t="e">
        <f ca="1"/>
        <v>#N/A</v>
      </c>
      <c r="M225" s="264" t="e">
        <f ca="1"/>
        <v>#N/A</v>
      </c>
      <c r="N225" s="265" t="e">
        <f ca="1"/>
        <v>#N/A</v>
      </c>
      <c r="P225" s="319" t="str">
        <f t="array" aca="1" ref="P225:T225" ca="1">IF(AND($Q$34,B227&lt;=$C$17,C227&lt;&gt;""),TRANSPOSE(INDEX(cds(C227,$C$6,$C$29,,$C$13,$C$14,,,,,TRUE,TRUE,FALSE,,"1m"),0,1)),"")</f>
        <v/>
      </c>
      <c r="Q225" s="320" t="str">
        <f ca="1"/>
        <v/>
      </c>
      <c r="R225" s="320" t="str">
        <f ca="1"/>
        <v/>
      </c>
      <c r="S225" s="321" t="str">
        <f ca="1"/>
        <v/>
      </c>
      <c r="T225" s="322" t="str">
        <f ca="1"/>
        <v/>
      </c>
      <c r="U225" s="323" t="str">
        <f t="shared" ca="1" si="10"/>
        <v/>
      </c>
      <c r="V225" s="324" t="str">
        <f t="shared" ca="1" si="11"/>
        <v/>
      </c>
      <c r="W225" s="323" t="str">
        <f t="shared" ca="1" si="12"/>
        <v/>
      </c>
      <c r="X225" s="325" t="str">
        <f t="shared" ca="1" si="13"/>
        <v/>
      </c>
      <c r="Y225" s="324" t="str">
        <f t="shared" ca="1" si="14"/>
        <v/>
      </c>
    </row>
    <row r="226" spans="2:25" x14ac:dyDescent="0.2">
      <c r="B226" s="331">
        <v>188</v>
      </c>
      <c r="C226" s="334"/>
      <c r="D226" s="333"/>
      <c r="E226" s="294"/>
      <c r="F226" s="274"/>
      <c r="H226" s="273">
        <v>213</v>
      </c>
      <c r="I226" s="257" t="e">
        <f ca="1"/>
        <v>#N/A</v>
      </c>
      <c r="J226" s="257" t="e">
        <f ca="1"/>
        <v>#N/A</v>
      </c>
      <c r="K226" s="264" t="e">
        <f ca="1"/>
        <v>#N/A</v>
      </c>
      <c r="L226" s="264" t="e">
        <f ca="1"/>
        <v>#N/A</v>
      </c>
      <c r="M226" s="264" t="e">
        <f ca="1"/>
        <v>#N/A</v>
      </c>
      <c r="N226" s="265" t="e">
        <f ca="1"/>
        <v>#N/A</v>
      </c>
      <c r="P226" s="319" t="str">
        <f t="array" aca="1" ref="P226:T226" ca="1">IF(AND($Q$34,B228&lt;=$C$17,C228&lt;&gt;""),TRANSPOSE(INDEX(cds(C228,$C$6,$C$29,,$C$13,$C$14,,,,,TRUE,TRUE,FALSE,,"1m"),0,1)),"")</f>
        <v/>
      </c>
      <c r="Q226" s="320" t="str">
        <f ca="1"/>
        <v/>
      </c>
      <c r="R226" s="320" t="str">
        <f ca="1"/>
        <v/>
      </c>
      <c r="S226" s="321" t="str">
        <f ca="1"/>
        <v/>
      </c>
      <c r="T226" s="322" t="str">
        <f ca="1"/>
        <v/>
      </c>
      <c r="U226" s="323" t="str">
        <f t="shared" ca="1" si="10"/>
        <v/>
      </c>
      <c r="V226" s="324" t="str">
        <f t="shared" ca="1" si="11"/>
        <v/>
      </c>
      <c r="W226" s="323" t="str">
        <f t="shared" ca="1" si="12"/>
        <v/>
      </c>
      <c r="X226" s="325" t="str">
        <f t="shared" ca="1" si="13"/>
        <v/>
      </c>
      <c r="Y226" s="324" t="str">
        <f t="shared" ca="1" si="14"/>
        <v/>
      </c>
    </row>
    <row r="227" spans="2:25" x14ac:dyDescent="0.2">
      <c r="B227" s="331">
        <v>189</v>
      </c>
      <c r="C227" s="334"/>
      <c r="D227" s="333"/>
      <c r="E227" s="294"/>
      <c r="F227" s="274"/>
      <c r="H227" s="273">
        <v>214</v>
      </c>
      <c r="I227" s="257" t="e">
        <f ca="1"/>
        <v>#N/A</v>
      </c>
      <c r="J227" s="257" t="e">
        <f ca="1"/>
        <v>#N/A</v>
      </c>
      <c r="K227" s="264" t="e">
        <f ca="1"/>
        <v>#N/A</v>
      </c>
      <c r="L227" s="264" t="e">
        <f ca="1"/>
        <v>#N/A</v>
      </c>
      <c r="M227" s="264" t="e">
        <f ca="1"/>
        <v>#N/A</v>
      </c>
      <c r="N227" s="265" t="e">
        <f ca="1"/>
        <v>#N/A</v>
      </c>
      <c r="P227" s="319" t="str">
        <f t="array" aca="1" ref="P227:T227" ca="1">IF(AND($Q$34,B229&lt;=$C$17,C229&lt;&gt;""),TRANSPOSE(INDEX(cds(C229,$C$6,$C$29,,$C$13,$C$14,,,,,TRUE,TRUE,FALSE,,"1m"),0,1)),"")</f>
        <v/>
      </c>
      <c r="Q227" s="320" t="str">
        <f ca="1"/>
        <v/>
      </c>
      <c r="R227" s="320" t="str">
        <f ca="1"/>
        <v/>
      </c>
      <c r="S227" s="321" t="str">
        <f ca="1"/>
        <v/>
      </c>
      <c r="T227" s="322" t="str">
        <f ca="1"/>
        <v/>
      </c>
      <c r="U227" s="323" t="str">
        <f t="shared" ca="1" si="10"/>
        <v/>
      </c>
      <c r="V227" s="324" t="str">
        <f t="shared" ca="1" si="11"/>
        <v/>
      </c>
      <c r="W227" s="323" t="str">
        <f t="shared" ca="1" si="12"/>
        <v/>
      </c>
      <c r="X227" s="325" t="str">
        <f t="shared" ca="1" si="13"/>
        <v/>
      </c>
      <c r="Y227" s="324" t="str">
        <f t="shared" ca="1" si="14"/>
        <v/>
      </c>
    </row>
    <row r="228" spans="2:25" x14ac:dyDescent="0.2">
      <c r="B228" s="331">
        <v>190</v>
      </c>
      <c r="C228" s="334"/>
      <c r="D228" s="333"/>
      <c r="E228" s="294"/>
      <c r="F228" s="274"/>
      <c r="H228" s="273">
        <v>215</v>
      </c>
      <c r="I228" s="257" t="e">
        <f ca="1"/>
        <v>#N/A</v>
      </c>
      <c r="J228" s="257" t="e">
        <f ca="1"/>
        <v>#N/A</v>
      </c>
      <c r="K228" s="264" t="e">
        <f ca="1"/>
        <v>#N/A</v>
      </c>
      <c r="L228" s="264" t="e">
        <f ca="1"/>
        <v>#N/A</v>
      </c>
      <c r="M228" s="264" t="e">
        <f ca="1"/>
        <v>#N/A</v>
      </c>
      <c r="N228" s="265" t="e">
        <f ca="1"/>
        <v>#N/A</v>
      </c>
      <c r="P228" s="319" t="str">
        <f t="array" aca="1" ref="P228:T228" ca="1">IF(AND($Q$34,B230&lt;=$C$17,C230&lt;&gt;""),TRANSPOSE(INDEX(cds(C230,$C$6,$C$29,,$C$13,$C$14,,,,,TRUE,TRUE,FALSE,,"1m"),0,1)),"")</f>
        <v/>
      </c>
      <c r="Q228" s="320" t="str">
        <f ca="1"/>
        <v/>
      </c>
      <c r="R228" s="320" t="str">
        <f ca="1"/>
        <v/>
      </c>
      <c r="S228" s="321" t="str">
        <f ca="1"/>
        <v/>
      </c>
      <c r="T228" s="322" t="str">
        <f ca="1"/>
        <v/>
      </c>
      <c r="U228" s="323" t="str">
        <f t="shared" ca="1" si="10"/>
        <v/>
      </c>
      <c r="V228" s="324" t="str">
        <f t="shared" ca="1" si="11"/>
        <v/>
      </c>
      <c r="W228" s="323" t="str">
        <f t="shared" ca="1" si="12"/>
        <v/>
      </c>
      <c r="X228" s="325" t="str">
        <f t="shared" ca="1" si="13"/>
        <v/>
      </c>
      <c r="Y228" s="324" t="str">
        <f t="shared" ca="1" si="14"/>
        <v/>
      </c>
    </row>
    <row r="229" spans="2:25" x14ac:dyDescent="0.2">
      <c r="B229" s="331">
        <v>191</v>
      </c>
      <c r="C229" s="334"/>
      <c r="D229" s="333"/>
      <c r="E229" s="294"/>
      <c r="F229" s="274"/>
      <c r="H229" s="273">
        <v>216</v>
      </c>
      <c r="I229" s="257" t="e">
        <f ca="1"/>
        <v>#N/A</v>
      </c>
      <c r="J229" s="257" t="e">
        <f ca="1"/>
        <v>#N/A</v>
      </c>
      <c r="K229" s="264" t="e">
        <f ca="1"/>
        <v>#N/A</v>
      </c>
      <c r="L229" s="264" t="e">
        <f ca="1"/>
        <v>#N/A</v>
      </c>
      <c r="M229" s="264" t="e">
        <f ca="1"/>
        <v>#N/A</v>
      </c>
      <c r="N229" s="265" t="e">
        <f ca="1"/>
        <v>#N/A</v>
      </c>
      <c r="P229" s="319" t="str">
        <f t="array" aca="1" ref="P229:T229" ca="1">IF(AND($Q$34,B231&lt;=$C$17,C231&lt;&gt;""),TRANSPOSE(INDEX(cds(C231,$C$6,$C$29,,$C$13,$C$14,,,,,TRUE,TRUE,FALSE,,"1m"),0,1)),"")</f>
        <v/>
      </c>
      <c r="Q229" s="320" t="str">
        <f ca="1"/>
        <v/>
      </c>
      <c r="R229" s="320" t="str">
        <f ca="1"/>
        <v/>
      </c>
      <c r="S229" s="321" t="str">
        <f ca="1"/>
        <v/>
      </c>
      <c r="T229" s="322" t="str">
        <f ca="1"/>
        <v/>
      </c>
      <c r="U229" s="323" t="str">
        <f t="shared" ref="U229:U292" ca="1" si="15">IF(NOT($Q$34),"",IF(P229="","",$Q$35*$D$39/$C$18))</f>
        <v/>
      </c>
      <c r="V229" s="324" t="str">
        <f t="shared" ref="V229:V292" ca="1" si="16">IF(NOT($Q$34),"",IF(U229="","",U229*($V$32-S229)*T229))</f>
        <v/>
      </c>
      <c r="W229" s="323" t="str">
        <f t="shared" ref="W229:W292" ca="1" si="17">IF(NOT($Q$34),"",IF(P229="","",IF(ISERROR(L206),0,L206/($C$20-$C$19))))</f>
        <v/>
      </c>
      <c r="X229" s="325" t="str">
        <f t="shared" ref="X229:X292" ca="1" si="18">IF(NOT($Q$34),"",IF(S229="","",S229*$Y$32))</f>
        <v/>
      </c>
      <c r="Y229" s="324" t="str">
        <f t="shared" ref="Y229:Y292" ca="1" si="19">IF(NOT($Q$34),"",IF(W229="","",W229*(X229-S229)*T229))</f>
        <v/>
      </c>
    </row>
    <row r="230" spans="2:25" x14ac:dyDescent="0.2">
      <c r="B230" s="331">
        <v>192</v>
      </c>
      <c r="C230" s="334"/>
      <c r="D230" s="333"/>
      <c r="E230" s="294"/>
      <c r="F230" s="274"/>
      <c r="H230" s="273">
        <v>217</v>
      </c>
      <c r="I230" s="257" t="e">
        <f ca="1"/>
        <v>#N/A</v>
      </c>
      <c r="J230" s="257" t="e">
        <f ca="1"/>
        <v>#N/A</v>
      </c>
      <c r="K230" s="264" t="e">
        <f ca="1"/>
        <v>#N/A</v>
      </c>
      <c r="L230" s="264" t="e">
        <f ca="1"/>
        <v>#N/A</v>
      </c>
      <c r="M230" s="264" t="e">
        <f ca="1"/>
        <v>#N/A</v>
      </c>
      <c r="N230" s="265" t="e">
        <f ca="1"/>
        <v>#N/A</v>
      </c>
      <c r="P230" s="319" t="str">
        <f t="array" aca="1" ref="P230:T230" ca="1">IF(AND($Q$34,B232&lt;=$C$17,C232&lt;&gt;""),TRANSPOSE(INDEX(cds(C232,$C$6,$C$29,,$C$13,$C$14,,,,,TRUE,TRUE,FALSE,,"1m"),0,1)),"")</f>
        <v/>
      </c>
      <c r="Q230" s="320" t="str">
        <f ca="1"/>
        <v/>
      </c>
      <c r="R230" s="320" t="str">
        <f ca="1"/>
        <v/>
      </c>
      <c r="S230" s="321" t="str">
        <f ca="1"/>
        <v/>
      </c>
      <c r="T230" s="322" t="str">
        <f ca="1"/>
        <v/>
      </c>
      <c r="U230" s="323" t="str">
        <f t="shared" ca="1" si="15"/>
        <v/>
      </c>
      <c r="V230" s="324" t="str">
        <f t="shared" ca="1" si="16"/>
        <v/>
      </c>
      <c r="W230" s="323" t="str">
        <f t="shared" ca="1" si="17"/>
        <v/>
      </c>
      <c r="X230" s="325" t="str">
        <f t="shared" ca="1" si="18"/>
        <v/>
      </c>
      <c r="Y230" s="324" t="str">
        <f t="shared" ca="1" si="19"/>
        <v/>
      </c>
    </row>
    <row r="231" spans="2:25" x14ac:dyDescent="0.2">
      <c r="B231" s="331">
        <v>193</v>
      </c>
      <c r="C231" s="334"/>
      <c r="D231" s="333"/>
      <c r="E231" s="294"/>
      <c r="F231" s="274"/>
      <c r="H231" s="273">
        <v>218</v>
      </c>
      <c r="I231" s="257" t="e">
        <f ca="1"/>
        <v>#N/A</v>
      </c>
      <c r="J231" s="257" t="e">
        <f ca="1"/>
        <v>#N/A</v>
      </c>
      <c r="K231" s="264" t="e">
        <f ca="1"/>
        <v>#N/A</v>
      </c>
      <c r="L231" s="264" t="e">
        <f ca="1"/>
        <v>#N/A</v>
      </c>
      <c r="M231" s="264" t="e">
        <f ca="1"/>
        <v>#N/A</v>
      </c>
      <c r="N231" s="265" t="e">
        <f ca="1"/>
        <v>#N/A</v>
      </c>
      <c r="P231" s="319" t="str">
        <f t="array" aca="1" ref="P231:T231" ca="1">IF(AND($Q$34,B233&lt;=$C$17,C233&lt;&gt;""),TRANSPOSE(INDEX(cds(C233,$C$6,$C$29,,$C$13,$C$14,,,,,TRUE,TRUE,FALSE,,"1m"),0,1)),"")</f>
        <v/>
      </c>
      <c r="Q231" s="320" t="str">
        <f ca="1"/>
        <v/>
      </c>
      <c r="R231" s="320" t="str">
        <f ca="1"/>
        <v/>
      </c>
      <c r="S231" s="321" t="str">
        <f ca="1"/>
        <v/>
      </c>
      <c r="T231" s="322" t="str">
        <f ca="1"/>
        <v/>
      </c>
      <c r="U231" s="323" t="str">
        <f t="shared" ca="1" si="15"/>
        <v/>
      </c>
      <c r="V231" s="324" t="str">
        <f t="shared" ca="1" si="16"/>
        <v/>
      </c>
      <c r="W231" s="323" t="str">
        <f t="shared" ca="1" si="17"/>
        <v/>
      </c>
      <c r="X231" s="325" t="str">
        <f t="shared" ca="1" si="18"/>
        <v/>
      </c>
      <c r="Y231" s="324" t="str">
        <f t="shared" ca="1" si="19"/>
        <v/>
      </c>
    </row>
    <row r="232" spans="2:25" x14ac:dyDescent="0.2">
      <c r="B232" s="331">
        <v>194</v>
      </c>
      <c r="C232" s="334"/>
      <c r="D232" s="333"/>
      <c r="E232" s="294"/>
      <c r="F232" s="274"/>
      <c r="H232" s="273">
        <v>219</v>
      </c>
      <c r="I232" s="257" t="e">
        <f ca="1"/>
        <v>#N/A</v>
      </c>
      <c r="J232" s="257" t="e">
        <f ca="1"/>
        <v>#N/A</v>
      </c>
      <c r="K232" s="264" t="e">
        <f ca="1"/>
        <v>#N/A</v>
      </c>
      <c r="L232" s="264" t="e">
        <f ca="1"/>
        <v>#N/A</v>
      </c>
      <c r="M232" s="264" t="e">
        <f ca="1"/>
        <v>#N/A</v>
      </c>
      <c r="N232" s="265" t="e">
        <f ca="1"/>
        <v>#N/A</v>
      </c>
      <c r="P232" s="319" t="str">
        <f t="array" aca="1" ref="P232:T232" ca="1">IF(AND($Q$34,B234&lt;=$C$17,C234&lt;&gt;""),TRANSPOSE(INDEX(cds(C234,$C$6,$C$29,,$C$13,$C$14,,,,,TRUE,TRUE,FALSE,,"1m"),0,1)),"")</f>
        <v/>
      </c>
      <c r="Q232" s="320" t="str">
        <f ca="1"/>
        <v/>
      </c>
      <c r="R232" s="320" t="str">
        <f ca="1"/>
        <v/>
      </c>
      <c r="S232" s="321" t="str">
        <f ca="1"/>
        <v/>
      </c>
      <c r="T232" s="322" t="str">
        <f ca="1"/>
        <v/>
      </c>
      <c r="U232" s="323" t="str">
        <f t="shared" ca="1" si="15"/>
        <v/>
      </c>
      <c r="V232" s="324" t="str">
        <f t="shared" ca="1" si="16"/>
        <v/>
      </c>
      <c r="W232" s="323" t="str">
        <f t="shared" ca="1" si="17"/>
        <v/>
      </c>
      <c r="X232" s="325" t="str">
        <f t="shared" ca="1" si="18"/>
        <v/>
      </c>
      <c r="Y232" s="324" t="str">
        <f t="shared" ca="1" si="19"/>
        <v/>
      </c>
    </row>
    <row r="233" spans="2:25" x14ac:dyDescent="0.2">
      <c r="B233" s="331">
        <v>195</v>
      </c>
      <c r="C233" s="334"/>
      <c r="D233" s="333"/>
      <c r="E233" s="294"/>
      <c r="F233" s="274"/>
      <c r="H233" s="273">
        <v>220</v>
      </c>
      <c r="I233" s="257" t="e">
        <f ca="1"/>
        <v>#N/A</v>
      </c>
      <c r="J233" s="257" t="e">
        <f ca="1"/>
        <v>#N/A</v>
      </c>
      <c r="K233" s="264" t="e">
        <f ca="1"/>
        <v>#N/A</v>
      </c>
      <c r="L233" s="264" t="e">
        <f ca="1"/>
        <v>#N/A</v>
      </c>
      <c r="M233" s="264" t="e">
        <f ca="1"/>
        <v>#N/A</v>
      </c>
      <c r="N233" s="265" t="e">
        <f ca="1"/>
        <v>#N/A</v>
      </c>
      <c r="P233" s="319" t="str">
        <f t="array" aca="1" ref="P233:T233" ca="1">IF(AND($Q$34,B235&lt;=$C$17,C235&lt;&gt;""),TRANSPOSE(INDEX(cds(C235,$C$6,$C$29,,$C$13,$C$14,,,,,TRUE,TRUE,FALSE,,"1m"),0,1)),"")</f>
        <v/>
      </c>
      <c r="Q233" s="320" t="str">
        <f ca="1"/>
        <v/>
      </c>
      <c r="R233" s="320" t="str">
        <f ca="1"/>
        <v/>
      </c>
      <c r="S233" s="321" t="str">
        <f ca="1"/>
        <v/>
      </c>
      <c r="T233" s="322" t="str">
        <f ca="1"/>
        <v/>
      </c>
      <c r="U233" s="323" t="str">
        <f t="shared" ca="1" si="15"/>
        <v/>
      </c>
      <c r="V233" s="324" t="str">
        <f t="shared" ca="1" si="16"/>
        <v/>
      </c>
      <c r="W233" s="323" t="str">
        <f t="shared" ca="1" si="17"/>
        <v/>
      </c>
      <c r="X233" s="325" t="str">
        <f t="shared" ca="1" si="18"/>
        <v/>
      </c>
      <c r="Y233" s="324" t="str">
        <f t="shared" ca="1" si="19"/>
        <v/>
      </c>
    </row>
    <row r="234" spans="2:25" x14ac:dyDescent="0.2">
      <c r="B234" s="331">
        <v>196</v>
      </c>
      <c r="C234" s="334"/>
      <c r="D234" s="333"/>
      <c r="E234" s="294"/>
      <c r="F234" s="274"/>
      <c r="H234" s="273">
        <v>221</v>
      </c>
      <c r="I234" s="257" t="e">
        <f ca="1"/>
        <v>#N/A</v>
      </c>
      <c r="J234" s="257" t="e">
        <f ca="1"/>
        <v>#N/A</v>
      </c>
      <c r="K234" s="264" t="e">
        <f ca="1"/>
        <v>#N/A</v>
      </c>
      <c r="L234" s="264" t="e">
        <f ca="1"/>
        <v>#N/A</v>
      </c>
      <c r="M234" s="264" t="e">
        <f ca="1"/>
        <v>#N/A</v>
      </c>
      <c r="N234" s="265" t="e">
        <f ca="1"/>
        <v>#N/A</v>
      </c>
      <c r="P234" s="319" t="str">
        <f t="array" aca="1" ref="P234:T234" ca="1">IF(AND($Q$34,B236&lt;=$C$17,C236&lt;&gt;""),TRANSPOSE(INDEX(cds(C236,$C$6,$C$29,,$C$13,$C$14,,,,,TRUE,TRUE,FALSE,,"1m"),0,1)),"")</f>
        <v/>
      </c>
      <c r="Q234" s="320" t="str">
        <f ca="1"/>
        <v/>
      </c>
      <c r="R234" s="320" t="str">
        <f ca="1"/>
        <v/>
      </c>
      <c r="S234" s="321" t="str">
        <f ca="1"/>
        <v/>
      </c>
      <c r="T234" s="322" t="str">
        <f ca="1"/>
        <v/>
      </c>
      <c r="U234" s="323" t="str">
        <f t="shared" ca="1" si="15"/>
        <v/>
      </c>
      <c r="V234" s="324" t="str">
        <f t="shared" ca="1" si="16"/>
        <v/>
      </c>
      <c r="W234" s="323" t="str">
        <f t="shared" ca="1" si="17"/>
        <v/>
      </c>
      <c r="X234" s="325" t="str">
        <f t="shared" ca="1" si="18"/>
        <v/>
      </c>
      <c r="Y234" s="324" t="str">
        <f t="shared" ca="1" si="19"/>
        <v/>
      </c>
    </row>
    <row r="235" spans="2:25" x14ac:dyDescent="0.2">
      <c r="B235" s="331">
        <v>197</v>
      </c>
      <c r="C235" s="334"/>
      <c r="D235" s="333"/>
      <c r="E235" s="294"/>
      <c r="F235" s="274"/>
      <c r="H235" s="273">
        <v>222</v>
      </c>
      <c r="I235" s="257" t="e">
        <f ca="1"/>
        <v>#N/A</v>
      </c>
      <c r="J235" s="257" t="e">
        <f ca="1"/>
        <v>#N/A</v>
      </c>
      <c r="K235" s="264" t="e">
        <f ca="1"/>
        <v>#N/A</v>
      </c>
      <c r="L235" s="264" t="e">
        <f ca="1"/>
        <v>#N/A</v>
      </c>
      <c r="M235" s="264" t="e">
        <f ca="1"/>
        <v>#N/A</v>
      </c>
      <c r="N235" s="265" t="e">
        <f ca="1"/>
        <v>#N/A</v>
      </c>
      <c r="P235" s="319" t="str">
        <f t="array" aca="1" ref="P235:T235" ca="1">IF(AND($Q$34,B237&lt;=$C$17,C237&lt;&gt;""),TRANSPOSE(INDEX(cds(C237,$C$6,$C$29,,$C$13,$C$14,,,,,TRUE,TRUE,FALSE,,"1m"),0,1)),"")</f>
        <v/>
      </c>
      <c r="Q235" s="320" t="str">
        <f ca="1"/>
        <v/>
      </c>
      <c r="R235" s="320" t="str">
        <f ca="1"/>
        <v/>
      </c>
      <c r="S235" s="321" t="str">
        <f ca="1"/>
        <v/>
      </c>
      <c r="T235" s="322" t="str">
        <f ca="1"/>
        <v/>
      </c>
      <c r="U235" s="323" t="str">
        <f t="shared" ca="1" si="15"/>
        <v/>
      </c>
      <c r="V235" s="324" t="str">
        <f t="shared" ca="1" si="16"/>
        <v/>
      </c>
      <c r="W235" s="323" t="str">
        <f t="shared" ca="1" si="17"/>
        <v/>
      </c>
      <c r="X235" s="325" t="str">
        <f t="shared" ca="1" si="18"/>
        <v/>
      </c>
      <c r="Y235" s="324" t="str">
        <f t="shared" ca="1" si="19"/>
        <v/>
      </c>
    </row>
    <row r="236" spans="2:25" x14ac:dyDescent="0.2">
      <c r="B236" s="331">
        <v>198</v>
      </c>
      <c r="C236" s="334"/>
      <c r="D236" s="333"/>
      <c r="E236" s="294"/>
      <c r="F236" s="274"/>
      <c r="H236" s="273">
        <v>223</v>
      </c>
      <c r="I236" s="257" t="e">
        <f ca="1"/>
        <v>#N/A</v>
      </c>
      <c r="J236" s="257" t="e">
        <f ca="1"/>
        <v>#N/A</v>
      </c>
      <c r="K236" s="264" t="e">
        <f ca="1"/>
        <v>#N/A</v>
      </c>
      <c r="L236" s="264" t="e">
        <f ca="1"/>
        <v>#N/A</v>
      </c>
      <c r="M236" s="264" t="e">
        <f ca="1"/>
        <v>#N/A</v>
      </c>
      <c r="N236" s="265" t="e">
        <f ca="1"/>
        <v>#N/A</v>
      </c>
      <c r="P236" s="319" t="str">
        <f t="array" aca="1" ref="P236:T236" ca="1">IF(AND($Q$34,B238&lt;=$C$17,C238&lt;&gt;""),TRANSPOSE(INDEX(cds(C238,$C$6,$C$29,,$C$13,$C$14,,,,,TRUE,TRUE,FALSE,,"1m"),0,1)),"")</f>
        <v/>
      </c>
      <c r="Q236" s="320" t="str">
        <f ca="1"/>
        <v/>
      </c>
      <c r="R236" s="320" t="str">
        <f ca="1"/>
        <v/>
      </c>
      <c r="S236" s="321" t="str">
        <f ca="1"/>
        <v/>
      </c>
      <c r="T236" s="322" t="str">
        <f ca="1"/>
        <v/>
      </c>
      <c r="U236" s="323" t="str">
        <f t="shared" ca="1" si="15"/>
        <v/>
      </c>
      <c r="V236" s="324" t="str">
        <f t="shared" ca="1" si="16"/>
        <v/>
      </c>
      <c r="W236" s="323" t="str">
        <f t="shared" ca="1" si="17"/>
        <v/>
      </c>
      <c r="X236" s="325" t="str">
        <f t="shared" ca="1" si="18"/>
        <v/>
      </c>
      <c r="Y236" s="324" t="str">
        <f t="shared" ca="1" si="19"/>
        <v/>
      </c>
    </row>
    <row r="237" spans="2:25" x14ac:dyDescent="0.2">
      <c r="B237" s="331">
        <v>199</v>
      </c>
      <c r="C237" s="334"/>
      <c r="D237" s="333"/>
      <c r="E237" s="294"/>
      <c r="F237" s="274"/>
      <c r="H237" s="273">
        <v>224</v>
      </c>
      <c r="I237" s="257" t="e">
        <f ca="1"/>
        <v>#N/A</v>
      </c>
      <c r="J237" s="257" t="e">
        <f ca="1"/>
        <v>#N/A</v>
      </c>
      <c r="K237" s="264" t="e">
        <f ca="1"/>
        <v>#N/A</v>
      </c>
      <c r="L237" s="264" t="e">
        <f ca="1"/>
        <v>#N/A</v>
      </c>
      <c r="M237" s="264" t="e">
        <f ca="1"/>
        <v>#N/A</v>
      </c>
      <c r="N237" s="265" t="e">
        <f ca="1"/>
        <v>#N/A</v>
      </c>
      <c r="P237" s="319" t="str">
        <f t="array" aca="1" ref="P237:T237" ca="1">IF(AND($Q$34,B239&lt;=$C$17,C239&lt;&gt;""),TRANSPOSE(INDEX(cds(C239,$C$6,$C$29,,$C$13,$C$14,,,,,TRUE,TRUE,FALSE,,"1m"),0,1)),"")</f>
        <v/>
      </c>
      <c r="Q237" s="320" t="str">
        <f ca="1"/>
        <v/>
      </c>
      <c r="R237" s="320" t="str">
        <f ca="1"/>
        <v/>
      </c>
      <c r="S237" s="321" t="str">
        <f ca="1"/>
        <v/>
      </c>
      <c r="T237" s="322" t="str">
        <f ca="1"/>
        <v/>
      </c>
      <c r="U237" s="323" t="str">
        <f t="shared" ca="1" si="15"/>
        <v/>
      </c>
      <c r="V237" s="324" t="str">
        <f t="shared" ca="1" si="16"/>
        <v/>
      </c>
      <c r="W237" s="323" t="str">
        <f t="shared" ca="1" si="17"/>
        <v/>
      </c>
      <c r="X237" s="325" t="str">
        <f t="shared" ca="1" si="18"/>
        <v/>
      </c>
      <c r="Y237" s="324" t="str">
        <f t="shared" ca="1" si="19"/>
        <v/>
      </c>
    </row>
    <row r="238" spans="2:25" x14ac:dyDescent="0.2">
      <c r="B238" s="331">
        <v>200</v>
      </c>
      <c r="C238" s="334"/>
      <c r="D238" s="333"/>
      <c r="E238" s="294"/>
      <c r="F238" s="274"/>
      <c r="H238" s="273">
        <v>225</v>
      </c>
      <c r="I238" s="257" t="e">
        <f ca="1"/>
        <v>#N/A</v>
      </c>
      <c r="J238" s="257" t="e">
        <f ca="1"/>
        <v>#N/A</v>
      </c>
      <c r="K238" s="264" t="e">
        <f ca="1"/>
        <v>#N/A</v>
      </c>
      <c r="L238" s="264" t="e">
        <f ca="1"/>
        <v>#N/A</v>
      </c>
      <c r="M238" s="264" t="e">
        <f ca="1"/>
        <v>#N/A</v>
      </c>
      <c r="N238" s="265" t="e">
        <f ca="1"/>
        <v>#N/A</v>
      </c>
      <c r="P238" s="319" t="str">
        <f t="array" aca="1" ref="P238:T238" ca="1">IF(AND($Q$34,B240&lt;=$C$17,C240&lt;&gt;""),TRANSPOSE(INDEX(cds(C240,$C$6,$C$29,,$C$13,$C$14,,,,,TRUE,TRUE,FALSE,,"1m"),0,1)),"")</f>
        <v/>
      </c>
      <c r="Q238" s="320" t="str">
        <f ca="1"/>
        <v/>
      </c>
      <c r="R238" s="320" t="str">
        <f ca="1"/>
        <v/>
      </c>
      <c r="S238" s="321" t="str">
        <f ca="1"/>
        <v/>
      </c>
      <c r="T238" s="322" t="str">
        <f ca="1"/>
        <v/>
      </c>
      <c r="U238" s="323" t="str">
        <f t="shared" ca="1" si="15"/>
        <v/>
      </c>
      <c r="V238" s="324" t="str">
        <f t="shared" ca="1" si="16"/>
        <v/>
      </c>
      <c r="W238" s="323" t="str">
        <f t="shared" ca="1" si="17"/>
        <v/>
      </c>
      <c r="X238" s="325" t="str">
        <f t="shared" ca="1" si="18"/>
        <v/>
      </c>
      <c r="Y238" s="324" t="str">
        <f t="shared" ca="1" si="19"/>
        <v/>
      </c>
    </row>
    <row r="239" spans="2:25" x14ac:dyDescent="0.2">
      <c r="B239" s="331">
        <v>201</v>
      </c>
      <c r="C239" s="334"/>
      <c r="D239" s="333"/>
      <c r="E239" s="294"/>
      <c r="F239" s="274"/>
      <c r="H239" s="273">
        <v>226</v>
      </c>
      <c r="I239" s="257" t="e">
        <f ca="1"/>
        <v>#N/A</v>
      </c>
      <c r="J239" s="257" t="e">
        <f ca="1"/>
        <v>#N/A</v>
      </c>
      <c r="K239" s="264" t="e">
        <f ca="1"/>
        <v>#N/A</v>
      </c>
      <c r="L239" s="264" t="e">
        <f ca="1"/>
        <v>#N/A</v>
      </c>
      <c r="M239" s="264" t="e">
        <f ca="1"/>
        <v>#N/A</v>
      </c>
      <c r="N239" s="265" t="e">
        <f ca="1"/>
        <v>#N/A</v>
      </c>
      <c r="P239" s="319" t="str">
        <f t="array" aca="1" ref="P239:T239" ca="1">IF(AND($Q$34,B241&lt;=$C$17,C241&lt;&gt;""),TRANSPOSE(INDEX(cds(C241,$C$6,$C$29,,$C$13,$C$14,,,,,TRUE,TRUE,FALSE,,"1m"),0,1)),"")</f>
        <v/>
      </c>
      <c r="Q239" s="320" t="str">
        <f ca="1"/>
        <v/>
      </c>
      <c r="R239" s="320" t="str">
        <f ca="1"/>
        <v/>
      </c>
      <c r="S239" s="321" t="str">
        <f ca="1"/>
        <v/>
      </c>
      <c r="T239" s="322" t="str">
        <f ca="1"/>
        <v/>
      </c>
      <c r="U239" s="323" t="str">
        <f t="shared" ca="1" si="15"/>
        <v/>
      </c>
      <c r="V239" s="324" t="str">
        <f t="shared" ca="1" si="16"/>
        <v/>
      </c>
      <c r="W239" s="323" t="str">
        <f t="shared" ca="1" si="17"/>
        <v/>
      </c>
      <c r="X239" s="325" t="str">
        <f t="shared" ca="1" si="18"/>
        <v/>
      </c>
      <c r="Y239" s="324" t="str">
        <f t="shared" ca="1" si="19"/>
        <v/>
      </c>
    </row>
    <row r="240" spans="2:25" x14ac:dyDescent="0.2">
      <c r="B240" s="331">
        <v>202</v>
      </c>
      <c r="C240" s="334"/>
      <c r="D240" s="333"/>
      <c r="E240" s="294"/>
      <c r="F240" s="274"/>
      <c r="H240" s="273">
        <v>227</v>
      </c>
      <c r="I240" s="257" t="e">
        <f ca="1"/>
        <v>#N/A</v>
      </c>
      <c r="J240" s="257" t="e">
        <f ca="1"/>
        <v>#N/A</v>
      </c>
      <c r="K240" s="264" t="e">
        <f ca="1"/>
        <v>#N/A</v>
      </c>
      <c r="L240" s="264" t="e">
        <f ca="1"/>
        <v>#N/A</v>
      </c>
      <c r="M240" s="264" t="e">
        <f ca="1"/>
        <v>#N/A</v>
      </c>
      <c r="N240" s="265" t="e">
        <f ca="1"/>
        <v>#N/A</v>
      </c>
      <c r="P240" s="319" t="str">
        <f t="array" aca="1" ref="P240:T240" ca="1">IF(AND($Q$34,B242&lt;=$C$17,C242&lt;&gt;""),TRANSPOSE(INDEX(cds(C242,$C$6,$C$29,,$C$13,$C$14,,,,,TRUE,TRUE,FALSE,,"1m"),0,1)),"")</f>
        <v/>
      </c>
      <c r="Q240" s="320" t="str">
        <f ca="1"/>
        <v/>
      </c>
      <c r="R240" s="320" t="str">
        <f ca="1"/>
        <v/>
      </c>
      <c r="S240" s="321" t="str">
        <f ca="1"/>
        <v/>
      </c>
      <c r="T240" s="322" t="str">
        <f ca="1"/>
        <v/>
      </c>
      <c r="U240" s="323" t="str">
        <f t="shared" ca="1" si="15"/>
        <v/>
      </c>
      <c r="V240" s="324" t="str">
        <f t="shared" ca="1" si="16"/>
        <v/>
      </c>
      <c r="W240" s="323" t="str">
        <f t="shared" ca="1" si="17"/>
        <v/>
      </c>
      <c r="X240" s="325" t="str">
        <f t="shared" ca="1" si="18"/>
        <v/>
      </c>
      <c r="Y240" s="324" t="str">
        <f t="shared" ca="1" si="19"/>
        <v/>
      </c>
    </row>
    <row r="241" spans="2:25" x14ac:dyDescent="0.2">
      <c r="B241" s="331">
        <v>203</v>
      </c>
      <c r="C241" s="334"/>
      <c r="D241" s="333"/>
      <c r="E241" s="294"/>
      <c r="F241" s="274"/>
      <c r="H241" s="273">
        <v>228</v>
      </c>
      <c r="I241" s="257" t="e">
        <f ca="1"/>
        <v>#N/A</v>
      </c>
      <c r="J241" s="257" t="e">
        <f ca="1"/>
        <v>#N/A</v>
      </c>
      <c r="K241" s="264" t="e">
        <f ca="1"/>
        <v>#N/A</v>
      </c>
      <c r="L241" s="264" t="e">
        <f ca="1"/>
        <v>#N/A</v>
      </c>
      <c r="M241" s="264" t="e">
        <f ca="1"/>
        <v>#N/A</v>
      </c>
      <c r="N241" s="265" t="e">
        <f ca="1"/>
        <v>#N/A</v>
      </c>
      <c r="P241" s="319" t="str">
        <f t="array" aca="1" ref="P241:T241" ca="1">IF(AND($Q$34,B243&lt;=$C$17,C243&lt;&gt;""),TRANSPOSE(INDEX(cds(C243,$C$6,$C$29,,$C$13,$C$14,,,,,TRUE,TRUE,FALSE,,"1m"),0,1)),"")</f>
        <v/>
      </c>
      <c r="Q241" s="320" t="str">
        <f ca="1"/>
        <v/>
      </c>
      <c r="R241" s="320" t="str">
        <f ca="1"/>
        <v/>
      </c>
      <c r="S241" s="321" t="str">
        <f ca="1"/>
        <v/>
      </c>
      <c r="T241" s="322" t="str">
        <f ca="1"/>
        <v/>
      </c>
      <c r="U241" s="323" t="str">
        <f t="shared" ca="1" si="15"/>
        <v/>
      </c>
      <c r="V241" s="324" t="str">
        <f t="shared" ca="1" si="16"/>
        <v/>
      </c>
      <c r="W241" s="323" t="str">
        <f t="shared" ca="1" si="17"/>
        <v/>
      </c>
      <c r="X241" s="325" t="str">
        <f t="shared" ca="1" si="18"/>
        <v/>
      </c>
      <c r="Y241" s="324" t="str">
        <f t="shared" ca="1" si="19"/>
        <v/>
      </c>
    </row>
    <row r="242" spans="2:25" x14ac:dyDescent="0.2">
      <c r="B242" s="331">
        <v>204</v>
      </c>
      <c r="C242" s="334"/>
      <c r="D242" s="333"/>
      <c r="E242" s="294"/>
      <c r="F242" s="274"/>
      <c r="H242" s="273">
        <v>229</v>
      </c>
      <c r="I242" s="257" t="e">
        <f ca="1"/>
        <v>#N/A</v>
      </c>
      <c r="J242" s="257" t="e">
        <f ca="1"/>
        <v>#N/A</v>
      </c>
      <c r="K242" s="264" t="e">
        <f ca="1"/>
        <v>#N/A</v>
      </c>
      <c r="L242" s="264" t="e">
        <f ca="1"/>
        <v>#N/A</v>
      </c>
      <c r="M242" s="264" t="e">
        <f ca="1"/>
        <v>#N/A</v>
      </c>
      <c r="N242" s="265" t="e">
        <f ca="1"/>
        <v>#N/A</v>
      </c>
      <c r="P242" s="319" t="str">
        <f t="array" aca="1" ref="P242:T242" ca="1">IF(AND($Q$34,B244&lt;=$C$17,C244&lt;&gt;""),TRANSPOSE(INDEX(cds(C244,$C$6,$C$29,,$C$13,$C$14,,,,,TRUE,TRUE,FALSE,,"1m"),0,1)),"")</f>
        <v/>
      </c>
      <c r="Q242" s="320" t="str">
        <f ca="1"/>
        <v/>
      </c>
      <c r="R242" s="320" t="str">
        <f ca="1"/>
        <v/>
      </c>
      <c r="S242" s="321" t="str">
        <f ca="1"/>
        <v/>
      </c>
      <c r="T242" s="322" t="str">
        <f ca="1"/>
        <v/>
      </c>
      <c r="U242" s="323" t="str">
        <f t="shared" ca="1" si="15"/>
        <v/>
      </c>
      <c r="V242" s="324" t="str">
        <f t="shared" ca="1" si="16"/>
        <v/>
      </c>
      <c r="W242" s="323" t="str">
        <f t="shared" ca="1" si="17"/>
        <v/>
      </c>
      <c r="X242" s="325" t="str">
        <f t="shared" ca="1" si="18"/>
        <v/>
      </c>
      <c r="Y242" s="324" t="str">
        <f t="shared" ca="1" si="19"/>
        <v/>
      </c>
    </row>
    <row r="243" spans="2:25" x14ac:dyDescent="0.2">
      <c r="B243" s="331">
        <v>205</v>
      </c>
      <c r="C243" s="334"/>
      <c r="D243" s="333"/>
      <c r="E243" s="294"/>
      <c r="F243" s="274"/>
      <c r="H243" s="273">
        <v>230</v>
      </c>
      <c r="I243" s="257" t="e">
        <f ca="1"/>
        <v>#N/A</v>
      </c>
      <c r="J243" s="257" t="e">
        <f ca="1"/>
        <v>#N/A</v>
      </c>
      <c r="K243" s="264" t="e">
        <f ca="1"/>
        <v>#N/A</v>
      </c>
      <c r="L243" s="264" t="e">
        <f ca="1"/>
        <v>#N/A</v>
      </c>
      <c r="M243" s="264" t="e">
        <f ca="1"/>
        <v>#N/A</v>
      </c>
      <c r="N243" s="265" t="e">
        <f ca="1"/>
        <v>#N/A</v>
      </c>
      <c r="P243" s="319" t="str">
        <f t="array" aca="1" ref="P243:T243" ca="1">IF(AND($Q$34,B245&lt;=$C$17,C245&lt;&gt;""),TRANSPOSE(INDEX(cds(C245,$C$6,$C$29,,$C$13,$C$14,,,,,TRUE,TRUE,FALSE,,"1m"),0,1)),"")</f>
        <v/>
      </c>
      <c r="Q243" s="320" t="str">
        <f ca="1"/>
        <v/>
      </c>
      <c r="R243" s="320" t="str">
        <f ca="1"/>
        <v/>
      </c>
      <c r="S243" s="321" t="str">
        <f ca="1"/>
        <v/>
      </c>
      <c r="T243" s="322" t="str">
        <f ca="1"/>
        <v/>
      </c>
      <c r="U243" s="323" t="str">
        <f t="shared" ca="1" si="15"/>
        <v/>
      </c>
      <c r="V243" s="324" t="str">
        <f t="shared" ca="1" si="16"/>
        <v/>
      </c>
      <c r="W243" s="323" t="str">
        <f t="shared" ca="1" si="17"/>
        <v/>
      </c>
      <c r="X243" s="325" t="str">
        <f t="shared" ca="1" si="18"/>
        <v/>
      </c>
      <c r="Y243" s="324" t="str">
        <f t="shared" ca="1" si="19"/>
        <v/>
      </c>
    </row>
    <row r="244" spans="2:25" x14ac:dyDescent="0.2">
      <c r="B244" s="331">
        <v>206</v>
      </c>
      <c r="C244" s="334"/>
      <c r="D244" s="333"/>
      <c r="E244" s="294"/>
      <c r="F244" s="274"/>
      <c r="H244" s="273">
        <v>231</v>
      </c>
      <c r="I244" s="257" t="e">
        <f ca="1"/>
        <v>#N/A</v>
      </c>
      <c r="J244" s="257" t="e">
        <f ca="1"/>
        <v>#N/A</v>
      </c>
      <c r="K244" s="264" t="e">
        <f ca="1"/>
        <v>#N/A</v>
      </c>
      <c r="L244" s="264" t="e">
        <f ca="1"/>
        <v>#N/A</v>
      </c>
      <c r="M244" s="264" t="e">
        <f ca="1"/>
        <v>#N/A</v>
      </c>
      <c r="N244" s="265" t="e">
        <f ca="1"/>
        <v>#N/A</v>
      </c>
      <c r="P244" s="319" t="str">
        <f t="array" aca="1" ref="P244:T244" ca="1">IF(AND($Q$34,B246&lt;=$C$17,C246&lt;&gt;""),TRANSPOSE(INDEX(cds(C246,$C$6,$C$29,,$C$13,$C$14,,,,,TRUE,TRUE,FALSE,,"1m"),0,1)),"")</f>
        <v/>
      </c>
      <c r="Q244" s="320" t="str">
        <f ca="1"/>
        <v/>
      </c>
      <c r="R244" s="320" t="str">
        <f ca="1"/>
        <v/>
      </c>
      <c r="S244" s="321" t="str">
        <f ca="1"/>
        <v/>
      </c>
      <c r="T244" s="322" t="str">
        <f ca="1"/>
        <v/>
      </c>
      <c r="U244" s="323" t="str">
        <f t="shared" ca="1" si="15"/>
        <v/>
      </c>
      <c r="V244" s="324" t="str">
        <f t="shared" ca="1" si="16"/>
        <v/>
      </c>
      <c r="W244" s="323" t="str">
        <f t="shared" ca="1" si="17"/>
        <v/>
      </c>
      <c r="X244" s="325" t="str">
        <f t="shared" ca="1" si="18"/>
        <v/>
      </c>
      <c r="Y244" s="324" t="str">
        <f t="shared" ca="1" si="19"/>
        <v/>
      </c>
    </row>
    <row r="245" spans="2:25" x14ac:dyDescent="0.2">
      <c r="B245" s="331">
        <v>207</v>
      </c>
      <c r="C245" s="334"/>
      <c r="D245" s="333"/>
      <c r="E245" s="294"/>
      <c r="F245" s="274"/>
      <c r="H245" s="273">
        <v>232</v>
      </c>
      <c r="I245" s="257" t="e">
        <f ca="1"/>
        <v>#N/A</v>
      </c>
      <c r="J245" s="257" t="e">
        <f ca="1"/>
        <v>#N/A</v>
      </c>
      <c r="K245" s="264" t="e">
        <f ca="1"/>
        <v>#N/A</v>
      </c>
      <c r="L245" s="264" t="e">
        <f ca="1"/>
        <v>#N/A</v>
      </c>
      <c r="M245" s="264" t="e">
        <f ca="1"/>
        <v>#N/A</v>
      </c>
      <c r="N245" s="265" t="e">
        <f ca="1"/>
        <v>#N/A</v>
      </c>
      <c r="P245" s="319" t="str">
        <f t="array" aca="1" ref="P245:T245" ca="1">IF(AND($Q$34,B247&lt;=$C$17,C247&lt;&gt;""),TRANSPOSE(INDEX(cds(C247,$C$6,$C$29,,$C$13,$C$14,,,,,TRUE,TRUE,FALSE,,"1m"),0,1)),"")</f>
        <v/>
      </c>
      <c r="Q245" s="320" t="str">
        <f ca="1"/>
        <v/>
      </c>
      <c r="R245" s="320" t="str">
        <f ca="1"/>
        <v/>
      </c>
      <c r="S245" s="321" t="str">
        <f ca="1"/>
        <v/>
      </c>
      <c r="T245" s="322" t="str">
        <f ca="1"/>
        <v/>
      </c>
      <c r="U245" s="323" t="str">
        <f t="shared" ca="1" si="15"/>
        <v/>
      </c>
      <c r="V245" s="324" t="str">
        <f t="shared" ca="1" si="16"/>
        <v/>
      </c>
      <c r="W245" s="323" t="str">
        <f t="shared" ca="1" si="17"/>
        <v/>
      </c>
      <c r="X245" s="325" t="str">
        <f t="shared" ca="1" si="18"/>
        <v/>
      </c>
      <c r="Y245" s="324" t="str">
        <f t="shared" ca="1" si="19"/>
        <v/>
      </c>
    </row>
    <row r="246" spans="2:25" x14ac:dyDescent="0.2">
      <c r="B246" s="331">
        <v>208</v>
      </c>
      <c r="C246" s="334"/>
      <c r="D246" s="333"/>
      <c r="E246" s="294"/>
      <c r="F246" s="274"/>
      <c r="H246" s="273">
        <v>233</v>
      </c>
      <c r="I246" s="257" t="e">
        <f ca="1"/>
        <v>#N/A</v>
      </c>
      <c r="J246" s="257" t="e">
        <f ca="1"/>
        <v>#N/A</v>
      </c>
      <c r="K246" s="264" t="e">
        <f ca="1"/>
        <v>#N/A</v>
      </c>
      <c r="L246" s="264" t="e">
        <f ca="1"/>
        <v>#N/A</v>
      </c>
      <c r="M246" s="264" t="e">
        <f ca="1"/>
        <v>#N/A</v>
      </c>
      <c r="N246" s="265" t="e">
        <f ca="1"/>
        <v>#N/A</v>
      </c>
      <c r="P246" s="319" t="str">
        <f t="array" aca="1" ref="P246:T246" ca="1">IF(AND($Q$34,B248&lt;=$C$17,C248&lt;&gt;""),TRANSPOSE(INDEX(cds(C248,$C$6,$C$29,,$C$13,$C$14,,,,,TRUE,TRUE,FALSE,,"1m"),0,1)),"")</f>
        <v/>
      </c>
      <c r="Q246" s="320" t="str">
        <f ca="1"/>
        <v/>
      </c>
      <c r="R246" s="320" t="str">
        <f ca="1"/>
        <v/>
      </c>
      <c r="S246" s="321" t="str">
        <f ca="1"/>
        <v/>
      </c>
      <c r="T246" s="322" t="str">
        <f ca="1"/>
        <v/>
      </c>
      <c r="U246" s="323" t="str">
        <f t="shared" ca="1" si="15"/>
        <v/>
      </c>
      <c r="V246" s="324" t="str">
        <f t="shared" ca="1" si="16"/>
        <v/>
      </c>
      <c r="W246" s="323" t="str">
        <f t="shared" ca="1" si="17"/>
        <v/>
      </c>
      <c r="X246" s="325" t="str">
        <f t="shared" ca="1" si="18"/>
        <v/>
      </c>
      <c r="Y246" s="324" t="str">
        <f t="shared" ca="1" si="19"/>
        <v/>
      </c>
    </row>
    <row r="247" spans="2:25" x14ac:dyDescent="0.2">
      <c r="B247" s="331">
        <v>209</v>
      </c>
      <c r="C247" s="334"/>
      <c r="D247" s="333"/>
      <c r="E247" s="294"/>
      <c r="F247" s="274"/>
      <c r="H247" s="273">
        <v>234</v>
      </c>
      <c r="I247" s="257" t="e">
        <f ca="1"/>
        <v>#N/A</v>
      </c>
      <c r="J247" s="257" t="e">
        <f ca="1"/>
        <v>#N/A</v>
      </c>
      <c r="K247" s="264" t="e">
        <f ca="1"/>
        <v>#N/A</v>
      </c>
      <c r="L247" s="264" t="e">
        <f ca="1"/>
        <v>#N/A</v>
      </c>
      <c r="M247" s="264" t="e">
        <f ca="1"/>
        <v>#N/A</v>
      </c>
      <c r="N247" s="265" t="e">
        <f ca="1"/>
        <v>#N/A</v>
      </c>
      <c r="P247" s="319" t="str">
        <f t="array" aca="1" ref="P247:T247" ca="1">IF(AND($Q$34,B249&lt;=$C$17,C249&lt;&gt;""),TRANSPOSE(INDEX(cds(C249,$C$6,$C$29,,$C$13,$C$14,,,,,TRUE,TRUE,FALSE,,"1m"),0,1)),"")</f>
        <v/>
      </c>
      <c r="Q247" s="320" t="str">
        <f ca="1"/>
        <v/>
      </c>
      <c r="R247" s="320" t="str">
        <f ca="1"/>
        <v/>
      </c>
      <c r="S247" s="321" t="str">
        <f ca="1"/>
        <v/>
      </c>
      <c r="T247" s="322" t="str">
        <f ca="1"/>
        <v/>
      </c>
      <c r="U247" s="323" t="str">
        <f t="shared" ca="1" si="15"/>
        <v/>
      </c>
      <c r="V247" s="324" t="str">
        <f t="shared" ca="1" si="16"/>
        <v/>
      </c>
      <c r="W247" s="323" t="str">
        <f t="shared" ca="1" si="17"/>
        <v/>
      </c>
      <c r="X247" s="325" t="str">
        <f t="shared" ca="1" si="18"/>
        <v/>
      </c>
      <c r="Y247" s="324" t="str">
        <f t="shared" ca="1" si="19"/>
        <v/>
      </c>
    </row>
    <row r="248" spans="2:25" x14ac:dyDescent="0.2">
      <c r="B248" s="331">
        <v>210</v>
      </c>
      <c r="C248" s="334"/>
      <c r="D248" s="333"/>
      <c r="E248" s="294"/>
      <c r="F248" s="274"/>
      <c r="H248" s="273">
        <v>235</v>
      </c>
      <c r="I248" s="257" t="e">
        <f ca="1"/>
        <v>#N/A</v>
      </c>
      <c r="J248" s="257" t="e">
        <f ca="1"/>
        <v>#N/A</v>
      </c>
      <c r="K248" s="264" t="e">
        <f ca="1"/>
        <v>#N/A</v>
      </c>
      <c r="L248" s="264" t="e">
        <f ca="1"/>
        <v>#N/A</v>
      </c>
      <c r="M248" s="264" t="e">
        <f ca="1"/>
        <v>#N/A</v>
      </c>
      <c r="N248" s="265" t="e">
        <f ca="1"/>
        <v>#N/A</v>
      </c>
      <c r="P248" s="319" t="str">
        <f t="array" aca="1" ref="P248:T248" ca="1">IF(AND($Q$34,B250&lt;=$C$17,C250&lt;&gt;""),TRANSPOSE(INDEX(cds(C250,$C$6,$C$29,,$C$13,$C$14,,,,,TRUE,TRUE,FALSE,,"1m"),0,1)),"")</f>
        <v/>
      </c>
      <c r="Q248" s="320" t="str">
        <f ca="1"/>
        <v/>
      </c>
      <c r="R248" s="320" t="str">
        <f ca="1"/>
        <v/>
      </c>
      <c r="S248" s="321" t="str">
        <f ca="1"/>
        <v/>
      </c>
      <c r="T248" s="322" t="str">
        <f ca="1"/>
        <v/>
      </c>
      <c r="U248" s="323" t="str">
        <f t="shared" ca="1" si="15"/>
        <v/>
      </c>
      <c r="V248" s="324" t="str">
        <f t="shared" ca="1" si="16"/>
        <v/>
      </c>
      <c r="W248" s="323" t="str">
        <f t="shared" ca="1" si="17"/>
        <v/>
      </c>
      <c r="X248" s="325" t="str">
        <f t="shared" ca="1" si="18"/>
        <v/>
      </c>
      <c r="Y248" s="324" t="str">
        <f t="shared" ca="1" si="19"/>
        <v/>
      </c>
    </row>
    <row r="249" spans="2:25" x14ac:dyDescent="0.2">
      <c r="B249" s="331">
        <v>211</v>
      </c>
      <c r="C249" s="334"/>
      <c r="D249" s="333"/>
      <c r="E249" s="294"/>
      <c r="F249" s="274"/>
      <c r="H249" s="273">
        <v>236</v>
      </c>
      <c r="I249" s="257" t="e">
        <f ca="1"/>
        <v>#N/A</v>
      </c>
      <c r="J249" s="257" t="e">
        <f ca="1"/>
        <v>#N/A</v>
      </c>
      <c r="K249" s="264" t="e">
        <f ca="1"/>
        <v>#N/A</v>
      </c>
      <c r="L249" s="264" t="e">
        <f ca="1"/>
        <v>#N/A</v>
      </c>
      <c r="M249" s="264" t="e">
        <f ca="1"/>
        <v>#N/A</v>
      </c>
      <c r="N249" s="265" t="e">
        <f ca="1"/>
        <v>#N/A</v>
      </c>
      <c r="P249" s="319" t="str">
        <f t="array" aca="1" ref="P249:T249" ca="1">IF(AND($Q$34,B251&lt;=$C$17,C251&lt;&gt;""),TRANSPOSE(INDEX(cds(C251,$C$6,$C$29,,$C$13,$C$14,,,,,TRUE,TRUE,FALSE,,"1m"),0,1)),"")</f>
        <v/>
      </c>
      <c r="Q249" s="320" t="str">
        <f ca="1"/>
        <v/>
      </c>
      <c r="R249" s="320" t="str">
        <f ca="1"/>
        <v/>
      </c>
      <c r="S249" s="321" t="str">
        <f ca="1"/>
        <v/>
      </c>
      <c r="T249" s="322" t="str">
        <f ca="1"/>
        <v/>
      </c>
      <c r="U249" s="323" t="str">
        <f t="shared" ca="1" si="15"/>
        <v/>
      </c>
      <c r="V249" s="324" t="str">
        <f t="shared" ca="1" si="16"/>
        <v/>
      </c>
      <c r="W249" s="323" t="str">
        <f t="shared" ca="1" si="17"/>
        <v/>
      </c>
      <c r="X249" s="325" t="str">
        <f t="shared" ca="1" si="18"/>
        <v/>
      </c>
      <c r="Y249" s="324" t="str">
        <f t="shared" ca="1" si="19"/>
        <v/>
      </c>
    </row>
    <row r="250" spans="2:25" x14ac:dyDescent="0.2">
      <c r="B250" s="331">
        <v>212</v>
      </c>
      <c r="C250" s="334"/>
      <c r="D250" s="333"/>
      <c r="E250" s="294"/>
      <c r="F250" s="274"/>
      <c r="H250" s="273">
        <v>237</v>
      </c>
      <c r="I250" s="257" t="e">
        <f ca="1"/>
        <v>#N/A</v>
      </c>
      <c r="J250" s="257" t="e">
        <f ca="1"/>
        <v>#N/A</v>
      </c>
      <c r="K250" s="264" t="e">
        <f ca="1"/>
        <v>#N/A</v>
      </c>
      <c r="L250" s="264" t="e">
        <f ca="1"/>
        <v>#N/A</v>
      </c>
      <c r="M250" s="264" t="e">
        <f ca="1"/>
        <v>#N/A</v>
      </c>
      <c r="N250" s="265" t="e">
        <f ca="1"/>
        <v>#N/A</v>
      </c>
      <c r="P250" s="319" t="str">
        <f t="array" aca="1" ref="P250:T250" ca="1">IF(AND($Q$34,B252&lt;=$C$17,C252&lt;&gt;""),TRANSPOSE(INDEX(cds(C252,$C$6,$C$29,,$C$13,$C$14,,,,,TRUE,TRUE,FALSE,,"1m"),0,1)),"")</f>
        <v/>
      </c>
      <c r="Q250" s="320" t="str">
        <f ca="1"/>
        <v/>
      </c>
      <c r="R250" s="320" t="str">
        <f ca="1"/>
        <v/>
      </c>
      <c r="S250" s="321" t="str">
        <f ca="1"/>
        <v/>
      </c>
      <c r="T250" s="322" t="str">
        <f ca="1"/>
        <v/>
      </c>
      <c r="U250" s="323" t="str">
        <f t="shared" ca="1" si="15"/>
        <v/>
      </c>
      <c r="V250" s="324" t="str">
        <f t="shared" ca="1" si="16"/>
        <v/>
      </c>
      <c r="W250" s="323" t="str">
        <f t="shared" ca="1" si="17"/>
        <v/>
      </c>
      <c r="X250" s="325" t="str">
        <f t="shared" ca="1" si="18"/>
        <v/>
      </c>
      <c r="Y250" s="324" t="str">
        <f t="shared" ca="1" si="19"/>
        <v/>
      </c>
    </row>
    <row r="251" spans="2:25" x14ac:dyDescent="0.2">
      <c r="B251" s="331">
        <v>213</v>
      </c>
      <c r="C251" s="334"/>
      <c r="D251" s="333"/>
      <c r="E251" s="294"/>
      <c r="F251" s="274"/>
      <c r="H251" s="273">
        <v>238</v>
      </c>
      <c r="I251" s="257" t="e">
        <f ca="1"/>
        <v>#N/A</v>
      </c>
      <c r="J251" s="257" t="e">
        <f ca="1"/>
        <v>#N/A</v>
      </c>
      <c r="K251" s="264" t="e">
        <f ca="1"/>
        <v>#N/A</v>
      </c>
      <c r="L251" s="264" t="e">
        <f ca="1"/>
        <v>#N/A</v>
      </c>
      <c r="M251" s="264" t="e">
        <f ca="1"/>
        <v>#N/A</v>
      </c>
      <c r="N251" s="265" t="e">
        <f ca="1"/>
        <v>#N/A</v>
      </c>
      <c r="P251" s="319" t="str">
        <f t="array" aca="1" ref="P251:T251" ca="1">IF(AND($Q$34,B253&lt;=$C$17,C253&lt;&gt;""),TRANSPOSE(INDEX(cds(C253,$C$6,$C$29,,$C$13,$C$14,,,,,TRUE,TRUE,FALSE,,"1m"),0,1)),"")</f>
        <v/>
      </c>
      <c r="Q251" s="320" t="str">
        <f ca="1"/>
        <v/>
      </c>
      <c r="R251" s="320" t="str">
        <f ca="1"/>
        <v/>
      </c>
      <c r="S251" s="321" t="str">
        <f ca="1"/>
        <v/>
      </c>
      <c r="T251" s="322" t="str">
        <f ca="1"/>
        <v/>
      </c>
      <c r="U251" s="323" t="str">
        <f t="shared" ca="1" si="15"/>
        <v/>
      </c>
      <c r="V251" s="324" t="str">
        <f t="shared" ca="1" si="16"/>
        <v/>
      </c>
      <c r="W251" s="323" t="str">
        <f t="shared" ca="1" si="17"/>
        <v/>
      </c>
      <c r="X251" s="325" t="str">
        <f t="shared" ca="1" si="18"/>
        <v/>
      </c>
      <c r="Y251" s="324" t="str">
        <f t="shared" ca="1" si="19"/>
        <v/>
      </c>
    </row>
    <row r="252" spans="2:25" x14ac:dyDescent="0.2">
      <c r="B252" s="331">
        <v>214</v>
      </c>
      <c r="C252" s="334"/>
      <c r="D252" s="333"/>
      <c r="E252" s="294"/>
      <c r="F252" s="274"/>
      <c r="H252" s="273">
        <v>239</v>
      </c>
      <c r="I252" s="257" t="e">
        <f ca="1"/>
        <v>#N/A</v>
      </c>
      <c r="J252" s="257" t="e">
        <f ca="1"/>
        <v>#N/A</v>
      </c>
      <c r="K252" s="264" t="e">
        <f ca="1"/>
        <v>#N/A</v>
      </c>
      <c r="L252" s="264" t="e">
        <f ca="1"/>
        <v>#N/A</v>
      </c>
      <c r="M252" s="264" t="e">
        <f ca="1"/>
        <v>#N/A</v>
      </c>
      <c r="N252" s="265" t="e">
        <f ca="1"/>
        <v>#N/A</v>
      </c>
      <c r="P252" s="319" t="str">
        <f t="array" aca="1" ref="P252:T252" ca="1">IF(AND($Q$34,B254&lt;=$C$17,C254&lt;&gt;""),TRANSPOSE(INDEX(cds(C254,$C$6,$C$29,,$C$13,$C$14,,,,,TRUE,TRUE,FALSE,,"1m"),0,1)),"")</f>
        <v/>
      </c>
      <c r="Q252" s="320" t="str">
        <f ca="1"/>
        <v/>
      </c>
      <c r="R252" s="320" t="str">
        <f ca="1"/>
        <v/>
      </c>
      <c r="S252" s="321" t="str">
        <f ca="1"/>
        <v/>
      </c>
      <c r="T252" s="322" t="str">
        <f ca="1"/>
        <v/>
      </c>
      <c r="U252" s="323" t="str">
        <f t="shared" ca="1" si="15"/>
        <v/>
      </c>
      <c r="V252" s="324" t="str">
        <f t="shared" ca="1" si="16"/>
        <v/>
      </c>
      <c r="W252" s="323" t="str">
        <f t="shared" ca="1" si="17"/>
        <v/>
      </c>
      <c r="X252" s="325" t="str">
        <f t="shared" ca="1" si="18"/>
        <v/>
      </c>
      <c r="Y252" s="324" t="str">
        <f t="shared" ca="1" si="19"/>
        <v/>
      </c>
    </row>
    <row r="253" spans="2:25" x14ac:dyDescent="0.2">
      <c r="B253" s="331">
        <v>215</v>
      </c>
      <c r="C253" s="334"/>
      <c r="D253" s="333"/>
      <c r="E253" s="294"/>
      <c r="F253" s="274"/>
      <c r="H253" s="273">
        <v>240</v>
      </c>
      <c r="I253" s="257" t="e">
        <f ca="1"/>
        <v>#N/A</v>
      </c>
      <c r="J253" s="257" t="e">
        <f ca="1"/>
        <v>#N/A</v>
      </c>
      <c r="K253" s="264" t="e">
        <f ca="1"/>
        <v>#N/A</v>
      </c>
      <c r="L253" s="264" t="e">
        <f ca="1"/>
        <v>#N/A</v>
      </c>
      <c r="M253" s="264" t="e">
        <f ca="1"/>
        <v>#N/A</v>
      </c>
      <c r="N253" s="265" t="e">
        <f ca="1"/>
        <v>#N/A</v>
      </c>
      <c r="P253" s="319" t="str">
        <f t="array" aca="1" ref="P253:T253" ca="1">IF(AND($Q$34,B255&lt;=$C$17,C255&lt;&gt;""),TRANSPOSE(INDEX(cds(C255,$C$6,$C$29,,$C$13,$C$14,,,,,TRUE,TRUE,FALSE,,"1m"),0,1)),"")</f>
        <v/>
      </c>
      <c r="Q253" s="320" t="str">
        <f ca="1"/>
        <v/>
      </c>
      <c r="R253" s="320" t="str">
        <f ca="1"/>
        <v/>
      </c>
      <c r="S253" s="321" t="str">
        <f ca="1"/>
        <v/>
      </c>
      <c r="T253" s="322" t="str">
        <f ca="1"/>
        <v/>
      </c>
      <c r="U253" s="323" t="str">
        <f t="shared" ca="1" si="15"/>
        <v/>
      </c>
      <c r="V253" s="324" t="str">
        <f t="shared" ca="1" si="16"/>
        <v/>
      </c>
      <c r="W253" s="323" t="str">
        <f t="shared" ca="1" si="17"/>
        <v/>
      </c>
      <c r="X253" s="325" t="str">
        <f t="shared" ca="1" si="18"/>
        <v/>
      </c>
      <c r="Y253" s="324" t="str">
        <f t="shared" ca="1" si="19"/>
        <v/>
      </c>
    </row>
    <row r="254" spans="2:25" x14ac:dyDescent="0.2">
      <c r="B254" s="331">
        <v>216</v>
      </c>
      <c r="C254" s="334"/>
      <c r="D254" s="333"/>
      <c r="E254" s="294"/>
      <c r="F254" s="274"/>
      <c r="H254" s="273">
        <v>241</v>
      </c>
      <c r="I254" s="257" t="e">
        <f ca="1"/>
        <v>#N/A</v>
      </c>
      <c r="J254" s="257" t="e">
        <f ca="1"/>
        <v>#N/A</v>
      </c>
      <c r="K254" s="264" t="e">
        <f ca="1"/>
        <v>#N/A</v>
      </c>
      <c r="L254" s="264" t="e">
        <f ca="1"/>
        <v>#N/A</v>
      </c>
      <c r="M254" s="264" t="e">
        <f ca="1"/>
        <v>#N/A</v>
      </c>
      <c r="N254" s="265" t="e">
        <f ca="1"/>
        <v>#N/A</v>
      </c>
      <c r="P254" s="319" t="str">
        <f t="array" aca="1" ref="P254:T254" ca="1">IF(AND($Q$34,B256&lt;=$C$17,C256&lt;&gt;""),TRANSPOSE(INDEX(cds(C256,$C$6,$C$29,,$C$13,$C$14,,,,,TRUE,TRUE,FALSE,,"1m"),0,1)),"")</f>
        <v/>
      </c>
      <c r="Q254" s="320" t="str">
        <f ca="1"/>
        <v/>
      </c>
      <c r="R254" s="320" t="str">
        <f ca="1"/>
        <v/>
      </c>
      <c r="S254" s="321" t="str">
        <f ca="1"/>
        <v/>
      </c>
      <c r="T254" s="322" t="str">
        <f ca="1"/>
        <v/>
      </c>
      <c r="U254" s="323" t="str">
        <f t="shared" ca="1" si="15"/>
        <v/>
      </c>
      <c r="V254" s="324" t="str">
        <f t="shared" ca="1" si="16"/>
        <v/>
      </c>
      <c r="W254" s="323" t="str">
        <f t="shared" ca="1" si="17"/>
        <v/>
      </c>
      <c r="X254" s="325" t="str">
        <f t="shared" ca="1" si="18"/>
        <v/>
      </c>
      <c r="Y254" s="324" t="str">
        <f t="shared" ca="1" si="19"/>
        <v/>
      </c>
    </row>
    <row r="255" spans="2:25" x14ac:dyDescent="0.2">
      <c r="B255" s="331">
        <v>217</v>
      </c>
      <c r="C255" s="334"/>
      <c r="D255" s="333"/>
      <c r="E255" s="294"/>
      <c r="F255" s="274"/>
      <c r="H255" s="273">
        <v>242</v>
      </c>
      <c r="I255" s="257" t="e">
        <f ca="1"/>
        <v>#N/A</v>
      </c>
      <c r="J255" s="257" t="e">
        <f ca="1"/>
        <v>#N/A</v>
      </c>
      <c r="K255" s="264" t="e">
        <f ca="1"/>
        <v>#N/A</v>
      </c>
      <c r="L255" s="264" t="e">
        <f ca="1"/>
        <v>#N/A</v>
      </c>
      <c r="M255" s="264" t="e">
        <f ca="1"/>
        <v>#N/A</v>
      </c>
      <c r="N255" s="265" t="e">
        <f ca="1"/>
        <v>#N/A</v>
      </c>
      <c r="P255" s="319" t="str">
        <f t="array" aca="1" ref="P255:T255" ca="1">IF(AND($Q$34,B257&lt;=$C$17,C257&lt;&gt;""),TRANSPOSE(INDEX(cds(C257,$C$6,$C$29,,$C$13,$C$14,,,,,TRUE,TRUE,FALSE,,"1m"),0,1)),"")</f>
        <v/>
      </c>
      <c r="Q255" s="320" t="str">
        <f ca="1"/>
        <v/>
      </c>
      <c r="R255" s="320" t="str">
        <f ca="1"/>
        <v/>
      </c>
      <c r="S255" s="321" t="str">
        <f ca="1"/>
        <v/>
      </c>
      <c r="T255" s="322" t="str">
        <f ca="1"/>
        <v/>
      </c>
      <c r="U255" s="323" t="str">
        <f t="shared" ca="1" si="15"/>
        <v/>
      </c>
      <c r="V255" s="324" t="str">
        <f t="shared" ca="1" si="16"/>
        <v/>
      </c>
      <c r="W255" s="323" t="str">
        <f t="shared" ca="1" si="17"/>
        <v/>
      </c>
      <c r="X255" s="325" t="str">
        <f t="shared" ca="1" si="18"/>
        <v/>
      </c>
      <c r="Y255" s="324" t="str">
        <f t="shared" ca="1" si="19"/>
        <v/>
      </c>
    </row>
    <row r="256" spans="2:25" x14ac:dyDescent="0.2">
      <c r="B256" s="331">
        <v>218</v>
      </c>
      <c r="C256" s="334"/>
      <c r="D256" s="333"/>
      <c r="E256" s="294"/>
      <c r="F256" s="274"/>
      <c r="H256" s="273">
        <v>243</v>
      </c>
      <c r="I256" s="257" t="e">
        <f ca="1"/>
        <v>#N/A</v>
      </c>
      <c r="J256" s="257" t="e">
        <f ca="1"/>
        <v>#N/A</v>
      </c>
      <c r="K256" s="264" t="e">
        <f ca="1"/>
        <v>#N/A</v>
      </c>
      <c r="L256" s="264" t="e">
        <f ca="1"/>
        <v>#N/A</v>
      </c>
      <c r="M256" s="264" t="e">
        <f ca="1"/>
        <v>#N/A</v>
      </c>
      <c r="N256" s="265" t="e">
        <f ca="1"/>
        <v>#N/A</v>
      </c>
      <c r="P256" s="319" t="str">
        <f t="array" aca="1" ref="P256:T256" ca="1">IF(AND($Q$34,B258&lt;=$C$17,C258&lt;&gt;""),TRANSPOSE(INDEX(cds(C258,$C$6,$C$29,,$C$13,$C$14,,,,,TRUE,TRUE,FALSE,,"1m"),0,1)),"")</f>
        <v/>
      </c>
      <c r="Q256" s="320" t="str">
        <f ca="1"/>
        <v/>
      </c>
      <c r="R256" s="320" t="str">
        <f ca="1"/>
        <v/>
      </c>
      <c r="S256" s="321" t="str">
        <f ca="1"/>
        <v/>
      </c>
      <c r="T256" s="322" t="str">
        <f ca="1"/>
        <v/>
      </c>
      <c r="U256" s="323" t="str">
        <f t="shared" ca="1" si="15"/>
        <v/>
      </c>
      <c r="V256" s="324" t="str">
        <f t="shared" ca="1" si="16"/>
        <v/>
      </c>
      <c r="W256" s="323" t="str">
        <f t="shared" ca="1" si="17"/>
        <v/>
      </c>
      <c r="X256" s="325" t="str">
        <f t="shared" ca="1" si="18"/>
        <v/>
      </c>
      <c r="Y256" s="324" t="str">
        <f t="shared" ca="1" si="19"/>
        <v/>
      </c>
    </row>
    <row r="257" spans="2:25" x14ac:dyDescent="0.2">
      <c r="B257" s="331">
        <v>219</v>
      </c>
      <c r="C257" s="334"/>
      <c r="D257" s="333"/>
      <c r="E257" s="294"/>
      <c r="F257" s="274"/>
      <c r="H257" s="273">
        <v>244</v>
      </c>
      <c r="I257" s="257" t="e">
        <f ca="1"/>
        <v>#N/A</v>
      </c>
      <c r="J257" s="257" t="e">
        <f ca="1"/>
        <v>#N/A</v>
      </c>
      <c r="K257" s="264" t="e">
        <f ca="1"/>
        <v>#N/A</v>
      </c>
      <c r="L257" s="264" t="e">
        <f ca="1"/>
        <v>#N/A</v>
      </c>
      <c r="M257" s="264" t="e">
        <f ca="1"/>
        <v>#N/A</v>
      </c>
      <c r="N257" s="265" t="e">
        <f ca="1"/>
        <v>#N/A</v>
      </c>
      <c r="P257" s="319" t="str">
        <f t="array" aca="1" ref="P257:T257" ca="1">IF(AND($Q$34,B259&lt;=$C$17,C259&lt;&gt;""),TRANSPOSE(INDEX(cds(C259,$C$6,$C$29,,$C$13,$C$14,,,,,TRUE,TRUE,FALSE,,"1m"),0,1)),"")</f>
        <v/>
      </c>
      <c r="Q257" s="320" t="str">
        <f ca="1"/>
        <v/>
      </c>
      <c r="R257" s="320" t="str">
        <f ca="1"/>
        <v/>
      </c>
      <c r="S257" s="321" t="str">
        <f ca="1"/>
        <v/>
      </c>
      <c r="T257" s="322" t="str">
        <f ca="1"/>
        <v/>
      </c>
      <c r="U257" s="323" t="str">
        <f t="shared" ca="1" si="15"/>
        <v/>
      </c>
      <c r="V257" s="324" t="str">
        <f t="shared" ca="1" si="16"/>
        <v/>
      </c>
      <c r="W257" s="323" t="str">
        <f t="shared" ca="1" si="17"/>
        <v/>
      </c>
      <c r="X257" s="325" t="str">
        <f t="shared" ca="1" si="18"/>
        <v/>
      </c>
      <c r="Y257" s="324" t="str">
        <f t="shared" ca="1" si="19"/>
        <v/>
      </c>
    </row>
    <row r="258" spans="2:25" x14ac:dyDescent="0.2">
      <c r="B258" s="331">
        <v>220</v>
      </c>
      <c r="C258" s="334"/>
      <c r="D258" s="333"/>
      <c r="E258" s="294"/>
      <c r="F258" s="274"/>
      <c r="H258" s="273">
        <v>245</v>
      </c>
      <c r="I258" s="257" t="e">
        <f ca="1"/>
        <v>#N/A</v>
      </c>
      <c r="J258" s="257" t="e">
        <f ca="1"/>
        <v>#N/A</v>
      </c>
      <c r="K258" s="264" t="e">
        <f ca="1"/>
        <v>#N/A</v>
      </c>
      <c r="L258" s="264" t="e">
        <f ca="1"/>
        <v>#N/A</v>
      </c>
      <c r="M258" s="264" t="e">
        <f ca="1"/>
        <v>#N/A</v>
      </c>
      <c r="N258" s="265" t="e">
        <f ca="1"/>
        <v>#N/A</v>
      </c>
      <c r="P258" s="319" t="str">
        <f t="array" aca="1" ref="P258:T258" ca="1">IF(AND($Q$34,B260&lt;=$C$17,C260&lt;&gt;""),TRANSPOSE(INDEX(cds(C260,$C$6,$C$29,,$C$13,$C$14,,,,,TRUE,TRUE,FALSE,,"1m"),0,1)),"")</f>
        <v/>
      </c>
      <c r="Q258" s="320" t="str">
        <f ca="1"/>
        <v/>
      </c>
      <c r="R258" s="320" t="str">
        <f ca="1"/>
        <v/>
      </c>
      <c r="S258" s="321" t="str">
        <f ca="1"/>
        <v/>
      </c>
      <c r="T258" s="322" t="str">
        <f ca="1"/>
        <v/>
      </c>
      <c r="U258" s="323" t="str">
        <f t="shared" ca="1" si="15"/>
        <v/>
      </c>
      <c r="V258" s="324" t="str">
        <f t="shared" ca="1" si="16"/>
        <v/>
      </c>
      <c r="W258" s="323" t="str">
        <f t="shared" ca="1" si="17"/>
        <v/>
      </c>
      <c r="X258" s="325" t="str">
        <f t="shared" ca="1" si="18"/>
        <v/>
      </c>
      <c r="Y258" s="324" t="str">
        <f t="shared" ca="1" si="19"/>
        <v/>
      </c>
    </row>
    <row r="259" spans="2:25" x14ac:dyDescent="0.2">
      <c r="B259" s="331">
        <v>221</v>
      </c>
      <c r="C259" s="334"/>
      <c r="D259" s="333"/>
      <c r="E259" s="294"/>
      <c r="F259" s="274"/>
      <c r="H259" s="273">
        <v>246</v>
      </c>
      <c r="I259" s="257" t="e">
        <f ca="1"/>
        <v>#N/A</v>
      </c>
      <c r="J259" s="257" t="e">
        <f ca="1"/>
        <v>#N/A</v>
      </c>
      <c r="K259" s="264" t="e">
        <f ca="1"/>
        <v>#N/A</v>
      </c>
      <c r="L259" s="264" t="e">
        <f ca="1"/>
        <v>#N/A</v>
      </c>
      <c r="M259" s="264" t="e">
        <f ca="1"/>
        <v>#N/A</v>
      </c>
      <c r="N259" s="265" t="e">
        <f ca="1"/>
        <v>#N/A</v>
      </c>
      <c r="P259" s="319" t="str">
        <f t="array" aca="1" ref="P259:T259" ca="1">IF(AND($Q$34,B261&lt;=$C$17,C261&lt;&gt;""),TRANSPOSE(INDEX(cds(C261,$C$6,$C$29,,$C$13,$C$14,,,,,TRUE,TRUE,FALSE,,"1m"),0,1)),"")</f>
        <v/>
      </c>
      <c r="Q259" s="320" t="str">
        <f ca="1"/>
        <v/>
      </c>
      <c r="R259" s="320" t="str">
        <f ca="1"/>
        <v/>
      </c>
      <c r="S259" s="321" t="str">
        <f ca="1"/>
        <v/>
      </c>
      <c r="T259" s="322" t="str">
        <f ca="1"/>
        <v/>
      </c>
      <c r="U259" s="323" t="str">
        <f t="shared" ca="1" si="15"/>
        <v/>
      </c>
      <c r="V259" s="324" t="str">
        <f t="shared" ca="1" si="16"/>
        <v/>
      </c>
      <c r="W259" s="323" t="str">
        <f t="shared" ca="1" si="17"/>
        <v/>
      </c>
      <c r="X259" s="325" t="str">
        <f t="shared" ca="1" si="18"/>
        <v/>
      </c>
      <c r="Y259" s="324" t="str">
        <f t="shared" ca="1" si="19"/>
        <v/>
      </c>
    </row>
    <row r="260" spans="2:25" x14ac:dyDescent="0.2">
      <c r="B260" s="331">
        <v>222</v>
      </c>
      <c r="C260" s="334"/>
      <c r="D260" s="333"/>
      <c r="E260" s="294"/>
      <c r="F260" s="274"/>
      <c r="H260" s="273">
        <v>247</v>
      </c>
      <c r="I260" s="257" t="e">
        <f ca="1"/>
        <v>#N/A</v>
      </c>
      <c r="J260" s="257" t="e">
        <f ca="1"/>
        <v>#N/A</v>
      </c>
      <c r="K260" s="264" t="e">
        <f ca="1"/>
        <v>#N/A</v>
      </c>
      <c r="L260" s="264" t="e">
        <f ca="1"/>
        <v>#N/A</v>
      </c>
      <c r="M260" s="264" t="e">
        <f ca="1"/>
        <v>#N/A</v>
      </c>
      <c r="N260" s="265" t="e">
        <f ca="1"/>
        <v>#N/A</v>
      </c>
      <c r="P260" s="319" t="str">
        <f t="array" aca="1" ref="P260:T260" ca="1">IF(AND($Q$34,B262&lt;=$C$17,C262&lt;&gt;""),TRANSPOSE(INDEX(cds(C262,$C$6,$C$29,,$C$13,$C$14,,,,,TRUE,TRUE,FALSE,,"1m"),0,1)),"")</f>
        <v/>
      </c>
      <c r="Q260" s="320" t="str">
        <f ca="1"/>
        <v/>
      </c>
      <c r="R260" s="320" t="str">
        <f ca="1"/>
        <v/>
      </c>
      <c r="S260" s="321" t="str">
        <f ca="1"/>
        <v/>
      </c>
      <c r="T260" s="322" t="str">
        <f ca="1"/>
        <v/>
      </c>
      <c r="U260" s="323" t="str">
        <f t="shared" ca="1" si="15"/>
        <v/>
      </c>
      <c r="V260" s="324" t="str">
        <f t="shared" ca="1" si="16"/>
        <v/>
      </c>
      <c r="W260" s="323" t="str">
        <f t="shared" ca="1" si="17"/>
        <v/>
      </c>
      <c r="X260" s="325" t="str">
        <f t="shared" ca="1" si="18"/>
        <v/>
      </c>
      <c r="Y260" s="324" t="str">
        <f t="shared" ca="1" si="19"/>
        <v/>
      </c>
    </row>
    <row r="261" spans="2:25" x14ac:dyDescent="0.2">
      <c r="B261" s="331">
        <v>223</v>
      </c>
      <c r="C261" s="334"/>
      <c r="D261" s="333"/>
      <c r="E261" s="294"/>
      <c r="F261" s="274"/>
      <c r="H261" s="273">
        <v>248</v>
      </c>
      <c r="I261" s="257" t="e">
        <f ca="1"/>
        <v>#N/A</v>
      </c>
      <c r="J261" s="257" t="e">
        <f ca="1"/>
        <v>#N/A</v>
      </c>
      <c r="K261" s="264" t="e">
        <f ca="1"/>
        <v>#N/A</v>
      </c>
      <c r="L261" s="264" t="e">
        <f ca="1"/>
        <v>#N/A</v>
      </c>
      <c r="M261" s="264" t="e">
        <f ca="1"/>
        <v>#N/A</v>
      </c>
      <c r="N261" s="265" t="e">
        <f ca="1"/>
        <v>#N/A</v>
      </c>
      <c r="P261" s="319" t="str">
        <f t="array" aca="1" ref="P261:T261" ca="1">IF(AND($Q$34,B263&lt;=$C$17,C263&lt;&gt;""),TRANSPOSE(INDEX(cds(C263,$C$6,$C$29,,$C$13,$C$14,,,,,TRUE,TRUE,FALSE,,"1m"),0,1)),"")</f>
        <v/>
      </c>
      <c r="Q261" s="320" t="str">
        <f ca="1"/>
        <v/>
      </c>
      <c r="R261" s="320" t="str">
        <f ca="1"/>
        <v/>
      </c>
      <c r="S261" s="321" t="str">
        <f ca="1"/>
        <v/>
      </c>
      <c r="T261" s="322" t="str">
        <f ca="1"/>
        <v/>
      </c>
      <c r="U261" s="323" t="str">
        <f t="shared" ca="1" si="15"/>
        <v/>
      </c>
      <c r="V261" s="324" t="str">
        <f t="shared" ca="1" si="16"/>
        <v/>
      </c>
      <c r="W261" s="323" t="str">
        <f t="shared" ca="1" si="17"/>
        <v/>
      </c>
      <c r="X261" s="325" t="str">
        <f t="shared" ca="1" si="18"/>
        <v/>
      </c>
      <c r="Y261" s="324" t="str">
        <f t="shared" ca="1" si="19"/>
        <v/>
      </c>
    </row>
    <row r="262" spans="2:25" x14ac:dyDescent="0.2">
      <c r="B262" s="331">
        <v>224</v>
      </c>
      <c r="C262" s="334"/>
      <c r="D262" s="333"/>
      <c r="E262" s="294"/>
      <c r="F262" s="274"/>
      <c r="H262" s="273">
        <v>249</v>
      </c>
      <c r="I262" s="257" t="e">
        <f ca="1"/>
        <v>#N/A</v>
      </c>
      <c r="J262" s="257" t="e">
        <f ca="1"/>
        <v>#N/A</v>
      </c>
      <c r="K262" s="264" t="e">
        <f ca="1"/>
        <v>#N/A</v>
      </c>
      <c r="L262" s="264" t="e">
        <f ca="1"/>
        <v>#N/A</v>
      </c>
      <c r="M262" s="264" t="e">
        <f ca="1"/>
        <v>#N/A</v>
      </c>
      <c r="N262" s="265" t="e">
        <f ca="1"/>
        <v>#N/A</v>
      </c>
      <c r="P262" s="319" t="str">
        <f t="array" aca="1" ref="P262:T262" ca="1">IF(AND($Q$34,B264&lt;=$C$17,C264&lt;&gt;""),TRANSPOSE(INDEX(cds(C264,$C$6,$C$29,,$C$13,$C$14,,,,,TRUE,TRUE,FALSE,,"1m"),0,1)),"")</f>
        <v/>
      </c>
      <c r="Q262" s="320" t="str">
        <f ca="1"/>
        <v/>
      </c>
      <c r="R262" s="320" t="str">
        <f ca="1"/>
        <v/>
      </c>
      <c r="S262" s="321" t="str">
        <f ca="1"/>
        <v/>
      </c>
      <c r="T262" s="322" t="str">
        <f ca="1"/>
        <v/>
      </c>
      <c r="U262" s="323" t="str">
        <f t="shared" ca="1" si="15"/>
        <v/>
      </c>
      <c r="V262" s="324" t="str">
        <f t="shared" ca="1" si="16"/>
        <v/>
      </c>
      <c r="W262" s="323" t="str">
        <f t="shared" ca="1" si="17"/>
        <v/>
      </c>
      <c r="X262" s="325" t="str">
        <f t="shared" ca="1" si="18"/>
        <v/>
      </c>
      <c r="Y262" s="324" t="str">
        <f t="shared" ca="1" si="19"/>
        <v/>
      </c>
    </row>
    <row r="263" spans="2:25" x14ac:dyDescent="0.2">
      <c r="B263" s="331">
        <v>225</v>
      </c>
      <c r="C263" s="334"/>
      <c r="D263" s="333"/>
      <c r="E263" s="294"/>
      <c r="F263" s="274"/>
      <c r="H263" s="273">
        <v>250</v>
      </c>
      <c r="I263" s="257" t="e">
        <f ca="1"/>
        <v>#N/A</v>
      </c>
      <c r="J263" s="257" t="e">
        <f ca="1"/>
        <v>#N/A</v>
      </c>
      <c r="K263" s="264" t="e">
        <f ca="1"/>
        <v>#N/A</v>
      </c>
      <c r="L263" s="264" t="e">
        <f ca="1"/>
        <v>#N/A</v>
      </c>
      <c r="M263" s="264" t="e">
        <f ca="1"/>
        <v>#N/A</v>
      </c>
      <c r="N263" s="265" t="e">
        <f ca="1"/>
        <v>#N/A</v>
      </c>
      <c r="P263" s="319" t="str">
        <f t="array" aca="1" ref="P263:T263" ca="1">IF(AND($Q$34,B265&lt;=$C$17,C265&lt;&gt;""),TRANSPOSE(INDEX(cds(C265,$C$6,$C$29,,$C$13,$C$14,,,,,TRUE,TRUE,FALSE,,"1m"),0,1)),"")</f>
        <v/>
      </c>
      <c r="Q263" s="320" t="str">
        <f ca="1"/>
        <v/>
      </c>
      <c r="R263" s="320" t="str">
        <f ca="1"/>
        <v/>
      </c>
      <c r="S263" s="321" t="str">
        <f ca="1"/>
        <v/>
      </c>
      <c r="T263" s="322" t="str">
        <f ca="1"/>
        <v/>
      </c>
      <c r="U263" s="323" t="str">
        <f t="shared" ca="1" si="15"/>
        <v/>
      </c>
      <c r="V263" s="324" t="str">
        <f t="shared" ca="1" si="16"/>
        <v/>
      </c>
      <c r="W263" s="323" t="str">
        <f t="shared" ca="1" si="17"/>
        <v/>
      </c>
      <c r="X263" s="325" t="str">
        <f t="shared" ca="1" si="18"/>
        <v/>
      </c>
      <c r="Y263" s="324" t="str">
        <f t="shared" ca="1" si="19"/>
        <v/>
      </c>
    </row>
    <row r="264" spans="2:25" x14ac:dyDescent="0.2">
      <c r="B264" s="331">
        <v>226</v>
      </c>
      <c r="C264" s="334"/>
      <c r="D264" s="333"/>
      <c r="E264" s="294"/>
      <c r="F264" s="274"/>
      <c r="H264" s="273">
        <v>251</v>
      </c>
      <c r="I264" s="257" t="e">
        <f ca="1"/>
        <v>#N/A</v>
      </c>
      <c r="J264" s="257" t="e">
        <f ca="1"/>
        <v>#N/A</v>
      </c>
      <c r="K264" s="264" t="e">
        <f ca="1"/>
        <v>#N/A</v>
      </c>
      <c r="L264" s="264" t="e">
        <f ca="1"/>
        <v>#N/A</v>
      </c>
      <c r="M264" s="264" t="e">
        <f ca="1"/>
        <v>#N/A</v>
      </c>
      <c r="N264" s="265" t="e">
        <f ca="1"/>
        <v>#N/A</v>
      </c>
      <c r="P264" s="319" t="str">
        <f t="array" aca="1" ref="P264:T264" ca="1">IF(AND($Q$34,B266&lt;=$C$17,C266&lt;&gt;""),TRANSPOSE(INDEX(cds(C266,$C$6,$C$29,,$C$13,$C$14,,,,,TRUE,TRUE,FALSE,,"1m"),0,1)),"")</f>
        <v/>
      </c>
      <c r="Q264" s="320" t="str">
        <f ca="1"/>
        <v/>
      </c>
      <c r="R264" s="320" t="str">
        <f ca="1"/>
        <v/>
      </c>
      <c r="S264" s="321" t="str">
        <f ca="1"/>
        <v/>
      </c>
      <c r="T264" s="322" t="str">
        <f ca="1"/>
        <v/>
      </c>
      <c r="U264" s="323" t="str">
        <f t="shared" ca="1" si="15"/>
        <v/>
      </c>
      <c r="V264" s="324" t="str">
        <f t="shared" ca="1" si="16"/>
        <v/>
      </c>
      <c r="W264" s="323" t="str">
        <f t="shared" ca="1" si="17"/>
        <v/>
      </c>
      <c r="X264" s="325" t="str">
        <f t="shared" ca="1" si="18"/>
        <v/>
      </c>
      <c r="Y264" s="324" t="str">
        <f t="shared" ca="1" si="19"/>
        <v/>
      </c>
    </row>
    <row r="265" spans="2:25" x14ac:dyDescent="0.2">
      <c r="B265" s="331">
        <v>227</v>
      </c>
      <c r="C265" s="334"/>
      <c r="D265" s="333"/>
      <c r="E265" s="294"/>
      <c r="F265" s="274"/>
      <c r="H265" s="273">
        <v>252</v>
      </c>
      <c r="I265" s="257" t="e">
        <f ca="1"/>
        <v>#N/A</v>
      </c>
      <c r="J265" s="257" t="e">
        <f ca="1"/>
        <v>#N/A</v>
      </c>
      <c r="K265" s="264" t="e">
        <f ca="1"/>
        <v>#N/A</v>
      </c>
      <c r="L265" s="264" t="e">
        <f ca="1"/>
        <v>#N/A</v>
      </c>
      <c r="M265" s="264" t="e">
        <f ca="1"/>
        <v>#N/A</v>
      </c>
      <c r="N265" s="265" t="e">
        <f ca="1"/>
        <v>#N/A</v>
      </c>
      <c r="P265" s="319" t="str">
        <f t="array" aca="1" ref="P265:T265" ca="1">IF(AND($Q$34,B267&lt;=$C$17,C267&lt;&gt;""),TRANSPOSE(INDEX(cds(C267,$C$6,$C$29,,$C$13,$C$14,,,,,TRUE,TRUE,FALSE,,"1m"),0,1)),"")</f>
        <v/>
      </c>
      <c r="Q265" s="320" t="str">
        <f ca="1"/>
        <v/>
      </c>
      <c r="R265" s="320" t="str">
        <f ca="1"/>
        <v/>
      </c>
      <c r="S265" s="321" t="str">
        <f ca="1"/>
        <v/>
      </c>
      <c r="T265" s="322" t="str">
        <f ca="1"/>
        <v/>
      </c>
      <c r="U265" s="323" t="str">
        <f t="shared" ca="1" si="15"/>
        <v/>
      </c>
      <c r="V265" s="324" t="str">
        <f t="shared" ca="1" si="16"/>
        <v/>
      </c>
      <c r="W265" s="323" t="str">
        <f t="shared" ca="1" si="17"/>
        <v/>
      </c>
      <c r="X265" s="325" t="str">
        <f t="shared" ca="1" si="18"/>
        <v/>
      </c>
      <c r="Y265" s="324" t="str">
        <f t="shared" ca="1" si="19"/>
        <v/>
      </c>
    </row>
    <row r="266" spans="2:25" x14ac:dyDescent="0.2">
      <c r="B266" s="331">
        <v>228</v>
      </c>
      <c r="C266" s="334"/>
      <c r="D266" s="333"/>
      <c r="E266" s="294"/>
      <c r="F266" s="274"/>
      <c r="H266" s="273">
        <v>253</v>
      </c>
      <c r="I266" s="257" t="e">
        <f ca="1"/>
        <v>#N/A</v>
      </c>
      <c r="J266" s="257" t="e">
        <f ca="1"/>
        <v>#N/A</v>
      </c>
      <c r="K266" s="264" t="e">
        <f ca="1"/>
        <v>#N/A</v>
      </c>
      <c r="L266" s="264" t="e">
        <f ca="1"/>
        <v>#N/A</v>
      </c>
      <c r="M266" s="264" t="e">
        <f ca="1"/>
        <v>#N/A</v>
      </c>
      <c r="N266" s="265" t="e">
        <f ca="1"/>
        <v>#N/A</v>
      </c>
      <c r="P266" s="319" t="str">
        <f t="array" aca="1" ref="P266:T266" ca="1">IF(AND($Q$34,B268&lt;=$C$17,C268&lt;&gt;""),TRANSPOSE(INDEX(cds(C268,$C$6,$C$29,,$C$13,$C$14,,,,,TRUE,TRUE,FALSE,,"1m"),0,1)),"")</f>
        <v/>
      </c>
      <c r="Q266" s="320" t="str">
        <f ca="1"/>
        <v/>
      </c>
      <c r="R266" s="320" t="str">
        <f ca="1"/>
        <v/>
      </c>
      <c r="S266" s="321" t="str">
        <f ca="1"/>
        <v/>
      </c>
      <c r="T266" s="322" t="str">
        <f ca="1"/>
        <v/>
      </c>
      <c r="U266" s="323" t="str">
        <f t="shared" ca="1" si="15"/>
        <v/>
      </c>
      <c r="V266" s="324" t="str">
        <f t="shared" ca="1" si="16"/>
        <v/>
      </c>
      <c r="W266" s="323" t="str">
        <f t="shared" ca="1" si="17"/>
        <v/>
      </c>
      <c r="X266" s="325" t="str">
        <f t="shared" ca="1" si="18"/>
        <v/>
      </c>
      <c r="Y266" s="324" t="str">
        <f t="shared" ca="1" si="19"/>
        <v/>
      </c>
    </row>
    <row r="267" spans="2:25" x14ac:dyDescent="0.2">
      <c r="B267" s="331">
        <v>229</v>
      </c>
      <c r="C267" s="334"/>
      <c r="D267" s="333"/>
      <c r="E267" s="294"/>
      <c r="F267" s="274"/>
      <c r="H267" s="273">
        <v>254</v>
      </c>
      <c r="I267" s="257" t="e">
        <f ca="1"/>
        <v>#N/A</v>
      </c>
      <c r="J267" s="257" t="e">
        <f ca="1"/>
        <v>#N/A</v>
      </c>
      <c r="K267" s="264" t="e">
        <f ca="1"/>
        <v>#N/A</v>
      </c>
      <c r="L267" s="264" t="e">
        <f ca="1"/>
        <v>#N/A</v>
      </c>
      <c r="M267" s="264" t="e">
        <f ca="1"/>
        <v>#N/A</v>
      </c>
      <c r="N267" s="265" t="e">
        <f ca="1"/>
        <v>#N/A</v>
      </c>
      <c r="P267" s="319" t="str">
        <f t="array" aca="1" ref="P267:T267" ca="1">IF(AND($Q$34,B269&lt;=$C$17,C269&lt;&gt;""),TRANSPOSE(INDEX(cds(C269,$C$6,$C$29,,$C$13,$C$14,,,,,TRUE,TRUE,FALSE,,"1m"),0,1)),"")</f>
        <v/>
      </c>
      <c r="Q267" s="320" t="str">
        <f ca="1"/>
        <v/>
      </c>
      <c r="R267" s="320" t="str">
        <f ca="1"/>
        <v/>
      </c>
      <c r="S267" s="321" t="str">
        <f ca="1"/>
        <v/>
      </c>
      <c r="T267" s="322" t="str">
        <f ca="1"/>
        <v/>
      </c>
      <c r="U267" s="323" t="str">
        <f t="shared" ca="1" si="15"/>
        <v/>
      </c>
      <c r="V267" s="324" t="str">
        <f t="shared" ca="1" si="16"/>
        <v/>
      </c>
      <c r="W267" s="323" t="str">
        <f t="shared" ca="1" si="17"/>
        <v/>
      </c>
      <c r="X267" s="325" t="str">
        <f t="shared" ca="1" si="18"/>
        <v/>
      </c>
      <c r="Y267" s="324" t="str">
        <f t="shared" ca="1" si="19"/>
        <v/>
      </c>
    </row>
    <row r="268" spans="2:25" x14ac:dyDescent="0.2">
      <c r="B268" s="331">
        <v>230</v>
      </c>
      <c r="C268" s="334"/>
      <c r="D268" s="333"/>
      <c r="E268" s="294"/>
      <c r="F268" s="274"/>
      <c r="H268" s="273">
        <v>255</v>
      </c>
      <c r="I268" s="257" t="e">
        <f ca="1"/>
        <v>#N/A</v>
      </c>
      <c r="J268" s="257" t="e">
        <f ca="1"/>
        <v>#N/A</v>
      </c>
      <c r="K268" s="264" t="e">
        <f ca="1"/>
        <v>#N/A</v>
      </c>
      <c r="L268" s="264" t="e">
        <f ca="1"/>
        <v>#N/A</v>
      </c>
      <c r="M268" s="264" t="e">
        <f ca="1"/>
        <v>#N/A</v>
      </c>
      <c r="N268" s="265" t="e">
        <f ca="1"/>
        <v>#N/A</v>
      </c>
      <c r="P268" s="319" t="str">
        <f t="array" aca="1" ref="P268:T268" ca="1">IF(AND($Q$34,B270&lt;=$C$17,C270&lt;&gt;""),TRANSPOSE(INDEX(cds(C270,$C$6,$C$29,,$C$13,$C$14,,,,,TRUE,TRUE,FALSE,,"1m"),0,1)),"")</f>
        <v/>
      </c>
      <c r="Q268" s="320" t="str">
        <f ca="1"/>
        <v/>
      </c>
      <c r="R268" s="320" t="str">
        <f ca="1"/>
        <v/>
      </c>
      <c r="S268" s="321" t="str">
        <f ca="1"/>
        <v/>
      </c>
      <c r="T268" s="322" t="str">
        <f ca="1"/>
        <v/>
      </c>
      <c r="U268" s="323" t="str">
        <f t="shared" ca="1" si="15"/>
        <v/>
      </c>
      <c r="V268" s="324" t="str">
        <f t="shared" ca="1" si="16"/>
        <v/>
      </c>
      <c r="W268" s="323" t="str">
        <f t="shared" ca="1" si="17"/>
        <v/>
      </c>
      <c r="X268" s="325" t="str">
        <f t="shared" ca="1" si="18"/>
        <v/>
      </c>
      <c r="Y268" s="324" t="str">
        <f t="shared" ca="1" si="19"/>
        <v/>
      </c>
    </row>
    <row r="269" spans="2:25" x14ac:dyDescent="0.2">
      <c r="B269" s="331">
        <v>231</v>
      </c>
      <c r="C269" s="334"/>
      <c r="D269" s="333"/>
      <c r="E269" s="294"/>
      <c r="F269" s="274"/>
      <c r="H269" s="273">
        <v>256</v>
      </c>
      <c r="I269" s="257" t="e">
        <f ca="1"/>
        <v>#N/A</v>
      </c>
      <c r="J269" s="257" t="e">
        <f ca="1"/>
        <v>#N/A</v>
      </c>
      <c r="K269" s="264" t="e">
        <f ca="1"/>
        <v>#N/A</v>
      </c>
      <c r="L269" s="264" t="e">
        <f ca="1"/>
        <v>#N/A</v>
      </c>
      <c r="M269" s="264" t="e">
        <f ca="1"/>
        <v>#N/A</v>
      </c>
      <c r="N269" s="265" t="e">
        <f ca="1"/>
        <v>#N/A</v>
      </c>
      <c r="P269" s="319" t="str">
        <f t="array" aca="1" ref="P269:T269" ca="1">IF(AND($Q$34,B271&lt;=$C$17,C271&lt;&gt;""),TRANSPOSE(INDEX(cds(C271,$C$6,$C$29,,$C$13,$C$14,,,,,TRUE,TRUE,FALSE,,"1m"),0,1)),"")</f>
        <v/>
      </c>
      <c r="Q269" s="320" t="str">
        <f ca="1"/>
        <v/>
      </c>
      <c r="R269" s="320" t="str">
        <f ca="1"/>
        <v/>
      </c>
      <c r="S269" s="321" t="str">
        <f ca="1"/>
        <v/>
      </c>
      <c r="T269" s="322" t="str">
        <f ca="1"/>
        <v/>
      </c>
      <c r="U269" s="323" t="str">
        <f t="shared" ca="1" si="15"/>
        <v/>
      </c>
      <c r="V269" s="324" t="str">
        <f t="shared" ca="1" si="16"/>
        <v/>
      </c>
      <c r="W269" s="323" t="str">
        <f t="shared" ca="1" si="17"/>
        <v/>
      </c>
      <c r="X269" s="325" t="str">
        <f t="shared" ca="1" si="18"/>
        <v/>
      </c>
      <c r="Y269" s="324" t="str">
        <f t="shared" ca="1" si="19"/>
        <v/>
      </c>
    </row>
    <row r="270" spans="2:25" x14ac:dyDescent="0.2">
      <c r="B270" s="331">
        <v>232</v>
      </c>
      <c r="C270" s="334"/>
      <c r="D270" s="333"/>
      <c r="E270" s="294"/>
      <c r="F270" s="274"/>
      <c r="H270" s="273">
        <v>257</v>
      </c>
      <c r="I270" s="257" t="e">
        <f ca="1"/>
        <v>#N/A</v>
      </c>
      <c r="J270" s="257" t="e">
        <f ca="1"/>
        <v>#N/A</v>
      </c>
      <c r="K270" s="264" t="e">
        <f ca="1"/>
        <v>#N/A</v>
      </c>
      <c r="L270" s="264" t="e">
        <f ca="1"/>
        <v>#N/A</v>
      </c>
      <c r="M270" s="264" t="e">
        <f ca="1"/>
        <v>#N/A</v>
      </c>
      <c r="N270" s="265" t="e">
        <f ca="1"/>
        <v>#N/A</v>
      </c>
      <c r="P270" s="319" t="str">
        <f t="array" aca="1" ref="P270:T270" ca="1">IF(AND($Q$34,B272&lt;=$C$17,C272&lt;&gt;""),TRANSPOSE(INDEX(cds(C272,$C$6,$C$29,,$C$13,$C$14,,,,,TRUE,TRUE,FALSE,,"1m"),0,1)),"")</f>
        <v/>
      </c>
      <c r="Q270" s="320" t="str">
        <f ca="1"/>
        <v/>
      </c>
      <c r="R270" s="320" t="str">
        <f ca="1"/>
        <v/>
      </c>
      <c r="S270" s="321" t="str">
        <f ca="1"/>
        <v/>
      </c>
      <c r="T270" s="322" t="str">
        <f ca="1"/>
        <v/>
      </c>
      <c r="U270" s="323" t="str">
        <f t="shared" ca="1" si="15"/>
        <v/>
      </c>
      <c r="V270" s="324" t="str">
        <f t="shared" ca="1" si="16"/>
        <v/>
      </c>
      <c r="W270" s="323" t="str">
        <f t="shared" ca="1" si="17"/>
        <v/>
      </c>
      <c r="X270" s="325" t="str">
        <f t="shared" ca="1" si="18"/>
        <v/>
      </c>
      <c r="Y270" s="324" t="str">
        <f t="shared" ca="1" si="19"/>
        <v/>
      </c>
    </row>
    <row r="271" spans="2:25" x14ac:dyDescent="0.2">
      <c r="B271" s="331">
        <v>233</v>
      </c>
      <c r="C271" s="334"/>
      <c r="D271" s="333"/>
      <c r="E271" s="294"/>
      <c r="F271" s="274"/>
      <c r="H271" s="273">
        <v>258</v>
      </c>
      <c r="I271" s="257" t="e">
        <f ca="1"/>
        <v>#N/A</v>
      </c>
      <c r="J271" s="257" t="e">
        <f ca="1"/>
        <v>#N/A</v>
      </c>
      <c r="K271" s="264" t="e">
        <f ca="1"/>
        <v>#N/A</v>
      </c>
      <c r="L271" s="264" t="e">
        <f ca="1"/>
        <v>#N/A</v>
      </c>
      <c r="M271" s="264" t="e">
        <f ca="1"/>
        <v>#N/A</v>
      </c>
      <c r="N271" s="265" t="e">
        <f ca="1"/>
        <v>#N/A</v>
      </c>
      <c r="P271" s="319" t="str">
        <f t="array" aca="1" ref="P271:T271" ca="1">IF(AND($Q$34,B273&lt;=$C$17,C273&lt;&gt;""),TRANSPOSE(INDEX(cds(C273,$C$6,$C$29,,$C$13,$C$14,,,,,TRUE,TRUE,FALSE,,"1m"),0,1)),"")</f>
        <v/>
      </c>
      <c r="Q271" s="320" t="str">
        <f ca="1"/>
        <v/>
      </c>
      <c r="R271" s="320" t="str">
        <f ca="1"/>
        <v/>
      </c>
      <c r="S271" s="321" t="str">
        <f ca="1"/>
        <v/>
      </c>
      <c r="T271" s="322" t="str">
        <f ca="1"/>
        <v/>
      </c>
      <c r="U271" s="323" t="str">
        <f t="shared" ca="1" si="15"/>
        <v/>
      </c>
      <c r="V271" s="324" t="str">
        <f t="shared" ca="1" si="16"/>
        <v/>
      </c>
      <c r="W271" s="323" t="str">
        <f t="shared" ca="1" si="17"/>
        <v/>
      </c>
      <c r="X271" s="325" t="str">
        <f t="shared" ca="1" si="18"/>
        <v/>
      </c>
      <c r="Y271" s="324" t="str">
        <f t="shared" ca="1" si="19"/>
        <v/>
      </c>
    </row>
    <row r="272" spans="2:25" x14ac:dyDescent="0.2">
      <c r="B272" s="331">
        <v>234</v>
      </c>
      <c r="C272" s="334"/>
      <c r="D272" s="333"/>
      <c r="E272" s="294"/>
      <c r="F272" s="274"/>
      <c r="H272" s="273">
        <v>259</v>
      </c>
      <c r="I272" s="257" t="e">
        <f ca="1"/>
        <v>#N/A</v>
      </c>
      <c r="J272" s="257" t="e">
        <f ca="1"/>
        <v>#N/A</v>
      </c>
      <c r="K272" s="264" t="e">
        <f ca="1"/>
        <v>#N/A</v>
      </c>
      <c r="L272" s="264" t="e">
        <f ca="1"/>
        <v>#N/A</v>
      </c>
      <c r="M272" s="264" t="e">
        <f ca="1"/>
        <v>#N/A</v>
      </c>
      <c r="N272" s="265" t="e">
        <f ca="1"/>
        <v>#N/A</v>
      </c>
      <c r="P272" s="319" t="str">
        <f t="array" aca="1" ref="P272:T272" ca="1">IF(AND($Q$34,B274&lt;=$C$17,C274&lt;&gt;""),TRANSPOSE(INDEX(cds(C274,$C$6,$C$29,,$C$13,$C$14,,,,,TRUE,TRUE,FALSE,,"1m"),0,1)),"")</f>
        <v/>
      </c>
      <c r="Q272" s="320" t="str">
        <f ca="1"/>
        <v/>
      </c>
      <c r="R272" s="320" t="str">
        <f ca="1"/>
        <v/>
      </c>
      <c r="S272" s="321" t="str">
        <f ca="1"/>
        <v/>
      </c>
      <c r="T272" s="322" t="str">
        <f ca="1"/>
        <v/>
      </c>
      <c r="U272" s="323" t="str">
        <f t="shared" ca="1" si="15"/>
        <v/>
      </c>
      <c r="V272" s="324" t="str">
        <f t="shared" ca="1" si="16"/>
        <v/>
      </c>
      <c r="W272" s="323" t="str">
        <f t="shared" ca="1" si="17"/>
        <v/>
      </c>
      <c r="X272" s="325" t="str">
        <f t="shared" ca="1" si="18"/>
        <v/>
      </c>
      <c r="Y272" s="324" t="str">
        <f t="shared" ca="1" si="19"/>
        <v/>
      </c>
    </row>
    <row r="273" spans="2:25" x14ac:dyDescent="0.2">
      <c r="B273" s="331">
        <v>235</v>
      </c>
      <c r="C273" s="334"/>
      <c r="D273" s="333"/>
      <c r="E273" s="294"/>
      <c r="F273" s="274"/>
      <c r="H273" s="273">
        <v>260</v>
      </c>
      <c r="I273" s="257" t="e">
        <f ca="1"/>
        <v>#N/A</v>
      </c>
      <c r="J273" s="257" t="e">
        <f ca="1"/>
        <v>#N/A</v>
      </c>
      <c r="K273" s="264" t="e">
        <f ca="1"/>
        <v>#N/A</v>
      </c>
      <c r="L273" s="264" t="e">
        <f ca="1"/>
        <v>#N/A</v>
      </c>
      <c r="M273" s="264" t="e">
        <f ca="1"/>
        <v>#N/A</v>
      </c>
      <c r="N273" s="265" t="e">
        <f ca="1"/>
        <v>#N/A</v>
      </c>
      <c r="P273" s="319" t="str">
        <f t="array" aca="1" ref="P273:T273" ca="1">IF(AND($Q$34,B275&lt;=$C$17,C275&lt;&gt;""),TRANSPOSE(INDEX(cds(C275,$C$6,$C$29,,$C$13,$C$14,,,,,TRUE,TRUE,FALSE,,"1m"),0,1)),"")</f>
        <v/>
      </c>
      <c r="Q273" s="320" t="str">
        <f ca="1"/>
        <v/>
      </c>
      <c r="R273" s="320" t="str">
        <f ca="1"/>
        <v/>
      </c>
      <c r="S273" s="321" t="str">
        <f ca="1"/>
        <v/>
      </c>
      <c r="T273" s="322" t="str">
        <f ca="1"/>
        <v/>
      </c>
      <c r="U273" s="323" t="str">
        <f t="shared" ca="1" si="15"/>
        <v/>
      </c>
      <c r="V273" s="324" t="str">
        <f t="shared" ca="1" si="16"/>
        <v/>
      </c>
      <c r="W273" s="323" t="str">
        <f t="shared" ca="1" si="17"/>
        <v/>
      </c>
      <c r="X273" s="325" t="str">
        <f t="shared" ca="1" si="18"/>
        <v/>
      </c>
      <c r="Y273" s="324" t="str">
        <f t="shared" ca="1" si="19"/>
        <v/>
      </c>
    </row>
    <row r="274" spans="2:25" x14ac:dyDescent="0.2">
      <c r="B274" s="331">
        <v>236</v>
      </c>
      <c r="C274" s="334"/>
      <c r="D274" s="333"/>
      <c r="E274" s="294"/>
      <c r="F274" s="274"/>
      <c r="H274" s="273">
        <v>261</v>
      </c>
      <c r="I274" s="257" t="e">
        <f ca="1"/>
        <v>#N/A</v>
      </c>
      <c r="J274" s="257" t="e">
        <f ca="1"/>
        <v>#N/A</v>
      </c>
      <c r="K274" s="264" t="e">
        <f ca="1"/>
        <v>#N/A</v>
      </c>
      <c r="L274" s="264" t="e">
        <f ca="1"/>
        <v>#N/A</v>
      </c>
      <c r="M274" s="264" t="e">
        <f ca="1"/>
        <v>#N/A</v>
      </c>
      <c r="N274" s="265" t="e">
        <f ca="1"/>
        <v>#N/A</v>
      </c>
      <c r="P274" s="319" t="str">
        <f t="array" aca="1" ref="P274:T274" ca="1">IF(AND($Q$34,B276&lt;=$C$17,C276&lt;&gt;""),TRANSPOSE(INDEX(cds(C276,$C$6,$C$29,,$C$13,$C$14,,,,,TRUE,TRUE,FALSE,,"1m"),0,1)),"")</f>
        <v/>
      </c>
      <c r="Q274" s="320" t="str">
        <f ca="1"/>
        <v/>
      </c>
      <c r="R274" s="320" t="str">
        <f ca="1"/>
        <v/>
      </c>
      <c r="S274" s="321" t="str">
        <f ca="1"/>
        <v/>
      </c>
      <c r="T274" s="322" t="str">
        <f ca="1"/>
        <v/>
      </c>
      <c r="U274" s="323" t="str">
        <f t="shared" ca="1" si="15"/>
        <v/>
      </c>
      <c r="V274" s="324" t="str">
        <f t="shared" ca="1" si="16"/>
        <v/>
      </c>
      <c r="W274" s="323" t="str">
        <f t="shared" ca="1" si="17"/>
        <v/>
      </c>
      <c r="X274" s="325" t="str">
        <f t="shared" ca="1" si="18"/>
        <v/>
      </c>
      <c r="Y274" s="324" t="str">
        <f t="shared" ca="1" si="19"/>
        <v/>
      </c>
    </row>
    <row r="275" spans="2:25" x14ac:dyDescent="0.2">
      <c r="B275" s="331">
        <v>237</v>
      </c>
      <c r="C275" s="334"/>
      <c r="D275" s="333"/>
      <c r="E275" s="294"/>
      <c r="F275" s="274"/>
      <c r="H275" s="273">
        <v>262</v>
      </c>
      <c r="I275" s="257" t="e">
        <f ca="1"/>
        <v>#N/A</v>
      </c>
      <c r="J275" s="257" t="e">
        <f ca="1"/>
        <v>#N/A</v>
      </c>
      <c r="K275" s="264" t="e">
        <f ca="1"/>
        <v>#N/A</v>
      </c>
      <c r="L275" s="264" t="e">
        <f ca="1"/>
        <v>#N/A</v>
      </c>
      <c r="M275" s="264" t="e">
        <f ca="1"/>
        <v>#N/A</v>
      </c>
      <c r="N275" s="265" t="e">
        <f ca="1"/>
        <v>#N/A</v>
      </c>
      <c r="P275" s="319" t="str">
        <f t="array" aca="1" ref="P275:T275" ca="1">IF(AND($Q$34,B277&lt;=$C$17,C277&lt;&gt;""),TRANSPOSE(INDEX(cds(C277,$C$6,$C$29,,$C$13,$C$14,,,,,TRUE,TRUE,FALSE,,"1m"),0,1)),"")</f>
        <v/>
      </c>
      <c r="Q275" s="320" t="str">
        <f ca="1"/>
        <v/>
      </c>
      <c r="R275" s="320" t="str">
        <f ca="1"/>
        <v/>
      </c>
      <c r="S275" s="321" t="str">
        <f ca="1"/>
        <v/>
      </c>
      <c r="T275" s="322" t="str">
        <f ca="1"/>
        <v/>
      </c>
      <c r="U275" s="323" t="str">
        <f t="shared" ca="1" si="15"/>
        <v/>
      </c>
      <c r="V275" s="324" t="str">
        <f t="shared" ca="1" si="16"/>
        <v/>
      </c>
      <c r="W275" s="323" t="str">
        <f t="shared" ca="1" si="17"/>
        <v/>
      </c>
      <c r="X275" s="325" t="str">
        <f t="shared" ca="1" si="18"/>
        <v/>
      </c>
      <c r="Y275" s="324" t="str">
        <f t="shared" ca="1" si="19"/>
        <v/>
      </c>
    </row>
    <row r="276" spans="2:25" x14ac:dyDescent="0.2">
      <c r="B276" s="331">
        <v>238</v>
      </c>
      <c r="C276" s="334"/>
      <c r="D276" s="333"/>
      <c r="E276" s="294"/>
      <c r="F276" s="274"/>
      <c r="H276" s="273">
        <v>263</v>
      </c>
      <c r="I276" s="257" t="e">
        <f ca="1"/>
        <v>#N/A</v>
      </c>
      <c r="J276" s="257" t="e">
        <f ca="1"/>
        <v>#N/A</v>
      </c>
      <c r="K276" s="264" t="e">
        <f ca="1"/>
        <v>#N/A</v>
      </c>
      <c r="L276" s="264" t="e">
        <f ca="1"/>
        <v>#N/A</v>
      </c>
      <c r="M276" s="264" t="e">
        <f ca="1"/>
        <v>#N/A</v>
      </c>
      <c r="N276" s="265" t="e">
        <f ca="1"/>
        <v>#N/A</v>
      </c>
      <c r="P276" s="319" t="str">
        <f t="array" aca="1" ref="P276:T276" ca="1">IF(AND($Q$34,B278&lt;=$C$17,C278&lt;&gt;""),TRANSPOSE(INDEX(cds(C278,$C$6,$C$29,,$C$13,$C$14,,,,,TRUE,TRUE,FALSE,,"1m"),0,1)),"")</f>
        <v/>
      </c>
      <c r="Q276" s="320" t="str">
        <f ca="1"/>
        <v/>
      </c>
      <c r="R276" s="320" t="str">
        <f ca="1"/>
        <v/>
      </c>
      <c r="S276" s="321" t="str">
        <f ca="1"/>
        <v/>
      </c>
      <c r="T276" s="322" t="str">
        <f ca="1"/>
        <v/>
      </c>
      <c r="U276" s="323" t="str">
        <f t="shared" ca="1" si="15"/>
        <v/>
      </c>
      <c r="V276" s="324" t="str">
        <f t="shared" ca="1" si="16"/>
        <v/>
      </c>
      <c r="W276" s="323" t="str">
        <f t="shared" ca="1" si="17"/>
        <v/>
      </c>
      <c r="X276" s="325" t="str">
        <f t="shared" ca="1" si="18"/>
        <v/>
      </c>
      <c r="Y276" s="324" t="str">
        <f t="shared" ca="1" si="19"/>
        <v/>
      </c>
    </row>
    <row r="277" spans="2:25" x14ac:dyDescent="0.2">
      <c r="B277" s="331">
        <v>239</v>
      </c>
      <c r="C277" s="334"/>
      <c r="D277" s="333"/>
      <c r="E277" s="294"/>
      <c r="F277" s="274"/>
      <c r="H277" s="273">
        <v>264</v>
      </c>
      <c r="I277" s="257" t="e">
        <f ca="1"/>
        <v>#N/A</v>
      </c>
      <c r="J277" s="257" t="e">
        <f ca="1"/>
        <v>#N/A</v>
      </c>
      <c r="K277" s="264" t="e">
        <f ca="1"/>
        <v>#N/A</v>
      </c>
      <c r="L277" s="264" t="e">
        <f ca="1"/>
        <v>#N/A</v>
      </c>
      <c r="M277" s="264" t="e">
        <f ca="1"/>
        <v>#N/A</v>
      </c>
      <c r="N277" s="265" t="e">
        <f ca="1"/>
        <v>#N/A</v>
      </c>
      <c r="P277" s="319" t="str">
        <f t="array" aca="1" ref="P277:T277" ca="1">IF(AND($Q$34,B279&lt;=$C$17,C279&lt;&gt;""),TRANSPOSE(INDEX(cds(C279,$C$6,$C$29,,$C$13,$C$14,,,,,TRUE,TRUE,FALSE,,"1m"),0,1)),"")</f>
        <v/>
      </c>
      <c r="Q277" s="320" t="str">
        <f ca="1"/>
        <v/>
      </c>
      <c r="R277" s="320" t="str">
        <f ca="1"/>
        <v/>
      </c>
      <c r="S277" s="321" t="str">
        <f ca="1"/>
        <v/>
      </c>
      <c r="T277" s="322" t="str">
        <f ca="1"/>
        <v/>
      </c>
      <c r="U277" s="323" t="str">
        <f t="shared" ca="1" si="15"/>
        <v/>
      </c>
      <c r="V277" s="324" t="str">
        <f t="shared" ca="1" si="16"/>
        <v/>
      </c>
      <c r="W277" s="323" t="str">
        <f t="shared" ca="1" si="17"/>
        <v/>
      </c>
      <c r="X277" s="325" t="str">
        <f t="shared" ca="1" si="18"/>
        <v/>
      </c>
      <c r="Y277" s="324" t="str">
        <f t="shared" ca="1" si="19"/>
        <v/>
      </c>
    </row>
    <row r="278" spans="2:25" x14ac:dyDescent="0.2">
      <c r="B278" s="331">
        <v>240</v>
      </c>
      <c r="C278" s="334"/>
      <c r="D278" s="333"/>
      <c r="E278" s="294"/>
      <c r="F278" s="274"/>
      <c r="H278" s="273">
        <v>265</v>
      </c>
      <c r="I278" s="257" t="e">
        <f ca="1"/>
        <v>#N/A</v>
      </c>
      <c r="J278" s="257" t="e">
        <f ca="1"/>
        <v>#N/A</v>
      </c>
      <c r="K278" s="264" t="e">
        <f ca="1"/>
        <v>#N/A</v>
      </c>
      <c r="L278" s="264" t="e">
        <f ca="1"/>
        <v>#N/A</v>
      </c>
      <c r="M278" s="264" t="e">
        <f ca="1"/>
        <v>#N/A</v>
      </c>
      <c r="N278" s="265" t="e">
        <f ca="1"/>
        <v>#N/A</v>
      </c>
      <c r="P278" s="319" t="str">
        <f t="array" aca="1" ref="P278:T278" ca="1">IF(AND($Q$34,B280&lt;=$C$17,C280&lt;&gt;""),TRANSPOSE(INDEX(cds(C280,$C$6,$C$29,,$C$13,$C$14,,,,,TRUE,TRUE,FALSE,,"1m"),0,1)),"")</f>
        <v/>
      </c>
      <c r="Q278" s="320" t="str">
        <f ca="1"/>
        <v/>
      </c>
      <c r="R278" s="320" t="str">
        <f ca="1"/>
        <v/>
      </c>
      <c r="S278" s="321" t="str">
        <f ca="1"/>
        <v/>
      </c>
      <c r="T278" s="322" t="str">
        <f ca="1"/>
        <v/>
      </c>
      <c r="U278" s="323" t="str">
        <f t="shared" ca="1" si="15"/>
        <v/>
      </c>
      <c r="V278" s="324" t="str">
        <f t="shared" ca="1" si="16"/>
        <v/>
      </c>
      <c r="W278" s="323" t="str">
        <f t="shared" ca="1" si="17"/>
        <v/>
      </c>
      <c r="X278" s="325" t="str">
        <f t="shared" ca="1" si="18"/>
        <v/>
      </c>
      <c r="Y278" s="324" t="str">
        <f t="shared" ca="1" si="19"/>
        <v/>
      </c>
    </row>
    <row r="279" spans="2:25" x14ac:dyDescent="0.2">
      <c r="B279" s="331">
        <v>241</v>
      </c>
      <c r="C279" s="334"/>
      <c r="D279" s="333"/>
      <c r="E279" s="294"/>
      <c r="F279" s="274"/>
      <c r="H279" s="273">
        <v>266</v>
      </c>
      <c r="I279" s="257" t="e">
        <f ca="1"/>
        <v>#N/A</v>
      </c>
      <c r="J279" s="257" t="e">
        <f ca="1"/>
        <v>#N/A</v>
      </c>
      <c r="K279" s="264" t="e">
        <f ca="1"/>
        <v>#N/A</v>
      </c>
      <c r="L279" s="264" t="e">
        <f ca="1"/>
        <v>#N/A</v>
      </c>
      <c r="M279" s="264" t="e">
        <f ca="1"/>
        <v>#N/A</v>
      </c>
      <c r="N279" s="265" t="e">
        <f ca="1"/>
        <v>#N/A</v>
      </c>
      <c r="P279" s="319" t="str">
        <f t="array" aca="1" ref="P279:T279" ca="1">IF(AND($Q$34,B281&lt;=$C$17,C281&lt;&gt;""),TRANSPOSE(INDEX(cds(C281,$C$6,$C$29,,$C$13,$C$14,,,,,TRUE,TRUE,FALSE,,"1m"),0,1)),"")</f>
        <v/>
      </c>
      <c r="Q279" s="320" t="str">
        <f ca="1"/>
        <v/>
      </c>
      <c r="R279" s="320" t="str">
        <f ca="1"/>
        <v/>
      </c>
      <c r="S279" s="321" t="str">
        <f ca="1"/>
        <v/>
      </c>
      <c r="T279" s="322" t="str">
        <f ca="1"/>
        <v/>
      </c>
      <c r="U279" s="323" t="str">
        <f t="shared" ca="1" si="15"/>
        <v/>
      </c>
      <c r="V279" s="324" t="str">
        <f t="shared" ca="1" si="16"/>
        <v/>
      </c>
      <c r="W279" s="323" t="str">
        <f t="shared" ca="1" si="17"/>
        <v/>
      </c>
      <c r="X279" s="325" t="str">
        <f t="shared" ca="1" si="18"/>
        <v/>
      </c>
      <c r="Y279" s="324" t="str">
        <f t="shared" ca="1" si="19"/>
        <v/>
      </c>
    </row>
    <row r="280" spans="2:25" x14ac:dyDescent="0.2">
      <c r="B280" s="331">
        <v>242</v>
      </c>
      <c r="C280" s="334"/>
      <c r="D280" s="333"/>
      <c r="E280" s="294"/>
      <c r="F280" s="274"/>
      <c r="H280" s="273">
        <v>267</v>
      </c>
      <c r="I280" s="257" t="e">
        <f ca="1"/>
        <v>#N/A</v>
      </c>
      <c r="J280" s="257" t="e">
        <f ca="1"/>
        <v>#N/A</v>
      </c>
      <c r="K280" s="264" t="e">
        <f ca="1"/>
        <v>#N/A</v>
      </c>
      <c r="L280" s="264" t="e">
        <f ca="1"/>
        <v>#N/A</v>
      </c>
      <c r="M280" s="264" t="e">
        <f ca="1"/>
        <v>#N/A</v>
      </c>
      <c r="N280" s="265" t="e">
        <f ca="1"/>
        <v>#N/A</v>
      </c>
      <c r="P280" s="319" t="str">
        <f t="array" aca="1" ref="P280:T280" ca="1">IF(AND($Q$34,B282&lt;=$C$17,C282&lt;&gt;""),TRANSPOSE(INDEX(cds(C282,$C$6,$C$29,,$C$13,$C$14,,,,,TRUE,TRUE,FALSE,,"1m"),0,1)),"")</f>
        <v/>
      </c>
      <c r="Q280" s="320" t="str">
        <f ca="1"/>
        <v/>
      </c>
      <c r="R280" s="320" t="str">
        <f ca="1"/>
        <v/>
      </c>
      <c r="S280" s="321" t="str">
        <f ca="1"/>
        <v/>
      </c>
      <c r="T280" s="322" t="str">
        <f ca="1"/>
        <v/>
      </c>
      <c r="U280" s="323" t="str">
        <f t="shared" ca="1" si="15"/>
        <v/>
      </c>
      <c r="V280" s="324" t="str">
        <f t="shared" ca="1" si="16"/>
        <v/>
      </c>
      <c r="W280" s="323" t="str">
        <f t="shared" ca="1" si="17"/>
        <v/>
      </c>
      <c r="X280" s="325" t="str">
        <f t="shared" ca="1" si="18"/>
        <v/>
      </c>
      <c r="Y280" s="324" t="str">
        <f t="shared" ca="1" si="19"/>
        <v/>
      </c>
    </row>
    <row r="281" spans="2:25" x14ac:dyDescent="0.2">
      <c r="B281" s="331">
        <v>243</v>
      </c>
      <c r="C281" s="334"/>
      <c r="D281" s="333"/>
      <c r="E281" s="294"/>
      <c r="F281" s="274"/>
      <c r="H281" s="273">
        <v>268</v>
      </c>
      <c r="I281" s="257" t="e">
        <f ca="1"/>
        <v>#N/A</v>
      </c>
      <c r="J281" s="257" t="e">
        <f ca="1"/>
        <v>#N/A</v>
      </c>
      <c r="K281" s="264" t="e">
        <f ca="1"/>
        <v>#N/A</v>
      </c>
      <c r="L281" s="264" t="e">
        <f ca="1"/>
        <v>#N/A</v>
      </c>
      <c r="M281" s="264" t="e">
        <f ca="1"/>
        <v>#N/A</v>
      </c>
      <c r="N281" s="265" t="e">
        <f ca="1"/>
        <v>#N/A</v>
      </c>
      <c r="P281" s="319" t="str">
        <f t="array" aca="1" ref="P281:T281" ca="1">IF(AND($Q$34,B283&lt;=$C$17,C283&lt;&gt;""),TRANSPOSE(INDEX(cds(C283,$C$6,$C$29,,$C$13,$C$14,,,,,TRUE,TRUE,FALSE,,"1m"),0,1)),"")</f>
        <v/>
      </c>
      <c r="Q281" s="320" t="str">
        <f ca="1"/>
        <v/>
      </c>
      <c r="R281" s="320" t="str">
        <f ca="1"/>
        <v/>
      </c>
      <c r="S281" s="321" t="str">
        <f ca="1"/>
        <v/>
      </c>
      <c r="T281" s="322" t="str">
        <f ca="1"/>
        <v/>
      </c>
      <c r="U281" s="323" t="str">
        <f t="shared" ca="1" si="15"/>
        <v/>
      </c>
      <c r="V281" s="324" t="str">
        <f t="shared" ca="1" si="16"/>
        <v/>
      </c>
      <c r="W281" s="323" t="str">
        <f t="shared" ca="1" si="17"/>
        <v/>
      </c>
      <c r="X281" s="325" t="str">
        <f t="shared" ca="1" si="18"/>
        <v/>
      </c>
      <c r="Y281" s="324" t="str">
        <f t="shared" ca="1" si="19"/>
        <v/>
      </c>
    </row>
    <row r="282" spans="2:25" x14ac:dyDescent="0.2">
      <c r="B282" s="331">
        <v>244</v>
      </c>
      <c r="C282" s="334"/>
      <c r="D282" s="333"/>
      <c r="E282" s="294"/>
      <c r="F282" s="274"/>
      <c r="H282" s="273">
        <v>269</v>
      </c>
      <c r="I282" s="257" t="e">
        <f ca="1"/>
        <v>#N/A</v>
      </c>
      <c r="J282" s="257" t="e">
        <f ca="1"/>
        <v>#N/A</v>
      </c>
      <c r="K282" s="264" t="e">
        <f ca="1"/>
        <v>#N/A</v>
      </c>
      <c r="L282" s="264" t="e">
        <f ca="1"/>
        <v>#N/A</v>
      </c>
      <c r="M282" s="264" t="e">
        <f ca="1"/>
        <v>#N/A</v>
      </c>
      <c r="N282" s="265" t="e">
        <f ca="1"/>
        <v>#N/A</v>
      </c>
      <c r="P282" s="319" t="str">
        <f t="array" aca="1" ref="P282:T282" ca="1">IF(AND($Q$34,B284&lt;=$C$17,C284&lt;&gt;""),TRANSPOSE(INDEX(cds(C284,$C$6,$C$29,,$C$13,$C$14,,,,,TRUE,TRUE,FALSE,,"1m"),0,1)),"")</f>
        <v/>
      </c>
      <c r="Q282" s="320" t="str">
        <f ca="1"/>
        <v/>
      </c>
      <c r="R282" s="320" t="str">
        <f ca="1"/>
        <v/>
      </c>
      <c r="S282" s="321" t="str">
        <f ca="1"/>
        <v/>
      </c>
      <c r="T282" s="322" t="str">
        <f ca="1"/>
        <v/>
      </c>
      <c r="U282" s="323" t="str">
        <f t="shared" ca="1" si="15"/>
        <v/>
      </c>
      <c r="V282" s="324" t="str">
        <f t="shared" ca="1" si="16"/>
        <v/>
      </c>
      <c r="W282" s="323" t="str">
        <f t="shared" ca="1" si="17"/>
        <v/>
      </c>
      <c r="X282" s="325" t="str">
        <f t="shared" ca="1" si="18"/>
        <v/>
      </c>
      <c r="Y282" s="324" t="str">
        <f t="shared" ca="1" si="19"/>
        <v/>
      </c>
    </row>
    <row r="283" spans="2:25" x14ac:dyDescent="0.2">
      <c r="B283" s="331">
        <v>245</v>
      </c>
      <c r="C283" s="334"/>
      <c r="D283" s="333"/>
      <c r="E283" s="294"/>
      <c r="F283" s="274"/>
      <c r="H283" s="273">
        <v>270</v>
      </c>
      <c r="I283" s="257" t="e">
        <f ca="1"/>
        <v>#N/A</v>
      </c>
      <c r="J283" s="257" t="e">
        <f ca="1"/>
        <v>#N/A</v>
      </c>
      <c r="K283" s="264" t="e">
        <f ca="1"/>
        <v>#N/A</v>
      </c>
      <c r="L283" s="264" t="e">
        <f ca="1"/>
        <v>#N/A</v>
      </c>
      <c r="M283" s="264" t="e">
        <f ca="1"/>
        <v>#N/A</v>
      </c>
      <c r="N283" s="265" t="e">
        <f ca="1"/>
        <v>#N/A</v>
      </c>
      <c r="P283" s="319" t="str">
        <f t="array" aca="1" ref="P283:T283" ca="1">IF(AND($Q$34,B285&lt;=$C$17,C285&lt;&gt;""),TRANSPOSE(INDEX(cds(C285,$C$6,$C$29,,$C$13,$C$14,,,,,TRUE,TRUE,FALSE,,"1m"),0,1)),"")</f>
        <v/>
      </c>
      <c r="Q283" s="320" t="str">
        <f ca="1"/>
        <v/>
      </c>
      <c r="R283" s="320" t="str">
        <f ca="1"/>
        <v/>
      </c>
      <c r="S283" s="321" t="str">
        <f ca="1"/>
        <v/>
      </c>
      <c r="T283" s="322" t="str">
        <f ca="1"/>
        <v/>
      </c>
      <c r="U283" s="323" t="str">
        <f t="shared" ca="1" si="15"/>
        <v/>
      </c>
      <c r="V283" s="324" t="str">
        <f t="shared" ca="1" si="16"/>
        <v/>
      </c>
      <c r="W283" s="323" t="str">
        <f t="shared" ca="1" si="17"/>
        <v/>
      </c>
      <c r="X283" s="325" t="str">
        <f t="shared" ca="1" si="18"/>
        <v/>
      </c>
      <c r="Y283" s="324" t="str">
        <f t="shared" ca="1" si="19"/>
        <v/>
      </c>
    </row>
    <row r="284" spans="2:25" x14ac:dyDescent="0.2">
      <c r="B284" s="331">
        <v>246</v>
      </c>
      <c r="C284" s="334"/>
      <c r="D284" s="333"/>
      <c r="E284" s="294"/>
      <c r="F284" s="274"/>
      <c r="H284" s="273">
        <v>271</v>
      </c>
      <c r="I284" s="257" t="e">
        <f ca="1"/>
        <v>#N/A</v>
      </c>
      <c r="J284" s="257" t="e">
        <f ca="1"/>
        <v>#N/A</v>
      </c>
      <c r="K284" s="264" t="e">
        <f ca="1"/>
        <v>#N/A</v>
      </c>
      <c r="L284" s="264" t="e">
        <f ca="1"/>
        <v>#N/A</v>
      </c>
      <c r="M284" s="264" t="e">
        <f ca="1"/>
        <v>#N/A</v>
      </c>
      <c r="N284" s="265" t="e">
        <f ca="1"/>
        <v>#N/A</v>
      </c>
      <c r="P284" s="319" t="str">
        <f t="array" aca="1" ref="P284:T284" ca="1">IF(AND($Q$34,B286&lt;=$C$17,C286&lt;&gt;""),TRANSPOSE(INDEX(cds(C286,$C$6,$C$29,,$C$13,$C$14,,,,,TRUE,TRUE,FALSE,,"1m"),0,1)),"")</f>
        <v/>
      </c>
      <c r="Q284" s="320" t="str">
        <f ca="1"/>
        <v/>
      </c>
      <c r="R284" s="320" t="str">
        <f ca="1"/>
        <v/>
      </c>
      <c r="S284" s="321" t="str">
        <f ca="1"/>
        <v/>
      </c>
      <c r="T284" s="322" t="str">
        <f ca="1"/>
        <v/>
      </c>
      <c r="U284" s="323" t="str">
        <f t="shared" ca="1" si="15"/>
        <v/>
      </c>
      <c r="V284" s="324" t="str">
        <f t="shared" ca="1" si="16"/>
        <v/>
      </c>
      <c r="W284" s="323" t="str">
        <f t="shared" ca="1" si="17"/>
        <v/>
      </c>
      <c r="X284" s="325" t="str">
        <f t="shared" ca="1" si="18"/>
        <v/>
      </c>
      <c r="Y284" s="324" t="str">
        <f t="shared" ca="1" si="19"/>
        <v/>
      </c>
    </row>
    <row r="285" spans="2:25" x14ac:dyDescent="0.2">
      <c r="B285" s="331">
        <v>247</v>
      </c>
      <c r="C285" s="334"/>
      <c r="D285" s="333"/>
      <c r="E285" s="294"/>
      <c r="F285" s="274"/>
      <c r="H285" s="273">
        <v>272</v>
      </c>
      <c r="I285" s="257" t="e">
        <f ca="1"/>
        <v>#N/A</v>
      </c>
      <c r="J285" s="257" t="e">
        <f ca="1"/>
        <v>#N/A</v>
      </c>
      <c r="K285" s="264" t="e">
        <f ca="1"/>
        <v>#N/A</v>
      </c>
      <c r="L285" s="264" t="e">
        <f ca="1"/>
        <v>#N/A</v>
      </c>
      <c r="M285" s="264" t="e">
        <f ca="1"/>
        <v>#N/A</v>
      </c>
      <c r="N285" s="265" t="e">
        <f ca="1"/>
        <v>#N/A</v>
      </c>
      <c r="P285" s="319" t="str">
        <f t="array" aca="1" ref="P285:T285" ca="1">IF(AND($Q$34,B287&lt;=$C$17,C287&lt;&gt;""),TRANSPOSE(INDEX(cds(C287,$C$6,$C$29,,$C$13,$C$14,,,,,TRUE,TRUE,FALSE,,"1m"),0,1)),"")</f>
        <v/>
      </c>
      <c r="Q285" s="320" t="str">
        <f ca="1"/>
        <v/>
      </c>
      <c r="R285" s="320" t="str">
        <f ca="1"/>
        <v/>
      </c>
      <c r="S285" s="321" t="str">
        <f ca="1"/>
        <v/>
      </c>
      <c r="T285" s="322" t="str">
        <f ca="1"/>
        <v/>
      </c>
      <c r="U285" s="323" t="str">
        <f t="shared" ca="1" si="15"/>
        <v/>
      </c>
      <c r="V285" s="324" t="str">
        <f t="shared" ca="1" si="16"/>
        <v/>
      </c>
      <c r="W285" s="323" t="str">
        <f t="shared" ca="1" si="17"/>
        <v/>
      </c>
      <c r="X285" s="325" t="str">
        <f t="shared" ca="1" si="18"/>
        <v/>
      </c>
      <c r="Y285" s="324" t="str">
        <f t="shared" ca="1" si="19"/>
        <v/>
      </c>
    </row>
    <row r="286" spans="2:25" x14ac:dyDescent="0.2">
      <c r="B286" s="331">
        <v>248</v>
      </c>
      <c r="C286" s="334"/>
      <c r="D286" s="333"/>
      <c r="E286" s="294"/>
      <c r="F286" s="274"/>
      <c r="H286" s="273">
        <v>273</v>
      </c>
      <c r="I286" s="257" t="e">
        <f ca="1"/>
        <v>#N/A</v>
      </c>
      <c r="J286" s="257" t="e">
        <f ca="1"/>
        <v>#N/A</v>
      </c>
      <c r="K286" s="264" t="e">
        <f ca="1"/>
        <v>#N/A</v>
      </c>
      <c r="L286" s="264" t="e">
        <f ca="1"/>
        <v>#N/A</v>
      </c>
      <c r="M286" s="264" t="e">
        <f ca="1"/>
        <v>#N/A</v>
      </c>
      <c r="N286" s="265" t="e">
        <f ca="1"/>
        <v>#N/A</v>
      </c>
      <c r="P286" s="319" t="str">
        <f t="array" aca="1" ref="P286:T286" ca="1">IF(AND($Q$34,B288&lt;=$C$17,C288&lt;&gt;""),TRANSPOSE(INDEX(cds(C288,$C$6,$C$29,,$C$13,$C$14,,,,,TRUE,TRUE,FALSE,,"1m"),0,1)),"")</f>
        <v/>
      </c>
      <c r="Q286" s="320" t="str">
        <f ca="1"/>
        <v/>
      </c>
      <c r="R286" s="320" t="str">
        <f ca="1"/>
        <v/>
      </c>
      <c r="S286" s="321" t="str">
        <f ca="1"/>
        <v/>
      </c>
      <c r="T286" s="322" t="str">
        <f ca="1"/>
        <v/>
      </c>
      <c r="U286" s="323" t="str">
        <f t="shared" ca="1" si="15"/>
        <v/>
      </c>
      <c r="V286" s="324" t="str">
        <f t="shared" ca="1" si="16"/>
        <v/>
      </c>
      <c r="W286" s="323" t="str">
        <f t="shared" ca="1" si="17"/>
        <v/>
      </c>
      <c r="X286" s="325" t="str">
        <f t="shared" ca="1" si="18"/>
        <v/>
      </c>
      <c r="Y286" s="324" t="str">
        <f t="shared" ca="1" si="19"/>
        <v/>
      </c>
    </row>
    <row r="287" spans="2:25" x14ac:dyDescent="0.2">
      <c r="B287" s="331">
        <v>249</v>
      </c>
      <c r="C287" s="334"/>
      <c r="D287" s="333"/>
      <c r="E287" s="294"/>
      <c r="F287" s="274"/>
      <c r="H287" s="273">
        <v>274</v>
      </c>
      <c r="I287" s="257" t="e">
        <f ca="1"/>
        <v>#N/A</v>
      </c>
      <c r="J287" s="257" t="e">
        <f ca="1"/>
        <v>#N/A</v>
      </c>
      <c r="K287" s="264" t="e">
        <f ca="1"/>
        <v>#N/A</v>
      </c>
      <c r="L287" s="264" t="e">
        <f ca="1"/>
        <v>#N/A</v>
      </c>
      <c r="M287" s="264" t="e">
        <f ca="1"/>
        <v>#N/A</v>
      </c>
      <c r="N287" s="265" t="e">
        <f ca="1"/>
        <v>#N/A</v>
      </c>
      <c r="P287" s="319" t="str">
        <f t="array" aca="1" ref="P287:T287" ca="1">IF(AND($Q$34,B289&lt;=$C$17,C289&lt;&gt;""),TRANSPOSE(INDEX(cds(C289,$C$6,$C$29,,$C$13,$C$14,,,,,TRUE,TRUE,FALSE,,"1m"),0,1)),"")</f>
        <v/>
      </c>
      <c r="Q287" s="320" t="str">
        <f ca="1"/>
        <v/>
      </c>
      <c r="R287" s="320" t="str">
        <f ca="1"/>
        <v/>
      </c>
      <c r="S287" s="321" t="str">
        <f ca="1"/>
        <v/>
      </c>
      <c r="T287" s="322" t="str">
        <f ca="1"/>
        <v/>
      </c>
      <c r="U287" s="323" t="str">
        <f t="shared" ca="1" si="15"/>
        <v/>
      </c>
      <c r="V287" s="324" t="str">
        <f t="shared" ca="1" si="16"/>
        <v/>
      </c>
      <c r="W287" s="323" t="str">
        <f t="shared" ca="1" si="17"/>
        <v/>
      </c>
      <c r="X287" s="325" t="str">
        <f t="shared" ca="1" si="18"/>
        <v/>
      </c>
      <c r="Y287" s="324" t="str">
        <f t="shared" ca="1" si="19"/>
        <v/>
      </c>
    </row>
    <row r="288" spans="2:25" x14ac:dyDescent="0.2">
      <c r="B288" s="331">
        <v>250</v>
      </c>
      <c r="C288" s="334"/>
      <c r="D288" s="333"/>
      <c r="E288" s="294"/>
      <c r="F288" s="274"/>
      <c r="H288" s="273">
        <v>275</v>
      </c>
      <c r="I288" s="257" t="e">
        <f ca="1"/>
        <v>#N/A</v>
      </c>
      <c r="J288" s="257" t="e">
        <f ca="1"/>
        <v>#N/A</v>
      </c>
      <c r="K288" s="264" t="e">
        <f ca="1"/>
        <v>#N/A</v>
      </c>
      <c r="L288" s="264" t="e">
        <f ca="1"/>
        <v>#N/A</v>
      </c>
      <c r="M288" s="264" t="e">
        <f ca="1"/>
        <v>#N/A</v>
      </c>
      <c r="N288" s="265" t="e">
        <f ca="1"/>
        <v>#N/A</v>
      </c>
      <c r="P288" s="319" t="str">
        <f t="array" aca="1" ref="P288:T288" ca="1">IF(AND($Q$34,B290&lt;=$C$17,C290&lt;&gt;""),TRANSPOSE(INDEX(cds(C290,$C$6,$C$29,,$C$13,$C$14,,,,,TRUE,TRUE,FALSE,,"1m"),0,1)),"")</f>
        <v/>
      </c>
      <c r="Q288" s="320" t="str">
        <f ca="1"/>
        <v/>
      </c>
      <c r="R288" s="320" t="str">
        <f ca="1"/>
        <v/>
      </c>
      <c r="S288" s="321" t="str">
        <f ca="1"/>
        <v/>
      </c>
      <c r="T288" s="322" t="str">
        <f ca="1"/>
        <v/>
      </c>
      <c r="U288" s="323" t="str">
        <f t="shared" ca="1" si="15"/>
        <v/>
      </c>
      <c r="V288" s="324" t="str">
        <f t="shared" ca="1" si="16"/>
        <v/>
      </c>
      <c r="W288" s="323" t="str">
        <f t="shared" ca="1" si="17"/>
        <v/>
      </c>
      <c r="X288" s="325" t="str">
        <f t="shared" ca="1" si="18"/>
        <v/>
      </c>
      <c r="Y288" s="324" t="str">
        <f t="shared" ca="1" si="19"/>
        <v/>
      </c>
    </row>
    <row r="289" spans="2:25" x14ac:dyDescent="0.2">
      <c r="B289" s="331">
        <v>251</v>
      </c>
      <c r="C289" s="334"/>
      <c r="D289" s="333"/>
      <c r="E289" s="294"/>
      <c r="F289" s="274"/>
      <c r="H289" s="273">
        <v>276</v>
      </c>
      <c r="I289" s="257" t="e">
        <f ca="1"/>
        <v>#N/A</v>
      </c>
      <c r="J289" s="257" t="e">
        <f ca="1"/>
        <v>#N/A</v>
      </c>
      <c r="K289" s="264" t="e">
        <f ca="1"/>
        <v>#N/A</v>
      </c>
      <c r="L289" s="264" t="e">
        <f ca="1"/>
        <v>#N/A</v>
      </c>
      <c r="M289" s="264" t="e">
        <f ca="1"/>
        <v>#N/A</v>
      </c>
      <c r="N289" s="265" t="e">
        <f ca="1"/>
        <v>#N/A</v>
      </c>
      <c r="P289" s="319" t="str">
        <f t="array" aca="1" ref="P289:T289" ca="1">IF(AND($Q$34,B291&lt;=$C$17,C291&lt;&gt;""),TRANSPOSE(INDEX(cds(C291,$C$6,$C$29,,$C$13,$C$14,,,,,TRUE,TRUE,FALSE,,"1m"),0,1)),"")</f>
        <v/>
      </c>
      <c r="Q289" s="320" t="str">
        <f ca="1"/>
        <v/>
      </c>
      <c r="R289" s="320" t="str">
        <f ca="1"/>
        <v/>
      </c>
      <c r="S289" s="321" t="str">
        <f ca="1"/>
        <v/>
      </c>
      <c r="T289" s="322" t="str">
        <f ca="1"/>
        <v/>
      </c>
      <c r="U289" s="323" t="str">
        <f t="shared" ca="1" si="15"/>
        <v/>
      </c>
      <c r="V289" s="324" t="str">
        <f t="shared" ca="1" si="16"/>
        <v/>
      </c>
      <c r="W289" s="323" t="str">
        <f t="shared" ca="1" si="17"/>
        <v/>
      </c>
      <c r="X289" s="325" t="str">
        <f t="shared" ca="1" si="18"/>
        <v/>
      </c>
      <c r="Y289" s="324" t="str">
        <f t="shared" ca="1" si="19"/>
        <v/>
      </c>
    </row>
    <row r="290" spans="2:25" x14ac:dyDescent="0.2">
      <c r="B290" s="331">
        <v>252</v>
      </c>
      <c r="C290" s="334"/>
      <c r="D290" s="333"/>
      <c r="E290" s="294"/>
      <c r="F290" s="274"/>
      <c r="H290" s="273">
        <v>277</v>
      </c>
      <c r="I290" s="257" t="e">
        <f ca="1"/>
        <v>#N/A</v>
      </c>
      <c r="J290" s="257" t="e">
        <f ca="1"/>
        <v>#N/A</v>
      </c>
      <c r="K290" s="264" t="e">
        <f ca="1"/>
        <v>#N/A</v>
      </c>
      <c r="L290" s="264" t="e">
        <f ca="1"/>
        <v>#N/A</v>
      </c>
      <c r="M290" s="264" t="e">
        <f ca="1"/>
        <v>#N/A</v>
      </c>
      <c r="N290" s="265" t="e">
        <f ca="1"/>
        <v>#N/A</v>
      </c>
      <c r="P290" s="319" t="str">
        <f t="array" aca="1" ref="P290:T290" ca="1">IF(AND($Q$34,B292&lt;=$C$17,C292&lt;&gt;""),TRANSPOSE(INDEX(cds(C292,$C$6,$C$29,,$C$13,$C$14,,,,,TRUE,TRUE,FALSE,,"1m"),0,1)),"")</f>
        <v/>
      </c>
      <c r="Q290" s="320" t="str">
        <f ca="1"/>
        <v/>
      </c>
      <c r="R290" s="320" t="str">
        <f ca="1"/>
        <v/>
      </c>
      <c r="S290" s="321" t="str">
        <f ca="1"/>
        <v/>
      </c>
      <c r="T290" s="322" t="str">
        <f ca="1"/>
        <v/>
      </c>
      <c r="U290" s="323" t="str">
        <f t="shared" ca="1" si="15"/>
        <v/>
      </c>
      <c r="V290" s="324" t="str">
        <f t="shared" ca="1" si="16"/>
        <v/>
      </c>
      <c r="W290" s="323" t="str">
        <f t="shared" ca="1" si="17"/>
        <v/>
      </c>
      <c r="X290" s="325" t="str">
        <f t="shared" ca="1" si="18"/>
        <v/>
      </c>
      <c r="Y290" s="324" t="str">
        <f t="shared" ca="1" si="19"/>
        <v/>
      </c>
    </row>
    <row r="291" spans="2:25" x14ac:dyDescent="0.2">
      <c r="B291" s="331">
        <v>253</v>
      </c>
      <c r="C291" s="334"/>
      <c r="D291" s="333"/>
      <c r="E291" s="294"/>
      <c r="F291" s="274"/>
      <c r="H291" s="273">
        <v>278</v>
      </c>
      <c r="I291" s="257" t="e">
        <f ca="1"/>
        <v>#N/A</v>
      </c>
      <c r="J291" s="257" t="e">
        <f ca="1"/>
        <v>#N/A</v>
      </c>
      <c r="K291" s="264" t="e">
        <f ca="1"/>
        <v>#N/A</v>
      </c>
      <c r="L291" s="264" t="e">
        <f ca="1"/>
        <v>#N/A</v>
      </c>
      <c r="M291" s="264" t="e">
        <f ca="1"/>
        <v>#N/A</v>
      </c>
      <c r="N291" s="265" t="e">
        <f ca="1"/>
        <v>#N/A</v>
      </c>
      <c r="P291" s="319" t="str">
        <f t="array" aca="1" ref="P291:T291" ca="1">IF(AND($Q$34,B293&lt;=$C$17,C293&lt;&gt;""),TRANSPOSE(INDEX(cds(C293,$C$6,$C$29,,$C$13,$C$14,,,,,TRUE,TRUE,FALSE,,"1m"),0,1)),"")</f>
        <v/>
      </c>
      <c r="Q291" s="320" t="str">
        <f ca="1"/>
        <v/>
      </c>
      <c r="R291" s="320" t="str">
        <f ca="1"/>
        <v/>
      </c>
      <c r="S291" s="321" t="str">
        <f ca="1"/>
        <v/>
      </c>
      <c r="T291" s="322" t="str">
        <f ca="1"/>
        <v/>
      </c>
      <c r="U291" s="323" t="str">
        <f t="shared" ca="1" si="15"/>
        <v/>
      </c>
      <c r="V291" s="324" t="str">
        <f t="shared" ca="1" si="16"/>
        <v/>
      </c>
      <c r="W291" s="323" t="str">
        <f t="shared" ca="1" si="17"/>
        <v/>
      </c>
      <c r="X291" s="325" t="str">
        <f t="shared" ca="1" si="18"/>
        <v/>
      </c>
      <c r="Y291" s="324" t="str">
        <f t="shared" ca="1" si="19"/>
        <v/>
      </c>
    </row>
    <row r="292" spans="2:25" x14ac:dyDescent="0.2">
      <c r="B292" s="331">
        <v>254</v>
      </c>
      <c r="C292" s="334"/>
      <c r="D292" s="333"/>
      <c r="E292" s="294"/>
      <c r="F292" s="274"/>
      <c r="H292" s="273">
        <v>279</v>
      </c>
      <c r="I292" s="257" t="e">
        <f ca="1"/>
        <v>#N/A</v>
      </c>
      <c r="J292" s="257" t="e">
        <f ca="1"/>
        <v>#N/A</v>
      </c>
      <c r="K292" s="264" t="e">
        <f ca="1"/>
        <v>#N/A</v>
      </c>
      <c r="L292" s="264" t="e">
        <f ca="1"/>
        <v>#N/A</v>
      </c>
      <c r="M292" s="264" t="e">
        <f ca="1"/>
        <v>#N/A</v>
      </c>
      <c r="N292" s="265" t="e">
        <f ca="1"/>
        <v>#N/A</v>
      </c>
      <c r="P292" s="319" t="str">
        <f t="array" aca="1" ref="P292:T292" ca="1">IF(AND($Q$34,B294&lt;=$C$17,C294&lt;&gt;""),TRANSPOSE(INDEX(cds(C294,$C$6,$C$29,,$C$13,$C$14,,,,,TRUE,TRUE,FALSE,,"1m"),0,1)),"")</f>
        <v/>
      </c>
      <c r="Q292" s="320" t="str">
        <f ca="1"/>
        <v/>
      </c>
      <c r="R292" s="320" t="str">
        <f ca="1"/>
        <v/>
      </c>
      <c r="S292" s="321" t="str">
        <f ca="1"/>
        <v/>
      </c>
      <c r="T292" s="322" t="str">
        <f ca="1"/>
        <v/>
      </c>
      <c r="U292" s="323" t="str">
        <f t="shared" ca="1" si="15"/>
        <v/>
      </c>
      <c r="V292" s="324" t="str">
        <f t="shared" ca="1" si="16"/>
        <v/>
      </c>
      <c r="W292" s="323" t="str">
        <f t="shared" ca="1" si="17"/>
        <v/>
      </c>
      <c r="X292" s="325" t="str">
        <f t="shared" ca="1" si="18"/>
        <v/>
      </c>
      <c r="Y292" s="324" t="str">
        <f t="shared" ca="1" si="19"/>
        <v/>
      </c>
    </row>
    <row r="293" spans="2:25" x14ac:dyDescent="0.2">
      <c r="B293" s="331">
        <v>255</v>
      </c>
      <c r="C293" s="334"/>
      <c r="D293" s="333"/>
      <c r="E293" s="294"/>
      <c r="F293" s="274"/>
      <c r="H293" s="273">
        <v>280</v>
      </c>
      <c r="I293" s="257" t="e">
        <f ca="1"/>
        <v>#N/A</v>
      </c>
      <c r="J293" s="257" t="e">
        <f ca="1"/>
        <v>#N/A</v>
      </c>
      <c r="K293" s="264" t="e">
        <f ca="1"/>
        <v>#N/A</v>
      </c>
      <c r="L293" s="264" t="e">
        <f ca="1"/>
        <v>#N/A</v>
      </c>
      <c r="M293" s="264" t="e">
        <f ca="1"/>
        <v>#N/A</v>
      </c>
      <c r="N293" s="265" t="e">
        <f ca="1"/>
        <v>#N/A</v>
      </c>
      <c r="P293" s="319" t="str">
        <f t="array" aca="1" ref="P293:T293" ca="1">IF(AND($Q$34,B295&lt;=$C$17,C295&lt;&gt;""),TRANSPOSE(INDEX(cds(C295,$C$6,$C$29,,$C$13,$C$14,,,,,TRUE,TRUE,FALSE,,"1m"),0,1)),"")</f>
        <v/>
      </c>
      <c r="Q293" s="320" t="str">
        <f ca="1"/>
        <v/>
      </c>
      <c r="R293" s="320" t="str">
        <f ca="1"/>
        <v/>
      </c>
      <c r="S293" s="321" t="str">
        <f ca="1"/>
        <v/>
      </c>
      <c r="T293" s="322" t="str">
        <f ca="1"/>
        <v/>
      </c>
      <c r="U293" s="323" t="str">
        <f t="shared" ref="U293:U336" ca="1" si="20">IF(NOT($Q$34),"",IF(P293="","",$Q$35*$D$39/$C$18))</f>
        <v/>
      </c>
      <c r="V293" s="324" t="str">
        <f t="shared" ref="V293:V336" ca="1" si="21">IF(NOT($Q$34),"",IF(U293="","",U293*($V$32-S293)*T293))</f>
        <v/>
      </c>
      <c r="W293" s="323" t="str">
        <f t="shared" ref="W293:W336" ca="1" si="22">IF(NOT($Q$34),"",IF(P293="","",IF(ISERROR(L270),0,L270/($C$20-$C$19))))</f>
        <v/>
      </c>
      <c r="X293" s="325" t="str">
        <f t="shared" ref="X293:X336" ca="1" si="23">IF(NOT($Q$34),"",IF(S293="","",S293*$Y$32))</f>
        <v/>
      </c>
      <c r="Y293" s="324" t="str">
        <f t="shared" ref="Y293:Y336" ca="1" si="24">IF(NOT($Q$34),"",IF(W293="","",W293*(X293-S293)*T293))</f>
        <v/>
      </c>
    </row>
    <row r="294" spans="2:25" x14ac:dyDescent="0.2">
      <c r="B294" s="331">
        <v>256</v>
      </c>
      <c r="C294" s="334"/>
      <c r="D294" s="333"/>
      <c r="E294" s="294"/>
      <c r="F294" s="274"/>
      <c r="H294" s="273">
        <v>281</v>
      </c>
      <c r="I294" s="257" t="e">
        <f ca="1"/>
        <v>#N/A</v>
      </c>
      <c r="J294" s="257" t="e">
        <f ca="1"/>
        <v>#N/A</v>
      </c>
      <c r="K294" s="264" t="e">
        <f ca="1"/>
        <v>#N/A</v>
      </c>
      <c r="L294" s="264" t="e">
        <f ca="1"/>
        <v>#N/A</v>
      </c>
      <c r="M294" s="264" t="e">
        <f ca="1"/>
        <v>#N/A</v>
      </c>
      <c r="N294" s="265" t="e">
        <f ca="1"/>
        <v>#N/A</v>
      </c>
      <c r="P294" s="319" t="str">
        <f t="array" aca="1" ref="P294:T294" ca="1">IF(AND($Q$34,B296&lt;=$C$17,C296&lt;&gt;""),TRANSPOSE(INDEX(cds(C296,$C$6,$C$29,,$C$13,$C$14,,,,,TRUE,TRUE,FALSE,,"1m"),0,1)),"")</f>
        <v/>
      </c>
      <c r="Q294" s="320" t="str">
        <f ca="1"/>
        <v/>
      </c>
      <c r="R294" s="320" t="str">
        <f ca="1"/>
        <v/>
      </c>
      <c r="S294" s="321" t="str">
        <f ca="1"/>
        <v/>
      </c>
      <c r="T294" s="322" t="str">
        <f ca="1"/>
        <v/>
      </c>
      <c r="U294" s="323" t="str">
        <f t="shared" ca="1" si="20"/>
        <v/>
      </c>
      <c r="V294" s="324" t="str">
        <f t="shared" ca="1" si="21"/>
        <v/>
      </c>
      <c r="W294" s="323" t="str">
        <f t="shared" ca="1" si="22"/>
        <v/>
      </c>
      <c r="X294" s="325" t="str">
        <f t="shared" ca="1" si="23"/>
        <v/>
      </c>
      <c r="Y294" s="324" t="str">
        <f t="shared" ca="1" si="24"/>
        <v/>
      </c>
    </row>
    <row r="295" spans="2:25" x14ac:dyDescent="0.2">
      <c r="B295" s="331">
        <v>257</v>
      </c>
      <c r="C295" s="334"/>
      <c r="D295" s="333"/>
      <c r="E295" s="294"/>
      <c r="F295" s="274"/>
      <c r="H295" s="273">
        <v>282</v>
      </c>
      <c r="I295" s="257" t="e">
        <f ca="1"/>
        <v>#N/A</v>
      </c>
      <c r="J295" s="257" t="e">
        <f ca="1"/>
        <v>#N/A</v>
      </c>
      <c r="K295" s="264" t="e">
        <f ca="1"/>
        <v>#N/A</v>
      </c>
      <c r="L295" s="264" t="e">
        <f ca="1"/>
        <v>#N/A</v>
      </c>
      <c r="M295" s="264" t="e">
        <f ca="1"/>
        <v>#N/A</v>
      </c>
      <c r="N295" s="265" t="e">
        <f ca="1"/>
        <v>#N/A</v>
      </c>
      <c r="P295" s="319" t="str">
        <f t="array" aca="1" ref="P295:T295" ca="1">IF(AND($Q$34,B297&lt;=$C$17,C297&lt;&gt;""),TRANSPOSE(INDEX(cds(C297,$C$6,$C$29,,$C$13,$C$14,,,,,TRUE,TRUE,FALSE,,"1m"),0,1)),"")</f>
        <v/>
      </c>
      <c r="Q295" s="320" t="str">
        <f ca="1"/>
        <v/>
      </c>
      <c r="R295" s="320" t="str">
        <f ca="1"/>
        <v/>
      </c>
      <c r="S295" s="321" t="str">
        <f ca="1"/>
        <v/>
      </c>
      <c r="T295" s="322" t="str">
        <f ca="1"/>
        <v/>
      </c>
      <c r="U295" s="323" t="str">
        <f t="shared" ca="1" si="20"/>
        <v/>
      </c>
      <c r="V295" s="324" t="str">
        <f t="shared" ca="1" si="21"/>
        <v/>
      </c>
      <c r="W295" s="323" t="str">
        <f t="shared" ca="1" si="22"/>
        <v/>
      </c>
      <c r="X295" s="325" t="str">
        <f t="shared" ca="1" si="23"/>
        <v/>
      </c>
      <c r="Y295" s="324" t="str">
        <f t="shared" ca="1" si="24"/>
        <v/>
      </c>
    </row>
    <row r="296" spans="2:25" x14ac:dyDescent="0.2">
      <c r="B296" s="331">
        <v>258</v>
      </c>
      <c r="C296" s="334"/>
      <c r="D296" s="333"/>
      <c r="E296" s="294"/>
      <c r="F296" s="274"/>
      <c r="H296" s="273">
        <v>283</v>
      </c>
      <c r="I296" s="257" t="e">
        <f ca="1"/>
        <v>#N/A</v>
      </c>
      <c r="J296" s="257" t="e">
        <f ca="1"/>
        <v>#N/A</v>
      </c>
      <c r="K296" s="264" t="e">
        <f ca="1"/>
        <v>#N/A</v>
      </c>
      <c r="L296" s="264" t="e">
        <f ca="1"/>
        <v>#N/A</v>
      </c>
      <c r="M296" s="264" t="e">
        <f ca="1"/>
        <v>#N/A</v>
      </c>
      <c r="N296" s="265" t="e">
        <f ca="1"/>
        <v>#N/A</v>
      </c>
      <c r="P296" s="319" t="str">
        <f t="array" aca="1" ref="P296:T296" ca="1">IF(AND($Q$34,B298&lt;=$C$17,C298&lt;&gt;""),TRANSPOSE(INDEX(cds(C298,$C$6,$C$29,,$C$13,$C$14,,,,,TRUE,TRUE,FALSE,,"1m"),0,1)),"")</f>
        <v/>
      </c>
      <c r="Q296" s="320" t="str">
        <f ca="1"/>
        <v/>
      </c>
      <c r="R296" s="320" t="str">
        <f ca="1"/>
        <v/>
      </c>
      <c r="S296" s="321" t="str">
        <f ca="1"/>
        <v/>
      </c>
      <c r="T296" s="322" t="str">
        <f ca="1"/>
        <v/>
      </c>
      <c r="U296" s="323" t="str">
        <f t="shared" ca="1" si="20"/>
        <v/>
      </c>
      <c r="V296" s="324" t="str">
        <f t="shared" ca="1" si="21"/>
        <v/>
      </c>
      <c r="W296" s="323" t="str">
        <f t="shared" ca="1" si="22"/>
        <v/>
      </c>
      <c r="X296" s="325" t="str">
        <f t="shared" ca="1" si="23"/>
        <v/>
      </c>
      <c r="Y296" s="324" t="str">
        <f t="shared" ca="1" si="24"/>
        <v/>
      </c>
    </row>
    <row r="297" spans="2:25" x14ac:dyDescent="0.2">
      <c r="B297" s="331">
        <v>259</v>
      </c>
      <c r="C297" s="334"/>
      <c r="D297" s="333"/>
      <c r="E297" s="294"/>
      <c r="F297" s="274"/>
      <c r="H297" s="273">
        <v>284</v>
      </c>
      <c r="I297" s="257" t="e">
        <f ca="1"/>
        <v>#N/A</v>
      </c>
      <c r="J297" s="257" t="e">
        <f ca="1"/>
        <v>#N/A</v>
      </c>
      <c r="K297" s="264" t="e">
        <f ca="1"/>
        <v>#N/A</v>
      </c>
      <c r="L297" s="264" t="e">
        <f ca="1"/>
        <v>#N/A</v>
      </c>
      <c r="M297" s="264" t="e">
        <f ca="1"/>
        <v>#N/A</v>
      </c>
      <c r="N297" s="265" t="e">
        <f ca="1"/>
        <v>#N/A</v>
      </c>
      <c r="P297" s="319" t="str">
        <f t="array" aca="1" ref="P297:T297" ca="1">IF(AND($Q$34,B299&lt;=$C$17,C299&lt;&gt;""),TRANSPOSE(INDEX(cds(C299,$C$6,$C$29,,$C$13,$C$14,,,,,TRUE,TRUE,FALSE,,"1m"),0,1)),"")</f>
        <v/>
      </c>
      <c r="Q297" s="320" t="str">
        <f ca="1"/>
        <v/>
      </c>
      <c r="R297" s="320" t="str">
        <f ca="1"/>
        <v/>
      </c>
      <c r="S297" s="321" t="str">
        <f ca="1"/>
        <v/>
      </c>
      <c r="T297" s="322" t="str">
        <f ca="1"/>
        <v/>
      </c>
      <c r="U297" s="323" t="str">
        <f t="shared" ca="1" si="20"/>
        <v/>
      </c>
      <c r="V297" s="324" t="str">
        <f t="shared" ca="1" si="21"/>
        <v/>
      </c>
      <c r="W297" s="323" t="str">
        <f t="shared" ca="1" si="22"/>
        <v/>
      </c>
      <c r="X297" s="325" t="str">
        <f t="shared" ca="1" si="23"/>
        <v/>
      </c>
      <c r="Y297" s="324" t="str">
        <f t="shared" ca="1" si="24"/>
        <v/>
      </c>
    </row>
    <row r="298" spans="2:25" x14ac:dyDescent="0.2">
      <c r="B298" s="331">
        <v>260</v>
      </c>
      <c r="C298" s="334"/>
      <c r="D298" s="333"/>
      <c r="E298" s="294"/>
      <c r="F298" s="274"/>
      <c r="H298" s="273">
        <v>285</v>
      </c>
      <c r="I298" s="257" t="e">
        <f ca="1"/>
        <v>#N/A</v>
      </c>
      <c r="J298" s="257" t="e">
        <f ca="1"/>
        <v>#N/A</v>
      </c>
      <c r="K298" s="264" t="e">
        <f ca="1"/>
        <v>#N/A</v>
      </c>
      <c r="L298" s="264" t="e">
        <f ca="1"/>
        <v>#N/A</v>
      </c>
      <c r="M298" s="264" t="e">
        <f ca="1"/>
        <v>#N/A</v>
      </c>
      <c r="N298" s="265" t="e">
        <f ca="1"/>
        <v>#N/A</v>
      </c>
      <c r="P298" s="319" t="str">
        <f t="array" aca="1" ref="P298:T298" ca="1">IF(AND($Q$34,B300&lt;=$C$17,C300&lt;&gt;""),TRANSPOSE(INDEX(cds(C300,$C$6,$C$29,,$C$13,$C$14,,,,,TRUE,TRUE,FALSE,,"1m"),0,1)),"")</f>
        <v/>
      </c>
      <c r="Q298" s="320" t="str">
        <f ca="1"/>
        <v/>
      </c>
      <c r="R298" s="320" t="str">
        <f ca="1"/>
        <v/>
      </c>
      <c r="S298" s="321" t="str">
        <f ca="1"/>
        <v/>
      </c>
      <c r="T298" s="322" t="str">
        <f ca="1"/>
        <v/>
      </c>
      <c r="U298" s="323" t="str">
        <f t="shared" ca="1" si="20"/>
        <v/>
      </c>
      <c r="V298" s="324" t="str">
        <f t="shared" ca="1" si="21"/>
        <v/>
      </c>
      <c r="W298" s="323" t="str">
        <f t="shared" ca="1" si="22"/>
        <v/>
      </c>
      <c r="X298" s="325" t="str">
        <f t="shared" ca="1" si="23"/>
        <v/>
      </c>
      <c r="Y298" s="324" t="str">
        <f t="shared" ca="1" si="24"/>
        <v/>
      </c>
    </row>
    <row r="299" spans="2:25" x14ac:dyDescent="0.2">
      <c r="B299" s="331">
        <v>261</v>
      </c>
      <c r="C299" s="334"/>
      <c r="D299" s="333"/>
      <c r="E299" s="294"/>
      <c r="F299" s="274"/>
      <c r="H299" s="273">
        <v>286</v>
      </c>
      <c r="I299" s="257" t="e">
        <f ca="1"/>
        <v>#N/A</v>
      </c>
      <c r="J299" s="257" t="e">
        <f ca="1"/>
        <v>#N/A</v>
      </c>
      <c r="K299" s="264" t="e">
        <f ca="1"/>
        <v>#N/A</v>
      </c>
      <c r="L299" s="264" t="e">
        <f ca="1"/>
        <v>#N/A</v>
      </c>
      <c r="M299" s="264" t="e">
        <f ca="1"/>
        <v>#N/A</v>
      </c>
      <c r="N299" s="265" t="e">
        <f ca="1"/>
        <v>#N/A</v>
      </c>
      <c r="P299" s="319" t="str">
        <f t="array" aca="1" ref="P299:T299" ca="1">IF(AND($Q$34,B301&lt;=$C$17,C301&lt;&gt;""),TRANSPOSE(INDEX(cds(C301,$C$6,$C$29,,$C$13,$C$14,,,,,TRUE,TRUE,FALSE,,"1m"),0,1)),"")</f>
        <v/>
      </c>
      <c r="Q299" s="320" t="str">
        <f ca="1"/>
        <v/>
      </c>
      <c r="R299" s="320" t="str">
        <f ca="1"/>
        <v/>
      </c>
      <c r="S299" s="321" t="str">
        <f ca="1"/>
        <v/>
      </c>
      <c r="T299" s="322" t="str">
        <f ca="1"/>
        <v/>
      </c>
      <c r="U299" s="323" t="str">
        <f t="shared" ca="1" si="20"/>
        <v/>
      </c>
      <c r="V299" s="324" t="str">
        <f t="shared" ca="1" si="21"/>
        <v/>
      </c>
      <c r="W299" s="323" t="str">
        <f t="shared" ca="1" si="22"/>
        <v/>
      </c>
      <c r="X299" s="325" t="str">
        <f t="shared" ca="1" si="23"/>
        <v/>
      </c>
      <c r="Y299" s="324" t="str">
        <f t="shared" ca="1" si="24"/>
        <v/>
      </c>
    </row>
    <row r="300" spans="2:25" x14ac:dyDescent="0.2">
      <c r="B300" s="331">
        <v>262</v>
      </c>
      <c r="C300" s="334"/>
      <c r="D300" s="333"/>
      <c r="E300" s="294"/>
      <c r="F300" s="274"/>
      <c r="H300" s="273">
        <v>287</v>
      </c>
      <c r="I300" s="257" t="e">
        <f ca="1"/>
        <v>#N/A</v>
      </c>
      <c r="J300" s="257" t="e">
        <f ca="1"/>
        <v>#N/A</v>
      </c>
      <c r="K300" s="264" t="e">
        <f ca="1"/>
        <v>#N/A</v>
      </c>
      <c r="L300" s="264" t="e">
        <f ca="1"/>
        <v>#N/A</v>
      </c>
      <c r="M300" s="264" t="e">
        <f ca="1"/>
        <v>#N/A</v>
      </c>
      <c r="N300" s="265" t="e">
        <f ca="1"/>
        <v>#N/A</v>
      </c>
      <c r="P300" s="319" t="str">
        <f t="array" aca="1" ref="P300:T300" ca="1">IF(AND($Q$34,B302&lt;=$C$17,C302&lt;&gt;""),TRANSPOSE(INDEX(cds(C302,$C$6,$C$29,,$C$13,$C$14,,,,,TRUE,TRUE,FALSE,,"1m"),0,1)),"")</f>
        <v/>
      </c>
      <c r="Q300" s="320" t="str">
        <f ca="1"/>
        <v/>
      </c>
      <c r="R300" s="320" t="str">
        <f ca="1"/>
        <v/>
      </c>
      <c r="S300" s="321" t="str">
        <f ca="1"/>
        <v/>
      </c>
      <c r="T300" s="322" t="str">
        <f ca="1"/>
        <v/>
      </c>
      <c r="U300" s="323" t="str">
        <f t="shared" ca="1" si="20"/>
        <v/>
      </c>
      <c r="V300" s="324" t="str">
        <f t="shared" ca="1" si="21"/>
        <v/>
      </c>
      <c r="W300" s="323" t="str">
        <f t="shared" ca="1" si="22"/>
        <v/>
      </c>
      <c r="X300" s="325" t="str">
        <f t="shared" ca="1" si="23"/>
        <v/>
      </c>
      <c r="Y300" s="324" t="str">
        <f t="shared" ca="1" si="24"/>
        <v/>
      </c>
    </row>
    <row r="301" spans="2:25" x14ac:dyDescent="0.2">
      <c r="B301" s="331">
        <v>263</v>
      </c>
      <c r="C301" s="334"/>
      <c r="D301" s="333"/>
      <c r="E301" s="294"/>
      <c r="F301" s="274"/>
      <c r="H301" s="273">
        <v>288</v>
      </c>
      <c r="I301" s="257" t="e">
        <f ca="1"/>
        <v>#N/A</v>
      </c>
      <c r="J301" s="257" t="e">
        <f ca="1"/>
        <v>#N/A</v>
      </c>
      <c r="K301" s="264" t="e">
        <f ca="1"/>
        <v>#N/A</v>
      </c>
      <c r="L301" s="264" t="e">
        <f ca="1"/>
        <v>#N/A</v>
      </c>
      <c r="M301" s="264" t="e">
        <f ca="1"/>
        <v>#N/A</v>
      </c>
      <c r="N301" s="265" t="e">
        <f ca="1"/>
        <v>#N/A</v>
      </c>
      <c r="P301" s="319" t="str">
        <f t="array" aca="1" ref="P301:T301" ca="1">IF(AND($Q$34,B303&lt;=$C$17,C303&lt;&gt;""),TRANSPOSE(INDEX(cds(C303,$C$6,$C$29,,$C$13,$C$14,,,,,TRUE,TRUE,FALSE,,"1m"),0,1)),"")</f>
        <v/>
      </c>
      <c r="Q301" s="320" t="str">
        <f ca="1"/>
        <v/>
      </c>
      <c r="R301" s="320" t="str">
        <f ca="1"/>
        <v/>
      </c>
      <c r="S301" s="321" t="str">
        <f ca="1"/>
        <v/>
      </c>
      <c r="T301" s="322" t="str">
        <f ca="1"/>
        <v/>
      </c>
      <c r="U301" s="323" t="str">
        <f t="shared" ca="1" si="20"/>
        <v/>
      </c>
      <c r="V301" s="324" t="str">
        <f t="shared" ca="1" si="21"/>
        <v/>
      </c>
      <c r="W301" s="323" t="str">
        <f t="shared" ca="1" si="22"/>
        <v/>
      </c>
      <c r="X301" s="325" t="str">
        <f t="shared" ca="1" si="23"/>
        <v/>
      </c>
      <c r="Y301" s="324" t="str">
        <f t="shared" ca="1" si="24"/>
        <v/>
      </c>
    </row>
    <row r="302" spans="2:25" x14ac:dyDescent="0.2">
      <c r="B302" s="331">
        <v>264</v>
      </c>
      <c r="C302" s="334"/>
      <c r="D302" s="333"/>
      <c r="E302" s="294"/>
      <c r="F302" s="274"/>
      <c r="H302" s="273">
        <v>289</v>
      </c>
      <c r="I302" s="257" t="e">
        <f ca="1"/>
        <v>#N/A</v>
      </c>
      <c r="J302" s="257" t="e">
        <f ca="1"/>
        <v>#N/A</v>
      </c>
      <c r="K302" s="264" t="e">
        <f ca="1"/>
        <v>#N/A</v>
      </c>
      <c r="L302" s="264" t="e">
        <f ca="1"/>
        <v>#N/A</v>
      </c>
      <c r="M302" s="264" t="e">
        <f ca="1"/>
        <v>#N/A</v>
      </c>
      <c r="N302" s="265" t="e">
        <f ca="1"/>
        <v>#N/A</v>
      </c>
      <c r="P302" s="319" t="str">
        <f t="array" aca="1" ref="P302:T302" ca="1">IF(AND($Q$34,B304&lt;=$C$17,C304&lt;&gt;""),TRANSPOSE(INDEX(cds(C304,$C$6,$C$29,,$C$13,$C$14,,,,,TRUE,TRUE,FALSE,,"1m"),0,1)),"")</f>
        <v/>
      </c>
      <c r="Q302" s="320" t="str">
        <f ca="1"/>
        <v/>
      </c>
      <c r="R302" s="320" t="str">
        <f ca="1"/>
        <v/>
      </c>
      <c r="S302" s="321" t="str">
        <f ca="1"/>
        <v/>
      </c>
      <c r="T302" s="322" t="str">
        <f ca="1"/>
        <v/>
      </c>
      <c r="U302" s="323" t="str">
        <f t="shared" ca="1" si="20"/>
        <v/>
      </c>
      <c r="V302" s="324" t="str">
        <f t="shared" ca="1" si="21"/>
        <v/>
      </c>
      <c r="W302" s="323" t="str">
        <f t="shared" ca="1" si="22"/>
        <v/>
      </c>
      <c r="X302" s="325" t="str">
        <f t="shared" ca="1" si="23"/>
        <v/>
      </c>
      <c r="Y302" s="324" t="str">
        <f t="shared" ca="1" si="24"/>
        <v/>
      </c>
    </row>
    <row r="303" spans="2:25" x14ac:dyDescent="0.2">
      <c r="B303" s="331">
        <v>265</v>
      </c>
      <c r="C303" s="334"/>
      <c r="D303" s="333"/>
      <c r="E303" s="294"/>
      <c r="F303" s="274"/>
      <c r="H303" s="273">
        <v>290</v>
      </c>
      <c r="I303" s="257" t="e">
        <f ca="1"/>
        <v>#N/A</v>
      </c>
      <c r="J303" s="257" t="e">
        <f ca="1"/>
        <v>#N/A</v>
      </c>
      <c r="K303" s="264" t="e">
        <f ca="1"/>
        <v>#N/A</v>
      </c>
      <c r="L303" s="264" t="e">
        <f ca="1"/>
        <v>#N/A</v>
      </c>
      <c r="M303" s="264" t="e">
        <f ca="1"/>
        <v>#N/A</v>
      </c>
      <c r="N303" s="265" t="e">
        <f ca="1"/>
        <v>#N/A</v>
      </c>
      <c r="P303" s="319" t="str">
        <f t="array" aca="1" ref="P303:T303" ca="1">IF(AND($Q$34,B305&lt;=$C$17,C305&lt;&gt;""),TRANSPOSE(INDEX(cds(C305,$C$6,$C$29,,$C$13,$C$14,,,,,TRUE,TRUE,FALSE,,"1m"),0,1)),"")</f>
        <v/>
      </c>
      <c r="Q303" s="320" t="str">
        <f ca="1"/>
        <v/>
      </c>
      <c r="R303" s="320" t="str">
        <f ca="1"/>
        <v/>
      </c>
      <c r="S303" s="321" t="str">
        <f ca="1"/>
        <v/>
      </c>
      <c r="T303" s="322" t="str">
        <f ca="1"/>
        <v/>
      </c>
      <c r="U303" s="323" t="str">
        <f t="shared" ca="1" si="20"/>
        <v/>
      </c>
      <c r="V303" s="324" t="str">
        <f t="shared" ca="1" si="21"/>
        <v/>
      </c>
      <c r="W303" s="323" t="str">
        <f t="shared" ca="1" si="22"/>
        <v/>
      </c>
      <c r="X303" s="325" t="str">
        <f t="shared" ca="1" si="23"/>
        <v/>
      </c>
      <c r="Y303" s="324" t="str">
        <f t="shared" ca="1" si="24"/>
        <v/>
      </c>
    </row>
    <row r="304" spans="2:25" x14ac:dyDescent="0.2">
      <c r="B304" s="331">
        <v>266</v>
      </c>
      <c r="C304" s="334"/>
      <c r="D304" s="333"/>
      <c r="E304" s="294"/>
      <c r="F304" s="274"/>
      <c r="H304" s="273">
        <v>291</v>
      </c>
      <c r="I304" s="257" t="e">
        <f ca="1"/>
        <v>#N/A</v>
      </c>
      <c r="J304" s="257" t="e">
        <f ca="1"/>
        <v>#N/A</v>
      </c>
      <c r="K304" s="264" t="e">
        <f ca="1"/>
        <v>#N/A</v>
      </c>
      <c r="L304" s="264" t="e">
        <f ca="1"/>
        <v>#N/A</v>
      </c>
      <c r="M304" s="264" t="e">
        <f ca="1"/>
        <v>#N/A</v>
      </c>
      <c r="N304" s="265" t="e">
        <f ca="1"/>
        <v>#N/A</v>
      </c>
      <c r="P304" s="319" t="str">
        <f t="array" aca="1" ref="P304:T304" ca="1">IF(AND($Q$34,B306&lt;=$C$17,C306&lt;&gt;""),TRANSPOSE(INDEX(cds(C306,$C$6,$C$29,,$C$13,$C$14,,,,,TRUE,TRUE,FALSE,,"1m"),0,1)),"")</f>
        <v/>
      </c>
      <c r="Q304" s="320" t="str">
        <f ca="1"/>
        <v/>
      </c>
      <c r="R304" s="320" t="str">
        <f ca="1"/>
        <v/>
      </c>
      <c r="S304" s="321" t="str">
        <f ca="1"/>
        <v/>
      </c>
      <c r="T304" s="322" t="str">
        <f ca="1"/>
        <v/>
      </c>
      <c r="U304" s="323" t="str">
        <f t="shared" ca="1" si="20"/>
        <v/>
      </c>
      <c r="V304" s="324" t="str">
        <f t="shared" ca="1" si="21"/>
        <v/>
      </c>
      <c r="W304" s="323" t="str">
        <f t="shared" ca="1" si="22"/>
        <v/>
      </c>
      <c r="X304" s="325" t="str">
        <f t="shared" ca="1" si="23"/>
        <v/>
      </c>
      <c r="Y304" s="324" t="str">
        <f t="shared" ca="1" si="24"/>
        <v/>
      </c>
    </row>
    <row r="305" spans="2:25" x14ac:dyDescent="0.2">
      <c r="B305" s="331">
        <v>267</v>
      </c>
      <c r="C305" s="334"/>
      <c r="D305" s="333"/>
      <c r="E305" s="294"/>
      <c r="F305" s="274"/>
      <c r="H305" s="273">
        <v>292</v>
      </c>
      <c r="I305" s="257" t="e">
        <f ca="1"/>
        <v>#N/A</v>
      </c>
      <c r="J305" s="257" t="e">
        <f ca="1"/>
        <v>#N/A</v>
      </c>
      <c r="K305" s="264" t="e">
        <f ca="1"/>
        <v>#N/A</v>
      </c>
      <c r="L305" s="264" t="e">
        <f ca="1"/>
        <v>#N/A</v>
      </c>
      <c r="M305" s="264" t="e">
        <f ca="1"/>
        <v>#N/A</v>
      </c>
      <c r="N305" s="265" t="e">
        <f ca="1"/>
        <v>#N/A</v>
      </c>
      <c r="P305" s="319" t="str">
        <f t="array" aca="1" ref="P305:T305" ca="1">IF(AND($Q$34,B307&lt;=$C$17,C307&lt;&gt;""),TRANSPOSE(INDEX(cds(C307,$C$6,$C$29,,$C$13,$C$14,,,,,TRUE,TRUE,FALSE,,"1m"),0,1)),"")</f>
        <v/>
      </c>
      <c r="Q305" s="320" t="str">
        <f ca="1"/>
        <v/>
      </c>
      <c r="R305" s="320" t="str">
        <f ca="1"/>
        <v/>
      </c>
      <c r="S305" s="321" t="str">
        <f ca="1"/>
        <v/>
      </c>
      <c r="T305" s="322" t="str">
        <f ca="1"/>
        <v/>
      </c>
      <c r="U305" s="323" t="str">
        <f t="shared" ca="1" si="20"/>
        <v/>
      </c>
      <c r="V305" s="324" t="str">
        <f t="shared" ca="1" si="21"/>
        <v/>
      </c>
      <c r="W305" s="323" t="str">
        <f t="shared" ca="1" si="22"/>
        <v/>
      </c>
      <c r="X305" s="325" t="str">
        <f t="shared" ca="1" si="23"/>
        <v/>
      </c>
      <c r="Y305" s="324" t="str">
        <f t="shared" ca="1" si="24"/>
        <v/>
      </c>
    </row>
    <row r="306" spans="2:25" x14ac:dyDescent="0.2">
      <c r="B306" s="331">
        <v>268</v>
      </c>
      <c r="C306" s="334"/>
      <c r="D306" s="333"/>
      <c r="E306" s="294"/>
      <c r="F306" s="274"/>
      <c r="H306" s="273">
        <v>293</v>
      </c>
      <c r="I306" s="257" t="e">
        <f ca="1"/>
        <v>#N/A</v>
      </c>
      <c r="J306" s="257" t="e">
        <f ca="1"/>
        <v>#N/A</v>
      </c>
      <c r="K306" s="264" t="e">
        <f ca="1"/>
        <v>#N/A</v>
      </c>
      <c r="L306" s="264" t="e">
        <f ca="1"/>
        <v>#N/A</v>
      </c>
      <c r="M306" s="264" t="e">
        <f ca="1"/>
        <v>#N/A</v>
      </c>
      <c r="N306" s="265" t="e">
        <f ca="1"/>
        <v>#N/A</v>
      </c>
      <c r="P306" s="319" t="str">
        <f t="array" aca="1" ref="P306:T306" ca="1">IF(AND($Q$34,B308&lt;=$C$17,C308&lt;&gt;""),TRANSPOSE(INDEX(cds(C308,$C$6,$C$29,,$C$13,$C$14,,,,,TRUE,TRUE,FALSE,,"1m"),0,1)),"")</f>
        <v/>
      </c>
      <c r="Q306" s="320" t="str">
        <f ca="1"/>
        <v/>
      </c>
      <c r="R306" s="320" t="str">
        <f ca="1"/>
        <v/>
      </c>
      <c r="S306" s="321" t="str">
        <f ca="1"/>
        <v/>
      </c>
      <c r="T306" s="322" t="str">
        <f ca="1"/>
        <v/>
      </c>
      <c r="U306" s="323" t="str">
        <f t="shared" ca="1" si="20"/>
        <v/>
      </c>
      <c r="V306" s="324" t="str">
        <f t="shared" ca="1" si="21"/>
        <v/>
      </c>
      <c r="W306" s="323" t="str">
        <f t="shared" ca="1" si="22"/>
        <v/>
      </c>
      <c r="X306" s="325" t="str">
        <f t="shared" ca="1" si="23"/>
        <v/>
      </c>
      <c r="Y306" s="324" t="str">
        <f t="shared" ca="1" si="24"/>
        <v/>
      </c>
    </row>
    <row r="307" spans="2:25" x14ac:dyDescent="0.2">
      <c r="B307" s="331">
        <v>269</v>
      </c>
      <c r="C307" s="334"/>
      <c r="D307" s="333"/>
      <c r="E307" s="294"/>
      <c r="F307" s="274"/>
      <c r="H307" s="273">
        <v>294</v>
      </c>
      <c r="I307" s="257" t="e">
        <f ca="1"/>
        <v>#N/A</v>
      </c>
      <c r="J307" s="257" t="e">
        <f ca="1"/>
        <v>#N/A</v>
      </c>
      <c r="K307" s="264" t="e">
        <f ca="1"/>
        <v>#N/A</v>
      </c>
      <c r="L307" s="264" t="e">
        <f ca="1"/>
        <v>#N/A</v>
      </c>
      <c r="M307" s="264" t="e">
        <f ca="1"/>
        <v>#N/A</v>
      </c>
      <c r="N307" s="265" t="e">
        <f ca="1"/>
        <v>#N/A</v>
      </c>
      <c r="P307" s="319" t="str">
        <f t="array" aca="1" ref="P307:T307" ca="1">IF(AND($Q$34,B309&lt;=$C$17,C309&lt;&gt;""),TRANSPOSE(INDEX(cds(C309,$C$6,$C$29,,$C$13,$C$14,,,,,TRUE,TRUE,FALSE,,"1m"),0,1)),"")</f>
        <v/>
      </c>
      <c r="Q307" s="320" t="str">
        <f ca="1"/>
        <v/>
      </c>
      <c r="R307" s="320" t="str">
        <f ca="1"/>
        <v/>
      </c>
      <c r="S307" s="321" t="str">
        <f ca="1"/>
        <v/>
      </c>
      <c r="T307" s="322" t="str">
        <f ca="1"/>
        <v/>
      </c>
      <c r="U307" s="323" t="str">
        <f t="shared" ca="1" si="20"/>
        <v/>
      </c>
      <c r="V307" s="324" t="str">
        <f t="shared" ca="1" si="21"/>
        <v/>
      </c>
      <c r="W307" s="323" t="str">
        <f t="shared" ca="1" si="22"/>
        <v/>
      </c>
      <c r="X307" s="325" t="str">
        <f t="shared" ca="1" si="23"/>
        <v/>
      </c>
      <c r="Y307" s="324" t="str">
        <f t="shared" ca="1" si="24"/>
        <v/>
      </c>
    </row>
    <row r="308" spans="2:25" x14ac:dyDescent="0.2">
      <c r="B308" s="331">
        <v>270</v>
      </c>
      <c r="C308" s="334"/>
      <c r="D308" s="333"/>
      <c r="E308" s="294"/>
      <c r="F308" s="274"/>
      <c r="H308" s="273">
        <v>295</v>
      </c>
      <c r="I308" s="257" t="e">
        <f ca="1"/>
        <v>#N/A</v>
      </c>
      <c r="J308" s="257" t="e">
        <f ca="1"/>
        <v>#N/A</v>
      </c>
      <c r="K308" s="264" t="e">
        <f ca="1"/>
        <v>#N/A</v>
      </c>
      <c r="L308" s="264" t="e">
        <f ca="1"/>
        <v>#N/A</v>
      </c>
      <c r="M308" s="264" t="e">
        <f ca="1"/>
        <v>#N/A</v>
      </c>
      <c r="N308" s="265" t="e">
        <f ca="1"/>
        <v>#N/A</v>
      </c>
      <c r="P308" s="319" t="str">
        <f t="array" aca="1" ref="P308:T308" ca="1">IF(AND($Q$34,B310&lt;=$C$17,C310&lt;&gt;""),TRANSPOSE(INDEX(cds(C310,$C$6,$C$29,,$C$13,$C$14,,,,,TRUE,TRUE,FALSE,,"1m"),0,1)),"")</f>
        <v/>
      </c>
      <c r="Q308" s="320" t="str">
        <f ca="1"/>
        <v/>
      </c>
      <c r="R308" s="320" t="str">
        <f ca="1"/>
        <v/>
      </c>
      <c r="S308" s="321" t="str">
        <f ca="1"/>
        <v/>
      </c>
      <c r="T308" s="322" t="str">
        <f ca="1"/>
        <v/>
      </c>
      <c r="U308" s="323" t="str">
        <f t="shared" ca="1" si="20"/>
        <v/>
      </c>
      <c r="V308" s="324" t="str">
        <f t="shared" ca="1" si="21"/>
        <v/>
      </c>
      <c r="W308" s="323" t="str">
        <f t="shared" ca="1" si="22"/>
        <v/>
      </c>
      <c r="X308" s="325" t="str">
        <f t="shared" ca="1" si="23"/>
        <v/>
      </c>
      <c r="Y308" s="324" t="str">
        <f t="shared" ca="1" si="24"/>
        <v/>
      </c>
    </row>
    <row r="309" spans="2:25" x14ac:dyDescent="0.2">
      <c r="B309" s="331">
        <v>271</v>
      </c>
      <c r="C309" s="334"/>
      <c r="D309" s="333"/>
      <c r="E309" s="294"/>
      <c r="F309" s="274"/>
      <c r="H309" s="273">
        <v>296</v>
      </c>
      <c r="I309" s="257" t="e">
        <f ca="1"/>
        <v>#N/A</v>
      </c>
      <c r="J309" s="257" t="e">
        <f ca="1"/>
        <v>#N/A</v>
      </c>
      <c r="K309" s="264" t="e">
        <f ca="1"/>
        <v>#N/A</v>
      </c>
      <c r="L309" s="264" t="e">
        <f ca="1"/>
        <v>#N/A</v>
      </c>
      <c r="M309" s="264" t="e">
        <f ca="1"/>
        <v>#N/A</v>
      </c>
      <c r="N309" s="265" t="e">
        <f ca="1"/>
        <v>#N/A</v>
      </c>
      <c r="P309" s="319" t="str">
        <f t="array" aca="1" ref="P309:T309" ca="1">IF(AND($Q$34,B311&lt;=$C$17,C311&lt;&gt;""),TRANSPOSE(INDEX(cds(C311,$C$6,$C$29,,$C$13,$C$14,,,,,TRUE,TRUE,FALSE,,"1m"),0,1)),"")</f>
        <v/>
      </c>
      <c r="Q309" s="320" t="str">
        <f ca="1"/>
        <v/>
      </c>
      <c r="R309" s="320" t="str">
        <f ca="1"/>
        <v/>
      </c>
      <c r="S309" s="321" t="str">
        <f ca="1"/>
        <v/>
      </c>
      <c r="T309" s="322" t="str">
        <f ca="1"/>
        <v/>
      </c>
      <c r="U309" s="323" t="str">
        <f t="shared" ca="1" si="20"/>
        <v/>
      </c>
      <c r="V309" s="324" t="str">
        <f t="shared" ca="1" si="21"/>
        <v/>
      </c>
      <c r="W309" s="323" t="str">
        <f t="shared" ca="1" si="22"/>
        <v/>
      </c>
      <c r="X309" s="325" t="str">
        <f t="shared" ca="1" si="23"/>
        <v/>
      </c>
      <c r="Y309" s="324" t="str">
        <f t="shared" ca="1" si="24"/>
        <v/>
      </c>
    </row>
    <row r="310" spans="2:25" x14ac:dyDescent="0.2">
      <c r="B310" s="331">
        <v>272</v>
      </c>
      <c r="C310" s="334"/>
      <c r="D310" s="333"/>
      <c r="E310" s="294"/>
      <c r="F310" s="274"/>
      <c r="H310" s="273">
        <v>297</v>
      </c>
      <c r="I310" s="257" t="e">
        <f ca="1"/>
        <v>#N/A</v>
      </c>
      <c r="J310" s="257" t="e">
        <f ca="1"/>
        <v>#N/A</v>
      </c>
      <c r="K310" s="264" t="e">
        <f ca="1"/>
        <v>#N/A</v>
      </c>
      <c r="L310" s="264" t="e">
        <f ca="1"/>
        <v>#N/A</v>
      </c>
      <c r="M310" s="264" t="e">
        <f ca="1"/>
        <v>#N/A</v>
      </c>
      <c r="N310" s="265" t="e">
        <f ca="1"/>
        <v>#N/A</v>
      </c>
      <c r="P310" s="319" t="str">
        <f t="array" aca="1" ref="P310:T310" ca="1">IF(AND($Q$34,B312&lt;=$C$17,C312&lt;&gt;""),TRANSPOSE(INDEX(cds(C312,$C$6,$C$29,,$C$13,$C$14,,,,,TRUE,TRUE,FALSE,,"1m"),0,1)),"")</f>
        <v/>
      </c>
      <c r="Q310" s="320" t="str">
        <f ca="1"/>
        <v/>
      </c>
      <c r="R310" s="320" t="str">
        <f ca="1"/>
        <v/>
      </c>
      <c r="S310" s="321" t="str">
        <f ca="1"/>
        <v/>
      </c>
      <c r="T310" s="322" t="str">
        <f ca="1"/>
        <v/>
      </c>
      <c r="U310" s="323" t="str">
        <f t="shared" ca="1" si="20"/>
        <v/>
      </c>
      <c r="V310" s="324" t="str">
        <f t="shared" ca="1" si="21"/>
        <v/>
      </c>
      <c r="W310" s="323" t="str">
        <f t="shared" ca="1" si="22"/>
        <v/>
      </c>
      <c r="X310" s="325" t="str">
        <f t="shared" ca="1" si="23"/>
        <v/>
      </c>
      <c r="Y310" s="324" t="str">
        <f t="shared" ca="1" si="24"/>
        <v/>
      </c>
    </row>
    <row r="311" spans="2:25" x14ac:dyDescent="0.2">
      <c r="B311" s="331">
        <v>273</v>
      </c>
      <c r="C311" s="334"/>
      <c r="D311" s="333"/>
      <c r="E311" s="294"/>
      <c r="F311" s="274"/>
      <c r="H311" s="273">
        <v>298</v>
      </c>
      <c r="I311" s="257" t="e">
        <f ca="1"/>
        <v>#N/A</v>
      </c>
      <c r="J311" s="257" t="e">
        <f ca="1"/>
        <v>#N/A</v>
      </c>
      <c r="K311" s="264" t="e">
        <f ca="1"/>
        <v>#N/A</v>
      </c>
      <c r="L311" s="264" t="e">
        <f ca="1"/>
        <v>#N/A</v>
      </c>
      <c r="M311" s="264" t="e">
        <f ca="1"/>
        <v>#N/A</v>
      </c>
      <c r="N311" s="265" t="e">
        <f ca="1"/>
        <v>#N/A</v>
      </c>
      <c r="P311" s="319" t="str">
        <f t="array" aca="1" ref="P311:T311" ca="1">IF(AND($Q$34,B313&lt;=$C$17,C313&lt;&gt;""),TRANSPOSE(INDEX(cds(C313,$C$6,$C$29,,$C$13,$C$14,,,,,TRUE,TRUE,FALSE,,"1m"),0,1)),"")</f>
        <v/>
      </c>
      <c r="Q311" s="320" t="str">
        <f ca="1"/>
        <v/>
      </c>
      <c r="R311" s="320" t="str">
        <f ca="1"/>
        <v/>
      </c>
      <c r="S311" s="321" t="str">
        <f ca="1"/>
        <v/>
      </c>
      <c r="T311" s="322" t="str">
        <f ca="1"/>
        <v/>
      </c>
      <c r="U311" s="323" t="str">
        <f t="shared" ca="1" si="20"/>
        <v/>
      </c>
      <c r="V311" s="324" t="str">
        <f t="shared" ca="1" si="21"/>
        <v/>
      </c>
      <c r="W311" s="323" t="str">
        <f t="shared" ca="1" si="22"/>
        <v/>
      </c>
      <c r="X311" s="325" t="str">
        <f t="shared" ca="1" si="23"/>
        <v/>
      </c>
      <c r="Y311" s="324" t="str">
        <f t="shared" ca="1" si="24"/>
        <v/>
      </c>
    </row>
    <row r="312" spans="2:25" x14ac:dyDescent="0.2">
      <c r="B312" s="331">
        <v>274</v>
      </c>
      <c r="C312" s="334"/>
      <c r="D312" s="333"/>
      <c r="E312" s="294"/>
      <c r="F312" s="274"/>
      <c r="H312" s="273">
        <v>299</v>
      </c>
      <c r="I312" s="257" t="e">
        <f ca="1"/>
        <v>#N/A</v>
      </c>
      <c r="J312" s="257" t="e">
        <f ca="1"/>
        <v>#N/A</v>
      </c>
      <c r="K312" s="264" t="e">
        <f ca="1"/>
        <v>#N/A</v>
      </c>
      <c r="L312" s="264" t="e">
        <f ca="1"/>
        <v>#N/A</v>
      </c>
      <c r="M312" s="264" t="e">
        <f ca="1"/>
        <v>#N/A</v>
      </c>
      <c r="N312" s="265" t="e">
        <f ca="1"/>
        <v>#N/A</v>
      </c>
      <c r="P312" s="319" t="str">
        <f t="array" aca="1" ref="P312:T312" ca="1">IF(AND($Q$34,B314&lt;=$C$17,C314&lt;&gt;""),TRANSPOSE(INDEX(cds(C314,$C$6,$C$29,,$C$13,$C$14,,,,,TRUE,TRUE,FALSE,,"1m"),0,1)),"")</f>
        <v/>
      </c>
      <c r="Q312" s="320" t="str">
        <f ca="1"/>
        <v/>
      </c>
      <c r="R312" s="320" t="str">
        <f ca="1"/>
        <v/>
      </c>
      <c r="S312" s="321" t="str">
        <f ca="1"/>
        <v/>
      </c>
      <c r="T312" s="322" t="str">
        <f ca="1"/>
        <v/>
      </c>
      <c r="U312" s="323" t="str">
        <f t="shared" ca="1" si="20"/>
        <v/>
      </c>
      <c r="V312" s="324" t="str">
        <f t="shared" ca="1" si="21"/>
        <v/>
      </c>
      <c r="W312" s="323" t="str">
        <f t="shared" ca="1" si="22"/>
        <v/>
      </c>
      <c r="X312" s="325" t="str">
        <f t="shared" ca="1" si="23"/>
        <v/>
      </c>
      <c r="Y312" s="324" t="str">
        <f t="shared" ca="1" si="24"/>
        <v/>
      </c>
    </row>
    <row r="313" spans="2:25" ht="10.8" thickBot="1" x14ac:dyDescent="0.25">
      <c r="B313" s="331">
        <v>275</v>
      </c>
      <c r="C313" s="334"/>
      <c r="D313" s="333"/>
      <c r="E313" s="294"/>
      <c r="F313" s="274"/>
      <c r="H313" s="335">
        <v>300</v>
      </c>
      <c r="I313" s="267" t="e">
        <f ca="1"/>
        <v>#N/A</v>
      </c>
      <c r="J313" s="267" t="e">
        <f ca="1"/>
        <v>#N/A</v>
      </c>
      <c r="K313" s="268" t="e">
        <f ca="1"/>
        <v>#N/A</v>
      </c>
      <c r="L313" s="268" t="e">
        <f ca="1"/>
        <v>#N/A</v>
      </c>
      <c r="M313" s="268" t="e">
        <f ca="1"/>
        <v>#N/A</v>
      </c>
      <c r="N313" s="269" t="e">
        <f ca="1"/>
        <v>#N/A</v>
      </c>
      <c r="P313" s="319" t="str">
        <f t="array" aca="1" ref="P313:T313" ca="1">IF(AND($Q$34,B315&lt;=$C$17,C315&lt;&gt;""),TRANSPOSE(INDEX(cds(C315,$C$6,$C$29,,$C$13,$C$14,,,,,TRUE,TRUE,FALSE,,"1m"),0,1)),"")</f>
        <v/>
      </c>
      <c r="Q313" s="320" t="str">
        <f ca="1"/>
        <v/>
      </c>
      <c r="R313" s="320" t="str">
        <f ca="1"/>
        <v/>
      </c>
      <c r="S313" s="321" t="str">
        <f ca="1"/>
        <v/>
      </c>
      <c r="T313" s="322" t="str">
        <f ca="1"/>
        <v/>
      </c>
      <c r="U313" s="323" t="str">
        <f t="shared" ca="1" si="20"/>
        <v/>
      </c>
      <c r="V313" s="324" t="str">
        <f t="shared" ca="1" si="21"/>
        <v/>
      </c>
      <c r="W313" s="323" t="str">
        <f t="shared" ca="1" si="22"/>
        <v/>
      </c>
      <c r="X313" s="325" t="str">
        <f t="shared" ca="1" si="23"/>
        <v/>
      </c>
      <c r="Y313" s="324" t="str">
        <f t="shared" ca="1" si="24"/>
        <v/>
      </c>
    </row>
    <row r="314" spans="2:25" x14ac:dyDescent="0.2">
      <c r="B314" s="331">
        <v>276</v>
      </c>
      <c r="C314" s="334"/>
      <c r="D314" s="333"/>
      <c r="E314" s="294"/>
      <c r="F314" s="274"/>
      <c r="P314" s="319" t="str">
        <f t="array" aca="1" ref="P314:T314" ca="1">IF(AND($Q$34,B316&lt;=$C$17,C316&lt;&gt;""),TRANSPOSE(INDEX(cds(C316,$C$6,$C$29,,$C$13,$C$14,,,,,TRUE,TRUE,FALSE,,"1m"),0,1)),"")</f>
        <v/>
      </c>
      <c r="Q314" s="320" t="str">
        <f ca="1"/>
        <v/>
      </c>
      <c r="R314" s="320" t="str">
        <f ca="1"/>
        <v/>
      </c>
      <c r="S314" s="321" t="str">
        <f ca="1"/>
        <v/>
      </c>
      <c r="T314" s="322" t="str">
        <f ca="1"/>
        <v/>
      </c>
      <c r="U314" s="323" t="str">
        <f t="shared" ca="1" si="20"/>
        <v/>
      </c>
      <c r="V314" s="324" t="str">
        <f t="shared" ca="1" si="21"/>
        <v/>
      </c>
      <c r="W314" s="323" t="str">
        <f t="shared" ca="1" si="22"/>
        <v/>
      </c>
      <c r="X314" s="325" t="str">
        <f t="shared" ca="1" si="23"/>
        <v/>
      </c>
      <c r="Y314" s="324" t="str">
        <f t="shared" ca="1" si="24"/>
        <v/>
      </c>
    </row>
    <row r="315" spans="2:25" x14ac:dyDescent="0.2">
      <c r="B315" s="331">
        <v>277</v>
      </c>
      <c r="C315" s="334"/>
      <c r="D315" s="333"/>
      <c r="E315" s="294"/>
      <c r="F315" s="274"/>
      <c r="P315" s="319" t="str">
        <f t="array" aca="1" ref="P315:T315" ca="1">IF(AND($Q$34,B317&lt;=$C$17,C317&lt;&gt;""),TRANSPOSE(INDEX(cds(C317,$C$6,$C$29,,$C$13,$C$14,,,,,TRUE,TRUE,FALSE,,"1m"),0,1)),"")</f>
        <v/>
      </c>
      <c r="Q315" s="320" t="str">
        <f ca="1"/>
        <v/>
      </c>
      <c r="R315" s="320" t="str">
        <f ca="1"/>
        <v/>
      </c>
      <c r="S315" s="321" t="str">
        <f ca="1"/>
        <v/>
      </c>
      <c r="T315" s="322" t="str">
        <f ca="1"/>
        <v/>
      </c>
      <c r="U315" s="323" t="str">
        <f t="shared" ca="1" si="20"/>
        <v/>
      </c>
      <c r="V315" s="324" t="str">
        <f t="shared" ca="1" si="21"/>
        <v/>
      </c>
      <c r="W315" s="323" t="str">
        <f t="shared" ca="1" si="22"/>
        <v/>
      </c>
      <c r="X315" s="325" t="str">
        <f t="shared" ca="1" si="23"/>
        <v/>
      </c>
      <c r="Y315" s="324" t="str">
        <f t="shared" ca="1" si="24"/>
        <v/>
      </c>
    </row>
    <row r="316" spans="2:25" x14ac:dyDescent="0.2">
      <c r="B316" s="331">
        <v>278</v>
      </c>
      <c r="C316" s="334"/>
      <c r="D316" s="333"/>
      <c r="E316" s="294"/>
      <c r="F316" s="274"/>
      <c r="P316" s="319" t="str">
        <f t="array" aca="1" ref="P316:T316" ca="1">IF(AND($Q$34,B318&lt;=$C$17,C318&lt;&gt;""),TRANSPOSE(INDEX(cds(C318,$C$6,$C$29,,$C$13,$C$14,,,,,TRUE,TRUE,FALSE,,"1m"),0,1)),"")</f>
        <v/>
      </c>
      <c r="Q316" s="320" t="str">
        <f ca="1"/>
        <v/>
      </c>
      <c r="R316" s="320" t="str">
        <f ca="1"/>
        <v/>
      </c>
      <c r="S316" s="321" t="str">
        <f ca="1"/>
        <v/>
      </c>
      <c r="T316" s="322" t="str">
        <f ca="1"/>
        <v/>
      </c>
      <c r="U316" s="323" t="str">
        <f t="shared" ca="1" si="20"/>
        <v/>
      </c>
      <c r="V316" s="324" t="str">
        <f t="shared" ca="1" si="21"/>
        <v/>
      </c>
      <c r="W316" s="323" t="str">
        <f t="shared" ca="1" si="22"/>
        <v/>
      </c>
      <c r="X316" s="325" t="str">
        <f t="shared" ca="1" si="23"/>
        <v/>
      </c>
      <c r="Y316" s="324" t="str">
        <f t="shared" ca="1" si="24"/>
        <v/>
      </c>
    </row>
    <row r="317" spans="2:25" x14ac:dyDescent="0.2">
      <c r="B317" s="331">
        <v>279</v>
      </c>
      <c r="C317" s="334"/>
      <c r="D317" s="333"/>
      <c r="E317" s="294"/>
      <c r="F317" s="274"/>
      <c r="P317" s="319" t="str">
        <f t="array" aca="1" ref="P317:T317" ca="1">IF(AND($Q$34,B319&lt;=$C$17,C319&lt;&gt;""),TRANSPOSE(INDEX(cds(C319,$C$6,$C$29,,$C$13,$C$14,,,,,TRUE,TRUE,FALSE,,"1m"),0,1)),"")</f>
        <v/>
      </c>
      <c r="Q317" s="320" t="str">
        <f ca="1"/>
        <v/>
      </c>
      <c r="R317" s="320" t="str">
        <f ca="1"/>
        <v/>
      </c>
      <c r="S317" s="321" t="str">
        <f ca="1"/>
        <v/>
      </c>
      <c r="T317" s="322" t="str">
        <f ca="1"/>
        <v/>
      </c>
      <c r="U317" s="323" t="str">
        <f t="shared" ca="1" si="20"/>
        <v/>
      </c>
      <c r="V317" s="324" t="str">
        <f t="shared" ca="1" si="21"/>
        <v/>
      </c>
      <c r="W317" s="323" t="str">
        <f t="shared" ca="1" si="22"/>
        <v/>
      </c>
      <c r="X317" s="325" t="str">
        <f t="shared" ca="1" si="23"/>
        <v/>
      </c>
      <c r="Y317" s="324" t="str">
        <f t="shared" ca="1" si="24"/>
        <v/>
      </c>
    </row>
    <row r="318" spans="2:25" x14ac:dyDescent="0.2">
      <c r="B318" s="331">
        <v>280</v>
      </c>
      <c r="C318" s="334"/>
      <c r="D318" s="333"/>
      <c r="E318" s="294"/>
      <c r="F318" s="274"/>
      <c r="P318" s="319" t="str">
        <f t="array" aca="1" ref="P318:T318" ca="1">IF(AND($Q$34,B320&lt;=$C$17,C320&lt;&gt;""),TRANSPOSE(INDEX(cds(C320,$C$6,$C$29,,$C$13,$C$14,,,,,TRUE,TRUE,FALSE,,"1m"),0,1)),"")</f>
        <v/>
      </c>
      <c r="Q318" s="320" t="str">
        <f ca="1"/>
        <v/>
      </c>
      <c r="R318" s="320" t="str">
        <f ca="1"/>
        <v/>
      </c>
      <c r="S318" s="321" t="str">
        <f ca="1"/>
        <v/>
      </c>
      <c r="T318" s="322" t="str">
        <f ca="1"/>
        <v/>
      </c>
      <c r="U318" s="323" t="str">
        <f t="shared" ca="1" si="20"/>
        <v/>
      </c>
      <c r="V318" s="324" t="str">
        <f t="shared" ca="1" si="21"/>
        <v/>
      </c>
      <c r="W318" s="323" t="str">
        <f t="shared" ca="1" si="22"/>
        <v/>
      </c>
      <c r="X318" s="325" t="str">
        <f t="shared" ca="1" si="23"/>
        <v/>
      </c>
      <c r="Y318" s="324" t="str">
        <f t="shared" ca="1" si="24"/>
        <v/>
      </c>
    </row>
    <row r="319" spans="2:25" x14ac:dyDescent="0.2">
      <c r="B319" s="331">
        <v>281</v>
      </c>
      <c r="C319" s="334"/>
      <c r="D319" s="333"/>
      <c r="E319" s="294"/>
      <c r="F319" s="274"/>
      <c r="P319" s="319" t="str">
        <f t="array" aca="1" ref="P319:T319" ca="1">IF(AND($Q$34,B321&lt;=$C$17,C321&lt;&gt;""),TRANSPOSE(INDEX(cds(C321,$C$6,$C$29,,$C$13,$C$14,,,,,TRUE,TRUE,FALSE,,"1m"),0,1)),"")</f>
        <v/>
      </c>
      <c r="Q319" s="320" t="str">
        <f ca="1"/>
        <v/>
      </c>
      <c r="R319" s="320" t="str">
        <f ca="1"/>
        <v/>
      </c>
      <c r="S319" s="321" t="str">
        <f ca="1"/>
        <v/>
      </c>
      <c r="T319" s="322" t="str">
        <f ca="1"/>
        <v/>
      </c>
      <c r="U319" s="323" t="str">
        <f t="shared" ca="1" si="20"/>
        <v/>
      </c>
      <c r="V319" s="324" t="str">
        <f t="shared" ca="1" si="21"/>
        <v/>
      </c>
      <c r="W319" s="323" t="str">
        <f t="shared" ca="1" si="22"/>
        <v/>
      </c>
      <c r="X319" s="325" t="str">
        <f t="shared" ca="1" si="23"/>
        <v/>
      </c>
      <c r="Y319" s="324" t="str">
        <f t="shared" ca="1" si="24"/>
        <v/>
      </c>
    </row>
    <row r="320" spans="2:25" x14ac:dyDescent="0.2">
      <c r="B320" s="331">
        <v>282</v>
      </c>
      <c r="C320" s="334"/>
      <c r="D320" s="333"/>
      <c r="E320" s="294"/>
      <c r="F320" s="274"/>
      <c r="P320" s="319" t="str">
        <f t="array" aca="1" ref="P320:T320" ca="1">IF(AND($Q$34,B322&lt;=$C$17,C322&lt;&gt;""),TRANSPOSE(INDEX(cds(C322,$C$6,$C$29,,$C$13,$C$14,,,,,TRUE,TRUE,FALSE,,"1m"),0,1)),"")</f>
        <v/>
      </c>
      <c r="Q320" s="320" t="str">
        <f ca="1"/>
        <v/>
      </c>
      <c r="R320" s="320" t="str">
        <f ca="1"/>
        <v/>
      </c>
      <c r="S320" s="321" t="str">
        <f ca="1"/>
        <v/>
      </c>
      <c r="T320" s="322" t="str">
        <f ca="1"/>
        <v/>
      </c>
      <c r="U320" s="323" t="str">
        <f t="shared" ca="1" si="20"/>
        <v/>
      </c>
      <c r="V320" s="324" t="str">
        <f t="shared" ca="1" si="21"/>
        <v/>
      </c>
      <c r="W320" s="323" t="str">
        <f t="shared" ca="1" si="22"/>
        <v/>
      </c>
      <c r="X320" s="325" t="str">
        <f t="shared" ca="1" si="23"/>
        <v/>
      </c>
      <c r="Y320" s="324" t="str">
        <f t="shared" ca="1" si="24"/>
        <v/>
      </c>
    </row>
    <row r="321" spans="2:25" x14ac:dyDescent="0.2">
      <c r="B321" s="331">
        <v>283</v>
      </c>
      <c r="C321" s="334"/>
      <c r="D321" s="333"/>
      <c r="E321" s="294"/>
      <c r="F321" s="274"/>
      <c r="P321" s="319" t="str">
        <f t="array" aca="1" ref="P321:T321" ca="1">IF(AND($Q$34,B323&lt;=$C$17,C323&lt;&gt;""),TRANSPOSE(INDEX(cds(C323,$C$6,$C$29,,$C$13,$C$14,,,,,TRUE,TRUE,FALSE,,"1m"),0,1)),"")</f>
        <v/>
      </c>
      <c r="Q321" s="320" t="str">
        <f ca="1"/>
        <v/>
      </c>
      <c r="R321" s="320" t="str">
        <f ca="1"/>
        <v/>
      </c>
      <c r="S321" s="321" t="str">
        <f ca="1"/>
        <v/>
      </c>
      <c r="T321" s="322" t="str">
        <f ca="1"/>
        <v/>
      </c>
      <c r="U321" s="323" t="str">
        <f t="shared" ca="1" si="20"/>
        <v/>
      </c>
      <c r="V321" s="324" t="str">
        <f t="shared" ca="1" si="21"/>
        <v/>
      </c>
      <c r="W321" s="323" t="str">
        <f t="shared" ca="1" si="22"/>
        <v/>
      </c>
      <c r="X321" s="325" t="str">
        <f t="shared" ca="1" si="23"/>
        <v/>
      </c>
      <c r="Y321" s="324" t="str">
        <f t="shared" ca="1" si="24"/>
        <v/>
      </c>
    </row>
    <row r="322" spans="2:25" x14ac:dyDescent="0.2">
      <c r="B322" s="331">
        <v>284</v>
      </c>
      <c r="C322" s="334"/>
      <c r="D322" s="333"/>
      <c r="E322" s="294"/>
      <c r="F322" s="274"/>
      <c r="P322" s="319" t="str">
        <f t="array" aca="1" ref="P322:T322" ca="1">IF(AND($Q$34,B324&lt;=$C$17,C324&lt;&gt;""),TRANSPOSE(INDEX(cds(C324,$C$6,$C$29,,$C$13,$C$14,,,,,TRUE,TRUE,FALSE,,"1m"),0,1)),"")</f>
        <v/>
      </c>
      <c r="Q322" s="320" t="str">
        <f ca="1"/>
        <v/>
      </c>
      <c r="R322" s="320" t="str">
        <f ca="1"/>
        <v/>
      </c>
      <c r="S322" s="321" t="str">
        <f ca="1"/>
        <v/>
      </c>
      <c r="T322" s="322" t="str">
        <f ca="1"/>
        <v/>
      </c>
      <c r="U322" s="323" t="str">
        <f t="shared" ca="1" si="20"/>
        <v/>
      </c>
      <c r="V322" s="324" t="str">
        <f t="shared" ca="1" si="21"/>
        <v/>
      </c>
      <c r="W322" s="323" t="str">
        <f t="shared" ca="1" si="22"/>
        <v/>
      </c>
      <c r="X322" s="325" t="str">
        <f t="shared" ca="1" si="23"/>
        <v/>
      </c>
      <c r="Y322" s="324" t="str">
        <f t="shared" ca="1" si="24"/>
        <v/>
      </c>
    </row>
    <row r="323" spans="2:25" x14ac:dyDescent="0.2">
      <c r="B323" s="331">
        <v>285</v>
      </c>
      <c r="C323" s="334"/>
      <c r="D323" s="333"/>
      <c r="E323" s="294"/>
      <c r="F323" s="274"/>
      <c r="P323" s="319" t="str">
        <f t="array" aca="1" ref="P323:T323" ca="1">IF(AND($Q$34,B325&lt;=$C$17,C325&lt;&gt;""),TRANSPOSE(INDEX(cds(C325,$C$6,$C$29,,$C$13,$C$14,,,,,TRUE,TRUE,FALSE,,"1m"),0,1)),"")</f>
        <v/>
      </c>
      <c r="Q323" s="320" t="str">
        <f ca="1"/>
        <v/>
      </c>
      <c r="R323" s="320" t="str">
        <f ca="1"/>
        <v/>
      </c>
      <c r="S323" s="321" t="str">
        <f ca="1"/>
        <v/>
      </c>
      <c r="T323" s="322" t="str">
        <f ca="1"/>
        <v/>
      </c>
      <c r="U323" s="323" t="str">
        <f t="shared" ca="1" si="20"/>
        <v/>
      </c>
      <c r="V323" s="324" t="str">
        <f t="shared" ca="1" si="21"/>
        <v/>
      </c>
      <c r="W323" s="323" t="str">
        <f t="shared" ca="1" si="22"/>
        <v/>
      </c>
      <c r="X323" s="325" t="str">
        <f t="shared" ca="1" si="23"/>
        <v/>
      </c>
      <c r="Y323" s="324" t="str">
        <f t="shared" ca="1" si="24"/>
        <v/>
      </c>
    </row>
    <row r="324" spans="2:25" x14ac:dyDescent="0.2">
      <c r="B324" s="331">
        <v>286</v>
      </c>
      <c r="C324" s="334"/>
      <c r="D324" s="333"/>
      <c r="E324" s="294"/>
      <c r="F324" s="274"/>
      <c r="P324" s="319" t="str">
        <f t="array" aca="1" ref="P324:T324" ca="1">IF(AND($Q$34,B326&lt;=$C$17,C326&lt;&gt;""),TRANSPOSE(INDEX(cds(C326,$C$6,$C$29,,$C$13,$C$14,,,,,TRUE,TRUE,FALSE,,"1m"),0,1)),"")</f>
        <v/>
      </c>
      <c r="Q324" s="320" t="str">
        <f ca="1"/>
        <v/>
      </c>
      <c r="R324" s="320" t="str">
        <f ca="1"/>
        <v/>
      </c>
      <c r="S324" s="321" t="str">
        <f ca="1"/>
        <v/>
      </c>
      <c r="T324" s="322" t="str">
        <f ca="1"/>
        <v/>
      </c>
      <c r="U324" s="323" t="str">
        <f t="shared" ca="1" si="20"/>
        <v/>
      </c>
      <c r="V324" s="324" t="str">
        <f t="shared" ca="1" si="21"/>
        <v/>
      </c>
      <c r="W324" s="323" t="str">
        <f t="shared" ca="1" si="22"/>
        <v/>
      </c>
      <c r="X324" s="325" t="str">
        <f t="shared" ca="1" si="23"/>
        <v/>
      </c>
      <c r="Y324" s="324" t="str">
        <f t="shared" ca="1" si="24"/>
        <v/>
      </c>
    </row>
    <row r="325" spans="2:25" x14ac:dyDescent="0.2">
      <c r="B325" s="331">
        <v>287</v>
      </c>
      <c r="C325" s="334"/>
      <c r="D325" s="333"/>
      <c r="E325" s="294"/>
      <c r="F325" s="274"/>
      <c r="P325" s="319" t="str">
        <f t="array" aca="1" ref="P325:T325" ca="1">IF(AND($Q$34,B327&lt;=$C$17,C327&lt;&gt;""),TRANSPOSE(INDEX(cds(C327,$C$6,$C$29,,$C$13,$C$14,,,,,TRUE,TRUE,FALSE,,"1m"),0,1)),"")</f>
        <v/>
      </c>
      <c r="Q325" s="320" t="str">
        <f ca="1"/>
        <v/>
      </c>
      <c r="R325" s="320" t="str">
        <f ca="1"/>
        <v/>
      </c>
      <c r="S325" s="321" t="str">
        <f ca="1"/>
        <v/>
      </c>
      <c r="T325" s="322" t="str">
        <f ca="1"/>
        <v/>
      </c>
      <c r="U325" s="323" t="str">
        <f t="shared" ca="1" si="20"/>
        <v/>
      </c>
      <c r="V325" s="324" t="str">
        <f t="shared" ca="1" si="21"/>
        <v/>
      </c>
      <c r="W325" s="323" t="str">
        <f t="shared" ca="1" si="22"/>
        <v/>
      </c>
      <c r="X325" s="325" t="str">
        <f t="shared" ca="1" si="23"/>
        <v/>
      </c>
      <c r="Y325" s="324" t="str">
        <f t="shared" ca="1" si="24"/>
        <v/>
      </c>
    </row>
    <row r="326" spans="2:25" x14ac:dyDescent="0.2">
      <c r="B326" s="331">
        <v>288</v>
      </c>
      <c r="C326" s="334"/>
      <c r="D326" s="333"/>
      <c r="E326" s="294"/>
      <c r="F326" s="274"/>
      <c r="P326" s="319" t="str">
        <f t="array" aca="1" ref="P326:T326" ca="1">IF(AND($Q$34,B328&lt;=$C$17,C328&lt;&gt;""),TRANSPOSE(INDEX(cds(C328,$C$6,$C$29,,$C$13,$C$14,,,,,TRUE,TRUE,FALSE,,"1m"),0,1)),"")</f>
        <v/>
      </c>
      <c r="Q326" s="320" t="str">
        <f ca="1"/>
        <v/>
      </c>
      <c r="R326" s="320" t="str">
        <f ca="1"/>
        <v/>
      </c>
      <c r="S326" s="321" t="str">
        <f ca="1"/>
        <v/>
      </c>
      <c r="T326" s="322" t="str">
        <f ca="1"/>
        <v/>
      </c>
      <c r="U326" s="323" t="str">
        <f t="shared" ca="1" si="20"/>
        <v/>
      </c>
      <c r="V326" s="324" t="str">
        <f t="shared" ca="1" si="21"/>
        <v/>
      </c>
      <c r="W326" s="323" t="str">
        <f t="shared" ca="1" si="22"/>
        <v/>
      </c>
      <c r="X326" s="325" t="str">
        <f t="shared" ca="1" si="23"/>
        <v/>
      </c>
      <c r="Y326" s="324" t="str">
        <f t="shared" ca="1" si="24"/>
        <v/>
      </c>
    </row>
    <row r="327" spans="2:25" x14ac:dyDescent="0.2">
      <c r="B327" s="331">
        <v>289</v>
      </c>
      <c r="C327" s="334"/>
      <c r="D327" s="333"/>
      <c r="E327" s="294"/>
      <c r="F327" s="274"/>
      <c r="P327" s="319" t="str">
        <f t="array" aca="1" ref="P327:T327" ca="1">IF(AND($Q$34,B329&lt;=$C$17,C329&lt;&gt;""),TRANSPOSE(INDEX(cds(C329,$C$6,$C$29,,$C$13,$C$14,,,,,TRUE,TRUE,FALSE,,"1m"),0,1)),"")</f>
        <v/>
      </c>
      <c r="Q327" s="320" t="str">
        <f ca="1"/>
        <v/>
      </c>
      <c r="R327" s="320" t="str">
        <f ca="1"/>
        <v/>
      </c>
      <c r="S327" s="321" t="str">
        <f ca="1"/>
        <v/>
      </c>
      <c r="T327" s="322" t="str">
        <f ca="1"/>
        <v/>
      </c>
      <c r="U327" s="323" t="str">
        <f t="shared" ca="1" si="20"/>
        <v/>
      </c>
      <c r="V327" s="324" t="str">
        <f t="shared" ca="1" si="21"/>
        <v/>
      </c>
      <c r="W327" s="323" t="str">
        <f t="shared" ca="1" si="22"/>
        <v/>
      </c>
      <c r="X327" s="325" t="str">
        <f t="shared" ca="1" si="23"/>
        <v/>
      </c>
      <c r="Y327" s="324" t="str">
        <f t="shared" ca="1" si="24"/>
        <v/>
      </c>
    </row>
    <row r="328" spans="2:25" x14ac:dyDescent="0.2">
      <c r="B328" s="331">
        <v>290</v>
      </c>
      <c r="C328" s="334"/>
      <c r="D328" s="333"/>
      <c r="E328" s="294"/>
      <c r="F328" s="274"/>
      <c r="P328" s="319" t="str">
        <f t="array" aca="1" ref="P328:T328" ca="1">IF(AND($Q$34,B330&lt;=$C$17,C330&lt;&gt;""),TRANSPOSE(INDEX(cds(C330,$C$6,$C$29,,$C$13,$C$14,,,,,TRUE,TRUE,FALSE,,"1m"),0,1)),"")</f>
        <v/>
      </c>
      <c r="Q328" s="320" t="str">
        <f ca="1"/>
        <v/>
      </c>
      <c r="R328" s="320" t="str">
        <f ca="1"/>
        <v/>
      </c>
      <c r="S328" s="321" t="str">
        <f ca="1"/>
        <v/>
      </c>
      <c r="T328" s="322" t="str">
        <f ca="1"/>
        <v/>
      </c>
      <c r="U328" s="323" t="str">
        <f t="shared" ca="1" si="20"/>
        <v/>
      </c>
      <c r="V328" s="324" t="str">
        <f t="shared" ca="1" si="21"/>
        <v/>
      </c>
      <c r="W328" s="323" t="str">
        <f t="shared" ca="1" si="22"/>
        <v/>
      </c>
      <c r="X328" s="325" t="str">
        <f t="shared" ca="1" si="23"/>
        <v/>
      </c>
      <c r="Y328" s="324" t="str">
        <f t="shared" ca="1" si="24"/>
        <v/>
      </c>
    </row>
    <row r="329" spans="2:25" x14ac:dyDescent="0.2">
      <c r="B329" s="331">
        <v>291</v>
      </c>
      <c r="C329" s="334"/>
      <c r="D329" s="333"/>
      <c r="E329" s="294"/>
      <c r="F329" s="274"/>
      <c r="P329" s="319" t="str">
        <f t="array" aca="1" ref="P329:T329" ca="1">IF(AND($Q$34,B331&lt;=$C$17,C331&lt;&gt;""),TRANSPOSE(INDEX(cds(C331,$C$6,$C$29,,$C$13,$C$14,,,,,TRUE,TRUE,FALSE,,"1m"),0,1)),"")</f>
        <v/>
      </c>
      <c r="Q329" s="320" t="str">
        <f ca="1"/>
        <v/>
      </c>
      <c r="R329" s="320" t="str">
        <f ca="1"/>
        <v/>
      </c>
      <c r="S329" s="321" t="str">
        <f ca="1"/>
        <v/>
      </c>
      <c r="T329" s="322" t="str">
        <f ca="1"/>
        <v/>
      </c>
      <c r="U329" s="323" t="str">
        <f t="shared" ca="1" si="20"/>
        <v/>
      </c>
      <c r="V329" s="324" t="str">
        <f t="shared" ca="1" si="21"/>
        <v/>
      </c>
      <c r="W329" s="323" t="str">
        <f t="shared" ca="1" si="22"/>
        <v/>
      </c>
      <c r="X329" s="325" t="str">
        <f t="shared" ca="1" si="23"/>
        <v/>
      </c>
      <c r="Y329" s="324" t="str">
        <f t="shared" ca="1" si="24"/>
        <v/>
      </c>
    </row>
    <row r="330" spans="2:25" x14ac:dyDescent="0.2">
      <c r="B330" s="331">
        <v>292</v>
      </c>
      <c r="C330" s="334"/>
      <c r="D330" s="333"/>
      <c r="E330" s="294"/>
      <c r="F330" s="274"/>
      <c r="P330" s="319" t="str">
        <f t="array" aca="1" ref="P330:T330" ca="1">IF(AND($Q$34,B332&lt;=$C$17,C332&lt;&gt;""),TRANSPOSE(INDEX(cds(C332,$C$6,$C$29,,$C$13,$C$14,,,,,TRUE,TRUE,FALSE,,"1m"),0,1)),"")</f>
        <v/>
      </c>
      <c r="Q330" s="320" t="str">
        <f ca="1"/>
        <v/>
      </c>
      <c r="R330" s="320" t="str">
        <f ca="1"/>
        <v/>
      </c>
      <c r="S330" s="321" t="str">
        <f ca="1"/>
        <v/>
      </c>
      <c r="T330" s="322" t="str">
        <f ca="1"/>
        <v/>
      </c>
      <c r="U330" s="323" t="str">
        <f t="shared" ca="1" si="20"/>
        <v/>
      </c>
      <c r="V330" s="324" t="str">
        <f t="shared" ca="1" si="21"/>
        <v/>
      </c>
      <c r="W330" s="323" t="str">
        <f t="shared" ca="1" si="22"/>
        <v/>
      </c>
      <c r="X330" s="325" t="str">
        <f t="shared" ca="1" si="23"/>
        <v/>
      </c>
      <c r="Y330" s="324" t="str">
        <f t="shared" ca="1" si="24"/>
        <v/>
      </c>
    </row>
    <row r="331" spans="2:25" x14ac:dyDescent="0.2">
      <c r="B331" s="331">
        <v>293</v>
      </c>
      <c r="C331" s="334"/>
      <c r="D331" s="333"/>
      <c r="E331" s="294"/>
      <c r="F331" s="274"/>
      <c r="P331" s="319" t="str">
        <f t="array" aca="1" ref="P331:T331" ca="1">IF(AND($Q$34,B333&lt;=$C$17,C333&lt;&gt;""),TRANSPOSE(INDEX(cds(C333,$C$6,$C$29,,$C$13,$C$14,,,,,TRUE,TRUE,FALSE,,"1m"),0,1)),"")</f>
        <v/>
      </c>
      <c r="Q331" s="320" t="str">
        <f ca="1"/>
        <v/>
      </c>
      <c r="R331" s="320" t="str">
        <f ca="1"/>
        <v/>
      </c>
      <c r="S331" s="321" t="str">
        <f ca="1"/>
        <v/>
      </c>
      <c r="T331" s="322" t="str">
        <f ca="1"/>
        <v/>
      </c>
      <c r="U331" s="323" t="str">
        <f t="shared" ca="1" si="20"/>
        <v/>
      </c>
      <c r="V331" s="324" t="str">
        <f t="shared" ca="1" si="21"/>
        <v/>
      </c>
      <c r="W331" s="323" t="str">
        <f t="shared" ca="1" si="22"/>
        <v/>
      </c>
      <c r="X331" s="325" t="str">
        <f t="shared" ca="1" si="23"/>
        <v/>
      </c>
      <c r="Y331" s="324" t="str">
        <f t="shared" ca="1" si="24"/>
        <v/>
      </c>
    </row>
    <row r="332" spans="2:25" x14ac:dyDescent="0.2">
      <c r="B332" s="331">
        <v>294</v>
      </c>
      <c r="C332" s="334"/>
      <c r="D332" s="333"/>
      <c r="E332" s="294"/>
      <c r="F332" s="274"/>
      <c r="P332" s="319" t="str">
        <f t="array" aca="1" ref="P332:T332" ca="1">IF(AND($Q$34,B334&lt;=$C$17,C334&lt;&gt;""),TRANSPOSE(INDEX(cds(C334,$C$6,$C$29,,$C$13,$C$14,,,,,TRUE,TRUE,FALSE,,"1m"),0,1)),"")</f>
        <v/>
      </c>
      <c r="Q332" s="320" t="str">
        <f ca="1"/>
        <v/>
      </c>
      <c r="R332" s="320" t="str">
        <f ca="1"/>
        <v/>
      </c>
      <c r="S332" s="321" t="str">
        <f ca="1"/>
        <v/>
      </c>
      <c r="T332" s="322" t="str">
        <f ca="1"/>
        <v/>
      </c>
      <c r="U332" s="323" t="str">
        <f t="shared" ca="1" si="20"/>
        <v/>
      </c>
      <c r="V332" s="324" t="str">
        <f t="shared" ca="1" si="21"/>
        <v/>
      </c>
      <c r="W332" s="323" t="str">
        <f t="shared" ca="1" si="22"/>
        <v/>
      </c>
      <c r="X332" s="325" t="str">
        <f t="shared" ca="1" si="23"/>
        <v/>
      </c>
      <c r="Y332" s="324" t="str">
        <f t="shared" ca="1" si="24"/>
        <v/>
      </c>
    </row>
    <row r="333" spans="2:25" x14ac:dyDescent="0.2">
      <c r="B333" s="331">
        <v>295</v>
      </c>
      <c r="C333" s="334"/>
      <c r="D333" s="333"/>
      <c r="E333" s="294"/>
      <c r="F333" s="274"/>
      <c r="P333" s="319" t="str">
        <f t="array" aca="1" ref="P333:T333" ca="1">IF(AND($Q$34,B335&lt;=$C$17,C335&lt;&gt;""),TRANSPOSE(INDEX(cds(C335,$C$6,$C$29,,$C$13,$C$14,,,,,TRUE,TRUE,FALSE,,"1m"),0,1)),"")</f>
        <v/>
      </c>
      <c r="Q333" s="320" t="str">
        <f ca="1"/>
        <v/>
      </c>
      <c r="R333" s="320" t="str">
        <f ca="1"/>
        <v/>
      </c>
      <c r="S333" s="321" t="str">
        <f ca="1"/>
        <v/>
      </c>
      <c r="T333" s="322" t="str">
        <f ca="1"/>
        <v/>
      </c>
      <c r="U333" s="323" t="str">
        <f t="shared" ca="1" si="20"/>
        <v/>
      </c>
      <c r="V333" s="324" t="str">
        <f t="shared" ca="1" si="21"/>
        <v/>
      </c>
      <c r="W333" s="323" t="str">
        <f t="shared" ca="1" si="22"/>
        <v/>
      </c>
      <c r="X333" s="325" t="str">
        <f t="shared" ca="1" si="23"/>
        <v/>
      </c>
      <c r="Y333" s="324" t="str">
        <f t="shared" ca="1" si="24"/>
        <v/>
      </c>
    </row>
    <row r="334" spans="2:25" x14ac:dyDescent="0.2">
      <c r="B334" s="331">
        <v>296</v>
      </c>
      <c r="C334" s="334"/>
      <c r="D334" s="333"/>
      <c r="E334" s="294"/>
      <c r="F334" s="274"/>
      <c r="P334" s="319" t="str">
        <f t="array" aca="1" ref="P334:T334" ca="1">IF(AND($Q$34,B336&lt;=$C$17,C336&lt;&gt;""),TRANSPOSE(INDEX(cds(C336,$C$6,$C$29,,$C$13,$C$14,,,,,TRUE,TRUE,FALSE,,"1m"),0,1)),"")</f>
        <v/>
      </c>
      <c r="Q334" s="320" t="str">
        <f ca="1"/>
        <v/>
      </c>
      <c r="R334" s="320" t="str">
        <f ca="1"/>
        <v/>
      </c>
      <c r="S334" s="321" t="str">
        <f ca="1"/>
        <v/>
      </c>
      <c r="T334" s="322" t="str">
        <f ca="1"/>
        <v/>
      </c>
      <c r="U334" s="323" t="str">
        <f t="shared" ca="1" si="20"/>
        <v/>
      </c>
      <c r="V334" s="324" t="str">
        <f t="shared" ca="1" si="21"/>
        <v/>
      </c>
      <c r="W334" s="323" t="str">
        <f t="shared" ca="1" si="22"/>
        <v/>
      </c>
      <c r="X334" s="325" t="str">
        <f t="shared" ca="1" si="23"/>
        <v/>
      </c>
      <c r="Y334" s="324" t="str">
        <f t="shared" ca="1" si="24"/>
        <v/>
      </c>
    </row>
    <row r="335" spans="2:25" x14ac:dyDescent="0.2">
      <c r="B335" s="331">
        <v>297</v>
      </c>
      <c r="C335" s="334"/>
      <c r="D335" s="333"/>
      <c r="E335" s="294"/>
      <c r="F335" s="274"/>
      <c r="P335" s="319" t="str">
        <f t="array" aca="1" ref="P335:T335" ca="1">IF(AND($Q$34,B337&lt;=$C$17,C337&lt;&gt;""),TRANSPOSE(INDEX(cds(C337,$C$6,$C$29,,$C$13,$C$14,,,,,TRUE,TRUE,FALSE,,"1m"),0,1)),"")</f>
        <v/>
      </c>
      <c r="Q335" s="320" t="str">
        <f ca="1"/>
        <v/>
      </c>
      <c r="R335" s="320" t="str">
        <f ca="1"/>
        <v/>
      </c>
      <c r="S335" s="321" t="str">
        <f ca="1"/>
        <v/>
      </c>
      <c r="T335" s="322" t="str">
        <f ca="1"/>
        <v/>
      </c>
      <c r="U335" s="323" t="str">
        <f t="shared" ca="1" si="20"/>
        <v/>
      </c>
      <c r="V335" s="324" t="str">
        <f t="shared" ca="1" si="21"/>
        <v/>
      </c>
      <c r="W335" s="323" t="str">
        <f t="shared" ca="1" si="22"/>
        <v/>
      </c>
      <c r="X335" s="325" t="str">
        <f t="shared" ca="1" si="23"/>
        <v/>
      </c>
      <c r="Y335" s="324" t="str">
        <f t="shared" ca="1" si="24"/>
        <v/>
      </c>
    </row>
    <row r="336" spans="2:25" ht="10.8" thickBot="1" x14ac:dyDescent="0.25">
      <c r="B336" s="331">
        <v>298</v>
      </c>
      <c r="C336" s="334"/>
      <c r="D336" s="333"/>
      <c r="E336" s="294"/>
      <c r="F336" s="274"/>
      <c r="P336" s="336" t="str">
        <f t="array" aca="1" ref="P336:T336" ca="1">IF(AND($Q$34,B338&lt;=$C$17,C338&lt;&gt;""),TRANSPOSE(INDEX(cds(C338,$C$6,$C$29,,$C$13,$C$14,,,,,TRUE,TRUE,FALSE,,"1m"),0,1)),"")</f>
        <v/>
      </c>
      <c r="Q336" s="337" t="str">
        <f ca="1"/>
        <v/>
      </c>
      <c r="R336" s="337" t="str">
        <f ca="1"/>
        <v/>
      </c>
      <c r="S336" s="338" t="str">
        <f ca="1"/>
        <v/>
      </c>
      <c r="T336" s="339" t="str">
        <f ca="1"/>
        <v/>
      </c>
      <c r="U336" s="340" t="str">
        <f t="shared" ca="1" si="20"/>
        <v/>
      </c>
      <c r="V336" s="341" t="str">
        <f t="shared" ca="1" si="21"/>
        <v/>
      </c>
      <c r="W336" s="340" t="str">
        <f t="shared" ca="1" si="22"/>
        <v/>
      </c>
      <c r="X336" s="342" t="str">
        <f t="shared" ca="1" si="23"/>
        <v/>
      </c>
      <c r="Y336" s="341" t="str">
        <f t="shared" ca="1" si="24"/>
        <v/>
      </c>
    </row>
    <row r="337" spans="1:222" s="237" customFormat="1" x14ac:dyDescent="0.2">
      <c r="A337" s="236"/>
      <c r="B337" s="331">
        <v>299</v>
      </c>
      <c r="C337" s="334"/>
      <c r="D337" s="333"/>
      <c r="E337" s="294"/>
      <c r="F337" s="274"/>
      <c r="I337" s="236"/>
      <c r="J337" s="236"/>
      <c r="K337" s="236"/>
      <c r="L337" s="236"/>
      <c r="M337" s="236"/>
      <c r="N337" s="236"/>
      <c r="O337" s="236"/>
      <c r="P337" s="236"/>
      <c r="Q337" s="236"/>
      <c r="R337" s="236"/>
      <c r="S337" s="236"/>
      <c r="T337" s="236"/>
      <c r="U337" s="236"/>
      <c r="V337" s="236"/>
      <c r="W337" s="236"/>
      <c r="X337" s="236"/>
      <c r="Y337" s="236"/>
      <c r="Z337" s="236"/>
      <c r="AA337" s="236"/>
      <c r="AB337" s="236"/>
      <c r="AC337" s="236"/>
      <c r="AD337" s="236"/>
      <c r="AE337" s="236"/>
      <c r="AF337" s="236"/>
      <c r="AG337" s="236"/>
      <c r="AH337" s="236"/>
      <c r="AI337" s="236"/>
      <c r="AJ337" s="236"/>
      <c r="AK337" s="236"/>
      <c r="AL337" s="236"/>
      <c r="AM337" s="236"/>
      <c r="AN337" s="236"/>
      <c r="AO337" s="236"/>
      <c r="AP337" s="236"/>
      <c r="AQ337" s="236"/>
      <c r="AR337" s="236"/>
      <c r="AS337" s="236"/>
      <c r="AT337" s="236"/>
      <c r="AU337" s="236"/>
      <c r="AV337" s="236"/>
      <c r="AW337" s="236"/>
      <c r="AX337" s="236"/>
      <c r="AY337" s="236"/>
      <c r="AZ337" s="236"/>
      <c r="BA337" s="236"/>
      <c r="BB337" s="236"/>
      <c r="BC337" s="236"/>
      <c r="BD337" s="236"/>
      <c r="BE337" s="236"/>
      <c r="BF337" s="236"/>
      <c r="BG337" s="236"/>
      <c r="BH337" s="236"/>
      <c r="BI337" s="236"/>
      <c r="BJ337" s="236"/>
      <c r="BK337" s="236"/>
      <c r="BL337" s="236"/>
      <c r="BM337" s="236"/>
      <c r="BN337" s="236"/>
      <c r="BO337" s="236"/>
      <c r="BP337" s="236"/>
      <c r="BQ337" s="236"/>
      <c r="BR337" s="236"/>
      <c r="BS337" s="236"/>
      <c r="BT337" s="236"/>
      <c r="BU337" s="236"/>
      <c r="BV337" s="236"/>
      <c r="BW337" s="236"/>
      <c r="BX337" s="236"/>
      <c r="BY337" s="236"/>
      <c r="BZ337" s="236"/>
      <c r="CA337" s="236"/>
      <c r="CB337" s="236"/>
      <c r="CC337" s="236"/>
      <c r="CD337" s="236"/>
      <c r="CE337" s="236"/>
      <c r="CF337" s="236"/>
      <c r="CG337" s="236"/>
      <c r="CH337" s="236"/>
      <c r="CI337" s="236"/>
      <c r="CJ337" s="236"/>
      <c r="CK337" s="236"/>
      <c r="CL337" s="236"/>
      <c r="CM337" s="236"/>
      <c r="CN337" s="236"/>
      <c r="CO337" s="236"/>
      <c r="CP337" s="236"/>
      <c r="CQ337" s="236"/>
      <c r="CR337" s="236"/>
      <c r="CS337" s="236"/>
      <c r="CT337" s="236"/>
      <c r="CU337" s="236"/>
      <c r="CV337" s="236"/>
      <c r="CW337" s="236"/>
      <c r="CX337" s="236"/>
      <c r="CY337" s="236"/>
      <c r="CZ337" s="236"/>
      <c r="DA337" s="236"/>
      <c r="DB337" s="236"/>
      <c r="DC337" s="236"/>
      <c r="DD337" s="236"/>
      <c r="DE337" s="236"/>
      <c r="DF337" s="236"/>
      <c r="DG337" s="236"/>
      <c r="DH337" s="236"/>
      <c r="DI337" s="236"/>
      <c r="DJ337" s="236"/>
      <c r="DK337" s="236"/>
      <c r="DL337" s="236"/>
      <c r="DM337" s="236"/>
      <c r="DN337" s="236"/>
      <c r="DO337" s="236"/>
      <c r="DP337" s="236"/>
      <c r="DQ337" s="236"/>
      <c r="DR337" s="236"/>
      <c r="DS337" s="236"/>
      <c r="DT337" s="236"/>
      <c r="DU337" s="236"/>
      <c r="DV337" s="236"/>
      <c r="DW337" s="236"/>
      <c r="DX337" s="236"/>
      <c r="DY337" s="236"/>
      <c r="DZ337" s="236"/>
      <c r="EA337" s="236"/>
      <c r="EB337" s="236"/>
      <c r="EC337" s="236"/>
      <c r="ED337" s="236"/>
      <c r="EE337" s="236"/>
      <c r="EF337" s="236"/>
      <c r="EG337" s="236"/>
      <c r="EH337" s="236"/>
      <c r="EI337" s="236"/>
      <c r="EJ337" s="236"/>
      <c r="EK337" s="236"/>
      <c r="EL337" s="236"/>
      <c r="EM337" s="236"/>
      <c r="EN337" s="236"/>
      <c r="EO337" s="236"/>
      <c r="EP337" s="236"/>
      <c r="EQ337" s="236"/>
      <c r="ER337" s="236"/>
      <c r="ES337" s="236"/>
      <c r="ET337" s="236"/>
      <c r="EU337" s="236"/>
      <c r="EV337" s="236"/>
      <c r="EW337" s="236"/>
      <c r="EX337" s="236"/>
      <c r="EY337" s="236"/>
      <c r="EZ337" s="236"/>
      <c r="FA337" s="236"/>
      <c r="FB337" s="236"/>
      <c r="FC337" s="236"/>
      <c r="FD337" s="236"/>
      <c r="FE337" s="236"/>
      <c r="FF337" s="236"/>
      <c r="FG337" s="236"/>
      <c r="FH337" s="236"/>
      <c r="FI337" s="236"/>
      <c r="FJ337" s="236"/>
      <c r="FK337" s="236"/>
      <c r="FL337" s="236"/>
      <c r="FM337" s="236"/>
      <c r="FN337" s="236"/>
      <c r="FO337" s="236"/>
      <c r="FP337" s="236"/>
      <c r="FQ337" s="236"/>
      <c r="FR337" s="236"/>
      <c r="FS337" s="236"/>
      <c r="FT337" s="236"/>
      <c r="FU337" s="236"/>
      <c r="FV337" s="236"/>
      <c r="FW337" s="236"/>
      <c r="FX337" s="236"/>
      <c r="FY337" s="236"/>
      <c r="FZ337" s="236"/>
      <c r="GA337" s="236"/>
      <c r="GB337" s="236"/>
      <c r="GC337" s="236"/>
      <c r="GD337" s="236"/>
      <c r="GE337" s="236"/>
      <c r="GF337" s="236"/>
      <c r="GG337" s="236"/>
      <c r="GH337" s="236"/>
      <c r="GI337" s="236"/>
      <c r="GJ337" s="236"/>
      <c r="GK337" s="236"/>
      <c r="GL337" s="236"/>
      <c r="GM337" s="236"/>
      <c r="GN337" s="236"/>
      <c r="GO337" s="236"/>
      <c r="GP337" s="236"/>
      <c r="GQ337" s="236"/>
      <c r="GR337" s="236"/>
      <c r="GS337" s="236"/>
      <c r="GT337" s="236"/>
      <c r="GU337" s="236"/>
      <c r="GV337" s="236"/>
      <c r="GW337" s="236"/>
      <c r="GX337" s="236"/>
      <c r="GY337" s="236"/>
      <c r="GZ337" s="236"/>
      <c r="HA337" s="236"/>
      <c r="HB337" s="236"/>
      <c r="HC337" s="236"/>
      <c r="HD337" s="236"/>
      <c r="HE337" s="236"/>
      <c r="HF337" s="236"/>
      <c r="HG337" s="236"/>
      <c r="HH337" s="236"/>
      <c r="HI337" s="236"/>
      <c r="HJ337" s="236"/>
      <c r="HK337" s="236"/>
      <c r="HL337" s="236"/>
      <c r="HM337" s="236"/>
      <c r="HN337" s="236"/>
    </row>
    <row r="338" spans="1:222" s="237" customFormat="1" ht="10.8" thickBot="1" x14ac:dyDescent="0.25">
      <c r="A338" s="236"/>
      <c r="B338" s="343">
        <v>300</v>
      </c>
      <c r="C338" s="334"/>
      <c r="D338" s="333"/>
      <c r="E338" s="294"/>
      <c r="F338" s="274"/>
      <c r="I338" s="236"/>
      <c r="J338" s="236"/>
      <c r="K338" s="236"/>
      <c r="L338" s="236"/>
      <c r="M338" s="236"/>
      <c r="N338" s="236"/>
      <c r="O338" s="236"/>
      <c r="P338" s="236"/>
      <c r="Q338" s="236"/>
      <c r="R338" s="236"/>
      <c r="S338" s="236"/>
      <c r="T338" s="236"/>
      <c r="U338" s="236"/>
      <c r="V338" s="236"/>
      <c r="W338" s="236"/>
      <c r="X338" s="236"/>
      <c r="Y338" s="236"/>
      <c r="Z338" s="236"/>
      <c r="AA338" s="236"/>
      <c r="AB338" s="236"/>
      <c r="AC338" s="236"/>
      <c r="AD338" s="236"/>
      <c r="AE338" s="236"/>
      <c r="AF338" s="236"/>
      <c r="AG338" s="236"/>
      <c r="AH338" s="236"/>
      <c r="AI338" s="236"/>
      <c r="AJ338" s="236"/>
      <c r="AK338" s="236"/>
      <c r="AL338" s="236"/>
      <c r="AM338" s="236"/>
      <c r="AN338" s="236"/>
      <c r="AO338" s="236"/>
      <c r="AP338" s="236"/>
      <c r="AQ338" s="236"/>
      <c r="AR338" s="236"/>
      <c r="AS338" s="236"/>
      <c r="AT338" s="236"/>
      <c r="AU338" s="236"/>
      <c r="AV338" s="236"/>
      <c r="AW338" s="236"/>
      <c r="AX338" s="236"/>
      <c r="AY338" s="236"/>
      <c r="AZ338" s="236"/>
      <c r="BA338" s="236"/>
      <c r="BB338" s="236"/>
      <c r="BC338" s="236"/>
      <c r="BD338" s="236"/>
      <c r="BE338" s="236"/>
      <c r="BF338" s="236"/>
      <c r="BG338" s="236"/>
      <c r="BH338" s="236"/>
      <c r="BI338" s="236"/>
      <c r="BJ338" s="236"/>
      <c r="BK338" s="236"/>
      <c r="BL338" s="236"/>
      <c r="BM338" s="236"/>
      <c r="BN338" s="236"/>
      <c r="BO338" s="236"/>
      <c r="BP338" s="236"/>
      <c r="BQ338" s="236"/>
      <c r="BR338" s="236"/>
      <c r="BS338" s="236"/>
      <c r="BT338" s="236"/>
      <c r="BU338" s="236"/>
      <c r="BV338" s="236"/>
      <c r="BW338" s="236"/>
      <c r="BX338" s="236"/>
      <c r="BY338" s="236"/>
      <c r="BZ338" s="236"/>
      <c r="CA338" s="236"/>
      <c r="CB338" s="236"/>
      <c r="CC338" s="236"/>
      <c r="CD338" s="236"/>
      <c r="CE338" s="236"/>
      <c r="CF338" s="236"/>
      <c r="CG338" s="236"/>
      <c r="CH338" s="236"/>
      <c r="CI338" s="236"/>
      <c r="CJ338" s="236"/>
      <c r="CK338" s="236"/>
      <c r="CL338" s="236"/>
      <c r="CM338" s="236"/>
      <c r="CN338" s="236"/>
      <c r="CO338" s="236"/>
      <c r="CP338" s="236"/>
      <c r="CQ338" s="236"/>
      <c r="CR338" s="236"/>
      <c r="CS338" s="236"/>
      <c r="CT338" s="236"/>
      <c r="CU338" s="236"/>
      <c r="CV338" s="236"/>
      <c r="CW338" s="236"/>
      <c r="CX338" s="236"/>
      <c r="CY338" s="236"/>
      <c r="CZ338" s="236"/>
      <c r="DA338" s="236"/>
      <c r="DB338" s="236"/>
      <c r="DC338" s="236"/>
      <c r="DD338" s="236"/>
      <c r="DE338" s="236"/>
      <c r="DF338" s="236"/>
      <c r="DG338" s="236"/>
      <c r="DH338" s="236"/>
      <c r="DI338" s="236"/>
      <c r="DJ338" s="236"/>
      <c r="DK338" s="236"/>
      <c r="DL338" s="236"/>
      <c r="DM338" s="236"/>
      <c r="DN338" s="236"/>
      <c r="DO338" s="236"/>
      <c r="DP338" s="236"/>
      <c r="DQ338" s="236"/>
      <c r="DR338" s="236"/>
      <c r="DS338" s="236"/>
      <c r="DT338" s="236"/>
      <c r="DU338" s="236"/>
      <c r="DV338" s="236"/>
      <c r="DW338" s="236"/>
      <c r="DX338" s="236"/>
      <c r="DY338" s="236"/>
      <c r="DZ338" s="236"/>
      <c r="EA338" s="236"/>
      <c r="EB338" s="236"/>
      <c r="EC338" s="236"/>
      <c r="ED338" s="236"/>
      <c r="EE338" s="236"/>
      <c r="EF338" s="236"/>
      <c r="EG338" s="236"/>
      <c r="EH338" s="236"/>
      <c r="EI338" s="236"/>
      <c r="EJ338" s="236"/>
      <c r="EK338" s="236"/>
      <c r="EL338" s="236"/>
      <c r="EM338" s="236"/>
      <c r="EN338" s="236"/>
      <c r="EO338" s="236"/>
      <c r="EP338" s="236"/>
      <c r="EQ338" s="236"/>
      <c r="ER338" s="236"/>
      <c r="ES338" s="236"/>
      <c r="ET338" s="236"/>
      <c r="EU338" s="236"/>
      <c r="EV338" s="236"/>
      <c r="EW338" s="236"/>
      <c r="EX338" s="236"/>
      <c r="EY338" s="236"/>
      <c r="EZ338" s="236"/>
      <c r="FA338" s="236"/>
      <c r="FB338" s="236"/>
      <c r="FC338" s="236"/>
      <c r="FD338" s="236"/>
      <c r="FE338" s="236"/>
      <c r="FF338" s="236"/>
      <c r="FG338" s="236"/>
      <c r="FH338" s="236"/>
      <c r="FI338" s="236"/>
      <c r="FJ338" s="236"/>
      <c r="FK338" s="236"/>
      <c r="FL338" s="236"/>
      <c r="FM338" s="236"/>
      <c r="FN338" s="236"/>
      <c r="FO338" s="236"/>
      <c r="FP338" s="236"/>
      <c r="FQ338" s="236"/>
      <c r="FR338" s="236"/>
      <c r="FS338" s="236"/>
      <c r="FT338" s="236"/>
      <c r="FU338" s="236"/>
      <c r="FV338" s="236"/>
      <c r="FW338" s="236"/>
      <c r="FX338" s="236"/>
      <c r="FY338" s="236"/>
      <c r="FZ338" s="236"/>
      <c r="GA338" s="236"/>
      <c r="GB338" s="236"/>
      <c r="GC338" s="236"/>
      <c r="GD338" s="236"/>
      <c r="GE338" s="236"/>
      <c r="GF338" s="236"/>
      <c r="GG338" s="236"/>
      <c r="GH338" s="236"/>
      <c r="GI338" s="236"/>
      <c r="GJ338" s="236"/>
      <c r="GK338" s="236"/>
      <c r="GL338" s="236"/>
      <c r="GM338" s="236"/>
      <c r="GN338" s="236"/>
      <c r="GO338" s="236"/>
      <c r="GP338" s="236"/>
      <c r="GQ338" s="236"/>
      <c r="GR338" s="236"/>
      <c r="GS338" s="236"/>
      <c r="GT338" s="236"/>
      <c r="GU338" s="236"/>
      <c r="GV338" s="236"/>
      <c r="GW338" s="236"/>
      <c r="GX338" s="236"/>
      <c r="GY338" s="236"/>
      <c r="GZ338" s="236"/>
      <c r="HA338" s="236"/>
      <c r="HB338" s="236"/>
      <c r="HC338" s="236"/>
      <c r="HD338" s="236"/>
      <c r="HE338" s="236"/>
      <c r="HF338" s="236"/>
      <c r="HG338" s="236"/>
      <c r="HH338" s="236"/>
      <c r="HI338" s="236"/>
      <c r="HJ338" s="236"/>
      <c r="HK338" s="236"/>
      <c r="HL338" s="236"/>
      <c r="HM338" s="236"/>
      <c r="HN338" s="23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Q34 I5 C27 C24:C25 C30:C31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G16" sqref="G16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2024-04-07T22:41:30Z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