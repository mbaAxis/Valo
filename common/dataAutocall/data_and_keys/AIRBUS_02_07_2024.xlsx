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alternatives1-my.sharepoint.com/personal/m_ben-el-ghoul-stagiaire_axisalternatives_com/Documents/Documents/Valo/python/Autocall pricer and FHC computations/Autocall pricer V3/data_and_keys/"/>
    </mc:Choice>
  </mc:AlternateContent>
  <xr:revisionPtr revIDLastSave="5" documentId="8_{12381B6C-AB63-445C-8C6E-74EE1B56BACC}" xr6:coauthVersionLast="47" xr6:coauthVersionMax="47" xr10:uidLastSave="{442818EC-7373-4116-91EB-14286874237E}"/>
  <bookViews>
    <workbookView xWindow="28680" yWindow="-120" windowWidth="29040" windowHeight="15720" xr2:uid="{35950C0E-29D1-4BE6-A545-B019A32EBB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  <c r="F24" i="1"/>
  <c r="F25" i="1"/>
  <c r="F26" i="1"/>
  <c r="F27" i="1"/>
  <c r="F28" i="1"/>
  <c r="F23" i="1"/>
  <c r="E28" i="1"/>
  <c r="F17" i="1"/>
  <c r="F18" i="1"/>
  <c r="F19" i="1"/>
  <c r="F20" i="1"/>
  <c r="F21" i="1"/>
  <c r="F22" i="1"/>
  <c r="F16" i="1"/>
  <c r="E22" i="1"/>
  <c r="E23" i="1"/>
  <c r="E24" i="1"/>
  <c r="E25" i="1"/>
  <c r="E26" i="1"/>
  <c r="E27" i="1"/>
  <c r="F11" i="1"/>
  <c r="F12" i="1"/>
  <c r="F13" i="1"/>
  <c r="F14" i="1"/>
  <c r="F15" i="1"/>
  <c r="F10" i="1"/>
  <c r="E10" i="1"/>
  <c r="E11" i="1"/>
  <c r="E12" i="1"/>
  <c r="E13" i="1"/>
  <c r="E14" i="1"/>
  <c r="E15" i="1"/>
  <c r="E16" i="1"/>
  <c r="E17" i="1"/>
  <c r="E18" i="1"/>
  <c r="E19" i="1"/>
  <c r="E20" i="1"/>
  <c r="E21" i="1"/>
  <c r="F3" i="1"/>
  <c r="F4" i="1"/>
  <c r="F5" i="1"/>
  <c r="F6" i="1"/>
  <c r="F7" i="1"/>
  <c r="F8" i="1"/>
  <c r="F9" i="1"/>
  <c r="F2" i="1"/>
  <c r="E8" i="1"/>
  <c r="E9" i="1"/>
  <c r="E4" i="1"/>
  <c r="E5" i="1"/>
  <c r="E6" i="1"/>
  <c r="E7" i="1"/>
  <c r="E3" i="1"/>
  <c r="E2" i="1"/>
</calcChain>
</file>

<file path=xl/sharedStrings.xml><?xml version="1.0" encoding="utf-8"?>
<sst xmlns="http://schemas.openxmlformats.org/spreadsheetml/2006/main" count="34" uniqueCount="8">
  <si>
    <t>ACHAT</t>
  </si>
  <si>
    <t>VENTE</t>
  </si>
  <si>
    <t>STRIKE</t>
  </si>
  <si>
    <t>SPOT</t>
  </si>
  <si>
    <t>PRICE</t>
  </si>
  <si>
    <t>MAT</t>
  </si>
  <si>
    <t>OPTION FLAG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</si>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</sst>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FFFFFF"/>
      <name val="Segoe UI"/>
      <family val="2"/>
    </font>
    <font>
      <b/>
      <sz val="8"/>
      <color rgb="FFFFFFFF"/>
      <name val="Segoe U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B4B5D"/>
        <bgColor indexed="64"/>
      </patternFill>
    </fill>
    <fill>
      <patternFill patternType="solid">
        <fgColor rgb="FF778CA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8ECEF"/>
      </top>
      <bottom/>
      <diagonal/>
    </border>
    <border>
      <left/>
      <right/>
      <top style="medium">
        <color rgb="FFE8ECEF"/>
      </top>
      <bottom style="medium">
        <color rgb="FFF8FAF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B9D8-3514-4DCC-8EB9-0839ED9C857F}">
  <dimension ref="A1:G28"/>
  <sheetViews>
    <sheetView tabSelected="1" workbookViewId="0">
      <selection activeCell="B32" sqref="B32"/>
    </sheetView>
  </sheetViews>
  <sheetFormatPr baseColWidth="10" defaultRowHeight="14.5" x14ac:dyDescent="0.35"/>
  <sheetData>
    <row r="1" spans="1:7" ht="15" thickBot="1" x14ac:dyDescent="0.4">
      <c r="A1" s="1" t="s">
        <v>2</v>
      </c>
      <c r="B1" s="1" t="s">
        <v>6</v>
      </c>
      <c r="C1" s="1" t="s">
        <v>0</v>
      </c>
      <c r="D1" s="1" t="s">
        <v>1</v>
      </c>
      <c r="E1" s="1" t="s">
        <v>3</v>
      </c>
      <c r="F1" s="1" t="s">
        <v>5</v>
      </c>
      <c r="G1" s="1" t="s">
        <v>4</v>
      </c>
    </row>
    <row r="2" spans="1:7" ht="15" thickBot="1" x14ac:dyDescent="0.4">
      <c r="A2" s="3">
        <v>79.510000000000005</v>
      </c>
      <c r="B2" s="3" t="s">
        <v>7</v>
      </c>
      <c r="C2" s="2">
        <v>0.28000000000000003</v>
      </c>
      <c r="D2" s="2">
        <v>0.48</v>
      </c>
      <c r="E2">
        <f>131.64</f>
        <v>131.63999999999999</v>
      </c>
      <c r="F2">
        <f>107/252</f>
        <v>0.42460317460317459</v>
      </c>
      <c r="G2">
        <f>(C2+D2)/2</f>
        <v>0.38</v>
      </c>
    </row>
    <row r="3" spans="1:7" ht="15" thickBot="1" x14ac:dyDescent="0.4">
      <c r="A3" s="3">
        <v>90</v>
      </c>
      <c r="B3" s="3" t="s">
        <v>7</v>
      </c>
      <c r="C3" s="2">
        <v>0.57999999999999996</v>
      </c>
      <c r="D3" s="2">
        <v>0.78</v>
      </c>
      <c r="E3">
        <f>131.64</f>
        <v>131.63999999999999</v>
      </c>
      <c r="F3">
        <f t="shared" ref="F3:F9" si="0">107/252</f>
        <v>0.42460317460317459</v>
      </c>
      <c r="G3">
        <f t="shared" ref="G3:G28" si="1">(C3+D3)/2</f>
        <v>0.67999999999999994</v>
      </c>
    </row>
    <row r="4" spans="1:7" ht="15" thickBot="1" x14ac:dyDescent="0.4">
      <c r="A4" s="3">
        <v>109.32</v>
      </c>
      <c r="B4" s="3" t="s">
        <v>7</v>
      </c>
      <c r="C4" s="2">
        <v>2.0699999999999998</v>
      </c>
      <c r="D4" s="2">
        <v>2.31</v>
      </c>
      <c r="E4">
        <f t="shared" ref="E4:E28" si="2">131.64</f>
        <v>131.63999999999999</v>
      </c>
      <c r="F4">
        <f t="shared" si="0"/>
        <v>0.42460317460317459</v>
      </c>
      <c r="G4">
        <f t="shared" si="1"/>
        <v>2.19</v>
      </c>
    </row>
    <row r="5" spans="1:7" ht="15" thickBot="1" x14ac:dyDescent="0.4">
      <c r="A5" s="3">
        <v>119.26</v>
      </c>
      <c r="B5" s="3" t="s">
        <v>7</v>
      </c>
      <c r="C5" s="2">
        <v>3.83</v>
      </c>
      <c r="D5" s="2">
        <v>4.28</v>
      </c>
      <c r="E5">
        <f t="shared" si="2"/>
        <v>131.63999999999999</v>
      </c>
      <c r="F5">
        <f t="shared" si="0"/>
        <v>0.42460317460317459</v>
      </c>
      <c r="G5">
        <f t="shared" si="1"/>
        <v>4.0549999999999997</v>
      </c>
    </row>
    <row r="6" spans="1:7" ht="15" thickBot="1" x14ac:dyDescent="0.4">
      <c r="A6" s="3">
        <v>129.19999999999999</v>
      </c>
      <c r="B6" s="3" t="s">
        <v>7</v>
      </c>
      <c r="C6" s="2">
        <v>6.71</v>
      </c>
      <c r="D6" s="2">
        <v>7.45</v>
      </c>
      <c r="E6">
        <f t="shared" si="2"/>
        <v>131.63999999999999</v>
      </c>
      <c r="F6">
        <f t="shared" si="0"/>
        <v>0.42460317460317459</v>
      </c>
      <c r="G6">
        <f t="shared" si="1"/>
        <v>7.08</v>
      </c>
    </row>
    <row r="7" spans="1:7" ht="15" thickBot="1" x14ac:dyDescent="0.4">
      <c r="A7" s="3">
        <v>139.13</v>
      </c>
      <c r="B7" s="3" t="s">
        <v>7</v>
      </c>
      <c r="C7" s="2">
        <v>11.37</v>
      </c>
      <c r="D7" s="2">
        <v>12.28</v>
      </c>
      <c r="E7">
        <f t="shared" si="2"/>
        <v>131.63999999999999</v>
      </c>
      <c r="F7">
        <f t="shared" si="0"/>
        <v>0.42460317460317459</v>
      </c>
      <c r="G7">
        <f t="shared" si="1"/>
        <v>11.824999999999999</v>
      </c>
    </row>
    <row r="8" spans="1:7" ht="15" thickBot="1" x14ac:dyDescent="0.4">
      <c r="A8" s="3">
        <v>149.07</v>
      </c>
      <c r="B8" s="3" t="s">
        <v>7</v>
      </c>
      <c r="C8" s="2">
        <v>17.98</v>
      </c>
      <c r="D8" s="2">
        <v>18.82</v>
      </c>
      <c r="E8">
        <f t="shared" si="2"/>
        <v>131.63999999999999</v>
      </c>
      <c r="F8">
        <f t="shared" si="0"/>
        <v>0.42460317460317459</v>
      </c>
      <c r="G8">
        <f t="shared" si="1"/>
        <v>18.399999999999999</v>
      </c>
    </row>
    <row r="9" spans="1:7" ht="15" thickBot="1" x14ac:dyDescent="0.4">
      <c r="A9" s="5">
        <v>178.89</v>
      </c>
      <c r="B9" s="3" t="s">
        <v>7</v>
      </c>
      <c r="C9" s="4">
        <v>44.12</v>
      </c>
      <c r="D9" s="4">
        <v>45.12</v>
      </c>
      <c r="E9">
        <f t="shared" si="2"/>
        <v>131.63999999999999</v>
      </c>
      <c r="F9">
        <f t="shared" si="0"/>
        <v>0.42460317460317459</v>
      </c>
      <c r="G9">
        <f t="shared" si="1"/>
        <v>44.62</v>
      </c>
    </row>
    <row r="10" spans="1:7" ht="15" thickBot="1" x14ac:dyDescent="0.4">
      <c r="A10" s="3">
        <v>99.38</v>
      </c>
      <c r="B10" s="3" t="s">
        <v>7</v>
      </c>
      <c r="C10" s="2">
        <v>4.1100000000000003</v>
      </c>
      <c r="D10" s="2">
        <v>4.5999999999999996</v>
      </c>
      <c r="E10">
        <f t="shared" si="2"/>
        <v>131.63999999999999</v>
      </c>
      <c r="F10">
        <f>231/252</f>
        <v>0.91666666666666663</v>
      </c>
      <c r="G10">
        <f t="shared" si="1"/>
        <v>4.3550000000000004</v>
      </c>
    </row>
    <row r="11" spans="1:7" ht="15" thickBot="1" x14ac:dyDescent="0.4">
      <c r="A11" s="3">
        <v>109.32</v>
      </c>
      <c r="B11" s="3" t="s">
        <v>7</v>
      </c>
      <c r="C11" s="2">
        <v>6.35</v>
      </c>
      <c r="D11" s="2">
        <v>7.11</v>
      </c>
      <c r="E11">
        <f t="shared" si="2"/>
        <v>131.63999999999999</v>
      </c>
      <c r="F11">
        <f t="shared" ref="F11:F15" si="3">231/252</f>
        <v>0.91666666666666663</v>
      </c>
      <c r="G11">
        <f t="shared" si="1"/>
        <v>6.73</v>
      </c>
    </row>
    <row r="12" spans="1:7" ht="15" thickBot="1" x14ac:dyDescent="0.4">
      <c r="A12" s="3">
        <v>119.26</v>
      </c>
      <c r="B12" s="3" t="s">
        <v>7</v>
      </c>
      <c r="C12" s="2">
        <v>9.85</v>
      </c>
      <c r="D12" s="2">
        <v>10.64</v>
      </c>
      <c r="E12">
        <f t="shared" si="2"/>
        <v>131.63999999999999</v>
      </c>
      <c r="F12">
        <f t="shared" si="3"/>
        <v>0.91666666666666663</v>
      </c>
      <c r="G12">
        <f t="shared" si="1"/>
        <v>10.245000000000001</v>
      </c>
    </row>
    <row r="13" spans="1:7" ht="15" thickBot="1" x14ac:dyDescent="0.4">
      <c r="A13" s="3">
        <v>129.19999999999999</v>
      </c>
      <c r="B13" s="3" t="s">
        <v>7</v>
      </c>
      <c r="C13" s="2">
        <v>14.49</v>
      </c>
      <c r="D13" s="2">
        <v>15.34</v>
      </c>
      <c r="E13">
        <f t="shared" si="2"/>
        <v>131.63999999999999</v>
      </c>
      <c r="F13">
        <f t="shared" si="3"/>
        <v>0.91666666666666663</v>
      </c>
      <c r="G13">
        <f t="shared" si="1"/>
        <v>14.914999999999999</v>
      </c>
    </row>
    <row r="14" spans="1:7" ht="15" thickBot="1" x14ac:dyDescent="0.4">
      <c r="A14" s="3">
        <v>139.13</v>
      </c>
      <c r="B14" s="3" t="s">
        <v>7</v>
      </c>
      <c r="C14" s="2">
        <v>21.07</v>
      </c>
      <c r="D14" s="2">
        <v>22.02</v>
      </c>
      <c r="E14">
        <f t="shared" si="2"/>
        <v>131.63999999999999</v>
      </c>
      <c r="F14">
        <f t="shared" si="3"/>
        <v>0.91666666666666663</v>
      </c>
      <c r="G14">
        <f t="shared" si="1"/>
        <v>21.545000000000002</v>
      </c>
    </row>
    <row r="15" spans="1:7" ht="15" thickBot="1" x14ac:dyDescent="0.4">
      <c r="A15" s="3">
        <v>150</v>
      </c>
      <c r="B15" s="3" t="s">
        <v>7</v>
      </c>
      <c r="C15" s="4">
        <v>27.56</v>
      </c>
      <c r="D15" s="4">
        <v>28.56</v>
      </c>
      <c r="E15">
        <f t="shared" si="2"/>
        <v>131.63999999999999</v>
      </c>
      <c r="F15">
        <f t="shared" si="3"/>
        <v>0.91666666666666663</v>
      </c>
      <c r="G15">
        <f t="shared" si="1"/>
        <v>28.06</v>
      </c>
    </row>
    <row r="16" spans="1:7" ht="15" thickBot="1" x14ac:dyDescent="0.4">
      <c r="A16" s="3">
        <v>99.38</v>
      </c>
      <c r="B16" s="3" t="s">
        <v>7</v>
      </c>
      <c r="C16" s="2">
        <v>3.88</v>
      </c>
      <c r="D16" s="2">
        <v>4.57</v>
      </c>
      <c r="E16">
        <f t="shared" si="2"/>
        <v>131.63999999999999</v>
      </c>
      <c r="F16">
        <f>358/252</f>
        <v>1.4206349206349207</v>
      </c>
      <c r="G16">
        <f t="shared" si="1"/>
        <v>4.2249999999999996</v>
      </c>
    </row>
    <row r="17" spans="1:7" ht="15" thickBot="1" x14ac:dyDescent="0.4">
      <c r="A17" s="3">
        <v>110</v>
      </c>
      <c r="B17" s="3" t="s">
        <v>7</v>
      </c>
      <c r="C17" s="2">
        <v>5.85</v>
      </c>
      <c r="D17" s="2">
        <v>6.9</v>
      </c>
      <c r="E17">
        <f t="shared" si="2"/>
        <v>131.63999999999999</v>
      </c>
      <c r="F17">
        <f t="shared" ref="F17:F22" si="4">358/252</f>
        <v>1.4206349206349207</v>
      </c>
      <c r="G17">
        <f t="shared" si="1"/>
        <v>6.375</v>
      </c>
    </row>
    <row r="18" spans="1:7" ht="15" thickBot="1" x14ac:dyDescent="0.4">
      <c r="A18" s="3">
        <v>119.26</v>
      </c>
      <c r="B18" s="3" t="s">
        <v>7</v>
      </c>
      <c r="C18" s="2">
        <v>8.17</v>
      </c>
      <c r="D18" s="2">
        <v>9.64</v>
      </c>
      <c r="E18">
        <f t="shared" si="2"/>
        <v>131.63999999999999</v>
      </c>
      <c r="F18">
        <f t="shared" si="4"/>
        <v>1.4206349206349207</v>
      </c>
      <c r="G18">
        <f t="shared" si="1"/>
        <v>8.9050000000000011</v>
      </c>
    </row>
    <row r="19" spans="1:7" ht="15" thickBot="1" x14ac:dyDescent="0.4">
      <c r="A19" s="3">
        <v>129.19999999999999</v>
      </c>
      <c r="B19" s="3" t="s">
        <v>7</v>
      </c>
      <c r="C19" s="2">
        <v>11.89</v>
      </c>
      <c r="D19" s="2">
        <v>13.2</v>
      </c>
      <c r="E19">
        <f t="shared" si="2"/>
        <v>131.63999999999999</v>
      </c>
      <c r="F19">
        <f t="shared" si="4"/>
        <v>1.4206349206349207</v>
      </c>
      <c r="G19">
        <f t="shared" si="1"/>
        <v>12.545</v>
      </c>
    </row>
    <row r="20" spans="1:7" ht="15" thickBot="1" x14ac:dyDescent="0.4">
      <c r="A20" s="3">
        <v>139.13</v>
      </c>
      <c r="B20" s="3" t="s">
        <v>7</v>
      </c>
      <c r="C20" s="2">
        <v>16.38</v>
      </c>
      <c r="D20" s="2">
        <v>17.75</v>
      </c>
      <c r="E20">
        <f t="shared" si="2"/>
        <v>131.63999999999999</v>
      </c>
      <c r="F20">
        <f t="shared" si="4"/>
        <v>1.4206349206349207</v>
      </c>
      <c r="G20">
        <f t="shared" si="1"/>
        <v>17.064999999999998</v>
      </c>
    </row>
    <row r="21" spans="1:7" ht="15" thickBot="1" x14ac:dyDescent="0.4">
      <c r="A21" s="3">
        <v>159.01</v>
      </c>
      <c r="B21" s="3" t="s">
        <v>7</v>
      </c>
      <c r="C21" s="2">
        <v>28.39</v>
      </c>
      <c r="D21" s="2">
        <v>29.89</v>
      </c>
      <c r="E21">
        <f t="shared" si="2"/>
        <v>131.63999999999999</v>
      </c>
      <c r="F21">
        <f t="shared" si="4"/>
        <v>1.4206349206349207</v>
      </c>
      <c r="G21">
        <f t="shared" si="1"/>
        <v>29.14</v>
      </c>
    </row>
    <row r="22" spans="1:7" ht="15" thickBot="1" x14ac:dyDescent="0.4">
      <c r="A22" s="3">
        <v>178.89</v>
      </c>
      <c r="B22" s="3" t="s">
        <v>7</v>
      </c>
      <c r="C22" s="2">
        <v>43.58</v>
      </c>
      <c r="D22" s="2">
        <v>45.08</v>
      </c>
      <c r="E22">
        <f t="shared" si="2"/>
        <v>131.63999999999999</v>
      </c>
      <c r="F22">
        <f t="shared" si="4"/>
        <v>1.4206349206349207</v>
      </c>
      <c r="G22">
        <f t="shared" si="1"/>
        <v>44.33</v>
      </c>
    </row>
    <row r="23" spans="1:7" ht="15" thickBot="1" x14ac:dyDescent="0.4">
      <c r="A23" s="3">
        <v>100</v>
      </c>
      <c r="B23" s="3" t="s">
        <v>7</v>
      </c>
      <c r="C23" s="2">
        <v>5.3</v>
      </c>
      <c r="D23" s="2">
        <v>6.25</v>
      </c>
      <c r="E23">
        <f t="shared" si="2"/>
        <v>131.63999999999999</v>
      </c>
      <c r="F23">
        <f>481/252</f>
        <v>1.9087301587301588</v>
      </c>
      <c r="G23">
        <f t="shared" si="1"/>
        <v>5.7750000000000004</v>
      </c>
    </row>
    <row r="24" spans="1:7" ht="15" thickBot="1" x14ac:dyDescent="0.4">
      <c r="A24" s="3">
        <v>110</v>
      </c>
      <c r="B24" s="3" t="s">
        <v>7</v>
      </c>
      <c r="C24" s="2">
        <v>7.46</v>
      </c>
      <c r="D24" s="2">
        <v>8.8000000000000007</v>
      </c>
      <c r="E24">
        <f t="shared" si="2"/>
        <v>131.63999999999999</v>
      </c>
      <c r="F24">
        <f t="shared" ref="F24:F28" si="5">481/252</f>
        <v>1.9087301587301588</v>
      </c>
      <c r="G24">
        <f t="shared" si="1"/>
        <v>8.1300000000000008</v>
      </c>
    </row>
    <row r="25" spans="1:7" ht="15" thickBot="1" x14ac:dyDescent="0.4">
      <c r="A25" s="3">
        <v>120</v>
      </c>
      <c r="B25" s="3" t="s">
        <v>7</v>
      </c>
      <c r="C25" s="2">
        <v>10.39</v>
      </c>
      <c r="D25" s="2">
        <v>11.89</v>
      </c>
      <c r="E25">
        <f t="shared" si="2"/>
        <v>131.63999999999999</v>
      </c>
      <c r="F25">
        <f t="shared" si="5"/>
        <v>1.9087301587301588</v>
      </c>
      <c r="G25">
        <f t="shared" si="1"/>
        <v>11.14</v>
      </c>
    </row>
    <row r="26" spans="1:7" ht="15" thickBot="1" x14ac:dyDescent="0.4">
      <c r="A26" s="3">
        <v>140</v>
      </c>
      <c r="B26" s="3" t="s">
        <v>7</v>
      </c>
      <c r="C26" s="2">
        <v>18.86</v>
      </c>
      <c r="D26" s="2">
        <v>20.36</v>
      </c>
      <c r="E26">
        <f t="shared" si="2"/>
        <v>131.63999999999999</v>
      </c>
      <c r="F26">
        <f t="shared" si="5"/>
        <v>1.9087301587301588</v>
      </c>
      <c r="G26">
        <f t="shared" si="1"/>
        <v>19.61</v>
      </c>
    </row>
    <row r="27" spans="1:7" ht="15" thickBot="1" x14ac:dyDescent="0.4">
      <c r="A27" s="3">
        <v>160</v>
      </c>
      <c r="B27" s="3" t="s">
        <v>7</v>
      </c>
      <c r="C27" s="2">
        <v>30.72</v>
      </c>
      <c r="D27" s="2">
        <v>32.22</v>
      </c>
      <c r="E27">
        <f t="shared" si="2"/>
        <v>131.63999999999999</v>
      </c>
      <c r="F27">
        <f t="shared" si="5"/>
        <v>1.9087301587301588</v>
      </c>
      <c r="G27">
        <f t="shared" si="1"/>
        <v>31.47</v>
      </c>
    </row>
    <row r="28" spans="1:7" ht="15" thickBot="1" x14ac:dyDescent="0.4">
      <c r="A28" s="5">
        <v>200</v>
      </c>
      <c r="B28" s="3" t="s">
        <v>7</v>
      </c>
      <c r="C28" s="4">
        <v>61.72</v>
      </c>
      <c r="D28" s="4">
        <v>63.22</v>
      </c>
      <c r="E28">
        <f t="shared" si="2"/>
        <v>131.63999999999999</v>
      </c>
      <c r="F28">
        <f t="shared" si="5"/>
        <v>1.9087301587301588</v>
      </c>
      <c r="G28">
        <f t="shared" si="1"/>
        <v>62.47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EL GHOUL Melek</dc:creator>
  <cp:lastModifiedBy>BEN EL GHOUL Melek</cp:lastModifiedBy>
  <dcterms:created xsi:type="dcterms:W3CDTF">2024-07-02T14:25:27Z</dcterms:created>
  <dcterms:modified xsi:type="dcterms:W3CDTF">2024-07-02T14:54:57Z</dcterms:modified>
</cp:coreProperties>
</file>