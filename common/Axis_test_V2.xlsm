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8_{0C4BD481-4506-4B95-95F3-2C5E1EF5E43B}" xr6:coauthVersionLast="47" xr6:coauthVersionMax="47" xr10:uidLastSave="{00000000-0000-0000-0000-000000000000}"/>
  <bookViews>
    <workbookView xWindow="-108" yWindow="-108" windowWidth="23256" windowHeight="12456" firstSheet="1" activeTab="4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</sheets>
  <functionGroups builtInGroupCount="19"/>
  <externalReferences>
    <externalReference r:id="rId9"/>
    <externalReference r:id="rId10"/>
    <externalReference r:id="rId11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8" i="8" l="1"/>
  <c r="F33" i="8" a="1"/>
  <c r="F33" i="8"/>
  <c r="G33" i="8"/>
  <c r="H33" i="8"/>
  <c r="I33" i="8"/>
  <c r="J33" i="8"/>
  <c r="K33" i="8"/>
  <c r="F34" i="8" a="1"/>
  <c r="F34" i="8"/>
  <c r="G34" i="8"/>
  <c r="H34" i="8"/>
  <c r="I34" i="8"/>
  <c r="J34" i="8"/>
  <c r="K34" i="8"/>
  <c r="F35" i="8" a="1"/>
  <c r="F35" i="8"/>
  <c r="G35" i="8"/>
  <c r="H35" i="8"/>
  <c r="I35" i="8"/>
  <c r="J35" i="8"/>
  <c r="K35" i="8"/>
  <c r="F36" i="8" a="1"/>
  <c r="F36" i="8"/>
  <c r="G36" i="8"/>
  <c r="H36" i="8"/>
  <c r="I36" i="8"/>
  <c r="J36" i="8"/>
  <c r="K36" i="8"/>
  <c r="F37" i="8" a="1"/>
  <c r="F37" i="8"/>
  <c r="G37" i="8"/>
  <c r="H37" i="8"/>
  <c r="I37" i="8"/>
  <c r="J37" i="8"/>
  <c r="K37" i="8"/>
  <c r="F38" i="8" a="1"/>
  <c r="F38" i="8"/>
  <c r="G38" i="8"/>
  <c r="H38" i="8"/>
  <c r="I38" i="8"/>
  <c r="K38" i="8"/>
  <c r="F40" i="8" a="1"/>
  <c r="F40" i="8"/>
  <c r="G40" i="8" a="1"/>
  <c r="G40" i="8"/>
  <c r="H40" i="8" a="1"/>
  <c r="H40" i="8"/>
  <c r="I40" i="8" a="1"/>
  <c r="I40" i="8"/>
  <c r="J40" i="8" a="1"/>
  <c r="J40" i="8"/>
  <c r="K40" i="8"/>
  <c r="F15" i="8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F10" i="8"/>
  <c r="F11" i="8"/>
  <c r="C9" i="8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14" i="6"/>
  <c r="A15" i="6" s="1"/>
  <c r="A16" i="6" s="1"/>
  <c r="A17" i="6" s="1"/>
  <c r="A18" i="6" s="1"/>
  <c r="A19" i="6" s="1"/>
  <c r="A20" i="6" s="1"/>
  <c r="A21" i="6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E7" i="3" l="1"/>
  <c r="C7" i="6"/>
  <c r="N361" i="6" a="1"/>
  <c r="N355" i="6" a="1"/>
  <c r="N349" i="6" a="1"/>
  <c r="N274" i="6" a="1"/>
  <c r="N260" i="6" a="1"/>
  <c r="N250" i="6" a="1"/>
  <c r="N236" i="6" a="1"/>
  <c r="N122" i="6" a="1"/>
  <c r="N90" i="6" a="1"/>
  <c r="N58" i="6" a="1"/>
  <c r="N329" i="6" a="1"/>
  <c r="N297" i="6" a="1"/>
  <c r="N273" i="6" a="1"/>
  <c r="N201" i="6" a="1"/>
  <c r="N171" i="6" a="1"/>
  <c r="N139" i="6" a="1"/>
  <c r="N89" i="6" a="1"/>
  <c r="N53" i="6" a="1"/>
  <c r="N22" i="6" a="1"/>
  <c r="N348" i="6" a="1"/>
  <c r="N342" i="6" a="1"/>
  <c r="N336" i="6" a="1"/>
  <c r="N296" i="6" a="1"/>
  <c r="N219" i="6" a="1"/>
  <c r="N152" i="6" a="1"/>
  <c r="N134" i="6" a="1"/>
  <c r="N120" i="6" a="1"/>
  <c r="N102" i="6" a="1"/>
  <c r="N70" i="6" a="1"/>
  <c r="K11" i="6" a="1"/>
  <c r="N360" i="6" a="1"/>
  <c r="N354" i="6" a="1"/>
  <c r="N326" i="6" a="1"/>
  <c r="N317" i="6" a="1"/>
  <c r="N305" i="6" a="1"/>
  <c r="N282" i="6" a="1"/>
  <c r="N256" i="6" a="1"/>
  <c r="N232" i="6" a="1"/>
  <c r="N214" i="6" a="1"/>
  <c r="N66" i="6" a="1"/>
  <c r="N34" i="6" a="1"/>
  <c r="N16" i="6" a="1"/>
  <c r="N358" i="6" a="1"/>
  <c r="N352" i="6" a="1"/>
  <c r="N346" i="6" a="1"/>
  <c r="N292" i="6" a="1"/>
  <c r="N268" i="6" a="1"/>
  <c r="N242" i="6" a="1"/>
  <c r="N115" i="6" a="1"/>
  <c r="N97" i="6" a="1"/>
  <c r="N83" i="6" a="1"/>
  <c r="N65" i="6" a="1"/>
  <c r="N33" i="6" a="1"/>
  <c r="G11" i="6" a="1"/>
  <c r="N333" i="6" a="1"/>
  <c r="N278" i="6" a="1"/>
  <c r="N254" i="6" a="1"/>
  <c r="N227" i="6" a="1"/>
  <c r="N213" i="6" a="1"/>
  <c r="N195" i="6" a="1"/>
  <c r="N163" i="6" a="1"/>
  <c r="N113" i="6" a="1"/>
  <c r="N29" i="6" a="1"/>
  <c r="N345" i="6" a="1"/>
  <c r="N339" i="6" a="1"/>
  <c r="N332" i="6" a="1"/>
  <c r="N313" i="6" a="1"/>
  <c r="N288" i="6" a="1"/>
  <c r="N264" i="6" a="1"/>
  <c r="N357" i="6" a="1"/>
  <c r="N310" i="6" a="1"/>
  <c r="N301" i="6" a="1"/>
  <c r="N208" i="6" a="1"/>
  <c r="N176" i="6" a="1"/>
  <c r="N158" i="6" a="1"/>
  <c r="N126" i="6" a="1"/>
  <c r="N59" i="6" a="1"/>
  <c r="N41" i="6" a="1"/>
  <c r="N27" i="6" a="1"/>
  <c r="N325" i="6" a="1"/>
  <c r="N308" i="6" a="1"/>
  <c r="N291" i="6" a="1"/>
  <c r="N259" i="6" a="1"/>
  <c r="N245" i="6" a="1"/>
  <c r="N200" i="6" a="1"/>
  <c r="N194" i="6" a="1"/>
  <c r="N187" i="6" a="1"/>
  <c r="N181" i="6" a="1"/>
  <c r="N157" i="6" a="1"/>
  <c r="N150" i="6" a="1"/>
  <c r="N144" i="6" a="1"/>
  <c r="N131" i="6" a="1"/>
  <c r="N107" i="6" a="1"/>
  <c r="N94" i="6" a="1"/>
  <c r="N88" i="6" a="1"/>
  <c r="N57" i="6" a="1"/>
  <c r="N51" i="6" a="1"/>
  <c r="N38" i="6" a="1"/>
  <c r="N328" i="6" a="1"/>
  <c r="N320" i="6" a="1"/>
  <c r="N316" i="6" a="1"/>
  <c r="N304" i="6" a="1"/>
  <c r="N281" i="6" a="1"/>
  <c r="N277" i="6" a="1"/>
  <c r="N267" i="6" a="1"/>
  <c r="N235" i="6" a="1"/>
  <c r="N218" i="6" a="1"/>
  <c r="N211" i="6" a="1"/>
  <c r="N205" i="6" a="1"/>
  <c r="N168" i="6" a="1"/>
  <c r="N155" i="6" a="1"/>
  <c r="N149" i="6" a="1"/>
  <c r="N125" i="6" a="1"/>
  <c r="N118" i="6" a="1"/>
  <c r="N112" i="6" a="1"/>
  <c r="N99" i="6" a="1"/>
  <c r="N75" i="6" a="1"/>
  <c r="N62" i="6" a="1"/>
  <c r="N25" i="6" a="1"/>
  <c r="N19" i="6" a="1"/>
  <c r="M11" i="6" a="1"/>
  <c r="E11" i="6" a="1"/>
  <c r="N356" i="6" a="1"/>
  <c r="N353" i="6" a="1"/>
  <c r="N350" i="6" a="1"/>
  <c r="N347" i="6" a="1"/>
  <c r="N344" i="6" a="1"/>
  <c r="N341" i="6" a="1"/>
  <c r="N338" i="6" a="1"/>
  <c r="N331" i="6" a="1"/>
  <c r="N311" i="6" a="1"/>
  <c r="N299" i="6" a="1"/>
  <c r="N285" i="6" a="1"/>
  <c r="N276" i="6" a="1"/>
  <c r="N257" i="6" a="1"/>
  <c r="N253" i="6" a="1"/>
  <c r="N229" i="6" a="1"/>
  <c r="N217" i="6" a="1"/>
  <c r="N186" i="6" a="1"/>
  <c r="N173" i="6" a="1"/>
  <c r="N161" i="6" a="1"/>
  <c r="N136" i="6" a="1"/>
  <c r="N106" i="6" a="1"/>
  <c r="N80" i="6" a="1"/>
  <c r="N69" i="6" a="1"/>
  <c r="N43" i="6" a="1"/>
  <c r="N13" i="6" a="1"/>
  <c r="N334" i="6" a="1"/>
  <c r="N323" i="6" a="1"/>
  <c r="N319" i="6" a="1"/>
  <c r="N307" i="6" a="1"/>
  <c r="N294" i="6" a="1"/>
  <c r="N289" i="6" a="1"/>
  <c r="N275" i="6" a="1"/>
  <c r="N261" i="6" a="1"/>
  <c r="N233" i="6" a="1"/>
  <c r="N222" i="6" a="1"/>
  <c r="N209" i="6" a="1"/>
  <c r="N197" i="6" a="1"/>
  <c r="N185" i="6" a="1"/>
  <c r="N141" i="6" a="1"/>
  <c r="N130" i="6" a="1"/>
  <c r="N104" i="6" a="1"/>
  <c r="N74" i="6" a="1"/>
  <c r="N37" i="6" a="1"/>
  <c r="N24" i="6" a="1"/>
  <c r="L11" i="6" a="1"/>
  <c r="N340" i="6" a="1"/>
  <c r="N337" i="6" a="1"/>
  <c r="N302" i="6" a="1"/>
  <c r="N284" i="6" a="1"/>
  <c r="N280" i="6" a="1"/>
  <c r="N270" i="6" a="1"/>
  <c r="N266" i="6" a="1"/>
  <c r="N238" i="6" a="1"/>
  <c r="N177" i="6" a="1"/>
  <c r="N166" i="6" a="1"/>
  <c r="N153" i="6" a="1"/>
  <c r="N98" i="6" a="1"/>
  <c r="N85" i="6" a="1"/>
  <c r="N73" i="6" a="1"/>
  <c r="N61" i="6" a="1"/>
  <c r="N42" i="6" a="1"/>
  <c r="N17" i="6" a="1"/>
  <c r="N330" i="6" a="1"/>
  <c r="N303" i="6" a="1"/>
  <c r="N300" i="6" a="1"/>
  <c r="N290" i="6" a="1"/>
  <c r="N283" i="6" a="1"/>
  <c r="N269" i="6" a="1"/>
  <c r="N262" i="6" a="1"/>
  <c r="N248" i="6" a="1"/>
  <c r="N241" i="6" a="1"/>
  <c r="N230" i="6" a="1"/>
  <c r="N226" i="6" a="1"/>
  <c r="N203" i="6" a="1"/>
  <c r="N193" i="6" a="1"/>
  <c r="N189" i="6" a="1"/>
  <c r="N184" i="6" a="1"/>
  <c r="N147" i="6" a="1"/>
  <c r="N138" i="6" a="1"/>
  <c r="N133" i="6" a="1"/>
  <c r="N105" i="6" a="1"/>
  <c r="N91" i="6" a="1"/>
  <c r="N54" i="6" a="1"/>
  <c r="N49" i="6" a="1"/>
  <c r="N45" i="6" a="1"/>
  <c r="N35" i="6" a="1"/>
  <c r="H11" i="6" a="1"/>
  <c r="N359" i="6" a="1"/>
  <c r="N351" i="6" a="1"/>
  <c r="N343" i="6" a="1"/>
  <c r="N335" i="6" a="1"/>
  <c r="N327" i="6" a="1"/>
  <c r="N324" i="6" a="1"/>
  <c r="N321" i="6" a="1"/>
  <c r="N318" i="6" a="1"/>
  <c r="N315" i="6" a="1"/>
  <c r="N312" i="6" a="1"/>
  <c r="N309" i="6" a="1"/>
  <c r="N293" i="6" a="1"/>
  <c r="N286" i="6" a="1"/>
  <c r="N272" i="6" a="1"/>
  <c r="N265" i="6" a="1"/>
  <c r="N258" i="6" a="1"/>
  <c r="N251" i="6" a="1"/>
  <c r="N244" i="6" a="1"/>
  <c r="N225" i="6" a="1"/>
  <c r="N221" i="6" a="1"/>
  <c r="N216" i="6" a="1"/>
  <c r="N202" i="6" a="1"/>
  <c r="N179" i="6" a="1"/>
  <c r="N169" i="6" a="1"/>
  <c r="N165" i="6" a="1"/>
  <c r="N123" i="6" a="1"/>
  <c r="N86" i="6" a="1"/>
  <c r="N81" i="6" a="1"/>
  <c r="N77" i="6" a="1"/>
  <c r="N72" i="6" a="1"/>
  <c r="N67" i="6" a="1"/>
  <c r="N30" i="6" a="1"/>
  <c r="N26" i="6" a="1"/>
  <c r="N21" i="6" a="1"/>
  <c r="N322" i="6" a="1"/>
  <c r="N314" i="6" a="1"/>
  <c r="N306" i="6" a="1"/>
  <c r="N298" i="6" a="1"/>
  <c r="N252" i="6" a="1"/>
  <c r="N249" i="6" a="1"/>
  <c r="N246" i="6" a="1"/>
  <c r="N243" i="6" a="1"/>
  <c r="N240" i="6" a="1"/>
  <c r="N237" i="6" a="1"/>
  <c r="N234" i="6" a="1"/>
  <c r="N198" i="6" a="1"/>
  <c r="N190" i="6" a="1"/>
  <c r="N182" i="6" a="1"/>
  <c r="N170" i="6" a="1"/>
  <c r="N162" i="6" a="1"/>
  <c r="N154" i="6" a="1"/>
  <c r="N145" i="6" a="1"/>
  <c r="N137" i="6" a="1"/>
  <c r="N129" i="6" a="1"/>
  <c r="N121" i="6" a="1"/>
  <c r="N117" i="6" a="1"/>
  <c r="N109" i="6" a="1"/>
  <c r="N101" i="6" a="1"/>
  <c r="N93" i="6" a="1"/>
  <c r="N56" i="6" a="1"/>
  <c r="N48" i="6" a="1"/>
  <c r="N40" i="6" a="1"/>
  <c r="N295" i="6" a="1"/>
  <c r="N287" i="6" a="1"/>
  <c r="N279" i="6" a="1"/>
  <c r="N271" i="6" a="1"/>
  <c r="N263" i="6" a="1"/>
  <c r="N255" i="6" a="1"/>
  <c r="N247" i="6" a="1"/>
  <c r="N239" i="6" a="1"/>
  <c r="N231" i="6" a="1"/>
  <c r="N224" i="6" a="1"/>
  <c r="N210" i="6" a="1"/>
  <c r="N206" i="6" a="1"/>
  <c r="N192" i="6" a="1"/>
  <c r="N178" i="6" a="1"/>
  <c r="N174" i="6" a="1"/>
  <c r="N160" i="6" a="1"/>
  <c r="N146" i="6" a="1"/>
  <c r="N142" i="6" a="1"/>
  <c r="N128" i="6" a="1"/>
  <c r="N114" i="6" a="1"/>
  <c r="N110" i="6" a="1"/>
  <c r="N96" i="6" a="1"/>
  <c r="N82" i="6" a="1"/>
  <c r="N78" i="6" a="1"/>
  <c r="N64" i="6" a="1"/>
  <c r="N50" i="6" a="1"/>
  <c r="N46" i="6" a="1"/>
  <c r="N32" i="6" a="1"/>
  <c r="N18" i="6" a="1"/>
  <c r="N14" i="6" a="1"/>
  <c r="I11" i="6" a="1"/>
  <c r="N223" i="6" a="1"/>
  <c r="N215" i="6" a="1"/>
  <c r="N207" i="6" a="1"/>
  <c r="N199" i="6" a="1"/>
  <c r="N191" i="6" a="1"/>
  <c r="N183" i="6" a="1"/>
  <c r="N175" i="6" a="1"/>
  <c r="N167" i="6" a="1"/>
  <c r="N159" i="6" a="1"/>
  <c r="N151" i="6" a="1"/>
  <c r="N143" i="6" a="1"/>
  <c r="N135" i="6" a="1"/>
  <c r="N127" i="6" a="1"/>
  <c r="N119" i="6" a="1"/>
  <c r="N111" i="6" a="1"/>
  <c r="N103" i="6" a="1"/>
  <c r="N95" i="6" a="1"/>
  <c r="N87" i="6" a="1"/>
  <c r="N79" i="6" a="1"/>
  <c r="N71" i="6" a="1"/>
  <c r="N63" i="6" a="1"/>
  <c r="N55" i="6" a="1"/>
  <c r="N47" i="6" a="1"/>
  <c r="N39" i="6" a="1"/>
  <c r="N31" i="6" a="1"/>
  <c r="N23" i="6" a="1"/>
  <c r="N15" i="6" a="1"/>
  <c r="N228" i="6" a="1"/>
  <c r="N220" i="6" a="1"/>
  <c r="N212" i="6" a="1"/>
  <c r="N204" i="6" a="1"/>
  <c r="N196" i="6" a="1"/>
  <c r="N188" i="6" a="1"/>
  <c r="N180" i="6" a="1"/>
  <c r="N172" i="6" a="1"/>
  <c r="N164" i="6" a="1"/>
  <c r="N156" i="6" a="1"/>
  <c r="N148" i="6" a="1"/>
  <c r="N140" i="6" a="1"/>
  <c r="N132" i="6" a="1"/>
  <c r="N124" i="6" a="1"/>
  <c r="N116" i="6" a="1"/>
  <c r="N108" i="6" a="1"/>
  <c r="N100" i="6" a="1"/>
  <c r="N92" i="6" a="1"/>
  <c r="N84" i="6" a="1"/>
  <c r="N76" i="6" a="1"/>
  <c r="N68" i="6" a="1"/>
  <c r="N60" i="6" a="1"/>
  <c r="N52" i="6" a="1"/>
  <c r="N44" i="6" a="1"/>
  <c r="N36" i="6" a="1"/>
  <c r="N28" i="6" a="1"/>
  <c r="N20" i="6" a="1"/>
  <c r="N12" i="6" a="1"/>
  <c r="J11" i="6" a="1"/>
  <c r="F11" i="6" a="1"/>
  <c r="F11" i="6" l="1"/>
  <c r="J11" i="6"/>
  <c r="U12" i="6"/>
  <c r="AC12" i="6"/>
  <c r="N12" i="6"/>
  <c r="V12" i="6"/>
  <c r="AD12" i="6"/>
  <c r="O12" i="6"/>
  <c r="Y12" i="6"/>
  <c r="P12" i="6"/>
  <c r="AA12" i="6"/>
  <c r="AB12" i="6"/>
  <c r="Q12" i="6"/>
  <c r="AE12" i="6"/>
  <c r="X12" i="6"/>
  <c r="Z12" i="6"/>
  <c r="R12" i="6"/>
  <c r="W12" i="6"/>
  <c r="S12" i="6"/>
  <c r="T12" i="6"/>
  <c r="N20" i="6"/>
  <c r="N28" i="6"/>
  <c r="N36" i="6"/>
  <c r="N44" i="6"/>
  <c r="N52" i="6"/>
  <c r="N60" i="6"/>
  <c r="N68" i="6"/>
  <c r="N76" i="6"/>
  <c r="N84" i="6"/>
  <c r="N92" i="6"/>
  <c r="N100" i="6"/>
  <c r="N108" i="6"/>
  <c r="N116" i="6"/>
  <c r="N124" i="6"/>
  <c r="N132" i="6"/>
  <c r="N140" i="6"/>
  <c r="N148" i="6"/>
  <c r="N156" i="6"/>
  <c r="N164" i="6"/>
  <c r="N172" i="6"/>
  <c r="N180" i="6"/>
  <c r="N188" i="6"/>
  <c r="N196" i="6"/>
  <c r="N204" i="6"/>
  <c r="N212" i="6"/>
  <c r="N220" i="6"/>
  <c r="N228" i="6"/>
  <c r="N15" i="6"/>
  <c r="N23" i="6"/>
  <c r="N31" i="6"/>
  <c r="N39" i="6"/>
  <c r="N47" i="6"/>
  <c r="N55" i="6"/>
  <c r="N63" i="6"/>
  <c r="N71" i="6"/>
  <c r="N79" i="6"/>
  <c r="N87" i="6"/>
  <c r="N95" i="6"/>
  <c r="N103" i="6"/>
  <c r="N111" i="6"/>
  <c r="N119" i="6"/>
  <c r="N127" i="6"/>
  <c r="N135" i="6"/>
  <c r="N143" i="6"/>
  <c r="N151" i="6"/>
  <c r="N159" i="6"/>
  <c r="N167" i="6"/>
  <c r="N175" i="6"/>
  <c r="N183" i="6"/>
  <c r="N191" i="6"/>
  <c r="N199" i="6"/>
  <c r="N207" i="6"/>
  <c r="N215" i="6"/>
  <c r="N223" i="6"/>
  <c r="I11" i="6"/>
  <c r="N14" i="6"/>
  <c r="N18" i="6"/>
  <c r="N32" i="6"/>
  <c r="N46" i="6"/>
  <c r="N50" i="6"/>
  <c r="N64" i="6"/>
  <c r="N78" i="6"/>
  <c r="N82" i="6"/>
  <c r="N96" i="6"/>
  <c r="N110" i="6"/>
  <c r="N114" i="6"/>
  <c r="N128" i="6"/>
  <c r="N142" i="6"/>
  <c r="N146" i="6"/>
  <c r="N160" i="6"/>
  <c r="N174" i="6"/>
  <c r="N178" i="6"/>
  <c r="N192" i="6"/>
  <c r="N206" i="6"/>
  <c r="N210" i="6"/>
  <c r="N224" i="6"/>
  <c r="N231" i="6"/>
  <c r="N239" i="6"/>
  <c r="N247" i="6"/>
  <c r="N255" i="6"/>
  <c r="N263" i="6"/>
  <c r="N271" i="6"/>
  <c r="N279" i="6"/>
  <c r="N287" i="6"/>
  <c r="N295" i="6"/>
  <c r="N40" i="6"/>
  <c r="N48" i="6"/>
  <c r="N56" i="6"/>
  <c r="N93" i="6"/>
  <c r="N101" i="6"/>
  <c r="N109" i="6"/>
  <c r="N117" i="6"/>
  <c r="N121" i="6"/>
  <c r="N129" i="6"/>
  <c r="N137" i="6"/>
  <c r="N145" i="6"/>
  <c r="N154" i="6"/>
  <c r="N162" i="6"/>
  <c r="N170" i="6"/>
  <c r="N182" i="6"/>
  <c r="N190" i="6"/>
  <c r="N198" i="6"/>
  <c r="N234" i="6"/>
  <c r="N237" i="6"/>
  <c r="N240" i="6"/>
  <c r="N243" i="6"/>
  <c r="N246" i="6"/>
  <c r="N249" i="6"/>
  <c r="N252" i="6"/>
  <c r="N298" i="6"/>
  <c r="N306" i="6"/>
  <c r="N314" i="6"/>
  <c r="N322" i="6"/>
  <c r="N21" i="6"/>
  <c r="N26" i="6"/>
  <c r="N30" i="6"/>
  <c r="N67" i="6"/>
  <c r="N72" i="6"/>
  <c r="N77" i="6"/>
  <c r="N81" i="6"/>
  <c r="N86" i="6"/>
  <c r="N123" i="6"/>
  <c r="N165" i="6"/>
  <c r="N169" i="6"/>
  <c r="N179" i="6"/>
  <c r="N202" i="6"/>
  <c r="N216" i="6"/>
  <c r="N221" i="6"/>
  <c r="N225" i="6"/>
  <c r="N244" i="6"/>
  <c r="N251" i="6"/>
  <c r="N258" i="6"/>
  <c r="N265" i="6"/>
  <c r="N272" i="6"/>
  <c r="N286" i="6"/>
  <c r="N293" i="6"/>
  <c r="N309" i="6"/>
  <c r="N312" i="6"/>
  <c r="N315" i="6"/>
  <c r="N318" i="6"/>
  <c r="N321" i="6"/>
  <c r="N324" i="6"/>
  <c r="N327" i="6"/>
  <c r="N335" i="6"/>
  <c r="N343" i="6"/>
  <c r="N351" i="6"/>
  <c r="N359" i="6"/>
  <c r="H11" i="6"/>
  <c r="N35" i="6"/>
  <c r="N45" i="6"/>
  <c r="N49" i="6"/>
  <c r="N54" i="6"/>
  <c r="N91" i="6"/>
  <c r="N105" i="6"/>
  <c r="N133" i="6"/>
  <c r="N138" i="6"/>
  <c r="N147" i="6"/>
  <c r="N184" i="6"/>
  <c r="N189" i="6"/>
  <c r="N193" i="6"/>
  <c r="N203" i="6"/>
  <c r="N226" i="6"/>
  <c r="N230" i="6"/>
  <c r="N241" i="6"/>
  <c r="N248" i="6"/>
  <c r="N262" i="6"/>
  <c r="N269" i="6"/>
  <c r="N283" i="6"/>
  <c r="N290" i="6"/>
  <c r="N300" i="6"/>
  <c r="N303" i="6"/>
  <c r="N330" i="6"/>
  <c r="N17" i="6"/>
  <c r="N42" i="6"/>
  <c r="N61" i="6"/>
  <c r="N73" i="6"/>
  <c r="N85" i="6"/>
  <c r="N98" i="6"/>
  <c r="N153" i="6"/>
  <c r="N166" i="6"/>
  <c r="N177" i="6"/>
  <c r="N238" i="6"/>
  <c r="N266" i="6"/>
  <c r="N270" i="6"/>
  <c r="N280" i="6"/>
  <c r="N284" i="6"/>
  <c r="N302" i="6"/>
  <c r="N337" i="6"/>
  <c r="N340" i="6"/>
  <c r="L11" i="6"/>
  <c r="N24" i="6"/>
  <c r="N37" i="6"/>
  <c r="N74" i="6"/>
  <c r="N104" i="6"/>
  <c r="N130" i="6"/>
  <c r="N141" i="6"/>
  <c r="N185" i="6"/>
  <c r="N197" i="6"/>
  <c r="N209" i="6"/>
  <c r="N222" i="6"/>
  <c r="N233" i="6"/>
  <c r="N261" i="6"/>
  <c r="N275" i="6"/>
  <c r="N289" i="6"/>
  <c r="N294" i="6"/>
  <c r="N307" i="6"/>
  <c r="N319" i="6"/>
  <c r="N323" i="6"/>
  <c r="N334" i="6"/>
  <c r="N13" i="6"/>
  <c r="N43" i="6"/>
  <c r="N69" i="6"/>
  <c r="N80" i="6"/>
  <c r="N106" i="6"/>
  <c r="N136" i="6"/>
  <c r="N161" i="6"/>
  <c r="N173" i="6"/>
  <c r="N186" i="6"/>
  <c r="N217" i="6"/>
  <c r="N229" i="6"/>
  <c r="N253" i="6"/>
  <c r="N257" i="6"/>
  <c r="N276" i="6"/>
  <c r="N285" i="6"/>
  <c r="N299" i="6"/>
  <c r="N311" i="6"/>
  <c r="N331" i="6"/>
  <c r="N338" i="6"/>
  <c r="N341" i="6"/>
  <c r="N344" i="6"/>
  <c r="N347" i="6"/>
  <c r="N350" i="6"/>
  <c r="N353" i="6"/>
  <c r="N356" i="6"/>
  <c r="E11" i="6"/>
  <c r="M11" i="6"/>
  <c r="N19" i="6"/>
  <c r="N25" i="6"/>
  <c r="N62" i="6"/>
  <c r="N75" i="6"/>
  <c r="N99" i="6"/>
  <c r="N112" i="6"/>
  <c r="N118" i="6"/>
  <c r="N125" i="6"/>
  <c r="N149" i="6"/>
  <c r="N155" i="6"/>
  <c r="N168" i="6"/>
  <c r="N205" i="6"/>
  <c r="N211" i="6"/>
  <c r="N218" i="6"/>
  <c r="N235" i="6"/>
  <c r="N267" i="6"/>
  <c r="N277" i="6"/>
  <c r="N281" i="6"/>
  <c r="N304" i="6"/>
  <c r="N316" i="6"/>
  <c r="N320" i="6"/>
  <c r="N328" i="6"/>
  <c r="N38" i="6"/>
  <c r="N51" i="6"/>
  <c r="N57" i="6"/>
  <c r="N88" i="6"/>
  <c r="N94" i="6"/>
  <c r="N107" i="6"/>
  <c r="N131" i="6"/>
  <c r="N144" i="6"/>
  <c r="N150" i="6"/>
  <c r="N157" i="6"/>
  <c r="N181" i="6"/>
  <c r="N187" i="6"/>
  <c r="N194" i="6"/>
  <c r="N200" i="6"/>
  <c r="N245" i="6"/>
  <c r="N259" i="6"/>
  <c r="N291" i="6"/>
  <c r="N308" i="6"/>
  <c r="N325" i="6"/>
  <c r="N27" i="6"/>
  <c r="N41" i="6"/>
  <c r="N59" i="6"/>
  <c r="N126" i="6"/>
  <c r="N158" i="6"/>
  <c r="N176" i="6"/>
  <c r="N208" i="6"/>
  <c r="N301" i="6"/>
  <c r="N310" i="6"/>
  <c r="N357" i="6"/>
  <c r="N264" i="6"/>
  <c r="N288" i="6"/>
  <c r="N313" i="6"/>
  <c r="N332" i="6"/>
  <c r="N339" i="6"/>
  <c r="N345" i="6"/>
  <c r="N29" i="6"/>
  <c r="N113" i="6"/>
  <c r="N163" i="6"/>
  <c r="N195" i="6"/>
  <c r="N213" i="6"/>
  <c r="N227" i="6"/>
  <c r="N254" i="6"/>
  <c r="N278" i="6"/>
  <c r="N333" i="6"/>
  <c r="G11" i="6"/>
  <c r="N33" i="6"/>
  <c r="N65" i="6"/>
  <c r="N83" i="6"/>
  <c r="N97" i="6"/>
  <c r="N115" i="6"/>
  <c r="N242" i="6"/>
  <c r="N268" i="6"/>
  <c r="N292" i="6"/>
  <c r="N346" i="6"/>
  <c r="N352" i="6"/>
  <c r="N358" i="6"/>
  <c r="N16" i="6"/>
  <c r="N34" i="6"/>
  <c r="N66" i="6"/>
  <c r="N214" i="6"/>
  <c r="N232" i="6"/>
  <c r="N256" i="6"/>
  <c r="N282" i="6"/>
  <c r="N305" i="6"/>
  <c r="N317" i="6"/>
  <c r="N326" i="6"/>
  <c r="N354" i="6"/>
  <c r="N360" i="6"/>
  <c r="K11" i="6"/>
  <c r="N70" i="6"/>
  <c r="N102" i="6"/>
  <c r="N120" i="6"/>
  <c r="N134" i="6"/>
  <c r="N152" i="6"/>
  <c r="N219" i="6"/>
  <c r="N296" i="6"/>
  <c r="N336" i="6"/>
  <c r="N342" i="6"/>
  <c r="N348" i="6"/>
  <c r="N22" i="6"/>
  <c r="N53" i="6"/>
  <c r="N89" i="6"/>
  <c r="N139" i="6"/>
  <c r="N171" i="6"/>
  <c r="N201" i="6"/>
  <c r="N273" i="6"/>
  <c r="N297" i="6"/>
  <c r="N329" i="6"/>
  <c r="N58" i="6"/>
  <c r="N90" i="6"/>
  <c r="N122" i="6"/>
  <c r="N236" i="6"/>
  <c r="N250" i="6"/>
  <c r="N260" i="6"/>
  <c r="N274" i="6"/>
  <c r="N349" i="6"/>
  <c r="N355" i="6"/>
  <c r="N361" i="6"/>
  <c r="C7" i="4"/>
  <c r="B10" i="7"/>
  <c r="C10" i="7"/>
  <c r="C11" i="7"/>
  <c r="B11" i="7"/>
  <c r="B12" i="7"/>
  <c r="C12" i="7"/>
  <c r="B13" i="7"/>
  <c r="C13" i="7"/>
  <c r="B14" i="7"/>
  <c r="C14" i="7"/>
  <c r="B15" i="7"/>
  <c r="C15" i="7"/>
  <c r="B16" i="7"/>
  <c r="C16" i="7"/>
  <c r="B17" i="7"/>
  <c r="C17" i="7"/>
  <c r="B18" i="7"/>
  <c r="C18" i="7"/>
  <c r="B19" i="7"/>
  <c r="C19" i="7"/>
  <c r="B20" i="7"/>
  <c r="C20" i="7"/>
  <c r="B21" i="7"/>
  <c r="C21" i="7"/>
  <c r="B22" i="7"/>
  <c r="C22" i="7"/>
  <c r="B23" i="7"/>
  <c r="C23" i="7"/>
  <c r="B24" i="7"/>
  <c r="C24" i="7"/>
  <c r="B25" i="7"/>
  <c r="C25" i="7"/>
  <c r="B26" i="7"/>
  <c r="C26" i="7"/>
  <c r="B27" i="7"/>
  <c r="C27" i="7"/>
  <c r="B28" i="7"/>
  <c r="C28" i="7"/>
  <c r="B29" i="7"/>
  <c r="C29" i="7"/>
  <c r="B30" i="7"/>
  <c r="C30" i="7"/>
  <c r="B31" i="7"/>
  <c r="C31" i="7"/>
  <c r="B32" i="7"/>
  <c r="C32" i="7"/>
  <c r="B33" i="7"/>
  <c r="C33" i="7"/>
  <c r="B34" i="7"/>
  <c r="C34" i="7"/>
  <c r="B35" i="7"/>
  <c r="C35" i="7"/>
  <c r="B36" i="7"/>
  <c r="C36" i="7"/>
  <c r="B37" i="7"/>
  <c r="C37" i="7"/>
  <c r="B38" i="7"/>
  <c r="C38" i="7"/>
  <c r="B39" i="7"/>
  <c r="C39" i="7"/>
  <c r="B40" i="7"/>
  <c r="C40" i="7"/>
  <c r="B41" i="7"/>
  <c r="C41" i="7"/>
  <c r="B42" i="7"/>
  <c r="C42" i="7"/>
  <c r="B43" i="7"/>
  <c r="C43" i="7"/>
  <c r="B44" i="7"/>
  <c r="C44" i="7"/>
  <c r="B45" i="7"/>
  <c r="C45" i="7"/>
  <c r="B46" i="7"/>
  <c r="C46" i="7"/>
  <c r="B47" i="7"/>
  <c r="C47" i="7"/>
  <c r="B48" i="7"/>
  <c r="C48" i="7"/>
  <c r="B49" i="7"/>
  <c r="C49" i="7"/>
  <c r="B50" i="7"/>
  <c r="C50" i="7"/>
  <c r="B51" i="7"/>
  <c r="C51" i="7"/>
  <c r="B52" i="7"/>
  <c r="C52" i="7"/>
  <c r="B53" i="7"/>
  <c r="C53" i="7"/>
  <c r="B54" i="7"/>
  <c r="C54" i="7"/>
  <c r="B55" i="7"/>
  <c r="C55" i="7"/>
  <c r="B56" i="7"/>
  <c r="C56" i="7"/>
  <c r="B57" i="7"/>
  <c r="C57" i="7"/>
  <c r="B58" i="7"/>
  <c r="C58" i="7"/>
  <c r="B59" i="7"/>
  <c r="C59" i="7"/>
  <c r="B60" i="7"/>
  <c r="C60" i="7"/>
  <c r="B61" i="7"/>
  <c r="C61" i="7"/>
  <c r="B62" i="7"/>
  <c r="C62" i="7"/>
  <c r="B63" i="7"/>
  <c r="C63" i="7"/>
  <c r="B64" i="7"/>
  <c r="C64" i="7"/>
  <c r="B65" i="7"/>
  <c r="C65" i="7"/>
  <c r="B66" i="7"/>
  <c r="C66" i="7"/>
  <c r="B67" i="7"/>
  <c r="C67" i="7"/>
  <c r="B68" i="7"/>
  <c r="C68" i="7"/>
  <c r="B69" i="7"/>
  <c r="C69" i="7"/>
  <c r="B70" i="7"/>
  <c r="C70" i="7"/>
  <c r="B71" i="7"/>
  <c r="C71" i="7"/>
  <c r="B72" i="7"/>
  <c r="C72" i="7"/>
  <c r="B73" i="7"/>
  <c r="C73" i="7"/>
  <c r="B74" i="7"/>
  <c r="C74" i="7"/>
  <c r="B75" i="7"/>
  <c r="C75" i="7"/>
  <c r="B76" i="7"/>
  <c r="C76" i="7"/>
  <c r="B77" i="7"/>
  <c r="C77" i="7"/>
  <c r="B78" i="7"/>
  <c r="C78" i="7"/>
  <c r="B79" i="7"/>
  <c r="C79" i="7"/>
  <c r="B80" i="7"/>
  <c r="C80" i="7"/>
  <c r="B81" i="7"/>
  <c r="C81" i="7"/>
  <c r="B82" i="7"/>
  <c r="C82" i="7"/>
  <c r="B83" i="7"/>
  <c r="C83" i="7"/>
  <c r="B84" i="7"/>
  <c r="C84" i="7"/>
  <c r="B85" i="7"/>
  <c r="C85" i="7"/>
  <c r="B86" i="7"/>
  <c r="C86" i="7"/>
  <c r="B87" i="7"/>
  <c r="C87" i="7"/>
  <c r="B88" i="7"/>
  <c r="C88" i="7"/>
  <c r="B89" i="7"/>
  <c r="C89" i="7"/>
  <c r="B90" i="7"/>
  <c r="C90" i="7"/>
  <c r="B91" i="7"/>
  <c r="C91" i="7"/>
  <c r="B92" i="7"/>
  <c r="C92" i="7"/>
  <c r="B93" i="7"/>
  <c r="C93" i="7"/>
  <c r="B94" i="7"/>
  <c r="C94" i="7"/>
  <c r="B95" i="7"/>
  <c r="C95" i="7"/>
  <c r="B96" i="7"/>
  <c r="C96" i="7"/>
  <c r="B97" i="7"/>
  <c r="C97" i="7"/>
  <c r="B98" i="7"/>
  <c r="C98" i="7"/>
  <c r="B99" i="7"/>
  <c r="C99" i="7"/>
  <c r="B100" i="7"/>
  <c r="C100" i="7"/>
  <c r="B101" i="7"/>
  <c r="C101" i="7"/>
  <c r="B102" i="7"/>
  <c r="C102" i="7"/>
  <c r="B103" i="7"/>
  <c r="C103" i="7"/>
  <c r="B104" i="7"/>
  <c r="C104" i="7"/>
  <c r="B105" i="7"/>
  <c r="C105" i="7"/>
  <c r="B106" i="7"/>
  <c r="C106" i="7"/>
  <c r="B107" i="7"/>
  <c r="C107" i="7"/>
  <c r="B108" i="7"/>
  <c r="C108" i="7"/>
  <c r="B109" i="7"/>
  <c r="C109" i="7"/>
  <c r="B110" i="7"/>
  <c r="C110" i="7"/>
  <c r="B111" i="7"/>
  <c r="C111" i="7"/>
  <c r="B112" i="7"/>
  <c r="C112" i="7"/>
  <c r="B113" i="7"/>
  <c r="C113" i="7"/>
  <c r="B114" i="7"/>
  <c r="C114" i="7"/>
  <c r="B115" i="7"/>
  <c r="C115" i="7"/>
  <c r="B116" i="7"/>
  <c r="C116" i="7"/>
  <c r="B117" i="7"/>
  <c r="C117" i="7"/>
  <c r="B118" i="7"/>
  <c r="C118" i="7"/>
  <c r="B119" i="7"/>
  <c r="C119" i="7"/>
  <c r="B120" i="7"/>
  <c r="C120" i="7"/>
  <c r="B121" i="7"/>
  <c r="C121" i="7"/>
  <c r="B122" i="7"/>
  <c r="C122" i="7"/>
  <c r="B123" i="7"/>
  <c r="C123" i="7"/>
  <c r="B124" i="7"/>
  <c r="C124" i="7"/>
  <c r="B125" i="7"/>
  <c r="C125" i="7"/>
  <c r="B126" i="7"/>
  <c r="C126" i="7"/>
  <c r="B127" i="7"/>
  <c r="C127" i="7"/>
  <c r="B128" i="7"/>
  <c r="C128" i="7"/>
  <c r="B129" i="7"/>
  <c r="C129" i="7"/>
  <c r="J3" i="7"/>
  <c r="C7" i="11"/>
  <c r="D15" i="7"/>
  <c r="D31" i="7"/>
  <c r="D47" i="7"/>
  <c r="D63" i="7"/>
  <c r="D79" i="7"/>
  <c r="D95" i="7"/>
  <c r="D111" i="7"/>
  <c r="D127" i="7"/>
  <c r="D42" i="7"/>
  <c r="D114" i="7"/>
  <c r="D62" i="7"/>
  <c r="D128" i="7"/>
  <c r="D74" i="7"/>
  <c r="D14" i="7"/>
  <c r="D86" i="7"/>
  <c r="D33" i="7"/>
  <c r="D129" i="7"/>
  <c r="D26" i="7"/>
  <c r="D49" i="7"/>
  <c r="F15" i="4" a="1"/>
  <c r="F16" i="4" a="1"/>
  <c r="F14" i="4" a="1"/>
  <c r="D19" i="7"/>
  <c r="D35" i="7"/>
  <c r="D51" i="7"/>
  <c r="D67" i="7"/>
  <c r="D83" i="7"/>
  <c r="D99" i="7"/>
  <c r="D115" i="7"/>
  <c r="D10" i="7"/>
  <c r="D60" i="7"/>
  <c r="D16" i="7"/>
  <c r="D80" i="7"/>
  <c r="D30" i="7"/>
  <c r="D90" i="7"/>
  <c r="D36" i="7"/>
  <c r="D104" i="7"/>
  <c r="D37" i="7"/>
  <c r="D53" i="7"/>
  <c r="D69" i="7"/>
  <c r="D101" i="7"/>
  <c r="D117" i="7"/>
  <c r="D68" i="7"/>
  <c r="D88" i="7"/>
  <c r="D38" i="7"/>
  <c r="D48" i="7"/>
  <c r="D108" i="7"/>
  <c r="D21" i="7"/>
  <c r="D85" i="7"/>
  <c r="D18" i="7"/>
  <c r="D22" i="7"/>
  <c r="D98" i="7"/>
  <c r="D96" i="7"/>
  <c r="D23" i="7"/>
  <c r="D39" i="7"/>
  <c r="D55" i="7"/>
  <c r="D71" i="7"/>
  <c r="D87" i="7"/>
  <c r="D103" i="7"/>
  <c r="D119" i="7"/>
  <c r="D20" i="7"/>
  <c r="D76" i="7"/>
  <c r="D32" i="7"/>
  <c r="D94" i="7"/>
  <c r="D44" i="7"/>
  <c r="D106" i="7"/>
  <c r="D56" i="7"/>
  <c r="D116" i="7"/>
  <c r="D73" i="7"/>
  <c r="D105" i="7"/>
  <c r="D24" i="7"/>
  <c r="D40" i="7"/>
  <c r="D52" i="7"/>
  <c r="D64" i="7"/>
  <c r="D45" i="7"/>
  <c r="D125" i="7"/>
  <c r="D100" i="7"/>
  <c r="D126" i="7"/>
  <c r="D97" i="7"/>
  <c r="D72" i="7"/>
  <c r="D25" i="7"/>
  <c r="D41" i="7"/>
  <c r="D57" i="7"/>
  <c r="D89" i="7"/>
  <c r="D121" i="7"/>
  <c r="D84" i="7"/>
  <c r="D102" i="7"/>
  <c r="D110" i="7"/>
  <c r="D122" i="7"/>
  <c r="D61" i="7"/>
  <c r="D109" i="7"/>
  <c r="D34" i="7"/>
  <c r="D66" i="7"/>
  <c r="D65" i="7"/>
  <c r="D50" i="7"/>
  <c r="D82" i="7"/>
  <c r="D11" i="7"/>
  <c r="D27" i="7"/>
  <c r="D43" i="7"/>
  <c r="D59" i="7"/>
  <c r="D75" i="7"/>
  <c r="D91" i="7"/>
  <c r="D107" i="7"/>
  <c r="D123" i="7"/>
  <c r="D28" i="7"/>
  <c r="D92" i="7"/>
  <c r="D46" i="7"/>
  <c r="D112" i="7"/>
  <c r="D58" i="7"/>
  <c r="D118" i="7"/>
  <c r="D70" i="7"/>
  <c r="D13" i="7"/>
  <c r="D29" i="7"/>
  <c r="D93" i="7"/>
  <c r="D120" i="7"/>
  <c r="D17" i="7"/>
  <c r="D81" i="7"/>
  <c r="D124" i="7"/>
  <c r="D77" i="7"/>
  <c r="D54" i="7"/>
  <c r="D78" i="7"/>
  <c r="D113" i="7"/>
  <c r="D12" i="7"/>
  <c r="E12" i="7" l="1"/>
  <c r="E78" i="7"/>
  <c r="E54" i="7"/>
  <c r="E124" i="7"/>
  <c r="E120" i="7"/>
  <c r="E70" i="7"/>
  <c r="E118" i="7"/>
  <c r="E58" i="7"/>
  <c r="E112" i="7"/>
  <c r="E46" i="7"/>
  <c r="E92" i="7"/>
  <c r="E28" i="7"/>
  <c r="E82" i="7"/>
  <c r="E50" i="7"/>
  <c r="E66" i="7"/>
  <c r="E34" i="7"/>
  <c r="E122" i="7"/>
  <c r="E110" i="7"/>
  <c r="E102" i="7"/>
  <c r="E84" i="7"/>
  <c r="E72" i="7"/>
  <c r="E126" i="7"/>
  <c r="E100" i="7"/>
  <c r="E64" i="7"/>
  <c r="E52" i="7"/>
  <c r="E40" i="7"/>
  <c r="E24" i="7"/>
  <c r="E116" i="7"/>
  <c r="E56" i="7"/>
  <c r="E106" i="7"/>
  <c r="E44" i="7"/>
  <c r="E94" i="7"/>
  <c r="E32" i="7"/>
  <c r="E76" i="7"/>
  <c r="E20" i="7"/>
  <c r="E96" i="7"/>
  <c r="E98" i="7"/>
  <c r="E22" i="7"/>
  <c r="E18" i="7"/>
  <c r="E108" i="7"/>
  <c r="E48" i="7"/>
  <c r="E38" i="7"/>
  <c r="E88" i="7"/>
  <c r="E68" i="7"/>
  <c r="E104" i="7"/>
  <c r="E36" i="7"/>
  <c r="E90" i="7"/>
  <c r="E30" i="7"/>
  <c r="E80" i="7"/>
  <c r="E16" i="7"/>
  <c r="E60" i="7"/>
  <c r="M14" i="4"/>
  <c r="M18" i="4" s="1"/>
  <c r="N14" i="4"/>
  <c r="N18" i="4" s="1"/>
  <c r="F14" i="4"/>
  <c r="F18" i="4" s="1"/>
  <c r="O14" i="4"/>
  <c r="O18" i="4" s="1"/>
  <c r="G14" i="4"/>
  <c r="G18" i="4" s="1"/>
  <c r="P14" i="4"/>
  <c r="P18" i="4" s="1"/>
  <c r="H14" i="4"/>
  <c r="H18" i="4" s="1"/>
  <c r="Q14" i="4"/>
  <c r="Q18" i="4" s="1"/>
  <c r="I14" i="4"/>
  <c r="I18" i="4" s="1"/>
  <c r="J14" i="4"/>
  <c r="J18" i="4" s="1"/>
  <c r="K14" i="4"/>
  <c r="K18" i="4" s="1"/>
  <c r="L14" i="4"/>
  <c r="L18" i="4" s="1"/>
  <c r="K16" i="4"/>
  <c r="F16" i="4"/>
  <c r="O16" i="4"/>
  <c r="G16" i="4"/>
  <c r="P16" i="4"/>
  <c r="H16" i="4"/>
  <c r="Q16" i="4"/>
  <c r="I16" i="4"/>
  <c r="J16" i="4"/>
  <c r="L16" i="4"/>
  <c r="M16" i="4"/>
  <c r="N16" i="4"/>
  <c r="H15" i="4"/>
  <c r="P15" i="4"/>
  <c r="J15" i="4"/>
  <c r="K15" i="4"/>
  <c r="L15" i="4"/>
  <c r="M15" i="4"/>
  <c r="N15" i="4"/>
  <c r="O15" i="4"/>
  <c r="Q15" i="4"/>
  <c r="F15" i="4"/>
  <c r="G15" i="4"/>
  <c r="I15" i="4"/>
  <c r="E26" i="7"/>
  <c r="E86" i="7"/>
  <c r="E14" i="7"/>
  <c r="E74" i="7"/>
  <c r="E128" i="7"/>
  <c r="E62" i="7"/>
  <c r="E114" i="7"/>
  <c r="E42" i="7"/>
  <c r="E115" i="7"/>
  <c r="E99" i="7"/>
  <c r="E83" i="7"/>
  <c r="E71" i="7"/>
  <c r="E63" i="7"/>
  <c r="E59" i="7"/>
  <c r="E55" i="7"/>
  <c r="E51" i="7"/>
  <c r="E47" i="7"/>
  <c r="E43" i="7"/>
  <c r="E39" i="7"/>
  <c r="E35" i="7"/>
  <c r="E31" i="7"/>
  <c r="E27" i="7"/>
  <c r="E23" i="7"/>
  <c r="E19" i="7"/>
  <c r="E15" i="7"/>
  <c r="E123" i="7"/>
  <c r="E107" i="7"/>
  <c r="E95" i="7"/>
  <c r="E67" i="7"/>
  <c r="E119" i="7"/>
  <c r="E103" i="7"/>
  <c r="E87" i="7"/>
  <c r="E75" i="7"/>
  <c r="E10" i="7"/>
  <c r="E127" i="7"/>
  <c r="E111" i="7"/>
  <c r="E91" i="7"/>
  <c r="E79" i="7"/>
  <c r="E129" i="7"/>
  <c r="E125" i="7"/>
  <c r="E121" i="7"/>
  <c r="E117" i="7"/>
  <c r="E113" i="7"/>
  <c r="E109" i="7"/>
  <c r="E105" i="7"/>
  <c r="E101" i="7"/>
  <c r="E97" i="7"/>
  <c r="E93" i="7"/>
  <c r="E89" i="7"/>
  <c r="E85" i="7"/>
  <c r="E81" i="7"/>
  <c r="E77" i="7"/>
  <c r="E73" i="7"/>
  <c r="E69" i="7"/>
  <c r="E65" i="7"/>
  <c r="E61" i="7"/>
  <c r="E57" i="7"/>
  <c r="E53" i="7"/>
  <c r="E49" i="7"/>
  <c r="E45" i="7"/>
  <c r="E41" i="7"/>
  <c r="E37" i="7"/>
  <c r="E33" i="7"/>
  <c r="E29" i="7"/>
  <c r="E25" i="7"/>
  <c r="E21" i="7"/>
  <c r="E17" i="7"/>
  <c r="E13" i="7"/>
  <c r="E11" i="7"/>
  <c r="K2" i="7"/>
  <c r="K3" i="7" s="1"/>
  <c r="K4" i="7" s="1"/>
  <c r="J2" i="7"/>
  <c r="C17" i="11"/>
  <c r="C18" i="11" l="1"/>
  <c r="G7" i="2" l="1" a="1"/>
  <c r="G7" i="2" s="1"/>
  <c r="J7" i="2" a="1"/>
  <c r="J7" i="2" s="1"/>
  <c r="G9" i="2" a="1"/>
  <c r="G9" i="2" s="1"/>
  <c r="M24" i="2" l="1" a="1"/>
  <c r="M24" i="2" s="1"/>
  <c r="M25" i="2" a="1"/>
  <c r="M25" i="2" s="1"/>
  <c r="M26" i="2" a="1"/>
  <c r="M26" i="2" s="1"/>
  <c r="M27" i="2" a="1"/>
  <c r="M27" i="2" s="1"/>
  <c r="P22" i="2" a="1"/>
  <c r="P22" i="2" s="1"/>
  <c r="M22" i="2" a="1"/>
  <c r="M22" i="2" s="1"/>
  <c r="AA24" i="2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I7" i="7" l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3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TLAUNAY</author>
    <author>SG - Emmanuel</author>
    <author>E&amp;P</author>
  </authors>
  <commentLis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19" authorId="1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1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2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3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3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<sst xmlns="http://schemas.openxmlformats.org/spreadsheetml/2006/main" count="2099" uniqueCount="483">
  <si>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</si>
  <si>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</si>
  <si>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</si>
  <si>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</si>
  <si>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</si>
  <si>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</si>
  <si>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</si>
  <si>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</si>
  <si>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</si>
  <si>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</si>
  <si>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</si>
  <si>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</si>
  <si>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</si>
  <si>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</si>
  <si>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</si>
  <si>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</si>
  <si>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</si>
  <si>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</si>
  <si>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</si>
  <si>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</si>
  <si>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</si>
  <si>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</si>
  <si>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</si>
  <si>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</si>
  <si>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</si>
  <si>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</si>
  <si>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</si>
  <si>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</si>
  <si>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</si>
  <si>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</si>
  <si>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</si>
  <si>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</si>
  <si>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</si>
  <si>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</si>
  <si>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</si>
  <si>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</si>
  <si>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</si>
  <si>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</si>
  <si>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</si>
  <si>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</si>
  <si>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</si>
  <si>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</si>
  <si>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</si>
  <si>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</si>
  <si>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</si>
  <si>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</si>
  <si>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</si>
  <si>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</si>
  <si>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</si>
  <si>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</si>
  <si>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</si>
  <si>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</si>
  <si>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</si>
  <si>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</si>
  <si>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</si>
  <si>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</si>
  <si>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</si>
  <si>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</si>
  <si>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</si>
  <si>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</si>
  <si>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</si>
  <si>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</si>
  <si>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</si>
  <si>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</si>
  <si>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</si>
  <si>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</si>
  <si>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</si>
  <si>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</si>
  <si>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</si>
  <si>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</si>
  <si>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</si>
  <si>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</si>
  <si>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</si>
  <si>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</si>
  <si>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</si>
  <si>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</si>
  <si>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</si>
  <si>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</si>
  <si>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</si>
  <si>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</si>
  <si>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</si>
  <si>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</si>
  <si>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</si>
  <si>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</si>
  <si>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</si>
  <si>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</si>
  <si>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</si>
  <si>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</si>
  <si>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</si>
  <si>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</si>
  <si>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</si>
  <si>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</si>
  <si>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</si>
  <si>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</si>
  <si>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</si>
  <si>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</si>
  <si>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</si>
  <si>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</si>
  <si>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</si>
  <si>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</si>
  <si>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</si>
  <si>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</si>
  <si>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</si>
  <si>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</si>
  <si>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</si>
  <si>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</si>
  <si>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</si>
  <si>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</si>
  <si>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</si>
  <si>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</si>
  <si>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</si>
  <si>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</si>
  <si>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</si>
  <si>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</si>
  <si>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</si>
  <si>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</si>
  <si>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</si>
  <si>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</si>
  <si>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</si>
  <si>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</si>
  <si>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</si>
  <si>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</si>
  <si>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</si>
  <si>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</si>
  <si>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</si>
  <si>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</si>
  <si>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</si>
  <si>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</si>
  <si>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</si>
  <si>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</si>
  <si>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</si>
  <si>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</si>
  <si>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</si>
  <si>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</si>
  <si>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</si>
  <si>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</si>
  <si>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</si>
  <si>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</si>
  <si>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</si>
  <si>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</si>
  <si>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</si>
  <si>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</si>
  <si>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</si>
  <si>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</si>
  <si>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</si>
  <si>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</si>
  <si>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</si>
  <si>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</si>
  <si>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</si>
  <si>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</si>
  <si>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</si>
  <si>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</si>
  <si>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</si>
  <si>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</si>
  <si>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</si>
  <si>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</si>
  <si>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</si>
  <si>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</si>
  <si>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</si>
  <si>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</si>
  <si>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</si>
  <si>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</si>
  <si>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</si>
  <si>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</si>
  <si>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</si>
  <si>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</si>
  <si>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</si>
  <si>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</si>
  <si>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</si>
  <si>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</si>
  <si>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</si>
  <si>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</si>
  <si>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</si>
  <si>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</si>
  <si>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</si>
  <si>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</si>
  <si>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</si>
  <si>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</si>
  <si>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</si>
  <si>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</si>
  <si>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</si>
  <si>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</si>
  <si>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</si>
  <si>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</si>
  <si>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</si>
  <si>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</si>
  <si>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</si>
  <si>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</si>
  <si>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</si>
  <si>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</si>
  <si>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</si>
  <si>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</si>
  <si>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</si>
  <si>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</si>
  <si>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</si>
  <si>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</si>
  <si>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</si>
  <si>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</si>
  <si>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</si>
  <si>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</si>
  <si>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</si>
  <si>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</si>
  <si>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</si>
  <si>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</si>
  <si>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</si>
  <si>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</si>
  <si>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</si>
  <si>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</si>
  <si>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</si>
  <si>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</si>
  <si>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</si>
  <si>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</si>
  <si>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</si>
  <si>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</si>
  <si>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</si>
  <si>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</si>
  <si>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</si>
  <si>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</si>
  <si>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</si>
  <si>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</si>
  <si>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</si>
  <si>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</si>
  <si>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</si>
  <si>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</si>
  <si>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</si>
  <si>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</si>
  <si>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</si>
  <si>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</si>
  <si>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</si>
  <si>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</si>
  <si>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</si>
  <si>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</si>
  <si>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</si>
  <si>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</si>
  <si>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</si>
  <si>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</si>
  <si>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</si>
  <si>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</si>
  <si>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</si>
  <si>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</si>
  <si>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</si>
  <si>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</si>
  <si>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</si>
  <si>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</si>
  <si>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</si>
  <si>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</si>
  <si>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</si>
  <si>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</si>
  <si>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</si>
  <si>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</si>
  <si>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</si>
  <si>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</si>
  <si>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</si>
  <si>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</si>
  <si>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</si>
  <si>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</si>
  <si>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</si>
  <si>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</si>
  <si>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</si>
  <si>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</si>
  <si>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</si>
  <si>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</si>
  <si>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</si>
  <si>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</si>
  <si>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</si>
  <si>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</si>
  <si>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</si>
  <si>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</si>
  <si>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</si>
  <si>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</si>
  <si>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</si>
  <si>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</si>
  <si>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</si>
  <si>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</si>
  <si>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</si>
  <si>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</si>
  <si>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</si>
  <si>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</si>
  <si>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</si>
  <si>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</si>
  <si>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</si>
  <si>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</si>
  <si>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</si>
  <si>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</si>
  <si>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</si>
  <si>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</si>
  <si>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</si>
  <si>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</si>
  <si>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</si>
  <si>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</si>
  <si>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</si>
  <si>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</si>
  <si>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</si>
  <si>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</si>
  <si>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</si>
  <si>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</si>
  <si>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</si>
  <si>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</si>
  <si>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</si>
  <si>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</si>
  <si>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</si>
  <si>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</si>
  <si>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</si>
  <si>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</si>
  <si>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</si>
  <si>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</si>
  <si>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</si>
  <si>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</si>
  <si>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</si>
  <si>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</si>
  <si>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</si>
  <si>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</si>
  <si>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</si>
  <si>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</si>
  <si>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</si>
  <si>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</si>
  <si>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</si>
  <si>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</si>
  <si>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</si>
  <si>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</si>
  <si>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</si>
  <si>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</si>
  <si>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</si>
  <si>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</si>
  <si>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</si>
  <si>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</si>
  <si>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</si>
  <si>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</si>
  <si>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</si>
  <si>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</si>
  <si>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</si>
  <si>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</si>
  <si>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</si>
  <si>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</si>
  <si>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</si>
  <si>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</si>
  <si>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</si>
  <si>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</si>
  <si>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</si>
  <si>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</si>
  <si>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</si>
  <si>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</si>
  <si>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</si>
  <si>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</si>
  <si>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</si>
  <si>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</si>
  <si>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</si>
  <si>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</si>
  <si>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</si>
  <si>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</si>
  <si>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</si>
  <si>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</si>
  <si>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</si>
  <si>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</si>
  <si>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</si>
  <si>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</si>
  <si>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</si>
  <si>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</si>
  <si>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</si>
  <si>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</si>
  <si>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</si>
  <si>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</si>
  <si>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</si>
  <si>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</si>
  <si>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</si>
  <si>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</si>
  <si>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</si>
  <si>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</si>
  <si>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</si>
  <si>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</si>
  <si>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</si>
  <si>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</si>
  <si>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</si>
  <si>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</si>
  <si>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</si>
  <si>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</si>
  <si>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</si>
  <si>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</si>
  <si>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</si>
  <si>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</si>
  <si>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</si>
  <si>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</si>
  <si>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</si>
  <si>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</si>
  <si>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</si>
  <si>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</si>
  <si>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</si>
  <si>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</si>
  <si>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</si>
  <si>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</si>
  <si>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</si>
  <si>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</si>
  <si>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</si>
  <si>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</si>
  <si>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</si>
  <si>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</si>
  <si>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</si>
  <si>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</si>
  <si>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</si>
  <si>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</si>
  <si>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</si>
  <si>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</si>
  <si>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</si>
  <si>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</si>
  <si>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</si>
  <si>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</si>
  <si>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</si>
  <si>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</si>
  <si>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</si>
  <si>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</si>
  <si>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</si>
  <si>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</si>
  <si>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</si>
  <si>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</si>
  <si>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</si>
  <si>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</si>
  <si>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</si>
  <si>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</si>
  <si>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</si>
  <si>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</si>
  <si>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</si>
  <si>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</si>
  <si>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</si>
  <si>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</si>
  <si>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</si>
  <si>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</si>
  <si>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</si>
  <si>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</si>
  <si>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</si>
  <si>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</si>
  <si>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</si>
  <si>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</si>
  <si>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</si>
  <si>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</si>
  <si>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</si>
  <si>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</si>
  <si>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</si>
  <si>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</si>
  <si>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</si>
  <si>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</si>
  <si>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</si>
  <si>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</si>
  <si>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</si>
  <si>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</si>
  <si>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</si>
  <si>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</si>
  <si>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</si>
  <si>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</si>
  <si>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</si>
  <si>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</si>
  <si>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</si>
  <si>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</si>
  <si>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</si>
  <si>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</si>
  <si>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</si>
  <si>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</si>
  <si>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</si>
  <si>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</si>
  <si>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</si>
  <si>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</si>
  <si>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</si>
  <si>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</si>
  <si>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</si>
  <si>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</si>
  <si>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</si>
  <si>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</si>
  <si>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</si>
  <si>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</si>
  <si>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</si>
  <si>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</si>
  <si>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</si>
  <si>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</si>
  <si>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</si>
  <si>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</si>
  <si>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</si>
  <si>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</si>
  <si>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</si>
  <si>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dPV</t>
  </si>
  <si>
    <t>dHedge</t>
  </si>
  <si>
    <t>delta not. (Hedge Crncy)</t>
  </si>
  <si>
    <t>delta not. (Product CCY)</t>
  </si>
  <si>
    <t>dPV(dBeta)</t>
  </si>
  <si>
    <t>Notional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</si>
</sst>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3" formatCode="[$-409]dd\-mmm\-yy;@"/>
    <numFmt numFmtId="174" formatCode="yyyy\-mm\-dd;@"/>
    <numFmt numFmtId="175" formatCode="0.0000000000000000"/>
    <numFmt numFmtId="180" formatCode="0.00000"/>
    <numFmt numFmtId="182" formatCode="[$-F400]h:mm:ss\ AM/PM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</cellStyleXfs>
  <cellXfs count="36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0" fillId="0" borderId="0" xfId="0" applyNumberFormat="1"/>
    <xf numFmtId="169" fontId="24" fillId="4" borderId="0" xfId="1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9" fontId="0" fillId="0" borderId="0" xfId="1" applyFont="1"/>
    <xf numFmtId="2" fontId="21" fillId="0" borderId="0" xfId="0" applyNumberFormat="1" applyFont="1"/>
    <xf numFmtId="9" fontId="21" fillId="0" borderId="0" xfId="1" applyFont="1"/>
    <xf numFmtId="165" fontId="26" fillId="4" borderId="23" xfId="5" quotePrefix="1" applyNumberFormat="1" applyFont="1" applyFill="1" applyBorder="1" applyAlignment="1">
      <alignment horizontal="center"/>
    </xf>
    <xf numFmtId="165" fontId="19" fillId="4" borderId="8" xfId="0" applyNumberFormat="1" applyFont="1" applyFill="1" applyBorder="1" applyAlignment="1">
      <alignment horizontal="center"/>
    </xf>
    <xf numFmtId="165" fontId="25" fillId="4" borderId="23" xfId="5" quotePrefix="1" applyNumberFormat="1" applyFont="1" applyFill="1" applyBorder="1" applyAlignment="1">
      <alignment horizontal="center"/>
    </xf>
    <xf numFmtId="165" fontId="26" fillId="4" borderId="0" xfId="5" quotePrefix="1" applyNumberFormat="1" applyFont="1" applyFill="1" applyBorder="1" applyAlignment="1">
      <alignment horizontal="center"/>
    </xf>
    <xf numFmtId="165" fontId="19" fillId="4" borderId="2" xfId="0" applyNumberFormat="1" applyFont="1" applyFill="1" applyBorder="1" applyAlignment="1">
      <alignment horizontal="center"/>
    </xf>
    <xf numFmtId="165" fontId="25" fillId="4" borderId="0" xfId="5" quotePrefix="1" applyNumberFormat="1" applyFont="1" applyFill="1" applyBorder="1" applyAlignment="1">
      <alignment horizontal="center"/>
    </xf>
    <xf numFmtId="165" fontId="26" fillId="4" borderId="0" xfId="0" quotePrefix="1" applyNumberFormat="1" applyFont="1" applyFill="1" applyBorder="1" applyAlignment="1">
      <alignment horizontal="center"/>
    </xf>
    <xf numFmtId="165" fontId="25" fillId="4" borderId="0" xfId="0" quotePrefix="1" applyNumberFormat="1" applyFont="1" applyFill="1" applyBorder="1" applyAlignment="1">
      <alignment horizontal="center"/>
    </xf>
    <xf numFmtId="165" fontId="26" fillId="4" borderId="0" xfId="5" applyNumberFormat="1" applyFont="1" applyFill="1" applyBorder="1" applyAlignment="1">
      <alignment horizontal="center"/>
    </xf>
    <xf numFmtId="165" fontId="25" fillId="4" borderId="0" xfId="5" applyNumberFormat="1" applyFont="1" applyFill="1" applyBorder="1" applyAlignment="1">
      <alignment horizontal="center"/>
    </xf>
    <xf numFmtId="165" fontId="19" fillId="2" borderId="1" xfId="0" applyNumberFormat="1" applyFont="1" applyFill="1" applyBorder="1" applyAlignment="1">
      <alignment horizontal="center"/>
    </xf>
    <xf numFmtId="165" fontId="19" fillId="2" borderId="0" xfId="0" applyNumberFormat="1" applyFont="1" applyFill="1" applyBorder="1" applyAlignment="1">
      <alignment horizontal="center"/>
    </xf>
    <xf numFmtId="165" fontId="19" fillId="2" borderId="2" xfId="0" applyNumberFormat="1" applyFont="1" applyFill="1" applyBorder="1" applyAlignment="1">
      <alignment horizontal="center"/>
    </xf>
    <xf numFmtId="165" fontId="25" fillId="4" borderId="3" xfId="1" applyNumberFormat="1" applyFont="1" applyFill="1" applyBorder="1" applyAlignment="1">
      <alignment horizontal="center"/>
    </xf>
    <xf numFmtId="165" fontId="25" fillId="4" borderId="28" xfId="1" applyNumberFormat="1" applyFont="1" applyFill="1" applyBorder="1" applyAlignment="1">
      <alignment horizontal="center"/>
    </xf>
    <xf numFmtId="180" fontId="25" fillId="4" borderId="1" xfId="1" applyNumberFormat="1" applyFont="1" applyFill="1" applyBorder="1" applyAlignment="1">
      <alignment horizontal="center"/>
    </xf>
    <xf numFmtId="182" fontId="25" fillId="4" borderId="1" xfId="1" applyNumberFormat="1" applyFont="1" applyFill="1" applyBorder="1" applyAlignment="1">
      <alignment horizontal="center"/>
    </xf>
    <xf numFmtId="0" fontId="25" fillId="4" borderId="4" xfId="1" applyNumberFormat="1" applyFont="1" applyFill="1" applyBorder="1" applyAlignment="1">
      <alignment horizontal="center"/>
    </xf>
    <xf numFmtId="167" fontId="25" fillId="4" borderId="7" xfId="1" applyNumberFormat="1" applyFont="1" applyFill="1" applyBorder="1" applyAlignment="1">
      <alignment horizontal="center"/>
    </xf>
    <xf numFmtId="167" fontId="25" fillId="4" borderId="1" xfId="1" applyNumberFormat="1" applyFont="1" applyFill="1" applyBorder="1" applyAlignment="1">
      <alignment horizontal="center"/>
    </xf>
    <xf numFmtId="169" fontId="23" fillId="0" borderId="8" xfId="0" quotePrefix="1" applyNumberFormat="1" applyFont="1" applyBorder="1" applyAlignment="1">
      <alignment horizontal="center"/>
    </xf>
  </cellXfs>
  <cellStyles count="6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5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2.2319075461063927E-3</c:v>
                </c:pt>
                <c:pt idx="1">
                  <c:v>2.2319075461062821E-3</c:v>
                </c:pt>
                <c:pt idx="2">
                  <c:v>2.2319075461075884E-3</c:v>
                </c:pt>
                <c:pt idx="3">
                  <c:v>2.2319075461068602E-3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4.73210091963826E-3</c:v>
                </c:pt>
                <c:pt idx="8">
                  <c:v>4.7321009196389322E-3</c:v>
                </c:pt>
                <c:pt idx="9">
                  <c:v>4.73210091963826E-3</c:v>
                </c:pt>
                <c:pt idx="10">
                  <c:v>4.7321009196408326E-3</c:v>
                </c:pt>
                <c:pt idx="11">
                  <c:v>4.73210091963826E-3</c:v>
                </c:pt>
                <c:pt idx="12">
                  <c:v>5.5209825664694866E-3</c:v>
                </c:pt>
                <c:pt idx="13">
                  <c:v>5.5209825664684587E-3</c:v>
                </c:pt>
                <c:pt idx="14">
                  <c:v>5.5209825664697667E-3</c:v>
                </c:pt>
                <c:pt idx="15">
                  <c:v>5.5209825664681205E-3</c:v>
                </c:pt>
                <c:pt idx="16">
                  <c:v>0</c:v>
                </c:pt>
                <c:pt idx="17">
                  <c:v>0</c:v>
                </c:pt>
                <c:pt idx="18">
                  <c:v>5.5209825664684449E-3</c:v>
                </c:pt>
                <c:pt idx="19">
                  <c:v>5.5209825664697667E-3</c:v>
                </c:pt>
                <c:pt idx="20">
                  <c:v>5.5209825664685975E-3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7.4261897874049092E-3</c:v>
                </c:pt>
                <c:pt idx="26">
                  <c:v>7.4261897874036004E-3</c:v>
                </c:pt>
                <c:pt idx="27">
                  <c:v>7.4261897874047071E-3</c:v>
                </c:pt>
                <c:pt idx="28">
                  <c:v>7.4261897874049092E-3</c:v>
                </c:pt>
                <c:pt idx="29">
                  <c:v>7.4261897874033549E-3</c:v>
                </c:pt>
                <c:pt idx="30">
                  <c:v>7.4261897874062163E-3</c:v>
                </c:pt>
                <c:pt idx="31">
                  <c:v>7.4261897874036004E-3</c:v>
                </c:pt>
                <c:pt idx="32">
                  <c:v>0</c:v>
                </c:pt>
                <c:pt idx="33">
                  <c:v>0</c:v>
                </c:pt>
                <c:pt idx="34">
                  <c:v>7.4261897874033549E-3</c:v>
                </c:pt>
                <c:pt idx="35">
                  <c:v>7.4261897874049092E-3</c:v>
                </c:pt>
                <c:pt idx="36">
                  <c:v>9.1938940521937452E-3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9.1938940521910911E-3</c:v>
                </c:pt>
                <c:pt idx="42">
                  <c:v>9.1938940521926332E-3</c:v>
                </c:pt>
                <c:pt idx="43">
                  <c:v>9.1938940521926332E-3</c:v>
                </c:pt>
                <c:pt idx="44">
                  <c:v>9.1938940521913495E-3</c:v>
                </c:pt>
                <c:pt idx="45">
                  <c:v>9.1938940521926332E-3</c:v>
                </c:pt>
                <c:pt idx="46">
                  <c:v>9.1938940521910407E-3</c:v>
                </c:pt>
                <c:pt idx="47">
                  <c:v>9.1938940521926818E-3</c:v>
                </c:pt>
                <c:pt idx="48">
                  <c:v>9.1938940521923938E-3</c:v>
                </c:pt>
                <c:pt idx="49">
                  <c:v>9.1938940521926818E-3</c:v>
                </c:pt>
                <c:pt idx="50">
                  <c:v>9.1938940521912767E-3</c:v>
                </c:pt>
                <c:pt idx="51">
                  <c:v>9.1938940521924927E-3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9.1938940521925847E-3</c:v>
                </c:pt>
                <c:pt idx="56">
                  <c:v>9.1938940521921354E-3</c:v>
                </c:pt>
                <c:pt idx="57">
                  <c:v>9.1938940521912767E-3</c:v>
                </c:pt>
                <c:pt idx="58">
                  <c:v>9.1938940521937452E-3</c:v>
                </c:pt>
                <c:pt idx="59">
                  <c:v>9.1938940521913721E-3</c:v>
                </c:pt>
                <c:pt idx="60">
                  <c:v>9.4511322986233198E-3</c:v>
                </c:pt>
                <c:pt idx="61">
                  <c:v>9.4511322986223292E-3</c:v>
                </c:pt>
                <c:pt idx="62">
                  <c:v>9.4511322986235383E-3</c:v>
                </c:pt>
                <c:pt idx="63">
                  <c:v>9.4511322986234221E-3</c:v>
                </c:pt>
                <c:pt idx="64">
                  <c:v>0</c:v>
                </c:pt>
                <c:pt idx="65">
                  <c:v>0</c:v>
                </c:pt>
                <c:pt idx="66">
                  <c:v>9.4511322986223292E-3</c:v>
                </c:pt>
                <c:pt idx="67">
                  <c:v>9.4511322986222304E-3</c:v>
                </c:pt>
                <c:pt idx="68">
                  <c:v>9.4511322986236459E-3</c:v>
                </c:pt>
                <c:pt idx="69">
                  <c:v>0</c:v>
                </c:pt>
                <c:pt idx="70">
                  <c:v>0</c:v>
                </c:pt>
                <c:pt idx="71">
                  <c:v>9.4511322986223292E-3</c:v>
                </c:pt>
                <c:pt idx="72">
                  <c:v>9.4511322986219684E-3</c:v>
                </c:pt>
                <c:pt idx="73">
                  <c:v>9.4511322986249452E-3</c:v>
                </c:pt>
                <c:pt idx="74">
                  <c:v>9.4511322986222304E-3</c:v>
                </c:pt>
                <c:pt idx="75">
                  <c:v>9.4511322986247752E-3</c:v>
                </c:pt>
                <c:pt idx="76">
                  <c:v>0</c:v>
                </c:pt>
                <c:pt idx="77">
                  <c:v>0</c:v>
                </c:pt>
                <c:pt idx="78">
                  <c:v>9.4511322986236372E-3</c:v>
                </c:pt>
                <c:pt idx="79">
                  <c:v>9.4511322986222304E-3</c:v>
                </c:pt>
                <c:pt idx="80">
                  <c:v>9.4511322986221991E-3</c:v>
                </c:pt>
                <c:pt idx="81">
                  <c:v>9.4511322986235383E-3</c:v>
                </c:pt>
                <c:pt idx="82">
                  <c:v>9.4511322986233198E-3</c:v>
                </c:pt>
                <c:pt idx="83">
                  <c:v>9.4511322986236372E-3</c:v>
                </c:pt>
                <c:pt idx="84">
                  <c:v>1.0159363868425203E-2</c:v>
                </c:pt>
                <c:pt idx="85">
                  <c:v>0</c:v>
                </c:pt>
                <c:pt idx="86">
                  <c:v>0</c:v>
                </c:pt>
                <c:pt idx="87">
                  <c:v>1.0159363868426663E-2</c:v>
                </c:pt>
                <c:pt idx="88">
                  <c:v>1.0159363868425758E-2</c:v>
                </c:pt>
                <c:pt idx="89">
                  <c:v>1.0159363868426554E-2</c:v>
                </c:pt>
                <c:pt idx="90">
                  <c:v>1.0159363868424556E-2</c:v>
                </c:pt>
                <c:pt idx="91">
                  <c:v>1.0159363868425758E-2</c:v>
                </c:pt>
                <c:pt idx="92">
                  <c:v>1.0159363868425739E-2</c:v>
                </c:pt>
                <c:pt idx="93">
                  <c:v>1.015936386842445E-2</c:v>
                </c:pt>
                <c:pt idx="94">
                  <c:v>1.0159363868426663E-2</c:v>
                </c:pt>
                <c:pt idx="95">
                  <c:v>1.0159363868425758E-2</c:v>
                </c:pt>
                <c:pt idx="96">
                  <c:v>1.0159363868425312E-2</c:v>
                </c:pt>
                <c:pt idx="97">
                  <c:v>1.0159363868425758E-2</c:v>
                </c:pt>
                <c:pt idx="98">
                  <c:v>1.0159363868427067E-2</c:v>
                </c:pt>
                <c:pt idx="99">
                  <c:v>1.0159363868423961E-2</c:v>
                </c:pt>
                <c:pt idx="100">
                  <c:v>1.0159363868427067E-2</c:v>
                </c:pt>
                <c:pt idx="101">
                  <c:v>0</c:v>
                </c:pt>
                <c:pt idx="102">
                  <c:v>0</c:v>
                </c:pt>
                <c:pt idx="103">
                  <c:v>1.0159363868425758E-2</c:v>
                </c:pt>
                <c:pt idx="104">
                  <c:v>0</c:v>
                </c:pt>
                <c:pt idx="105">
                  <c:v>0</c:v>
                </c:pt>
                <c:pt idx="106">
                  <c:v>1.0159363868425312E-2</c:v>
                </c:pt>
                <c:pt idx="107">
                  <c:v>1.0159363868427067E-2</c:v>
                </c:pt>
                <c:pt idx="108">
                  <c:v>1.0159363868425312E-2</c:v>
                </c:pt>
                <c:pt idx="109">
                  <c:v>1.015936386842445E-2</c:v>
                </c:pt>
                <c:pt idx="110">
                  <c:v>1.0159363868425758E-2</c:v>
                </c:pt>
                <c:pt idx="111">
                  <c:v>1.0159363868426663E-2</c:v>
                </c:pt>
                <c:pt idx="112">
                  <c:v>1.015936386842445E-2</c:v>
                </c:pt>
                <c:pt idx="113">
                  <c:v>1.0159363868426663E-2</c:v>
                </c:pt>
                <c:pt idx="114">
                  <c:v>1.015936386842445E-2</c:v>
                </c:pt>
                <c:pt idx="115">
                  <c:v>1.0159363868427067E-2</c:v>
                </c:pt>
                <c:pt idx="116">
                  <c:v>1.0159363868424457E-2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480060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30480</xdr:rowOff>
        </xdr:from>
        <xdr:to>
          <xdr:col>13</xdr:col>
          <xdr:colOff>22860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162810</xdr:colOff>
          <xdr:row>11</xdr:row>
          <xdr:rowOff>4507</xdr:rowOff>
        </xdr:from>
        <xdr:to>
          <xdr:col>7</xdr:col>
          <xdr:colOff>750839</xdr:colOff>
          <xdr:row>13</xdr:row>
          <xdr:rowOff>33592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1332642</xdr:colOff>
          <xdr:row>28</xdr:row>
          <xdr:rowOff>144030</xdr:rowOff>
        </xdr:from>
        <xdr:to>
          <xdr:col>7</xdr:col>
          <xdr:colOff>553255</xdr:colOff>
          <xdr:row>30</xdr:row>
          <xdr:rowOff>171397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12A03030-7F82-5BFE-3C65-E1B4D79BA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en Forme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BSOptionPortfolioPrice"/>
      <definedName name="GetBSOptionPrice"/>
      <definedName name="GetDeltaOptionPortfolio"/>
      <definedName name="GetDeltaOptionPortfolioBS"/>
      <definedName name="GetGammaOptionPortfolio"/>
      <definedName name="GetGammaOptionPortfolioBS"/>
      <definedName name="GetGetCDSName"/>
      <definedName name="GetMCEurOptionPortfolioPrice"/>
      <definedName name="GetMCEurOptionPrice"/>
      <definedName name="GetOptionPortfolioPrice"/>
      <definedName name="GetOptionPrice"/>
      <definedName name="GetSensiOption"/>
      <definedName name="GetSensiOptionBS"/>
      <definedName name="GetThetaOptionPortfolio"/>
      <definedName name="GetThetaOptionPortfolioBS"/>
      <definedName name="GetVegaOptionPortfolio"/>
      <definedName name="GetVegaOptionPortfolioB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f ca="1">TODAY()</f>
        <v>45429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K10" sqref="K10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300" t="s">
        <v>21</v>
      </c>
      <c r="D5" s="301"/>
      <c r="F5" s="298" t="s">
        <v>23</v>
      </c>
      <c r="G5" s="299"/>
      <c r="I5" s="298" t="s">
        <v>22</v>
      </c>
      <c r="J5" s="299"/>
      <c r="R5" s="300" t="s">
        <v>39</v>
      </c>
      <c r="S5" s="301"/>
      <c r="U5" s="298" t="s">
        <v>40</v>
      </c>
      <c r="V5" s="299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2</v>
      </c>
      <c r="F7" s="115" t="s">
        <v>24</v>
      </c>
      <c r="G7" s="5" t="e" cm="1">
        <f t="array" aca="1" ref="G7" ca="1">[3]!GetBSOptionPrice(D7,D8,D9,D10,D11,D12,D13,D14,D16)</f>
        <v>#NAME?</v>
      </c>
      <c r="I7" s="115" t="s">
        <v>24</v>
      </c>
      <c r="J7" s="5" t="e" cm="1">
        <f t="array" aca="1" ref="J7" ca="1">[3]!GetMCEurOptionPrice(D7,D8,D9,D10,D11,D12,D13,D14,D16)</f>
        <v>#NAME?</v>
      </c>
      <c r="R7" s="105" t="s">
        <v>91</v>
      </c>
      <c r="S7" s="101">
        <v>1</v>
      </c>
      <c r="U7" s="115" t="s">
        <v>24</v>
      </c>
      <c r="V7" s="5" t="e" cm="1">
        <f t="array" aca="1" ref="V7" ca="1">[3]!GetOptionPrice(S7,S8,S9,S10,S11,S12,S14)</f>
        <v>#NAME?</v>
      </c>
    </row>
    <row r="8" spans="1:23" ht="15" thickBot="1" x14ac:dyDescent="0.35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t="e" cm="1">
        <f t="array" aca="1" ref="G9" ca="1">[3]!GetSensiOptionBS(D7,D8,D9,D10,D11,D12,D13,D14,D16)</f>
        <v>#NAME?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t="e" cm="1">
        <f t="array" aca="1" ref="V9" ca="1">[3]!GetSensiOption(S7,S8,S9,S10,S11,S12,S14)</f>
        <v>#NAME?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/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/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/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300" t="s">
        <v>21</v>
      </c>
      <c r="C20" s="302"/>
      <c r="D20" s="302"/>
      <c r="E20" s="302"/>
      <c r="F20" s="302"/>
      <c r="G20" s="302"/>
      <c r="H20" s="302"/>
      <c r="I20" s="302"/>
      <c r="J20" s="301"/>
      <c r="L20" s="300" t="s">
        <v>23</v>
      </c>
      <c r="M20" s="301"/>
      <c r="O20" s="300" t="s">
        <v>22</v>
      </c>
      <c r="P20" s="301"/>
      <c r="R20" s="303" t="s">
        <v>39</v>
      </c>
      <c r="S20" s="304"/>
      <c r="T20" s="304"/>
      <c r="U20" s="304"/>
      <c r="V20" s="304"/>
      <c r="W20" s="304"/>
      <c r="X20" s="305"/>
      <c r="Z20" s="298" t="s">
        <v>40</v>
      </c>
      <c r="AA20" s="299"/>
    </row>
    <row r="21" spans="2:27" ht="15" thickBot="1" x14ac:dyDescent="0.35">
      <c r="B21" s="118" t="s">
        <v>91</v>
      </c>
      <c r="C21" s="168" t="s">
        <v>14</v>
      </c>
      <c r="D21" s="169" t="s">
        <v>27</v>
      </c>
      <c r="E21" s="168" t="s">
        <v>11</v>
      </c>
      <c r="F21" s="169" t="s">
        <v>3</v>
      </c>
      <c r="G21" s="168" t="s">
        <v>8</v>
      </c>
      <c r="H21" s="169" t="s">
        <v>9</v>
      </c>
      <c r="I21" s="168" t="s">
        <v>10</v>
      </c>
      <c r="J21" s="170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t="e" cm="1">
        <f t="array" aca="1" ref="M22" ca="1">[3]!GetBSOptionPortfolioPrice(B22:J26)</f>
        <v>#NAME?</v>
      </c>
      <c r="O22" s="115" t="s">
        <v>25</v>
      </c>
      <c r="P22" s="47" t="e" cm="1">
        <f t="array" aca="1" ref="P22" ca="1">[3]!GetMCEurOptionPortfolioPrice(B22:J26)</f>
        <v>#NAME?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t="e" cm="1">
        <f t="array" aca="1" ref="AA22" ca="1">[3]!GetOptionPortfolioPrice(R22:X26)</f>
        <v>#NAME?</v>
      </c>
    </row>
    <row r="23" spans="2:27" ht="15" thickBot="1" x14ac:dyDescent="0.35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t="e" cm="1">
        <f t="array" aca="1" ref="M24" ca="1">[3]!GetDeltaOptionPortfolioBS(B22:J26)</f>
        <v>#NAME?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 t="e">
        <f t="array" aca="1" ref="AA24" ca="1">[3]!GetDeltaOptionPortfolio(R22:X26)</f>
        <v>#NAME?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t="e" cm="1">
        <f t="array" aca="1" ref="M25" ca="1">[3]!GetGammaOptionPortfolioBS(B22:J26)</f>
        <v>#NAME?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t="e" cm="1">
        <f t="array" aca="1" ref="AA25" ca="1">[3]!GetGammaOptionPortfolio(R22:X26)</f>
        <v>#NAME?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t="e" cm="1">
        <f t="array" aca="1" ref="M26" ca="1">[3]!GetThetaOptionPortfolioBS(B22:J26)</f>
        <v>#NAME?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t="e" cm="1">
        <f t="array" aca="1" ref="AA26" ca="1">[3]!GetThetaOptionPortfolio(R22:X26)</f>
        <v>#NAME?</v>
      </c>
    </row>
    <row r="27" spans="2:27" ht="15" thickBot="1" x14ac:dyDescent="0.35">
      <c r="L27" s="117" t="s">
        <v>26</v>
      </c>
      <c r="M27" s="15" t="e" cm="1">
        <f t="array" aca="1" ref="M27" ca="1">[3]!GetVegaOptionPortfolioBS(B22:J26)</f>
        <v>#NAME?</v>
      </c>
      <c r="Z27" s="117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480060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8"/>
  <sheetViews>
    <sheetView showGridLines="0" workbookViewId="0">
      <selection activeCell="G15" sqref="G15"/>
    </sheetView>
  </sheetViews>
  <sheetFormatPr baseColWidth="10" defaultRowHeight="14.4" x14ac:dyDescent="0.3"/>
  <cols>
    <col min="2" max="2" width="11.88671875" bestFit="1" customWidth="1"/>
    <col min="6" max="17" width="18.5546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 ca="1">Parameter_Date</f>
        <v>45429</v>
      </c>
      <c r="D7" s="111"/>
      <c r="E7" s="112"/>
      <c r="F7" s="309" t="s">
        <v>48</v>
      </c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1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306" t="s">
        <v>68</v>
      </c>
      <c r="G13" s="307"/>
      <c r="H13" s="307"/>
      <c r="I13" s="307"/>
      <c r="J13" s="307"/>
      <c r="K13" s="307"/>
      <c r="L13" s="307"/>
      <c r="M13" s="307"/>
      <c r="N13" s="307"/>
      <c r="O13" s="307"/>
      <c r="P13" s="307"/>
      <c r="Q13" s="308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  <row r="17" spans="6:17" x14ac:dyDescent="0.3">
      <c r="F17">
        <v>0.99029120588882891</v>
      </c>
      <c r="G17">
        <v>0.97957874605651629</v>
      </c>
      <c r="H17">
        <v>0.96748188744967767</v>
      </c>
      <c r="I17">
        <v>0.95287133375266275</v>
      </c>
      <c r="J17">
        <v>0.93657560971519827</v>
      </c>
      <c r="K17">
        <v>0.91866571289458054</v>
      </c>
      <c r="L17">
        <v>0.89931156836449633</v>
      </c>
      <c r="M17">
        <v>0.87875661590990772</v>
      </c>
      <c r="N17">
        <v>0.85700734039056137</v>
      </c>
      <c r="O17">
        <v>0.83449976036899598</v>
      </c>
      <c r="P17">
        <v>0.72140087034546474</v>
      </c>
      <c r="Q17">
        <v>0.61571084881522264</v>
      </c>
    </row>
    <row r="18" spans="6:17" x14ac:dyDescent="0.3">
      <c r="F18" s="296" t="b">
        <f ca="1">F14=F17</f>
        <v>0</v>
      </c>
      <c r="G18" s="296" t="b">
        <f t="shared" ref="G18:Q18" ca="1" si="0">G14=G17</f>
        <v>0</v>
      </c>
      <c r="H18" s="296" t="b">
        <f t="shared" ca="1" si="0"/>
        <v>0</v>
      </c>
      <c r="I18" s="296" t="b">
        <f t="shared" ca="1" si="0"/>
        <v>0</v>
      </c>
      <c r="J18" s="296" t="b">
        <f t="shared" ca="1" si="0"/>
        <v>0</v>
      </c>
      <c r="K18" s="296" t="b">
        <f t="shared" ca="1" si="0"/>
        <v>0</v>
      </c>
      <c r="L18" s="296" t="b">
        <f t="shared" ca="1" si="0"/>
        <v>0</v>
      </c>
      <c r="M18" s="296" t="b">
        <f t="shared" ca="1" si="0"/>
        <v>0</v>
      </c>
      <c r="N18" s="296" t="b">
        <f t="shared" ca="1" si="0"/>
        <v>0</v>
      </c>
      <c r="O18" s="296" t="b">
        <f t="shared" ca="1" si="0"/>
        <v>0</v>
      </c>
      <c r="P18" s="296" t="b">
        <f t="shared" ca="1" si="0"/>
        <v>0</v>
      </c>
      <c r="Q18" s="296" t="b">
        <f t="shared" ca="1" si="0"/>
        <v>0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5" sqref="N15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ref="C1">IF(OR(B12="",NOT($J$7)),"",StripDefaultProbability(A12,B12,Parameter_Date,CDSRollDate,E12:M12,SpreadCurveMaturities,D12,C12))</f>
        <v/>
      </c>
    </row>
    <row r="2" spans="1:50" ht="15" thickBot="1" x14ac:dyDescent="0.35">
      <c r="G2" s="309" t="s">
        <v>72</v>
      </c>
      <c r="H2" s="310"/>
      <c r="I2" s="310"/>
      <c r="J2" s="147" t="b">
        <v>1</v>
      </c>
    </row>
    <row r="3" spans="1:50" ht="15" thickBot="1" x14ac:dyDescent="0.35">
      <c r="J3" s="100"/>
    </row>
    <row r="4" spans="1:50" ht="15" thickBot="1" x14ac:dyDescent="0.35">
      <c r="G4" s="309" t="s">
        <v>73</v>
      </c>
      <c r="H4" s="310"/>
      <c r="I4" s="311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315" t="b">
        <v>1</v>
      </c>
      <c r="D6" s="316"/>
      <c r="E6" s="85"/>
      <c r="F6" s="85"/>
      <c r="G6" s="309" t="s">
        <v>74</v>
      </c>
      <c r="H6" s="310"/>
      <c r="I6" s="311"/>
      <c r="J6" s="142" t="s">
        <v>422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317">
        <f ca="1">GetCDSRefDate(Parameter_Date,C6)</f>
        <v>45463</v>
      </c>
      <c r="D7" s="318"/>
      <c r="E7" s="85"/>
      <c r="F7" s="85"/>
      <c r="L7" s="94"/>
      <c r="M7" s="85"/>
      <c r="N7" s="157" t="s">
        <v>87</v>
      </c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309" t="s">
        <v>76</v>
      </c>
      <c r="F9" s="310"/>
      <c r="G9" s="310"/>
      <c r="H9" s="310"/>
      <c r="I9" s="310"/>
      <c r="J9" s="310"/>
      <c r="K9" s="310"/>
      <c r="L9" s="310"/>
      <c r="M9" s="311"/>
      <c r="N9" s="312" t="s">
        <v>77</v>
      </c>
      <c r="O9" s="313"/>
      <c r="P9" s="313"/>
      <c r="Q9" s="313"/>
      <c r="R9" s="313"/>
      <c r="S9" s="313"/>
      <c r="T9" s="313"/>
      <c r="U9" s="313"/>
      <c r="V9" s="314"/>
      <c r="W9" s="312" t="s">
        <v>78</v>
      </c>
      <c r="X9" s="313"/>
      <c r="Y9" s="313"/>
      <c r="Z9" s="313"/>
      <c r="AA9" s="313"/>
      <c r="AB9" s="313"/>
      <c r="AC9" s="313"/>
      <c r="AD9" s="313"/>
      <c r="AE9" s="314"/>
    </row>
    <row r="10" spans="1:50" s="79" customFormat="1" ht="15" customHeight="1" thickBot="1" x14ac:dyDescent="0.25">
      <c r="A10" s="189" t="s">
        <v>79</v>
      </c>
      <c r="B10" s="194" t="s">
        <v>80</v>
      </c>
      <c r="C10" s="193" t="s">
        <v>81</v>
      </c>
      <c r="D10" s="189" t="s">
        <v>82</v>
      </c>
      <c r="E10" s="111" t="s">
        <v>83</v>
      </c>
      <c r="F10" s="156" t="s">
        <v>84</v>
      </c>
      <c r="G10" s="156" t="s">
        <v>53</v>
      </c>
      <c r="H10" s="156" t="s">
        <v>54</v>
      </c>
      <c r="I10" s="156" t="s">
        <v>55</v>
      </c>
      <c r="J10" s="156" t="s">
        <v>56</v>
      </c>
      <c r="K10" s="156" t="s">
        <v>57</v>
      </c>
      <c r="L10" s="156" t="s">
        <v>59</v>
      </c>
      <c r="M10" s="112" t="s">
        <v>62</v>
      </c>
      <c r="N10" s="195" t="str">
        <f t="shared" ref="N10:V10" si="0">IF(E10="","",E10)</f>
        <v>3M</v>
      </c>
      <c r="O10" s="173" t="str">
        <f t="shared" si="0"/>
        <v>6M</v>
      </c>
      <c r="P10" s="173" t="str">
        <f t="shared" si="0"/>
        <v>1Y</v>
      </c>
      <c r="Q10" s="173" t="str">
        <f t="shared" si="0"/>
        <v>2Y</v>
      </c>
      <c r="R10" s="173" t="str">
        <f t="shared" si="0"/>
        <v>3Y</v>
      </c>
      <c r="S10" s="173" t="str">
        <f t="shared" si="0"/>
        <v>4Y</v>
      </c>
      <c r="T10" s="173" t="str">
        <f t="shared" si="0"/>
        <v>5Y</v>
      </c>
      <c r="U10" s="173" t="str">
        <f t="shared" si="0"/>
        <v>7Y</v>
      </c>
      <c r="V10" s="173" t="str">
        <f t="shared" si="0"/>
        <v>10Y</v>
      </c>
      <c r="W10" s="195" t="str">
        <f t="shared" ref="W10:AE10" si="1">IF(E10="","",E10)</f>
        <v>3M</v>
      </c>
      <c r="X10" s="173" t="str">
        <f t="shared" si="1"/>
        <v>6M</v>
      </c>
      <c r="Y10" s="173" t="str">
        <f t="shared" si="1"/>
        <v>1Y</v>
      </c>
      <c r="Z10" s="173" t="str">
        <f t="shared" si="1"/>
        <v>2Y</v>
      </c>
      <c r="AA10" s="173" t="str">
        <f t="shared" si="1"/>
        <v>3Y</v>
      </c>
      <c r="AB10" s="173" t="str">
        <f t="shared" si="1"/>
        <v>4Y</v>
      </c>
      <c r="AC10" s="173" t="str">
        <f t="shared" si="1"/>
        <v>5Y</v>
      </c>
      <c r="AD10" s="173" t="str">
        <f t="shared" si="1"/>
        <v>7Y</v>
      </c>
      <c r="AE10" s="174" t="str">
        <f t="shared" si="1"/>
        <v>10Y</v>
      </c>
    </row>
    <row r="11" spans="1:50" s="79" customFormat="1" ht="15" customHeight="1" thickBot="1" x14ac:dyDescent="0.25">
      <c r="A11" s="191"/>
      <c r="B11" s="192"/>
      <c r="C11" s="190" t="s">
        <v>85</v>
      </c>
      <c r="D11" s="193"/>
      <c r="E11" s="154" cm="1">
        <f t="array" aca="1" ref="E11" ca="1">IF(E10="","",GetConvertDate(CDSRollDate,E10))</f>
        <v>45555</v>
      </c>
      <c r="F11" s="154" cm="1">
        <f t="array" aca="1" ref="F11" ca="1">IF(F10="","",GetConvertDate(CDSRollDate,F10))</f>
        <v>45646</v>
      </c>
      <c r="G11" s="154" cm="1">
        <f t="array" aca="1" ref="G11" ca="1">IF(G10="","",GetConvertDate(CDSRollDate,G10))</f>
        <v>45828</v>
      </c>
      <c r="H11" s="154" cm="1">
        <f t="array" aca="1" ref="H11" ca="1">IF(H10="","",GetConvertDate(CDSRollDate,H10))</f>
        <v>46193</v>
      </c>
      <c r="I11" s="154" cm="1">
        <f t="array" aca="1" ref="I11" ca="1">IF(I10="","",GetConvertDate(CDSRollDate,I10))</f>
        <v>46558</v>
      </c>
      <c r="J11" s="154" cm="1">
        <f t="array" aca="1" ref="J11" ca="1">IF(J10="","",GetConvertDate(CDSRollDate,J10))</f>
        <v>46924</v>
      </c>
      <c r="K11" s="154" cm="1">
        <f t="array" aca="1" ref="K11" ca="1">IF(K10="","",GetConvertDate(CDSRollDate,K10))</f>
        <v>47289</v>
      </c>
      <c r="L11" s="154" cm="1">
        <f t="array" aca="1" ref="L11" ca="1">IF(L10="","",GetConvertDate(CDSRollDate,L10))</f>
        <v>48019</v>
      </c>
      <c r="M11" s="154" cm="1">
        <f t="array" aca="1" ref="M11" ca="1">IF(M10="","",GetConvertDate(CDSRollDate,M10))</f>
        <v>49115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5"/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IF(OR(B12="",NOT($J$2)),"",GetStripDefaultProbability(A12,B12,Parameter_Date,CDSRollDate,E12:M12,SpreadCurveMaturities,D12,C12,$J$4,$J$6))</f>
        <v>0</v>
      </c>
      <c r="O12" s="223">
        <f ca="1"/>
        <v>1.3260349349567546E-3</v>
      </c>
      <c r="P12" s="135">
        <f ca="1"/>
        <v>3.6796962908033359E-3</v>
      </c>
      <c r="Q12" s="135">
        <f ca="1"/>
        <v>9.1652066808252108E-3</v>
      </c>
      <c r="R12" s="135">
        <f ca="1"/>
        <v>1.6496079985344747E-2</v>
      </c>
      <c r="S12" s="135">
        <f ca="1"/>
        <v>0</v>
      </c>
      <c r="T12" s="135">
        <f ca="1"/>
        <v>3.443961103236548E-2</v>
      </c>
      <c r="U12" s="135">
        <f ca="1"/>
        <v>5.2519475480274025E-2</v>
      </c>
      <c r="V12" s="136">
        <f ca="1"/>
        <v>8.098682667087076E-2</v>
      </c>
      <c r="W12" s="134">
        <f ca="1"/>
        <v>0</v>
      </c>
      <c r="X12" s="135">
        <f ca="1"/>
        <v>1.4256616288060853E-3</v>
      </c>
      <c r="Y12" s="135">
        <f ca="1"/>
        <v>3.8457358377319562E-3</v>
      </c>
      <c r="Z12" s="135">
        <f ca="1"/>
        <v>9.6211859586783355E-3</v>
      </c>
      <c r="AA12" s="135">
        <f ca="1"/>
        <v>1.7314528476917612E-2</v>
      </c>
      <c r="AB12" s="135">
        <f ca="1"/>
        <v>0</v>
      </c>
      <c r="AC12" s="135">
        <f ca="1"/>
        <v>3.613310949314974E-2</v>
      </c>
      <c r="AD12" s="135">
        <f ca="1"/>
        <v>5.5081130196007688E-2</v>
      </c>
      <c r="AE12" s="136">
        <f ca="1"/>
        <v>8.4874134950801317E-2</v>
      </c>
      <c r="AG12" s="225"/>
      <c r="AH12" s="224"/>
      <c r="AI12" s="226"/>
      <c r="AJ12" s="137"/>
      <c r="AK12" s="137"/>
      <c r="AL12" s="137"/>
      <c r="AM12" s="137"/>
      <c r="AN12" s="137"/>
      <c r="AO12" s="137"/>
      <c r="AQ12" s="137"/>
      <c r="AR12" s="137"/>
      <c r="AS12" s="137"/>
      <c r="AT12" s="137"/>
      <c r="AV12" s="137"/>
      <c r="AW12" s="137"/>
      <c r="AX12" s="137"/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8">
        <v>8.0000000000000004E-4</v>
      </c>
      <c r="G13" s="158">
        <v>1.1000000000000001E-3</v>
      </c>
      <c r="H13" s="158">
        <v>1.6000000000000001E-3</v>
      </c>
      <c r="I13" s="158">
        <v>2.3E-3</v>
      </c>
      <c r="J13" s="158" t="s">
        <v>87</v>
      </c>
      <c r="K13" s="158">
        <v>3.5999999999999999E-3</v>
      </c>
      <c r="L13" s="158">
        <v>4.3E-3</v>
      </c>
      <c r="M13" s="158">
        <v>5.3E-3</v>
      </c>
      <c r="N13" s="139" cm="1">
        <f t="array" aca="1" ref="N13:AE13" ca="1">IF(OR(B13="",NOT($J$2)),"",GetStripDefaultProbability(A13,B13,Parameter_Date,CDSRollDate,E13:M13,SpreadCurveMaturities,D13,C13,$J$4,$J$6))</f>
        <v>0</v>
      </c>
      <c r="O13" s="165">
        <f ca="1"/>
        <v>7.9782515363191475E-4</v>
      </c>
      <c r="P13" s="165">
        <f ca="1"/>
        <v>2.0234237867429172E-3</v>
      </c>
      <c r="Q13" s="165">
        <f ca="1"/>
        <v>5.6573458621570483E-3</v>
      </c>
      <c r="R13" s="165">
        <f ca="1"/>
        <v>1.2106402532939597E-2</v>
      </c>
      <c r="S13" s="165">
        <f ca="1"/>
        <v>0</v>
      </c>
      <c r="T13" s="165">
        <f ca="1"/>
        <v>3.145005766769382E-2</v>
      </c>
      <c r="U13" s="165">
        <f ca="1"/>
        <v>5.2213762828680177E-2</v>
      </c>
      <c r="V13" s="140">
        <f ca="1"/>
        <v>9.1746505131634071E-2</v>
      </c>
      <c r="W13" s="139">
        <f ca="1"/>
        <v>0</v>
      </c>
      <c r="X13" s="165">
        <f ca="1"/>
        <v>8.9750707345648273E-4</v>
      </c>
      <c r="Y13" s="165">
        <f ca="1"/>
        <v>2.1897393561045586E-3</v>
      </c>
      <c r="Z13" s="165">
        <f ca="1"/>
        <v>6.0072694078610045E-3</v>
      </c>
      <c r="AA13" s="165">
        <f ca="1"/>
        <v>1.2701357588944528E-2</v>
      </c>
      <c r="AB13" s="165">
        <f ca="1"/>
        <v>0</v>
      </c>
      <c r="AC13" s="165">
        <f ca="1"/>
        <v>3.2993332375862106E-2</v>
      </c>
      <c r="AD13" s="165">
        <f ca="1"/>
        <v>5.4759536268344511E-2</v>
      </c>
      <c r="AE13" s="140">
        <f ca="1"/>
        <v>9.6136165005472396E-2</v>
      </c>
      <c r="AG13" s="226"/>
      <c r="AH13" s="137"/>
      <c r="AI13" s="137"/>
      <c r="AJ13" s="137"/>
      <c r="AK13" s="137"/>
      <c r="AL13" s="137"/>
      <c r="AM13" s="137"/>
      <c r="AN13" s="137"/>
      <c r="AO13" s="137"/>
      <c r="AQ13" s="137"/>
      <c r="AR13" s="137"/>
      <c r="AS13" s="137"/>
      <c r="AT13" s="137"/>
      <c r="AV13" s="137"/>
      <c r="AW13" s="137"/>
      <c r="AX13" s="137"/>
    </row>
    <row r="14" spans="1:50" s="79" customFormat="1" ht="10.199999999999999" x14ac:dyDescent="0.2">
      <c r="A14" s="97">
        <f t="shared" ref="A14:A77" si="2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8">
        <v>5.9999999999999995E-4</v>
      </c>
      <c r="G14" s="158">
        <v>1E-3</v>
      </c>
      <c r="H14" s="158">
        <v>1.8E-3</v>
      </c>
      <c r="I14" s="158">
        <v>2.7000000000000001E-3</v>
      </c>
      <c r="J14" s="158" t="s">
        <v>87</v>
      </c>
      <c r="K14" s="158">
        <v>4.0000000000000001E-3</v>
      </c>
      <c r="L14" s="158">
        <v>5.1000000000000004E-3</v>
      </c>
      <c r="M14" s="158">
        <v>6.1999999999999998E-3</v>
      </c>
      <c r="N14" s="139" cm="1">
        <f t="array" aca="1" ref="N14:AE14" ca="1">IF(OR(B14="",NOT($J$2)),"",GetStripDefaultProbability(A14,B14,Parameter_Date,CDSRollDate,E14:M14,SpreadCurveMaturities,D14,C14,$J$4,$J$6))</f>
        <v>0</v>
      </c>
      <c r="O14" s="165">
        <f ca="1"/>
        <v>5.9842836468415594E-4</v>
      </c>
      <c r="P14" s="165">
        <f ca="1"/>
        <v>1.8429055585564846E-3</v>
      </c>
      <c r="Q14" s="165">
        <f ca="1"/>
        <v>6.3860550379947201E-3</v>
      </c>
      <c r="R14" s="165">
        <f ca="1"/>
        <v>1.4243271286680459E-2</v>
      </c>
      <c r="S14" s="165">
        <f ca="1"/>
        <v>0</v>
      </c>
      <c r="T14" s="165">
        <f ca="1"/>
        <v>3.4861747764955209E-2</v>
      </c>
      <c r="U14" s="165">
        <f ca="1"/>
        <v>6.2032395392875417E-2</v>
      </c>
      <c r="V14" s="140">
        <f ca="1"/>
        <v>0.10678672980121373</v>
      </c>
      <c r="W14" s="139">
        <f ca="1"/>
        <v>0</v>
      </c>
      <c r="X14" s="165">
        <f ca="1"/>
        <v>6.9813078535330142E-4</v>
      </c>
      <c r="Y14" s="165">
        <f ca="1"/>
        <v>2.0092512117827477E-3</v>
      </c>
      <c r="Z14" s="165">
        <f ca="1"/>
        <v>6.7358088791573678E-3</v>
      </c>
      <c r="AA14" s="165">
        <f ca="1"/>
        <v>1.4945153282516666E-2</v>
      </c>
      <c r="AB14" s="165">
        <f ca="1"/>
        <v>0</v>
      </c>
      <c r="AC14" s="165">
        <f ca="1"/>
        <v>3.6571686263822123E-2</v>
      </c>
      <c r="AD14" s="165">
        <f ca="1"/>
        <v>6.5047936069968393E-2</v>
      </c>
      <c r="AE14" s="140">
        <f ca="1"/>
        <v>0.1118955467970334</v>
      </c>
      <c r="AH14" s="137"/>
      <c r="AI14" s="137"/>
      <c r="AJ14" s="137"/>
      <c r="AK14" s="137"/>
      <c r="AM14" s="137"/>
      <c r="AN14" s="137"/>
      <c r="AO14" s="137"/>
      <c r="AQ14" s="137"/>
      <c r="AR14" s="137"/>
      <c r="AS14" s="137"/>
      <c r="AT14" s="137"/>
      <c r="AV14" s="137"/>
      <c r="AW14" s="137"/>
      <c r="AX14" s="137"/>
    </row>
    <row r="15" spans="1:50" s="79" customFormat="1" ht="10.199999999999999" x14ac:dyDescent="0.2">
      <c r="A15" s="97">
        <f t="shared" si="2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8">
        <v>1.2600000000000001E-3</v>
      </c>
      <c r="G15" s="158">
        <v>1.7700000000000001E-3</v>
      </c>
      <c r="H15" s="158">
        <v>2.3999999999999998E-3</v>
      </c>
      <c r="I15" s="158">
        <v>2.9099999999999998E-3</v>
      </c>
      <c r="J15" s="158" t="s">
        <v>87</v>
      </c>
      <c r="K15" s="158">
        <v>3.8E-3</v>
      </c>
      <c r="L15" s="158">
        <v>4.2599999999999999E-3</v>
      </c>
      <c r="M15" s="158">
        <v>4.5999999999999999E-3</v>
      </c>
      <c r="N15" s="139" cm="1">
        <f t="array" aca="1" ref="N15:AE15" ca="1">IF(OR(B15="",NOT($J$2)),"",GetStripDefaultProbability(A15,B15,Parameter_Date,CDSRollDate,E15:M15,SpreadCurveMaturities,D15,C15,$J$4,$J$6))</f>
        <v>0</v>
      </c>
      <c r="O15" s="165">
        <f ca="1"/>
        <v>1.2562873288380905E-3</v>
      </c>
      <c r="P15" s="165">
        <f ca="1"/>
        <v>3.2548935724590056E-3</v>
      </c>
      <c r="Q15" s="165">
        <f ca="1"/>
        <v>8.4668505902403268E-3</v>
      </c>
      <c r="R15" s="165">
        <f ca="1"/>
        <v>1.5201932751115366E-2</v>
      </c>
      <c r="S15" s="165">
        <f ca="1"/>
        <v>0</v>
      </c>
      <c r="T15" s="165">
        <f ca="1"/>
        <v>3.2799537624619846E-2</v>
      </c>
      <c r="U15" s="165">
        <f ca="1"/>
        <v>5.1048469977654443E-2</v>
      </c>
      <c r="V15" s="140">
        <f ca="1"/>
        <v>7.7752668698055749E-2</v>
      </c>
      <c r="W15" s="139">
        <f ca="1"/>
        <v>0</v>
      </c>
      <c r="X15" s="165">
        <f ca="1"/>
        <v>1.3559213931658709E-3</v>
      </c>
      <c r="Y15" s="165">
        <f ca="1"/>
        <v>3.4210039139428439E-3</v>
      </c>
      <c r="Z15" s="165">
        <f ca="1"/>
        <v>8.8873590085323251E-3</v>
      </c>
      <c r="AA15" s="165">
        <f ca="1"/>
        <v>1.5955737316730834E-2</v>
      </c>
      <c r="AB15" s="165">
        <f ca="1"/>
        <v>0</v>
      </c>
      <c r="AC15" s="165">
        <f ca="1"/>
        <v>3.4413061701109138E-2</v>
      </c>
      <c r="AD15" s="165">
        <f ca="1"/>
        <v>5.3540359897130352E-2</v>
      </c>
      <c r="AE15" s="140">
        <f ca="1"/>
        <v>8.1491062402233361E-2</v>
      </c>
      <c r="AH15" s="137"/>
      <c r="AI15" s="137"/>
      <c r="AJ15" s="137"/>
      <c r="AK15" s="137"/>
      <c r="AL15" s="141"/>
      <c r="AM15" s="137"/>
      <c r="AN15" s="137"/>
      <c r="AO15" s="137"/>
      <c r="AQ15" s="137"/>
      <c r="AR15" s="137"/>
      <c r="AS15" s="137"/>
      <c r="AT15" s="137"/>
      <c r="AV15" s="137"/>
      <c r="AW15" s="137"/>
      <c r="AX15" s="137"/>
    </row>
    <row r="16" spans="1:50" s="79" customFormat="1" ht="10.199999999999999" x14ac:dyDescent="0.2">
      <c r="A16" s="97">
        <f t="shared" si="2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8">
        <v>5.0000000000000001E-4</v>
      </c>
      <c r="G16" s="158">
        <v>5.9999999999999995E-4</v>
      </c>
      <c r="H16" s="158">
        <v>1.1000000000000001E-3</v>
      </c>
      <c r="I16" s="158">
        <v>1.5E-3</v>
      </c>
      <c r="J16" s="158" t="s">
        <v>87</v>
      </c>
      <c r="K16" s="158">
        <v>2.5000000000000001E-3</v>
      </c>
      <c r="L16" s="158">
        <v>3.2000000000000002E-3</v>
      </c>
      <c r="M16" s="158">
        <v>3.8999999999999998E-3</v>
      </c>
      <c r="N16" s="139" cm="1">
        <f t="array" aca="1" ref="N16:AE16" ca="1">IF(OR(B16="",NOT($J$2)),"",GetStripDefaultProbability(A16,B16,Parameter_Date,CDSRollDate,E16:M16,SpreadCurveMaturities,D16,C16,$J$4,$J$6))</f>
        <v>0</v>
      </c>
      <c r="O16" s="165">
        <f ca="1"/>
        <v>4.9871509903820499E-4</v>
      </c>
      <c r="P16" s="165">
        <f ca="1"/>
        <v>1.1024967160709886E-3</v>
      </c>
      <c r="Q16" s="165">
        <f ca="1"/>
        <v>3.9033560020872438E-3</v>
      </c>
      <c r="R16" s="165">
        <f ca="1"/>
        <v>7.906172733700978E-3</v>
      </c>
      <c r="S16" s="165">
        <f ca="1"/>
        <v>0</v>
      </c>
      <c r="T16" s="165">
        <f ca="1"/>
        <v>2.1966179480480963E-2</v>
      </c>
      <c r="U16" s="165">
        <f ca="1"/>
        <v>3.933579358099959E-2</v>
      </c>
      <c r="V16" s="140">
        <f ca="1"/>
        <v>6.8309404077601332E-2</v>
      </c>
      <c r="W16" s="139">
        <f ca="1"/>
        <v>0</v>
      </c>
      <c r="X16" s="165">
        <f ca="1"/>
        <v>5.9842770240881027E-4</v>
      </c>
      <c r="Y16" s="165">
        <f ca="1"/>
        <v>1.268965760482299E-3</v>
      </c>
      <c r="Z16" s="165">
        <f ca="1"/>
        <v>4.2538873068809213E-3</v>
      </c>
      <c r="AA16" s="165">
        <f ca="1"/>
        <v>8.422108749169821E-3</v>
      </c>
      <c r="AB16" s="165">
        <f ca="1"/>
        <v>0</v>
      </c>
      <c r="AC16" s="165">
        <f ca="1"/>
        <v>2.3030547547947977E-2</v>
      </c>
      <c r="AD16" s="165">
        <f ca="1"/>
        <v>4.1247573684898398E-2</v>
      </c>
      <c r="AE16" s="140">
        <f ca="1"/>
        <v>7.1598662987979012E-2</v>
      </c>
      <c r="AH16" s="137"/>
      <c r="AI16" s="137"/>
      <c r="AJ16" s="137"/>
      <c r="AK16" s="137"/>
      <c r="AL16" s="141"/>
      <c r="AM16" s="137"/>
      <c r="AN16" s="137"/>
      <c r="AO16" s="137"/>
      <c r="AQ16" s="137"/>
      <c r="AR16" s="137"/>
      <c r="AS16" s="137"/>
      <c r="AT16" s="137"/>
      <c r="AV16" s="137"/>
      <c r="AW16" s="137"/>
      <c r="AX16" s="137"/>
    </row>
    <row r="17" spans="1:50" s="79" customFormat="1" ht="10.199999999999999" x14ac:dyDescent="0.2">
      <c r="A17" s="97">
        <f t="shared" si="2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8">
        <v>1.23E-3</v>
      </c>
      <c r="G17" s="158">
        <v>1.5900000000000001E-3</v>
      </c>
      <c r="H17" s="158">
        <v>2.2100000000000002E-3</v>
      </c>
      <c r="I17" s="158">
        <v>2.5200000000000001E-3</v>
      </c>
      <c r="J17" s="158" t="s">
        <v>87</v>
      </c>
      <c r="K17" s="158">
        <v>3.2000000000000002E-3</v>
      </c>
      <c r="L17" s="158">
        <v>3.63E-3</v>
      </c>
      <c r="M17" s="158">
        <v>4.1000000000000003E-3</v>
      </c>
      <c r="N17" s="139" cm="1">
        <f t="array" aca="1" ref="N17:AE17" ca="1">IF(OR(B17="",NOT($J$2)),"",GetStripDefaultProbability(A17,B17,Parameter_Date,CDSRollDate,E17:M17,SpreadCurveMaturities,D17,C17,$J$4,$J$6))</f>
        <v>0</v>
      </c>
      <c r="O17" s="165">
        <f ca="1"/>
        <v>1.2263940119400241E-3</v>
      </c>
      <c r="P17" s="165">
        <f ca="1"/>
        <v>2.9217087643816919E-3</v>
      </c>
      <c r="Q17" s="165">
        <f ca="1"/>
        <v>7.7994647228469827E-3</v>
      </c>
      <c r="R17" s="165">
        <f ca="1"/>
        <v>1.3145272964436794E-2</v>
      </c>
      <c r="S17" s="165">
        <f ca="1"/>
        <v>0</v>
      </c>
      <c r="T17" s="165">
        <f ca="1"/>
        <v>2.7605257356574375E-2</v>
      </c>
      <c r="U17" s="165">
        <f ca="1"/>
        <v>4.3615771656614899E-2</v>
      </c>
      <c r="V17" s="140">
        <f ca="1"/>
        <v>7.0048495003330546E-2</v>
      </c>
      <c r="W17" s="139">
        <f ca="1"/>
        <v>0</v>
      </c>
      <c r="X17" s="165">
        <f ca="1"/>
        <v>1.3260312278097208E-3</v>
      </c>
      <c r="Y17" s="165">
        <f ca="1"/>
        <v>3.0878746320434081E-3</v>
      </c>
      <c r="Z17" s="165">
        <f ca="1"/>
        <v>8.1862315144844988E-3</v>
      </c>
      <c r="AA17" s="165">
        <f ca="1"/>
        <v>1.3796790790321367E-2</v>
      </c>
      <c r="AB17" s="165">
        <f ca="1"/>
        <v>0</v>
      </c>
      <c r="AC17" s="165">
        <f ca="1"/>
        <v>2.8965521952888929E-2</v>
      </c>
      <c r="AD17" s="165">
        <f ca="1"/>
        <v>4.5751293266370174E-2</v>
      </c>
      <c r="AE17" s="140">
        <f ca="1"/>
        <v>7.3431475509842414E-2</v>
      </c>
      <c r="AH17" s="137"/>
      <c r="AI17" s="137"/>
      <c r="AJ17" s="137"/>
      <c r="AK17" s="137"/>
      <c r="AL17" s="141"/>
      <c r="AM17" s="137"/>
      <c r="AN17" s="137"/>
      <c r="AO17" s="137"/>
      <c r="AQ17" s="137"/>
      <c r="AR17" s="137"/>
      <c r="AS17" s="137"/>
      <c r="AT17" s="137"/>
      <c r="AV17" s="137"/>
      <c r="AW17" s="137"/>
      <c r="AX17" s="137"/>
    </row>
    <row r="18" spans="1:50" s="79" customFormat="1" ht="10.199999999999999" x14ac:dyDescent="0.2">
      <c r="A18" s="97">
        <f t="shared" si="2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8">
        <v>5.0000000000000001E-4</v>
      </c>
      <c r="G18" s="158">
        <v>1.4E-3</v>
      </c>
      <c r="H18" s="158">
        <v>2.3999999999999998E-3</v>
      </c>
      <c r="I18" s="158">
        <v>3.5000000000000001E-3</v>
      </c>
      <c r="J18" s="158" t="s">
        <v>87</v>
      </c>
      <c r="K18" s="158">
        <v>5.7000000000000002E-3</v>
      </c>
      <c r="L18" s="158">
        <v>7.0000000000000001E-3</v>
      </c>
      <c r="M18" s="158">
        <v>8.5000000000000006E-3</v>
      </c>
      <c r="N18" s="139" cm="1">
        <f t="array" aca="1" ref="N18:AE18" ca="1">IF(OR(B18="",NOT($J$2)),"",GetStripDefaultProbability(A18,B18,Parameter_Date,CDSRollDate,E18:M18,SpreadCurveMaturities,D18,C18,$J$4,$J$6))</f>
        <v>0</v>
      </c>
      <c r="O18" s="165">
        <f ca="1"/>
        <v>4.9871509903820499E-4</v>
      </c>
      <c r="P18" s="165">
        <f ca="1"/>
        <v>2.5882300038474471E-3</v>
      </c>
      <c r="Q18" s="165">
        <f ca="1"/>
        <v>8.5118658854406171E-3</v>
      </c>
      <c r="R18" s="165">
        <f ca="1"/>
        <v>1.8425810366051176E-2</v>
      </c>
      <c r="S18" s="165">
        <f ca="1"/>
        <v>0</v>
      </c>
      <c r="T18" s="165">
        <f ca="1"/>
        <v>4.9612901119753028E-2</v>
      </c>
      <c r="U18" s="165">
        <f ca="1"/>
        <v>8.433629137331955E-2</v>
      </c>
      <c r="V18" s="140">
        <f ca="1"/>
        <v>0.14410508607163874</v>
      </c>
      <c r="W18" s="139">
        <f ca="1"/>
        <v>0</v>
      </c>
      <c r="X18" s="165">
        <f ca="1"/>
        <v>5.9842770240881027E-4</v>
      </c>
      <c r="Y18" s="165">
        <f ca="1"/>
        <v>2.7544514466680825E-3</v>
      </c>
      <c r="Z18" s="165">
        <f ca="1"/>
        <v>8.9325205579873224E-3</v>
      </c>
      <c r="AA18" s="165">
        <f ca="1"/>
        <v>1.9336975175547333E-2</v>
      </c>
      <c r="AB18" s="165">
        <f ca="1"/>
        <v>0</v>
      </c>
      <c r="AC18" s="165">
        <f ca="1"/>
        <v>5.2036243824796768E-2</v>
      </c>
      <c r="AD18" s="165">
        <f ca="1"/>
        <v>8.840146620102618E-2</v>
      </c>
      <c r="AE18" s="140">
        <f ca="1"/>
        <v>0.15089290494835794</v>
      </c>
      <c r="AH18" s="137"/>
      <c r="AI18" s="137"/>
      <c r="AJ18" s="137"/>
      <c r="AK18" s="137"/>
      <c r="AL18" s="141"/>
      <c r="AM18" s="137"/>
      <c r="AN18" s="137"/>
      <c r="AO18" s="137"/>
      <c r="AQ18" s="137"/>
      <c r="AR18" s="137"/>
      <c r="AS18" s="137"/>
      <c r="AT18" s="137"/>
      <c r="AV18" s="137"/>
      <c r="AW18" s="137"/>
      <c r="AX18" s="137"/>
    </row>
    <row r="19" spans="1:50" s="79" customFormat="1" ht="10.199999999999999" x14ac:dyDescent="0.2">
      <c r="A19" s="97">
        <f t="shared" si="2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8">
        <v>1.2999999999999999E-3</v>
      </c>
      <c r="G19" s="158">
        <v>1.4E-3</v>
      </c>
      <c r="H19" s="158">
        <v>2.5999999999999999E-3</v>
      </c>
      <c r="I19" s="158">
        <v>3.3E-3</v>
      </c>
      <c r="J19" s="158" t="s">
        <v>87</v>
      </c>
      <c r="K19" s="158">
        <v>5.1999999999999998E-3</v>
      </c>
      <c r="L19" s="158">
        <v>6.6E-3</v>
      </c>
      <c r="M19" s="158">
        <v>7.9000000000000008E-3</v>
      </c>
      <c r="N19" s="139" cm="1">
        <f t="array" aca="1" ref="N19:AE19" ca="1">IF(OR(B19="",NOT($J$2)),"",GetStripDefaultProbability(A19,B19,Parameter_Date,CDSRollDate,E19:M19,SpreadCurveMaturities,D19,C19,$J$4,$J$6))</f>
        <v>0</v>
      </c>
      <c r="O19" s="165">
        <f ca="1"/>
        <v>1.2961436980214458E-3</v>
      </c>
      <c r="P19" s="165">
        <f ca="1"/>
        <v>2.567287888908476E-3</v>
      </c>
      <c r="Q19" s="165">
        <f ca="1"/>
        <v>9.2060009416722322E-3</v>
      </c>
      <c r="R19" s="165">
        <f ca="1"/>
        <v>1.7291302928153507E-2</v>
      </c>
      <c r="S19" s="165">
        <f ca="1"/>
        <v>0</v>
      </c>
      <c r="T19" s="165">
        <f ca="1"/>
        <v>4.5172591741897694E-2</v>
      </c>
      <c r="U19" s="165">
        <f ca="1"/>
        <v>7.9741437821828853E-2</v>
      </c>
      <c r="V19" s="140">
        <f ca="1"/>
        <v>0.13424778621014</v>
      </c>
      <c r="W19" s="139">
        <f ca="1"/>
        <v>0</v>
      </c>
      <c r="X19" s="165">
        <f ca="1"/>
        <v>1.3957735535504723E-3</v>
      </c>
      <c r="Y19" s="165">
        <f ca="1"/>
        <v>2.7335128218006766E-3</v>
      </c>
      <c r="Z19" s="165">
        <f ca="1"/>
        <v>9.6620996739112952E-3</v>
      </c>
      <c r="AA19" s="165">
        <f ca="1"/>
        <v>1.8147226970557706E-2</v>
      </c>
      <c r="AB19" s="165">
        <f ca="1"/>
        <v>0</v>
      </c>
      <c r="AC19" s="165">
        <f ca="1"/>
        <v>4.7383320780331251E-2</v>
      </c>
      <c r="AD19" s="165">
        <f ca="1"/>
        <v>8.3593762269678962E-2</v>
      </c>
      <c r="AE19" s="140">
        <f ca="1"/>
        <v>0.14059698030013235</v>
      </c>
      <c r="AH19" s="137"/>
      <c r="AI19" s="137"/>
      <c r="AJ19" s="137"/>
      <c r="AK19" s="137"/>
      <c r="AL19" s="141"/>
      <c r="AM19" s="137"/>
      <c r="AN19" s="137"/>
      <c r="AO19" s="137"/>
      <c r="AQ19" s="137"/>
      <c r="AR19" s="137"/>
      <c r="AS19" s="137"/>
      <c r="AT19" s="137"/>
      <c r="AV19" s="137"/>
      <c r="AW19" s="137"/>
      <c r="AX19" s="137"/>
    </row>
    <row r="20" spans="1:50" s="79" customFormat="1" ht="10.199999999999999" x14ac:dyDescent="0.2">
      <c r="A20" s="97">
        <f t="shared" si="2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8">
        <v>2.9999999999999997E-4</v>
      </c>
      <c r="G20" s="158">
        <v>5.9999999999999995E-4</v>
      </c>
      <c r="H20" s="158">
        <v>1.1000000000000001E-3</v>
      </c>
      <c r="I20" s="158">
        <v>1.6000000000000001E-3</v>
      </c>
      <c r="J20" s="158" t="s">
        <v>87</v>
      </c>
      <c r="K20" s="158">
        <v>2.3E-3</v>
      </c>
      <c r="L20" s="158">
        <v>2.8E-3</v>
      </c>
      <c r="M20" s="158">
        <v>3.7000000000000002E-3</v>
      </c>
      <c r="N20" s="139" cm="1">
        <f t="array" aca="1" ref="N20:AE20" ca="1">IF(OR(B20="",NOT($J$2)),"",GetStripDefaultProbability(A20,B20,Parameter_Date,CDSRollDate,E20:M20,SpreadCurveMaturities,D20,C20,$J$4,$J$6))</f>
        <v>0</v>
      </c>
      <c r="O20" s="165">
        <f ca="1"/>
        <v>2.9925881803194443E-4</v>
      </c>
      <c r="P20" s="165">
        <f ca="1"/>
        <v>1.1075880241206981E-3</v>
      </c>
      <c r="Q20" s="165">
        <f ca="1"/>
        <v>3.9085326245068552E-3</v>
      </c>
      <c r="R20" s="165">
        <f ca="1"/>
        <v>8.4525742929316694E-3</v>
      </c>
      <c r="S20" s="165">
        <f ca="1"/>
        <v>0</v>
      </c>
      <c r="T20" s="165">
        <f ca="1"/>
        <v>2.0120856230043782E-2</v>
      </c>
      <c r="U20" s="165">
        <f ca="1"/>
        <v>3.4235340312458451E-2</v>
      </c>
      <c r="V20" s="140">
        <f ca="1"/>
        <v>6.5305429510592483E-2</v>
      </c>
      <c r="W20" s="139">
        <f ca="1"/>
        <v>0</v>
      </c>
      <c r="X20" s="165">
        <f ca="1"/>
        <v>3.9899165370427259E-4</v>
      </c>
      <c r="Y20" s="165">
        <f ca="1"/>
        <v>1.274056220039288E-3</v>
      </c>
      <c r="Z20" s="165">
        <f ca="1"/>
        <v>4.2590814785439246E-3</v>
      </c>
      <c r="AA20" s="165">
        <f ca="1"/>
        <v>8.9683283806615277E-3</v>
      </c>
      <c r="AB20" s="165">
        <f ca="1"/>
        <v>0</v>
      </c>
      <c r="AC20" s="165">
        <f ca="1"/>
        <v>2.1096285150472016E-2</v>
      </c>
      <c r="AD20" s="165">
        <f ca="1"/>
        <v>3.5900619681636381E-2</v>
      </c>
      <c r="AE20" s="140">
        <f ca="1"/>
        <v>6.8455192904848583E-2</v>
      </c>
      <c r="AH20" s="137"/>
      <c r="AI20" s="137"/>
      <c r="AJ20" s="137"/>
      <c r="AK20" s="137"/>
      <c r="AL20" s="141"/>
      <c r="AM20" s="137"/>
      <c r="AN20" s="137"/>
      <c r="AO20" s="137"/>
      <c r="AQ20" s="137"/>
      <c r="AR20" s="137"/>
      <c r="AS20" s="137"/>
      <c r="AT20" s="137"/>
      <c r="AV20" s="137"/>
      <c r="AW20" s="137"/>
      <c r="AX20" s="137"/>
    </row>
    <row r="21" spans="1:50" s="79" customFormat="1" ht="10.199999999999999" x14ac:dyDescent="0.2">
      <c r="A21" s="97">
        <f t="shared" si="2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8">
        <v>1.1900000000000001E-3</v>
      </c>
      <c r="G21" s="158">
        <v>1.4300000000000001E-3</v>
      </c>
      <c r="H21" s="158">
        <v>1.91E-3</v>
      </c>
      <c r="I21" s="158">
        <v>2.32E-3</v>
      </c>
      <c r="J21" s="158" t="s">
        <v>87</v>
      </c>
      <c r="K21" s="158">
        <v>3.0999999999999999E-3</v>
      </c>
      <c r="L21" s="158">
        <v>3.5100000000000001E-3</v>
      </c>
      <c r="M21" s="158">
        <v>3.8999999999999998E-3</v>
      </c>
      <c r="N21" s="139" cm="1">
        <f t="array" aca="1" ref="N21:AE21" ca="1">IF(OR(B21="",NOT($J$2)),"",GetStripDefaultProbability(A21,B21,Parameter_Date,CDSRollDate,E21:M21,SpreadCurveMaturities,D21,C21,$J$4,$J$6))</f>
        <v>0</v>
      </c>
      <c r="O21" s="165">
        <f ca="1"/>
        <v>1.1865348693367306E-3</v>
      </c>
      <c r="P21" s="165">
        <f ca="1"/>
        <v>2.6258433814061455E-3</v>
      </c>
      <c r="Q21" s="165">
        <f ca="1"/>
        <v>6.7366440886025281E-3</v>
      </c>
      <c r="R21" s="165">
        <f ca="1"/>
        <v>1.2129269443250879E-2</v>
      </c>
      <c r="S21" s="165">
        <f ca="1"/>
        <v>0</v>
      </c>
      <c r="T21" s="165">
        <f ca="1"/>
        <v>2.6848206231367966E-2</v>
      </c>
      <c r="U21" s="165">
        <f ca="1"/>
        <v>4.2287150970583665E-2</v>
      </c>
      <c r="V21" s="140">
        <f ca="1"/>
        <v>6.6639773517162326E-2</v>
      </c>
      <c r="W21" s="139">
        <f ca="1"/>
        <v>0</v>
      </c>
      <c r="X21" s="165">
        <f ca="1"/>
        <v>1.2861762805511656E-3</v>
      </c>
      <c r="Y21" s="165">
        <f ca="1"/>
        <v>2.7920585558663946E-3</v>
      </c>
      <c r="Z21" s="165">
        <f ca="1"/>
        <v>7.0861673212067045E-3</v>
      </c>
      <c r="AA21" s="165">
        <f ca="1"/>
        <v>1.2729313496270156E-2</v>
      </c>
      <c r="AB21" s="165">
        <f ca="1"/>
        <v>0</v>
      </c>
      <c r="AC21" s="165">
        <f ca="1"/>
        <v>2.8170649741683262E-2</v>
      </c>
      <c r="AD21" s="165">
        <f ca="1"/>
        <v>4.4358129314342687E-2</v>
      </c>
      <c r="AE21" s="140">
        <f ca="1"/>
        <v>6.986224289732712E-2</v>
      </c>
      <c r="AH21" s="137"/>
      <c r="AI21" s="137"/>
      <c r="AJ21" s="137"/>
      <c r="AK21" s="137"/>
      <c r="AL21" s="141"/>
      <c r="AM21" s="137"/>
      <c r="AN21" s="137"/>
      <c r="AO21" s="137"/>
      <c r="AQ21" s="137"/>
      <c r="AR21" s="137"/>
      <c r="AS21" s="137"/>
      <c r="AT21" s="137"/>
      <c r="AV21" s="137"/>
      <c r="AW21" s="137"/>
      <c r="AX21" s="137"/>
    </row>
    <row r="22" spans="1:50" s="79" customFormat="1" ht="10.199999999999999" x14ac:dyDescent="0.2">
      <c r="A22" s="97">
        <f t="shared" si="2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8">
        <v>1.25E-3</v>
      </c>
      <c r="G22" s="158">
        <v>1.6299999999999999E-3</v>
      </c>
      <c r="H22" s="158">
        <v>2.2599999999999999E-3</v>
      </c>
      <c r="I22" s="158">
        <v>2.64E-3</v>
      </c>
      <c r="J22" s="158" t="s">
        <v>87</v>
      </c>
      <c r="K22" s="158">
        <v>3.3999999999999998E-3</v>
      </c>
      <c r="L22" s="158">
        <v>3.8500000000000001E-3</v>
      </c>
      <c r="M22" s="158">
        <v>4.3E-3</v>
      </c>
      <c r="N22" s="139" cm="1">
        <f t="array" aca="1" ref="N22:AE22" ca="1">IF(OR(B22="",NOT($J$2)),"",GetStripDefaultProbability(A22,B22,Parameter_Date,CDSRollDate,E22:M22,SpreadCurveMaturities,D22,C22,$J$4,$J$6))</f>
        <v>0</v>
      </c>
      <c r="O22" s="165">
        <f ca="1"/>
        <v>1.2463229889314587E-3</v>
      </c>
      <c r="P22" s="165">
        <f ca="1"/>
        <v>2.9954032839897282E-3</v>
      </c>
      <c r="Q22" s="165">
        <f ca="1"/>
        <v>7.9752895121480982E-3</v>
      </c>
      <c r="R22" s="165">
        <f ca="1"/>
        <v>1.3780555513381976E-2</v>
      </c>
      <c r="S22" s="165">
        <f ca="1"/>
        <v>0</v>
      </c>
      <c r="T22" s="165">
        <f ca="1"/>
        <v>2.934620210229677E-2</v>
      </c>
      <c r="U22" s="165">
        <f ca="1"/>
        <v>4.6236325955049118E-2</v>
      </c>
      <c r="V22" s="140">
        <f ca="1"/>
        <v>7.3255999320845477E-2</v>
      </c>
      <c r="W22" s="139">
        <f ca="1"/>
        <v>0</v>
      </c>
      <c r="X22" s="165">
        <f ca="1"/>
        <v>1.345958104235434E-3</v>
      </c>
      <c r="Y22" s="165">
        <f ca="1"/>
        <v>3.1615568702660912E-3</v>
      </c>
      <c r="Z22" s="165">
        <f ca="1"/>
        <v>8.3709388172324983E-3</v>
      </c>
      <c r="AA22" s="165">
        <f ca="1"/>
        <v>1.4463655439594381E-2</v>
      </c>
      <c r="AB22" s="165">
        <f ca="1"/>
        <v>0</v>
      </c>
      <c r="AC22" s="165">
        <f ca="1"/>
        <v>3.0791458570765595E-2</v>
      </c>
      <c r="AD22" s="165">
        <f ca="1"/>
        <v>4.8497827996388243E-2</v>
      </c>
      <c r="AE22" s="140">
        <f ca="1"/>
        <v>7.678794661759536E-2</v>
      </c>
      <c r="AH22" s="137"/>
      <c r="AI22" s="137"/>
      <c r="AJ22" s="137"/>
      <c r="AK22" s="137"/>
      <c r="AL22" s="141"/>
      <c r="AM22" s="137"/>
      <c r="AN22" s="137"/>
      <c r="AO22" s="137"/>
      <c r="AQ22" s="137"/>
      <c r="AR22" s="137"/>
      <c r="AS22" s="137"/>
      <c r="AT22" s="137"/>
      <c r="AV22" s="137"/>
      <c r="AW22" s="137"/>
      <c r="AX22" s="137"/>
    </row>
    <row r="23" spans="1:50" s="79" customFormat="1" ht="10.199999999999999" x14ac:dyDescent="0.2">
      <c r="A23" s="97">
        <f t="shared" si="2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8">
        <v>1.0499999999999999E-3</v>
      </c>
      <c r="G23" s="158">
        <v>2.0500000000000002E-3</v>
      </c>
      <c r="H23" s="158">
        <v>3.1099999999999999E-3</v>
      </c>
      <c r="I23" s="158">
        <v>3.6900000000000001E-3</v>
      </c>
      <c r="J23" s="158" t="s">
        <v>87</v>
      </c>
      <c r="K23" s="158">
        <v>4.4999999999999997E-3</v>
      </c>
      <c r="L23" s="158">
        <v>5.0499999999999998E-3</v>
      </c>
      <c r="M23" s="158">
        <v>5.5500000000000002E-3</v>
      </c>
      <c r="N23" s="139" cm="1">
        <f t="array" aca="1" ref="N23:AE23" ca="1">IF(OR(B23="",NOT($J$2)),"",GetStripDefaultProbability(A23,B23,Parameter_Date,CDSRollDate,E23:M23,SpreadCurveMaturities,D23,C23,$J$4,$J$6))</f>
        <v>0</v>
      </c>
      <c r="O23" s="165">
        <f ca="1"/>
        <v>1.0470153881901867E-3</v>
      </c>
      <c r="P23" s="165">
        <f ca="1"/>
        <v>3.7799315139714906E-3</v>
      </c>
      <c r="Q23" s="165">
        <f ca="1"/>
        <v>1.0992902441059216E-2</v>
      </c>
      <c r="R23" s="165">
        <f ca="1"/>
        <v>1.9261639021934673E-2</v>
      </c>
      <c r="S23" s="165">
        <f ca="1"/>
        <v>0</v>
      </c>
      <c r="T23" s="165">
        <f ca="1"/>
        <v>3.8613819089252654E-2</v>
      </c>
      <c r="U23" s="165">
        <f ca="1"/>
        <v>6.0151899285392996E-2</v>
      </c>
      <c r="V23" s="140">
        <f ca="1"/>
        <v>9.3317713933402602E-2</v>
      </c>
      <c r="W23" s="139">
        <f ca="1"/>
        <v>0</v>
      </c>
      <c r="X23" s="165">
        <f ca="1"/>
        <v>1.1466714231049835E-3</v>
      </c>
      <c r="Y23" s="165">
        <f ca="1"/>
        <v>3.9501045729783968E-3</v>
      </c>
      <c r="Z23" s="165">
        <f ca="1"/>
        <v>1.1539203202004633E-2</v>
      </c>
      <c r="AA23" s="165">
        <f ca="1"/>
        <v>2.0215933833209077E-2</v>
      </c>
      <c r="AB23" s="165">
        <f ca="1"/>
        <v>0</v>
      </c>
      <c r="AC23" s="165">
        <f ca="1"/>
        <v>4.0508037131807284E-2</v>
      </c>
      <c r="AD23" s="165">
        <f ca="1"/>
        <v>6.3074827437148429E-2</v>
      </c>
      <c r="AE23" s="140">
        <f ca="1"/>
        <v>9.7768497888454542E-2</v>
      </c>
      <c r="AH23" s="137"/>
      <c r="AI23" s="137"/>
      <c r="AJ23" s="137"/>
      <c r="AK23" s="137"/>
      <c r="AL23" s="141"/>
      <c r="AM23" s="137"/>
      <c r="AN23" s="137"/>
      <c r="AO23" s="137"/>
      <c r="AQ23" s="137"/>
      <c r="AR23" s="137"/>
      <c r="AS23" s="137"/>
      <c r="AT23" s="137"/>
      <c r="AV23" s="137"/>
      <c r="AW23" s="137"/>
      <c r="AX23" s="137"/>
    </row>
    <row r="24" spans="1:50" s="79" customFormat="1" ht="10.199999999999999" x14ac:dyDescent="0.2">
      <c r="A24" s="97">
        <f t="shared" si="2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8">
        <v>1.5399999999999999E-3</v>
      </c>
      <c r="G24" s="158">
        <v>2.3600000000000001E-3</v>
      </c>
      <c r="H24" s="158">
        <v>3.0799999999999998E-3</v>
      </c>
      <c r="I24" s="158">
        <v>3.3800000000000002E-3</v>
      </c>
      <c r="J24" s="158" t="s">
        <v>87</v>
      </c>
      <c r="K24" s="158">
        <v>4.0000000000000001E-3</v>
      </c>
      <c r="L24" s="158">
        <v>4.4000000000000003E-3</v>
      </c>
      <c r="M24" s="158">
        <v>5.0000000000000001E-3</v>
      </c>
      <c r="N24" s="139" cm="1">
        <f t="array" aca="1" ref="N24:AE24" ca="1">IF(OR(B24="",NOT($J$2)),"",GetStripDefaultProbability(A24,B24,Parameter_Date,CDSRollDate,E24:M24,SpreadCurveMaturities,D24,C24,$J$4,$J$6))</f>
        <v>0</v>
      </c>
      <c r="O24" s="165">
        <f ca="1"/>
        <v>1.5352486381366992E-3</v>
      </c>
      <c r="P24" s="165">
        <f ca="1"/>
        <v>4.341665637787373E-3</v>
      </c>
      <c r="Q24" s="165">
        <f ca="1"/>
        <v>1.0851177266018253E-2</v>
      </c>
      <c r="R24" s="165">
        <f ca="1"/>
        <v>1.7565192642460703E-2</v>
      </c>
      <c r="S24" s="165">
        <f ca="1"/>
        <v>0</v>
      </c>
      <c r="T24" s="165">
        <f ca="1"/>
        <v>3.4232799148903093E-2</v>
      </c>
      <c r="U24" s="165">
        <f ca="1"/>
        <v>5.2313139359978722E-2</v>
      </c>
      <c r="V24" s="140">
        <f ca="1"/>
        <v>8.4612357707116947E-2</v>
      </c>
      <c r="W24" s="139">
        <f ca="1"/>
        <v>0</v>
      </c>
      <c r="X24" s="165">
        <f ca="1"/>
        <v>1.6348530775115444E-3</v>
      </c>
      <c r="Y24" s="165">
        <f ca="1"/>
        <v>4.5577086974326608E-3</v>
      </c>
      <c r="Z24" s="165">
        <f ca="1"/>
        <v>1.1390339587725506E-2</v>
      </c>
      <c r="AA24" s="165">
        <f ca="1"/>
        <v>1.843557681184016E-2</v>
      </c>
      <c r="AB24" s="165">
        <f ca="1"/>
        <v>0</v>
      </c>
      <c r="AC24" s="165">
        <f ca="1"/>
        <v>3.5914790769000504E-2</v>
      </c>
      <c r="AD24" s="165">
        <f ca="1"/>
        <v>5.4862905202472168E-2</v>
      </c>
      <c r="AE24" s="140">
        <f ca="1"/>
        <v>8.8666540270759375E-2</v>
      </c>
      <c r="AH24" s="137"/>
      <c r="AI24" s="137"/>
      <c r="AJ24" s="137"/>
      <c r="AK24" s="137"/>
      <c r="AL24" s="141"/>
      <c r="AM24" s="137"/>
      <c r="AN24" s="137"/>
      <c r="AO24" s="137"/>
      <c r="AQ24" s="137"/>
      <c r="AR24" s="137"/>
      <c r="AS24" s="137"/>
      <c r="AT24" s="137"/>
      <c r="AV24" s="137"/>
      <c r="AW24" s="137"/>
      <c r="AX24" s="137"/>
    </row>
    <row r="25" spans="1:50" s="79" customFormat="1" ht="10.199999999999999" x14ac:dyDescent="0.2">
      <c r="A25" s="97">
        <f t="shared" si="2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8">
        <v>5.0000000000000001E-4</v>
      </c>
      <c r="G25" s="158">
        <v>5.9999999999999995E-4</v>
      </c>
      <c r="H25" s="158">
        <v>8.0000000000000004E-4</v>
      </c>
      <c r="I25" s="158">
        <v>1.1999999999999999E-3</v>
      </c>
      <c r="J25" s="158" t="s">
        <v>87</v>
      </c>
      <c r="K25" s="158">
        <v>1.9E-3</v>
      </c>
      <c r="L25" s="158">
        <v>2.3999999999999998E-3</v>
      </c>
      <c r="M25" s="158">
        <v>3.0999999999999999E-3</v>
      </c>
      <c r="N25" s="139" cm="1">
        <f t="array" aca="1" ref="N25:AE25" ca="1">IF(OR(B25="",NOT($J$2)),"",GetStripDefaultProbability(A25,B25,Parameter_Date,CDSRollDate,E25:M25,SpreadCurveMaturities,D25,C25,$J$4,$J$6))</f>
        <v>0</v>
      </c>
      <c r="O25" s="165">
        <f ca="1"/>
        <v>4.9871509903820499E-4</v>
      </c>
      <c r="P25" s="165">
        <f ca="1"/>
        <v>1.1024967160709886E-3</v>
      </c>
      <c r="Q25" s="165">
        <f ca="1"/>
        <v>2.8261919213566911E-3</v>
      </c>
      <c r="R25" s="165">
        <f ca="1"/>
        <v>6.3315085687912775E-3</v>
      </c>
      <c r="S25" s="165">
        <f ca="1"/>
        <v>0</v>
      </c>
      <c r="T25" s="165">
        <f ca="1"/>
        <v>1.6694369680615662E-2</v>
      </c>
      <c r="U25" s="165">
        <f ca="1"/>
        <v>2.9542078360433655E-2</v>
      </c>
      <c r="V25" s="140">
        <f ca="1"/>
        <v>5.4911520329451791E-2</v>
      </c>
      <c r="W25" s="139">
        <f ca="1"/>
        <v>0</v>
      </c>
      <c r="X25" s="165">
        <f ca="1"/>
        <v>5.9842770240881027E-4</v>
      </c>
      <c r="Y25" s="165">
        <f ca="1"/>
        <v>1.268965760482299E-3</v>
      </c>
      <c r="Z25" s="165">
        <f ca="1"/>
        <v>3.1770123558528818E-3</v>
      </c>
      <c r="AA25" s="165">
        <f ca="1"/>
        <v>6.8481692414744666E-3</v>
      </c>
      <c r="AB25" s="165">
        <f ca="1"/>
        <v>0</v>
      </c>
      <c r="AC25" s="165">
        <f ca="1"/>
        <v>1.7536964191721571E-2</v>
      </c>
      <c r="AD25" s="165">
        <f ca="1"/>
        <v>3.0965087685578374E-2</v>
      </c>
      <c r="AE25" s="140">
        <f ca="1"/>
        <v>5.7555311603854187E-2</v>
      </c>
      <c r="AH25" s="137"/>
      <c r="AI25" s="137"/>
      <c r="AJ25" s="137"/>
      <c r="AK25" s="137"/>
      <c r="AL25" s="141"/>
      <c r="AM25" s="137"/>
      <c r="AN25" s="137"/>
      <c r="AO25" s="137"/>
      <c r="AQ25" s="137"/>
      <c r="AR25" s="137"/>
      <c r="AS25" s="137"/>
      <c r="AT25" s="137"/>
      <c r="AV25" s="137"/>
      <c r="AW25" s="137"/>
      <c r="AX25" s="137"/>
    </row>
    <row r="26" spans="1:50" s="79" customFormat="1" ht="10.199999999999999" x14ac:dyDescent="0.2">
      <c r="A26" s="97">
        <f t="shared" si="2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8">
        <v>2.9999999999999997E-4</v>
      </c>
      <c r="G26" s="158">
        <v>8.9999999999999998E-4</v>
      </c>
      <c r="H26" s="158">
        <v>1.5E-3</v>
      </c>
      <c r="I26" s="158">
        <v>2E-3</v>
      </c>
      <c r="J26" s="158" t="s">
        <v>87</v>
      </c>
      <c r="K26" s="158">
        <v>3.3E-3</v>
      </c>
      <c r="L26" s="158">
        <v>4.1000000000000003E-3</v>
      </c>
      <c r="M26" s="158">
        <v>5.1999999999999998E-3</v>
      </c>
      <c r="N26" s="139" cm="1">
        <f t="array" aca="1" ref="N26:AE26" ca="1">IF(OR(B26="",NOT($J$2)),"",GetStripDefaultProbability(A26,B26,Parameter_Date,CDSRollDate,E26:M26,SpreadCurveMaturities,D26,C26,$J$4,$J$6))</f>
        <v>0</v>
      </c>
      <c r="O26" s="165">
        <f ca="1"/>
        <v>2.9925881803194443E-4</v>
      </c>
      <c r="P26" s="165">
        <f ca="1"/>
        <v>1.6649092809828403E-3</v>
      </c>
      <c r="Q26" s="165">
        <f ca="1"/>
        <v>5.32473521599508E-3</v>
      </c>
      <c r="R26" s="165">
        <f ca="1"/>
        <v>1.0529140380263424E-2</v>
      </c>
      <c r="S26" s="165">
        <f ca="1"/>
        <v>0</v>
      </c>
      <c r="T26" s="165">
        <f ca="1"/>
        <v>2.8912817105446131E-2</v>
      </c>
      <c r="U26" s="165">
        <f ca="1"/>
        <v>5.0064336407105947E-2</v>
      </c>
      <c r="V26" s="140">
        <f ca="1"/>
        <v>9.0642421332620904E-2</v>
      </c>
      <c r="W26" s="139">
        <f ca="1"/>
        <v>0</v>
      </c>
      <c r="X26" s="165">
        <f ca="1"/>
        <v>3.9899165370427259E-4</v>
      </c>
      <c r="Y26" s="165">
        <f ca="1"/>
        <v>1.8312845977750403E-3</v>
      </c>
      <c r="Z26" s="165">
        <f ca="1"/>
        <v>5.6748359666203285E-3</v>
      </c>
      <c r="AA26" s="165">
        <f ca="1"/>
        <v>1.1043861163526514E-2</v>
      </c>
      <c r="AB26" s="165">
        <f ca="1"/>
        <v>0</v>
      </c>
      <c r="AC26" s="165">
        <f ca="1"/>
        <v>3.0330586814832139E-2</v>
      </c>
      <c r="AD26" s="165">
        <f ca="1"/>
        <v>5.2506373998393308E-2</v>
      </c>
      <c r="AE26" s="140">
        <f ca="1"/>
        <v>9.500859964808317E-2</v>
      </c>
      <c r="AH26" s="137"/>
      <c r="AI26" s="137"/>
      <c r="AJ26" s="137"/>
      <c r="AK26" s="137"/>
      <c r="AL26" s="141"/>
      <c r="AM26" s="137"/>
      <c r="AN26" s="137"/>
      <c r="AO26" s="137"/>
      <c r="AQ26" s="137"/>
      <c r="AR26" s="137"/>
      <c r="AS26" s="137"/>
      <c r="AT26" s="137"/>
      <c r="AV26" s="137"/>
      <c r="AW26" s="137"/>
      <c r="AX26" s="137"/>
    </row>
    <row r="27" spans="1:50" s="79" customFormat="1" ht="10.199999999999999" x14ac:dyDescent="0.2">
      <c r="A27" s="97">
        <f t="shared" si="2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8">
        <v>5.9999999999999995E-4</v>
      </c>
      <c r="G27" s="158">
        <v>5.9999999999999995E-4</v>
      </c>
      <c r="H27" s="158">
        <v>1.1000000000000001E-3</v>
      </c>
      <c r="I27" s="158">
        <v>1.5E-3</v>
      </c>
      <c r="J27" s="158" t="s">
        <v>87</v>
      </c>
      <c r="K27" s="158">
        <v>2.5000000000000001E-3</v>
      </c>
      <c r="L27" s="158">
        <v>3.3E-3</v>
      </c>
      <c r="M27" s="158">
        <v>4.3E-3</v>
      </c>
      <c r="N27" s="139" cm="1">
        <f t="array" aca="1" ref="N27:AE27" ca="1">IF(OR(B27="",NOT($J$2)),"",GetStripDefaultProbability(A27,B27,Parameter_Date,CDSRollDate,E27:M27,SpreadCurveMaturities,D27,C27,$J$4,$J$6))</f>
        <v>0</v>
      </c>
      <c r="O27" s="165">
        <f ca="1"/>
        <v>5.9842836468415594E-4</v>
      </c>
      <c r="P27" s="165">
        <f ca="1"/>
        <v>1.0999513735518995E-3</v>
      </c>
      <c r="Q27" s="165">
        <f ca="1"/>
        <v>3.9007679469147405E-3</v>
      </c>
      <c r="R27" s="165">
        <f ca="1"/>
        <v>7.9035531671699522E-3</v>
      </c>
      <c r="S27" s="165">
        <f ca="1"/>
        <v>0</v>
      </c>
      <c r="T27" s="165">
        <f ca="1"/>
        <v>2.1963485586252052E-2</v>
      </c>
      <c r="U27" s="165">
        <f ca="1"/>
        <v>4.0644892714497893E-2</v>
      </c>
      <c r="V27" s="140">
        <f ca="1"/>
        <v>7.5870970231476931E-2</v>
      </c>
      <c r="W27" s="139">
        <f ca="1"/>
        <v>0</v>
      </c>
      <c r="X27" s="165">
        <f ca="1"/>
        <v>6.9813078535330142E-4</v>
      </c>
      <c r="Y27" s="165">
        <f ca="1"/>
        <v>1.2664208421503398E-3</v>
      </c>
      <c r="Z27" s="165">
        <f ca="1"/>
        <v>4.2512904793143846E-3</v>
      </c>
      <c r="AA27" s="165">
        <f ca="1"/>
        <v>8.4194808764717077E-3</v>
      </c>
      <c r="AB27" s="165">
        <f ca="1"/>
        <v>0</v>
      </c>
      <c r="AC27" s="165">
        <f ca="1"/>
        <v>2.3027844196928604E-2</v>
      </c>
      <c r="AD27" s="165">
        <f ca="1"/>
        <v>4.2620429278687144E-2</v>
      </c>
      <c r="AE27" s="140">
        <f ca="1"/>
        <v>7.9516819558873908E-2</v>
      </c>
      <c r="AH27" s="137"/>
      <c r="AI27" s="137"/>
      <c r="AJ27" s="137"/>
      <c r="AK27" s="137"/>
      <c r="AL27" s="141"/>
      <c r="AM27" s="137"/>
      <c r="AN27" s="137"/>
      <c r="AO27" s="137"/>
      <c r="AQ27" s="137"/>
      <c r="AR27" s="137"/>
      <c r="AS27" s="137"/>
      <c r="AT27" s="137"/>
      <c r="AV27" s="137"/>
      <c r="AW27" s="137"/>
      <c r="AX27" s="137"/>
    </row>
    <row r="28" spans="1:50" s="79" customFormat="1" ht="10.199999999999999" x14ac:dyDescent="0.2">
      <c r="A28" s="97">
        <f t="shared" si="2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8">
        <v>1.1299999999999999E-3</v>
      </c>
      <c r="G28" s="158">
        <v>1.83E-3</v>
      </c>
      <c r="H28" s="158">
        <v>2.63E-3</v>
      </c>
      <c r="I28" s="158">
        <v>2.8999999999999998E-3</v>
      </c>
      <c r="J28" s="158" t="s">
        <v>87</v>
      </c>
      <c r="K28" s="158">
        <v>3.3E-3</v>
      </c>
      <c r="L28" s="158">
        <v>3.65E-3</v>
      </c>
      <c r="M28" s="158">
        <v>4.1000000000000003E-3</v>
      </c>
      <c r="N28" s="139" cm="1">
        <f t="array" aca="1" ref="N28:AE28" ca="1">IF(OR(B28="",NOT($J$2)),"",GetStripDefaultProbability(A28,B28,Parameter_Date,CDSRollDate,E28:M28,SpreadCurveMaturities,D28,C28,$J$4,$J$6))</f>
        <v>0</v>
      </c>
      <c r="O28" s="165">
        <f ca="1"/>
        <v>1.1267431836430308E-3</v>
      </c>
      <c r="P28" s="165">
        <f ca="1"/>
        <v>3.3696608053620514E-3</v>
      </c>
      <c r="Q28" s="165">
        <f ca="1"/>
        <v>9.2892821959001948E-3</v>
      </c>
      <c r="R28" s="165">
        <f ca="1"/>
        <v>1.5107554337781326E-2</v>
      </c>
      <c r="S28" s="165">
        <f ca="1"/>
        <v>0</v>
      </c>
      <c r="T28" s="165">
        <f ca="1"/>
        <v>2.826608473001968E-2</v>
      </c>
      <c r="U28" s="165">
        <f ca="1"/>
        <v>4.3542499387393296E-2</v>
      </c>
      <c r="V28" s="140">
        <f ca="1"/>
        <v>6.967920340790712E-2</v>
      </c>
      <c r="W28" s="139">
        <f ca="1"/>
        <v>0</v>
      </c>
      <c r="X28" s="165">
        <f ca="1"/>
        <v>1.2263908735494766E-3</v>
      </c>
      <c r="Y28" s="165">
        <f ca="1"/>
        <v>3.5357520205694382E-3</v>
      </c>
      <c r="Z28" s="165">
        <f ca="1"/>
        <v>9.7506444321830976E-3</v>
      </c>
      <c r="AA28" s="165">
        <f ca="1"/>
        <v>1.5856538516457519E-2</v>
      </c>
      <c r="AB28" s="165">
        <f ca="1"/>
        <v>0</v>
      </c>
      <c r="AC28" s="165">
        <f ca="1"/>
        <v>2.9658363516657849E-2</v>
      </c>
      <c r="AD28" s="165">
        <f ca="1"/>
        <v>4.5673199546197751E-2</v>
      </c>
      <c r="AE28" s="140">
        <f ca="1"/>
        <v>7.3042819006449267E-2</v>
      </c>
      <c r="AH28" s="137"/>
      <c r="AI28" s="137"/>
      <c r="AJ28" s="137"/>
      <c r="AK28" s="137"/>
      <c r="AL28" s="141"/>
      <c r="AM28" s="137"/>
      <c r="AN28" s="137"/>
      <c r="AO28" s="137"/>
      <c r="AQ28" s="137"/>
      <c r="AR28" s="137"/>
      <c r="AS28" s="137"/>
      <c r="AT28" s="137"/>
      <c r="AV28" s="137"/>
      <c r="AW28" s="137"/>
      <c r="AX28" s="137"/>
    </row>
    <row r="29" spans="1:50" s="79" customFormat="1" ht="10.199999999999999" x14ac:dyDescent="0.2">
      <c r="A29" s="97">
        <f t="shared" si="2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8">
        <v>6.9999999999999999E-4</v>
      </c>
      <c r="G29" s="158">
        <v>8.0000000000000004E-4</v>
      </c>
      <c r="H29" s="158">
        <v>1.4E-3</v>
      </c>
      <c r="I29" s="158">
        <v>1.9E-3</v>
      </c>
      <c r="J29" s="158" t="s">
        <v>87</v>
      </c>
      <c r="K29" s="158">
        <v>3.0999999999999999E-3</v>
      </c>
      <c r="L29" s="158">
        <v>3.8999999999999998E-3</v>
      </c>
      <c r="M29" s="158">
        <v>5.3E-3</v>
      </c>
      <c r="N29" s="139" cm="1">
        <f t="array" aca="1" ref="N29:AE29" ca="1">IF(OR(B29="",NOT($J$2)),"",GetStripDefaultProbability(A29,B29,Parameter_Date,CDSRollDate,E29:M29,SpreadCurveMaturities,D29,C29,$J$4,$J$6))</f>
        <v>0</v>
      </c>
      <c r="O29" s="165">
        <f ca="1"/>
        <v>6.9813171573551713E-4</v>
      </c>
      <c r="P29" s="165">
        <f ca="1"/>
        <v>1.4688960752100577E-3</v>
      </c>
      <c r="Q29" s="165">
        <f ca="1"/>
        <v>4.9619667956262159E-3</v>
      </c>
      <c r="R29" s="165">
        <f ca="1"/>
        <v>1.0001368150648227E-2</v>
      </c>
      <c r="S29" s="165">
        <f ca="1"/>
        <v>0</v>
      </c>
      <c r="T29" s="165">
        <f ca="1"/>
        <v>2.7161360164266624E-2</v>
      </c>
      <c r="U29" s="165">
        <f ca="1"/>
        <v>4.7699206563159069E-2</v>
      </c>
      <c r="V29" s="140">
        <f ca="1"/>
        <v>9.3181315230165596E-2</v>
      </c>
      <c r="W29" s="139">
        <f ca="1"/>
        <v>0</v>
      </c>
      <c r="X29" s="165">
        <f ca="1"/>
        <v>7.97823908687878E-4</v>
      </c>
      <c r="Y29" s="165">
        <f ca="1"/>
        <v>1.635304058142717E-3</v>
      </c>
      <c r="Z29" s="165">
        <f ca="1"/>
        <v>5.3121492790426661E-3</v>
      </c>
      <c r="AA29" s="165">
        <f ca="1"/>
        <v>1.0516319517488881E-2</v>
      </c>
      <c r="AB29" s="165">
        <f ca="1"/>
        <v>0</v>
      </c>
      <c r="AC29" s="165">
        <f ca="1"/>
        <v>2.8491032134677297E-2</v>
      </c>
      <c r="AD29" s="165">
        <f ca="1"/>
        <v>5.0025206219697971E-2</v>
      </c>
      <c r="AE29" s="140">
        <f ca="1"/>
        <v>9.7670873332344477E-2</v>
      </c>
      <c r="AH29" s="137"/>
      <c r="AI29" s="137"/>
      <c r="AJ29" s="137"/>
      <c r="AK29" s="137"/>
      <c r="AL29" s="141"/>
      <c r="AM29" s="137"/>
      <c r="AN29" s="137"/>
      <c r="AO29" s="137"/>
      <c r="AQ29" s="137"/>
      <c r="AR29" s="137"/>
      <c r="AS29" s="137"/>
      <c r="AT29" s="137"/>
      <c r="AV29" s="137"/>
      <c r="AW29" s="137"/>
      <c r="AX29" s="137"/>
    </row>
    <row r="30" spans="1:50" s="79" customFormat="1" ht="10.199999999999999" x14ac:dyDescent="0.2">
      <c r="A30" s="97">
        <f t="shared" si="2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8">
        <v>5.0000000000000001E-4</v>
      </c>
      <c r="G30" s="158">
        <v>8.0000000000000004E-4</v>
      </c>
      <c r="H30" s="158">
        <v>1.1999999999999999E-3</v>
      </c>
      <c r="I30" s="158">
        <v>1.6000000000000001E-3</v>
      </c>
      <c r="J30" s="158" t="s">
        <v>87</v>
      </c>
      <c r="K30" s="158">
        <v>2.5999999999999999E-3</v>
      </c>
      <c r="L30" s="158">
        <v>3.2000000000000002E-3</v>
      </c>
      <c r="M30" s="158">
        <v>3.5999999999999999E-3</v>
      </c>
      <c r="N30" s="139" cm="1">
        <f t="array" aca="1" ref="N30:AE30" ca="1">IF(OR(B30="",NOT($J$2)),"",GetStripDefaultProbability(A30,B30,Parameter_Date,CDSRollDate,E30:M30,SpreadCurveMaturities,D30,C30,$J$4,$J$6))</f>
        <v>0</v>
      </c>
      <c r="O30" s="165">
        <f ca="1"/>
        <v>4.9871509903820499E-4</v>
      </c>
      <c r="P30" s="165">
        <f ca="1"/>
        <v>1.4740231448624463E-3</v>
      </c>
      <c r="Q30" s="165">
        <f ca="1"/>
        <v>4.2495970908799086E-3</v>
      </c>
      <c r="R30" s="165">
        <f ca="1"/>
        <v>8.4177972034678028E-3</v>
      </c>
      <c r="S30" s="165">
        <f ca="1"/>
        <v>0</v>
      </c>
      <c r="T30" s="165">
        <f ca="1"/>
        <v>2.2801516408604616E-2</v>
      </c>
      <c r="U30" s="165">
        <f ca="1"/>
        <v>3.9171346381208783E-2</v>
      </c>
      <c r="V30" s="140">
        <f ca="1"/>
        <v>6.232469083183878E-2</v>
      </c>
      <c r="W30" s="139">
        <f ca="1"/>
        <v>0</v>
      </c>
      <c r="X30" s="165">
        <f ca="1"/>
        <v>5.9842770240881027E-4</v>
      </c>
      <c r="Y30" s="165">
        <f ca="1"/>
        <v>1.640430273368465E-3</v>
      </c>
      <c r="Z30" s="165">
        <f ca="1"/>
        <v>4.5999946951024162E-3</v>
      </c>
      <c r="AA30" s="165">
        <f ca="1"/>
        <v>8.9334496854980294E-3</v>
      </c>
      <c r="AB30" s="165">
        <f ca="1"/>
        <v>0</v>
      </c>
      <c r="AC30" s="165">
        <f ca="1"/>
        <v>2.3910146035690527E-2</v>
      </c>
      <c r="AD30" s="165">
        <f ca="1"/>
        <v>4.107800982357479E-2</v>
      </c>
      <c r="AE30" s="140">
        <f ca="1"/>
        <v>6.5332390704532228E-2</v>
      </c>
      <c r="AH30" s="137"/>
      <c r="AI30" s="137"/>
      <c r="AJ30" s="137"/>
      <c r="AK30" s="137"/>
      <c r="AL30" s="141"/>
      <c r="AM30" s="137"/>
      <c r="AN30" s="137"/>
      <c r="AO30" s="137"/>
      <c r="AQ30" s="137"/>
      <c r="AR30" s="137"/>
      <c r="AS30" s="137"/>
      <c r="AT30" s="137"/>
      <c r="AV30" s="137"/>
      <c r="AW30" s="137"/>
      <c r="AX30" s="137"/>
    </row>
    <row r="31" spans="1:50" s="79" customFormat="1" ht="10.199999999999999" x14ac:dyDescent="0.2">
      <c r="A31" s="97">
        <f t="shared" si="2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8">
        <v>6.4000000000000005E-4</v>
      </c>
      <c r="G31" s="158">
        <v>1.1800000000000001E-3</v>
      </c>
      <c r="H31" s="158">
        <v>1.66E-3</v>
      </c>
      <c r="I31" s="158">
        <v>2.1099999999999999E-3</v>
      </c>
      <c r="J31" s="158" t="s">
        <v>87</v>
      </c>
      <c r="K31" s="158">
        <v>3.0000000000000001E-3</v>
      </c>
      <c r="L31" s="158">
        <v>3.5999999999999999E-3</v>
      </c>
      <c r="M31" s="158">
        <v>3.8E-3</v>
      </c>
      <c r="N31" s="139" cm="1">
        <f t="array" aca="1" ref="N31:AE31" ca="1">IF(OR(B31="",NOT($J$2)),"",GetStripDefaultProbability(A31,B31,Parameter_Date,CDSRollDate,E31:M31,SpreadCurveMaturities,D31,C31,$J$4,$J$6))</f>
        <v>0</v>
      </c>
      <c r="O31" s="165">
        <f ca="1"/>
        <v>6.3831089476051872E-4</v>
      </c>
      <c r="P31" s="165">
        <f ca="1"/>
        <v>2.1761146434350342E-3</v>
      </c>
      <c r="Q31" s="165">
        <f ca="1"/>
        <v>5.8715062846858013E-3</v>
      </c>
      <c r="R31" s="165">
        <f ca="1"/>
        <v>1.1069058416834809E-2</v>
      </c>
      <c r="S31" s="165">
        <f ca="1"/>
        <v>0</v>
      </c>
      <c r="T31" s="165">
        <f ca="1"/>
        <v>2.6105287223292306E-2</v>
      </c>
      <c r="U31" s="165">
        <f ca="1"/>
        <v>4.371842216012678E-2</v>
      </c>
      <c r="V31" s="140">
        <f ca="1"/>
        <v>6.4794902712341673E-2</v>
      </c>
      <c r="W31" s="139">
        <f ca="1"/>
        <v>0</v>
      </c>
      <c r="X31" s="165">
        <f ca="1"/>
        <v>7.3800922978839445E-4</v>
      </c>
      <c r="Y31" s="165">
        <f ca="1"/>
        <v>2.3424047664344361E-3</v>
      </c>
      <c r="Z31" s="165">
        <f ca="1"/>
        <v>6.2213704186073748E-3</v>
      </c>
      <c r="AA31" s="165">
        <f ca="1"/>
        <v>1.161310278922778E-2</v>
      </c>
      <c r="AB31" s="165">
        <f ca="1"/>
        <v>0</v>
      </c>
      <c r="AC31" s="165">
        <f ca="1"/>
        <v>2.7388222510067783E-2</v>
      </c>
      <c r="AD31" s="165">
        <f ca="1"/>
        <v>4.5856382744807522E-2</v>
      </c>
      <c r="AE31" s="140">
        <f ca="1"/>
        <v>6.7927718327566944E-2</v>
      </c>
      <c r="AH31" s="137"/>
      <c r="AI31" s="137"/>
      <c r="AJ31" s="137"/>
      <c r="AK31" s="137"/>
      <c r="AL31" s="141"/>
      <c r="AM31" s="137"/>
      <c r="AN31" s="137"/>
      <c r="AO31" s="137"/>
      <c r="AQ31" s="137"/>
      <c r="AR31" s="137"/>
      <c r="AS31" s="137"/>
      <c r="AT31" s="137"/>
      <c r="AV31" s="137"/>
      <c r="AW31" s="137"/>
      <c r="AX31" s="137"/>
    </row>
    <row r="32" spans="1:50" s="79" customFormat="1" ht="10.199999999999999" x14ac:dyDescent="0.2">
      <c r="A32" s="97">
        <f t="shared" si="2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8">
        <v>1.1000000000000001E-3</v>
      </c>
      <c r="G32" s="158">
        <v>1.6000000000000001E-3</v>
      </c>
      <c r="H32" s="158">
        <v>2.0999999999999999E-3</v>
      </c>
      <c r="I32" s="158">
        <v>3.0000000000000001E-3</v>
      </c>
      <c r="J32" s="158" t="s">
        <v>87</v>
      </c>
      <c r="K32" s="158">
        <v>3.8999999999999998E-3</v>
      </c>
      <c r="L32" s="158">
        <v>4.5999999999999999E-3</v>
      </c>
      <c r="M32" s="158">
        <v>5.7000000000000002E-3</v>
      </c>
      <c r="N32" s="139" cm="1">
        <f t="array" aca="1" ref="N32:AE32" ca="1">IF(OR(B32="",NOT($J$2)),"",GetStripDefaultProbability(A32,B32,Parameter_Date,CDSRollDate,E32:M32,SpreadCurveMaturities,D32,C32,$J$4,$J$6))</f>
        <v>0</v>
      </c>
      <c r="O32" s="165">
        <f ca="1"/>
        <v>1.0968460033887739E-3</v>
      </c>
      <c r="P32" s="165">
        <f ca="1"/>
        <v>2.9436906458292222E-3</v>
      </c>
      <c r="Q32" s="165">
        <f ca="1"/>
        <v>7.4084402833797247E-3</v>
      </c>
      <c r="R32" s="165">
        <f ca="1"/>
        <v>1.5755056806649903E-2</v>
      </c>
      <c r="S32" s="165">
        <f ca="1"/>
        <v>0</v>
      </c>
      <c r="T32" s="165">
        <f ca="1"/>
        <v>3.373051997344545E-2</v>
      </c>
      <c r="U32" s="165">
        <f ca="1"/>
        <v>5.5403983016663716E-2</v>
      </c>
      <c r="V32" s="140">
        <f ca="1"/>
        <v>9.8081767884189652E-2</v>
      </c>
      <c r="W32" s="139">
        <f ca="1"/>
        <v>0</v>
      </c>
      <c r="X32" s="165">
        <f ca="1"/>
        <v>1.1964968262314635E-3</v>
      </c>
      <c r="Y32" s="165">
        <f ca="1"/>
        <v>3.1098528501559697E-3</v>
      </c>
      <c r="Z32" s="165">
        <f ca="1"/>
        <v>7.775649902053261E-3</v>
      </c>
      <c r="AA32" s="165">
        <f ca="1"/>
        <v>1.6535739677677186E-2</v>
      </c>
      <c r="AB32" s="165">
        <f ca="1"/>
        <v>0</v>
      </c>
      <c r="AC32" s="165">
        <f ca="1"/>
        <v>3.5388928174311052E-2</v>
      </c>
      <c r="AD32" s="165">
        <f ca="1"/>
        <v>5.8104577880332631E-2</v>
      </c>
      <c r="AE32" s="140">
        <f ca="1"/>
        <v>0.10279097698565376</v>
      </c>
      <c r="AH32" s="137"/>
      <c r="AI32" s="137"/>
      <c r="AJ32" s="137"/>
      <c r="AK32" s="137"/>
      <c r="AL32" s="141"/>
      <c r="AM32" s="137"/>
      <c r="AN32" s="137"/>
      <c r="AO32" s="137"/>
      <c r="AQ32" s="137"/>
      <c r="AR32" s="137"/>
      <c r="AS32" s="137"/>
      <c r="AT32" s="137"/>
      <c r="AV32" s="137"/>
      <c r="AW32" s="137"/>
      <c r="AX32" s="137"/>
    </row>
    <row r="33" spans="1:50" s="79" customFormat="1" ht="10.199999999999999" x14ac:dyDescent="0.2">
      <c r="A33" s="97">
        <f t="shared" si="2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8">
        <v>7.7999999999999999E-4</v>
      </c>
      <c r="G33" s="158">
        <v>1.3699999999999999E-3</v>
      </c>
      <c r="H33" s="158">
        <v>2.3E-3</v>
      </c>
      <c r="I33" s="158">
        <v>2.7000000000000001E-3</v>
      </c>
      <c r="J33" s="158" t="s">
        <v>87</v>
      </c>
      <c r="K33" s="158">
        <v>3.3E-3</v>
      </c>
      <c r="L33" s="158">
        <v>3.7000000000000002E-3</v>
      </c>
      <c r="M33" s="158">
        <v>4.0000000000000001E-3</v>
      </c>
      <c r="N33" s="139" cm="1">
        <f t="array" aca="1" ref="N33:AE33" ca="1">IF(OR(B33="",NOT($J$2)),"",GetStripDefaultProbability(A33,B33,Parameter_Date,CDSRollDate,E33:M33,SpreadCurveMaturities,D33,C33,$J$4,$J$6))</f>
        <v>0</v>
      </c>
      <c r="O33" s="165">
        <f ca="1"/>
        <v>7.7788725902905309E-4</v>
      </c>
      <c r="P33" s="165">
        <f ca="1"/>
        <v>2.5252093086982619E-3</v>
      </c>
      <c r="Q33" s="165">
        <f ca="1"/>
        <v>8.1482718297331003E-3</v>
      </c>
      <c r="R33" s="165">
        <f ca="1"/>
        <v>1.4127195636711165E-2</v>
      </c>
      <c r="S33" s="165">
        <f ca="1"/>
        <v>0</v>
      </c>
      <c r="T33" s="165">
        <f ca="1"/>
        <v>2.84449577972955E-2</v>
      </c>
      <c r="U33" s="165">
        <f ca="1"/>
        <v>4.4373784675809325E-2</v>
      </c>
      <c r="V33" s="140">
        <f ca="1"/>
        <v>6.7836209190459407E-2</v>
      </c>
      <c r="W33" s="139">
        <f ca="1"/>
        <v>0</v>
      </c>
      <c r="X33" s="165">
        <f ca="1"/>
        <v>8.7757123714504726E-4</v>
      </c>
      <c r="Y33" s="165">
        <f ca="1"/>
        <v>2.6914412540999244E-3</v>
      </c>
      <c r="Z33" s="165">
        <f ca="1"/>
        <v>8.5511246793955609E-3</v>
      </c>
      <c r="AA33" s="165">
        <f ca="1"/>
        <v>1.4826073343373602E-2</v>
      </c>
      <c r="AB33" s="165">
        <f ca="1"/>
        <v>0</v>
      </c>
      <c r="AC33" s="165">
        <f ca="1"/>
        <v>2.9844764369515331E-2</v>
      </c>
      <c r="AD33" s="165">
        <f ca="1"/>
        <v>4.6543909250023052E-2</v>
      </c>
      <c r="AE33" s="140">
        <f ca="1"/>
        <v>7.1111964641382808E-2</v>
      </c>
      <c r="AH33" s="137"/>
      <c r="AI33" s="137"/>
      <c r="AJ33" s="137"/>
      <c r="AK33" s="137"/>
      <c r="AL33" s="141"/>
      <c r="AM33" s="137"/>
      <c r="AN33" s="137"/>
      <c r="AO33" s="137"/>
      <c r="AQ33" s="137"/>
      <c r="AR33" s="137"/>
      <c r="AS33" s="137"/>
      <c r="AT33" s="137"/>
      <c r="AV33" s="137"/>
      <c r="AW33" s="137"/>
      <c r="AX33" s="137"/>
    </row>
    <row r="34" spans="1:50" s="79" customFormat="1" ht="10.199999999999999" x14ac:dyDescent="0.2">
      <c r="A34" s="97">
        <f t="shared" si="2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8">
        <v>5.0000000000000001E-4</v>
      </c>
      <c r="G34" s="158">
        <v>8.9999999999999998E-4</v>
      </c>
      <c r="H34" s="158">
        <v>1.6000000000000001E-3</v>
      </c>
      <c r="I34" s="158">
        <v>2.3999999999999998E-3</v>
      </c>
      <c r="J34" s="158" t="s">
        <v>87</v>
      </c>
      <c r="K34" s="158">
        <v>3.5999999999999999E-3</v>
      </c>
      <c r="L34" s="158">
        <v>4.5999999999999999E-3</v>
      </c>
      <c r="M34" s="158">
        <v>5.7999999999999996E-3</v>
      </c>
      <c r="N34" s="139" cm="1">
        <f t="array" aca="1" ref="N34:AE34" ca="1">IF(OR(B34="",NOT($J$2)),"",GetStripDefaultProbability(A34,B34,Parameter_Date,CDSRollDate,E34:M34,SpreadCurveMaturities,D34,C34,$J$4,$J$6))</f>
        <v>0</v>
      </c>
      <c r="O34" s="165">
        <f ca="1"/>
        <v>4.9871509903820499E-4</v>
      </c>
      <c r="P34" s="165">
        <f ca="1"/>
        <v>1.6597630776791217E-3</v>
      </c>
      <c r="Q34" s="165">
        <f ca="1"/>
        <v>5.6781154074661E-3</v>
      </c>
      <c r="R34" s="165">
        <f ca="1"/>
        <v>1.266767291511306E-2</v>
      </c>
      <c r="S34" s="165">
        <f ca="1"/>
        <v>0</v>
      </c>
      <c r="T34" s="165">
        <f ca="1"/>
        <v>3.143119580880771E-2</v>
      </c>
      <c r="U34" s="165">
        <f ca="1"/>
        <v>5.6100444134388083E-2</v>
      </c>
      <c r="V34" s="140">
        <f ca="1"/>
        <v>0.10069096420248713</v>
      </c>
      <c r="W34" s="139">
        <f ca="1"/>
        <v>0</v>
      </c>
      <c r="X34" s="165">
        <f ca="1"/>
        <v>5.9842770240881027E-4</v>
      </c>
      <c r="Y34" s="165">
        <f ca="1"/>
        <v>1.8261392520925179E-3</v>
      </c>
      <c r="Z34" s="165">
        <f ca="1"/>
        <v>6.028097820460987E-3</v>
      </c>
      <c r="AA34" s="165">
        <f ca="1"/>
        <v>1.3289471213089765E-2</v>
      </c>
      <c r="AB34" s="165">
        <f ca="1"/>
        <v>0</v>
      </c>
      <c r="AC34" s="165">
        <f ca="1"/>
        <v>3.2972512308697355E-2</v>
      </c>
      <c r="AD34" s="165">
        <f ca="1"/>
        <v>5.8832012605993467E-2</v>
      </c>
      <c r="AE34" s="140">
        <f ca="1"/>
        <v>0.10552341152252431</v>
      </c>
      <c r="AH34" s="137"/>
      <c r="AI34" s="137"/>
      <c r="AJ34" s="137"/>
      <c r="AK34" s="137"/>
      <c r="AL34" s="141"/>
      <c r="AM34" s="137"/>
      <c r="AN34" s="137"/>
      <c r="AO34" s="137"/>
      <c r="AQ34" s="137"/>
      <c r="AR34" s="137"/>
      <c r="AS34" s="137"/>
      <c r="AT34" s="137"/>
      <c r="AV34" s="137"/>
      <c r="AW34" s="137"/>
      <c r="AX34" s="137"/>
    </row>
    <row r="35" spans="1:50" s="79" customFormat="1" ht="10.199999999999999" x14ac:dyDescent="0.2">
      <c r="A35" s="97">
        <f t="shared" si="2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8">
        <v>1.15E-3</v>
      </c>
      <c r="G35" s="158">
        <v>1.81E-3</v>
      </c>
      <c r="H35" s="158">
        <v>2.8E-3</v>
      </c>
      <c r="I35" s="158">
        <v>3.5000000000000001E-3</v>
      </c>
      <c r="J35" s="158" t="s">
        <v>87</v>
      </c>
      <c r="K35" s="158">
        <v>4.5999999999999999E-3</v>
      </c>
      <c r="L35" s="158">
        <v>5.1999999999999998E-3</v>
      </c>
      <c r="M35" s="158">
        <v>5.7000000000000002E-3</v>
      </c>
      <c r="N35" s="139" cm="1">
        <f t="array" aca="1" ref="N35:AE35" ca="1">IF(OR(B35="",NOT($J$2)),"",GetStripDefaultProbability(A35,B35,Parameter_Date,CDSRollDate,E35:M35,SpreadCurveMaturities,D35,C35,$J$4,$J$6))</f>
        <v>0</v>
      </c>
      <c r="O35" s="165">
        <f ca="1"/>
        <v>1.1466741417979209E-3</v>
      </c>
      <c r="P35" s="165">
        <f ca="1"/>
        <v>3.3320234789655512E-3</v>
      </c>
      <c r="Q35" s="165">
        <f ca="1"/>
        <v>9.8980999890154742E-3</v>
      </c>
      <c r="R35" s="165">
        <f ca="1"/>
        <v>1.8308603971572635E-2</v>
      </c>
      <c r="S35" s="165">
        <f ca="1"/>
        <v>0</v>
      </c>
      <c r="T35" s="165">
        <f ca="1"/>
        <v>3.9658751176882556E-2</v>
      </c>
      <c r="U35" s="165">
        <f ca="1"/>
        <v>6.2143417864354844E-2</v>
      </c>
      <c r="V35" s="140">
        <f ca="1"/>
        <v>9.5940665654803969E-2</v>
      </c>
      <c r="W35" s="139">
        <f ca="1"/>
        <v>0</v>
      </c>
      <c r="X35" s="165">
        <f ca="1"/>
        <v>1.2463197407124316E-3</v>
      </c>
      <c r="Y35" s="165">
        <f ca="1"/>
        <v>3.4981209665418955E-3</v>
      </c>
      <c r="Z35" s="165">
        <f ca="1"/>
        <v>1.0389633436286516E-2</v>
      </c>
      <c r="AA35" s="165">
        <f ca="1"/>
        <v>1.9215673653110055E-2</v>
      </c>
      <c r="AB35" s="165">
        <f ca="1"/>
        <v>0</v>
      </c>
      <c r="AC35" s="165">
        <f ca="1"/>
        <v>4.1603830362400895E-2</v>
      </c>
      <c r="AD35" s="165">
        <f ca="1"/>
        <v>6.5161991907383587E-2</v>
      </c>
      <c r="AE35" s="140">
        <f ca="1"/>
        <v>0.100512094821821</v>
      </c>
      <c r="AH35" s="137"/>
      <c r="AI35" s="137"/>
      <c r="AJ35" s="137"/>
      <c r="AK35" s="137"/>
      <c r="AL35" s="141"/>
      <c r="AM35" s="137"/>
      <c r="AN35" s="137"/>
      <c r="AO35" s="137"/>
      <c r="AQ35" s="137"/>
      <c r="AR35" s="137"/>
      <c r="AS35" s="137"/>
      <c r="AT35" s="137"/>
      <c r="AV35" s="137"/>
      <c r="AW35" s="137"/>
      <c r="AX35" s="137"/>
    </row>
    <row r="36" spans="1:50" s="79" customFormat="1" ht="10.199999999999999" x14ac:dyDescent="0.2">
      <c r="A36" s="97">
        <f t="shared" si="2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8">
        <v>5.0000000000000001E-4</v>
      </c>
      <c r="G36" s="158">
        <v>6.9999999999999999E-4</v>
      </c>
      <c r="H36" s="158">
        <v>1.1000000000000001E-3</v>
      </c>
      <c r="I36" s="158">
        <v>1.6000000000000001E-3</v>
      </c>
      <c r="J36" s="158" t="s">
        <v>87</v>
      </c>
      <c r="K36" s="158">
        <v>2.3E-3</v>
      </c>
      <c r="L36" s="158">
        <v>2.8999999999999998E-3</v>
      </c>
      <c r="M36" s="158">
        <v>3.7000000000000002E-3</v>
      </c>
      <c r="N36" s="139" cm="1">
        <f t="array" aca="1" ref="N36:AE36" ca="1">IF(OR(B36="",NOT($J$2)),"",GetStripDefaultProbability(A36,B36,Parameter_Date,CDSRollDate,E36:M36,SpreadCurveMaturities,D36,C36,$J$4,$J$6))</f>
        <v>0</v>
      </c>
      <c r="O36" s="165">
        <f ca="1"/>
        <v>4.9871509903820499E-4</v>
      </c>
      <c r="P36" s="165">
        <f ca="1"/>
        <v>1.2882676916461389E-3</v>
      </c>
      <c r="Q36" s="165">
        <f ca="1"/>
        <v>3.8970319743173443E-3</v>
      </c>
      <c r="R36" s="165">
        <f ca="1"/>
        <v>8.4408919073252209E-3</v>
      </c>
      <c r="S36" s="165">
        <f ca="1"/>
        <v>0</v>
      </c>
      <c r="T36" s="165">
        <f ca="1"/>
        <v>2.0108954554090119E-2</v>
      </c>
      <c r="U36" s="165">
        <f ca="1"/>
        <v>3.553734596858904E-2</v>
      </c>
      <c r="V36" s="140">
        <f ca="1"/>
        <v>6.5112371862175E-2</v>
      </c>
      <c r="W36" s="139">
        <f ca="1"/>
        <v>0</v>
      </c>
      <c r="X36" s="165">
        <f ca="1"/>
        <v>5.9842770240881027E-4</v>
      </c>
      <c r="Y36" s="165">
        <f ca="1"/>
        <v>1.4547057767978488E-3</v>
      </c>
      <c r="Z36" s="165">
        <f ca="1"/>
        <v>4.2475452092268773E-3</v>
      </c>
      <c r="AA36" s="165">
        <f ca="1"/>
        <v>8.9566085136073559E-3</v>
      </c>
      <c r="AB36" s="165">
        <f ca="1"/>
        <v>0</v>
      </c>
      <c r="AC36" s="165">
        <f ca="1"/>
        <v>2.1084344451615111E-2</v>
      </c>
      <c r="AD36" s="165">
        <f ca="1"/>
        <v>3.7266669435872424E-2</v>
      </c>
      <c r="AE36" s="140">
        <f ca="1"/>
        <v>6.8253594637474158E-2</v>
      </c>
      <c r="AH36" s="137"/>
      <c r="AI36" s="137"/>
      <c r="AJ36" s="137"/>
      <c r="AK36" s="137"/>
      <c r="AL36" s="141"/>
      <c r="AM36" s="137"/>
      <c r="AN36" s="137"/>
      <c r="AO36" s="137"/>
      <c r="AQ36" s="137"/>
      <c r="AR36" s="137"/>
      <c r="AS36" s="137"/>
      <c r="AT36" s="137"/>
      <c r="AV36" s="137"/>
      <c r="AW36" s="137"/>
      <c r="AX36" s="137"/>
    </row>
    <row r="37" spans="1:50" s="79" customFormat="1" ht="10.199999999999999" x14ac:dyDescent="0.2">
      <c r="A37" s="97">
        <f t="shared" si="2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8">
        <v>8.9999999999999998E-4</v>
      </c>
      <c r="G37" s="158">
        <v>2.2000000000000001E-3</v>
      </c>
      <c r="H37" s="158">
        <v>3.3E-3</v>
      </c>
      <c r="I37" s="158">
        <v>4.4999999999999997E-3</v>
      </c>
      <c r="J37" s="158" t="s">
        <v>87</v>
      </c>
      <c r="K37" s="158">
        <v>6.7999999999999996E-3</v>
      </c>
      <c r="L37" s="158">
        <v>8.3999999999999995E-3</v>
      </c>
      <c r="M37" s="158">
        <v>1.01E-2</v>
      </c>
      <c r="N37" s="139" cm="1">
        <f t="array" aca="1" ref="N37:AE37" ca="1">IF(OR(B37="",NOT($J$2)),"",GetStripDefaultProbability(A37,B37,Parameter_Date,CDSRollDate,E37:M37,SpreadCurveMaturities,D37,C37,$J$4,$J$6))</f>
        <v>0</v>
      </c>
      <c r="O37" s="165">
        <f ca="1"/>
        <v>8.9750867988536154E-4</v>
      </c>
      <c r="P37" s="165">
        <f ca="1"/>
        <v>4.0622055189570849E-3</v>
      </c>
      <c r="Q37" s="165">
        <f ca="1"/>
        <v>1.1665752997570555E-2</v>
      </c>
      <c r="R37" s="165">
        <f ca="1"/>
        <v>2.3572447834611654E-2</v>
      </c>
      <c r="S37" s="165">
        <f ca="1"/>
        <v>0</v>
      </c>
      <c r="T37" s="165">
        <f ca="1"/>
        <v>5.8716640109622631E-2</v>
      </c>
      <c r="U37" s="165">
        <f ca="1"/>
        <v>0.10036006737908687</v>
      </c>
      <c r="V37" s="140">
        <f ca="1"/>
        <v>0.16896980232055192</v>
      </c>
      <c r="W37" s="139">
        <f ca="1"/>
        <v>0</v>
      </c>
      <c r="X37" s="165">
        <f ca="1"/>
        <v>9.9718028063144892E-4</v>
      </c>
      <c r="Y37" s="165">
        <f ca="1"/>
        <v>4.2635184528957426E-3</v>
      </c>
      <c r="Z37" s="165">
        <f ca="1"/>
        <v>1.2244535344746565E-2</v>
      </c>
      <c r="AA37" s="165">
        <f ca="1"/>
        <v>2.4738151385248597E-2</v>
      </c>
      <c r="AB37" s="165">
        <f ca="1"/>
        <v>0</v>
      </c>
      <c r="AC37" s="165">
        <f ca="1"/>
        <v>6.1573168720522542E-2</v>
      </c>
      <c r="AD37" s="165">
        <f ca="1"/>
        <v>0.10516171715999112</v>
      </c>
      <c r="AE37" s="140">
        <f ca="1"/>
        <v>0.1768357795223291</v>
      </c>
      <c r="AH37" s="137"/>
      <c r="AI37" s="137"/>
      <c r="AJ37" s="137"/>
      <c r="AK37" s="137"/>
      <c r="AL37" s="141"/>
      <c r="AM37" s="137"/>
      <c r="AN37" s="137"/>
      <c r="AO37" s="137"/>
      <c r="AQ37" s="137"/>
      <c r="AR37" s="137"/>
      <c r="AS37" s="137"/>
      <c r="AT37" s="137"/>
      <c r="AV37" s="137"/>
      <c r="AW37" s="137"/>
      <c r="AX37" s="137"/>
    </row>
    <row r="38" spans="1:50" s="79" customFormat="1" ht="10.199999999999999" x14ac:dyDescent="0.2">
      <c r="A38" s="97">
        <f t="shared" si="2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8">
        <v>5.0000000000000001E-4</v>
      </c>
      <c r="G38" s="158">
        <v>5.9999999999999995E-4</v>
      </c>
      <c r="H38" s="158">
        <v>1.1999999999999999E-3</v>
      </c>
      <c r="I38" s="158">
        <v>1.6000000000000001E-3</v>
      </c>
      <c r="J38" s="158" t="s">
        <v>87</v>
      </c>
      <c r="K38" s="158">
        <v>2.3E-3</v>
      </c>
      <c r="L38" s="158">
        <v>2.7000000000000001E-3</v>
      </c>
      <c r="M38" s="158">
        <v>3.3E-3</v>
      </c>
      <c r="N38" s="139" cm="1">
        <f t="array" aca="1" ref="N38:AE38" ca="1">IF(OR(B38="",NOT($J$2)),"",GetStripDefaultProbability(A38,B38,Parameter_Date,CDSRollDate,E38:M38,SpreadCurveMaturities,D38,C38,$J$4,$J$6))</f>
        <v>0</v>
      </c>
      <c r="O38" s="165">
        <f ca="1"/>
        <v>4.9871509903820499E-4</v>
      </c>
      <c r="P38" s="165">
        <f ca="1"/>
        <v>1.1024967160709886E-3</v>
      </c>
      <c r="Q38" s="165">
        <f ca="1"/>
        <v>4.2622910490883736E-3</v>
      </c>
      <c r="R38" s="165">
        <f ca="1"/>
        <v>8.4306434500879268E-3</v>
      </c>
      <c r="S38" s="165">
        <f ca="1"/>
        <v>0</v>
      </c>
      <c r="T38" s="165">
        <f ca="1"/>
        <v>2.0098519314619478E-2</v>
      </c>
      <c r="U38" s="165">
        <f ca="1"/>
        <v>3.2898378358151348E-2</v>
      </c>
      <c r="V38" s="140">
        <f ca="1"/>
        <v>5.7680257906873922E-2</v>
      </c>
      <c r="W38" s="139">
        <f ca="1"/>
        <v>0</v>
      </c>
      <c r="X38" s="165">
        <f ca="1"/>
        <v>5.9842770240881027E-4</v>
      </c>
      <c r="Y38" s="165">
        <f ca="1"/>
        <v>1.268965760482299E-3</v>
      </c>
      <c r="Z38" s="165">
        <f ca="1"/>
        <v>4.6127239866569081E-3</v>
      </c>
      <c r="AA38" s="165">
        <f ca="1"/>
        <v>8.946337702795959E-3</v>
      </c>
      <c r="AB38" s="165">
        <f ca="1"/>
        <v>0</v>
      </c>
      <c r="AC38" s="165">
        <f ca="1"/>
        <v>2.1073872165082497E-2</v>
      </c>
      <c r="AD38" s="165">
        <f ca="1"/>
        <v>3.4499407390136239E-2</v>
      </c>
      <c r="AE38" s="140">
        <f ca="1"/>
        <v>6.046849681826405E-2</v>
      </c>
      <c r="AH38" s="137"/>
      <c r="AI38" s="137"/>
      <c r="AJ38" s="137"/>
      <c r="AK38" s="137"/>
      <c r="AL38" s="141"/>
      <c r="AM38" s="137"/>
      <c r="AN38" s="137"/>
      <c r="AO38" s="137"/>
      <c r="AQ38" s="137"/>
      <c r="AR38" s="137"/>
      <c r="AS38" s="137"/>
      <c r="AT38" s="137"/>
      <c r="AV38" s="137"/>
      <c r="AW38" s="137"/>
      <c r="AX38" s="137"/>
    </row>
    <row r="39" spans="1:50" s="79" customFormat="1" ht="10.199999999999999" x14ac:dyDescent="0.2">
      <c r="A39" s="97">
        <f t="shared" si="2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8">
        <v>1E-3</v>
      </c>
      <c r="G39" s="158">
        <v>1.2999999999999999E-3</v>
      </c>
      <c r="H39" s="158">
        <v>2.3E-3</v>
      </c>
      <c r="I39" s="158">
        <v>3.3999999999999998E-3</v>
      </c>
      <c r="J39" s="158" t="s">
        <v>87</v>
      </c>
      <c r="K39" s="158">
        <v>5.1000000000000004E-3</v>
      </c>
      <c r="L39" s="158">
        <v>6.4999999999999997E-3</v>
      </c>
      <c r="M39" s="158">
        <v>7.6E-3</v>
      </c>
      <c r="N39" s="139" cm="1">
        <f t="array" aca="1" ref="N39:AE39" ca="1">IF(OR(B39="",NOT($J$2)),"",GetStripDefaultProbability(A39,B39,Parameter_Date,CDSRollDate,E39:M39,SpreadCurveMaturities,D39,C39,$J$4,$J$6))</f>
        <v>0</v>
      </c>
      <c r="O39" s="165">
        <f ca="1"/>
        <v>9.971822959833343E-4</v>
      </c>
      <c r="P39" s="165">
        <f ca="1"/>
        <v>2.3895229304055077E-3</v>
      </c>
      <c r="Q39" s="165">
        <f ca="1"/>
        <v>8.1469662735133008E-3</v>
      </c>
      <c r="R39" s="165">
        <f ca="1"/>
        <v>1.7897966563048096E-2</v>
      </c>
      <c r="S39" s="165">
        <f ca="1"/>
        <v>0</v>
      </c>
      <c r="T39" s="165">
        <f ca="1"/>
        <v>4.4306981615273466E-2</v>
      </c>
      <c r="U39" s="165">
        <f ca="1"/>
        <v>7.8587363476396499E-2</v>
      </c>
      <c r="V39" s="140">
        <f ca="1"/>
        <v>0.1289606765309016</v>
      </c>
      <c r="W39" s="139">
        <f ca="1"/>
        <v>0</v>
      </c>
      <c r="X39" s="165">
        <f ca="1"/>
        <v>1.0968435312084246E-3</v>
      </c>
      <c r="Y39" s="165">
        <f ca="1"/>
        <v>2.5557774883160356E-3</v>
      </c>
      <c r="Z39" s="165">
        <f ca="1"/>
        <v>8.5498086327910894E-3</v>
      </c>
      <c r="AA39" s="165">
        <f ca="1"/>
        <v>1.8783444512747605E-2</v>
      </c>
      <c r="AB39" s="165">
        <f ca="1"/>
        <v>0</v>
      </c>
      <c r="AC39" s="165">
        <f ca="1"/>
        <v>4.6475780652352583E-2</v>
      </c>
      <c r="AD39" s="165">
        <f ca="1"/>
        <v>8.2385078339106466E-2</v>
      </c>
      <c r="AE39" s="140">
        <f ca="1"/>
        <v>0.13506731982195308</v>
      </c>
      <c r="AH39" s="137"/>
      <c r="AI39" s="137"/>
      <c r="AJ39" s="137"/>
      <c r="AK39" s="137"/>
      <c r="AM39" s="137"/>
      <c r="AN39" s="137"/>
      <c r="AO39" s="137"/>
      <c r="AQ39" s="137"/>
      <c r="AR39" s="137"/>
      <c r="AS39" s="137"/>
      <c r="AT39" s="137"/>
      <c r="AV39" s="137"/>
      <c r="AW39" s="137"/>
      <c r="AX39" s="137"/>
    </row>
    <row r="40" spans="1:50" s="79" customFormat="1" ht="10.199999999999999" x14ac:dyDescent="0.2">
      <c r="A40" s="97">
        <f t="shared" si="2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8">
        <v>1.91E-3</v>
      </c>
      <c r="G40" s="158">
        <v>2.1800000000000001E-3</v>
      </c>
      <c r="H40" s="158">
        <v>2.9099999999999998E-3</v>
      </c>
      <c r="I40" s="158">
        <v>3.48E-3</v>
      </c>
      <c r="J40" s="158" t="s">
        <v>87</v>
      </c>
      <c r="K40" s="158">
        <v>4.3E-3</v>
      </c>
      <c r="L40" s="158">
        <v>4.7499999999999999E-3</v>
      </c>
      <c r="M40" s="158">
        <v>5.1000000000000004E-3</v>
      </c>
      <c r="N40" s="139" cm="1">
        <f t="array" aca="1" ref="N40:AE40" ca="1">IF(OR(B40="",NOT($J$2)),"",GetStripDefaultProbability(A40,B40,Parameter_Date,CDSRollDate,E40:M40,SpreadCurveMaturities,D40,C40,$J$4,$J$6))</f>
        <v>0</v>
      </c>
      <c r="O40" s="165">
        <f ca="1"/>
        <v>1.9037570317573804E-3</v>
      </c>
      <c r="P40" s="165">
        <f ca="1"/>
        <v>3.9979583067966118E-3</v>
      </c>
      <c r="Q40" s="165">
        <f ca="1"/>
        <v>1.024567749947547E-2</v>
      </c>
      <c r="R40" s="165">
        <f ca="1"/>
        <v>1.8135100535492943E-2</v>
      </c>
      <c r="S40" s="165">
        <f ca="1"/>
        <v>0</v>
      </c>
      <c r="T40" s="165">
        <f ca="1"/>
        <v>3.6913113781554929E-2</v>
      </c>
      <c r="U40" s="165">
        <f ca="1"/>
        <v>5.6553242834206929E-2</v>
      </c>
      <c r="V40" s="140">
        <f ca="1"/>
        <v>8.5578209160953933E-2</v>
      </c>
      <c r="W40" s="139">
        <f ca="1"/>
        <v>0</v>
      </c>
      <c r="X40" s="165">
        <f ca="1"/>
        <v>2.0033217277624082E-3</v>
      </c>
      <c r="Y40" s="165">
        <f ca="1"/>
        <v>4.1973350075339422E-3</v>
      </c>
      <c r="Z40" s="165">
        <f ca="1"/>
        <v>1.0755326980618984E-2</v>
      </c>
      <c r="AA40" s="165">
        <f ca="1"/>
        <v>1.9034313130634639E-2</v>
      </c>
      <c r="AB40" s="165">
        <f ca="1"/>
        <v>0</v>
      </c>
      <c r="AC40" s="165">
        <f ca="1"/>
        <v>3.8725826392325025E-2</v>
      </c>
      <c r="AD40" s="165">
        <f ca="1"/>
        <v>5.9305973779819054E-2</v>
      </c>
      <c r="AE40" s="140">
        <f ca="1"/>
        <v>8.9674320388219653E-2</v>
      </c>
      <c r="AH40" s="137"/>
      <c r="AI40" s="137"/>
      <c r="AJ40" s="137"/>
      <c r="AK40" s="137"/>
      <c r="AM40" s="137"/>
      <c r="AN40" s="137"/>
      <c r="AO40" s="137"/>
      <c r="AQ40" s="137"/>
      <c r="AR40" s="137"/>
      <c r="AS40" s="137"/>
      <c r="AT40" s="137"/>
      <c r="AV40" s="137"/>
      <c r="AW40" s="137"/>
      <c r="AX40" s="137"/>
    </row>
    <row r="41" spans="1:50" s="79" customFormat="1" ht="10.199999999999999" x14ac:dyDescent="0.2">
      <c r="A41" s="97">
        <f t="shared" si="2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8">
        <v>4.0000000000000002E-4</v>
      </c>
      <c r="G41" s="158">
        <v>6.9999999999999999E-4</v>
      </c>
      <c r="H41" s="158">
        <v>1.1999999999999999E-3</v>
      </c>
      <c r="I41" s="158">
        <v>1.9E-3</v>
      </c>
      <c r="J41" s="158" t="s">
        <v>87</v>
      </c>
      <c r="K41" s="158">
        <v>2.8E-3</v>
      </c>
      <c r="L41" s="158">
        <v>3.5999999999999999E-3</v>
      </c>
      <c r="M41" s="158">
        <v>4.4000000000000003E-3</v>
      </c>
      <c r="N41" s="139" cm="1">
        <f t="array" aca="1" ref="N41:AE41" ca="1">IF(OR(B41="",NOT($J$2)),"",GetStripDefaultProbability(A41,B41,Parameter_Date,CDSRollDate,E41:M41,SpreadCurveMaturities,D41,C41,$J$4,$J$6))</f>
        <v>0</v>
      </c>
      <c r="O41" s="165">
        <f ca="1"/>
        <v>3.9899191733294703E-4</v>
      </c>
      <c r="P41" s="165">
        <f ca="1"/>
        <v>1.290822391445956E-3</v>
      </c>
      <c r="Q41" s="165">
        <f ca="1"/>
        <v>4.2585407236229722E-3</v>
      </c>
      <c r="R41" s="165">
        <f ca="1"/>
        <v>1.0049516893836929E-2</v>
      </c>
      <c r="S41" s="165">
        <f ca="1"/>
        <v>0</v>
      </c>
      <c r="T41" s="165">
        <f ca="1"/>
        <v>2.4500648413675719E-2</v>
      </c>
      <c r="U41" s="165">
        <f ca="1"/>
        <v>4.4112509120456722E-2</v>
      </c>
      <c r="V41" s="140">
        <f ca="1"/>
        <v>7.6784711064438183E-2</v>
      </c>
      <c r="W41" s="139">
        <f ca="1"/>
        <v>0</v>
      </c>
      <c r="X41" s="165">
        <f ca="1"/>
        <v>4.9871465885786836E-4</v>
      </c>
      <c r="Y41" s="165">
        <f ca="1"/>
        <v>1.4572600508533373E-3</v>
      </c>
      <c r="Z41" s="165">
        <f ca="1"/>
        <v>4.6089649020838452E-3</v>
      </c>
      <c r="AA41" s="165">
        <f ca="1"/>
        <v>1.0564593727757199E-2</v>
      </c>
      <c r="AB41" s="165">
        <f ca="1"/>
        <v>0</v>
      </c>
      <c r="AC41" s="165">
        <f ca="1"/>
        <v>2.5697899005477809E-2</v>
      </c>
      <c r="AD41" s="165">
        <f ca="1"/>
        <v>4.6263446455355961E-2</v>
      </c>
      <c r="AE41" s="140">
        <f ca="1"/>
        <v>8.0478795030513584E-2</v>
      </c>
      <c r="AH41" s="137"/>
      <c r="AI41" s="137"/>
      <c r="AJ41" s="137"/>
      <c r="AK41" s="137"/>
      <c r="AM41" s="137"/>
      <c r="AN41" s="137"/>
      <c r="AO41" s="137"/>
      <c r="AQ41" s="137"/>
      <c r="AR41" s="137"/>
      <c r="AS41" s="137"/>
      <c r="AT41" s="137"/>
      <c r="AV41" s="137"/>
      <c r="AW41" s="137"/>
      <c r="AX41" s="137"/>
    </row>
    <row r="42" spans="1:50" s="79" customFormat="1" ht="10.199999999999999" x14ac:dyDescent="0.2">
      <c r="A42" s="97">
        <f t="shared" si="2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8">
        <v>8.9999999999999998E-4</v>
      </c>
      <c r="G42" s="158">
        <v>1.8E-3</v>
      </c>
      <c r="H42" s="158">
        <v>3.5000000000000001E-3</v>
      </c>
      <c r="I42" s="158">
        <v>4.1000000000000003E-3</v>
      </c>
      <c r="J42" s="158" t="s">
        <v>87</v>
      </c>
      <c r="K42" s="158">
        <v>5.8999999999999999E-3</v>
      </c>
      <c r="L42" s="158">
        <v>7.1999999999999998E-3</v>
      </c>
      <c r="M42" s="158">
        <v>8.5000000000000006E-3</v>
      </c>
      <c r="N42" s="139" cm="1">
        <f t="array" aca="1" ref="N42:AE42" ca="1">IF(OR(B42="",NOT($J$2)),"",GetStripDefaultProbability(A42,B42,Parameter_Date,CDSRollDate,E42:M42,SpreadCurveMaturities,D42,C42,$J$4,$J$6))</f>
        <v>0</v>
      </c>
      <c r="O42" s="165">
        <f ca="1"/>
        <v>8.9750867988536154E-4</v>
      </c>
      <c r="P42" s="165">
        <f ca="1"/>
        <v>3.3201053615429243E-3</v>
      </c>
      <c r="Q42" s="165">
        <f ca="1"/>
        <v>1.2407614411543255E-2</v>
      </c>
      <c r="R42" s="165">
        <f ca="1"/>
        <v>2.1416235317014531E-2</v>
      </c>
      <c r="S42" s="165">
        <f ca="1"/>
        <v>0</v>
      </c>
      <c r="T42" s="165">
        <f ca="1"/>
        <v>5.0886212700752664E-2</v>
      </c>
      <c r="U42" s="165">
        <f ca="1"/>
        <v>8.6173529132815285E-2</v>
      </c>
      <c r="V42" s="140">
        <f ca="1"/>
        <v>0.14298108914932173</v>
      </c>
      <c r="W42" s="139">
        <f ca="1"/>
        <v>0</v>
      </c>
      <c r="X42" s="165">
        <f ca="1"/>
        <v>9.9718028063144892E-4</v>
      </c>
      <c r="Y42" s="165">
        <f ca="1"/>
        <v>3.4862048353102582E-3</v>
      </c>
      <c r="Z42" s="165">
        <f ca="1"/>
        <v>1.3023192071440426E-2</v>
      </c>
      <c r="AA42" s="165">
        <f ca="1"/>
        <v>2.247565386939776E-2</v>
      </c>
      <c r="AB42" s="165">
        <f ca="1"/>
        <v>0</v>
      </c>
      <c r="AC42" s="165">
        <f ca="1"/>
        <v>5.3369402224680118E-2</v>
      </c>
      <c r="AD42" s="165">
        <f ca="1"/>
        <v>9.0319868484450838E-2</v>
      </c>
      <c r="AE42" s="140">
        <f ca="1"/>
        <v>0.14970525024121328</v>
      </c>
      <c r="AH42" s="137"/>
      <c r="AI42" s="137"/>
      <c r="AJ42" s="137"/>
      <c r="AK42" s="137"/>
      <c r="AM42" s="137"/>
      <c r="AN42" s="137"/>
      <c r="AO42" s="137"/>
      <c r="AQ42" s="137"/>
      <c r="AR42" s="137"/>
      <c r="AS42" s="137"/>
      <c r="AT42" s="137"/>
      <c r="AV42" s="137"/>
      <c r="AW42" s="137"/>
      <c r="AX42" s="137"/>
    </row>
    <row r="43" spans="1:50" s="79" customFormat="1" ht="10.199999999999999" x14ac:dyDescent="0.2">
      <c r="A43" s="97">
        <f t="shared" si="2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8">
        <v>3.3E-4</v>
      </c>
      <c r="G43" s="158">
        <v>9.1E-4</v>
      </c>
      <c r="H43" s="158">
        <v>1.64E-3</v>
      </c>
      <c r="I43" s="158">
        <v>2.1800000000000001E-3</v>
      </c>
      <c r="J43" s="158" t="s">
        <v>87</v>
      </c>
      <c r="K43" s="158">
        <v>3.0000000000000001E-3</v>
      </c>
      <c r="L43" s="158">
        <v>3.4499999999999999E-3</v>
      </c>
      <c r="M43" s="158">
        <v>3.8E-3</v>
      </c>
      <c r="N43" s="139" cm="1">
        <f t="array" aca="1" ref="N43:AE43" ca="1">IF(OR(B43="",NOT($J$2)),"",GetStripDefaultProbability(A43,B43,Parameter_Date,CDSRollDate,E43:M43,SpreadCurveMaturities,D43,C43,$J$4,$J$6))</f>
        <v>0</v>
      </c>
      <c r="O43" s="165">
        <f ca="1"/>
        <v>3.2917978926538805E-4</v>
      </c>
      <c r="P43" s="165">
        <f ca="1"/>
        <v>1.6827119919393674E-3</v>
      </c>
      <c r="Q43" s="165">
        <f ca="1"/>
        <v>5.8253852225603753E-3</v>
      </c>
      <c r="R43" s="165">
        <f ca="1"/>
        <v>1.1476527305504414E-2</v>
      </c>
      <c r="S43" s="165">
        <f ca="1"/>
        <v>0</v>
      </c>
      <c r="T43" s="165">
        <f ca="1"/>
        <v>2.6107240563421397E-2</v>
      </c>
      <c r="U43" s="165">
        <f ca="1"/>
        <v>4.1758662073659081E-2</v>
      </c>
      <c r="V43" s="140">
        <f ca="1"/>
        <v>6.5067860057057114E-2</v>
      </c>
      <c r="W43" s="139">
        <f ca="1"/>
        <v>0</v>
      </c>
      <c r="X43" s="165">
        <f ca="1"/>
        <v>4.289096012705107E-4</v>
      </c>
      <c r="Y43" s="165">
        <f ca="1"/>
        <v>1.8490843418664804E-3</v>
      </c>
      <c r="Z43" s="165">
        <f ca="1"/>
        <v>6.1753403209769964E-3</v>
      </c>
      <c r="AA43" s="165">
        <f ca="1"/>
        <v>1.2039420562784175E-2</v>
      </c>
      <c r="AB43" s="165">
        <f ca="1"/>
        <v>0</v>
      </c>
      <c r="AC43" s="165">
        <f ca="1"/>
        <v>2.7388877783608545E-2</v>
      </c>
      <c r="AD43" s="165">
        <f ca="1"/>
        <v>4.3800018992510514E-2</v>
      </c>
      <c r="AE43" s="140">
        <f ca="1"/>
        <v>6.821250863371553E-2</v>
      </c>
      <c r="AH43" s="137"/>
      <c r="AI43" s="137"/>
      <c r="AJ43" s="137"/>
      <c r="AK43" s="137"/>
      <c r="AM43" s="137"/>
      <c r="AN43" s="137"/>
      <c r="AO43" s="137"/>
      <c r="AQ43" s="137"/>
      <c r="AR43" s="137"/>
      <c r="AS43" s="137"/>
      <c r="AT43" s="137"/>
      <c r="AV43" s="137"/>
      <c r="AW43" s="137"/>
      <c r="AX43" s="137"/>
    </row>
    <row r="44" spans="1:50" s="79" customFormat="1" ht="10.199999999999999" x14ac:dyDescent="0.2">
      <c r="A44" s="97">
        <f t="shared" si="2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8">
        <v>8.3000000000000001E-4</v>
      </c>
      <c r="G44" s="158">
        <v>1.7600000000000001E-3</v>
      </c>
      <c r="H44" s="158">
        <v>2.8300000000000001E-3</v>
      </c>
      <c r="I44" s="158">
        <v>3.5100000000000001E-3</v>
      </c>
      <c r="J44" s="158" t="s">
        <v>87</v>
      </c>
      <c r="K44" s="158">
        <v>4.7999999999999996E-3</v>
      </c>
      <c r="L44" s="158">
        <v>5.3E-3</v>
      </c>
      <c r="M44" s="158">
        <v>5.7000000000000002E-3</v>
      </c>
      <c r="N44" s="139" cm="1">
        <f t="array" aca="1" ref="N44:AE44" ca="1">IF(OR(B44="",NOT($J$2)),"",GetStripDefaultProbability(A44,B44,Parameter_Date,CDSRollDate,E44:M44,SpreadCurveMaturities,D44,C44,$J$4,$J$6))</f>
        <v>0</v>
      </c>
      <c r="O44" s="165">
        <f ca="1"/>
        <v>8.2773125215596099E-4</v>
      </c>
      <c r="P44" s="165">
        <f ca="1"/>
        <v>3.2477372282589956E-3</v>
      </c>
      <c r="Q44" s="165">
        <f ca="1"/>
        <v>1.0017501643779791E-2</v>
      </c>
      <c r="R44" s="165">
        <f ca="1"/>
        <v>1.8369409144047166E-2</v>
      </c>
      <c r="S44" s="165">
        <f ca="1"/>
        <v>0</v>
      </c>
      <c r="T44" s="165">
        <f ca="1"/>
        <v>4.1451668244346318E-2</v>
      </c>
      <c r="U44" s="165">
        <f ca="1"/>
        <v>6.3241268855611099E-2</v>
      </c>
      <c r="V44" s="140">
        <f ca="1"/>
        <v>9.5560477096545027E-2</v>
      </c>
      <c r="W44" s="139">
        <f ca="1"/>
        <v>0</v>
      </c>
      <c r="X44" s="165">
        <f ca="1"/>
        <v>9.2741008110852619E-4</v>
      </c>
      <c r="Y44" s="165">
        <f ca="1"/>
        <v>3.4138487623780467E-3</v>
      </c>
      <c r="Z44" s="165">
        <f ca="1"/>
        <v>1.0514407086160915E-2</v>
      </c>
      <c r="AA44" s="165">
        <f ca="1"/>
        <v>1.927891304125029E-2</v>
      </c>
      <c r="AB44" s="165">
        <f ca="1"/>
        <v>0</v>
      </c>
      <c r="AC44" s="165">
        <f ca="1"/>
        <v>4.3482827540298863E-2</v>
      </c>
      <c r="AD44" s="165">
        <f ca="1"/>
        <v>6.6310817907534569E-2</v>
      </c>
      <c r="AE44" s="140">
        <f ca="1"/>
        <v>0.10011150543557379</v>
      </c>
      <c r="AH44" s="137"/>
      <c r="AI44" s="137"/>
      <c r="AJ44" s="137"/>
      <c r="AK44" s="137"/>
      <c r="AM44" s="137"/>
      <c r="AN44" s="137"/>
      <c r="AO44" s="137"/>
      <c r="AQ44" s="137"/>
      <c r="AR44" s="137"/>
      <c r="AS44" s="137"/>
      <c r="AT44" s="137"/>
      <c r="AV44" s="137"/>
      <c r="AW44" s="137"/>
      <c r="AX44" s="137"/>
    </row>
    <row r="45" spans="1:50" s="79" customFormat="1" ht="10.199999999999999" x14ac:dyDescent="0.2">
      <c r="A45" s="97">
        <f t="shared" si="2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8">
        <v>1.1999999999999999E-3</v>
      </c>
      <c r="G45" s="158">
        <v>1.4E-3</v>
      </c>
      <c r="H45" s="158">
        <v>1.8E-3</v>
      </c>
      <c r="I45" s="158">
        <v>2.3E-3</v>
      </c>
      <c r="J45" s="158" t="s">
        <v>87</v>
      </c>
      <c r="K45" s="158">
        <v>2.7000000000000001E-3</v>
      </c>
      <c r="L45" s="158">
        <v>3.3E-3</v>
      </c>
      <c r="M45" s="158">
        <v>4.1000000000000003E-3</v>
      </c>
      <c r="N45" s="139" cm="1">
        <f t="array" aca="1" ref="N45:AE45" ca="1">IF(OR(B45="",NOT($J$2)),"",GetStripDefaultProbability(A45,B45,Parameter_Date,CDSRollDate,E45:M45,SpreadCurveMaturities,D45,C45,$J$4,$J$6))</f>
        <v>0</v>
      </c>
      <c r="O45" s="165">
        <f ca="1"/>
        <v>1.1964998035645102E-3</v>
      </c>
      <c r="P45" s="165">
        <f ca="1"/>
        <v>2.5699049056812084E-3</v>
      </c>
      <c r="Q45" s="165">
        <f ca="1"/>
        <v>6.3442375579750854E-3</v>
      </c>
      <c r="R45" s="165">
        <f ca="1"/>
        <v>1.2041798862925446E-2</v>
      </c>
      <c r="S45" s="165">
        <f ca="1"/>
        <v>0</v>
      </c>
      <c r="T45" s="165">
        <f ca="1"/>
        <v>2.3266903299544617E-2</v>
      </c>
      <c r="U45" s="165">
        <f ca="1"/>
        <v>3.9945204814238133E-2</v>
      </c>
      <c r="V45" s="140">
        <f ca="1"/>
        <v>7.1294312391830372E-2</v>
      </c>
      <c r="W45" s="139">
        <f ca="1"/>
        <v>0</v>
      </c>
      <c r="X45" s="165">
        <f ca="1"/>
        <v>1.2961401666722328E-3</v>
      </c>
      <c r="Y45" s="165">
        <f ca="1"/>
        <v>2.7361294024428329E-3</v>
      </c>
      <c r="Z45" s="165">
        <f ca="1"/>
        <v>6.6938759588540675E-3</v>
      </c>
      <c r="AA45" s="165">
        <f ca="1"/>
        <v>1.2636550337485897E-2</v>
      </c>
      <c r="AB45" s="165">
        <f ca="1"/>
        <v>0</v>
      </c>
      <c r="AC45" s="165">
        <f ca="1"/>
        <v>2.4413032783581867E-2</v>
      </c>
      <c r="AD45" s="165">
        <f ca="1"/>
        <v>4.1902722733257014E-2</v>
      </c>
      <c r="AE45" s="140">
        <f ca="1"/>
        <v>7.4738937375740444E-2</v>
      </c>
      <c r="AH45" s="137"/>
      <c r="AI45" s="137"/>
      <c r="AJ45" s="137"/>
      <c r="AK45" s="137"/>
      <c r="AM45" s="137"/>
      <c r="AN45" s="137"/>
      <c r="AO45" s="137"/>
      <c r="AQ45" s="137"/>
      <c r="AR45" s="137"/>
      <c r="AS45" s="137"/>
      <c r="AT45" s="137"/>
      <c r="AV45" s="137"/>
      <c r="AW45" s="137"/>
      <c r="AX45" s="137"/>
    </row>
    <row r="46" spans="1:50" s="79" customFormat="1" ht="10.199999999999999" x14ac:dyDescent="0.2">
      <c r="A46" s="97">
        <f t="shared" si="2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8">
        <v>4.0000000000000002E-4</v>
      </c>
      <c r="G46" s="158">
        <v>8.9999999999999998E-4</v>
      </c>
      <c r="H46" s="158">
        <v>1.4E-3</v>
      </c>
      <c r="I46" s="158">
        <v>1.8E-3</v>
      </c>
      <c r="J46" s="158" t="s">
        <v>87</v>
      </c>
      <c r="K46" s="158">
        <v>2.7000000000000001E-3</v>
      </c>
      <c r="L46" s="158">
        <v>3.3999999999999998E-3</v>
      </c>
      <c r="M46" s="158">
        <v>4.1000000000000003E-3</v>
      </c>
      <c r="N46" s="139" cm="1">
        <f t="array" aca="1" ref="N46:AE46" ca="1">IF(OR(B46="",NOT($J$2)),"",GetStripDefaultProbability(A46,B46,Parameter_Date,CDSRollDate,E46:M46,SpreadCurveMaturities,D46,C46,$J$4,$J$6))</f>
        <v>0</v>
      </c>
      <c r="O46" s="165">
        <f ca="1"/>
        <v>3.9899191733294703E-4</v>
      </c>
      <c r="P46" s="165">
        <f ca="1"/>
        <v>1.6623360744073556E-3</v>
      </c>
      <c r="Q46" s="165">
        <f ca="1"/>
        <v>4.9634166586608464E-3</v>
      </c>
      <c r="R46" s="165">
        <f ca="1"/>
        <v>9.4622057020056216E-3</v>
      </c>
      <c r="S46" s="165">
        <f ca="1"/>
        <v>0</v>
      </c>
      <c r="T46" s="165">
        <f ca="1"/>
        <v>2.3588570872135617E-2</v>
      </c>
      <c r="U46" s="165">
        <f ca="1"/>
        <v>4.158002134432992E-2</v>
      </c>
      <c r="V46" s="140">
        <f ca="1"/>
        <v>7.1439495694011645E-2</v>
      </c>
      <c r="W46" s="139">
        <f ca="1"/>
        <v>0</v>
      </c>
      <c r="X46" s="165">
        <f ca="1"/>
        <v>4.9871465885786836E-4</v>
      </c>
      <c r="Y46" s="165">
        <f ca="1"/>
        <v>1.828711820033968E-3</v>
      </c>
      <c r="Z46" s="165">
        <f ca="1"/>
        <v>5.3136084339350242E-3</v>
      </c>
      <c r="AA46" s="165">
        <f ca="1"/>
        <v>9.9773617093040778E-3</v>
      </c>
      <c r="AB46" s="165">
        <f ca="1"/>
        <v>0</v>
      </c>
      <c r="AC46" s="165">
        <f ca="1"/>
        <v>2.4741347613299269E-2</v>
      </c>
      <c r="AD46" s="165">
        <f ca="1"/>
        <v>4.360871225518459E-2</v>
      </c>
      <c r="AE46" s="140">
        <f ca="1"/>
        <v>7.4883187796454642E-2</v>
      </c>
      <c r="AH46" s="137"/>
      <c r="AI46" s="137"/>
      <c r="AJ46" s="137"/>
      <c r="AK46" s="137"/>
      <c r="AM46" s="137"/>
      <c r="AN46" s="137"/>
      <c r="AO46" s="137"/>
      <c r="AQ46" s="137"/>
      <c r="AR46" s="137"/>
      <c r="AS46" s="137"/>
      <c r="AT46" s="137"/>
      <c r="AV46" s="137"/>
      <c r="AW46" s="137"/>
      <c r="AX46" s="137"/>
    </row>
    <row r="47" spans="1:50" s="79" customFormat="1" ht="10.199999999999999" x14ac:dyDescent="0.2">
      <c r="A47" s="97">
        <f t="shared" si="2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8">
        <v>1.8500000000000001E-3</v>
      </c>
      <c r="G47" s="158">
        <v>2.0699999999999998E-3</v>
      </c>
      <c r="H47" s="158">
        <v>2.81E-3</v>
      </c>
      <c r="I47" s="158">
        <v>3.2599999999999999E-3</v>
      </c>
      <c r="J47" s="158" t="s">
        <v>87</v>
      </c>
      <c r="K47" s="158">
        <v>4.1000000000000003E-3</v>
      </c>
      <c r="L47" s="158">
        <v>4.5999999999999999E-3</v>
      </c>
      <c r="M47" s="158">
        <v>5.0000000000000001E-3</v>
      </c>
      <c r="N47" s="139" cm="1">
        <f t="array" aca="1" ref="N47:AE47" ca="1">IF(OR(B47="",NOT($J$2)),"",GetStripDefaultProbability(A47,B47,Parameter_Date,CDSRollDate,E47:M47,SpreadCurveMaturities,D47,C47,$J$4,$J$6))</f>
        <v>0</v>
      </c>
      <c r="O47" s="165">
        <f ca="1"/>
        <v>1.8440081184156742E-3</v>
      </c>
      <c r="P47" s="165">
        <f ca="1"/>
        <v>3.7956096246387627E-3</v>
      </c>
      <c r="Q47" s="165">
        <f ca="1"/>
        <v>9.8972720914610735E-3</v>
      </c>
      <c r="R47" s="165">
        <f ca="1"/>
        <v>1.6978348789060904E-2</v>
      </c>
      <c r="S47" s="165">
        <f ca="1"/>
        <v>0</v>
      </c>
      <c r="T47" s="165">
        <f ca="1"/>
        <v>3.523866954799082E-2</v>
      </c>
      <c r="U47" s="165">
        <f ca="1"/>
        <v>5.4921017686196949E-2</v>
      </c>
      <c r="V47" s="140">
        <f ca="1"/>
        <v>8.425349331151466E-2</v>
      </c>
      <c r="W47" s="139">
        <f ca="1"/>
        <v>0</v>
      </c>
      <c r="X47" s="165">
        <f ca="1"/>
        <v>1.9435793062836382E-3</v>
      </c>
      <c r="Y47" s="165">
        <f ca="1"/>
        <v>3.9674400611674487E-3</v>
      </c>
      <c r="Z47" s="165">
        <f ca="1"/>
        <v>1.0390227412958475E-2</v>
      </c>
      <c r="AA47" s="165">
        <f ca="1"/>
        <v>1.7821106391133434E-2</v>
      </c>
      <c r="AB47" s="165">
        <f ca="1"/>
        <v>0</v>
      </c>
      <c r="AC47" s="165">
        <f ca="1"/>
        <v>3.6971195963363845E-2</v>
      </c>
      <c r="AD47" s="165">
        <f ca="1"/>
        <v>5.7597752529391144E-2</v>
      </c>
      <c r="AE47" s="140">
        <f ca="1"/>
        <v>8.8291745520419074E-2</v>
      </c>
      <c r="AH47" s="137"/>
      <c r="AI47" s="137"/>
      <c r="AJ47" s="137"/>
      <c r="AK47" s="137"/>
      <c r="AM47" s="137"/>
      <c r="AN47" s="137"/>
      <c r="AO47" s="137"/>
      <c r="AQ47" s="137"/>
      <c r="AR47" s="137"/>
      <c r="AS47" s="137"/>
      <c r="AT47" s="137"/>
      <c r="AV47" s="137"/>
      <c r="AW47" s="137"/>
      <c r="AX47" s="137"/>
    </row>
    <row r="48" spans="1:50" s="79" customFormat="1" ht="10.199999999999999" x14ac:dyDescent="0.2">
      <c r="A48" s="97">
        <f t="shared" si="2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8">
        <v>5.0000000000000001E-4</v>
      </c>
      <c r="G48" s="158">
        <v>6.9999999999999999E-4</v>
      </c>
      <c r="H48" s="158">
        <v>1.1000000000000001E-3</v>
      </c>
      <c r="I48" s="158">
        <v>1.5E-3</v>
      </c>
      <c r="J48" s="158" t="s">
        <v>87</v>
      </c>
      <c r="K48" s="158">
        <v>2.3999999999999998E-3</v>
      </c>
      <c r="L48" s="158">
        <v>3.0999999999999999E-3</v>
      </c>
      <c r="M48" s="158">
        <v>4.0000000000000001E-3</v>
      </c>
      <c r="N48" s="139" cm="1">
        <f t="array" aca="1" ref="N48:AE48" ca="1">IF(OR(B48="",NOT($J$2)),"",GetStripDefaultProbability(A48,B48,Parameter_Date,CDSRollDate,E48:M48,SpreadCurveMaturities,D48,C48,$J$4,$J$6))</f>
        <v>0</v>
      </c>
      <c r="O48" s="165">
        <f ca="1"/>
        <v>4.9871509903820499E-4</v>
      </c>
      <c r="P48" s="165">
        <f ca="1"/>
        <v>1.2882676916461389E-3</v>
      </c>
      <c r="Q48" s="165">
        <f ca="1"/>
        <v>3.8970319743173443E-3</v>
      </c>
      <c r="R48" s="165">
        <f ca="1"/>
        <v>7.8997710095235485E-3</v>
      </c>
      <c r="S48" s="165">
        <f ca="1"/>
        <v>0</v>
      </c>
      <c r="T48" s="165">
        <f ca="1"/>
        <v>2.105400578137695E-2</v>
      </c>
      <c r="U48" s="165">
        <f ca="1"/>
        <v>3.8110368573024189E-2</v>
      </c>
      <c r="V48" s="140">
        <f ca="1"/>
        <v>7.0517794388134769E-2</v>
      </c>
      <c r="W48" s="139">
        <f ca="1"/>
        <v>0</v>
      </c>
      <c r="X48" s="165">
        <f ca="1"/>
        <v>5.9842770240881027E-4</v>
      </c>
      <c r="Y48" s="165">
        <f ca="1"/>
        <v>1.4547057767978488E-3</v>
      </c>
      <c r="Z48" s="165">
        <f ca="1"/>
        <v>4.2475452092268773E-3</v>
      </c>
      <c r="AA48" s="165">
        <f ca="1"/>
        <v>8.4156861416164741E-3</v>
      </c>
      <c r="AB48" s="165">
        <f ca="1"/>
        <v>0</v>
      </c>
      <c r="AC48" s="165">
        <f ca="1"/>
        <v>2.2073908602883496E-2</v>
      </c>
      <c r="AD48" s="165">
        <f ca="1"/>
        <v>3.9963049782997362E-2</v>
      </c>
      <c r="AE48" s="140">
        <f ca="1"/>
        <v>7.3912377154773945E-2</v>
      </c>
      <c r="AH48" s="137"/>
      <c r="AI48" s="137"/>
      <c r="AJ48" s="137"/>
      <c r="AK48" s="137"/>
      <c r="AM48" s="137"/>
      <c r="AN48" s="137"/>
      <c r="AO48" s="137"/>
      <c r="AQ48" s="137"/>
      <c r="AR48" s="137"/>
      <c r="AS48" s="137"/>
      <c r="AT48" s="137"/>
      <c r="AV48" s="137"/>
      <c r="AW48" s="137"/>
      <c r="AX48" s="137"/>
    </row>
    <row r="49" spans="1:50" s="79" customFormat="1" ht="10.199999999999999" x14ac:dyDescent="0.2">
      <c r="A49" s="97">
        <f t="shared" si="2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8">
        <v>1.1000000000000001E-3</v>
      </c>
      <c r="G49" s="158">
        <v>1.6000000000000001E-3</v>
      </c>
      <c r="H49" s="158">
        <v>2E-3</v>
      </c>
      <c r="I49" s="158">
        <v>2.8E-3</v>
      </c>
      <c r="J49" s="158" t="s">
        <v>87</v>
      </c>
      <c r="K49" s="158">
        <v>3.8999999999999998E-3</v>
      </c>
      <c r="L49" s="158">
        <v>4.5999999999999999E-3</v>
      </c>
      <c r="M49" s="158">
        <v>5.5999999999999999E-3</v>
      </c>
      <c r="N49" s="139" cm="1">
        <f t="array" aca="1" ref="N49:AE49" ca="1">IF(OR(B49="",NOT($J$2)),"",GetStripDefaultProbability(A49,B49,Parameter_Date,CDSRollDate,E49:M49,SpreadCurveMaturities,D49,C49,$J$4,$J$6))</f>
        <v>0</v>
      </c>
      <c r="O49" s="165">
        <f ca="1"/>
        <v>1.0968460033887739E-3</v>
      </c>
      <c r="P49" s="165">
        <f ca="1"/>
        <v>2.9436906458292222E-3</v>
      </c>
      <c r="Q49" s="165">
        <f ca="1"/>
        <v>7.0503278528422086E-3</v>
      </c>
      <c r="R49" s="165">
        <f ca="1"/>
        <v>1.4694321239492991E-2</v>
      </c>
      <c r="S49" s="165">
        <f ca="1"/>
        <v>0</v>
      </c>
      <c r="T49" s="165">
        <f ca="1"/>
        <v>3.3830655828341771E-2</v>
      </c>
      <c r="U49" s="165">
        <f ca="1"/>
        <v>5.550467519640323E-2</v>
      </c>
      <c r="V49" s="140">
        <f ca="1"/>
        <v>9.6277285948589975E-2</v>
      </c>
      <c r="W49" s="139">
        <f ca="1"/>
        <v>0</v>
      </c>
      <c r="X49" s="165">
        <f ca="1"/>
        <v>1.1964968262314635E-3</v>
      </c>
      <c r="Y49" s="165">
        <f ca="1"/>
        <v>3.1098528501559697E-3</v>
      </c>
      <c r="Z49" s="165">
        <f ca="1"/>
        <v>7.3997406887518213E-3</v>
      </c>
      <c r="AA49" s="165">
        <f ca="1"/>
        <v>1.54225697941478E-2</v>
      </c>
      <c r="AB49" s="165">
        <f ca="1"/>
        <v>0</v>
      </c>
      <c r="AC49" s="165">
        <f ca="1"/>
        <v>3.5494278416622116E-2</v>
      </c>
      <c r="AD49" s="165">
        <f ca="1"/>
        <v>5.8210970264469863E-2</v>
      </c>
      <c r="AE49" s="140">
        <f ca="1"/>
        <v>0.10090196876853308</v>
      </c>
      <c r="AH49" s="137"/>
      <c r="AI49" s="137"/>
      <c r="AJ49" s="137"/>
      <c r="AK49" s="137"/>
      <c r="AM49" s="137"/>
      <c r="AN49" s="137"/>
      <c r="AO49" s="137"/>
      <c r="AQ49" s="137"/>
      <c r="AR49" s="137"/>
      <c r="AS49" s="137"/>
      <c r="AT49" s="137"/>
      <c r="AV49" s="137"/>
      <c r="AW49" s="137"/>
      <c r="AX49" s="137"/>
    </row>
    <row r="50" spans="1:50" s="79" customFormat="1" ht="10.199999999999999" x14ac:dyDescent="0.2">
      <c r="A50" s="97">
        <f t="shared" si="2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8">
        <v>6.9999999999999999E-4</v>
      </c>
      <c r="G50" s="158">
        <v>8.9999999999999998E-4</v>
      </c>
      <c r="H50" s="158">
        <v>1.2999999999999999E-3</v>
      </c>
      <c r="I50" s="158">
        <v>1.8E-3</v>
      </c>
      <c r="J50" s="158" t="s">
        <v>87</v>
      </c>
      <c r="K50" s="158">
        <v>2.8999999999999998E-3</v>
      </c>
      <c r="L50" s="158">
        <v>3.5999999999999999E-3</v>
      </c>
      <c r="M50" s="158">
        <v>4.4000000000000003E-3</v>
      </c>
      <c r="N50" s="139" cm="1">
        <f t="array" aca="1" ref="N50:AE50" ca="1">IF(OR(B50="",NOT($J$2)),"",GetStripDefaultProbability(A50,B50,Parameter_Date,CDSRollDate,E50:M50,SpreadCurveMaturities,D50,C50,$J$4,$J$6))</f>
        <v>0</v>
      </c>
      <c r="O50" s="165">
        <f ca="1"/>
        <v>6.9813171573551713E-4</v>
      </c>
      <c r="P50" s="165">
        <f ca="1"/>
        <v>1.6546177141141261E-3</v>
      </c>
      <c r="Q50" s="165">
        <f ca="1"/>
        <v>4.5968468698306397E-3</v>
      </c>
      <c r="R50" s="165">
        <f ca="1"/>
        <v>9.4710578118807343E-3</v>
      </c>
      <c r="S50" s="165">
        <f ca="1"/>
        <v>0</v>
      </c>
      <c r="T50" s="165">
        <f ca="1"/>
        <v>2.5405559415607848E-2</v>
      </c>
      <c r="U50" s="165">
        <f ca="1"/>
        <v>4.4018608583022312E-2</v>
      </c>
      <c r="V50" s="140">
        <f ca="1"/>
        <v>7.6690544205209266E-2</v>
      </c>
      <c r="W50" s="139">
        <f ca="1"/>
        <v>0</v>
      </c>
      <c r="X50" s="165">
        <f ca="1"/>
        <v>7.97823908687878E-4</v>
      </c>
      <c r="Y50" s="165">
        <f ca="1"/>
        <v>1.8209947460166021E-3</v>
      </c>
      <c r="Z50" s="165">
        <f ca="1"/>
        <v>4.9471111204165696E-3</v>
      </c>
      <c r="AA50" s="165">
        <f ca="1"/>
        <v>9.9862310288481027E-3</v>
      </c>
      <c r="AB50" s="165">
        <f ca="1"/>
        <v>0</v>
      </c>
      <c r="AC50" s="165">
        <f ca="1"/>
        <v>2.6646931545356911E-2</v>
      </c>
      <c r="AD50" s="165">
        <f ca="1"/>
        <v>4.6164709015169891E-2</v>
      </c>
      <c r="AE50" s="140">
        <f ca="1"/>
        <v>8.0379364469327697E-2</v>
      </c>
      <c r="AH50" s="137"/>
      <c r="AI50" s="137"/>
      <c r="AJ50" s="137"/>
      <c r="AK50" s="137"/>
      <c r="AM50" s="137"/>
      <c r="AN50" s="137"/>
      <c r="AO50" s="137"/>
      <c r="AQ50" s="137"/>
      <c r="AR50" s="137"/>
      <c r="AS50" s="137"/>
      <c r="AT50" s="137"/>
      <c r="AV50" s="137"/>
      <c r="AW50" s="137"/>
      <c r="AX50" s="137"/>
    </row>
    <row r="51" spans="1:50" s="79" customFormat="1" ht="10.199999999999999" x14ac:dyDescent="0.2">
      <c r="A51" s="97">
        <f t="shared" si="2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8">
        <v>1.1999999999999999E-3</v>
      </c>
      <c r="G51" s="158">
        <v>2.3999999999999998E-3</v>
      </c>
      <c r="H51" s="158">
        <v>3.8E-3</v>
      </c>
      <c r="I51" s="158">
        <v>5.4000000000000003E-3</v>
      </c>
      <c r="J51" s="158" t="s">
        <v>87</v>
      </c>
      <c r="K51" s="158">
        <v>8.0000000000000002E-3</v>
      </c>
      <c r="L51" s="158">
        <v>9.5999999999999992E-3</v>
      </c>
      <c r="M51" s="158">
        <v>1.12E-2</v>
      </c>
      <c r="N51" s="139" cm="1">
        <f t="array" aca="1" ref="N51:AE51" ca="1">IF(OR(B51="",NOT($J$2)),"",GetStripDefaultProbability(A51,B51,Parameter_Date,CDSRollDate,E51:M51,SpreadCurveMaturities,D51,C51,$J$4,$J$6))</f>
        <v>0</v>
      </c>
      <c r="O51" s="165">
        <f ca="1"/>
        <v>1.1964998035645102E-3</v>
      </c>
      <c r="P51" s="165">
        <f ca="1"/>
        <v>4.4250362491424777E-3</v>
      </c>
      <c r="Q51" s="165">
        <f ca="1"/>
        <v>1.3428905784259371E-2</v>
      </c>
      <c r="R51" s="165">
        <f ca="1"/>
        <v>2.8282170855142175E-2</v>
      </c>
      <c r="S51" s="165">
        <f ca="1"/>
        <v>0</v>
      </c>
      <c r="T51" s="165">
        <f ca="1"/>
        <v>6.8800154988675866E-2</v>
      </c>
      <c r="U51" s="165">
        <f ca="1"/>
        <v>0.1136919726511274</v>
      </c>
      <c r="V51" s="140">
        <f ca="1"/>
        <v>0.18471532773986188</v>
      </c>
      <c r="W51" s="139">
        <f ca="1"/>
        <v>0</v>
      </c>
      <c r="X51" s="165">
        <f ca="1"/>
        <v>1.2961401666722328E-3</v>
      </c>
      <c r="Y51" s="165">
        <f ca="1"/>
        <v>4.6448070749482984E-3</v>
      </c>
      <c r="Z51" s="165">
        <f ca="1"/>
        <v>1.4095286976921195E-2</v>
      </c>
      <c r="AA51" s="165">
        <f ca="1"/>
        <v>2.967907406783854E-2</v>
      </c>
      <c r="AB51" s="165">
        <f ca="1"/>
        <v>0</v>
      </c>
      <c r="AC51" s="165">
        <f ca="1"/>
        <v>7.213163246687182E-2</v>
      </c>
      <c r="AD51" s="165">
        <f ca="1"/>
        <v>0.11911781459696136</v>
      </c>
      <c r="AE51" s="140">
        <f ca="1"/>
        <v>0.19322544537229092</v>
      </c>
      <c r="AH51" s="137"/>
      <c r="AI51" s="137"/>
      <c r="AJ51" s="137"/>
      <c r="AK51" s="137"/>
      <c r="AM51" s="137"/>
      <c r="AN51" s="137"/>
      <c r="AO51" s="137"/>
      <c r="AQ51" s="137"/>
      <c r="AR51" s="137"/>
      <c r="AS51" s="137"/>
      <c r="AT51" s="137"/>
      <c r="AV51" s="137"/>
      <c r="AW51" s="137"/>
      <c r="AX51" s="137"/>
    </row>
    <row r="52" spans="1:50" s="79" customFormat="1" ht="10.199999999999999" x14ac:dyDescent="0.2">
      <c r="A52" s="97">
        <f t="shared" si="2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8">
        <v>5.9999999999999995E-4</v>
      </c>
      <c r="G52" s="158">
        <v>6.9999999999999999E-4</v>
      </c>
      <c r="H52" s="158">
        <v>1.1999999999999999E-3</v>
      </c>
      <c r="I52" s="158">
        <v>1.8E-3</v>
      </c>
      <c r="J52" s="158" t="s">
        <v>87</v>
      </c>
      <c r="K52" s="158">
        <v>2.8E-3</v>
      </c>
      <c r="L52" s="158">
        <v>3.5000000000000001E-3</v>
      </c>
      <c r="M52" s="158">
        <v>4.4000000000000003E-3</v>
      </c>
      <c r="N52" s="139" cm="1">
        <f t="array" aca="1" ref="N52:AE52" ca="1">IF(OR(B52="",NOT($J$2)),"",GetStripDefaultProbability(A52,B52,Parameter_Date,CDSRollDate,E52:M52,SpreadCurveMaturities,D52,C52,$J$4,$J$6))</f>
        <v>0</v>
      </c>
      <c r="O52" s="165">
        <f ca="1"/>
        <v>5.9842836468415594E-4</v>
      </c>
      <c r="P52" s="165">
        <f ca="1"/>
        <v>1.2857132002235261E-3</v>
      </c>
      <c r="Q52" s="165">
        <f ca="1"/>
        <v>4.2533471925841893E-3</v>
      </c>
      <c r="R52" s="165">
        <f ca="1"/>
        <v>9.5034259202997351E-3</v>
      </c>
      <c r="S52" s="165">
        <f ca="1"/>
        <v>0</v>
      </c>
      <c r="T52" s="165">
        <f ca="1"/>
        <v>2.4535037055914422E-2</v>
      </c>
      <c r="U52" s="165">
        <f ca="1"/>
        <v>4.2838193136911618E-2</v>
      </c>
      <c r="V52" s="140">
        <f ca="1"/>
        <v>7.7003864300432046E-2</v>
      </c>
      <c r="W52" s="139">
        <f ca="1"/>
        <v>0</v>
      </c>
      <c r="X52" s="165">
        <f ca="1"/>
        <v>6.9813078535330142E-4</v>
      </c>
      <c r="Y52" s="165">
        <f ca="1"/>
        <v>1.4521517111039106E-3</v>
      </c>
      <c r="Z52" s="165">
        <f ca="1"/>
        <v>4.6037538327666772E-3</v>
      </c>
      <c r="AA52" s="165">
        <f ca="1"/>
        <v>1.0018690153701937E-2</v>
      </c>
      <c r="AB52" s="165">
        <f ca="1"/>
        <v>0</v>
      </c>
      <c r="AC52" s="165">
        <f ca="1"/>
        <v>2.5732292850133898E-2</v>
      </c>
      <c r="AD52" s="165">
        <f ca="1"/>
        <v>4.492582242537202E-2</v>
      </c>
      <c r="AE52" s="140">
        <f ca="1"/>
        <v>8.0706739866939992E-2</v>
      </c>
      <c r="AH52" s="137"/>
      <c r="AI52" s="137"/>
      <c r="AJ52" s="137"/>
      <c r="AK52" s="137"/>
      <c r="AM52" s="137"/>
      <c r="AN52" s="137"/>
      <c r="AO52" s="137"/>
      <c r="AQ52" s="137"/>
      <c r="AR52" s="137"/>
      <c r="AS52" s="137"/>
      <c r="AT52" s="137"/>
      <c r="AV52" s="137"/>
      <c r="AW52" s="137"/>
      <c r="AX52" s="137"/>
    </row>
    <row r="53" spans="1:50" s="79" customFormat="1" ht="10.199999999999999" x14ac:dyDescent="0.2">
      <c r="A53" s="97">
        <f t="shared" si="2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8">
        <v>6.9999999999999999E-4</v>
      </c>
      <c r="G53" s="158">
        <v>8.0000000000000004E-4</v>
      </c>
      <c r="H53" s="158">
        <v>1.1000000000000001E-3</v>
      </c>
      <c r="I53" s="158">
        <v>1.6999999999999999E-3</v>
      </c>
      <c r="J53" s="158" t="s">
        <v>87</v>
      </c>
      <c r="K53" s="158">
        <v>2.8E-3</v>
      </c>
      <c r="L53" s="158">
        <v>3.5999999999999999E-3</v>
      </c>
      <c r="M53" s="158">
        <v>4.4999999999999997E-3</v>
      </c>
      <c r="N53" s="139" cm="1">
        <f t="array" aca="1" ref="N53:AE53" ca="1">IF(OR(B53="",NOT($J$2)),"",GetStripDefaultProbability(A53,B53,Parameter_Date,CDSRollDate,E53:M53,SpreadCurveMaturities,D53,C53,$J$4,$J$6))</f>
        <v>0</v>
      </c>
      <c r="O53" s="165">
        <f ca="1"/>
        <v>6.9813171573551713E-4</v>
      </c>
      <c r="P53" s="165">
        <f ca="1"/>
        <v>1.4688960752100577E-3</v>
      </c>
      <c r="Q53" s="165">
        <f ca="1"/>
        <v>3.8855339402591449E-3</v>
      </c>
      <c r="R53" s="165">
        <f ca="1"/>
        <v>8.9702016707320364E-3</v>
      </c>
      <c r="S53" s="165">
        <f ca="1"/>
        <v>0</v>
      </c>
      <c r="T53" s="165">
        <f ca="1"/>
        <v>2.4582753759623599E-2</v>
      </c>
      <c r="U53" s="165">
        <f ca="1"/>
        <v>4.4195751998239885E-2</v>
      </c>
      <c r="V53" s="140">
        <f ca="1"/>
        <v>7.8799062781644502E-2</v>
      </c>
      <c r="W53" s="139">
        <f ca="1"/>
        <v>0</v>
      </c>
      <c r="X53" s="165">
        <f ca="1"/>
        <v>7.97823908687878E-4</v>
      </c>
      <c r="Y53" s="165">
        <f ca="1"/>
        <v>1.635304058142717E-3</v>
      </c>
      <c r="Z53" s="165">
        <f ca="1"/>
        <v>4.2360112947548156E-3</v>
      </c>
      <c r="AA53" s="165">
        <f ca="1"/>
        <v>9.485679971581007E-3</v>
      </c>
      <c r="AB53" s="165">
        <f ca="1"/>
        <v>0</v>
      </c>
      <c r="AC53" s="165">
        <f ca="1"/>
        <v>2.5780066136955049E-2</v>
      </c>
      <c r="AD53" s="165">
        <f ca="1"/>
        <v>4.6347126199798083E-2</v>
      </c>
      <c r="AE53" s="140">
        <f ca="1"/>
        <v>8.2584149368945203E-2</v>
      </c>
      <c r="AH53" s="137"/>
      <c r="AI53" s="137"/>
      <c r="AJ53" s="137"/>
      <c r="AK53" s="137"/>
      <c r="AM53" s="137"/>
      <c r="AN53" s="137"/>
      <c r="AO53" s="137"/>
      <c r="AQ53" s="137"/>
      <c r="AR53" s="137"/>
      <c r="AS53" s="137"/>
      <c r="AT53" s="137"/>
      <c r="AV53" s="137"/>
      <c r="AW53" s="137"/>
      <c r="AX53" s="137"/>
    </row>
    <row r="54" spans="1:50" s="79" customFormat="1" ht="10.199999999999999" x14ac:dyDescent="0.2">
      <c r="A54" s="97">
        <f t="shared" si="2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8">
        <v>4.0000000000000002E-4</v>
      </c>
      <c r="G54" s="158">
        <v>5.9999999999999995E-4</v>
      </c>
      <c r="H54" s="158">
        <v>1E-3</v>
      </c>
      <c r="I54" s="158">
        <v>1.4E-3</v>
      </c>
      <c r="J54" s="158" t="s">
        <v>87</v>
      </c>
      <c r="K54" s="158">
        <v>2.0999999999999999E-3</v>
      </c>
      <c r="L54" s="158">
        <v>2.3999999999999998E-3</v>
      </c>
      <c r="M54" s="158">
        <v>2.8999999999999998E-3</v>
      </c>
      <c r="N54" s="139" cm="1">
        <f t="array" aca="1" ref="N54:AE54" ca="1">IF(OR(B54="",NOT($J$2)),"",GetStripDefaultProbability(A54,B54,Parameter_Date,CDSRollDate,E54:M54,SpreadCurveMaturities,D54,C54,$J$4,$J$6))</f>
        <v>0</v>
      </c>
      <c r="O54" s="165">
        <f ca="1"/>
        <v>3.9899191733294703E-4</v>
      </c>
      <c r="P54" s="165">
        <f ca="1"/>
        <v>1.1050422662570725E-3</v>
      </c>
      <c r="Q54" s="165">
        <f ca="1"/>
        <v>3.546940354368644E-3</v>
      </c>
      <c r="R54" s="165">
        <f ca="1"/>
        <v>7.3841045786143811E-3</v>
      </c>
      <c r="S54" s="165">
        <f ca="1"/>
        <v>0</v>
      </c>
      <c r="T54" s="165">
        <f ca="1"/>
        <v>1.8400438115670825E-2</v>
      </c>
      <c r="U54" s="165">
        <f ca="1"/>
        <v>2.9249810710634372E-2</v>
      </c>
      <c r="V54" s="140">
        <f ca="1"/>
        <v>5.0710175415065506E-2</v>
      </c>
      <c r="W54" s="139">
        <f ca="1"/>
        <v>0</v>
      </c>
      <c r="X54" s="165">
        <f ca="1"/>
        <v>4.9871465885786836E-4</v>
      </c>
      <c r="Y54" s="165">
        <f ca="1"/>
        <v>1.2715108864457259E-3</v>
      </c>
      <c r="Z54" s="165">
        <f ca="1"/>
        <v>3.8975778001897332E-3</v>
      </c>
      <c r="AA54" s="165">
        <f ca="1"/>
        <v>7.9002905658989153E-3</v>
      </c>
      <c r="AB54" s="165">
        <f ca="1"/>
        <v>0</v>
      </c>
      <c r="AC54" s="165">
        <f ca="1"/>
        <v>1.928684449899376E-2</v>
      </c>
      <c r="AD54" s="165">
        <f ca="1"/>
        <v>3.0667673163460196E-2</v>
      </c>
      <c r="AE54" s="140">
        <f ca="1"/>
        <v>5.3161122478698086E-2</v>
      </c>
      <c r="AH54" s="137"/>
      <c r="AI54" s="137"/>
      <c r="AJ54" s="137"/>
      <c r="AK54" s="137"/>
      <c r="AM54" s="137"/>
      <c r="AN54" s="137"/>
      <c r="AO54" s="137"/>
      <c r="AQ54" s="137"/>
      <c r="AR54" s="137"/>
      <c r="AS54" s="137"/>
      <c r="AT54" s="137"/>
      <c r="AV54" s="137"/>
      <c r="AW54" s="137"/>
      <c r="AX54" s="137"/>
    </row>
    <row r="55" spans="1:50" s="79" customFormat="1" ht="10.199999999999999" x14ac:dyDescent="0.2">
      <c r="A55" s="97">
        <f t="shared" si="2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8">
        <v>5.9999999999999995E-4</v>
      </c>
      <c r="G55" s="158">
        <v>1.1000000000000001E-3</v>
      </c>
      <c r="H55" s="158">
        <v>1.8E-3</v>
      </c>
      <c r="I55" s="158">
        <v>2.5000000000000001E-3</v>
      </c>
      <c r="J55" s="158" t="s">
        <v>87</v>
      </c>
      <c r="K55" s="158">
        <v>3.3999999999999998E-3</v>
      </c>
      <c r="L55" s="158">
        <v>4.1999999999999997E-3</v>
      </c>
      <c r="M55" s="158">
        <v>5.0000000000000001E-3</v>
      </c>
      <c r="N55" s="139" cm="1">
        <f t="array" aca="1" ref="N55:AE55" ca="1">IF(OR(B55="",NOT($J$2)),"",GetStripDefaultProbability(A55,B55,Parameter_Date,CDSRollDate,E55:M55,SpreadCurveMaturities,D55,C55,$J$4,$J$6))</f>
        <v>0</v>
      </c>
      <c r="O55" s="165">
        <f ca="1"/>
        <v>5.9842836468415594E-4</v>
      </c>
      <c r="P55" s="165">
        <f ca="1"/>
        <v>2.0286053105840196E-3</v>
      </c>
      <c r="Q55" s="165">
        <f ca="1"/>
        <v>6.3795710620676571E-3</v>
      </c>
      <c r="R55" s="165">
        <f ca="1"/>
        <v>1.3157295468577801E-2</v>
      </c>
      <c r="S55" s="165">
        <f ca="1"/>
        <v>0</v>
      </c>
      <c r="T55" s="165">
        <f ca="1"/>
        <v>2.9537378230113931E-2</v>
      </c>
      <c r="U55" s="165">
        <f ca="1"/>
        <v>5.0991838076639651E-2</v>
      </c>
      <c r="V55" s="140">
        <f ca="1"/>
        <v>8.626259227206734E-2</v>
      </c>
      <c r="W55" s="139">
        <f ca="1"/>
        <v>0</v>
      </c>
      <c r="X55" s="165">
        <f ca="1"/>
        <v>6.9813078535330142E-4</v>
      </c>
      <c r="Y55" s="165">
        <f ca="1"/>
        <v>2.1949200164245175E-3</v>
      </c>
      <c r="Z55" s="165">
        <f ca="1"/>
        <v>6.7293095721446816E-3</v>
      </c>
      <c r="AA55" s="165">
        <f ca="1"/>
        <v>1.3805686874940437E-2</v>
      </c>
      <c r="AB55" s="165">
        <f ca="1"/>
        <v>0</v>
      </c>
      <c r="AC55" s="165">
        <f ca="1"/>
        <v>3.0988497863769449E-2</v>
      </c>
      <c r="AD55" s="165">
        <f ca="1"/>
        <v>5.3479944868596307E-2</v>
      </c>
      <c r="AE55" s="140">
        <f ca="1"/>
        <v>9.0400063580222567E-2</v>
      </c>
      <c r="AH55" s="137"/>
      <c r="AI55" s="137"/>
      <c r="AJ55" s="137"/>
      <c r="AK55" s="137"/>
      <c r="AM55" s="137"/>
      <c r="AN55" s="137"/>
      <c r="AO55" s="137"/>
      <c r="AQ55" s="137"/>
      <c r="AR55" s="137"/>
      <c r="AS55" s="137"/>
      <c r="AT55" s="137"/>
      <c r="AV55" s="137"/>
      <c r="AW55" s="137"/>
      <c r="AX55" s="137"/>
    </row>
    <row r="56" spans="1:50" s="79" customFormat="1" ht="10.199999999999999" x14ac:dyDescent="0.2">
      <c r="A56" s="97">
        <f t="shared" si="2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8">
        <v>5.9999999999999995E-4</v>
      </c>
      <c r="G56" s="158">
        <v>1.4E-3</v>
      </c>
      <c r="H56" s="158">
        <v>2.0999999999999999E-3</v>
      </c>
      <c r="I56" s="158">
        <v>2.7000000000000001E-3</v>
      </c>
      <c r="J56" s="158" t="s">
        <v>87</v>
      </c>
      <c r="K56" s="158">
        <v>3.5999999999999999E-3</v>
      </c>
      <c r="L56" s="158">
        <v>4.4000000000000003E-3</v>
      </c>
      <c r="M56" s="158">
        <v>5.1999999999999998E-3</v>
      </c>
      <c r="N56" s="139" cm="1">
        <f t="array" aca="1" ref="N56:AE56" ca="1">IF(OR(B56="",NOT($J$2)),"",GetStripDefaultProbability(A56,B56,Parameter_Date,CDSRollDate,E56:M56,SpreadCurveMaturities,D56,C56,$J$4,$J$6))</f>
        <v>0</v>
      </c>
      <c r="O56" s="165">
        <f ca="1"/>
        <v>5.9842836468415594E-4</v>
      </c>
      <c r="P56" s="165">
        <f ca="1"/>
        <v>2.5856114915950856E-3</v>
      </c>
      <c r="Q56" s="165">
        <f ca="1"/>
        <v>7.4349111328158024E-3</v>
      </c>
      <c r="R56" s="165">
        <f ca="1"/>
        <v>1.4164693263194028E-2</v>
      </c>
      <c r="S56" s="165">
        <f ca="1"/>
        <v>0</v>
      </c>
      <c r="T56" s="165">
        <f ca="1"/>
        <v>3.1183618978109173E-2</v>
      </c>
      <c r="U56" s="165">
        <f ca="1"/>
        <v>5.3246682722842498E-2</v>
      </c>
      <c r="V56" s="140">
        <f ca="1"/>
        <v>8.9373016124455806E-2</v>
      </c>
      <c r="W56" s="139">
        <f ca="1"/>
        <v>0</v>
      </c>
      <c r="X56" s="165">
        <f ca="1"/>
        <v>6.9813078535330142E-4</v>
      </c>
      <c r="Y56" s="165">
        <f ca="1"/>
        <v>2.7518333708109743E-3</v>
      </c>
      <c r="Z56" s="165">
        <f ca="1"/>
        <v>7.8021987131084991E-3</v>
      </c>
      <c r="AA56" s="165">
        <f ca="1"/>
        <v>1.4865430925598999E-2</v>
      </c>
      <c r="AB56" s="165">
        <f ca="1"/>
        <v>0</v>
      </c>
      <c r="AC56" s="165">
        <f ca="1"/>
        <v>3.2717142282530198E-2</v>
      </c>
      <c r="AD56" s="165">
        <f ca="1"/>
        <v>5.5844395737121189E-2</v>
      </c>
      <c r="AE56" s="140">
        <f ca="1"/>
        <v>9.3654417981855476E-2</v>
      </c>
      <c r="AH56" s="137"/>
      <c r="AI56" s="137"/>
      <c r="AJ56" s="137"/>
      <c r="AK56" s="137"/>
      <c r="AM56" s="137"/>
      <c r="AN56" s="137"/>
      <c r="AO56" s="137"/>
      <c r="AQ56" s="137"/>
      <c r="AR56" s="137"/>
      <c r="AS56" s="137"/>
      <c r="AT56" s="137"/>
      <c r="AV56" s="137"/>
      <c r="AW56" s="137"/>
      <c r="AX56" s="137"/>
    </row>
    <row r="57" spans="1:50" s="79" customFormat="1" ht="10.199999999999999" x14ac:dyDescent="0.2">
      <c r="A57" s="97">
        <f t="shared" si="2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8">
        <v>5.0000000000000001E-4</v>
      </c>
      <c r="G57" s="158">
        <v>8.0000000000000004E-4</v>
      </c>
      <c r="H57" s="158">
        <v>1.4E-3</v>
      </c>
      <c r="I57" s="158">
        <v>2.2000000000000001E-3</v>
      </c>
      <c r="J57" s="158" t="s">
        <v>87</v>
      </c>
      <c r="K57" s="158">
        <v>3.5000000000000001E-3</v>
      </c>
      <c r="L57" s="158">
        <v>4.3E-3</v>
      </c>
      <c r="M57" s="158">
        <v>5.3E-3</v>
      </c>
      <c r="N57" s="139" cm="1">
        <f t="array" aca="1" ref="N57:AE57" ca="1">IF(OR(B57="",NOT($J$2)),"",GetStripDefaultProbability(A57,B57,Parameter_Date,CDSRollDate,E57:M57,SpreadCurveMaturities,D57,C57,$J$4,$J$6))</f>
        <v>0</v>
      </c>
      <c r="O57" s="165">
        <f ca="1"/>
        <v>4.9871509903820499E-4</v>
      </c>
      <c r="P57" s="165">
        <f ca="1"/>
        <v>1.4740231448624463E-3</v>
      </c>
      <c r="Q57" s="165">
        <f ca="1"/>
        <v>4.9671952366625582E-3</v>
      </c>
      <c r="R57" s="165">
        <f ca="1"/>
        <v>1.1628076825122124E-2</v>
      </c>
      <c r="S57" s="165">
        <f ca="1"/>
        <v>0</v>
      </c>
      <c r="T57" s="165">
        <f ca="1"/>
        <v>3.0653912139181783E-2</v>
      </c>
      <c r="U57" s="165">
        <f ca="1"/>
        <v>5.2416480932491405E-2</v>
      </c>
      <c r="V57" s="140">
        <f ca="1"/>
        <v>9.1950652414871104E-2</v>
      </c>
      <c r="W57" s="139">
        <f ca="1"/>
        <v>0</v>
      </c>
      <c r="X57" s="165">
        <f ca="1"/>
        <v>5.9842770240881027E-4</v>
      </c>
      <c r="Y57" s="165">
        <f ca="1"/>
        <v>1.640430273368465E-3</v>
      </c>
      <c r="Z57" s="165">
        <f ca="1"/>
        <v>5.3173952406049274E-3</v>
      </c>
      <c r="AA57" s="165">
        <f ca="1"/>
        <v>1.219644022531674E-2</v>
      </c>
      <c r="AB57" s="165">
        <f ca="1"/>
        <v>0</v>
      </c>
      <c r="AC57" s="165">
        <f ca="1"/>
        <v>3.2155667941160315E-2</v>
      </c>
      <c r="AD57" s="165">
        <f ca="1"/>
        <v>5.4969923019348776E-2</v>
      </c>
      <c r="AE57" s="140">
        <f ca="1"/>
        <v>9.6348517646243637E-2</v>
      </c>
      <c r="AH57" s="137"/>
      <c r="AI57" s="137"/>
      <c r="AJ57" s="137"/>
      <c r="AK57" s="137"/>
      <c r="AM57" s="137"/>
      <c r="AN57" s="137"/>
      <c r="AO57" s="137"/>
      <c r="AQ57" s="137"/>
      <c r="AR57" s="137"/>
      <c r="AS57" s="137"/>
      <c r="AT57" s="137"/>
      <c r="AV57" s="137"/>
      <c r="AW57" s="137"/>
      <c r="AX57" s="137"/>
    </row>
    <row r="58" spans="1:50" s="79" customFormat="1" ht="10.199999999999999" x14ac:dyDescent="0.2">
      <c r="A58" s="97">
        <f t="shared" si="2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8">
        <v>1.1999999999999999E-3</v>
      </c>
      <c r="G58" s="158">
        <v>1.6999999999999999E-3</v>
      </c>
      <c r="H58" s="158">
        <v>2.8E-3</v>
      </c>
      <c r="I58" s="158">
        <v>3.5000000000000001E-3</v>
      </c>
      <c r="J58" s="158" t="s">
        <v>87</v>
      </c>
      <c r="K58" s="158">
        <v>4.4999999999999997E-3</v>
      </c>
      <c r="L58" s="158">
        <v>5.1999999999999998E-3</v>
      </c>
      <c r="M58" s="158">
        <v>6.1999999999999998E-3</v>
      </c>
      <c r="N58" s="139" cm="1">
        <f t="array" aca="1" ref="N58:AE58" ca="1">IF(OR(B58="",NOT($J$2)),"",GetStripDefaultProbability(A58,B58,Parameter_Date,CDSRollDate,E58:M58,SpreadCurveMaturities,D58,C58,$J$4,$J$6))</f>
        <v>0</v>
      </c>
      <c r="O58" s="165">
        <f ca="1"/>
        <v>1.1964998035645102E-3</v>
      </c>
      <c r="P58" s="165">
        <f ca="1"/>
        <v>3.1266070059646767E-3</v>
      </c>
      <c r="Q58" s="165">
        <f ca="1"/>
        <v>9.9041130060282256E-3</v>
      </c>
      <c r="R58" s="165">
        <f ca="1"/>
        <v>1.8314723337840455E-2</v>
      </c>
      <c r="S58" s="165">
        <f ca="1"/>
        <v>0</v>
      </c>
      <c r="T58" s="165">
        <f ca="1"/>
        <v>3.8769587889606827E-2</v>
      </c>
      <c r="U58" s="165">
        <f ca="1"/>
        <v>6.2248564301702336E-2</v>
      </c>
      <c r="V58" s="140">
        <f ca="1"/>
        <v>0.10551446892544569</v>
      </c>
      <c r="W58" s="139">
        <f ca="1"/>
        <v>0</v>
      </c>
      <c r="X58" s="165">
        <f ca="1"/>
        <v>1.2961401666722328E-3</v>
      </c>
      <c r="Y58" s="165">
        <f ca="1"/>
        <v>3.2927387267641661E-3</v>
      </c>
      <c r="Z58" s="165">
        <f ca="1"/>
        <v>1.039566293105143E-2</v>
      </c>
      <c r="AA58" s="165">
        <f ca="1"/>
        <v>1.9221826747960247E-2</v>
      </c>
      <c r="AB58" s="165">
        <f ca="1"/>
        <v>0</v>
      </c>
      <c r="AC58" s="165">
        <f ca="1"/>
        <v>4.0671370709359334E-2</v>
      </c>
      <c r="AD58" s="165">
        <f ca="1"/>
        <v>6.5272319214196517E-2</v>
      </c>
      <c r="AE58" s="140">
        <f ca="1"/>
        <v>0.11055595283497199</v>
      </c>
      <c r="AH58" s="137"/>
      <c r="AI58" s="137"/>
      <c r="AJ58" s="137"/>
      <c r="AK58" s="137"/>
      <c r="AM58" s="137"/>
      <c r="AN58" s="137"/>
      <c r="AO58" s="137"/>
      <c r="AQ58" s="137"/>
      <c r="AR58" s="137"/>
      <c r="AS58" s="137"/>
      <c r="AT58" s="137"/>
      <c r="AV58" s="137"/>
      <c r="AW58" s="137"/>
      <c r="AX58" s="137"/>
    </row>
    <row r="59" spans="1:50" s="79" customFormat="1" ht="10.199999999999999" x14ac:dyDescent="0.2">
      <c r="A59" s="97">
        <f t="shared" si="2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8">
        <v>8.0000000000000004E-4</v>
      </c>
      <c r="G59" s="158">
        <v>1.2999999999999999E-3</v>
      </c>
      <c r="H59" s="158">
        <v>2.3E-3</v>
      </c>
      <c r="I59" s="158">
        <v>2.8999999999999998E-3</v>
      </c>
      <c r="J59" s="158" t="s">
        <v>87</v>
      </c>
      <c r="K59" s="158">
        <v>3.8E-3</v>
      </c>
      <c r="L59" s="158">
        <v>4.4999999999999997E-3</v>
      </c>
      <c r="M59" s="158">
        <v>5.4999999999999997E-3</v>
      </c>
      <c r="N59" s="139" cm="1">
        <f t="array" aca="1" ref="N59:AE59" ca="1">IF(OR(B59="",NOT($J$2)),"",GetStripDefaultProbability(A59,B59,Parameter_Date,CDSRollDate,E59:M59,SpreadCurveMaturities,D59,C59,$J$4,$J$6))</f>
        <v>0</v>
      </c>
      <c r="O59" s="165">
        <f ca="1"/>
        <v>7.9782515363191475E-4</v>
      </c>
      <c r="P59" s="165">
        <f ca="1"/>
        <v>2.394740177164234E-3</v>
      </c>
      <c r="Q59" s="165">
        <f ca="1"/>
        <v>8.1523515886952058E-3</v>
      </c>
      <c r="R59" s="165">
        <f ca="1"/>
        <v>1.5209535831091969E-2</v>
      </c>
      <c r="S59" s="165">
        <f ca="1"/>
        <v>0</v>
      </c>
      <c r="T59" s="165">
        <f ca="1"/>
        <v>3.2866334947858955E-2</v>
      </c>
      <c r="U59" s="165">
        <f ca="1"/>
        <v>5.4236327785060046E-2</v>
      </c>
      <c r="V59" s="140">
        <f ca="1"/>
        <v>9.4587682887046221E-2</v>
      </c>
      <c r="W59" s="139">
        <f ca="1"/>
        <v>0</v>
      </c>
      <c r="X59" s="165">
        <f ca="1"/>
        <v>8.9750707345648273E-4</v>
      </c>
      <c r="Y59" s="165">
        <f ca="1"/>
        <v>2.5609938656134812E-3</v>
      </c>
      <c r="Z59" s="165">
        <f ca="1"/>
        <v>8.5552140922654507E-3</v>
      </c>
      <c r="AA59" s="165">
        <f ca="1"/>
        <v>1.5961808806643218E-2</v>
      </c>
      <c r="AB59" s="165">
        <f ca="1"/>
        <v>0</v>
      </c>
      <c r="AC59" s="165">
        <f ca="1"/>
        <v>3.4481300146073535E-2</v>
      </c>
      <c r="AD59" s="165">
        <f ca="1"/>
        <v>5.6879960070213453E-2</v>
      </c>
      <c r="AE59" s="140">
        <f ca="1"/>
        <v>9.9132627870560541E-2</v>
      </c>
      <c r="AH59" s="137"/>
      <c r="AI59" s="137"/>
      <c r="AJ59" s="137"/>
      <c r="AK59" s="137"/>
      <c r="AM59" s="137"/>
      <c r="AN59" s="137"/>
      <c r="AO59" s="137"/>
      <c r="AQ59" s="137"/>
      <c r="AR59" s="137"/>
      <c r="AS59" s="137"/>
      <c r="AT59" s="137"/>
      <c r="AV59" s="137"/>
      <c r="AW59" s="137"/>
      <c r="AX59" s="137"/>
    </row>
    <row r="60" spans="1:50" s="79" customFormat="1" ht="10.199999999999999" x14ac:dyDescent="0.2">
      <c r="A60" s="97">
        <f t="shared" si="2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8">
        <v>5.9999999999999995E-4</v>
      </c>
      <c r="G60" s="158">
        <v>8.9999999999999998E-4</v>
      </c>
      <c r="H60" s="158">
        <v>1.2999999999999999E-3</v>
      </c>
      <c r="I60" s="158">
        <v>1.6999999999999999E-3</v>
      </c>
      <c r="J60" s="158" t="s">
        <v>87</v>
      </c>
      <c r="K60" s="158">
        <v>2.2000000000000001E-3</v>
      </c>
      <c r="L60" s="158">
        <v>2.5999999999999999E-3</v>
      </c>
      <c r="M60" s="158">
        <v>3.2000000000000002E-3</v>
      </c>
      <c r="N60" s="139" cm="1">
        <f t="array" aca="1" ref="N60:AE60" ca="1">IF(OR(B60="",NOT($J$2)),"",GetStripDefaultProbability(A60,B60,Parameter_Date,CDSRollDate,E60:M60,SpreadCurveMaturities,D60,C60,$J$4,$J$6))</f>
        <v>0</v>
      </c>
      <c r="O60" s="165">
        <f ca="1"/>
        <v>5.9842836468415594E-4</v>
      </c>
      <c r="P60" s="165">
        <f ca="1"/>
        <v>1.6571902907872582E-3</v>
      </c>
      <c r="Q60" s="165">
        <f ca="1"/>
        <v>4.5994516110744454E-3</v>
      </c>
      <c r="R60" s="165">
        <f ca="1"/>
        <v>8.9329366123195308E-3</v>
      </c>
      <c r="S60" s="165">
        <f ca="1"/>
        <v>0</v>
      </c>
      <c r="T60" s="165">
        <f ca="1"/>
        <v>1.9114330581443184E-2</v>
      </c>
      <c r="U60" s="165">
        <f ca="1"/>
        <v>3.1596956928891307E-2</v>
      </c>
      <c r="V60" s="140">
        <f ca="1"/>
        <v>5.5923566510909462E-2</v>
      </c>
      <c r="W60" s="139">
        <f ca="1"/>
        <v>0</v>
      </c>
      <c r="X60" s="165">
        <f ca="1"/>
        <v>6.9813078535330142E-4</v>
      </c>
      <c r="Y60" s="165">
        <f ca="1"/>
        <v>1.8235668939718952E-3</v>
      </c>
      <c r="Z60" s="165">
        <f ca="1"/>
        <v>4.9497246224655678E-3</v>
      </c>
      <c r="AA60" s="165">
        <f ca="1"/>
        <v>9.4483180424814739E-3</v>
      </c>
      <c r="AB60" s="165">
        <f ca="1"/>
        <v>0</v>
      </c>
      <c r="AC60" s="165">
        <f ca="1"/>
        <v>2.0044988963096921E-2</v>
      </c>
      <c r="AD60" s="165">
        <f ca="1"/>
        <v>3.3138177597270002E-2</v>
      </c>
      <c r="AE60" s="140">
        <f ca="1"/>
        <v>5.8632046489457745E-2</v>
      </c>
      <c r="AH60" s="137"/>
      <c r="AI60" s="137"/>
      <c r="AJ60" s="137"/>
      <c r="AK60" s="137"/>
      <c r="AM60" s="137"/>
      <c r="AN60" s="137"/>
      <c r="AO60" s="137"/>
      <c r="AQ60" s="137"/>
      <c r="AR60" s="137"/>
      <c r="AS60" s="137"/>
      <c r="AT60" s="137"/>
      <c r="AV60" s="137"/>
      <c r="AW60" s="137"/>
      <c r="AX60" s="137"/>
    </row>
    <row r="61" spans="1:50" s="79" customFormat="1" ht="10.199999999999999" x14ac:dyDescent="0.2">
      <c r="A61" s="97">
        <f t="shared" si="2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8">
        <v>8.0000000000000004E-4</v>
      </c>
      <c r="G61" s="158">
        <v>1.1000000000000001E-3</v>
      </c>
      <c r="H61" s="158">
        <v>1.6000000000000001E-3</v>
      </c>
      <c r="I61" s="158">
        <v>1.8E-3</v>
      </c>
      <c r="J61" s="158" t="s">
        <v>87</v>
      </c>
      <c r="K61" s="158">
        <v>2.3999999999999998E-3</v>
      </c>
      <c r="L61" s="158">
        <v>2.8E-3</v>
      </c>
      <c r="M61" s="158">
        <v>3.5000000000000001E-3</v>
      </c>
      <c r="N61" s="139" cm="1">
        <f t="array" aca="1" ref="N61:AE61" ca="1">IF(OR(B61="",NOT($J$2)),"",GetStripDefaultProbability(A61,B61,Parameter_Date,CDSRollDate,E61:M61,SpreadCurveMaturities,D61,C61,$J$4,$J$6))</f>
        <v>0</v>
      </c>
      <c r="O61" s="165">
        <f ca="1"/>
        <v>7.9782515363191475E-4</v>
      </c>
      <c r="P61" s="165">
        <f ca="1"/>
        <v>2.0234237867429172E-3</v>
      </c>
      <c r="Q61" s="165">
        <f ca="1"/>
        <v>5.6573458621570483E-3</v>
      </c>
      <c r="R61" s="165">
        <f ca="1"/>
        <v>9.4051453748017488E-3</v>
      </c>
      <c r="S61" s="165">
        <f ca="1"/>
        <v>0</v>
      </c>
      <c r="T61" s="165">
        <f ca="1"/>
        <v>2.0816680139600363E-2</v>
      </c>
      <c r="U61" s="165">
        <f ca="1"/>
        <v>3.3931790849681787E-2</v>
      </c>
      <c r="V61" s="140">
        <f ca="1"/>
        <v>6.1110618174575193E-2</v>
      </c>
      <c r="W61" s="139">
        <f ca="1"/>
        <v>0</v>
      </c>
      <c r="X61" s="165">
        <f ca="1"/>
        <v>8.9750707345648273E-4</v>
      </c>
      <c r="Y61" s="165">
        <f ca="1"/>
        <v>2.1897393561045586E-3</v>
      </c>
      <c r="Z61" s="165">
        <f ca="1"/>
        <v>6.0072694078610045E-3</v>
      </c>
      <c r="AA61" s="165">
        <f ca="1"/>
        <v>9.9201392089346419E-3</v>
      </c>
      <c r="AB61" s="165">
        <f ca="1"/>
        <v>0</v>
      </c>
      <c r="AC61" s="165">
        <f ca="1"/>
        <v>2.1836072966236908E-2</v>
      </c>
      <c r="AD61" s="165">
        <f ca="1"/>
        <v>3.5591502921410889E-2</v>
      </c>
      <c r="AE61" s="140">
        <f ca="1"/>
        <v>6.4069851236258302E-2</v>
      </c>
      <c r="AH61" s="137"/>
      <c r="AI61" s="137"/>
      <c r="AJ61" s="137"/>
      <c r="AK61" s="137"/>
      <c r="AM61" s="137"/>
      <c r="AN61" s="137"/>
      <c r="AO61" s="137"/>
      <c r="AQ61" s="137"/>
      <c r="AR61" s="137"/>
      <c r="AS61" s="137"/>
      <c r="AT61" s="137"/>
      <c r="AV61" s="137"/>
      <c r="AW61" s="137"/>
      <c r="AX61" s="137"/>
    </row>
    <row r="62" spans="1:50" s="79" customFormat="1" ht="10.199999999999999" x14ac:dyDescent="0.2">
      <c r="A62" s="97">
        <f t="shared" si="2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8">
        <v>5.0000000000000001E-4</v>
      </c>
      <c r="G62" s="158">
        <v>5.9999999999999995E-4</v>
      </c>
      <c r="H62" s="158">
        <v>1.1999999999999999E-3</v>
      </c>
      <c r="I62" s="158">
        <v>1.6999999999999999E-3</v>
      </c>
      <c r="J62" s="158" t="s">
        <v>87</v>
      </c>
      <c r="K62" s="158">
        <v>2.7000000000000001E-3</v>
      </c>
      <c r="L62" s="158">
        <v>3.3E-3</v>
      </c>
      <c r="M62" s="158">
        <v>4.0000000000000001E-3</v>
      </c>
      <c r="N62" s="139" cm="1">
        <f t="array" aca="1" ref="N62:AE62" ca="1">IF(OR(B62="",NOT($J$2)),"",GetStripDefaultProbability(A62,B62,Parameter_Date,CDSRollDate,E62:M62,SpreadCurveMaturities,D62,C62,$J$4,$J$6))</f>
        <v>0</v>
      </c>
      <c r="O62" s="165">
        <f ca="1"/>
        <v>4.9871509903820499E-4</v>
      </c>
      <c r="P62" s="165">
        <f ca="1"/>
        <v>1.1024967160709886E-3</v>
      </c>
      <c r="Q62" s="165">
        <f ca="1"/>
        <v>4.2622910490883736E-3</v>
      </c>
      <c r="R62" s="165">
        <f ca="1"/>
        <v>8.9716372069115202E-3</v>
      </c>
      <c r="S62" s="165">
        <f ca="1"/>
        <v>0</v>
      </c>
      <c r="T62" s="165">
        <f ca="1"/>
        <v>2.3679858241502205E-2</v>
      </c>
      <c r="U62" s="165">
        <f ca="1"/>
        <v>4.0362021652513125E-2</v>
      </c>
      <c r="V62" s="140">
        <f ca="1"/>
        <v>6.9779006520732323E-2</v>
      </c>
      <c r="W62" s="139">
        <f ca="1"/>
        <v>0</v>
      </c>
      <c r="X62" s="165">
        <f ca="1"/>
        <v>5.9842770240881027E-4</v>
      </c>
      <c r="Y62" s="165">
        <f ca="1"/>
        <v>1.268965760482299E-3</v>
      </c>
      <c r="Z62" s="165">
        <f ca="1"/>
        <v>4.6127239866569081E-3</v>
      </c>
      <c r="AA62" s="165">
        <f ca="1"/>
        <v>9.4871322080487541E-3</v>
      </c>
      <c r="AB62" s="165">
        <f ca="1"/>
        <v>0</v>
      </c>
      <c r="AC62" s="165">
        <f ca="1"/>
        <v>2.4832868023942134E-2</v>
      </c>
      <c r="AD62" s="165">
        <f ca="1"/>
        <v>4.2327488673809976E-2</v>
      </c>
      <c r="AE62" s="140">
        <f ca="1"/>
        <v>7.3140407909487393E-2</v>
      </c>
      <c r="AH62" s="137"/>
      <c r="AI62" s="137"/>
      <c r="AJ62" s="137"/>
      <c r="AK62" s="137"/>
      <c r="AM62" s="137"/>
      <c r="AN62" s="137"/>
      <c r="AO62" s="137"/>
      <c r="AQ62" s="137"/>
      <c r="AR62" s="137"/>
      <c r="AS62" s="137"/>
      <c r="AT62" s="137"/>
      <c r="AV62" s="137"/>
      <c r="AW62" s="137"/>
      <c r="AX62" s="137"/>
    </row>
    <row r="63" spans="1:50" s="79" customFormat="1" ht="10.199999999999999" x14ac:dyDescent="0.2">
      <c r="A63" s="97">
        <f t="shared" si="2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8">
        <v>1E-3</v>
      </c>
      <c r="G63" s="158">
        <v>1.1999999999999999E-3</v>
      </c>
      <c r="H63" s="158">
        <v>1.5E-3</v>
      </c>
      <c r="I63" s="158">
        <v>2.2000000000000001E-3</v>
      </c>
      <c r="J63" s="158" t="s">
        <v>87</v>
      </c>
      <c r="K63" s="158">
        <v>3.0000000000000001E-3</v>
      </c>
      <c r="L63" s="158">
        <v>3.5999999999999999E-3</v>
      </c>
      <c r="M63" s="158">
        <v>4.5999999999999999E-3</v>
      </c>
      <c r="N63" s="139" cm="1">
        <f t="array" aca="1" ref="N63:AE63" ca="1">IF(OR(B63="",NOT($J$2)),"",GetStripDefaultProbability(A63,B63,Parameter_Date,CDSRollDate,E63:M63,SpreadCurveMaturities,D63,C63,$J$4,$J$6))</f>
        <v>0</v>
      </c>
      <c r="O63" s="165">
        <f ca="1"/>
        <v>9.971822959833343E-4</v>
      </c>
      <c r="P63" s="165">
        <f ca="1"/>
        <v>2.2038907737101932E-3</v>
      </c>
      <c r="Q63" s="165">
        <f ca="1"/>
        <v>5.2871368503928373E-3</v>
      </c>
      <c r="R63" s="165">
        <f ca="1"/>
        <v>1.1571437956975017E-2</v>
      </c>
      <c r="S63" s="165">
        <f ca="1"/>
        <v>0</v>
      </c>
      <c r="T63" s="165">
        <f ca="1"/>
        <v>2.6085842314644503E-2</v>
      </c>
      <c r="U63" s="165">
        <f ca="1"/>
        <v>4.3698936168523383E-2</v>
      </c>
      <c r="V63" s="140">
        <f ca="1"/>
        <v>8.0225716436357786E-2</v>
      </c>
      <c r="W63" s="139">
        <f ca="1"/>
        <v>0</v>
      </c>
      <c r="X63" s="165">
        <f ca="1"/>
        <v>1.0968435312084246E-3</v>
      </c>
      <c r="Y63" s="165">
        <f ca="1"/>
        <v>2.370176267740165E-3</v>
      </c>
      <c r="Z63" s="165">
        <f ca="1"/>
        <v>5.637125329970849E-3</v>
      </c>
      <c r="AA63" s="165">
        <f ca="1"/>
        <v>1.2139620786700278E-2</v>
      </c>
      <c r="AB63" s="165">
        <f ca="1"/>
        <v>0</v>
      </c>
      <c r="AC63" s="165">
        <f ca="1"/>
        <v>2.7367018763382767E-2</v>
      </c>
      <c r="AD63" s="165">
        <f ca="1"/>
        <v>4.5834973344604069E-2</v>
      </c>
      <c r="AE63" s="140">
        <f ca="1"/>
        <v>8.4084635296376109E-2</v>
      </c>
      <c r="AH63" s="137"/>
      <c r="AI63" s="137"/>
      <c r="AJ63" s="137"/>
      <c r="AK63" s="137"/>
      <c r="AM63" s="137"/>
      <c r="AN63" s="137"/>
      <c r="AO63" s="137"/>
      <c r="AQ63" s="137"/>
      <c r="AR63" s="137"/>
      <c r="AS63" s="137"/>
      <c r="AT63" s="137"/>
      <c r="AV63" s="137"/>
      <c r="AW63" s="137"/>
      <c r="AX63" s="137"/>
    </row>
    <row r="64" spans="1:50" s="79" customFormat="1" ht="10.199999999999999" x14ac:dyDescent="0.2">
      <c r="A64" s="97">
        <f t="shared" si="2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8">
        <v>2.9999999999999997E-4</v>
      </c>
      <c r="G64" s="158">
        <v>5.0000000000000001E-4</v>
      </c>
      <c r="H64" s="158">
        <v>1E-3</v>
      </c>
      <c r="I64" s="158">
        <v>1.5E-3</v>
      </c>
      <c r="J64" s="158" t="s">
        <v>87</v>
      </c>
      <c r="K64" s="158">
        <v>2.3E-3</v>
      </c>
      <c r="L64" s="158">
        <v>2.8999999999999998E-3</v>
      </c>
      <c r="M64" s="158">
        <v>3.3999999999999998E-3</v>
      </c>
      <c r="N64" s="139" cm="1">
        <f t="array" aca="1" ref="N64:AE64" ca="1">IF(OR(B64="",NOT($J$2)),"",GetStripDefaultProbability(A64,B64,Parameter_Date,CDSRollDate,E64:M64,SpreadCurveMaturities,D64,C64,$J$4,$J$6))</f>
        <v>0</v>
      </c>
      <c r="O64" s="165">
        <f ca="1"/>
        <v>2.9925881803194443E-4</v>
      </c>
      <c r="P64" s="165">
        <f ca="1"/>
        <v>9.2178322277725044E-4</v>
      </c>
      <c r="Q64" s="165">
        <f ca="1"/>
        <v>3.5558217736527675E-3</v>
      </c>
      <c r="R64" s="165">
        <f ca="1"/>
        <v>7.9344323459572541E-3</v>
      </c>
      <c r="S64" s="165">
        <f ca="1"/>
        <v>0</v>
      </c>
      <c r="T64" s="165">
        <f ca="1"/>
        <v>2.0183579069150914E-2</v>
      </c>
      <c r="U64" s="165">
        <f ca="1"/>
        <v>3.5612813633425056E-2</v>
      </c>
      <c r="V64" s="140">
        <f ca="1"/>
        <v>5.9355167636921724E-2</v>
      </c>
      <c r="W64" s="139">
        <f ca="1"/>
        <v>0</v>
      </c>
      <c r="X64" s="165">
        <f ca="1"/>
        <v>3.9899165370427259E-4</v>
      </c>
      <c r="Y64" s="165">
        <f ca="1"/>
        <v>1.0882823835930422E-3</v>
      </c>
      <c r="Z64" s="165">
        <f ca="1"/>
        <v>3.9064863322305632E-3</v>
      </c>
      <c r="AA64" s="165">
        <f ca="1"/>
        <v>8.4504496880790647E-3</v>
      </c>
      <c r="AB64" s="165">
        <f ca="1"/>
        <v>0</v>
      </c>
      <c r="AC64" s="165">
        <f ca="1"/>
        <v>2.1159113798738138E-2</v>
      </c>
      <c r="AD64" s="165">
        <f ca="1"/>
        <v>3.7342445790182199E-2</v>
      </c>
      <c r="AE64" s="140">
        <f ca="1"/>
        <v>6.2219396997119869E-2</v>
      </c>
      <c r="AH64" s="137"/>
      <c r="AI64" s="137"/>
      <c r="AJ64" s="137"/>
      <c r="AK64" s="137"/>
      <c r="AM64" s="137"/>
      <c r="AN64" s="137"/>
      <c r="AO64" s="137"/>
      <c r="AQ64" s="137"/>
      <c r="AR64" s="137"/>
      <c r="AS64" s="137"/>
      <c r="AT64" s="137"/>
      <c r="AV64" s="137"/>
      <c r="AW64" s="137"/>
      <c r="AX64" s="137"/>
    </row>
    <row r="65" spans="1:50" s="79" customFormat="1" ht="10.199999999999999" x14ac:dyDescent="0.2">
      <c r="A65" s="97">
        <f t="shared" si="2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8">
        <v>2.9999999999999997E-4</v>
      </c>
      <c r="G65" s="158">
        <v>5.0000000000000001E-4</v>
      </c>
      <c r="H65" s="158">
        <v>1E-3</v>
      </c>
      <c r="I65" s="158">
        <v>1.2999999999999999E-3</v>
      </c>
      <c r="J65" s="158" t="s">
        <v>87</v>
      </c>
      <c r="K65" s="158">
        <v>2E-3</v>
      </c>
      <c r="L65" s="158">
        <v>2.3999999999999998E-3</v>
      </c>
      <c r="M65" s="158">
        <v>2.8999999999999998E-3</v>
      </c>
      <c r="N65" s="139" cm="1">
        <f t="array" aca="1" ref="N65:AE65" ca="1">IF(OR(B65="",NOT($J$2)),"",GetStripDefaultProbability(A65,B65,Parameter_Date,CDSRollDate,E65:M65,SpreadCurveMaturities,D65,C65,$J$4,$J$6))</f>
        <v>0</v>
      </c>
      <c r="O65" s="165">
        <f ca="1"/>
        <v>2.9925881803194443E-4</v>
      </c>
      <c r="P65" s="165">
        <f ca="1"/>
        <v>9.2178322277725044E-4</v>
      </c>
      <c r="Q65" s="165">
        <f ca="1"/>
        <v>3.5558217736527675E-3</v>
      </c>
      <c r="R65" s="165">
        <f ca="1"/>
        <v>6.851671618952504E-3</v>
      </c>
      <c r="S65" s="165">
        <f ca="1"/>
        <v>0</v>
      </c>
      <c r="T65" s="165">
        <f ca="1"/>
        <v>1.754137314751425E-2</v>
      </c>
      <c r="U65" s="165">
        <f ca="1"/>
        <v>2.9389491700076764E-2</v>
      </c>
      <c r="V65" s="140">
        <f ca="1"/>
        <v>5.08503046809341E-2</v>
      </c>
      <c r="W65" s="139">
        <f ca="1"/>
        <v>0</v>
      </c>
      <c r="X65" s="165">
        <f ca="1"/>
        <v>3.9899165370427259E-4</v>
      </c>
      <c r="Y65" s="165">
        <f ca="1"/>
        <v>1.0882823835930422E-3</v>
      </c>
      <c r="Z65" s="165">
        <f ca="1"/>
        <v>3.9064863322305632E-3</v>
      </c>
      <c r="AA65" s="165">
        <f ca="1"/>
        <v>7.3680823590847044E-3</v>
      </c>
      <c r="AB65" s="165">
        <f ca="1"/>
        <v>0</v>
      </c>
      <c r="AC65" s="165">
        <f ca="1"/>
        <v>1.8383199816910722E-2</v>
      </c>
      <c r="AD65" s="165">
        <f ca="1"/>
        <v>3.0812202838016445E-2</v>
      </c>
      <c r="AE65" s="140">
        <f ca="1"/>
        <v>5.3306353551216157E-2</v>
      </c>
      <c r="AH65" s="137"/>
      <c r="AI65" s="137"/>
      <c r="AJ65" s="137"/>
      <c r="AK65" s="137"/>
      <c r="AM65" s="137"/>
      <c r="AN65" s="137"/>
      <c r="AO65" s="137"/>
      <c r="AQ65" s="137"/>
      <c r="AR65" s="137"/>
      <c r="AS65" s="137"/>
      <c r="AT65" s="137"/>
      <c r="AV65" s="137"/>
      <c r="AW65" s="137"/>
      <c r="AX65" s="137"/>
    </row>
    <row r="66" spans="1:50" s="79" customFormat="1" ht="10.199999999999999" x14ac:dyDescent="0.2">
      <c r="A66" s="97">
        <f t="shared" si="2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8">
        <v>2.0000000000000001E-4</v>
      </c>
      <c r="G66" s="158">
        <v>5.0000000000000001E-4</v>
      </c>
      <c r="H66" s="158">
        <v>1.1000000000000001E-3</v>
      </c>
      <c r="I66" s="158">
        <v>1.4E-3</v>
      </c>
      <c r="J66" s="158" t="s">
        <v>87</v>
      </c>
      <c r="K66" s="158">
        <v>2.0999999999999999E-3</v>
      </c>
      <c r="L66" s="158">
        <v>2.5000000000000001E-3</v>
      </c>
      <c r="M66" s="158">
        <v>3.0000000000000001E-3</v>
      </c>
      <c r="N66" s="139" cm="1">
        <f t="array" aca="1" ref="N66:AE66" ca="1">IF(OR(B66="",NOT($J$2)),"",GetStripDefaultProbability(A66,B66,Parameter_Date,CDSRollDate,E66:M66,SpreadCurveMaturities,D66,C66,$J$4,$J$6))</f>
        <v>0</v>
      </c>
      <c r="O66" s="165">
        <f ca="1"/>
        <v>1.9951579971833056E-4</v>
      </c>
      <c r="P66" s="165">
        <f ca="1"/>
        <v>9.2432003674991492E-4</v>
      </c>
      <c r="Q66" s="165">
        <f ca="1"/>
        <v>3.9174467709756078E-3</v>
      </c>
      <c r="R66" s="165">
        <f ca="1"/>
        <v>7.379151354442115E-3</v>
      </c>
      <c r="S66" s="165">
        <f ca="1"/>
        <v>0</v>
      </c>
      <c r="T66" s="165">
        <f ca="1"/>
        <v>1.8395386969025207E-2</v>
      </c>
      <c r="U66" s="165">
        <f ca="1"/>
        <v>3.0561425622051663E-2</v>
      </c>
      <c r="V66" s="140">
        <f ca="1"/>
        <v>5.2481245426792444E-2</v>
      </c>
      <c r="W66" s="139">
        <f ca="1"/>
        <v>0</v>
      </c>
      <c r="X66" s="165">
        <f ca="1"/>
        <v>2.9925868592750593E-4</v>
      </c>
      <c r="Y66" s="165">
        <f ca="1"/>
        <v>1.0908187747958875E-3</v>
      </c>
      <c r="Z66" s="165">
        <f ca="1"/>
        <v>4.2680222000213153E-3</v>
      </c>
      <c r="AA66" s="165">
        <f ca="1"/>
        <v>7.8953294459112033E-3</v>
      </c>
      <c r="AB66" s="165">
        <f ca="1"/>
        <v>0</v>
      </c>
      <c r="AC66" s="165">
        <f ca="1"/>
        <v>1.9281775468025786E-2</v>
      </c>
      <c r="AD66" s="165">
        <f ca="1"/>
        <v>3.2043698533104736E-2</v>
      </c>
      <c r="AE66" s="140">
        <f ca="1"/>
        <v>5.5017284212525608E-2</v>
      </c>
      <c r="AH66" s="137"/>
      <c r="AI66" s="137"/>
      <c r="AJ66" s="137"/>
      <c r="AK66" s="137"/>
      <c r="AM66" s="137"/>
      <c r="AN66" s="137"/>
      <c r="AO66" s="137"/>
      <c r="AQ66" s="137"/>
      <c r="AR66" s="137"/>
      <c r="AS66" s="137"/>
      <c r="AT66" s="137"/>
      <c r="AV66" s="137"/>
      <c r="AW66" s="137"/>
      <c r="AX66" s="137"/>
    </row>
    <row r="67" spans="1:50" s="79" customFormat="1" ht="10.199999999999999" x14ac:dyDescent="0.2">
      <c r="A67" s="97">
        <f t="shared" si="2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8">
        <v>8.5999999999999998E-4</v>
      </c>
      <c r="G67" s="158">
        <v>1.2999999999999999E-3</v>
      </c>
      <c r="H67" s="158">
        <v>1.98E-3</v>
      </c>
      <c r="I67" s="158">
        <v>2.4099999999999998E-3</v>
      </c>
      <c r="J67" s="158" t="s">
        <v>87</v>
      </c>
      <c r="K67" s="158">
        <v>3.0999999999999999E-3</v>
      </c>
      <c r="L67" s="158">
        <v>3.5400000000000002E-3</v>
      </c>
      <c r="M67" s="158">
        <v>4.0000000000000001E-3</v>
      </c>
      <c r="N67" s="139" cm="1">
        <f t="array" aca="1" ref="N67:AE67" ca="1">IF(OR(B67="",NOT($J$2)),"",GetStripDefaultProbability(A67,B67,Parameter_Date,CDSRollDate,E67:M67,SpreadCurveMaturities,D67,C67,$J$4,$J$6))</f>
        <v>0</v>
      </c>
      <c r="O67" s="165">
        <f ca="1"/>
        <v>8.5763645870484684E-4</v>
      </c>
      <c r="P67" s="165">
        <f ca="1"/>
        <v>2.3931749137312552E-3</v>
      </c>
      <c r="Q67" s="165">
        <f ca="1"/>
        <v>7.0046571544939429E-3</v>
      </c>
      <c r="R67" s="165">
        <f ca="1"/>
        <v>1.2620444342095416E-2</v>
      </c>
      <c r="S67" s="165">
        <f ca="1"/>
        <v>0</v>
      </c>
      <c r="T67" s="165">
        <f ca="1"/>
        <v>2.6817637330629251E-2</v>
      </c>
      <c r="U67" s="165">
        <f ca="1"/>
        <v>4.2648694607159476E-2</v>
      </c>
      <c r="V67" s="140">
        <f ca="1"/>
        <v>6.8488166388428362E-2</v>
      </c>
      <c r="W67" s="139">
        <f ca="1"/>
        <v>0</v>
      </c>
      <c r="X67" s="165">
        <f ca="1"/>
        <v>9.5731219259642675E-4</v>
      </c>
      <c r="Y67" s="165">
        <f ca="1"/>
        <v>2.55942886302718E-3</v>
      </c>
      <c r="Z67" s="165">
        <f ca="1"/>
        <v>7.3541575774486168E-3</v>
      </c>
      <c r="AA67" s="165">
        <f ca="1"/>
        <v>1.3244595853465269E-2</v>
      </c>
      <c r="AB67" s="165">
        <f ca="1"/>
        <v>0</v>
      </c>
      <c r="AC67" s="165">
        <f ca="1"/>
        <v>2.8138253386244205E-2</v>
      </c>
      <c r="AD67" s="165">
        <f ca="1"/>
        <v>4.4736721821139525E-2</v>
      </c>
      <c r="AE67" s="140">
        <f ca="1"/>
        <v>7.1797519364393603E-2</v>
      </c>
      <c r="AH67" s="137"/>
      <c r="AI67" s="137"/>
      <c r="AJ67" s="137"/>
      <c r="AK67" s="137"/>
      <c r="AM67" s="137"/>
      <c r="AN67" s="137"/>
      <c r="AO67" s="137"/>
      <c r="AQ67" s="137"/>
      <c r="AR67" s="137"/>
      <c r="AS67" s="137"/>
      <c r="AT67" s="137"/>
      <c r="AV67" s="137"/>
      <c r="AW67" s="137"/>
      <c r="AX67" s="137"/>
    </row>
    <row r="68" spans="1:50" s="79" customFormat="1" ht="10.199999999999999" x14ac:dyDescent="0.2">
      <c r="A68" s="97">
        <f t="shared" si="2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8">
        <v>1E-3</v>
      </c>
      <c r="G68" s="158">
        <v>1.8E-3</v>
      </c>
      <c r="H68" s="158">
        <v>2.5000000000000001E-3</v>
      </c>
      <c r="I68" s="158">
        <v>3.7000000000000002E-3</v>
      </c>
      <c r="J68" s="158" t="s">
        <v>87</v>
      </c>
      <c r="K68" s="158">
        <v>5.4999999999999997E-3</v>
      </c>
      <c r="L68" s="158">
        <v>6.8999999999999999E-3</v>
      </c>
      <c r="M68" s="158">
        <v>8.3000000000000001E-3</v>
      </c>
      <c r="N68" s="139" cm="1">
        <f t="array" aca="1" ref="N68:AE68" ca="1">IF(OR(B68="",NOT($J$2)),"",GetStripDefaultProbability(A68,B68,Parameter_Date,CDSRollDate,E68:M68,SpreadCurveMaturities,D68,C68,$J$4,$J$6))</f>
        <v>0</v>
      </c>
      <c r="O68" s="165">
        <f ca="1"/>
        <v>9.971822959833343E-4</v>
      </c>
      <c r="P68" s="165">
        <f ca="1"/>
        <v>3.3174511498266224E-3</v>
      </c>
      <c r="Q68" s="165">
        <f ca="1"/>
        <v>8.8297203483913567E-3</v>
      </c>
      <c r="R68" s="165">
        <f ca="1"/>
        <v>1.9443038369710619E-2</v>
      </c>
      <c r="S68" s="165">
        <f ca="1"/>
        <v>0</v>
      </c>
      <c r="T68" s="165">
        <f ca="1"/>
        <v>4.7678955351038277E-2</v>
      </c>
      <c r="U68" s="165">
        <f ca="1"/>
        <v>8.3109347003913148E-2</v>
      </c>
      <c r="V68" s="140">
        <f ca="1"/>
        <v>0.14063501871595874</v>
      </c>
      <c r="W68" s="139">
        <f ca="1"/>
        <v>0</v>
      </c>
      <c r="X68" s="165">
        <f ca="1"/>
        <v>1.0968435312084246E-3</v>
      </c>
      <c r="Y68" s="165">
        <f ca="1"/>
        <v>3.4835510659203539E-3</v>
      </c>
      <c r="Z68" s="165">
        <f ca="1"/>
        <v>9.2680174627591816E-3</v>
      </c>
      <c r="AA68" s="165">
        <f ca="1"/>
        <v>2.0406174366967345E-2</v>
      </c>
      <c r="AB68" s="165">
        <f ca="1"/>
        <v>0</v>
      </c>
      <c r="AC68" s="165">
        <f ca="1"/>
        <v>5.0010811389160637E-2</v>
      </c>
      <c r="AD68" s="165">
        <f ca="1"/>
        <v>8.7118061967069838E-2</v>
      </c>
      <c r="AE68" s="140">
        <f ca="1"/>
        <v>0.14726800890869884</v>
      </c>
      <c r="AH68" s="137"/>
      <c r="AI68" s="137"/>
      <c r="AJ68" s="137"/>
      <c r="AK68" s="137"/>
      <c r="AM68" s="137"/>
      <c r="AN68" s="137"/>
      <c r="AO68" s="137"/>
      <c r="AQ68" s="137"/>
      <c r="AR68" s="137"/>
      <c r="AS68" s="137"/>
      <c r="AT68" s="137"/>
      <c r="AV68" s="137"/>
      <c r="AW68" s="137"/>
      <c r="AX68" s="137"/>
    </row>
    <row r="69" spans="1:50" s="79" customFormat="1" ht="10.199999999999999" x14ac:dyDescent="0.2">
      <c r="A69" s="97">
        <f t="shared" si="2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8">
        <v>1.6999999999999999E-3</v>
      </c>
      <c r="G69" s="158">
        <v>2.0999999999999999E-3</v>
      </c>
      <c r="H69" s="158">
        <v>2.8999999999999998E-3</v>
      </c>
      <c r="I69" s="158">
        <v>4.4000000000000003E-3</v>
      </c>
      <c r="J69" s="158" t="s">
        <v>87</v>
      </c>
      <c r="K69" s="158">
        <v>6.0000000000000001E-3</v>
      </c>
      <c r="L69" s="158">
        <v>7.4999999999999997E-3</v>
      </c>
      <c r="M69" s="158">
        <v>9.1999999999999998E-3</v>
      </c>
      <c r="N69" s="139" cm="1">
        <f t="array" aca="1" ref="N69:AE69" ca="1">IF(OR(B69="",NOT($J$2)),"",GetStripDefaultProbability(A69,B69,Parameter_Date,CDSRollDate,E69:M69,SpreadCurveMaturities,D69,C69,$J$4,$J$6))</f>
        <v>0</v>
      </c>
      <c r="O69" s="165">
        <f ca="1"/>
        <v>1.6946202479714012E-3</v>
      </c>
      <c r="P69" s="165">
        <f ca="1"/>
        <v>3.8552568837845191E-3</v>
      </c>
      <c r="Q69" s="165">
        <f ca="1"/>
        <v>1.0221077653120303E-2</v>
      </c>
      <c r="R69" s="165">
        <f ca="1"/>
        <v>2.3092891270613425E-2</v>
      </c>
      <c r="S69" s="165">
        <f ca="1"/>
        <v>0</v>
      </c>
      <c r="T69" s="165">
        <f ca="1"/>
        <v>5.1712935526280646E-2</v>
      </c>
      <c r="U69" s="165">
        <f ca="1"/>
        <v>8.9842387205477547E-2</v>
      </c>
      <c r="V69" s="140">
        <f ca="1"/>
        <v>0.15518462990407955</v>
      </c>
      <c r="W69" s="139">
        <f ca="1"/>
        <v>0</v>
      </c>
      <c r="X69" s="165">
        <f ca="1"/>
        <v>1.7942075854907591E-3</v>
      </c>
      <c r="Y69" s="165">
        <f ca="1"/>
        <v>4.047257860084752E-3</v>
      </c>
      <c r="Z69" s="165">
        <f ca="1"/>
        <v>1.0729268745360288E-2</v>
      </c>
      <c r="AA69" s="165">
        <f ca="1"/>
        <v>2.4236427413830031E-2</v>
      </c>
      <c r="AB69" s="165">
        <f ca="1"/>
        <v>0</v>
      </c>
      <c r="AC69" s="165">
        <f ca="1"/>
        <v>5.4237312275597138E-2</v>
      </c>
      <c r="AD69" s="165">
        <f ca="1"/>
        <v>9.4160560541462046E-2</v>
      </c>
      <c r="AE69" s="140">
        <f ca="1"/>
        <v>0.16246078249213936</v>
      </c>
      <c r="AH69" s="137"/>
      <c r="AI69" s="137"/>
      <c r="AJ69" s="137"/>
      <c r="AK69" s="137"/>
      <c r="AM69" s="137"/>
      <c r="AN69" s="137"/>
      <c r="AO69" s="137"/>
      <c r="AQ69" s="137"/>
      <c r="AR69" s="137"/>
      <c r="AS69" s="137"/>
      <c r="AT69" s="137"/>
      <c r="AV69" s="137"/>
      <c r="AW69" s="137"/>
      <c r="AX69" s="137"/>
    </row>
    <row r="70" spans="1:50" s="79" customFormat="1" ht="10.199999999999999" x14ac:dyDescent="0.2">
      <c r="A70" s="97">
        <f t="shared" si="2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8">
        <v>4.0000000000000002E-4</v>
      </c>
      <c r="G70" s="158">
        <v>8.9999999999999998E-4</v>
      </c>
      <c r="H70" s="158">
        <v>1.5E-3</v>
      </c>
      <c r="I70" s="158">
        <v>2.2000000000000001E-3</v>
      </c>
      <c r="J70" s="158" t="s">
        <v>87</v>
      </c>
      <c r="K70" s="158">
        <v>3.5000000000000001E-3</v>
      </c>
      <c r="L70" s="158">
        <v>4.4999999999999997E-3</v>
      </c>
      <c r="M70" s="158">
        <v>5.5999999999999999E-3</v>
      </c>
      <c r="N70" s="139" cm="1">
        <f t="array" aca="1" ref="N70:AE70" ca="1">IF(OR(B70="",NOT($J$2)),"",GetStripDefaultProbability(A70,B70,Parameter_Date,CDSRollDate,E70:M70,SpreadCurveMaturities,D70,C70,$J$4,$J$6))</f>
        <v>0</v>
      </c>
      <c r="O70" s="165">
        <f ca="1"/>
        <v>3.9899191733294703E-4</v>
      </c>
      <c r="P70" s="165">
        <f ca="1"/>
        <v>1.6623360744073556E-3</v>
      </c>
      <c r="Q70" s="165">
        <f ca="1"/>
        <v>5.3221119522591787E-3</v>
      </c>
      <c r="R70" s="165">
        <f ca="1"/>
        <v>1.1607175088145016E-2</v>
      </c>
      <c r="S70" s="165">
        <f ca="1"/>
        <v>0</v>
      </c>
      <c r="T70" s="165">
        <f ca="1"/>
        <v>3.0632245489737198E-2</v>
      </c>
      <c r="U70" s="165">
        <f ca="1"/>
        <v>5.4999872080778167E-2</v>
      </c>
      <c r="V70" s="140">
        <f ca="1"/>
        <v>9.7266074624475785E-2</v>
      </c>
      <c r="W70" s="139">
        <f ca="1"/>
        <v>0</v>
      </c>
      <c r="X70" s="165">
        <f ca="1"/>
        <v>4.9871465885786836E-4</v>
      </c>
      <c r="Y70" s="165">
        <f ca="1"/>
        <v>1.828711820033968E-3</v>
      </c>
      <c r="Z70" s="165">
        <f ca="1"/>
        <v>5.6722039406594815E-3</v>
      </c>
      <c r="AA70" s="165">
        <f ca="1"/>
        <v>1.2175482230677437E-2</v>
      </c>
      <c r="AB70" s="165">
        <f ca="1"/>
        <v>0</v>
      </c>
      <c r="AC70" s="165">
        <f ca="1"/>
        <v>3.2133887827696328E-2</v>
      </c>
      <c r="AD70" s="165">
        <f ca="1"/>
        <v>5.7678657148907075E-2</v>
      </c>
      <c r="AE70" s="140">
        <f ca="1"/>
        <v>0.10193863085848243</v>
      </c>
      <c r="AH70" s="137"/>
      <c r="AI70" s="137"/>
      <c r="AJ70" s="137"/>
      <c r="AK70" s="137"/>
      <c r="AM70" s="137"/>
      <c r="AN70" s="137"/>
      <c r="AO70" s="137"/>
      <c r="AQ70" s="137"/>
      <c r="AR70" s="137"/>
      <c r="AS70" s="137"/>
      <c r="AT70" s="137"/>
      <c r="AV70" s="137"/>
      <c r="AW70" s="137"/>
      <c r="AX70" s="137"/>
    </row>
    <row r="71" spans="1:50" s="79" customFormat="1" ht="10.199999999999999" x14ac:dyDescent="0.2">
      <c r="A71" s="97">
        <f t="shared" si="2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8">
        <v>1.15E-3</v>
      </c>
      <c r="G71" s="158">
        <v>1.4400000000000001E-3</v>
      </c>
      <c r="H71" s="158">
        <v>2.0100000000000001E-3</v>
      </c>
      <c r="I71" s="158">
        <v>2.3600000000000001E-3</v>
      </c>
      <c r="J71" s="158" t="s">
        <v>87</v>
      </c>
      <c r="K71" s="158">
        <v>3.0000000000000001E-3</v>
      </c>
      <c r="L71" s="158">
        <v>3.4299999999999999E-3</v>
      </c>
      <c r="M71" s="158">
        <v>3.8999999999999998E-3</v>
      </c>
      <c r="N71" s="139" cm="1">
        <f t="array" aca="1" ref="N71:AE71" ca="1">IF(OR(B71="",NOT($J$2)),"",GetStripDefaultProbability(A71,B71,Parameter_Date,CDSRollDate,E71:M71,SpreadCurveMaturities,D71,C71,$J$4,$J$6))</f>
        <v>0</v>
      </c>
      <c r="O71" s="165">
        <f ca="1"/>
        <v>1.1466741417979209E-3</v>
      </c>
      <c r="P71" s="165">
        <f ca="1"/>
        <v>2.6454503292728804E-3</v>
      </c>
      <c r="Q71" s="165">
        <f ca="1"/>
        <v>7.0952547336639027E-3</v>
      </c>
      <c r="R71" s="165">
        <f ca="1"/>
        <v>1.2328465896499607E-2</v>
      </c>
      <c r="S71" s="165">
        <f ca="1"/>
        <v>0</v>
      </c>
      <c r="T71" s="165">
        <f ca="1"/>
        <v>2.5913296695756149E-2</v>
      </c>
      <c r="U71" s="165">
        <f ca="1"/>
        <v>4.1302471489759518E-2</v>
      </c>
      <c r="V71" s="140">
        <f ca="1"/>
        <v>6.684530151250212E-2</v>
      </c>
      <c r="W71" s="139">
        <f ca="1"/>
        <v>0</v>
      </c>
      <c r="X71" s="165">
        <f ca="1"/>
        <v>1.2463197407124316E-3</v>
      </c>
      <c r="Y71" s="165">
        <f ca="1"/>
        <v>2.8116622361814558E-3</v>
      </c>
      <c r="Z71" s="165">
        <f ca="1"/>
        <v>7.4464681242571995E-3</v>
      </c>
      <c r="AA71" s="165">
        <f ca="1"/>
        <v>1.2939077625662265E-2</v>
      </c>
      <c r="AB71" s="165">
        <f ca="1"/>
        <v>0</v>
      </c>
      <c r="AC71" s="165">
        <f ca="1"/>
        <v>2.7190625948297242E-2</v>
      </c>
      <c r="AD71" s="165">
        <f ca="1"/>
        <v>4.3326506960837063E-2</v>
      </c>
      <c r="AE71" s="140">
        <f ca="1"/>
        <v>7.0078858374514996E-2</v>
      </c>
      <c r="AH71" s="137"/>
      <c r="AI71" s="137"/>
      <c r="AJ71" s="137"/>
      <c r="AK71" s="137"/>
      <c r="AM71" s="137"/>
      <c r="AN71" s="137"/>
      <c r="AO71" s="137"/>
      <c r="AQ71" s="137"/>
      <c r="AR71" s="137"/>
      <c r="AS71" s="137"/>
      <c r="AT71" s="137"/>
      <c r="AV71" s="137"/>
      <c r="AW71" s="137"/>
      <c r="AX71" s="137"/>
    </row>
    <row r="72" spans="1:50" s="79" customFormat="1" ht="10.199999999999999" x14ac:dyDescent="0.2">
      <c r="A72" s="97">
        <f t="shared" si="2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8">
        <v>6.9999999999999999E-4</v>
      </c>
      <c r="G72" s="158">
        <v>1.1999999999999999E-3</v>
      </c>
      <c r="H72" s="158">
        <v>2.3999999999999998E-3</v>
      </c>
      <c r="I72" s="158">
        <v>3.2000000000000002E-3</v>
      </c>
      <c r="J72" s="158" t="s">
        <v>87</v>
      </c>
      <c r="K72" s="158">
        <v>4.7000000000000002E-3</v>
      </c>
      <c r="L72" s="158">
        <v>5.5999999999999999E-3</v>
      </c>
      <c r="M72" s="158">
        <v>7.1000000000000004E-3</v>
      </c>
      <c r="N72" s="139" cm="1">
        <f t="array" aca="1" ref="N72:AE72" ca="1">IF(OR(B72="",NOT($J$2)),"",GetStripDefaultProbability(A72,B72,Parameter_Date,CDSRollDate,E72:M72,SpreadCurveMaturities,D72,C72,$J$4,$J$6))</f>
        <v>0</v>
      </c>
      <c r="O72" s="165">
        <f ca="1"/>
        <v>6.9813171573551713E-4</v>
      </c>
      <c r="P72" s="165">
        <f ca="1"/>
        <v>2.2116895369905798E-3</v>
      </c>
      <c r="Q72" s="165">
        <f ca="1"/>
        <v>8.5197046896376971E-3</v>
      </c>
      <c r="R72" s="165">
        <f ca="1"/>
        <v>1.6818134565349419E-2</v>
      </c>
      <c r="S72" s="165">
        <f ca="1"/>
        <v>0</v>
      </c>
      <c r="T72" s="165">
        <f ca="1"/>
        <v>4.0809029712938871E-2</v>
      </c>
      <c r="U72" s="165">
        <f ca="1"/>
        <v>6.7470813174958177E-2</v>
      </c>
      <c r="V72" s="140">
        <f ca="1"/>
        <v>0.1218061749518462</v>
      </c>
      <c r="W72" s="139">
        <f ca="1"/>
        <v>0</v>
      </c>
      <c r="X72" s="165">
        <f ca="1"/>
        <v>7.97823908687878E-4</v>
      </c>
      <c r="Y72" s="165">
        <f ca="1"/>
        <v>2.3779737313383009E-3</v>
      </c>
      <c r="Z72" s="165">
        <f ca="1"/>
        <v>8.9403725410799328E-3</v>
      </c>
      <c r="AA72" s="165">
        <f ca="1"/>
        <v>1.7649484961499207E-2</v>
      </c>
      <c r="AB72" s="165">
        <f ca="1"/>
        <v>0</v>
      </c>
      <c r="AC72" s="165">
        <f ca="1"/>
        <v>4.2808372182833287E-2</v>
      </c>
      <c r="AD72" s="165">
        <f ca="1"/>
        <v>7.0742850813124147E-2</v>
      </c>
      <c r="AE72" s="140">
        <f ca="1"/>
        <v>0.12760249172111437</v>
      </c>
      <c r="AH72" s="137"/>
      <c r="AI72" s="137"/>
      <c r="AJ72" s="137"/>
      <c r="AK72" s="137"/>
      <c r="AM72" s="137"/>
      <c r="AN72" s="137"/>
      <c r="AO72" s="137"/>
      <c r="AQ72" s="137"/>
      <c r="AR72" s="137"/>
      <c r="AS72" s="137"/>
      <c r="AT72" s="137"/>
      <c r="AV72" s="137"/>
      <c r="AW72" s="137"/>
      <c r="AX72" s="137"/>
    </row>
    <row r="73" spans="1:50" s="79" customFormat="1" ht="10.199999999999999" x14ac:dyDescent="0.2">
      <c r="A73" s="97">
        <f t="shared" si="2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8">
        <v>4.0000000000000002E-4</v>
      </c>
      <c r="G73" s="158">
        <v>5.9999999999999995E-4</v>
      </c>
      <c r="H73" s="158">
        <v>1.1000000000000001E-3</v>
      </c>
      <c r="I73" s="158">
        <v>1.4E-3</v>
      </c>
      <c r="J73" s="158" t="s">
        <v>87</v>
      </c>
      <c r="K73" s="158">
        <v>2.3999999999999998E-3</v>
      </c>
      <c r="L73" s="158">
        <v>3.2000000000000002E-3</v>
      </c>
      <c r="M73" s="158">
        <v>4.1000000000000003E-3</v>
      </c>
      <c r="N73" s="139" cm="1">
        <f t="array" aca="1" ref="N73:AE73" ca="1">IF(OR(B73="",NOT($J$2)),"",GetStripDefaultProbability(A73,B73,Parameter_Date,CDSRollDate,E73:M73,SpreadCurveMaturities,D73,C73,$J$4,$J$6))</f>
        <v>0</v>
      </c>
      <c r="O73" s="165">
        <f ca="1"/>
        <v>3.9899191733294703E-4</v>
      </c>
      <c r="P73" s="165">
        <f ca="1"/>
        <v>1.1050422662570725E-3</v>
      </c>
      <c r="Q73" s="165">
        <f ca="1"/>
        <v>3.9059442282841639E-3</v>
      </c>
      <c r="R73" s="165">
        <f ca="1"/>
        <v>7.367549383478833E-3</v>
      </c>
      <c r="S73" s="165">
        <f ca="1"/>
        <v>0</v>
      </c>
      <c r="T73" s="165">
        <f ca="1"/>
        <v>2.1102578673684591E-2</v>
      </c>
      <c r="U73" s="165">
        <f ca="1"/>
        <v>3.9472286722740391E-2</v>
      </c>
      <c r="V73" s="140">
        <f ca="1"/>
        <v>7.2323261073786949E-2</v>
      </c>
      <c r="W73" s="139">
        <f ca="1"/>
        <v>0</v>
      </c>
      <c r="X73" s="165">
        <f ca="1"/>
        <v>4.9871465885786836E-4</v>
      </c>
      <c r="Y73" s="165">
        <f ca="1"/>
        <v>1.2715108864457259E-3</v>
      </c>
      <c r="Z73" s="165">
        <f ca="1"/>
        <v>4.2564843066109637E-3</v>
      </c>
      <c r="AA73" s="165">
        <f ca="1"/>
        <v>7.8836899302602292E-3</v>
      </c>
      <c r="AB73" s="165">
        <f ca="1"/>
        <v>0</v>
      </c>
      <c r="AC73" s="165">
        <f ca="1"/>
        <v>2.2122530638855609E-2</v>
      </c>
      <c r="AD73" s="165">
        <f ca="1"/>
        <v>4.1389047160634851E-2</v>
      </c>
      <c r="AE73" s="140">
        <f ca="1"/>
        <v>7.580096214437837E-2</v>
      </c>
      <c r="AH73" s="137"/>
      <c r="AI73" s="137"/>
      <c r="AJ73" s="137"/>
      <c r="AK73" s="137"/>
      <c r="AM73" s="137"/>
      <c r="AN73" s="137"/>
      <c r="AO73" s="137"/>
      <c r="AQ73" s="137"/>
      <c r="AR73" s="137"/>
      <c r="AS73" s="137"/>
      <c r="AT73" s="137"/>
      <c r="AV73" s="137"/>
      <c r="AW73" s="137"/>
      <c r="AX73" s="137"/>
    </row>
    <row r="74" spans="1:50" s="79" customFormat="1" ht="10.199999999999999" x14ac:dyDescent="0.2">
      <c r="A74" s="97">
        <f t="shared" si="2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8">
        <v>5.9999999999999995E-4</v>
      </c>
      <c r="G74" s="158">
        <v>1.1000000000000001E-3</v>
      </c>
      <c r="H74" s="158">
        <v>2E-3</v>
      </c>
      <c r="I74" s="158">
        <v>2.5999999999999999E-3</v>
      </c>
      <c r="J74" s="158" t="s">
        <v>87</v>
      </c>
      <c r="K74" s="158">
        <v>3.3999999999999998E-3</v>
      </c>
      <c r="L74" s="158">
        <v>4.1000000000000003E-3</v>
      </c>
      <c r="M74" s="158">
        <v>4.8999999999999998E-3</v>
      </c>
      <c r="N74" s="139" cm="1">
        <f t="array" aca="1" ref="N74:AE74" ca="1">IF(OR(B74="",NOT($J$2)),"",GetStripDefaultProbability(A74,B74,Parameter_Date,CDSRollDate,E74:M74,SpreadCurveMaturities,D74,C74,$J$4,$J$6))</f>
        <v>0</v>
      </c>
      <c r="O74" s="165">
        <f ca="1"/>
        <v>5.9842836468415594E-4</v>
      </c>
      <c r="P74" s="165">
        <f ca="1"/>
        <v>2.0286053105840196E-3</v>
      </c>
      <c r="Q74" s="165">
        <f ca="1"/>
        <v>7.0962957584114195E-3</v>
      </c>
      <c r="R74" s="165">
        <f ca="1"/>
        <v>1.3662492803629189E-2</v>
      </c>
      <c r="S74" s="165">
        <f ca="1"/>
        <v>0</v>
      </c>
      <c r="T74" s="165">
        <f ca="1"/>
        <v>2.9461736565393637E-2</v>
      </c>
      <c r="U74" s="165">
        <f ca="1"/>
        <v>4.9612045655238357E-2</v>
      </c>
      <c r="V74" s="140">
        <f ca="1"/>
        <v>8.4452356233487458E-2</v>
      </c>
      <c r="W74" s="139">
        <f ca="1"/>
        <v>0</v>
      </c>
      <c r="X74" s="165">
        <f ca="1"/>
        <v>6.9813078535330142E-4</v>
      </c>
      <c r="Y74" s="165">
        <f ca="1"/>
        <v>2.1949200164245175E-3</v>
      </c>
      <c r="Z74" s="165">
        <f ca="1"/>
        <v>7.4458275058770784E-3</v>
      </c>
      <c r="AA74" s="165">
        <f ca="1"/>
        <v>1.433751723657184E-2</v>
      </c>
      <c r="AB74" s="165">
        <f ca="1"/>
        <v>0</v>
      </c>
      <c r="AC74" s="165">
        <f ca="1"/>
        <v>3.0910604093185245E-2</v>
      </c>
      <c r="AD74" s="165">
        <f ca="1"/>
        <v>5.2034778977825158E-2</v>
      </c>
      <c r="AE74" s="140">
        <f ca="1"/>
        <v>8.850663442468143E-2</v>
      </c>
      <c r="AH74" s="137"/>
      <c r="AI74" s="137"/>
      <c r="AJ74" s="137"/>
      <c r="AK74" s="137"/>
      <c r="AM74" s="137"/>
      <c r="AN74" s="137"/>
      <c r="AO74" s="137"/>
      <c r="AQ74" s="137"/>
      <c r="AR74" s="137"/>
      <c r="AS74" s="137"/>
      <c r="AT74" s="137"/>
      <c r="AV74" s="137"/>
      <c r="AW74" s="137"/>
      <c r="AX74" s="137"/>
    </row>
    <row r="75" spans="1:50" s="79" customFormat="1" ht="10.199999999999999" x14ac:dyDescent="0.2">
      <c r="A75" s="97">
        <f t="shared" si="2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8">
        <v>2.0000000000000001E-4</v>
      </c>
      <c r="G75" s="158">
        <v>2.9999999999999997E-4</v>
      </c>
      <c r="H75" s="158">
        <v>5.9999999999999995E-4</v>
      </c>
      <c r="I75" s="158">
        <v>8.9999999999999998E-4</v>
      </c>
      <c r="J75" s="158" t="s">
        <v>87</v>
      </c>
      <c r="K75" s="158">
        <v>1.2999999999999999E-3</v>
      </c>
      <c r="L75" s="158">
        <v>1.8E-3</v>
      </c>
      <c r="M75" s="158">
        <v>2.5000000000000001E-3</v>
      </c>
      <c r="N75" s="139" cm="1">
        <f t="array" aca="1" ref="N75:AE75" ca="1">IF(OR(B75="",NOT($J$2)),"",GetStripDefaultProbability(A75,B75,Parameter_Date,CDSRollDate,E75:M75,SpreadCurveMaturities,D75,C75,$J$4,$J$6))</f>
        <v>0</v>
      </c>
      <c r="O75" s="165">
        <f ca="1"/>
        <v>1.9951579971833056E-4</v>
      </c>
      <c r="P75" s="165">
        <f ca="1"/>
        <v>5.5264554274436772E-4</v>
      </c>
      <c r="Q75" s="165">
        <f ca="1"/>
        <v>2.1340436094470228E-3</v>
      </c>
      <c r="R75" s="165">
        <f ca="1"/>
        <v>4.7652239833773091E-3</v>
      </c>
      <c r="S75" s="165">
        <f ca="1"/>
        <v>0</v>
      </c>
      <c r="T75" s="165">
        <f ca="1"/>
        <v>1.1415377207132704E-2</v>
      </c>
      <c r="U75" s="165">
        <f ca="1"/>
        <v>2.234122488287682E-2</v>
      </c>
      <c r="V75" s="140">
        <f ca="1"/>
        <v>4.4949572936588966E-2</v>
      </c>
      <c r="W75" s="139">
        <f ca="1"/>
        <v>0</v>
      </c>
      <c r="X75" s="165">
        <f ca="1"/>
        <v>2.9925868592750593E-4</v>
      </c>
      <c r="Y75" s="165">
        <f ca="1"/>
        <v>7.192062213721151E-4</v>
      </c>
      <c r="Z75" s="165">
        <f ca="1"/>
        <v>2.4851388296175392E-3</v>
      </c>
      <c r="AA75" s="165">
        <f ca="1"/>
        <v>5.2826477449965381E-3</v>
      </c>
      <c r="AB75" s="165">
        <f ca="1"/>
        <v>0</v>
      </c>
      <c r="AC75" s="165">
        <f ca="1"/>
        <v>1.2262165827254701E-2</v>
      </c>
      <c r="AD75" s="165">
        <f ca="1"/>
        <v>2.3509035809552437E-2</v>
      </c>
      <c r="AE75" s="140">
        <f ca="1"/>
        <v>4.7064987939901437E-2</v>
      </c>
      <c r="AH75" s="137"/>
      <c r="AI75" s="137"/>
      <c r="AJ75" s="137"/>
      <c r="AK75" s="137"/>
      <c r="AM75" s="137"/>
      <c r="AN75" s="137"/>
      <c r="AO75" s="137"/>
      <c r="AQ75" s="137"/>
      <c r="AR75" s="137"/>
      <c r="AS75" s="137"/>
      <c r="AT75" s="137"/>
      <c r="AV75" s="137"/>
      <c r="AW75" s="137"/>
      <c r="AX75" s="137"/>
    </row>
    <row r="76" spans="1:50" s="79" customFormat="1" ht="10.199999999999999" x14ac:dyDescent="0.2">
      <c r="A76" s="97">
        <f t="shared" si="2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8">
        <v>9.2000000000000003E-4</v>
      </c>
      <c r="G76" s="158">
        <v>1.39E-3</v>
      </c>
      <c r="H76" s="158">
        <v>2.0799999999999998E-3</v>
      </c>
      <c r="I76" s="158">
        <v>2.49E-3</v>
      </c>
      <c r="J76" s="158" t="s">
        <v>87</v>
      </c>
      <c r="K76" s="158">
        <v>3.0000000000000001E-3</v>
      </c>
      <c r="L76" s="158">
        <v>3.3500000000000001E-3</v>
      </c>
      <c r="M76" s="158">
        <v>3.7000000000000002E-3</v>
      </c>
      <c r="N76" s="139" cm="1">
        <f t="array" aca="1" ref="N76:AE76" ca="1">IF(OR(B76="",NOT($J$2)),"",GetStripDefaultProbability(A76,B76,Parameter_Date,CDSRollDate,E76:M76,SpreadCurveMaturities,D76,C76,$J$4,$J$6))</f>
        <v>0</v>
      </c>
      <c r="O76" s="165">
        <f ca="1"/>
        <v>9.1744419588701831E-4</v>
      </c>
      <c r="P76" s="165">
        <f ca="1"/>
        <v>2.5586719906113276E-3</v>
      </c>
      <c r="Q76" s="165">
        <f ca="1"/>
        <v>7.3553770270479157E-3</v>
      </c>
      <c r="R76" s="165">
        <f ca="1"/>
        <v>1.3027385522183188E-2</v>
      </c>
      <c r="S76" s="165">
        <f ca="1"/>
        <v>0</v>
      </c>
      <c r="T76" s="165">
        <f ca="1"/>
        <v>2.5858776259012672E-2</v>
      </c>
      <c r="U76" s="165">
        <f ca="1"/>
        <v>4.020175640408874E-2</v>
      </c>
      <c r="V76" s="140">
        <f ca="1"/>
        <v>6.3064384507871996E-2</v>
      </c>
      <c r="W76" s="139">
        <f ca="1"/>
        <v>0</v>
      </c>
      <c r="X76" s="165">
        <f ca="1"/>
        <v>1.0171137272360076E-3</v>
      </c>
      <c r="Y76" s="165">
        <f ca="1"/>
        <v>2.7248983593691767E-3</v>
      </c>
      <c r="Z76" s="165">
        <f ca="1"/>
        <v>7.7190776313161846E-3</v>
      </c>
      <c r="AA76" s="165">
        <f ca="1"/>
        <v>1.3672160348032536E-2</v>
      </c>
      <c r="AB76" s="165">
        <f ca="1"/>
        <v>0</v>
      </c>
      <c r="AC76" s="165">
        <f ca="1"/>
        <v>2.7132812436563736E-2</v>
      </c>
      <c r="AD76" s="165">
        <f ca="1"/>
        <v>4.2171497143735026E-2</v>
      </c>
      <c r="AE76" s="140">
        <f ca="1"/>
        <v>6.6117946800012484E-2</v>
      </c>
      <c r="AH76" s="137"/>
      <c r="AI76" s="137"/>
      <c r="AJ76" s="137"/>
      <c r="AK76" s="137"/>
      <c r="AM76" s="137"/>
      <c r="AN76" s="137"/>
      <c r="AO76" s="137"/>
      <c r="AQ76" s="137"/>
      <c r="AR76" s="137"/>
      <c r="AS76" s="137"/>
      <c r="AT76" s="137"/>
      <c r="AV76" s="137"/>
      <c r="AW76" s="137"/>
      <c r="AX76" s="137"/>
    </row>
    <row r="77" spans="1:50" s="79" customFormat="1" ht="10.199999999999999" x14ac:dyDescent="0.2">
      <c r="A77" s="97">
        <f t="shared" si="2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8">
        <v>2.3999999999999998E-3</v>
      </c>
      <c r="G77" s="158">
        <v>3.2000000000000002E-3</v>
      </c>
      <c r="H77" s="158">
        <v>4.8999999999999998E-3</v>
      </c>
      <c r="I77" s="158">
        <v>6.7000000000000002E-3</v>
      </c>
      <c r="J77" s="158" t="s">
        <v>87</v>
      </c>
      <c r="K77" s="158">
        <v>1.03E-2</v>
      </c>
      <c r="L77" s="158">
        <v>1.23E-2</v>
      </c>
      <c r="M77" s="158">
        <v>1.4200000000000001E-2</v>
      </c>
      <c r="N77" s="139" cm="1">
        <f t="array" aca="1" ref="N77:AE77" ca="1">IF(OR(B77="",NOT($J$2)),"",GetStripDefaultProbability(A77,B77,Parameter_Date,CDSRollDate,E77:M77,SpreadCurveMaturities,D77,C77,$J$4,$J$6))</f>
        <v>0</v>
      </c>
      <c r="O77" s="165">
        <f ca="1"/>
        <v>2.3915731804933227E-3</v>
      </c>
      <c r="P77" s="165">
        <f ca="1"/>
        <v>5.8746648350797015E-3</v>
      </c>
      <c r="Q77" s="165">
        <f ca="1"/>
        <v>1.7258485674419233E-2</v>
      </c>
      <c r="R77" s="165">
        <f ca="1"/>
        <v>3.4924987143261532E-2</v>
      </c>
      <c r="S77" s="165">
        <f ca="1"/>
        <v>0</v>
      </c>
      <c r="T77" s="165">
        <f ca="1"/>
        <v>8.8007472994389491E-2</v>
      </c>
      <c r="U77" s="165">
        <f ca="1"/>
        <v>0.14390278618352981</v>
      </c>
      <c r="V77" s="140">
        <f ca="1"/>
        <v>0.22909393854690452</v>
      </c>
      <c r="W77" s="139">
        <f ca="1"/>
        <v>0</v>
      </c>
      <c r="X77" s="165">
        <f ca="1"/>
        <v>2.5109877603497477E-3</v>
      </c>
      <c r="Y77" s="165">
        <f ca="1"/>
        <v>6.1675908541064528E-3</v>
      </c>
      <c r="Z77" s="165">
        <f ca="1"/>
        <v>1.8114640091906553E-2</v>
      </c>
      <c r="AA77" s="165">
        <f ca="1"/>
        <v>3.6645920499410622E-2</v>
      </c>
      <c r="AB77" s="165">
        <f ca="1"/>
        <v>0</v>
      </c>
      <c r="AC77" s="165">
        <f ca="1"/>
        <v>9.226039984264589E-2</v>
      </c>
      <c r="AD77" s="165">
        <f ca="1"/>
        <v>0.15067827576584447</v>
      </c>
      <c r="AE77" s="140">
        <f ca="1"/>
        <v>0.23940510934179648</v>
      </c>
      <c r="AH77" s="137"/>
      <c r="AI77" s="137"/>
      <c r="AJ77" s="137"/>
      <c r="AK77" s="137"/>
      <c r="AM77" s="137"/>
      <c r="AN77" s="137"/>
      <c r="AO77" s="137"/>
      <c r="AQ77" s="137"/>
      <c r="AR77" s="137"/>
      <c r="AS77" s="137"/>
      <c r="AT77" s="137"/>
      <c r="AV77" s="137"/>
      <c r="AW77" s="137"/>
      <c r="AX77" s="137"/>
    </row>
    <row r="78" spans="1:50" s="79" customFormat="1" ht="10.199999999999999" x14ac:dyDescent="0.2">
      <c r="A78" s="97">
        <f t="shared" ref="A78:A133" si="3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8">
        <v>5.9999999999999995E-4</v>
      </c>
      <c r="G78" s="158">
        <v>1.1000000000000001E-3</v>
      </c>
      <c r="H78" s="158">
        <v>2.0999999999999999E-3</v>
      </c>
      <c r="I78" s="158">
        <v>2.8E-3</v>
      </c>
      <c r="J78" s="158" t="s">
        <v>87</v>
      </c>
      <c r="K78" s="158">
        <v>4.0000000000000001E-3</v>
      </c>
      <c r="L78" s="158">
        <v>4.7999999999999996E-3</v>
      </c>
      <c r="M78" s="158">
        <v>6.1000000000000004E-3</v>
      </c>
      <c r="N78" s="139" cm="1">
        <f t="array" aca="1" ref="N78:AE78" ca="1">IF(OR(B78="",NOT($J$2)),"",GetStripDefaultProbability(A78,B78,Parameter_Date,CDSRollDate,E78:M78,SpreadCurveMaturities,D78,C78,$J$4,$J$6))</f>
        <v>0</v>
      </c>
      <c r="O78" s="165">
        <f ca="1"/>
        <v>5.9842836468415594E-4</v>
      </c>
      <c r="P78" s="165">
        <f ca="1"/>
        <v>2.0286053105840196E-3</v>
      </c>
      <c r="Q78" s="165">
        <f ca="1"/>
        <v>7.4545686117788446E-3</v>
      </c>
      <c r="R78" s="165">
        <f ca="1"/>
        <v>1.4724015261141088E-2</v>
      </c>
      <c r="S78" s="165">
        <f ca="1"/>
        <v>0</v>
      </c>
      <c r="T78" s="165">
        <f ca="1"/>
        <v>3.4759874815098346E-2</v>
      </c>
      <c r="U78" s="165">
        <f ca="1"/>
        <v>5.8035514730085169E-2</v>
      </c>
      <c r="V78" s="140">
        <f ca="1"/>
        <v>0.1053517535672378</v>
      </c>
      <c r="W78" s="139">
        <f ca="1"/>
        <v>0</v>
      </c>
      <c r="X78" s="165">
        <f ca="1"/>
        <v>6.9813078535330142E-4</v>
      </c>
      <c r="Y78" s="165">
        <f ca="1"/>
        <v>2.1949200164245175E-3</v>
      </c>
      <c r="Z78" s="165">
        <f ca="1"/>
        <v>7.8219021651573239E-3</v>
      </c>
      <c r="AA78" s="165">
        <f ca="1"/>
        <v>1.5451545689912138E-2</v>
      </c>
      <c r="AB78" s="165">
        <f ca="1"/>
        <v>0</v>
      </c>
      <c r="AC78" s="165">
        <f ca="1"/>
        <v>3.6466456532919467E-2</v>
      </c>
      <c r="AD78" s="165">
        <f ca="1"/>
        <v>6.0860791776371492E-2</v>
      </c>
      <c r="AE78" s="140">
        <f ca="1"/>
        <v>0.11039921270451791</v>
      </c>
      <c r="AH78" s="137"/>
      <c r="AI78" s="137"/>
      <c r="AJ78" s="137"/>
      <c r="AK78" s="137"/>
      <c r="AM78" s="137"/>
      <c r="AN78" s="137"/>
      <c r="AO78" s="137"/>
      <c r="AQ78" s="137"/>
      <c r="AR78" s="137"/>
      <c r="AS78" s="137"/>
      <c r="AT78" s="137"/>
      <c r="AV78" s="137"/>
      <c r="AW78" s="137"/>
      <c r="AX78" s="137"/>
    </row>
    <row r="79" spans="1:50" s="79" customFormat="1" ht="10.199999999999999" x14ac:dyDescent="0.2">
      <c r="A79" s="97">
        <f t="shared" si="3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8">
        <v>1E-3</v>
      </c>
      <c r="G79" s="158">
        <v>1.4E-3</v>
      </c>
      <c r="H79" s="158">
        <v>2.2000000000000001E-3</v>
      </c>
      <c r="I79" s="158">
        <v>3.3E-3</v>
      </c>
      <c r="J79" s="158" t="s">
        <v>87</v>
      </c>
      <c r="K79" s="158">
        <v>5.1000000000000004E-3</v>
      </c>
      <c r="L79" s="158">
        <v>6.3E-3</v>
      </c>
      <c r="M79" s="158">
        <v>7.6E-3</v>
      </c>
      <c r="N79" s="139" cm="1">
        <f t="array" aca="1" ref="N79:AE79" ca="1">IF(OR(B79="",NOT($J$2)),"",GetStripDefaultProbability(A79,B79,Parameter_Date,CDSRollDate,E79:M79,SpreadCurveMaturities,D79,C79,$J$4,$J$6))</f>
        <v>0</v>
      </c>
      <c r="O79" s="165">
        <f ca="1"/>
        <v>9.971822959833343E-4</v>
      </c>
      <c r="P79" s="165">
        <f ca="1"/>
        <v>2.5751395802477983E-3</v>
      </c>
      <c r="Q79" s="165">
        <f ca="1"/>
        <v>7.7823212401857411E-3</v>
      </c>
      <c r="R79" s="165">
        <f ca="1"/>
        <v>1.7370229240132873E-2</v>
      </c>
      <c r="S79" s="165">
        <f ca="1"/>
        <v>0</v>
      </c>
      <c r="T79" s="165">
        <f ca="1"/>
        <v>4.4361055228479773E-2</v>
      </c>
      <c r="U79" s="165">
        <f ca="1"/>
        <v>7.60676024994561E-2</v>
      </c>
      <c r="V79" s="140">
        <f ca="1"/>
        <v>0.1294067754939362</v>
      </c>
      <c r="W79" s="139">
        <f ca="1"/>
        <v>0</v>
      </c>
      <c r="X79" s="165">
        <f ca="1"/>
        <v>1.0968435312084246E-3</v>
      </c>
      <c r="Y79" s="165">
        <f ca="1"/>
        <v>2.7413632046300318E-3</v>
      </c>
      <c r="Z79" s="165">
        <f ca="1"/>
        <v>8.1673631482521714E-3</v>
      </c>
      <c r="AA79" s="165">
        <f ca="1"/>
        <v>1.8229999672292108E-2</v>
      </c>
      <c r="AB79" s="165">
        <f ca="1"/>
        <v>0</v>
      </c>
      <c r="AC79" s="165">
        <f ca="1"/>
        <v>4.6533029978385376E-2</v>
      </c>
      <c r="AD79" s="165">
        <f ca="1"/>
        <v>7.9747160019191243E-2</v>
      </c>
      <c r="AE79" s="140">
        <f ca="1"/>
        <v>0.13553937312014896</v>
      </c>
      <c r="AH79" s="137"/>
      <c r="AI79" s="137"/>
      <c r="AJ79" s="137"/>
      <c r="AK79" s="137"/>
      <c r="AM79" s="137"/>
      <c r="AN79" s="137"/>
      <c r="AO79" s="137"/>
      <c r="AQ79" s="137"/>
      <c r="AR79" s="137"/>
      <c r="AS79" s="137"/>
      <c r="AT79" s="137"/>
      <c r="AV79" s="137"/>
      <c r="AW79" s="137"/>
      <c r="AX79" s="137"/>
    </row>
    <row r="80" spans="1:50" s="79" customFormat="1" ht="10.199999999999999" x14ac:dyDescent="0.2">
      <c r="A80" s="97">
        <f t="shared" si="3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8">
        <v>5.0000000000000001E-4</v>
      </c>
      <c r="G80" s="158">
        <v>5.0000000000000001E-4</v>
      </c>
      <c r="H80" s="158">
        <v>1E-3</v>
      </c>
      <c r="I80" s="158">
        <v>1.8E-3</v>
      </c>
      <c r="J80" s="158" t="s">
        <v>87</v>
      </c>
      <c r="K80" s="158">
        <v>2.7000000000000001E-3</v>
      </c>
      <c r="L80" s="158">
        <v>3.5000000000000001E-3</v>
      </c>
      <c r="M80" s="158">
        <v>4.4999999999999997E-3</v>
      </c>
      <c r="N80" s="139" cm="1">
        <f t="array" aca="1" ref="N80:AE80" ca="1">IF(OR(B80="",NOT($J$2)),"",GetStripDefaultProbability(A80,B80,Parameter_Date,CDSRollDate,E80:M80,SpreadCurveMaturities,D80,C80,$J$4,$J$6))</f>
        <v>0</v>
      </c>
      <c r="O80" s="165">
        <f ca="1"/>
        <v>4.9871509903820499E-4</v>
      </c>
      <c r="P80" s="165">
        <f ca="1"/>
        <v>9.1671021619554871E-4</v>
      </c>
      <c r="Q80" s="165">
        <f ca="1"/>
        <v>3.5506624095835715E-3</v>
      </c>
      <c r="R80" s="165">
        <f ca="1"/>
        <v>9.5526021932657024E-3</v>
      </c>
      <c r="S80" s="165">
        <f ca="1"/>
        <v>0</v>
      </c>
      <c r="T80" s="165">
        <f ca="1"/>
        <v>2.368121166345083E-2</v>
      </c>
      <c r="U80" s="165">
        <f ca="1"/>
        <v>4.2984096947820238E-2</v>
      </c>
      <c r="V80" s="140">
        <f ca="1"/>
        <v>7.908227144060187E-2</v>
      </c>
      <c r="W80" s="139">
        <f ca="1"/>
        <v>0</v>
      </c>
      <c r="X80" s="165">
        <f ca="1"/>
        <v>5.9842770240881027E-4</v>
      </c>
      <c r="Y80" s="165">
        <f ca="1"/>
        <v>1.0832102224404005E-3</v>
      </c>
      <c r="Z80" s="165">
        <f ca="1"/>
        <v>3.9013094122740677E-3</v>
      </c>
      <c r="AA80" s="165">
        <f ca="1"/>
        <v>1.00679952860806E-2</v>
      </c>
      <c r="AB80" s="165">
        <f ca="1"/>
        <v>0</v>
      </c>
      <c r="AC80" s="165">
        <f ca="1"/>
        <v>2.4834364160360667E-2</v>
      </c>
      <c r="AD80" s="165">
        <f ca="1"/>
        <v>4.5076808868291796E-2</v>
      </c>
      <c r="AE80" s="140">
        <f ca="1"/>
        <v>8.288123545897641E-2</v>
      </c>
      <c r="AH80" s="137"/>
      <c r="AI80" s="137"/>
      <c r="AJ80" s="137"/>
      <c r="AK80" s="137"/>
      <c r="AM80" s="137"/>
      <c r="AN80" s="137"/>
      <c r="AO80" s="137"/>
      <c r="AQ80" s="137"/>
      <c r="AR80" s="137"/>
      <c r="AS80" s="137"/>
      <c r="AT80" s="137"/>
      <c r="AV80" s="137"/>
      <c r="AW80" s="137"/>
      <c r="AX80" s="137"/>
    </row>
    <row r="81" spans="1:50" s="79" customFormat="1" ht="10.199999999999999" x14ac:dyDescent="0.2">
      <c r="A81" s="97">
        <f t="shared" si="3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8">
        <v>1E-3</v>
      </c>
      <c r="G81" s="158">
        <v>1E-3</v>
      </c>
      <c r="H81" s="158">
        <v>1.8E-3</v>
      </c>
      <c r="I81" s="158">
        <v>2.8999999999999998E-3</v>
      </c>
      <c r="J81" s="158" t="s">
        <v>87</v>
      </c>
      <c r="K81" s="158">
        <v>4.3E-3</v>
      </c>
      <c r="L81" s="158">
        <v>5.4000000000000003E-3</v>
      </c>
      <c r="M81" s="158">
        <v>6.8999999999999999E-3</v>
      </c>
      <c r="N81" s="139" cm="1">
        <f t="array" aca="1" ref="N81:AE81" ca="1">IF(OR(B81="",NOT($J$2)),"",GetStripDefaultProbability(A81,B81,Parameter_Date,CDSRollDate,E81:M81,SpreadCurveMaturities,D81,C81,$J$4,$J$6))</f>
        <v>0</v>
      </c>
      <c r="O81" s="165">
        <f ca="1"/>
        <v>9.971822959833343E-4</v>
      </c>
      <c r="P81" s="165">
        <f ca="1"/>
        <v>1.832579931977274E-3</v>
      </c>
      <c r="Q81" s="165">
        <f ca="1"/>
        <v>6.375458689511615E-3</v>
      </c>
      <c r="R81" s="165">
        <f ca="1"/>
        <v>1.5311308913761867E-2</v>
      </c>
      <c r="S81" s="165">
        <f ca="1"/>
        <v>0</v>
      </c>
      <c r="T81" s="165">
        <f ca="1"/>
        <v>3.7462305178135091E-2</v>
      </c>
      <c r="U81" s="165">
        <f ca="1"/>
        <v>6.5526942446686332E-2</v>
      </c>
      <c r="V81" s="140">
        <f ca="1"/>
        <v>0.11907082021123661</v>
      </c>
      <c r="W81" s="139">
        <f ca="1"/>
        <v>0</v>
      </c>
      <c r="X81" s="165">
        <f ca="1"/>
        <v>1.0968435312084246E-3</v>
      </c>
      <c r="Y81" s="165">
        <f ca="1"/>
        <v>1.9989273059809465E-3</v>
      </c>
      <c r="Z81" s="165">
        <f ca="1"/>
        <v>6.7251775543717418E-3</v>
      </c>
      <c r="AA81" s="165">
        <f ca="1"/>
        <v>1.6066557941861737E-2</v>
      </c>
      <c r="AB81" s="165">
        <f ca="1"/>
        <v>0</v>
      </c>
      <c r="AC81" s="165">
        <f ca="1"/>
        <v>3.929877597329734E-2</v>
      </c>
      <c r="AD81" s="165">
        <f ca="1"/>
        <v>6.8708092678673283E-2</v>
      </c>
      <c r="AE81" s="140">
        <f ca="1"/>
        <v>0.12474807216778794</v>
      </c>
      <c r="AH81" s="137"/>
      <c r="AI81" s="137"/>
      <c r="AJ81" s="137"/>
      <c r="AK81" s="137"/>
      <c r="AM81" s="137"/>
      <c r="AN81" s="137"/>
      <c r="AO81" s="137"/>
      <c r="AQ81" s="137"/>
      <c r="AR81" s="137"/>
      <c r="AS81" s="137"/>
      <c r="AT81" s="137"/>
      <c r="AV81" s="137"/>
      <c r="AW81" s="137"/>
      <c r="AX81" s="137"/>
    </row>
    <row r="82" spans="1:50" s="79" customFormat="1" ht="10.199999999999999" x14ac:dyDescent="0.2">
      <c r="A82" s="97">
        <f t="shared" si="3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8">
        <v>4.0000000000000002E-4</v>
      </c>
      <c r="G82" s="158">
        <v>8.9999999999999998E-4</v>
      </c>
      <c r="H82" s="158">
        <v>1.2999999999999999E-3</v>
      </c>
      <c r="I82" s="158">
        <v>1.8E-3</v>
      </c>
      <c r="J82" s="158" t="s">
        <v>87</v>
      </c>
      <c r="K82" s="158">
        <v>2.8E-3</v>
      </c>
      <c r="L82" s="158">
        <v>3.5000000000000001E-3</v>
      </c>
      <c r="M82" s="158">
        <v>4.3E-3</v>
      </c>
      <c r="N82" s="139" cm="1">
        <f t="array" aca="1" ref="N82:AE82" ca="1">IF(OR(B82="",NOT($J$2)),"",GetStripDefaultProbability(A82,B82,Parameter_Date,CDSRollDate,E82:M82,SpreadCurveMaturities,D82,C82,$J$4,$J$6))</f>
        <v>0</v>
      </c>
      <c r="O82" s="165">
        <f ca="1"/>
        <v>3.9899191733294703E-4</v>
      </c>
      <c r="P82" s="165">
        <f ca="1"/>
        <v>1.6623360744073556E-3</v>
      </c>
      <c r="Q82" s="165">
        <f ca="1"/>
        <v>4.6046616066008905E-3</v>
      </c>
      <c r="R82" s="165">
        <f ca="1"/>
        <v>9.47899112733952E-3</v>
      </c>
      <c r="S82" s="165">
        <f ca="1"/>
        <v>0</v>
      </c>
      <c r="T82" s="165">
        <f ca="1"/>
        <v>2.4509900528846607E-2</v>
      </c>
      <c r="U82" s="165">
        <f ca="1"/>
        <v>4.2812688099686413E-2</v>
      </c>
      <c r="V82" s="140">
        <f ca="1"/>
        <v>7.5046365639589663E-2</v>
      </c>
      <c r="W82" s="139">
        <f ca="1"/>
        <v>0</v>
      </c>
      <c r="X82" s="165">
        <f ca="1"/>
        <v>4.9871465885786836E-4</v>
      </c>
      <c r="Y82" s="165">
        <f ca="1"/>
        <v>1.828711820033968E-3</v>
      </c>
      <c r="Z82" s="165">
        <f ca="1"/>
        <v>4.9549521463085888E-3</v>
      </c>
      <c r="AA82" s="165">
        <f ca="1"/>
        <v>9.9941892076796934E-3</v>
      </c>
      <c r="AB82" s="165">
        <f ca="1"/>
        <v>0</v>
      </c>
      <c r="AC82" s="165">
        <f ca="1"/>
        <v>2.5707050154118338E-2</v>
      </c>
      <c r="AD82" s="165">
        <f ca="1"/>
        <v>4.4900195073273697E-2</v>
      </c>
      <c r="AE82" s="140">
        <f ca="1"/>
        <v>7.8658386905083866E-2</v>
      </c>
      <c r="AH82" s="137"/>
      <c r="AI82" s="137"/>
      <c r="AJ82" s="137"/>
      <c r="AK82" s="137"/>
      <c r="AM82" s="137"/>
      <c r="AN82" s="137"/>
      <c r="AO82" s="137"/>
      <c r="AQ82" s="137"/>
      <c r="AR82" s="137"/>
      <c r="AS82" s="137"/>
      <c r="AT82" s="137"/>
      <c r="AV82" s="137"/>
      <c r="AW82" s="137"/>
      <c r="AX82" s="137"/>
    </row>
    <row r="83" spans="1:50" s="79" customFormat="1" ht="10.199999999999999" x14ac:dyDescent="0.2">
      <c r="A83" s="97">
        <f t="shared" si="3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8">
        <v>5.9999999999999995E-4</v>
      </c>
      <c r="G83" s="158">
        <v>1.2999999999999999E-3</v>
      </c>
      <c r="H83" s="158">
        <v>1.9E-3</v>
      </c>
      <c r="I83" s="158">
        <v>2.5000000000000001E-3</v>
      </c>
      <c r="J83" s="158" t="s">
        <v>87</v>
      </c>
      <c r="K83" s="158">
        <v>4.0000000000000001E-3</v>
      </c>
      <c r="L83" s="158">
        <v>5.1000000000000004E-3</v>
      </c>
      <c r="M83" s="158">
        <v>6.1999999999999998E-3</v>
      </c>
      <c r="N83" s="139" cm="1">
        <f t="array" aca="1" ref="N83:AE83" ca="1">IF(OR(B83="",NOT($J$2)),"",GetStripDefaultProbability(A83,B83,Parameter_Date,CDSRollDate,E83:M83,SpreadCurveMaturities,D83,C83,$J$4,$J$6))</f>
        <v>0</v>
      </c>
      <c r="O83" s="165">
        <f ca="1"/>
        <v>5.9842836468415594E-4</v>
      </c>
      <c r="P83" s="165">
        <f ca="1"/>
        <v>2.3999582751560444E-3</v>
      </c>
      <c r="Q83" s="165">
        <f ca="1"/>
        <v>6.7249502774929804E-3</v>
      </c>
      <c r="R83" s="165">
        <f ca="1"/>
        <v>1.3126867376085039E-2</v>
      </c>
      <c r="S83" s="165">
        <f ca="1"/>
        <v>0</v>
      </c>
      <c r="T83" s="165">
        <f ca="1"/>
        <v>3.490583056998009E-2</v>
      </c>
      <c r="U83" s="165">
        <f ca="1"/>
        <v>6.2076960611471055E-2</v>
      </c>
      <c r="V83" s="140">
        <f ca="1"/>
        <v>0.10683162723440354</v>
      </c>
      <c r="W83" s="139">
        <f ca="1"/>
        <v>0</v>
      </c>
      <c r="X83" s="165">
        <f ca="1"/>
        <v>6.9813078535330142E-4</v>
      </c>
      <c r="Y83" s="165">
        <f ca="1"/>
        <v>2.5662110939816962E-3</v>
      </c>
      <c r="Z83" s="165">
        <f ca="1"/>
        <v>7.0745555596367637E-3</v>
      </c>
      <c r="AA83" s="165">
        <f ca="1"/>
        <v>1.3775155404082917E-2</v>
      </c>
      <c r="AB83" s="165">
        <f ca="1"/>
        <v>0</v>
      </c>
      <c r="AC83" s="165">
        <f ca="1"/>
        <v>3.6619736699142091E-2</v>
      </c>
      <c r="AD83" s="165">
        <f ca="1"/>
        <v>6.5097062804272743E-2</v>
      </c>
      <c r="AE83" s="140">
        <f ca="1"/>
        <v>0.11194504199957034</v>
      </c>
      <c r="AH83" s="137"/>
      <c r="AI83" s="137"/>
      <c r="AJ83" s="137"/>
      <c r="AK83" s="137"/>
      <c r="AM83" s="137"/>
      <c r="AN83" s="137"/>
      <c r="AO83" s="137"/>
      <c r="AQ83" s="137"/>
      <c r="AR83" s="137"/>
      <c r="AS83" s="137"/>
      <c r="AT83" s="137"/>
      <c r="AV83" s="137"/>
      <c r="AW83" s="137"/>
      <c r="AX83" s="137"/>
    </row>
    <row r="84" spans="1:50" s="79" customFormat="1" ht="10.199999999999999" x14ac:dyDescent="0.2">
      <c r="A84" s="97">
        <f t="shared" si="3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8">
        <v>2.9999999999999997E-4</v>
      </c>
      <c r="G84" s="158">
        <v>8.9999999999999998E-4</v>
      </c>
      <c r="H84" s="158">
        <v>1.5E-3</v>
      </c>
      <c r="I84" s="158">
        <v>2.2000000000000001E-3</v>
      </c>
      <c r="J84" s="158" t="s">
        <v>87</v>
      </c>
      <c r="K84" s="158">
        <v>3.0999999999999999E-3</v>
      </c>
      <c r="L84" s="158">
        <v>4.0000000000000001E-3</v>
      </c>
      <c r="M84" s="158">
        <v>5.1000000000000004E-3</v>
      </c>
      <c r="N84" s="139" cm="1">
        <f t="array" aca="1" ref="N84:AE84" ca="1">IF(OR(B84="",NOT($J$2)),"",GetStripDefaultProbability(A84,B84,Parameter_Date,CDSRollDate,E84:M84,SpreadCurveMaturities,D84,C84,$J$4,$J$6))</f>
        <v>0</v>
      </c>
      <c r="O84" s="165">
        <f ca="1"/>
        <v>2.9925881803194443E-4</v>
      </c>
      <c r="P84" s="165">
        <f ca="1"/>
        <v>1.6649092809828403E-3</v>
      </c>
      <c r="Q84" s="165">
        <f ca="1"/>
        <v>5.32473521599508E-3</v>
      </c>
      <c r="R84" s="165">
        <f ca="1"/>
        <v>1.1609854838958933E-2</v>
      </c>
      <c r="S84" s="165">
        <f ca="1"/>
        <v>0</v>
      </c>
      <c r="T84" s="165">
        <f ca="1"/>
        <v>2.7027603553420376E-2</v>
      </c>
      <c r="U84" s="165">
        <f ca="1"/>
        <v>4.8869605511927872E-2</v>
      </c>
      <c r="V84" s="140">
        <f ca="1"/>
        <v>8.9045666688632785E-2</v>
      </c>
      <c r="W84" s="139">
        <f ca="1"/>
        <v>0</v>
      </c>
      <c r="X84" s="165">
        <f ca="1"/>
        <v>3.9899165370427259E-4</v>
      </c>
      <c r="Y84" s="165">
        <f ca="1"/>
        <v>1.8312845977750403E-3</v>
      </c>
      <c r="Z84" s="165">
        <f ca="1"/>
        <v>5.6748359666203285E-3</v>
      </c>
      <c r="AA84" s="165">
        <f ca="1"/>
        <v>1.2178171148488293E-2</v>
      </c>
      <c r="AB84" s="165">
        <f ca="1"/>
        <v>0</v>
      </c>
      <c r="AC84" s="165">
        <f ca="1"/>
        <v>2.8353104345291813E-2</v>
      </c>
      <c r="AD84" s="165">
        <f ca="1"/>
        <v>5.1253872243695375E-2</v>
      </c>
      <c r="AE84" s="140">
        <f ca="1"/>
        <v>9.3313256372222875E-2</v>
      </c>
      <c r="AH84" s="137"/>
      <c r="AI84" s="137"/>
      <c r="AJ84" s="137"/>
      <c r="AK84" s="137"/>
      <c r="AM84" s="137"/>
      <c r="AN84" s="137"/>
      <c r="AO84" s="137"/>
      <c r="AQ84" s="137"/>
      <c r="AR84" s="137"/>
      <c r="AS84" s="137"/>
      <c r="AT84" s="137"/>
      <c r="AV84" s="137"/>
      <c r="AW84" s="137"/>
      <c r="AX84" s="137"/>
    </row>
    <row r="85" spans="1:50" s="79" customFormat="1" ht="10.199999999999999" x14ac:dyDescent="0.2">
      <c r="A85" s="97">
        <f t="shared" si="3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8">
        <v>1E-3</v>
      </c>
      <c r="G85" s="158">
        <v>1.1000000000000001E-3</v>
      </c>
      <c r="H85" s="158">
        <v>1.9E-3</v>
      </c>
      <c r="I85" s="158">
        <v>2.5000000000000001E-3</v>
      </c>
      <c r="J85" s="158" t="s">
        <v>87</v>
      </c>
      <c r="K85" s="158">
        <v>4.0000000000000001E-3</v>
      </c>
      <c r="L85" s="158">
        <v>5.0000000000000001E-3</v>
      </c>
      <c r="M85" s="158">
        <v>5.5999999999999999E-3</v>
      </c>
      <c r="N85" s="139" cm="1">
        <f t="array" aca="1" ref="N85:AE85" ca="1">IF(OR(B85="",NOT($J$2)),"",GetStripDefaultProbability(A85,B85,Parameter_Date,CDSRollDate,E85:M85,SpreadCurveMaturities,D85,C85,$J$4,$J$6))</f>
        <v>0</v>
      </c>
      <c r="O85" s="165">
        <f ca="1"/>
        <v>9.971822959833343E-4</v>
      </c>
      <c r="P85" s="165">
        <f ca="1"/>
        <v>2.018243108211748E-3</v>
      </c>
      <c r="Q85" s="165">
        <f ca="1"/>
        <v>6.7273325083634372E-3</v>
      </c>
      <c r="R85" s="165">
        <f ca="1"/>
        <v>1.3129290161005724E-2</v>
      </c>
      <c r="S85" s="165">
        <f ca="1"/>
        <v>0</v>
      </c>
      <c r="T85" s="165">
        <f ca="1"/>
        <v>3.4908385003593834E-2</v>
      </c>
      <c r="U85" s="165">
        <f ca="1"/>
        <v>6.0781883065427311E-2</v>
      </c>
      <c r="V85" s="140">
        <f ca="1"/>
        <v>9.5629614757737125E-2</v>
      </c>
      <c r="W85" s="139">
        <f ca="1"/>
        <v>0</v>
      </c>
      <c r="X85" s="165">
        <f ca="1"/>
        <v>1.0968435312084246E-3</v>
      </c>
      <c r="Y85" s="165">
        <f ca="1"/>
        <v>2.1845595409326624E-3</v>
      </c>
      <c r="Z85" s="165">
        <f ca="1"/>
        <v>7.0769332104179128E-3</v>
      </c>
      <c r="AA85" s="165">
        <f ca="1"/>
        <v>1.3777589474241014E-2</v>
      </c>
      <c r="AB85" s="165">
        <f ca="1"/>
        <v>0</v>
      </c>
      <c r="AC85" s="165">
        <f ca="1"/>
        <v>3.6622308598401321E-2</v>
      </c>
      <c r="AD85" s="165">
        <f ca="1"/>
        <v>6.3739868095018526E-2</v>
      </c>
      <c r="AE85" s="140">
        <f ca="1"/>
        <v>0.10019606929109204</v>
      </c>
      <c r="AH85" s="137"/>
      <c r="AI85" s="137"/>
      <c r="AJ85" s="137"/>
      <c r="AK85" s="137"/>
      <c r="AM85" s="137"/>
      <c r="AN85" s="137"/>
      <c r="AO85" s="137"/>
      <c r="AQ85" s="137"/>
      <c r="AR85" s="137"/>
      <c r="AS85" s="137"/>
      <c r="AT85" s="137"/>
      <c r="AV85" s="137"/>
      <c r="AW85" s="137"/>
      <c r="AX85" s="137"/>
    </row>
    <row r="86" spans="1:50" s="79" customFormat="1" ht="10.199999999999999" x14ac:dyDescent="0.2">
      <c r="A86" s="97">
        <f t="shared" si="3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8">
        <v>1.7600000000000001E-3</v>
      </c>
      <c r="G86" s="158">
        <v>2.0899999999999998E-3</v>
      </c>
      <c r="H86" s="158">
        <v>2.7299999999999998E-3</v>
      </c>
      <c r="I86" s="158">
        <v>3.0999999999999999E-3</v>
      </c>
      <c r="J86" s="158" t="s">
        <v>87</v>
      </c>
      <c r="K86" s="158">
        <v>3.7000000000000002E-3</v>
      </c>
      <c r="L86" s="158">
        <v>4.0499999999999998E-3</v>
      </c>
      <c r="M86" s="158">
        <v>4.4000000000000003E-3</v>
      </c>
      <c r="N86" s="139" cm="1">
        <f t="array" aca="1" ref="N86:AE86" ca="1">IF(OR(B86="",NOT($J$2)),"",GetStripDefaultProbability(A86,B86,Parameter_Date,CDSRollDate,E86:M86,SpreadCurveMaturities,D86,C86,$J$4,$J$6))</f>
        <v>0</v>
      </c>
      <c r="O86" s="165">
        <f ca="1"/>
        <v>1.7543780684398103E-3</v>
      </c>
      <c r="P86" s="165">
        <f ca="1"/>
        <v>3.8351057569345759E-3</v>
      </c>
      <c r="Q86" s="165">
        <f ca="1"/>
        <v>9.61238164726963E-3</v>
      </c>
      <c r="R86" s="165">
        <f ca="1"/>
        <v>1.61323695686032E-2</v>
      </c>
      <c r="S86" s="165">
        <f ca="1"/>
        <v>0</v>
      </c>
      <c r="T86" s="165">
        <f ca="1"/>
        <v>3.1729160080568253E-2</v>
      </c>
      <c r="U86" s="165">
        <f ca="1"/>
        <v>4.8240679383383278E-2</v>
      </c>
      <c r="V86" s="140">
        <f ca="1"/>
        <v>7.4219306810641927E-2</v>
      </c>
      <c r="W86" s="139">
        <f ca="1"/>
        <v>0</v>
      </c>
      <c r="X86" s="165">
        <f ca="1"/>
        <v>1.8539589597301731E-3</v>
      </c>
      <c r="Y86" s="165">
        <f ca="1"/>
        <v>4.0261773206037299E-3</v>
      </c>
      <c r="Z86" s="165">
        <f ca="1"/>
        <v>1.0090456776148726E-2</v>
      </c>
      <c r="AA86" s="165">
        <f ca="1"/>
        <v>1.6932613769379601E-2</v>
      </c>
      <c r="AB86" s="165">
        <f ca="1"/>
        <v>0</v>
      </c>
      <c r="AC86" s="165">
        <f ca="1"/>
        <v>3.3290576764146596E-2</v>
      </c>
      <c r="AD86" s="165">
        <f ca="1"/>
        <v>5.0597068243699139E-2</v>
      </c>
      <c r="AE86" s="140">
        <f ca="1"/>
        <v>7.77926407577062E-2</v>
      </c>
      <c r="AH86" s="137"/>
      <c r="AI86" s="137"/>
      <c r="AJ86" s="137"/>
      <c r="AK86" s="137"/>
      <c r="AM86" s="137"/>
      <c r="AN86" s="137"/>
      <c r="AO86" s="137"/>
      <c r="AQ86" s="137"/>
      <c r="AR86" s="137"/>
      <c r="AS86" s="137"/>
      <c r="AT86" s="137"/>
      <c r="AV86" s="137"/>
      <c r="AW86" s="137"/>
      <c r="AX86" s="137"/>
    </row>
    <row r="87" spans="1:50" s="79" customFormat="1" ht="10.199999999999999" x14ac:dyDescent="0.2">
      <c r="A87" s="97">
        <f t="shared" si="3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8">
        <v>1.16E-3</v>
      </c>
      <c r="G87" s="158">
        <v>1.5100000000000001E-3</v>
      </c>
      <c r="H87" s="158">
        <v>2.0300000000000001E-3</v>
      </c>
      <c r="I87" s="158">
        <v>2.3800000000000002E-3</v>
      </c>
      <c r="J87" s="158" t="s">
        <v>87</v>
      </c>
      <c r="K87" s="158">
        <v>2.8999999999999998E-3</v>
      </c>
      <c r="L87" s="158">
        <v>3.29E-3</v>
      </c>
      <c r="M87" s="158">
        <v>3.7000000000000002E-3</v>
      </c>
      <c r="N87" s="139" cm="1">
        <f t="array" aca="1" ref="N87:AE87" ca="1">IF(OR(B87="",NOT($J$2)),"",GetStripDefaultProbability(A87,B87,Parameter_Date,CDSRollDate,E87:M87,SpreadCurveMaturities,D87,C87,$J$4,$J$6))</f>
        <v>0</v>
      </c>
      <c r="O87" s="165">
        <f ca="1"/>
        <v>1.1566394722595241E-3</v>
      </c>
      <c r="P87" s="165">
        <f ca="1"/>
        <v>2.7750960949124437E-3</v>
      </c>
      <c r="Q87" s="165">
        <f ca="1"/>
        <v>7.1620473267973717E-3</v>
      </c>
      <c r="R87" s="165">
        <f ca="1"/>
        <v>1.2428086827541041E-2</v>
      </c>
      <c r="S87" s="165">
        <f ca="1"/>
        <v>0</v>
      </c>
      <c r="T87" s="165">
        <f ca="1"/>
        <v>2.4994750408398936E-2</v>
      </c>
      <c r="U87" s="165">
        <f ca="1"/>
        <v>3.9548673832134562E-2</v>
      </c>
      <c r="V87" s="140">
        <f ca="1"/>
        <v>6.3303408373432957E-2</v>
      </c>
      <c r="W87" s="139">
        <f ca="1"/>
        <v>0</v>
      </c>
      <c r="X87" s="165">
        <f ca="1"/>
        <v>1.2562840249964458E-3</v>
      </c>
      <c r="Y87" s="165">
        <f ca="1"/>
        <v>2.9412863959923374E-3</v>
      </c>
      <c r="Z87" s="165">
        <f ca="1"/>
        <v>7.5168088620936047E-3</v>
      </c>
      <c r="AA87" s="165">
        <f ca="1"/>
        <v>1.3043848050199869E-2</v>
      </c>
      <c r="AB87" s="165">
        <f ca="1"/>
        <v>0</v>
      </c>
      <c r="AC87" s="165">
        <f ca="1"/>
        <v>2.62272875329157E-2</v>
      </c>
      <c r="AD87" s="165">
        <f ca="1"/>
        <v>4.1487951944662482E-2</v>
      </c>
      <c r="AE87" s="140">
        <f ca="1"/>
        <v>6.6370093690620302E-2</v>
      </c>
      <c r="AH87" s="137"/>
      <c r="AI87" s="137"/>
      <c r="AJ87" s="137"/>
      <c r="AK87" s="137"/>
      <c r="AM87" s="137"/>
      <c r="AN87" s="137"/>
      <c r="AO87" s="137"/>
      <c r="AQ87" s="137"/>
      <c r="AR87" s="137"/>
      <c r="AS87" s="137"/>
      <c r="AT87" s="137"/>
      <c r="AV87" s="137"/>
      <c r="AW87" s="137"/>
      <c r="AX87" s="137"/>
    </row>
    <row r="88" spans="1:50" s="79" customFormat="1" ht="10.199999999999999" x14ac:dyDescent="0.2">
      <c r="A88" s="97">
        <f t="shared" si="3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8">
        <v>6.9999999999999999E-4</v>
      </c>
      <c r="G88" s="158">
        <v>1E-3</v>
      </c>
      <c r="H88" s="158">
        <v>1.6000000000000001E-3</v>
      </c>
      <c r="I88" s="158">
        <v>2.0999999999999999E-3</v>
      </c>
      <c r="J88" s="158" t="s">
        <v>87</v>
      </c>
      <c r="K88" s="158">
        <v>3.3E-3</v>
      </c>
      <c r="L88" s="158">
        <v>4.0000000000000001E-3</v>
      </c>
      <c r="M88" s="158">
        <v>4.7999999999999996E-3</v>
      </c>
      <c r="N88" s="139" cm="1">
        <f t="array" aca="1" ref="N88:AE88" ca="1">IF(OR(B88="",NOT($J$2)),"",GetStripDefaultProbability(A88,B88,Parameter_Date,CDSRollDate,E88:M88,SpreadCurveMaturities,D88,C88,$J$4,$J$6))</f>
        <v>0</v>
      </c>
      <c r="O88" s="165">
        <f ca="1"/>
        <v>6.9813171573551713E-4</v>
      </c>
      <c r="P88" s="165">
        <f ca="1"/>
        <v>1.8403238360689134E-3</v>
      </c>
      <c r="Q88" s="165">
        <f ca="1"/>
        <v>5.666413995810915E-3</v>
      </c>
      <c r="R88" s="165">
        <f ca="1"/>
        <v>1.1035369011417662E-2</v>
      </c>
      <c r="S88" s="165">
        <f ca="1"/>
        <v>0</v>
      </c>
      <c r="T88" s="165">
        <f ca="1"/>
        <v>2.8837053650523581E-2</v>
      </c>
      <c r="U88" s="165">
        <f ca="1"/>
        <v>4.8682803004724939E-2</v>
      </c>
      <c r="V88" s="140">
        <f ca="1"/>
        <v>8.3093021381017373E-2</v>
      </c>
      <c r="W88" s="139">
        <f ca="1"/>
        <v>0</v>
      </c>
      <c r="X88" s="165">
        <f ca="1"/>
        <v>7.97823908687878E-4</v>
      </c>
      <c r="Y88" s="165">
        <f ca="1"/>
        <v>2.006669919534132E-3</v>
      </c>
      <c r="Z88" s="165">
        <f ca="1"/>
        <v>6.0163627348813753E-3</v>
      </c>
      <c r="AA88" s="165">
        <f ca="1"/>
        <v>1.1576794502092702E-2</v>
      </c>
      <c r="AB88" s="165">
        <f ca="1"/>
        <v>0</v>
      </c>
      <c r="AC88" s="165">
        <f ca="1"/>
        <v>3.0252607110234919E-2</v>
      </c>
      <c r="AD88" s="165">
        <f ca="1"/>
        <v>5.1059319488702348E-2</v>
      </c>
      <c r="AE88" s="140">
        <f ca="1"/>
        <v>8.7083634073283456E-2</v>
      </c>
      <c r="AH88" s="137"/>
      <c r="AI88" s="137"/>
      <c r="AJ88" s="137"/>
      <c r="AK88" s="137"/>
      <c r="AM88" s="137"/>
      <c r="AN88" s="137"/>
      <c r="AO88" s="137"/>
      <c r="AQ88" s="137"/>
      <c r="AR88" s="137"/>
      <c r="AS88" s="137"/>
      <c r="AT88" s="137"/>
      <c r="AV88" s="137"/>
      <c r="AW88" s="137"/>
      <c r="AX88" s="137"/>
    </row>
    <row r="89" spans="1:50" s="79" customFormat="1" ht="10.199999999999999" x14ac:dyDescent="0.2">
      <c r="A89" s="97">
        <f t="shared" si="3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8">
        <v>1.6999999999999999E-3</v>
      </c>
      <c r="G89" s="158">
        <v>1.8E-3</v>
      </c>
      <c r="H89" s="158">
        <v>2.7000000000000001E-3</v>
      </c>
      <c r="I89" s="158">
        <v>3.8999999999999998E-3</v>
      </c>
      <c r="J89" s="158" t="s">
        <v>87</v>
      </c>
      <c r="K89" s="158">
        <v>6.0000000000000001E-3</v>
      </c>
      <c r="L89" s="158">
        <v>7.1999999999999998E-3</v>
      </c>
      <c r="M89" s="158">
        <v>8.6999999999999994E-3</v>
      </c>
      <c r="N89" s="139" cm="1">
        <f t="array" aca="1" ref="N89:AE89" ca="1">IF(OR(B89="",NOT($J$2)),"",GetStripDefaultProbability(A89,B89,Parameter_Date,CDSRollDate,E89:M89,SpreadCurveMaturities,D89,C89,$J$4,$J$6))</f>
        <v>0</v>
      </c>
      <c r="O89" s="165">
        <f ca="1"/>
        <v>1.6946202479714012E-3</v>
      </c>
      <c r="P89" s="165">
        <f ca="1"/>
        <v>3.2988777262720204E-3</v>
      </c>
      <c r="Q89" s="165">
        <f ca="1"/>
        <v>9.5261353460814879E-3</v>
      </c>
      <c r="R89" s="165">
        <f ca="1"/>
        <v>2.0463219191867554E-2</v>
      </c>
      <c r="S89" s="165">
        <f ca="1"/>
        <v>0</v>
      </c>
      <c r="T89" s="165">
        <f ca="1"/>
        <v>5.1991691994906164E-2</v>
      </c>
      <c r="U89" s="165">
        <f ca="1"/>
        <v>8.6287241038028872E-2</v>
      </c>
      <c r="V89" s="140">
        <f ca="1"/>
        <v>0.14680958949184542</v>
      </c>
      <c r="W89" s="139">
        <f ca="1"/>
        <v>0</v>
      </c>
      <c r="X89" s="165">
        <f ca="1"/>
        <v>1.7942075854907591E-3</v>
      </c>
      <c r="Y89" s="165">
        <f ca="1"/>
        <v>3.4649807376820885E-3</v>
      </c>
      <c r="Z89" s="165">
        <f ca="1"/>
        <v>9.9998614928338281E-3</v>
      </c>
      <c r="AA89" s="165">
        <f ca="1"/>
        <v>2.147739151882655E-2</v>
      </c>
      <c r="AB89" s="165">
        <f ca="1"/>
        <v>0</v>
      </c>
      <c r="AC89" s="165">
        <f ca="1"/>
        <v>5.4530599153093551E-2</v>
      </c>
      <c r="AD89" s="165">
        <f ca="1"/>
        <v>9.0442366545948172E-2</v>
      </c>
      <c r="AE89" s="140">
        <f ca="1"/>
        <v>0.15371256671701594</v>
      </c>
      <c r="AH89" s="137"/>
      <c r="AI89" s="137"/>
      <c r="AJ89" s="137"/>
      <c r="AK89" s="137"/>
      <c r="AM89" s="137"/>
      <c r="AN89" s="137"/>
      <c r="AO89" s="137"/>
      <c r="AQ89" s="137"/>
      <c r="AR89" s="137"/>
      <c r="AS89" s="137"/>
      <c r="AT89" s="137"/>
      <c r="AV89" s="137"/>
      <c r="AW89" s="137"/>
      <c r="AX89" s="137"/>
    </row>
    <row r="90" spans="1:50" s="79" customFormat="1" ht="10.199999999999999" x14ac:dyDescent="0.2">
      <c r="A90" s="97">
        <f t="shared" si="3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8">
        <v>4.0000000000000002E-4</v>
      </c>
      <c r="G90" s="158">
        <v>6.9999999999999999E-4</v>
      </c>
      <c r="H90" s="158">
        <v>1.5E-3</v>
      </c>
      <c r="I90" s="158">
        <v>2.2000000000000001E-3</v>
      </c>
      <c r="J90" s="158" t="s">
        <v>87</v>
      </c>
      <c r="K90" s="158">
        <v>3.3999999999999998E-3</v>
      </c>
      <c r="L90" s="158">
        <v>4.1999999999999997E-3</v>
      </c>
      <c r="M90" s="158">
        <v>5.4999999999999997E-3</v>
      </c>
      <c r="N90" s="139" cm="1">
        <f t="array" aca="1" ref="N90:AE90" ca="1">IF(OR(B90="",NOT($J$2)),"",GetStripDefaultProbability(A90,B90,Parameter_Date,CDSRollDate,E90:M90,SpreadCurveMaturities,D90,C90,$J$4,$J$6))</f>
        <v>0</v>
      </c>
      <c r="O90" s="165">
        <f ca="1"/>
        <v>3.9899191733294703E-4</v>
      </c>
      <c r="P90" s="165">
        <f ca="1"/>
        <v>1.290822391445956E-3</v>
      </c>
      <c r="Q90" s="165">
        <f ca="1"/>
        <v>5.3349447348403078E-3</v>
      </c>
      <c r="R90" s="165">
        <f ca="1"/>
        <v>1.1620288650578403E-2</v>
      </c>
      <c r="S90" s="165">
        <f ca="1"/>
        <v>0</v>
      </c>
      <c r="T90" s="165">
        <f ca="1"/>
        <v>2.9744402281701054E-2</v>
      </c>
      <c r="U90" s="165">
        <f ca="1"/>
        <v>5.1201396932267773E-2</v>
      </c>
      <c r="V90" s="140">
        <f ca="1"/>
        <v>9.602926652475674E-2</v>
      </c>
      <c r="W90" s="139">
        <f ca="1"/>
        <v>0</v>
      </c>
      <c r="X90" s="165">
        <f ca="1"/>
        <v>4.9871465885786836E-4</v>
      </c>
      <c r="Y90" s="165">
        <f ca="1"/>
        <v>1.4572600508533373E-3</v>
      </c>
      <c r="Z90" s="165">
        <f ca="1"/>
        <v>5.6850693287903153E-3</v>
      </c>
      <c r="AA90" s="165">
        <f ca="1"/>
        <v>1.2188642114217885E-2</v>
      </c>
      <c r="AB90" s="165">
        <f ca="1"/>
        <v>0</v>
      </c>
      <c r="AC90" s="165">
        <f ca="1"/>
        <v>3.1202144211443184E-2</v>
      </c>
      <c r="AD90" s="165">
        <f ca="1"/>
        <v>5.3696898224741774E-2</v>
      </c>
      <c r="AE90" s="140">
        <f ca="1"/>
        <v>0.10064812997412853</v>
      </c>
      <c r="AH90" s="137"/>
      <c r="AI90" s="137"/>
      <c r="AJ90" s="137"/>
      <c r="AK90" s="137"/>
      <c r="AM90" s="137"/>
      <c r="AN90" s="137"/>
      <c r="AO90" s="137"/>
      <c r="AQ90" s="137"/>
      <c r="AR90" s="137"/>
      <c r="AS90" s="137"/>
      <c r="AT90" s="137"/>
      <c r="AV90" s="137"/>
      <c r="AW90" s="137"/>
      <c r="AX90" s="137"/>
    </row>
    <row r="91" spans="1:50" s="79" customFormat="1" ht="10.199999999999999" x14ac:dyDescent="0.2">
      <c r="A91" s="97">
        <f t="shared" si="3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8">
        <v>1.1000000000000001E-3</v>
      </c>
      <c r="G91" s="158">
        <v>1.1000000000000001E-3</v>
      </c>
      <c r="H91" s="158">
        <v>1.6000000000000001E-3</v>
      </c>
      <c r="I91" s="158">
        <v>2.3E-3</v>
      </c>
      <c r="J91" s="158" t="s">
        <v>87</v>
      </c>
      <c r="K91" s="158">
        <v>3.7000000000000002E-3</v>
      </c>
      <c r="L91" s="158">
        <v>4.3E-3</v>
      </c>
      <c r="M91" s="158">
        <v>5.4000000000000003E-3</v>
      </c>
      <c r="N91" s="139" cm="1">
        <f t="array" aca="1" ref="N91:AE91" ca="1">IF(OR(B91="",NOT($J$2)),"",GetStripDefaultProbability(A91,B91,Parameter_Date,CDSRollDate,E91:M91,SpreadCurveMaturities,D91,C91,$J$4,$J$6))</f>
        <v>0</v>
      </c>
      <c r="O91" s="165">
        <f ca="1"/>
        <v>1.0968460033887739E-3</v>
      </c>
      <c r="P91" s="165">
        <f ca="1"/>
        <v>2.0156530859477551E-3</v>
      </c>
      <c r="Q91" s="165">
        <f ca="1"/>
        <v>5.6494545333107826E-3</v>
      </c>
      <c r="R91" s="165">
        <f ca="1"/>
        <v>1.2098343309232762E-2</v>
      </c>
      <c r="S91" s="165">
        <f ca="1"/>
        <v>0</v>
      </c>
      <c r="T91" s="165">
        <f ca="1"/>
        <v>3.2342233031531609E-2</v>
      </c>
      <c r="U91" s="165">
        <f ca="1"/>
        <v>5.2108646062299924E-2</v>
      </c>
      <c r="V91" s="140">
        <f ca="1"/>
        <v>9.35299108457186E-2</v>
      </c>
      <c r="W91" s="139">
        <f ca="1"/>
        <v>0</v>
      </c>
      <c r="X91" s="165">
        <f ca="1"/>
        <v>1.1964968262314635E-3</v>
      </c>
      <c r="Y91" s="165">
        <f ca="1"/>
        <v>2.1819699503169421E-3</v>
      </c>
      <c r="Z91" s="165">
        <f ca="1"/>
        <v>5.9993518420023983E-3</v>
      </c>
      <c r="AA91" s="165">
        <f ca="1"/>
        <v>1.2693269585364542E-2</v>
      </c>
      <c r="AB91" s="165">
        <f ca="1"/>
        <v>0</v>
      </c>
      <c r="AC91" s="165">
        <f ca="1"/>
        <v>3.392932780847413E-2</v>
      </c>
      <c r="AD91" s="165">
        <f ca="1"/>
        <v>5.4649374536330564E-2</v>
      </c>
      <c r="AE91" s="140">
        <f ca="1"/>
        <v>9.8028159213383037E-2</v>
      </c>
      <c r="AH91" s="137"/>
      <c r="AI91" s="137"/>
      <c r="AJ91" s="137"/>
      <c r="AK91" s="137"/>
      <c r="AM91" s="137"/>
      <c r="AN91" s="137"/>
      <c r="AO91" s="137"/>
      <c r="AQ91" s="137"/>
      <c r="AR91" s="137"/>
      <c r="AS91" s="137"/>
      <c r="AT91" s="137"/>
      <c r="AV91" s="137"/>
      <c r="AW91" s="137"/>
      <c r="AX91" s="137"/>
    </row>
    <row r="92" spans="1:50" s="79" customFormat="1" ht="10.199999999999999" x14ac:dyDescent="0.2">
      <c r="A92" s="97">
        <f t="shared" si="3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8">
        <v>5.9999999999999995E-4</v>
      </c>
      <c r="G92" s="158">
        <v>6.9999999999999999E-4</v>
      </c>
      <c r="H92" s="158">
        <v>1.1999999999999999E-3</v>
      </c>
      <c r="I92" s="158">
        <v>1.6999999999999999E-3</v>
      </c>
      <c r="J92" s="158" t="s">
        <v>87</v>
      </c>
      <c r="K92" s="158">
        <v>2.7000000000000001E-3</v>
      </c>
      <c r="L92" s="158">
        <v>3.5000000000000001E-3</v>
      </c>
      <c r="M92" s="158">
        <v>4.5999999999999999E-3</v>
      </c>
      <c r="N92" s="139" cm="1">
        <f t="array" aca="1" ref="N92:AE92" ca="1">IF(OR(B92="",NOT($J$2)),"",GetStripDefaultProbability(A92,B92,Parameter_Date,CDSRollDate,E92:M92,SpreadCurveMaturities,D92,C92,$J$4,$J$6))</f>
        <v>0</v>
      </c>
      <c r="O92" s="165">
        <f ca="1"/>
        <v>5.9842836468415594E-4</v>
      </c>
      <c r="P92" s="165">
        <f ca="1"/>
        <v>1.2857132002235261E-3</v>
      </c>
      <c r="Q92" s="165">
        <f ca="1"/>
        <v>4.2533471925841893E-3</v>
      </c>
      <c r="R92" s="165">
        <f ca="1"/>
        <v>8.9625542774743883E-3</v>
      </c>
      <c r="S92" s="165">
        <f ca="1"/>
        <v>0</v>
      </c>
      <c r="T92" s="165">
        <f ca="1"/>
        <v>2.3670513801911985E-2</v>
      </c>
      <c r="U92" s="165">
        <f ca="1"/>
        <v>4.2973050957327619E-2</v>
      </c>
      <c r="V92" s="140">
        <f ca="1"/>
        <v>8.1001359510812776E-2</v>
      </c>
      <c r="W92" s="139">
        <f ca="1"/>
        <v>0</v>
      </c>
      <c r="X92" s="165">
        <f ca="1"/>
        <v>6.9813078535330142E-4</v>
      </c>
      <c r="Y92" s="165">
        <f ca="1"/>
        <v>1.4521517111039106E-3</v>
      </c>
      <c r="Z92" s="165">
        <f ca="1"/>
        <v>4.6037538327666772E-3</v>
      </c>
      <c r="AA92" s="165">
        <f ca="1"/>
        <v>9.4780201030471023E-3</v>
      </c>
      <c r="AB92" s="165">
        <f ca="1"/>
        <v>0</v>
      </c>
      <c r="AC92" s="165">
        <f ca="1"/>
        <v>2.4823487134560507E-2</v>
      </c>
      <c r="AD92" s="165">
        <f ca="1"/>
        <v>4.5065723112181932E-2</v>
      </c>
      <c r="AE92" s="140">
        <f ca="1"/>
        <v>8.4890579463583027E-2</v>
      </c>
      <c r="AH92" s="137"/>
      <c r="AI92" s="137"/>
      <c r="AJ92" s="137"/>
      <c r="AK92" s="137"/>
      <c r="AM92" s="137"/>
      <c r="AN92" s="137"/>
      <c r="AO92" s="137"/>
      <c r="AQ92" s="137"/>
      <c r="AR92" s="137"/>
      <c r="AS92" s="137"/>
      <c r="AT92" s="137"/>
      <c r="AV92" s="137"/>
      <c r="AW92" s="137"/>
      <c r="AX92" s="137"/>
    </row>
    <row r="93" spans="1:50" s="79" customFormat="1" ht="10.199999999999999" x14ac:dyDescent="0.2">
      <c r="A93" s="97">
        <f t="shared" si="3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8">
        <v>8.9999999999999998E-4</v>
      </c>
      <c r="G93" s="158">
        <v>2.3999999999999998E-3</v>
      </c>
      <c r="H93" s="158">
        <v>3.5000000000000001E-3</v>
      </c>
      <c r="I93" s="158">
        <v>4.4999999999999997E-3</v>
      </c>
      <c r="J93" s="158" t="s">
        <v>87</v>
      </c>
      <c r="K93" s="158">
        <v>6.7999999999999996E-3</v>
      </c>
      <c r="L93" s="158">
        <v>8.2000000000000007E-3</v>
      </c>
      <c r="M93" s="158">
        <v>9.9000000000000008E-3</v>
      </c>
      <c r="N93" s="139" cm="1">
        <f t="array" aca="1" ref="N93:AE93" ca="1">IF(OR(B93="",NOT($J$2)),"",GetStripDefaultProbability(A93,B93,Parameter_Date,CDSRollDate,E93:M93,SpreadCurveMaturities,D93,C93,$J$4,$J$6))</f>
        <v>0</v>
      </c>
      <c r="O93" s="165">
        <f ca="1"/>
        <v>8.9750867988536154E-4</v>
      </c>
      <c r="P93" s="165">
        <f ca="1"/>
        <v>4.4331626490050624E-3</v>
      </c>
      <c r="Q93" s="165">
        <f ca="1"/>
        <v>1.2366390521354687E-2</v>
      </c>
      <c r="R93" s="165">
        <f ca="1"/>
        <v>2.3521680186613492E-2</v>
      </c>
      <c r="S93" s="165">
        <f ca="1"/>
        <v>0</v>
      </c>
      <c r="T93" s="165">
        <f ca="1"/>
        <v>5.8663073646286978E-2</v>
      </c>
      <c r="U93" s="165">
        <f ca="1"/>
        <v>9.7761101576079423E-2</v>
      </c>
      <c r="V93" s="140">
        <f ca="1"/>
        <v>0.16565442844600098</v>
      </c>
      <c r="W93" s="139">
        <f ca="1"/>
        <v>0</v>
      </c>
      <c r="X93" s="165">
        <f ca="1"/>
        <v>9.9718028063144892E-4</v>
      </c>
      <c r="Y93" s="165">
        <f ca="1"/>
        <v>4.6529614255131913E-3</v>
      </c>
      <c r="Z93" s="165">
        <f ca="1"/>
        <v>1.2979813327021472E-2</v>
      </c>
      <c r="AA93" s="165">
        <f ca="1"/>
        <v>2.4684558762938624E-2</v>
      </c>
      <c r="AB93" s="165">
        <f ca="1"/>
        <v>0</v>
      </c>
      <c r="AC93" s="165">
        <f ca="1"/>
        <v>6.1516419972374337E-2</v>
      </c>
      <c r="AD93" s="165">
        <f ca="1"/>
        <v>0.10244134132054505</v>
      </c>
      <c r="AE93" s="140">
        <f ca="1"/>
        <v>0.17337452310334323</v>
      </c>
      <c r="AH93" s="137"/>
      <c r="AI93" s="137"/>
      <c r="AJ93" s="137"/>
      <c r="AK93" s="137"/>
      <c r="AM93" s="137"/>
      <c r="AN93" s="137"/>
      <c r="AO93" s="137"/>
      <c r="AQ93" s="137"/>
      <c r="AR93" s="137"/>
      <c r="AS93" s="137"/>
      <c r="AT93" s="137"/>
      <c r="AV93" s="137"/>
      <c r="AW93" s="137"/>
      <c r="AX93" s="137"/>
    </row>
    <row r="94" spans="1:50" s="79" customFormat="1" ht="10.199999999999999" x14ac:dyDescent="0.2">
      <c r="A94" s="97">
        <f t="shared" si="3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8">
        <v>6.9999999999999999E-4</v>
      </c>
      <c r="G94" s="158">
        <v>1E-3</v>
      </c>
      <c r="H94" s="158">
        <v>2E-3</v>
      </c>
      <c r="I94" s="158">
        <v>3.0999999999999999E-3</v>
      </c>
      <c r="J94" s="158" t="s">
        <v>87</v>
      </c>
      <c r="K94" s="158">
        <v>4.7999999999999996E-3</v>
      </c>
      <c r="L94" s="158">
        <v>5.8999999999999999E-3</v>
      </c>
      <c r="M94" s="158">
        <v>7.3000000000000001E-3</v>
      </c>
      <c r="N94" s="139" cm="1">
        <f t="array" aca="1" ref="N94:AE94" ca="1">IF(OR(B94="",NOT($J$2)),"",GetStripDefaultProbability(A94,B94,Parameter_Date,CDSRollDate,E94:M94,SpreadCurveMaturities,D94,C94,$J$4,$J$6))</f>
        <v>0</v>
      </c>
      <c r="O94" s="165">
        <f ca="1"/>
        <v>6.9813171573551713E-4</v>
      </c>
      <c r="P94" s="165">
        <f ca="1"/>
        <v>1.8403238360689134E-3</v>
      </c>
      <c r="Q94" s="165">
        <f ca="1"/>
        <v>7.100158623360775E-3</v>
      </c>
      <c r="R94" s="165">
        <f ca="1"/>
        <v>1.6363044083674838E-2</v>
      </c>
      <c r="S94" s="165">
        <f ca="1"/>
        <v>0</v>
      </c>
      <c r="T94" s="165">
        <f ca="1"/>
        <v>4.1834380487043354E-2</v>
      </c>
      <c r="U94" s="165">
        <f ca="1"/>
        <v>7.1376029576205702E-2</v>
      </c>
      <c r="V94" s="140">
        <f ca="1"/>
        <v>0.1250210965113171</v>
      </c>
      <c r="W94" s="139">
        <f ca="1"/>
        <v>0</v>
      </c>
      <c r="X94" s="165">
        <f ca="1"/>
        <v>7.97823908687878E-4</v>
      </c>
      <c r="Y94" s="165">
        <f ca="1"/>
        <v>2.006669919534132E-3</v>
      </c>
      <c r="Z94" s="165">
        <f ca="1"/>
        <v>7.4496958292125104E-3</v>
      </c>
      <c r="AA94" s="165">
        <f ca="1"/>
        <v>1.7171581445656336E-2</v>
      </c>
      <c r="AB94" s="165">
        <f ca="1"/>
        <v>0</v>
      </c>
      <c r="AC94" s="165">
        <f ca="1"/>
        <v>4.3883431661948968E-2</v>
      </c>
      <c r="AD94" s="165">
        <f ca="1"/>
        <v>7.4834106537221334E-2</v>
      </c>
      <c r="AE94" s="140">
        <f ca="1"/>
        <v>0.13096120085386576</v>
      </c>
      <c r="AH94" s="137"/>
      <c r="AI94" s="137"/>
      <c r="AJ94" s="137"/>
      <c r="AK94" s="137"/>
      <c r="AM94" s="137"/>
      <c r="AN94" s="137"/>
      <c r="AO94" s="137"/>
      <c r="AQ94" s="137"/>
      <c r="AR94" s="137"/>
      <c r="AS94" s="137"/>
      <c r="AT94" s="137"/>
      <c r="AV94" s="137"/>
      <c r="AW94" s="137"/>
      <c r="AX94" s="137"/>
    </row>
    <row r="95" spans="1:50" s="79" customFormat="1" ht="10.199999999999999" x14ac:dyDescent="0.2">
      <c r="A95" s="97">
        <f t="shared" si="3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8">
        <v>5.0000000000000001E-4</v>
      </c>
      <c r="G95" s="158">
        <v>5.9999999999999995E-4</v>
      </c>
      <c r="H95" s="158">
        <v>1.4E-3</v>
      </c>
      <c r="I95" s="158">
        <v>1.9E-3</v>
      </c>
      <c r="J95" s="158" t="s">
        <v>87</v>
      </c>
      <c r="K95" s="158">
        <v>3.0000000000000001E-3</v>
      </c>
      <c r="L95" s="158">
        <v>3.8E-3</v>
      </c>
      <c r="M95" s="158">
        <v>5.0000000000000001E-3</v>
      </c>
      <c r="N95" s="139" cm="1">
        <f t="array" aca="1" ref="N95:AE95" ca="1">IF(OR(B95="",NOT($J$2)),"",GetStripDefaultProbability(A95,B95,Parameter_Date,CDSRollDate,E95:M95,SpreadCurveMaturities,D95,C95,$J$4,$J$6))</f>
        <v>0</v>
      </c>
      <c r="O95" s="165">
        <f ca="1"/>
        <v>4.9871509903820499E-4</v>
      </c>
      <c r="P95" s="165">
        <f ca="1"/>
        <v>1.1024967160709886E-3</v>
      </c>
      <c r="Q95" s="165">
        <f ca="1"/>
        <v>4.9799817628880527E-3</v>
      </c>
      <c r="R95" s="165">
        <f ca="1"/>
        <v>1.0019652773437304E-2</v>
      </c>
      <c r="S95" s="165">
        <f ca="1"/>
        <v>0</v>
      </c>
      <c r="T95" s="165">
        <f ca="1"/>
        <v>2.6277174100360234E-2</v>
      </c>
      <c r="U95" s="165">
        <f ca="1"/>
        <v>4.6507095838793422E-2</v>
      </c>
      <c r="V95" s="140">
        <f ca="1"/>
        <v>8.7727145840800769E-2</v>
      </c>
      <c r="W95" s="139">
        <f ca="1"/>
        <v>0</v>
      </c>
      <c r="X95" s="165">
        <f ca="1"/>
        <v>5.9842770240881027E-4</v>
      </c>
      <c r="Y95" s="165">
        <f ca="1"/>
        <v>1.268965760482299E-3</v>
      </c>
      <c r="Z95" s="165">
        <f ca="1"/>
        <v>5.3302149168054092E-3</v>
      </c>
      <c r="AA95" s="165">
        <f ca="1"/>
        <v>1.0534662483362656E-2</v>
      </c>
      <c r="AB95" s="165">
        <f ca="1"/>
        <v>0</v>
      </c>
      <c r="AC95" s="165">
        <f ca="1"/>
        <v>2.756276592390039E-2</v>
      </c>
      <c r="AD95" s="165">
        <f ca="1"/>
        <v>4.8774858592301351E-2</v>
      </c>
      <c r="AE95" s="140">
        <f ca="1"/>
        <v>9.1958040772706195E-2</v>
      </c>
      <c r="AH95" s="137"/>
      <c r="AI95" s="137"/>
      <c r="AJ95" s="137"/>
      <c r="AK95" s="137"/>
      <c r="AM95" s="137"/>
      <c r="AN95" s="137"/>
      <c r="AO95" s="137"/>
      <c r="AQ95" s="137"/>
      <c r="AR95" s="137"/>
      <c r="AS95" s="137"/>
      <c r="AT95" s="137"/>
      <c r="AV95" s="137"/>
      <c r="AW95" s="137"/>
      <c r="AX95" s="137"/>
    </row>
    <row r="96" spans="1:50" s="79" customFormat="1" ht="10.199999999999999" x14ac:dyDescent="0.2">
      <c r="A96" s="97">
        <f t="shared" si="3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8">
        <v>8.9999999999999998E-4</v>
      </c>
      <c r="G96" s="158">
        <v>8.9999999999999998E-4</v>
      </c>
      <c r="H96" s="158">
        <v>1.8E-3</v>
      </c>
      <c r="I96" s="158">
        <v>2.3E-3</v>
      </c>
      <c r="J96" s="158" t="s">
        <v>87</v>
      </c>
      <c r="K96" s="158">
        <v>3.7000000000000002E-3</v>
      </c>
      <c r="L96" s="158">
        <v>4.3E-3</v>
      </c>
      <c r="M96" s="158">
        <v>5.3E-3</v>
      </c>
      <c r="N96" s="139" cm="1">
        <f t="array" aca="1" ref="N96:AE96" ca="1">IF(OR(B96="",NOT($J$2)),"",GetStripDefaultProbability(A96,B96,Parameter_Date,CDSRollDate,E96:M96,SpreadCurveMaturities,D96,C96,$J$4,$J$6))</f>
        <v>0</v>
      </c>
      <c r="O96" s="165">
        <f ca="1"/>
        <v>8.9750867988536154E-4</v>
      </c>
      <c r="P96" s="165">
        <f ca="1"/>
        <v>1.6494731901005588E-3</v>
      </c>
      <c r="Q96" s="165">
        <f ca="1"/>
        <v>6.3845907103255994E-3</v>
      </c>
      <c r="R96" s="165">
        <f ca="1"/>
        <v>1.2082713543293822E-2</v>
      </c>
      <c r="S96" s="165">
        <f ca="1"/>
        <v>0</v>
      </c>
      <c r="T96" s="165">
        <f ca="1"/>
        <v>3.2325997245468252E-2</v>
      </c>
      <c r="U96" s="165">
        <f ca="1"/>
        <v>5.2092283225878E-2</v>
      </c>
      <c r="V96" s="140">
        <f ca="1"/>
        <v>9.1624354201292779E-2</v>
      </c>
      <c r="W96" s="139">
        <f ca="1"/>
        <v>0</v>
      </c>
      <c r="X96" s="165">
        <f ca="1"/>
        <v>9.9718028063144892E-4</v>
      </c>
      <c r="Y96" s="165">
        <f ca="1"/>
        <v>1.815851079354891E-3</v>
      </c>
      <c r="Z96" s="165">
        <f ca="1"/>
        <v>6.7343333616418644E-3</v>
      </c>
      <c r="AA96" s="165">
        <f ca="1"/>
        <v>1.2677615306740497E-2</v>
      </c>
      <c r="AB96" s="165">
        <f ca="1"/>
        <v>0</v>
      </c>
      <c r="AC96" s="165">
        <f ca="1"/>
        <v>3.3912999152357681E-2</v>
      </c>
      <c r="AD96" s="165">
        <f ca="1"/>
        <v>5.4632914238630592E-2</v>
      </c>
      <c r="AE96" s="140">
        <f ca="1"/>
        <v>9.6008392667723985E-2</v>
      </c>
      <c r="AH96" s="137"/>
      <c r="AI96" s="137"/>
      <c r="AJ96" s="137"/>
      <c r="AK96" s="137"/>
      <c r="AM96" s="137"/>
      <c r="AN96" s="137"/>
      <c r="AO96" s="137"/>
      <c r="AQ96" s="137"/>
      <c r="AR96" s="137"/>
      <c r="AS96" s="137"/>
      <c r="AT96" s="137"/>
      <c r="AV96" s="137"/>
      <c r="AW96" s="137"/>
      <c r="AX96" s="137"/>
    </row>
    <row r="97" spans="1:50" s="79" customFormat="1" ht="10.199999999999999" x14ac:dyDescent="0.2">
      <c r="A97" s="97">
        <f t="shared" si="3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8">
        <v>6.9999999999999999E-4</v>
      </c>
      <c r="G97" s="158">
        <v>1.6999999999999999E-3</v>
      </c>
      <c r="H97" s="158">
        <v>2.7000000000000001E-3</v>
      </c>
      <c r="I97" s="158">
        <v>3.5000000000000001E-3</v>
      </c>
      <c r="J97" s="158" t="s">
        <v>87</v>
      </c>
      <c r="K97" s="158">
        <v>4.7999999999999996E-3</v>
      </c>
      <c r="L97" s="158">
        <v>5.7000000000000002E-3</v>
      </c>
      <c r="M97" s="158">
        <v>6.7999999999999996E-3</v>
      </c>
      <c r="N97" s="139" cm="1">
        <f t="array" aca="1" ref="N97:AE97" ca="1">IF(OR(B97="",NOT($J$2)),"",GetStripDefaultProbability(A97,B97,Parameter_Date,CDSRollDate,E97:M97,SpreadCurveMaturities,D97,C97,$J$4,$J$6))</f>
        <v>0</v>
      </c>
      <c r="O97" s="165">
        <f ca="1"/>
        <v>6.9813171573551713E-4</v>
      </c>
      <c r="P97" s="165">
        <f ca="1"/>
        <v>3.1398323791126392E-3</v>
      </c>
      <c r="Q97" s="165">
        <f ca="1"/>
        <v>9.5600838892205831E-3</v>
      </c>
      <c r="R97" s="165">
        <f ca="1"/>
        <v>1.8346415457839438E-2</v>
      </c>
      <c r="S97" s="165">
        <f ca="1"/>
        <v>0</v>
      </c>
      <c r="T97" s="165">
        <f ca="1"/>
        <v>4.1487607721594988E-2</v>
      </c>
      <c r="U97" s="165">
        <f ca="1"/>
        <v>6.8443451865125793E-2</v>
      </c>
      <c r="V97" s="140">
        <f ca="1"/>
        <v>0.11563768663107721</v>
      </c>
      <c r="W97" s="139">
        <f ca="1"/>
        <v>0</v>
      </c>
      <c r="X97" s="165">
        <f ca="1"/>
        <v>7.97823908687878E-4</v>
      </c>
      <c r="Y97" s="165">
        <f ca="1"/>
        <v>3.3059618958681813E-3</v>
      </c>
      <c r="Z97" s="165">
        <f ca="1"/>
        <v>1.0033948464262754E-2</v>
      </c>
      <c r="AA97" s="165">
        <f ca="1"/>
        <v>1.9254555141681173E-2</v>
      </c>
      <c r="AB97" s="165">
        <f ca="1"/>
        <v>0</v>
      </c>
      <c r="AC97" s="165">
        <f ca="1"/>
        <v>4.3520392074011816E-2</v>
      </c>
      <c r="AD97" s="165">
        <f ca="1"/>
        <v>7.1760977198232268E-2</v>
      </c>
      <c r="AE97" s="140">
        <f ca="1"/>
        <v>0.12114176377364005</v>
      </c>
      <c r="AH97" s="137"/>
      <c r="AI97" s="137"/>
      <c r="AJ97" s="137"/>
      <c r="AK97" s="137"/>
      <c r="AM97" s="137"/>
      <c r="AN97" s="137"/>
      <c r="AO97" s="137"/>
      <c r="AQ97" s="137"/>
      <c r="AR97" s="137"/>
      <c r="AS97" s="137"/>
      <c r="AT97" s="137"/>
      <c r="AV97" s="137"/>
      <c r="AW97" s="137"/>
      <c r="AX97" s="137"/>
    </row>
    <row r="98" spans="1:50" s="79" customFormat="1" ht="10.199999999999999" x14ac:dyDescent="0.2">
      <c r="A98" s="97">
        <f t="shared" si="3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8">
        <v>2.9999999999999997E-4</v>
      </c>
      <c r="G98" s="158">
        <v>5.0000000000000001E-4</v>
      </c>
      <c r="H98" s="158">
        <v>8.9999999999999998E-4</v>
      </c>
      <c r="I98" s="158">
        <v>1.2999999999999999E-3</v>
      </c>
      <c r="J98" s="158" t="s">
        <v>87</v>
      </c>
      <c r="K98" s="158">
        <v>2.0999999999999999E-3</v>
      </c>
      <c r="L98" s="158">
        <v>2.7000000000000001E-3</v>
      </c>
      <c r="M98" s="158">
        <v>3.3999999999999998E-3</v>
      </c>
      <c r="N98" s="139" cm="1">
        <f t="array" aca="1" ref="N98:AE98" ca="1">IF(OR(B98="",NOT($J$2)),"",GetStripDefaultProbability(A98,B98,Parameter_Date,CDSRollDate,E98:M98,SpreadCurveMaturities,D98,C98,$J$4,$J$6))</f>
        <v>0</v>
      </c>
      <c r="O98" s="165">
        <f ca="1"/>
        <v>2.9925881803194443E-4</v>
      </c>
      <c r="P98" s="165">
        <f ca="1"/>
        <v>9.2178322277725044E-4</v>
      </c>
      <c r="Q98" s="165">
        <f ca="1"/>
        <v>3.1967258936865806E-3</v>
      </c>
      <c r="R98" s="165">
        <f ca="1"/>
        <v>6.8681704376506447E-3</v>
      </c>
      <c r="S98" s="165">
        <f ca="1"/>
        <v>0</v>
      </c>
      <c r="T98" s="165">
        <f ca="1"/>
        <v>1.8465424945636411E-2</v>
      </c>
      <c r="U98" s="165">
        <f ca="1"/>
        <v>3.3264400645788395E-2</v>
      </c>
      <c r="V98" s="140">
        <f ca="1"/>
        <v>5.9996465449812741E-2</v>
      </c>
      <c r="W98" s="139">
        <f ca="1"/>
        <v>0</v>
      </c>
      <c r="X98" s="165">
        <f ca="1"/>
        <v>3.9899165370427259E-4</v>
      </c>
      <c r="Y98" s="165">
        <f ca="1"/>
        <v>1.0882823835930422E-3</v>
      </c>
      <c r="Z98" s="165">
        <f ca="1"/>
        <v>3.5474873645068294E-3</v>
      </c>
      <c r="AA98" s="165">
        <f ca="1"/>
        <v>7.3846271885489312E-3</v>
      </c>
      <c r="AB98" s="165">
        <f ca="1"/>
        <v>0</v>
      </c>
      <c r="AC98" s="165">
        <f ca="1"/>
        <v>1.9351931818484713E-2</v>
      </c>
      <c r="AD98" s="165">
        <f ca="1"/>
        <v>3.4875572074739125E-2</v>
      </c>
      <c r="AE98" s="140">
        <f ca="1"/>
        <v>6.2888384064658798E-2</v>
      </c>
      <c r="AH98" s="137"/>
      <c r="AI98" s="137"/>
      <c r="AJ98" s="137"/>
      <c r="AK98" s="137"/>
      <c r="AM98" s="137"/>
      <c r="AN98" s="137"/>
      <c r="AO98" s="137"/>
      <c r="AQ98" s="137"/>
      <c r="AR98" s="137"/>
      <c r="AS98" s="137"/>
      <c r="AT98" s="137"/>
      <c r="AV98" s="137"/>
      <c r="AW98" s="137"/>
      <c r="AX98" s="137"/>
    </row>
    <row r="99" spans="1:50" s="79" customFormat="1" ht="10.199999999999999" x14ac:dyDescent="0.2">
      <c r="A99" s="97">
        <f t="shared" si="3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8">
        <v>1.65E-3</v>
      </c>
      <c r="G99" s="158">
        <v>2.5300000000000001E-3</v>
      </c>
      <c r="H99" s="158">
        <v>3.2299999999999998E-3</v>
      </c>
      <c r="I99" s="158">
        <v>3.5400000000000002E-3</v>
      </c>
      <c r="J99" s="158" t="s">
        <v>87</v>
      </c>
      <c r="K99" s="158">
        <v>4.1999999999999997E-3</v>
      </c>
      <c r="L99" s="158">
        <v>4.5999999999999999E-3</v>
      </c>
      <c r="M99" s="158">
        <v>5.0000000000000001E-3</v>
      </c>
      <c r="N99" s="139" cm="1">
        <f t="array" aca="1" ref="N99:AE99" ca="1">IF(OR(B99="",NOT($J$2)),"",GetStripDefaultProbability(A99,B99,Parameter_Date,CDSRollDate,E99:M99,SpreadCurveMaturities,D99,C99,$J$4,$J$6))</f>
        <v>0</v>
      </c>
      <c r="O99" s="165">
        <f ca="1"/>
        <v>1.6448193422308188E-3</v>
      </c>
      <c r="P99" s="165">
        <f ca="1"/>
        <v>4.6538502791179104E-3</v>
      </c>
      <c r="Q99" s="165">
        <f ca="1"/>
        <v>1.1372423120745823E-2</v>
      </c>
      <c r="R99" s="165">
        <f ca="1"/>
        <v>1.838427031730494E-2</v>
      </c>
      <c r="S99" s="165">
        <f ca="1"/>
        <v>0</v>
      </c>
      <c r="T99" s="165">
        <f ca="1"/>
        <v>3.5917953707690131E-2</v>
      </c>
      <c r="U99" s="165">
        <f ca="1"/>
        <v>5.4607124313882482E-2</v>
      </c>
      <c r="V99" s="140">
        <f ca="1"/>
        <v>8.3943235315380726E-2</v>
      </c>
      <c r="W99" s="139">
        <f ca="1"/>
        <v>0</v>
      </c>
      <c r="X99" s="165">
        <f ca="1"/>
        <v>1.7444120378020678E-3</v>
      </c>
      <c r="Y99" s="165">
        <f ca="1"/>
        <v>4.8855869366660754E-3</v>
      </c>
      <c r="Z99" s="165">
        <f ca="1"/>
        <v>1.1937502551626067E-2</v>
      </c>
      <c r="AA99" s="165">
        <f ca="1"/>
        <v>1.9295028563533934E-2</v>
      </c>
      <c r="AB99" s="165">
        <f ca="1"/>
        <v>0</v>
      </c>
      <c r="AC99" s="165">
        <f ca="1"/>
        <v>3.7681378620371797E-2</v>
      </c>
      <c r="AD99" s="165">
        <f ca="1"/>
        <v>5.7265655856002406E-2</v>
      </c>
      <c r="AE99" s="140">
        <f ca="1"/>
        <v>8.7963295881273051E-2</v>
      </c>
      <c r="AH99" s="137"/>
      <c r="AI99" s="137"/>
      <c r="AJ99" s="137"/>
      <c r="AK99" s="137"/>
      <c r="AM99" s="137"/>
      <c r="AN99" s="137"/>
      <c r="AO99" s="137"/>
      <c r="AQ99" s="137"/>
      <c r="AR99" s="137"/>
      <c r="AS99" s="137"/>
      <c r="AT99" s="137"/>
      <c r="AV99" s="137"/>
      <c r="AW99" s="137"/>
      <c r="AX99" s="137"/>
    </row>
    <row r="100" spans="1:50" s="79" customFormat="1" ht="10.199999999999999" x14ac:dyDescent="0.2">
      <c r="A100" s="97">
        <f t="shared" si="3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8">
        <v>4.0000000000000002E-4</v>
      </c>
      <c r="G100" s="158">
        <v>6.9999999999999999E-4</v>
      </c>
      <c r="H100" s="158">
        <v>1.1999999999999999E-3</v>
      </c>
      <c r="I100" s="158">
        <v>1.4E-3</v>
      </c>
      <c r="J100" s="158" t="s">
        <v>87</v>
      </c>
      <c r="K100" s="158">
        <v>2.0999999999999999E-3</v>
      </c>
      <c r="L100" s="158">
        <v>2.5000000000000001E-3</v>
      </c>
      <c r="M100" s="158">
        <v>3.0000000000000001E-3</v>
      </c>
      <c r="N100" s="139" cm="1">
        <f t="array" aca="1" ref="N100:AE100" ca="1">IF(OR(B100="",NOT($J$2)),"",GetStripDefaultProbability(A100,B100,Parameter_Date,CDSRollDate,E100:M100,SpreadCurveMaturities,D100,C100,$J$4,$J$6))</f>
        <v>0</v>
      </c>
      <c r="O100" s="165">
        <f ca="1"/>
        <v>3.9899191733294703E-4</v>
      </c>
      <c r="P100" s="165">
        <f ca="1"/>
        <v>1.290822391445956E-3</v>
      </c>
      <c r="Q100" s="165">
        <f ca="1"/>
        <v>4.2585407236229722E-3</v>
      </c>
      <c r="R100" s="165">
        <f ca="1"/>
        <v>7.3446185078669401E-3</v>
      </c>
      <c r="S100" s="165">
        <f ca="1"/>
        <v>0</v>
      </c>
      <c r="T100" s="165">
        <f ca="1"/>
        <v>1.8360170291196076E-2</v>
      </c>
      <c r="U100" s="165">
        <f ca="1"/>
        <v>3.052596463609103E-2</v>
      </c>
      <c r="V100" s="140">
        <f ca="1"/>
        <v>5.2445625860491951E-2</v>
      </c>
      <c r="W100" s="139">
        <f ca="1"/>
        <v>0</v>
      </c>
      <c r="X100" s="165">
        <f ca="1"/>
        <v>4.9871465885786836E-4</v>
      </c>
      <c r="Y100" s="165">
        <f ca="1"/>
        <v>1.4572600508533373E-3</v>
      </c>
      <c r="Z100" s="165">
        <f ca="1"/>
        <v>4.6089649020838452E-3</v>
      </c>
      <c r="AA100" s="165">
        <f ca="1"/>
        <v>7.8606916805238347E-3</v>
      </c>
      <c r="AB100" s="165">
        <f ca="1"/>
        <v>0</v>
      </c>
      <c r="AC100" s="165">
        <f ca="1"/>
        <v>1.9246451054052982E-2</v>
      </c>
      <c r="AD100" s="165">
        <f ca="1"/>
        <v>3.200811946858817E-2</v>
      </c>
      <c r="AE100" s="140">
        <f ca="1"/>
        <v>5.4981542511521764E-2</v>
      </c>
      <c r="AH100" s="137"/>
      <c r="AI100" s="137"/>
      <c r="AJ100" s="137"/>
      <c r="AK100" s="137"/>
      <c r="AM100" s="137"/>
      <c r="AN100" s="137"/>
      <c r="AO100" s="137"/>
      <c r="AQ100" s="137"/>
      <c r="AR100" s="137"/>
      <c r="AS100" s="137"/>
      <c r="AT100" s="137"/>
      <c r="AV100" s="137"/>
      <c r="AW100" s="137"/>
      <c r="AX100" s="137"/>
    </row>
    <row r="101" spans="1:50" s="79" customFormat="1" ht="10.199999999999999" x14ac:dyDescent="0.2">
      <c r="A101" s="97">
        <f t="shared" si="3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8">
        <v>5.9999999999999995E-4</v>
      </c>
      <c r="G101" s="158">
        <v>1.5E-3</v>
      </c>
      <c r="H101" s="158">
        <v>2.3E-3</v>
      </c>
      <c r="I101" s="158">
        <v>3.3999999999999998E-3</v>
      </c>
      <c r="J101" s="158" t="s">
        <v>87</v>
      </c>
      <c r="K101" s="158">
        <v>5.3E-3</v>
      </c>
      <c r="L101" s="158">
        <v>6.6E-3</v>
      </c>
      <c r="M101" s="158">
        <v>8.2000000000000007E-3</v>
      </c>
      <c r="N101" s="139" cm="1">
        <f t="array" aca="1" ref="N101:AE101" ca="1">IF(OR(B101="",NOT($J$2)),"",GetStripDefaultProbability(A101,B101,Parameter_Date,CDSRollDate,E101:M101,SpreadCurveMaturities,D101,C101,$J$4,$J$6))</f>
        <v>0</v>
      </c>
      <c r="O101" s="165">
        <f ca="1"/>
        <v>5.9842836468415594E-4</v>
      </c>
      <c r="P101" s="165">
        <f ca="1"/>
        <v>2.7712492000606659E-3</v>
      </c>
      <c r="Q101" s="165">
        <f ca="1"/>
        <v>8.1445414679524042E-3</v>
      </c>
      <c r="R101" s="165">
        <f ca="1"/>
        <v>1.7895455444824848E-2</v>
      </c>
      <c r="S101" s="165">
        <f ca="1"/>
        <v>0</v>
      </c>
      <c r="T101" s="165">
        <f ca="1"/>
        <v>4.6092397486712566E-2</v>
      </c>
      <c r="U101" s="165">
        <f ca="1"/>
        <v>7.9665358294419564E-2</v>
      </c>
      <c r="V101" s="140">
        <f ca="1"/>
        <v>0.13977605552739292</v>
      </c>
      <c r="W101" s="139">
        <f ca="1"/>
        <v>0</v>
      </c>
      <c r="X101" s="165">
        <f ca="1"/>
        <v>6.9813078535330142E-4</v>
      </c>
      <c r="Y101" s="165">
        <f ca="1"/>
        <v>2.9374401422381791E-3</v>
      </c>
      <c r="Z101" s="165">
        <f ca="1"/>
        <v>8.5473904106669885E-3</v>
      </c>
      <c r="AA101" s="165">
        <f ca="1"/>
        <v>1.8780917680503495E-2</v>
      </c>
      <c r="AB101" s="165">
        <f ca="1"/>
        <v>0</v>
      </c>
      <c r="AC101" s="165">
        <f ca="1"/>
        <v>4.834729119315595E-2</v>
      </c>
      <c r="AD101" s="165">
        <f ca="1"/>
        <v>8.3513278233453336E-2</v>
      </c>
      <c r="AE101" s="140">
        <f ca="1"/>
        <v>0.14637961571466385</v>
      </c>
      <c r="AH101" s="137"/>
      <c r="AI101" s="137"/>
      <c r="AJ101" s="137"/>
      <c r="AK101" s="137"/>
      <c r="AM101" s="137"/>
      <c r="AN101" s="137"/>
      <c r="AO101" s="137"/>
      <c r="AQ101" s="137"/>
      <c r="AR101" s="137"/>
      <c r="AS101" s="137"/>
      <c r="AT101" s="137"/>
      <c r="AV101" s="137"/>
      <c r="AW101" s="137"/>
      <c r="AX101" s="137"/>
    </row>
    <row r="102" spans="1:50" s="79" customFormat="1" ht="10.199999999999999" x14ac:dyDescent="0.2">
      <c r="A102" s="97">
        <f t="shared" si="3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8">
        <v>4.0000000000000002E-4</v>
      </c>
      <c r="G102" s="158">
        <v>5.0000000000000001E-4</v>
      </c>
      <c r="H102" s="158">
        <v>8.9999999999999998E-4</v>
      </c>
      <c r="I102" s="158">
        <v>1.1999999999999999E-3</v>
      </c>
      <c r="J102" s="158" t="s">
        <v>87</v>
      </c>
      <c r="K102" s="158">
        <v>2E-3</v>
      </c>
      <c r="L102" s="158">
        <v>2.5000000000000001E-3</v>
      </c>
      <c r="M102" s="158">
        <v>3.3E-3</v>
      </c>
      <c r="N102" s="139" cm="1">
        <f t="array" aca="1" ref="N102:AE102" ca="1">IF(OR(B102="",NOT($J$2)),"",GetStripDefaultProbability(A102,B102,Parameter_Date,CDSRollDate,E102:M102,SpreadCurveMaturities,D102,C102,$J$4,$J$6))</f>
        <v>0</v>
      </c>
      <c r="O102" s="165">
        <f ca="1"/>
        <v>3.9899191733294703E-4</v>
      </c>
      <c r="P102" s="165">
        <f ca="1"/>
        <v>9.192466160231616E-4</v>
      </c>
      <c r="Q102" s="165">
        <f ca="1"/>
        <v>3.1941551440102245E-3</v>
      </c>
      <c r="R102" s="165">
        <f ca="1"/>
        <v>6.3240004114598625E-3</v>
      </c>
      <c r="S102" s="165">
        <f ca="1"/>
        <v>0</v>
      </c>
      <c r="T102" s="165">
        <f ca="1"/>
        <v>1.7594352880394681E-2</v>
      </c>
      <c r="U102" s="165">
        <f ca="1"/>
        <v>3.0760110666796514E-2</v>
      </c>
      <c r="V102" s="140">
        <f ca="1"/>
        <v>5.8535878181792178E-2</v>
      </c>
      <c r="W102" s="139">
        <f ca="1"/>
        <v>0</v>
      </c>
      <c r="X102" s="165">
        <f ca="1"/>
        <v>4.9871465885786836E-4</v>
      </c>
      <c r="Y102" s="165">
        <f ca="1"/>
        <v>1.0857461995669171E-3</v>
      </c>
      <c r="Z102" s="165">
        <f ca="1"/>
        <v>3.5449078332008277E-3</v>
      </c>
      <c r="AA102" s="165">
        <f ca="1"/>
        <v>6.8406436920014357E-3</v>
      </c>
      <c r="AB102" s="165">
        <f ca="1"/>
        <v>0</v>
      </c>
      <c r="AC102" s="165">
        <f ca="1"/>
        <v>1.843623979725173E-2</v>
      </c>
      <c r="AD102" s="165">
        <f ca="1"/>
        <v>3.22474608166885E-2</v>
      </c>
      <c r="AE102" s="140">
        <f ca="1"/>
        <v>6.135713157047884E-2</v>
      </c>
      <c r="AH102" s="137"/>
      <c r="AI102" s="137"/>
      <c r="AJ102" s="137"/>
      <c r="AK102" s="137"/>
      <c r="AM102" s="137"/>
      <c r="AN102" s="137"/>
      <c r="AO102" s="137"/>
      <c r="AQ102" s="137"/>
      <c r="AR102" s="137"/>
      <c r="AS102" s="137"/>
      <c r="AT102" s="137"/>
      <c r="AV102" s="137"/>
      <c r="AW102" s="137"/>
      <c r="AX102" s="137"/>
    </row>
    <row r="103" spans="1:50" s="79" customFormat="1" ht="10.199999999999999" x14ac:dyDescent="0.2">
      <c r="A103" s="97">
        <f t="shared" si="3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8">
        <v>5.0000000000000001E-4</v>
      </c>
      <c r="G103" s="158">
        <v>5.0000000000000001E-4</v>
      </c>
      <c r="H103" s="158">
        <v>8.9999999999999998E-4</v>
      </c>
      <c r="I103" s="158">
        <v>1.2999999999999999E-3</v>
      </c>
      <c r="J103" s="158" t="s">
        <v>87</v>
      </c>
      <c r="K103" s="158">
        <v>2E-3</v>
      </c>
      <c r="L103" s="158">
        <v>2.5000000000000001E-3</v>
      </c>
      <c r="M103" s="158">
        <v>2.8E-3</v>
      </c>
      <c r="N103" s="139" cm="1">
        <f t="array" aca="1" ref="N103:AE103" ca="1">IF(OR(B103="",NOT($J$2)),"",GetStripDefaultProbability(A103,B103,Parameter_Date,CDSRollDate,E103:M103,SpreadCurveMaturities,D103,C103,$J$4,$J$6))</f>
        <v>0</v>
      </c>
      <c r="O103" s="165">
        <f ca="1"/>
        <v>4.9871509903820499E-4</v>
      </c>
      <c r="P103" s="165">
        <f ca="1"/>
        <v>9.1671021619554871E-4</v>
      </c>
      <c r="Q103" s="165">
        <f ca="1"/>
        <v>3.191584563301153E-3</v>
      </c>
      <c r="R103" s="165">
        <f ca="1"/>
        <v>6.8629642387845191E-3</v>
      </c>
      <c r="S103" s="165">
        <f ca="1"/>
        <v>0</v>
      </c>
      <c r="T103" s="165">
        <f ca="1"/>
        <v>1.755289759996459E-2</v>
      </c>
      <c r="U103" s="165">
        <f ca="1"/>
        <v>3.071832117672757E-2</v>
      </c>
      <c r="V103" s="140">
        <f ca="1"/>
        <v>4.873053592986254E-2</v>
      </c>
      <c r="W103" s="139">
        <f ca="1"/>
        <v>0</v>
      </c>
      <c r="X103" s="165">
        <f ca="1"/>
        <v>5.9842770240881027E-4</v>
      </c>
      <c r="Y103" s="165">
        <f ca="1"/>
        <v>1.0832102224404005E-3</v>
      </c>
      <c r="Z103" s="165">
        <f ca="1"/>
        <v>3.542328472900258E-3</v>
      </c>
      <c r="AA103" s="165">
        <f ca="1"/>
        <v>7.3794043473595083E-3</v>
      </c>
      <c r="AB103" s="165">
        <f ca="1"/>
        <v>0</v>
      </c>
      <c r="AC103" s="165">
        <f ca="1"/>
        <v>1.8394759764197355E-2</v>
      </c>
      <c r="AD103" s="165">
        <f ca="1"/>
        <v>3.2205517213770074E-2</v>
      </c>
      <c r="AE103" s="140">
        <f ca="1"/>
        <v>5.1084110748846778E-2</v>
      </c>
      <c r="AH103" s="137"/>
      <c r="AI103" s="137"/>
      <c r="AJ103" s="137"/>
      <c r="AK103" s="137"/>
      <c r="AM103" s="137"/>
      <c r="AN103" s="137"/>
      <c r="AO103" s="137"/>
      <c r="AQ103" s="137"/>
      <c r="AR103" s="137"/>
      <c r="AS103" s="137"/>
      <c r="AT103" s="137"/>
      <c r="AV103" s="137"/>
      <c r="AW103" s="137"/>
      <c r="AX103" s="137"/>
    </row>
    <row r="104" spans="1:50" s="79" customFormat="1" ht="10.199999999999999" x14ac:dyDescent="0.2">
      <c r="A104" s="97">
        <f t="shared" si="3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8">
        <v>2.9999999999999997E-4</v>
      </c>
      <c r="G104" s="158">
        <v>1.1000000000000001E-3</v>
      </c>
      <c r="H104" s="158">
        <v>1.5E-3</v>
      </c>
      <c r="I104" s="158">
        <v>2E-3</v>
      </c>
      <c r="J104" s="158" t="s">
        <v>87</v>
      </c>
      <c r="K104" s="158">
        <v>2.8999999999999998E-3</v>
      </c>
      <c r="L104" s="158">
        <v>3.5999999999999999E-3</v>
      </c>
      <c r="M104" s="158">
        <v>4.4999999999999997E-3</v>
      </c>
      <c r="N104" s="139" cm="1">
        <f t="array" aca="1" ref="N104:AE104" ca="1">IF(OR(B104="",NOT($J$2)),"",GetStripDefaultProbability(A104,B104,Parameter_Date,CDSRollDate,E104:M104,SpreadCurveMaturities,D104,C104,$J$4,$J$6))</f>
        <v>0</v>
      </c>
      <c r="O104" s="165">
        <f ca="1"/>
        <v>2.9925881803194443E-4</v>
      </c>
      <c r="P104" s="165">
        <f ca="1"/>
        <v>2.0363791823876376E-3</v>
      </c>
      <c r="Q104" s="165">
        <f ca="1"/>
        <v>5.3119032470809735E-3</v>
      </c>
      <c r="R104" s="165">
        <f ca="1"/>
        <v>1.0516118589178114E-2</v>
      </c>
      <c r="S104" s="165">
        <f ca="1"/>
        <v>0</v>
      </c>
      <c r="T104" s="165">
        <f ca="1"/>
        <v>2.5288619831056791E-2</v>
      </c>
      <c r="U104" s="165">
        <f ca="1"/>
        <v>4.3900358541618556E-2</v>
      </c>
      <c r="V104" s="140">
        <f ca="1"/>
        <v>7.8500881207212214E-2</v>
      </c>
      <c r="W104" s="139">
        <f ca="1"/>
        <v>0</v>
      </c>
      <c r="X104" s="165">
        <f ca="1"/>
        <v>3.9899165370427259E-4</v>
      </c>
      <c r="Y104" s="165">
        <f ca="1"/>
        <v>2.2026925926892371E-3</v>
      </c>
      <c r="Z104" s="165">
        <f ca="1"/>
        <v>5.6619702766539381E-3</v>
      </c>
      <c r="AA104" s="165">
        <f ca="1"/>
        <v>1.1030797653118762E-2</v>
      </c>
      <c r="AB104" s="165">
        <f ca="1"/>
        <v>0</v>
      </c>
      <c r="AC104" s="165">
        <f ca="1"/>
        <v>2.6529775071503447E-2</v>
      </c>
      <c r="AD104" s="165">
        <f ca="1"/>
        <v>4.6045853085629807E-2</v>
      </c>
      <c r="AE104" s="140">
        <f ca="1"/>
        <v>8.2279564178432407E-2</v>
      </c>
      <c r="AH104" s="137"/>
      <c r="AI104" s="137"/>
      <c r="AJ104" s="137"/>
      <c r="AK104" s="137"/>
      <c r="AM104" s="137"/>
      <c r="AN104" s="137"/>
      <c r="AO104" s="137"/>
      <c r="AQ104" s="137"/>
      <c r="AR104" s="137"/>
      <c r="AS104" s="137"/>
      <c r="AT104" s="137"/>
      <c r="AV104" s="137"/>
      <c r="AW104" s="137"/>
      <c r="AX104" s="137"/>
    </row>
    <row r="105" spans="1:50" s="79" customFormat="1" ht="10.199999999999999" x14ac:dyDescent="0.2">
      <c r="A105" s="97">
        <f t="shared" si="3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8">
        <v>2.9999999999999997E-4</v>
      </c>
      <c r="G105" s="158">
        <v>5.0000000000000001E-4</v>
      </c>
      <c r="H105" s="158">
        <v>8.9999999999999998E-4</v>
      </c>
      <c r="I105" s="158">
        <v>1.2999999999999999E-3</v>
      </c>
      <c r="J105" s="158" t="s">
        <v>87</v>
      </c>
      <c r="K105" s="158">
        <v>2.0999999999999999E-3</v>
      </c>
      <c r="L105" s="158">
        <v>2.7000000000000001E-3</v>
      </c>
      <c r="M105" s="158">
        <v>3.3999999999999998E-3</v>
      </c>
      <c r="N105" s="139" cm="1">
        <f t="array" aca="1" ref="N105:AE105" ca="1">IF(OR(B105="",NOT($J$2)),"",GetStripDefaultProbability(A105,B105,Parameter_Date,CDSRollDate,E105:M105,SpreadCurveMaturities,D105,C105,$J$4,$J$6))</f>
        <v>0</v>
      </c>
      <c r="O105" s="165">
        <f ca="1"/>
        <v>2.9925881803194443E-4</v>
      </c>
      <c r="P105" s="165">
        <f ca="1"/>
        <v>9.2178322277725044E-4</v>
      </c>
      <c r="Q105" s="165">
        <f ca="1"/>
        <v>3.1967258936865806E-3</v>
      </c>
      <c r="R105" s="165">
        <f ca="1"/>
        <v>6.8681704376506447E-3</v>
      </c>
      <c r="S105" s="165">
        <f ca="1"/>
        <v>0</v>
      </c>
      <c r="T105" s="165">
        <f ca="1"/>
        <v>1.8465424945636411E-2</v>
      </c>
      <c r="U105" s="165">
        <f ca="1"/>
        <v>3.3264400645788395E-2</v>
      </c>
      <c r="V105" s="140">
        <f ca="1"/>
        <v>5.9996465449812741E-2</v>
      </c>
      <c r="W105" s="139">
        <f ca="1"/>
        <v>0</v>
      </c>
      <c r="X105" s="165">
        <f ca="1"/>
        <v>3.9899165370427259E-4</v>
      </c>
      <c r="Y105" s="165">
        <f ca="1"/>
        <v>1.0882823835930422E-3</v>
      </c>
      <c r="Z105" s="165">
        <f ca="1"/>
        <v>3.5474873645068294E-3</v>
      </c>
      <c r="AA105" s="165">
        <f ca="1"/>
        <v>7.3846271885489312E-3</v>
      </c>
      <c r="AB105" s="165">
        <f ca="1"/>
        <v>0</v>
      </c>
      <c r="AC105" s="165">
        <f ca="1"/>
        <v>1.9351931818484713E-2</v>
      </c>
      <c r="AD105" s="165">
        <f ca="1"/>
        <v>3.4875572074739125E-2</v>
      </c>
      <c r="AE105" s="140">
        <f ca="1"/>
        <v>6.2888384064658798E-2</v>
      </c>
      <c r="AH105" s="137"/>
      <c r="AI105" s="137"/>
      <c r="AJ105" s="137"/>
      <c r="AK105" s="137"/>
      <c r="AM105" s="137"/>
      <c r="AN105" s="137"/>
      <c r="AO105" s="137"/>
      <c r="AQ105" s="137"/>
      <c r="AR105" s="137"/>
      <c r="AS105" s="137"/>
      <c r="AT105" s="137"/>
      <c r="AV105" s="137"/>
      <c r="AW105" s="137"/>
      <c r="AX105" s="137"/>
    </row>
    <row r="106" spans="1:50" s="79" customFormat="1" ht="10.199999999999999" x14ac:dyDescent="0.2">
      <c r="A106" s="97">
        <f t="shared" si="3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8">
        <v>8.9999999999999998E-4</v>
      </c>
      <c r="G106" s="158">
        <v>8.9999999999999998E-4</v>
      </c>
      <c r="H106" s="158">
        <v>1.8E-3</v>
      </c>
      <c r="I106" s="158">
        <v>2.5999999999999999E-3</v>
      </c>
      <c r="J106" s="158" t="s">
        <v>87</v>
      </c>
      <c r="K106" s="158">
        <v>4.3E-3</v>
      </c>
      <c r="L106" s="158">
        <v>5.4000000000000003E-3</v>
      </c>
      <c r="M106" s="158">
        <v>6.4000000000000003E-3</v>
      </c>
      <c r="N106" s="139" cm="1">
        <f t="array" aca="1" ref="N106:AE106" ca="1">IF(OR(B106="",NOT($J$2)),"",GetStripDefaultProbability(A106,B106,Parameter_Date,CDSRollDate,E106:M106,SpreadCurveMaturities,D106,C106,$J$4,$J$6))</f>
        <v>0</v>
      </c>
      <c r="O106" s="165">
        <f ca="1"/>
        <v>8.9750867988536154E-4</v>
      </c>
      <c r="P106" s="165">
        <f ca="1"/>
        <v>1.6494731901005588E-3</v>
      </c>
      <c r="Q106" s="165">
        <f ca="1"/>
        <v>6.3845907103255994E-3</v>
      </c>
      <c r="R106" s="165">
        <f ca="1"/>
        <v>1.3702140441102517E-2</v>
      </c>
      <c r="S106" s="165">
        <f ca="1"/>
        <v>0</v>
      </c>
      <c r="T106" s="165">
        <f ca="1"/>
        <v>3.7597286987081424E-2</v>
      </c>
      <c r="U106" s="165">
        <f ca="1"/>
        <v>6.5663897668315707E-2</v>
      </c>
      <c r="V106" s="140">
        <f ca="1"/>
        <v>0.10975156175032885</v>
      </c>
      <c r="W106" s="139">
        <f ca="1"/>
        <v>0</v>
      </c>
      <c r="X106" s="165">
        <f ca="1"/>
        <v>9.9718028063144892E-4</v>
      </c>
      <c r="Y106" s="165">
        <f ca="1"/>
        <v>1.815851079354891E-3</v>
      </c>
      <c r="Z106" s="165">
        <f ca="1"/>
        <v>6.7343333616418644E-3</v>
      </c>
      <c r="AA106" s="165">
        <f ca="1"/>
        <v>1.4377291400077929E-2</v>
      </c>
      <c r="AB106" s="165">
        <f ca="1"/>
        <v>0</v>
      </c>
      <c r="AC106" s="165">
        <f ca="1"/>
        <v>3.9440153840300418E-2</v>
      </c>
      <c r="AD106" s="165">
        <f ca="1"/>
        <v>6.885244848769545E-2</v>
      </c>
      <c r="AE106" s="140">
        <f ca="1"/>
        <v>0.11499216141817925</v>
      </c>
      <c r="AH106" s="137"/>
      <c r="AI106" s="137"/>
      <c r="AJ106" s="137"/>
      <c r="AK106" s="137"/>
      <c r="AM106" s="137"/>
      <c r="AN106" s="137"/>
      <c r="AO106" s="137"/>
      <c r="AQ106" s="137"/>
      <c r="AR106" s="137"/>
      <c r="AS106" s="137"/>
      <c r="AT106" s="137"/>
      <c r="AV106" s="137"/>
      <c r="AW106" s="137"/>
      <c r="AX106" s="137"/>
    </row>
    <row r="107" spans="1:50" s="79" customFormat="1" ht="10.199999999999999" x14ac:dyDescent="0.2">
      <c r="A107" s="97">
        <f t="shared" si="3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8">
        <v>2.9999999999999997E-4</v>
      </c>
      <c r="G107" s="158">
        <v>5.0000000000000001E-4</v>
      </c>
      <c r="H107" s="158">
        <v>1.1999999999999999E-3</v>
      </c>
      <c r="I107" s="158">
        <v>1.6000000000000001E-3</v>
      </c>
      <c r="J107" s="158" t="s">
        <v>87</v>
      </c>
      <c r="K107" s="158">
        <v>2.5999999999999999E-3</v>
      </c>
      <c r="L107" s="158">
        <v>3.3999999999999998E-3</v>
      </c>
      <c r="M107" s="158">
        <v>4.4000000000000003E-3</v>
      </c>
      <c r="N107" s="139" cm="1">
        <f t="array" aca="1" ref="N107:AE107" ca="1">IF(OR(B107="",NOT($J$2)),"",GetStripDefaultProbability(A107,B107,Parameter_Date,CDSRollDate,E107:M107,SpreadCurveMaturities,D107,C107,$J$4,$J$6))</f>
        <v>0</v>
      </c>
      <c r="O107" s="165">
        <f ca="1"/>
        <v>2.9925881803194443E-4</v>
      </c>
      <c r="P107" s="165">
        <f ca="1"/>
        <v>9.2178322277725044E-4</v>
      </c>
      <c r="Q107" s="165">
        <f ca="1"/>
        <v>4.2738340432156852E-3</v>
      </c>
      <c r="R107" s="165">
        <f ca="1"/>
        <v>8.4423242673474785E-3</v>
      </c>
      <c r="S107" s="165">
        <f ca="1"/>
        <v>0</v>
      </c>
      <c r="T107" s="165">
        <f ca="1"/>
        <v>2.2826764863593807E-2</v>
      </c>
      <c r="U107" s="165">
        <f ca="1"/>
        <v>4.1819231063962903E-2</v>
      </c>
      <c r="V107" s="140">
        <f ca="1"/>
        <v>7.7482072951641445E-2</v>
      </c>
      <c r="W107" s="139">
        <f ca="1"/>
        <v>0</v>
      </c>
      <c r="X107" s="165">
        <f ca="1"/>
        <v>3.9899165370427259E-4</v>
      </c>
      <c r="Y107" s="165">
        <f ca="1"/>
        <v>1.0882823835930422E-3</v>
      </c>
      <c r="Z107" s="165">
        <f ca="1"/>
        <v>4.624301779303619E-3</v>
      </c>
      <c r="AA107" s="165">
        <f ca="1"/>
        <v>8.9580560364335149E-3</v>
      </c>
      <c r="AB107" s="165">
        <f ca="1"/>
        <v>0</v>
      </c>
      <c r="AC107" s="165">
        <f ca="1"/>
        <v>2.3935489470291005E-2</v>
      </c>
      <c r="AD107" s="165">
        <f ca="1"/>
        <v>4.385343552702814E-2</v>
      </c>
      <c r="AE107" s="140">
        <f ca="1"/>
        <v>8.1204631467906907E-2</v>
      </c>
      <c r="AH107" s="137"/>
      <c r="AI107" s="137"/>
      <c r="AJ107" s="137"/>
      <c r="AK107" s="137"/>
      <c r="AM107" s="137"/>
      <c r="AN107" s="137"/>
      <c r="AO107" s="137"/>
      <c r="AQ107" s="137"/>
      <c r="AR107" s="137"/>
      <c r="AS107" s="137"/>
      <c r="AT107" s="137"/>
      <c r="AV107" s="137"/>
      <c r="AW107" s="137"/>
      <c r="AX107" s="137"/>
    </row>
    <row r="108" spans="1:50" s="79" customFormat="1" ht="10.199999999999999" x14ac:dyDescent="0.2">
      <c r="A108" s="97">
        <f t="shared" si="3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8">
        <v>6.9999999999999999E-4</v>
      </c>
      <c r="G108" s="158">
        <v>1.1000000000000001E-3</v>
      </c>
      <c r="H108" s="158">
        <v>2E-3</v>
      </c>
      <c r="I108" s="158">
        <v>2.8999999999999998E-3</v>
      </c>
      <c r="J108" s="158" t="s">
        <v>87</v>
      </c>
      <c r="K108" s="158">
        <v>4.8999999999999998E-3</v>
      </c>
      <c r="L108" s="158">
        <v>6.0000000000000001E-3</v>
      </c>
      <c r="M108" s="158">
        <v>7.1999999999999998E-3</v>
      </c>
      <c r="N108" s="139" cm="1">
        <f t="array" aca="1" ref="N108:AE108" ca="1">IF(OR(B108="",NOT($J$2)),"",GetStripDefaultProbability(A108,B108,Parameter_Date,CDSRollDate,E108:M108,SpreadCurveMaturities,D108,C108,$J$4,$J$6))</f>
        <v>0</v>
      </c>
      <c r="O108" s="165">
        <f ca="1"/>
        <v>6.9813171573551713E-4</v>
      </c>
      <c r="P108" s="165">
        <f ca="1"/>
        <v>2.0260144430502836E-3</v>
      </c>
      <c r="Q108" s="165">
        <f ca="1"/>
        <v>7.0936288197094299E-3</v>
      </c>
      <c r="R108" s="165">
        <f ca="1"/>
        <v>1.5277955649815822E-2</v>
      </c>
      <c r="S108" s="165">
        <f ca="1"/>
        <v>0</v>
      </c>
      <c r="T108" s="165">
        <f ca="1"/>
        <v>4.28080211377867E-2</v>
      </c>
      <c r="U108" s="165">
        <f ca="1"/>
        <v>7.2644073664842268E-2</v>
      </c>
      <c r="V108" s="140">
        <f ca="1"/>
        <v>0.12292394127534156</v>
      </c>
      <c r="W108" s="139">
        <f ca="1"/>
        <v>0</v>
      </c>
      <c r="X108" s="165">
        <f ca="1"/>
        <v>7.97823908687878E-4</v>
      </c>
      <c r="Y108" s="165">
        <f ca="1"/>
        <v>2.1923295806707266E-3</v>
      </c>
      <c r="Z108" s="165">
        <f ca="1"/>
        <v>7.4431518270907659E-3</v>
      </c>
      <c r="AA108" s="165">
        <f ca="1"/>
        <v>1.6033099439263676E-2</v>
      </c>
      <c r="AB108" s="165">
        <f ca="1"/>
        <v>0</v>
      </c>
      <c r="AC108" s="165">
        <f ca="1"/>
        <v>4.4904560185731968E-2</v>
      </c>
      <c r="AD108" s="165">
        <f ca="1"/>
        <v>7.6163218409737721E-2</v>
      </c>
      <c r="AE108" s="140">
        <f ca="1"/>
        <v>0.12876428849912414</v>
      </c>
      <c r="AH108" s="137"/>
      <c r="AI108" s="137"/>
      <c r="AJ108" s="137"/>
      <c r="AK108" s="137"/>
      <c r="AM108" s="137"/>
      <c r="AN108" s="137"/>
      <c r="AO108" s="137"/>
      <c r="AQ108" s="137"/>
      <c r="AR108" s="137"/>
      <c r="AS108" s="137"/>
      <c r="AT108" s="137"/>
      <c r="AV108" s="137"/>
      <c r="AW108" s="137"/>
      <c r="AX108" s="137"/>
    </row>
    <row r="109" spans="1:50" s="79" customFormat="1" ht="10.199999999999999" x14ac:dyDescent="0.2">
      <c r="A109" s="97">
        <f t="shared" si="3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8">
        <v>4.0000000000000002E-4</v>
      </c>
      <c r="G109" s="158">
        <v>8.9999999999999998E-4</v>
      </c>
      <c r="H109" s="158">
        <v>1.4E-3</v>
      </c>
      <c r="I109" s="158">
        <v>1.6999999999999999E-3</v>
      </c>
      <c r="J109" s="158" t="s">
        <v>87</v>
      </c>
      <c r="K109" s="158">
        <v>2.5000000000000001E-3</v>
      </c>
      <c r="L109" s="158">
        <v>2.8999999999999998E-3</v>
      </c>
      <c r="M109" s="158">
        <v>3.3999999999999998E-3</v>
      </c>
      <c r="N109" s="139" cm="1">
        <f t="array" aca="1" ref="N109:AE109" ca="1">IF(OR(B109="",NOT($J$2)),"",GetStripDefaultProbability(A109,B109,Parameter_Date,CDSRollDate,E109:M109,SpreadCurveMaturities,D109,C109,$J$4,$J$6))</f>
        <v>0</v>
      </c>
      <c r="O109" s="165">
        <f ca="1"/>
        <v>3.9899191733294703E-4</v>
      </c>
      <c r="P109" s="165">
        <f ca="1"/>
        <v>1.6623360744073556E-3</v>
      </c>
      <c r="Q109" s="165">
        <f ca="1"/>
        <v>4.9634166586608464E-3</v>
      </c>
      <c r="R109" s="165">
        <f ca="1"/>
        <v>8.9214823789062203E-3</v>
      </c>
      <c r="S109" s="165">
        <f ca="1"/>
        <v>0</v>
      </c>
      <c r="T109" s="165">
        <f ca="1"/>
        <v>2.1818943607468277E-2</v>
      </c>
      <c r="U109" s="165">
        <f ca="1"/>
        <v>3.5249917796905228E-2</v>
      </c>
      <c r="V109" s="140">
        <f ca="1"/>
        <v>5.8992090480950554E-2</v>
      </c>
      <c r="W109" s="139">
        <f ca="1"/>
        <v>0</v>
      </c>
      <c r="X109" s="165">
        <f ca="1"/>
        <v>4.9871465885786836E-4</v>
      </c>
      <c r="Y109" s="165">
        <f ca="1"/>
        <v>1.828711820033968E-3</v>
      </c>
      <c r="Z109" s="165">
        <f ca="1"/>
        <v>5.3136084339350242E-3</v>
      </c>
      <c r="AA109" s="165">
        <f ca="1"/>
        <v>9.4368366857953134E-3</v>
      </c>
      <c r="AB109" s="165">
        <f ca="1"/>
        <v>0</v>
      </c>
      <c r="AC109" s="165">
        <f ca="1"/>
        <v>2.2883011176162316E-2</v>
      </c>
      <c r="AD109" s="165">
        <f ca="1"/>
        <v>3.6969309376854831E-2</v>
      </c>
      <c r="AE109" s="140">
        <f ca="1"/>
        <v>6.1845517136780548E-2</v>
      </c>
      <c r="AH109" s="137"/>
      <c r="AI109" s="137"/>
      <c r="AJ109" s="137"/>
      <c r="AK109" s="137"/>
      <c r="AM109" s="137"/>
      <c r="AN109" s="137"/>
      <c r="AO109" s="137"/>
      <c r="AQ109" s="137"/>
      <c r="AR109" s="137"/>
      <c r="AS109" s="137"/>
      <c r="AT109" s="137"/>
      <c r="AV109" s="137"/>
      <c r="AW109" s="137"/>
      <c r="AX109" s="137"/>
    </row>
    <row r="110" spans="1:50" s="79" customFormat="1" ht="10.199999999999999" x14ac:dyDescent="0.2">
      <c r="A110" s="97">
        <f t="shared" si="3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8">
        <v>8.0000000000000004E-4</v>
      </c>
      <c r="G110" s="158">
        <v>8.0000000000000004E-4</v>
      </c>
      <c r="H110" s="158">
        <v>1.6999999999999999E-3</v>
      </c>
      <c r="I110" s="158">
        <v>2.3E-3</v>
      </c>
      <c r="J110" s="158" t="s">
        <v>87</v>
      </c>
      <c r="K110" s="158">
        <v>4.1999999999999997E-3</v>
      </c>
      <c r="L110" s="158">
        <v>5.3E-3</v>
      </c>
      <c r="M110" s="158">
        <v>6.4999999999999997E-3</v>
      </c>
      <c r="N110" s="139" cm="1">
        <f t="array" aca="1" ref="N110:AE110" ca="1">IF(OR(B110="",NOT($J$2)),"",GetStripDefaultProbability(A110,B110,Parameter_Date,CDSRollDate,E110:M110,SpreadCurveMaturities,D110,C110,$J$4,$J$6))</f>
        <v>0</v>
      </c>
      <c r="O110" s="165">
        <f ca="1"/>
        <v>7.9782515363191475E-4</v>
      </c>
      <c r="P110" s="165">
        <f ca="1"/>
        <v>1.4663328541577592E-3</v>
      </c>
      <c r="Q110" s="165">
        <f ca="1"/>
        <v>6.0352208652043604E-3</v>
      </c>
      <c r="R110" s="165">
        <f ca="1"/>
        <v>1.2109051552397054E-2</v>
      </c>
      <c r="S110" s="165">
        <f ca="1"/>
        <v>0</v>
      </c>
      <c r="T110" s="165">
        <f ca="1"/>
        <v>3.685164780979977E-2</v>
      </c>
      <c r="U110" s="165">
        <f ca="1"/>
        <v>6.4622913094754431E-2</v>
      </c>
      <c r="V110" s="140">
        <f ca="1"/>
        <v>0.11209278580272941</v>
      </c>
      <c r="W110" s="139">
        <f ca="1"/>
        <v>0</v>
      </c>
      <c r="X110" s="165">
        <f ca="1"/>
        <v>8.9750707345648273E-4</v>
      </c>
      <c r="Y110" s="165">
        <f ca="1"/>
        <v>1.6327412642688222E-3</v>
      </c>
      <c r="Z110" s="165">
        <f ca="1"/>
        <v>6.385090492286527E-3</v>
      </c>
      <c r="AA110" s="165">
        <f ca="1"/>
        <v>1.2704033896659195E-2</v>
      </c>
      <c r="AB110" s="165">
        <f ca="1"/>
        <v>0</v>
      </c>
      <c r="AC110" s="165">
        <f ca="1"/>
        <v>3.8657398582014446E-2</v>
      </c>
      <c r="AD110" s="165">
        <f ca="1"/>
        <v>6.7762195709956563E-2</v>
      </c>
      <c r="AE110" s="140">
        <f ca="1"/>
        <v>0.11744657795191593</v>
      </c>
      <c r="AH110" s="137"/>
      <c r="AI110" s="137"/>
      <c r="AJ110" s="137"/>
      <c r="AK110" s="137"/>
      <c r="AM110" s="137"/>
      <c r="AN110" s="137"/>
      <c r="AO110" s="137"/>
      <c r="AQ110" s="137"/>
      <c r="AR110" s="137"/>
      <c r="AS110" s="137"/>
      <c r="AT110" s="137"/>
      <c r="AV110" s="137"/>
      <c r="AW110" s="137"/>
      <c r="AX110" s="137"/>
    </row>
    <row r="111" spans="1:50" s="79" customFormat="1" ht="10.199999999999999" x14ac:dyDescent="0.2">
      <c r="A111" s="97">
        <f t="shared" si="3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8">
        <v>1.6000000000000001E-3</v>
      </c>
      <c r="G111" s="158">
        <v>1.9E-3</v>
      </c>
      <c r="H111" s="158">
        <v>2.3999999999999998E-3</v>
      </c>
      <c r="I111" s="158">
        <v>2.7000000000000001E-3</v>
      </c>
      <c r="J111" s="158" t="s">
        <v>87</v>
      </c>
      <c r="K111" s="158">
        <v>3.3E-3</v>
      </c>
      <c r="L111" s="158">
        <v>3.65E-3</v>
      </c>
      <c r="M111" s="158">
        <v>4.1000000000000003E-3</v>
      </c>
      <c r="N111" s="139" cm="1">
        <f t="array" aca="1" ref="N111:AE111" ca="1">IF(OR(B111="",NOT($J$2)),"",GetStripDefaultProbability(A111,B111,Parameter_Date,CDSRollDate,E111:M111,SpreadCurveMaturities,D111,C111,$J$4,$J$6))</f>
        <v>0</v>
      </c>
      <c r="O111" s="165">
        <f ca="1"/>
        <v>1.5950159617229565E-3</v>
      </c>
      <c r="P111" s="165">
        <f ca="1"/>
        <v>3.4870147635045479E-3</v>
      </c>
      <c r="Q111" s="165">
        <f ca="1"/>
        <v>8.4490747235627106E-3</v>
      </c>
      <c r="R111" s="165">
        <f ca="1"/>
        <v>1.4052367384799092E-2</v>
      </c>
      <c r="S111" s="165">
        <f ca="1"/>
        <v>0</v>
      </c>
      <c r="T111" s="165">
        <f ca="1"/>
        <v>2.8369325387061717E-2</v>
      </c>
      <c r="U111" s="165">
        <f ca="1"/>
        <v>4.3645535642271138E-2</v>
      </c>
      <c r="V111" s="140">
        <f ca="1"/>
        <v>6.978189224169129E-2</v>
      </c>
      <c r="W111" s="139">
        <f ca="1"/>
        <v>0</v>
      </c>
      <c r="X111" s="165">
        <f ca="1"/>
        <v>1.6946140028364365E-3</v>
      </c>
      <c r="Y111" s="165">
        <f ca="1"/>
        <v>3.6530864213500935E-3</v>
      </c>
      <c r="Z111" s="165">
        <f ca="1"/>
        <v>8.8695232015530978E-3</v>
      </c>
      <c r="AA111" s="165">
        <f ca="1"/>
        <v>1.4750075873386281E-2</v>
      </c>
      <c r="AB111" s="165">
        <f ca="1"/>
        <v>0</v>
      </c>
      <c r="AC111" s="165">
        <f ca="1"/>
        <v>2.9767899080214155E-2</v>
      </c>
      <c r="AD111" s="165">
        <f ca="1"/>
        <v>4.578281965559039E-2</v>
      </c>
      <c r="AE111" s="140">
        <f ca="1"/>
        <v>7.3152034883828265E-2</v>
      </c>
      <c r="AH111" s="137"/>
      <c r="AI111" s="137"/>
      <c r="AJ111" s="137"/>
      <c r="AK111" s="137"/>
      <c r="AM111" s="137"/>
      <c r="AN111" s="137"/>
      <c r="AO111" s="137"/>
      <c r="AQ111" s="137"/>
      <c r="AR111" s="137"/>
      <c r="AS111" s="137"/>
      <c r="AT111" s="137"/>
      <c r="AV111" s="137"/>
      <c r="AW111" s="137"/>
      <c r="AX111" s="137"/>
    </row>
    <row r="112" spans="1:50" s="79" customFormat="1" ht="10.199999999999999" x14ac:dyDescent="0.2">
      <c r="A112" s="97">
        <f t="shared" si="3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8">
        <v>6.9999999999999999E-4</v>
      </c>
      <c r="G112" s="158">
        <v>1.4E-3</v>
      </c>
      <c r="H112" s="158">
        <v>2.5000000000000001E-3</v>
      </c>
      <c r="I112" s="158">
        <v>3.5999999999999999E-3</v>
      </c>
      <c r="J112" s="158" t="s">
        <v>87</v>
      </c>
      <c r="K112" s="158">
        <v>5.5999999999999999E-3</v>
      </c>
      <c r="L112" s="158">
        <v>7.0000000000000001E-3</v>
      </c>
      <c r="M112" s="158">
        <v>8.6E-3</v>
      </c>
      <c r="N112" s="139" cm="1">
        <f t="array" aca="1" ref="N112:AE112" ca="1">IF(OR(B112="",NOT($J$2)),"",GetStripDefaultProbability(A112,B112,Parameter_Date,CDSRollDate,E112:M112,SpreadCurveMaturities,D112,C112,$J$4,$J$6))</f>
        <v>0</v>
      </c>
      <c r="O112" s="165">
        <f ca="1"/>
        <v>6.9813171573551713E-4</v>
      </c>
      <c r="P112" s="165">
        <f ca="1"/>
        <v>2.5829931935232864E-3</v>
      </c>
      <c r="Q112" s="165">
        <f ca="1"/>
        <v>8.864418471730473E-3</v>
      </c>
      <c r="R112" s="165">
        <f ca="1"/>
        <v>1.8940763841453934E-2</v>
      </c>
      <c r="S112" s="165">
        <f ca="1"/>
        <v>0</v>
      </c>
      <c r="T112" s="165">
        <f ca="1"/>
        <v>4.8652371666343175E-2</v>
      </c>
      <c r="U112" s="165">
        <f ca="1"/>
        <v>8.437112279032577E-2</v>
      </c>
      <c r="V112" s="140">
        <f ca="1"/>
        <v>0.14599916982205075</v>
      </c>
      <c r="W112" s="139">
        <f ca="1"/>
        <v>0</v>
      </c>
      <c r="X112" s="165">
        <f ca="1"/>
        <v>7.97823908687878E-4</v>
      </c>
      <c r="Y112" s="165">
        <f ca="1"/>
        <v>2.7492155090809156E-3</v>
      </c>
      <c r="Z112" s="165">
        <f ca="1"/>
        <v>9.3028225328267711E-3</v>
      </c>
      <c r="AA112" s="165">
        <f ca="1"/>
        <v>1.9877528518898457E-2</v>
      </c>
      <c r="AB112" s="165">
        <f ca="1"/>
        <v>0</v>
      </c>
      <c r="AC112" s="165">
        <f ca="1"/>
        <v>5.1029566364662271E-2</v>
      </c>
      <c r="AD112" s="165">
        <f ca="1"/>
        <v>8.8437824364933193E-2</v>
      </c>
      <c r="AE112" s="140">
        <f ca="1"/>
        <v>0.15287503608082131</v>
      </c>
      <c r="AH112" s="137"/>
      <c r="AI112" s="137"/>
      <c r="AJ112" s="137"/>
      <c r="AK112" s="137"/>
      <c r="AM112" s="137"/>
      <c r="AN112" s="137"/>
      <c r="AO112" s="137"/>
      <c r="AQ112" s="137"/>
      <c r="AR112" s="137"/>
      <c r="AS112" s="137"/>
      <c r="AT112" s="137"/>
      <c r="AV112" s="137"/>
      <c r="AW112" s="137"/>
      <c r="AX112" s="137"/>
    </row>
    <row r="113" spans="1:50" s="79" customFormat="1" ht="10.199999999999999" x14ac:dyDescent="0.2">
      <c r="A113" s="97">
        <f t="shared" si="3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8">
        <v>1.1999999999999999E-3</v>
      </c>
      <c r="G113" s="158">
        <v>1.6999999999999999E-3</v>
      </c>
      <c r="H113" s="158">
        <v>3.0999999999999999E-3</v>
      </c>
      <c r="I113" s="158">
        <v>4.1000000000000003E-3</v>
      </c>
      <c r="J113" s="158" t="s">
        <v>87</v>
      </c>
      <c r="K113" s="158">
        <v>5.1000000000000004E-3</v>
      </c>
      <c r="L113" s="158">
        <v>6.1000000000000004E-3</v>
      </c>
      <c r="M113" s="158">
        <v>7.7000000000000002E-3</v>
      </c>
      <c r="N113" s="139" cm="1">
        <f t="array" aca="1" ref="N113:AE113" ca="1">IF(OR(B113="",NOT($J$2)),"",GetStripDefaultProbability(A113,B113,Parameter_Date,CDSRollDate,E113:M113,SpreadCurveMaturities,D113,C113,$J$4,$J$6))</f>
        <v>0</v>
      </c>
      <c r="O113" s="165">
        <f ca="1"/>
        <v>1.1964998035645102E-3</v>
      </c>
      <c r="P113" s="165">
        <f ca="1"/>
        <v>3.1266070059646767E-3</v>
      </c>
      <c r="Q113" s="165">
        <f ca="1"/>
        <v>1.0976746203773091E-2</v>
      </c>
      <c r="R113" s="165">
        <f ca="1"/>
        <v>2.1487119606005023E-2</v>
      </c>
      <c r="S113" s="165">
        <f ca="1"/>
        <v>0</v>
      </c>
      <c r="T113" s="165">
        <f ca="1"/>
        <v>4.3826602856738672E-2</v>
      </c>
      <c r="U113" s="165">
        <f ca="1"/>
        <v>7.2951462031842107E-2</v>
      </c>
      <c r="V113" s="140">
        <f ca="1"/>
        <v>0.13112448061154913</v>
      </c>
      <c r="W113" s="139">
        <f ca="1"/>
        <v>0</v>
      </c>
      <c r="X113" s="165">
        <f ca="1"/>
        <v>1.2961401666722328E-3</v>
      </c>
      <c r="Y113" s="165">
        <f ca="1"/>
        <v>3.2927387267641661E-3</v>
      </c>
      <c r="Z113" s="165">
        <f ca="1"/>
        <v>1.1521485729650727E-2</v>
      </c>
      <c r="AA113" s="165">
        <f ca="1"/>
        <v>2.2550502569561481E-2</v>
      </c>
      <c r="AB113" s="165">
        <f ca="1"/>
        <v>0</v>
      </c>
      <c r="AC113" s="165">
        <f ca="1"/>
        <v>4.5971399360084653E-2</v>
      </c>
      <c r="AD113" s="165">
        <f ca="1"/>
        <v>7.6478874939841068E-2</v>
      </c>
      <c r="AE113" s="140">
        <f ca="1"/>
        <v>0.13733600855809347</v>
      </c>
      <c r="AH113" s="137"/>
      <c r="AI113" s="137"/>
      <c r="AJ113" s="137"/>
      <c r="AK113" s="137"/>
      <c r="AM113" s="137"/>
      <c r="AN113" s="137"/>
      <c r="AO113" s="137"/>
      <c r="AQ113" s="137"/>
      <c r="AR113" s="137"/>
      <c r="AS113" s="137"/>
      <c r="AT113" s="137"/>
      <c r="AV113" s="137"/>
      <c r="AW113" s="137"/>
      <c r="AX113" s="137"/>
    </row>
    <row r="114" spans="1:50" s="79" customFormat="1" ht="10.199999999999999" x14ac:dyDescent="0.2">
      <c r="A114" s="97">
        <f t="shared" si="3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8">
        <v>1.8E-3</v>
      </c>
      <c r="G114" s="158">
        <v>2.0999999999999999E-3</v>
      </c>
      <c r="H114" s="158">
        <v>2.3E-3</v>
      </c>
      <c r="I114" s="158">
        <v>2.7000000000000001E-3</v>
      </c>
      <c r="J114" s="158" t="s">
        <v>87</v>
      </c>
      <c r="K114" s="158">
        <v>3.8E-3</v>
      </c>
      <c r="L114" s="158">
        <v>4.5999999999999999E-3</v>
      </c>
      <c r="M114" s="158">
        <v>5.7000000000000002E-3</v>
      </c>
      <c r="N114" s="139" cm="1">
        <f t="array" aca="1" ref="N114:AE114" ca="1">IF(OR(B114="",NOT($J$2)),"",GetStripDefaultProbability(A114,B114,Parameter_Date,CDSRollDate,E114:M114,SpreadCurveMaturities,D114,C114,$J$4,$J$6))</f>
        <v>0</v>
      </c>
      <c r="O114" s="165">
        <f ca="1"/>
        <v>1.7942146358812527E-3</v>
      </c>
      <c r="P114" s="165">
        <f ca="1"/>
        <v>3.8525770132269432E-3</v>
      </c>
      <c r="Q114" s="165">
        <f ca="1"/>
        <v>8.0726959495859285E-3</v>
      </c>
      <c r="R114" s="165">
        <f ca="1"/>
        <v>1.4050920797099686E-2</v>
      </c>
      <c r="S114" s="165">
        <f ca="1"/>
        <v>0</v>
      </c>
      <c r="T114" s="165">
        <f ca="1"/>
        <v>3.2865808052923384E-2</v>
      </c>
      <c r="U114" s="165">
        <f ca="1"/>
        <v>5.5535090555010602E-2</v>
      </c>
      <c r="V114" s="140">
        <f ca="1"/>
        <v>9.8213754463561731E-2</v>
      </c>
      <c r="W114" s="139">
        <f ca="1"/>
        <v>0</v>
      </c>
      <c r="X114" s="165">
        <f ca="1"/>
        <v>1.8937912196071993E-3</v>
      </c>
      <c r="Y114" s="165">
        <f ca="1"/>
        <v>4.044569512386631E-3</v>
      </c>
      <c r="Z114" s="165">
        <f ca="1"/>
        <v>8.4743899525485666E-3</v>
      </c>
      <c r="AA114" s="165">
        <f ca="1"/>
        <v>1.4748538573876036E-2</v>
      </c>
      <c r="AB114" s="165">
        <f ca="1"/>
        <v>0</v>
      </c>
      <c r="AC114" s="165">
        <f ca="1"/>
        <v>3.4483566265357535E-2</v>
      </c>
      <c r="AD114" s="165">
        <f ca="1"/>
        <v>5.8244430991319596E-2</v>
      </c>
      <c r="AE114" s="140">
        <f ca="1"/>
        <v>0.10293228577170865</v>
      </c>
      <c r="AH114" s="137"/>
      <c r="AI114" s="137"/>
      <c r="AJ114" s="137"/>
      <c r="AK114" s="137"/>
      <c r="AM114" s="137"/>
      <c r="AN114" s="137"/>
      <c r="AO114" s="137"/>
      <c r="AQ114" s="137"/>
      <c r="AR114" s="137"/>
      <c r="AS114" s="137"/>
      <c r="AT114" s="137"/>
      <c r="AV114" s="137"/>
      <c r="AW114" s="137"/>
      <c r="AX114" s="137"/>
    </row>
    <row r="115" spans="1:50" s="79" customFormat="1" ht="10.199999999999999" x14ac:dyDescent="0.2">
      <c r="A115" s="97">
        <f t="shared" si="3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8">
        <v>5.9999999999999995E-4</v>
      </c>
      <c r="G115" s="158">
        <v>8.0000000000000004E-4</v>
      </c>
      <c r="H115" s="158">
        <v>1.4E-3</v>
      </c>
      <c r="I115" s="158">
        <v>1.9E-3</v>
      </c>
      <c r="J115" s="158" t="s">
        <v>87</v>
      </c>
      <c r="K115" s="158">
        <v>3.0000000000000001E-3</v>
      </c>
      <c r="L115" s="158">
        <v>3.7000000000000002E-3</v>
      </c>
      <c r="M115" s="158">
        <v>4.8999999999999998E-3</v>
      </c>
      <c r="N115" s="139" cm="1">
        <f t="array" aca="1" ref="N115:AE115" ca="1">IF(OR(B115="",NOT($J$2)),"",GetStripDefaultProbability(A115,B115,Parameter_Date,CDSRollDate,E115:M115,SpreadCurveMaturities,D115,C115,$J$4,$J$6))</f>
        <v>0</v>
      </c>
      <c r="O115" s="165">
        <f ca="1"/>
        <v>5.9842836468415594E-4</v>
      </c>
      <c r="P115" s="165">
        <f ca="1"/>
        <v>1.4714595053220147E-3</v>
      </c>
      <c r="Q115" s="165">
        <f ca="1"/>
        <v>4.9645809297133026E-3</v>
      </c>
      <c r="R115" s="165">
        <f ca="1"/>
        <v>1.0004021343112401E-2</v>
      </c>
      <c r="S115" s="165">
        <f ca="1"/>
        <v>0</v>
      </c>
      <c r="T115" s="165">
        <f ca="1"/>
        <v>2.6261050656244622E-2</v>
      </c>
      <c r="U115" s="165">
        <f ca="1"/>
        <v>4.5183276439188624E-2</v>
      </c>
      <c r="V115" s="140">
        <f ca="1"/>
        <v>8.5973809098820686E-2</v>
      </c>
      <c r="W115" s="139">
        <f ca="1"/>
        <v>0</v>
      </c>
      <c r="X115" s="165">
        <f ca="1"/>
        <v>6.9813078535330142E-4</v>
      </c>
      <c r="Y115" s="165">
        <f ca="1"/>
        <v>1.6378670610578405E-3</v>
      </c>
      <c r="Z115" s="165">
        <f ca="1"/>
        <v>5.3147721728632469E-3</v>
      </c>
      <c r="AA115" s="165">
        <f ca="1"/>
        <v>1.0518980991947591E-2</v>
      </c>
      <c r="AB115" s="165">
        <f ca="1"/>
        <v>0</v>
      </c>
      <c r="AC115" s="165">
        <f ca="1"/>
        <v>2.7546572079110376E-2</v>
      </c>
      <c r="AD115" s="165">
        <f ca="1"/>
        <v>4.7387645340982609E-2</v>
      </c>
      <c r="AE115" s="140">
        <f ca="1"/>
        <v>9.0123056404915358E-2</v>
      </c>
      <c r="AH115" s="137"/>
      <c r="AI115" s="137"/>
      <c r="AJ115" s="137"/>
      <c r="AK115" s="137"/>
      <c r="AM115" s="137"/>
      <c r="AN115" s="137"/>
      <c r="AO115" s="137"/>
      <c r="AQ115" s="137"/>
      <c r="AR115" s="137"/>
      <c r="AS115" s="137"/>
      <c r="AT115" s="137"/>
      <c r="AV115" s="137"/>
      <c r="AW115" s="137"/>
      <c r="AX115" s="137"/>
    </row>
    <row r="116" spans="1:50" s="79" customFormat="1" ht="10.199999999999999" x14ac:dyDescent="0.2">
      <c r="A116" s="97">
        <f t="shared" si="3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8">
        <v>8.9999999999999998E-4</v>
      </c>
      <c r="G116" s="158">
        <v>1E-3</v>
      </c>
      <c r="H116" s="158">
        <v>1.8E-3</v>
      </c>
      <c r="I116" s="158">
        <v>2.0999999999999999E-3</v>
      </c>
      <c r="J116" s="158" t="s">
        <v>87</v>
      </c>
      <c r="K116" s="158">
        <v>3.3E-3</v>
      </c>
      <c r="L116" s="158">
        <v>4.1000000000000003E-3</v>
      </c>
      <c r="M116" s="158">
        <v>5.1999999999999998E-3</v>
      </c>
      <c r="N116" s="139" cm="1">
        <f t="array" aca="1" ref="N116:AE116" ca="1">IF(OR(B116="",NOT($J$2)),"",GetStripDefaultProbability(A116,B116,Parameter_Date,CDSRollDate,E116:M116,SpreadCurveMaturities,D116,C116,$J$4,$J$6))</f>
        <v>0</v>
      </c>
      <c r="O116" s="165">
        <f ca="1"/>
        <v>8.9750867988536154E-4</v>
      </c>
      <c r="P116" s="165">
        <f ca="1"/>
        <v>1.8351610226137183E-3</v>
      </c>
      <c r="Q116" s="165">
        <f ca="1"/>
        <v>6.3781075144992982E-3</v>
      </c>
      <c r="R116" s="165">
        <f ca="1"/>
        <v>1.0996119614257394E-2</v>
      </c>
      <c r="S116" s="165">
        <f ca="1"/>
        <v>0</v>
      </c>
      <c r="T116" s="165">
        <f ca="1"/>
        <v>2.8796498015760452E-2</v>
      </c>
      <c r="U116" s="165">
        <f ca="1"/>
        <v>4.9946438697257789E-2</v>
      </c>
      <c r="V116" s="140">
        <f ca="1"/>
        <v>9.0522899541252699E-2</v>
      </c>
      <c r="W116" s="139">
        <f ca="1"/>
        <v>0</v>
      </c>
      <c r="X116" s="165">
        <f ca="1"/>
        <v>9.9718028063144892E-4</v>
      </c>
      <c r="Y116" s="165">
        <f ca="1"/>
        <v>2.0015079664724711E-3</v>
      </c>
      <c r="Z116" s="165">
        <f ca="1"/>
        <v>6.7278351213274634E-3</v>
      </c>
      <c r="AA116" s="165">
        <f ca="1"/>
        <v>1.1537440327219262E-2</v>
      </c>
      <c r="AB116" s="165">
        <f ca="1"/>
        <v>0</v>
      </c>
      <c r="AC116" s="165">
        <f ca="1"/>
        <v>3.0211852644785431E-2</v>
      </c>
      <c r="AD116" s="165">
        <f ca="1"/>
        <v>5.2385762605007602E-2</v>
      </c>
      <c r="AE116" s="140">
        <f ca="1"/>
        <v>9.4886280529128064E-2</v>
      </c>
      <c r="AH116" s="137"/>
      <c r="AI116" s="137"/>
      <c r="AJ116" s="137"/>
      <c r="AK116" s="137"/>
      <c r="AM116" s="137"/>
      <c r="AN116" s="137"/>
      <c r="AO116" s="137"/>
      <c r="AQ116" s="137"/>
      <c r="AR116" s="137"/>
      <c r="AS116" s="137"/>
      <c r="AT116" s="137"/>
      <c r="AV116" s="137"/>
      <c r="AW116" s="137"/>
      <c r="AX116" s="137"/>
    </row>
    <row r="117" spans="1:50" s="79" customFormat="1" ht="10.199999999999999" x14ac:dyDescent="0.2">
      <c r="A117" s="97">
        <f t="shared" si="3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8">
        <v>5.0000000000000001E-4</v>
      </c>
      <c r="G117" s="158">
        <v>6.9999999999999999E-4</v>
      </c>
      <c r="H117" s="158">
        <v>1.1999999999999999E-3</v>
      </c>
      <c r="I117" s="158">
        <v>1.8E-3</v>
      </c>
      <c r="J117" s="158" t="s">
        <v>87</v>
      </c>
      <c r="K117" s="158">
        <v>2.8999999999999998E-3</v>
      </c>
      <c r="L117" s="158">
        <v>3.5000000000000001E-3</v>
      </c>
      <c r="M117" s="158">
        <v>4.7000000000000002E-3</v>
      </c>
      <c r="N117" s="139" cm="1">
        <f t="array" aca="1" ref="N117:AE117" ca="1">IF(OR(B117="",NOT($J$2)),"",GetStripDefaultProbability(A117,B117,Parameter_Date,CDSRollDate,E117:M117,SpreadCurveMaturities,D117,C117,$J$4,$J$6))</f>
        <v>0</v>
      </c>
      <c r="O117" s="165">
        <f ca="1"/>
        <v>4.9871509903820499E-4</v>
      </c>
      <c r="P117" s="165">
        <f ca="1"/>
        <v>1.2882676916461389E-3</v>
      </c>
      <c r="Q117" s="165">
        <f ca="1"/>
        <v>4.2559438728337895E-3</v>
      </c>
      <c r="R117" s="165">
        <f ca="1"/>
        <v>9.5060715675968632E-3</v>
      </c>
      <c r="S117" s="165">
        <f ca="1"/>
        <v>0</v>
      </c>
      <c r="T117" s="165">
        <f ca="1"/>
        <v>2.5441680321059867E-2</v>
      </c>
      <c r="U117" s="165">
        <f ca="1"/>
        <v>4.2746357277569591E-2</v>
      </c>
      <c r="V117" s="140">
        <f ca="1"/>
        <v>8.2700231853081174E-2</v>
      </c>
      <c r="W117" s="139">
        <f ca="1"/>
        <v>0</v>
      </c>
      <c r="X117" s="165">
        <f ca="1"/>
        <v>5.9842770240881027E-4</v>
      </c>
      <c r="Y117" s="165">
        <f ca="1"/>
        <v>1.4547057767978488E-3</v>
      </c>
      <c r="Z117" s="165">
        <f ca="1"/>
        <v>4.6063592810517973E-3</v>
      </c>
      <c r="AA117" s="165">
        <f ca="1"/>
        <v>1.0021344093604334E-2</v>
      </c>
      <c r="AB117" s="165">
        <f ca="1"/>
        <v>0</v>
      </c>
      <c r="AC117" s="165">
        <f ca="1"/>
        <v>2.6683207280934651E-2</v>
      </c>
      <c r="AD117" s="165">
        <f ca="1"/>
        <v>4.4829144664086829E-2</v>
      </c>
      <c r="AE117" s="140">
        <f ca="1"/>
        <v>8.6668551455700515E-2</v>
      </c>
      <c r="AH117" s="137"/>
      <c r="AI117" s="137"/>
      <c r="AJ117" s="137"/>
      <c r="AK117" s="137"/>
      <c r="AM117" s="137"/>
      <c r="AN117" s="137"/>
      <c r="AO117" s="137"/>
      <c r="AQ117" s="137"/>
      <c r="AR117" s="137"/>
      <c r="AS117" s="137"/>
      <c r="AT117" s="137"/>
      <c r="AV117" s="137"/>
      <c r="AW117" s="137"/>
      <c r="AX117" s="137"/>
    </row>
    <row r="118" spans="1:50" s="79" customFormat="1" ht="10.199999999999999" x14ac:dyDescent="0.2">
      <c r="A118" s="97">
        <f t="shared" si="3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8">
        <v>2.0000000000000001E-4</v>
      </c>
      <c r="G118" s="158">
        <v>5.0000000000000001E-4</v>
      </c>
      <c r="H118" s="158">
        <v>1E-3</v>
      </c>
      <c r="I118" s="158">
        <v>1.5E-3</v>
      </c>
      <c r="J118" s="158" t="s">
        <v>87</v>
      </c>
      <c r="K118" s="158">
        <v>2.3E-3</v>
      </c>
      <c r="L118" s="158">
        <v>2.8E-3</v>
      </c>
      <c r="M118" s="158">
        <v>3.5000000000000001E-3</v>
      </c>
      <c r="N118" s="139" cm="1">
        <f t="array" aca="1" ref="N118:AE118" ca="1">IF(OR(B118="",NOT($J$2)),"",GetStripDefaultProbability(A118,B118,Parameter_Date,CDSRollDate,E118:M118,SpreadCurveMaturities,D118,C118,$J$4,$J$6))</f>
        <v>0</v>
      </c>
      <c r="O118" s="165">
        <f ca="1"/>
        <v>1.9951579971833056E-4</v>
      </c>
      <c r="P118" s="165">
        <f ca="1"/>
        <v>9.2432003674991492E-4</v>
      </c>
      <c r="Q118" s="165">
        <f ca="1"/>
        <v>3.5584017099277165E-3</v>
      </c>
      <c r="R118" s="165">
        <f ca="1"/>
        <v>7.9370532372008418E-3</v>
      </c>
      <c r="S118" s="165">
        <f ca="1"/>
        <v>0</v>
      </c>
      <c r="T118" s="165">
        <f ca="1"/>
        <v>2.0186257009662811E-2</v>
      </c>
      <c r="U118" s="165">
        <f ca="1"/>
        <v>3.4301246186038137E-2</v>
      </c>
      <c r="V118" s="140">
        <f ca="1"/>
        <v>6.1483192703545408E-2</v>
      </c>
      <c r="W118" s="139">
        <f ca="1"/>
        <v>0</v>
      </c>
      <c r="X118" s="165">
        <f ca="1"/>
        <v>2.9925868592750593E-4</v>
      </c>
      <c r="Y118" s="165">
        <f ca="1"/>
        <v>1.0908187747958875E-3</v>
      </c>
      <c r="Z118" s="165">
        <f ca="1"/>
        <v>3.9090750496713067E-3</v>
      </c>
      <c r="AA118" s="165">
        <f ca="1"/>
        <v>8.4530788936583168E-3</v>
      </c>
      <c r="AB118" s="165">
        <f ca="1"/>
        <v>0</v>
      </c>
      <c r="AC118" s="165">
        <f ca="1"/>
        <v>2.1161800359700167E-2</v>
      </c>
      <c r="AD118" s="165">
        <f ca="1"/>
        <v>3.5966787958063295E-2</v>
      </c>
      <c r="AE118" s="140">
        <f ca="1"/>
        <v>6.4448672663566797E-2</v>
      </c>
      <c r="AH118" s="137"/>
      <c r="AI118" s="137"/>
      <c r="AJ118" s="137"/>
      <c r="AK118" s="137"/>
      <c r="AM118" s="137"/>
      <c r="AN118" s="137"/>
      <c r="AO118" s="137"/>
      <c r="AQ118" s="137"/>
      <c r="AR118" s="137"/>
      <c r="AS118" s="137"/>
      <c r="AT118" s="137"/>
      <c r="AV118" s="137"/>
      <c r="AW118" s="137"/>
      <c r="AX118" s="137"/>
    </row>
    <row r="119" spans="1:50" s="79" customFormat="1" ht="10.199999999999999" x14ac:dyDescent="0.2">
      <c r="A119" s="97">
        <f t="shared" si="3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8">
        <v>5.9999999999999995E-4</v>
      </c>
      <c r="G119" s="158">
        <v>8.9999999999999998E-4</v>
      </c>
      <c r="H119" s="158">
        <v>1.6999999999999999E-3</v>
      </c>
      <c r="I119" s="158">
        <v>2.3999999999999998E-3</v>
      </c>
      <c r="J119" s="158" t="s">
        <v>87</v>
      </c>
      <c r="K119" s="158">
        <v>3.8E-3</v>
      </c>
      <c r="L119" s="158">
        <v>4.8999999999999998E-3</v>
      </c>
      <c r="M119" s="158">
        <v>6.4000000000000003E-3</v>
      </c>
      <c r="N119" s="139" cm="1">
        <f t="array" aca="1" ref="N119:AE119" ca="1">IF(OR(B119="",NOT($J$2)),"",GetStripDefaultProbability(A119,B119,Parameter_Date,CDSRollDate,E119:M119,SpreadCurveMaturities,D119,C119,$J$4,$J$6))</f>
        <v>0</v>
      </c>
      <c r="O119" s="165">
        <f ca="1"/>
        <v>5.9842836468415594E-4</v>
      </c>
      <c r="P119" s="165">
        <f ca="1"/>
        <v>1.6571902907872582E-3</v>
      </c>
      <c r="Q119" s="165">
        <f ca="1"/>
        <v>6.0340413094250867E-3</v>
      </c>
      <c r="R119" s="165">
        <f ca="1"/>
        <v>1.2647836772267884E-2</v>
      </c>
      <c r="S119" s="165">
        <f ca="1"/>
        <v>0</v>
      </c>
      <c r="T119" s="165">
        <f ca="1"/>
        <v>3.3211253994126833E-2</v>
      </c>
      <c r="U119" s="165">
        <f ca="1"/>
        <v>5.9784145225729168E-2</v>
      </c>
      <c r="V119" s="140">
        <f ca="1"/>
        <v>0.11131629854007175</v>
      </c>
      <c r="W119" s="139">
        <f ca="1"/>
        <v>0</v>
      </c>
      <c r="X119" s="165">
        <f ca="1"/>
        <v>6.9813078535330142E-4</v>
      </c>
      <c r="Y119" s="165">
        <f ca="1"/>
        <v>1.8235668939718952E-3</v>
      </c>
      <c r="Z119" s="165">
        <f ca="1"/>
        <v>6.3839131087093381E-3</v>
      </c>
      <c r="AA119" s="165">
        <f ca="1"/>
        <v>1.3269578198249254E-2</v>
      </c>
      <c r="AB119" s="165">
        <f ca="1"/>
        <v>0</v>
      </c>
      <c r="AC119" s="165">
        <f ca="1"/>
        <v>3.4840135127118588E-2</v>
      </c>
      <c r="AD119" s="165">
        <f ca="1"/>
        <v>6.2692789677698202E-2</v>
      </c>
      <c r="AE119" s="140">
        <f ca="1"/>
        <v>0.11664455428265375</v>
      </c>
      <c r="AH119" s="137"/>
      <c r="AI119" s="137"/>
      <c r="AJ119" s="137"/>
      <c r="AK119" s="137"/>
      <c r="AM119" s="137"/>
      <c r="AN119" s="137"/>
      <c r="AO119" s="137"/>
      <c r="AQ119" s="137"/>
      <c r="AR119" s="137"/>
      <c r="AS119" s="137"/>
      <c r="AT119" s="137"/>
      <c r="AV119" s="137"/>
      <c r="AW119" s="137"/>
      <c r="AX119" s="137"/>
    </row>
    <row r="120" spans="1:50" s="79" customFormat="1" ht="10.199999999999999" x14ac:dyDescent="0.2">
      <c r="A120" s="97">
        <f t="shared" si="3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8">
        <v>1.14E-3</v>
      </c>
      <c r="G120" s="158">
        <v>1.64E-3</v>
      </c>
      <c r="H120" s="158">
        <v>2.3600000000000001E-3</v>
      </c>
      <c r="I120" s="158">
        <v>2.9199999999999999E-3</v>
      </c>
      <c r="J120" s="158" t="s">
        <v>87</v>
      </c>
      <c r="K120" s="158">
        <v>4.0000000000000001E-3</v>
      </c>
      <c r="L120" s="158">
        <v>4.4000000000000003E-3</v>
      </c>
      <c r="M120" s="158">
        <v>4.7000000000000002E-3</v>
      </c>
      <c r="N120" s="139" cm="1">
        <f t="array" aca="1" ref="N120:AE120" ca="1">IF(OR(B120="",NOT($J$2)),"",GetStripDefaultProbability(A120,B120,Parameter_Date,CDSRollDate,E120:M120,SpreadCurveMaturities,D120,C120,$J$4,$J$6))</f>
        <v>0</v>
      </c>
      <c r="O120" s="165">
        <f ca="1"/>
        <v>1.1367087122514663E-3</v>
      </c>
      <c r="P120" s="165">
        <f ca="1"/>
        <v>3.0168612167369435E-3</v>
      </c>
      <c r="Q120" s="165">
        <f ca="1"/>
        <v>8.3355315169874045E-3</v>
      </c>
      <c r="R120" s="165">
        <f ca="1"/>
        <v>1.5274778135422884E-2</v>
      </c>
      <c r="S120" s="165">
        <f ca="1"/>
        <v>0</v>
      </c>
      <c r="T120" s="165">
        <f ca="1"/>
        <v>3.4611536957106726E-2</v>
      </c>
      <c r="U120" s="165">
        <f ca="1"/>
        <v>5.2690860433120212E-2</v>
      </c>
      <c r="V120" s="140">
        <f ca="1"/>
        <v>7.9239102385631477E-2</v>
      </c>
      <c r="W120" s="139">
        <f ca="1"/>
        <v>0</v>
      </c>
      <c r="X120" s="165">
        <f ca="1"/>
        <v>1.2363553568970342E-3</v>
      </c>
      <c r="Y120" s="165">
        <f ca="1"/>
        <v>3.1830112269730648E-3</v>
      </c>
      <c r="Z120" s="165">
        <f ca="1"/>
        <v>8.7489673789966638E-3</v>
      </c>
      <c r="AA120" s="165">
        <f ca="1"/>
        <v>1.6031678031293572E-2</v>
      </c>
      <c r="AB120" s="165">
        <f ca="1"/>
        <v>0</v>
      </c>
      <c r="AC120" s="165">
        <f ca="1"/>
        <v>3.6312686682945516E-2</v>
      </c>
      <c r="AD120" s="165">
        <f ca="1"/>
        <v>5.5260627007363117E-2</v>
      </c>
      <c r="AE120" s="140">
        <f ca="1"/>
        <v>8.3044632825861386E-2</v>
      </c>
      <c r="AH120" s="137"/>
      <c r="AI120" s="137"/>
      <c r="AJ120" s="137"/>
      <c r="AK120" s="137"/>
      <c r="AM120" s="137"/>
      <c r="AN120" s="137"/>
      <c r="AO120" s="137"/>
      <c r="AQ120" s="137"/>
      <c r="AR120" s="137"/>
      <c r="AS120" s="137"/>
      <c r="AT120" s="137"/>
      <c r="AV120" s="137"/>
      <c r="AW120" s="137"/>
      <c r="AX120" s="137"/>
    </row>
    <row r="121" spans="1:50" s="79" customFormat="1" ht="10.199999999999999" x14ac:dyDescent="0.2">
      <c r="A121" s="97">
        <f t="shared" si="3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8">
        <v>1.15E-3</v>
      </c>
      <c r="G121" s="158">
        <v>1.81E-3</v>
      </c>
      <c r="H121" s="158">
        <v>2.8E-3</v>
      </c>
      <c r="I121" s="158">
        <v>3.5000000000000001E-3</v>
      </c>
      <c r="J121" s="158" t="s">
        <v>87</v>
      </c>
      <c r="K121" s="158">
        <v>4.5999999999999999E-3</v>
      </c>
      <c r="L121" s="158">
        <v>5.1999999999999998E-3</v>
      </c>
      <c r="M121" s="158">
        <v>5.7000000000000002E-3</v>
      </c>
      <c r="N121" s="139" cm="1">
        <f t="array" aca="1" ref="N121:AE121" ca="1">IF(OR(B121="",NOT($J$2)),"",GetStripDefaultProbability(A121,B121,Parameter_Date,CDSRollDate,E121:M121,SpreadCurveMaturities,D121,C121,$J$4,$J$6))</f>
        <v>0</v>
      </c>
      <c r="O121" s="165">
        <f ca="1"/>
        <v>1.1466741417979209E-3</v>
      </c>
      <c r="P121" s="165">
        <f ca="1"/>
        <v>3.3320234789655512E-3</v>
      </c>
      <c r="Q121" s="165">
        <f ca="1"/>
        <v>9.8980999890154742E-3</v>
      </c>
      <c r="R121" s="165">
        <f ca="1"/>
        <v>1.8308603971572635E-2</v>
      </c>
      <c r="S121" s="165">
        <f ca="1"/>
        <v>0</v>
      </c>
      <c r="T121" s="165">
        <f ca="1"/>
        <v>3.9658751176882556E-2</v>
      </c>
      <c r="U121" s="165">
        <f ca="1"/>
        <v>6.2143417864354844E-2</v>
      </c>
      <c r="V121" s="140">
        <f ca="1"/>
        <v>9.5940665654803969E-2</v>
      </c>
      <c r="W121" s="139">
        <f ca="1"/>
        <v>0</v>
      </c>
      <c r="X121" s="165">
        <f ca="1"/>
        <v>1.2463197407124316E-3</v>
      </c>
      <c r="Y121" s="165">
        <f ca="1"/>
        <v>3.4981209665418955E-3</v>
      </c>
      <c r="Z121" s="165">
        <f ca="1"/>
        <v>1.0389633436286516E-2</v>
      </c>
      <c r="AA121" s="165">
        <f ca="1"/>
        <v>1.9215673653110055E-2</v>
      </c>
      <c r="AB121" s="165">
        <f ca="1"/>
        <v>0</v>
      </c>
      <c r="AC121" s="165">
        <f ca="1"/>
        <v>4.1603830362400895E-2</v>
      </c>
      <c r="AD121" s="165">
        <f ca="1"/>
        <v>6.5161991907383587E-2</v>
      </c>
      <c r="AE121" s="140">
        <f ca="1"/>
        <v>0.100512094821821</v>
      </c>
      <c r="AH121" s="137"/>
      <c r="AI121" s="137"/>
      <c r="AJ121" s="137"/>
      <c r="AK121" s="137"/>
      <c r="AM121" s="137"/>
      <c r="AN121" s="137"/>
      <c r="AO121" s="137"/>
      <c r="AQ121" s="137"/>
      <c r="AR121" s="137"/>
      <c r="AS121" s="137"/>
      <c r="AT121" s="137"/>
      <c r="AV121" s="137"/>
      <c r="AW121" s="137"/>
      <c r="AX121" s="137"/>
    </row>
    <row r="122" spans="1:50" s="79" customFormat="1" ht="10.199999999999999" x14ac:dyDescent="0.2">
      <c r="A122" s="97">
        <f t="shared" si="3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8">
        <v>2.9999999999999997E-4</v>
      </c>
      <c r="G122" s="158">
        <v>2.9999999999999997E-4</v>
      </c>
      <c r="H122" s="158">
        <v>6.9999999999999999E-4</v>
      </c>
      <c r="I122" s="158">
        <v>1E-3</v>
      </c>
      <c r="J122" s="158" t="s">
        <v>87</v>
      </c>
      <c r="K122" s="158">
        <v>1.6999999999999999E-3</v>
      </c>
      <c r="L122" s="158">
        <v>2.2000000000000001E-3</v>
      </c>
      <c r="M122" s="158">
        <v>2.8E-3</v>
      </c>
      <c r="N122" s="139" cm="1">
        <f t="array" aca="1" ref="N122:AE122" ca="1">IF(OR(B122="",NOT($J$2)),"",GetStripDefaultProbability(A122,B122,Parameter_Date,CDSRollDate,E122:M122,SpreadCurveMaturities,D122,C122,$J$4,$J$6))</f>
        <v>0</v>
      </c>
      <c r="O122" s="165">
        <f ca="1"/>
        <v>2.9925881803194443E-4</v>
      </c>
      <c r="P122" s="165">
        <f ca="1"/>
        <v>5.5012703484635939E-4</v>
      </c>
      <c r="Q122" s="165">
        <f ca="1"/>
        <v>2.4908208191697367E-3</v>
      </c>
      <c r="R122" s="165">
        <f ca="1"/>
        <v>5.288401371925211E-3</v>
      </c>
      <c r="S122" s="165">
        <f ca="1"/>
        <v>0</v>
      </c>
      <c r="T122" s="165">
        <f ca="1"/>
        <v>1.4996174225777814E-2</v>
      </c>
      <c r="U122" s="165">
        <f ca="1"/>
        <v>2.7206669875915579E-2</v>
      </c>
      <c r="V122" s="140">
        <f ca="1"/>
        <v>4.9704599833618635E-2</v>
      </c>
      <c r="W122" s="139">
        <f ca="1"/>
        <v>0</v>
      </c>
      <c r="X122" s="165">
        <f ca="1"/>
        <v>3.9899165370427259E-4</v>
      </c>
      <c r="Y122" s="165">
        <f ca="1"/>
        <v>7.1668813319991642E-4</v>
      </c>
      <c r="Z122" s="165">
        <f ca="1"/>
        <v>2.841812209564587E-3</v>
      </c>
      <c r="AA122" s="165">
        <f ca="1"/>
        <v>5.8055762254343168E-3</v>
      </c>
      <c r="AB122" s="165">
        <f ca="1"/>
        <v>0</v>
      </c>
      <c r="AC122" s="165">
        <f ca="1"/>
        <v>1.5840286035832984E-2</v>
      </c>
      <c r="AD122" s="165">
        <f ca="1"/>
        <v>2.8501084056026804E-2</v>
      </c>
      <c r="AE122" s="140">
        <f ca="1"/>
        <v>5.20853760855714E-2</v>
      </c>
      <c r="AH122" s="137"/>
      <c r="AI122" s="137"/>
      <c r="AJ122" s="137"/>
      <c r="AK122" s="137"/>
      <c r="AM122" s="137"/>
      <c r="AN122" s="137"/>
      <c r="AO122" s="137"/>
      <c r="AQ122" s="137"/>
      <c r="AR122" s="137"/>
      <c r="AS122" s="137"/>
      <c r="AT122" s="137"/>
      <c r="AV122" s="137"/>
      <c r="AW122" s="137"/>
      <c r="AX122" s="137"/>
    </row>
    <row r="123" spans="1:50" s="79" customFormat="1" ht="10.199999999999999" x14ac:dyDescent="0.2">
      <c r="A123" s="97">
        <f t="shared" si="3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8">
        <v>6.9999999999999999E-4</v>
      </c>
      <c r="G123" s="158">
        <v>1.1999999999999999E-3</v>
      </c>
      <c r="H123" s="158">
        <v>1.9E-3</v>
      </c>
      <c r="I123" s="158">
        <v>2.5999999999999999E-3</v>
      </c>
      <c r="J123" s="158" t="s">
        <v>87</v>
      </c>
      <c r="K123" s="158">
        <v>3.8E-3</v>
      </c>
      <c r="L123" s="158">
        <v>4.5999999999999999E-3</v>
      </c>
      <c r="M123" s="158">
        <v>5.4999999999999997E-3</v>
      </c>
      <c r="N123" s="139" cm="1">
        <f t="array" aca="1" ref="N123:AE123" ca="1">IF(OR(B123="",NOT($J$2)),"",GetStripDefaultProbability(A123,B123,Parameter_Date,CDSRollDate,E123:M123,SpreadCurveMaturities,D123,C123,$J$4,$J$6))</f>
        <v>0</v>
      </c>
      <c r="O123" s="165">
        <f ca="1"/>
        <v>6.9813171573551713E-4</v>
      </c>
      <c r="P123" s="165">
        <f ca="1"/>
        <v>2.2116895369905798E-3</v>
      </c>
      <c r="Q123" s="165">
        <f ca="1"/>
        <v>6.7287990096815964E-3</v>
      </c>
      <c r="R123" s="165">
        <f ca="1"/>
        <v>1.367039020525973E-2</v>
      </c>
      <c r="S123" s="165">
        <f ca="1"/>
        <v>0</v>
      </c>
      <c r="T123" s="165">
        <f ca="1"/>
        <v>3.3070163977218958E-2</v>
      </c>
      <c r="U123" s="165">
        <f ca="1"/>
        <v>5.5741908711177235E-2</v>
      </c>
      <c r="V123" s="140">
        <f ca="1"/>
        <v>9.4630458885351043E-2</v>
      </c>
      <c r="W123" s="139">
        <f ca="1"/>
        <v>0</v>
      </c>
      <c r="X123" s="165">
        <f ca="1"/>
        <v>7.97823908687878E-4</v>
      </c>
      <c r="Y123" s="165">
        <f ca="1"/>
        <v>2.3779737313383009E-3</v>
      </c>
      <c r="Z123" s="165">
        <f ca="1"/>
        <v>7.0784108812065316E-3</v>
      </c>
      <c r="AA123" s="165">
        <f ca="1"/>
        <v>1.4345428422447126E-2</v>
      </c>
      <c r="AB123" s="165">
        <f ca="1"/>
        <v>0</v>
      </c>
      <c r="AC123" s="165">
        <f ca="1"/>
        <v>3.4694548460850183E-2</v>
      </c>
      <c r="AD123" s="165">
        <f ca="1"/>
        <v>5.8458265606265436E-2</v>
      </c>
      <c r="AE123" s="140">
        <f ca="1"/>
        <v>9.9152605464405408E-2</v>
      </c>
      <c r="AH123" s="137"/>
      <c r="AI123" s="137"/>
      <c r="AJ123" s="137"/>
      <c r="AK123" s="137"/>
      <c r="AM123" s="137"/>
      <c r="AN123" s="137"/>
      <c r="AO123" s="137"/>
      <c r="AQ123" s="137"/>
      <c r="AR123" s="137"/>
      <c r="AS123" s="137"/>
      <c r="AT123" s="137"/>
      <c r="AV123" s="137"/>
      <c r="AW123" s="137"/>
      <c r="AX123" s="137"/>
    </row>
    <row r="124" spans="1:50" s="79" customFormat="1" ht="10.199999999999999" x14ac:dyDescent="0.2">
      <c r="A124" s="97">
        <f t="shared" si="3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8">
        <v>5.9999999999999995E-4</v>
      </c>
      <c r="G124" s="158">
        <v>8.0000000000000004E-4</v>
      </c>
      <c r="H124" s="158">
        <v>1.4E-3</v>
      </c>
      <c r="I124" s="158">
        <v>2E-3</v>
      </c>
      <c r="J124" s="158" t="s">
        <v>87</v>
      </c>
      <c r="K124" s="158">
        <v>3.0999999999999999E-3</v>
      </c>
      <c r="L124" s="158">
        <v>3.8999999999999998E-3</v>
      </c>
      <c r="M124" s="158">
        <v>4.7000000000000002E-3</v>
      </c>
      <c r="N124" s="139" cm="1">
        <f t="array" aca="1" ref="N124:AE124" ca="1">IF(OR(B124="",NOT($J$2)),"",GetStripDefaultProbability(A124,B124,Parameter_Date,CDSRollDate,E124:M124,SpreadCurveMaturities,D124,C124,$J$4,$J$6))</f>
        <v>0</v>
      </c>
      <c r="O124" s="165">
        <f ca="1"/>
        <v>5.9842836468415594E-4</v>
      </c>
      <c r="P124" s="165">
        <f ca="1"/>
        <v>1.4714595053220147E-3</v>
      </c>
      <c r="Q124" s="165">
        <f ca="1"/>
        <v>4.9645809297133026E-3</v>
      </c>
      <c r="R124" s="165">
        <f ca="1"/>
        <v>1.0544569748016319E-2</v>
      </c>
      <c r="S124" s="165">
        <f ca="1"/>
        <v>0</v>
      </c>
      <c r="T124" s="165">
        <f ca="1"/>
        <v>2.712389855858055E-2</v>
      </c>
      <c r="U124" s="165">
        <f ca="1"/>
        <v>4.7661313203887001E-2</v>
      </c>
      <c r="V124" s="140">
        <f ca="1"/>
        <v>8.1639348920219068E-2</v>
      </c>
      <c r="W124" s="139">
        <f ca="1"/>
        <v>0</v>
      </c>
      <c r="X124" s="165">
        <f ca="1"/>
        <v>6.9813078535330142E-4</v>
      </c>
      <c r="Y124" s="165">
        <f ca="1"/>
        <v>1.6378670610578405E-3</v>
      </c>
      <c r="Z124" s="165">
        <f ca="1"/>
        <v>5.3147721728632469E-3</v>
      </c>
      <c r="AA124" s="165">
        <f ca="1"/>
        <v>1.1059326350964183E-2</v>
      </c>
      <c r="AB124" s="165">
        <f ca="1"/>
        <v>0</v>
      </c>
      <c r="AC124" s="165">
        <f ca="1"/>
        <v>2.8453559650789884E-2</v>
      </c>
      <c r="AD124" s="165">
        <f ca="1"/>
        <v>4.998709905135712E-2</v>
      </c>
      <c r="AE124" s="140">
        <f ca="1"/>
        <v>8.5562040355402824E-2</v>
      </c>
      <c r="AH124" s="137"/>
      <c r="AI124" s="137"/>
      <c r="AJ124" s="137"/>
      <c r="AK124" s="137"/>
      <c r="AM124" s="137"/>
      <c r="AN124" s="137"/>
      <c r="AO124" s="137"/>
      <c r="AQ124" s="137"/>
      <c r="AR124" s="137"/>
      <c r="AS124" s="137"/>
      <c r="AT124" s="137"/>
      <c r="AV124" s="137"/>
      <c r="AW124" s="137"/>
      <c r="AX124" s="137"/>
    </row>
    <row r="125" spans="1:50" s="79" customFormat="1" ht="10.199999999999999" x14ac:dyDescent="0.2">
      <c r="A125" s="97">
        <f t="shared" si="3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8">
        <v>2.0999999999999999E-3</v>
      </c>
      <c r="G125" s="158">
        <v>2.0999999999999999E-3</v>
      </c>
      <c r="H125" s="158">
        <v>3.8E-3</v>
      </c>
      <c r="I125" s="158">
        <v>7.1000000000000004E-3</v>
      </c>
      <c r="J125" s="158" t="s">
        <v>87</v>
      </c>
      <c r="K125" s="158">
        <v>9.5999999999999992E-3</v>
      </c>
      <c r="L125" s="158">
        <v>1.15E-2</v>
      </c>
      <c r="M125" s="158">
        <v>1.32E-2</v>
      </c>
      <c r="N125" s="139" cm="1">
        <f t="array" aca="1" ref="N125:AE125" ca="1">IF(OR(B125="",NOT($J$2)),"",GetStripDefaultProbability(A125,B125,Parameter_Date,CDSRollDate,E125:M125,SpreadCurveMaturities,D125,C125,$J$4,$J$6))</f>
        <v>0</v>
      </c>
      <c r="O125" s="165">
        <f ca="1"/>
        <v>2.0929384242335258E-3</v>
      </c>
      <c r="P125" s="165">
        <f ca="1"/>
        <v>3.8445387117471697E-3</v>
      </c>
      <c r="Q125" s="165">
        <f ca="1"/>
        <v>1.3424317152715304E-2</v>
      </c>
      <c r="R125" s="165">
        <f ca="1"/>
        <v>3.7369703343713145E-2</v>
      </c>
      <c r="S125" s="165">
        <f ca="1"/>
        <v>0</v>
      </c>
      <c r="T125" s="165">
        <f ca="1"/>
        <v>8.2030886006040915E-2</v>
      </c>
      <c r="U125" s="165">
        <f ca="1"/>
        <v>0.13490222351925063</v>
      </c>
      <c r="V125" s="140">
        <f ca="1"/>
        <v>0.21404060969256145</v>
      </c>
      <c r="W125" s="139">
        <f ca="1"/>
        <v>0</v>
      </c>
      <c r="X125" s="165">
        <f ca="1"/>
        <v>2.1974598692694469E-3</v>
      </c>
      <c r="Y125" s="165">
        <f ca="1"/>
        <v>4.0363711601234531E-3</v>
      </c>
      <c r="Z125" s="165">
        <f ca="1"/>
        <v>1.4091535845650593E-2</v>
      </c>
      <c r="AA125" s="165">
        <f ca="1"/>
        <v>3.9212709633766663E-2</v>
      </c>
      <c r="AB125" s="165">
        <f ca="1"/>
        <v>0</v>
      </c>
      <c r="AC125" s="165">
        <f ca="1"/>
        <v>8.6002036876649313E-2</v>
      </c>
      <c r="AD125" s="165">
        <f ca="1"/>
        <v>0.14127741556941253</v>
      </c>
      <c r="AE125" s="140">
        <f ca="1"/>
        <v>0.22374240032062331</v>
      </c>
      <c r="AH125" s="137"/>
      <c r="AI125" s="137"/>
      <c r="AJ125" s="137"/>
      <c r="AK125" s="137"/>
      <c r="AM125" s="137"/>
      <c r="AN125" s="137"/>
      <c r="AO125" s="137"/>
      <c r="AQ125" s="137"/>
      <c r="AR125" s="137"/>
      <c r="AS125" s="137"/>
      <c r="AT125" s="137"/>
      <c r="AV125" s="137"/>
      <c r="AW125" s="137"/>
      <c r="AX125" s="137"/>
    </row>
    <row r="126" spans="1:50" s="79" customFormat="1" ht="10.199999999999999" x14ac:dyDescent="0.2">
      <c r="A126" s="97">
        <f t="shared" si="3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8">
        <v>1.4E-3</v>
      </c>
      <c r="G126" s="158">
        <v>1.6999999999999999E-3</v>
      </c>
      <c r="H126" s="158">
        <v>3.2000000000000002E-3</v>
      </c>
      <c r="I126" s="158">
        <v>4.4000000000000003E-3</v>
      </c>
      <c r="J126" s="158" t="s">
        <v>87</v>
      </c>
      <c r="K126" s="158">
        <v>6.4000000000000003E-3</v>
      </c>
      <c r="L126" s="158">
        <v>8.0000000000000002E-3</v>
      </c>
      <c r="M126" s="158">
        <v>9.2999999999999992E-3</v>
      </c>
      <c r="N126" s="139" cm="1">
        <f t="array" aca="1" ref="N126:AE126" ca="1">IF(OR(B126="",NOT($J$2)),"",GetStripDefaultProbability(A126,B126,Parameter_Date,CDSRollDate,E126:M126,SpreadCurveMaturities,D126,C126,$J$4,$J$6))</f>
        <v>0</v>
      </c>
      <c r="O126" s="165">
        <f ca="1"/>
        <v>1.3957776882215223E-3</v>
      </c>
      <c r="P126" s="165">
        <f ca="1"/>
        <v>3.1213183673114431E-3</v>
      </c>
      <c r="Q126" s="165">
        <f ca="1"/>
        <v>1.1328629553775227E-2</v>
      </c>
      <c r="R126" s="165">
        <f ca="1"/>
        <v>2.3074730804470867E-2</v>
      </c>
      <c r="S126" s="165">
        <f ca="1"/>
        <v>0</v>
      </c>
      <c r="T126" s="165">
        <f ca="1"/>
        <v>5.5250913164738513E-2</v>
      </c>
      <c r="U126" s="165">
        <f ca="1"/>
        <v>9.578241799775189E-2</v>
      </c>
      <c r="V126" s="140">
        <f ca="1"/>
        <v>0.15558313906085175</v>
      </c>
      <c r="W126" s="139">
        <f ca="1"/>
        <v>0</v>
      </c>
      <c r="X126" s="165">
        <f ca="1"/>
        <v>1.495396987861608E-3</v>
      </c>
      <c r="Y126" s="165">
        <f ca="1"/>
        <v>3.2874509694738041E-3</v>
      </c>
      <c r="Z126" s="165">
        <f ca="1"/>
        <v>1.1891056077672491E-2</v>
      </c>
      <c r="AA126" s="165">
        <f ca="1"/>
        <v>2.4216496565289569E-2</v>
      </c>
      <c r="AB126" s="165">
        <f ca="1"/>
        <v>0</v>
      </c>
      <c r="AC126" s="165">
        <f ca="1"/>
        <v>5.7943282261973761E-2</v>
      </c>
      <c r="AD126" s="165">
        <f ca="1"/>
        <v>0.10037476972205572</v>
      </c>
      <c r="AE126" s="140">
        <f ca="1"/>
        <v>0.162858028074642</v>
      </c>
      <c r="AH126" s="137"/>
      <c r="AI126" s="137"/>
      <c r="AJ126" s="137"/>
      <c r="AK126" s="137"/>
      <c r="AM126" s="137"/>
      <c r="AN126" s="137"/>
      <c r="AO126" s="137"/>
      <c r="AQ126" s="137"/>
      <c r="AR126" s="137"/>
      <c r="AS126" s="137"/>
      <c r="AT126" s="137"/>
      <c r="AV126" s="137"/>
      <c r="AW126" s="137"/>
      <c r="AX126" s="137"/>
    </row>
    <row r="127" spans="1:50" s="79" customFormat="1" ht="10.199999999999999" x14ac:dyDescent="0.2">
      <c r="A127" s="97">
        <f t="shared" si="3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8">
        <v>2.9999999999999997E-4</v>
      </c>
      <c r="G127" s="158">
        <v>5.9999999999999995E-4</v>
      </c>
      <c r="H127" s="158">
        <v>1.1000000000000001E-3</v>
      </c>
      <c r="I127" s="158">
        <v>1.4E-3</v>
      </c>
      <c r="J127" s="158" t="s">
        <v>87</v>
      </c>
      <c r="K127" s="158">
        <v>2.2000000000000001E-3</v>
      </c>
      <c r="L127" s="158">
        <v>2.5999999999999999E-3</v>
      </c>
      <c r="M127" s="158">
        <v>3.0999999999999999E-3</v>
      </c>
      <c r="N127" s="139" cm="1">
        <f t="array" aca="1" ref="N127:AE127" ca="1">IF(OR(B127="",NOT($J$2)),"",GetStripDefaultProbability(A127,B127,Parameter_Date,CDSRollDate,E127:M127,SpreadCurveMaturities,D127,C127,$J$4,$J$6))</f>
        <v>0</v>
      </c>
      <c r="O127" s="165">
        <f ca="1"/>
        <v>2.9925881803194443E-4</v>
      </c>
      <c r="P127" s="165">
        <f ca="1"/>
        <v>1.1075880241206981E-3</v>
      </c>
      <c r="Q127" s="165">
        <f ca="1"/>
        <v>3.9085326245068552E-3</v>
      </c>
      <c r="R127" s="165">
        <f ca="1"/>
        <v>7.3701603233476964E-3</v>
      </c>
      <c r="S127" s="165">
        <f ca="1"/>
        <v>0</v>
      </c>
      <c r="T127" s="165">
        <f ca="1"/>
        <v>1.9292865808570592E-2</v>
      </c>
      <c r="U127" s="165">
        <f ca="1"/>
        <v>3.1776331627695886E-2</v>
      </c>
      <c r="V127" s="140">
        <f ca="1"/>
        <v>5.4153965897831613E-2</v>
      </c>
      <c r="W127" s="139">
        <f ca="1"/>
        <v>0</v>
      </c>
      <c r="X127" s="165">
        <f ca="1"/>
        <v>3.9899165370427259E-4</v>
      </c>
      <c r="Y127" s="165">
        <f ca="1"/>
        <v>1.274056220039288E-3</v>
      </c>
      <c r="Z127" s="165">
        <f ca="1"/>
        <v>4.2590814785439246E-3</v>
      </c>
      <c r="AA127" s="165">
        <f ca="1"/>
        <v>7.8863091853170753E-3</v>
      </c>
      <c r="AB127" s="165">
        <f ca="1"/>
        <v>0</v>
      </c>
      <c r="AC127" s="165">
        <f ca="1"/>
        <v>2.0223806536722289E-2</v>
      </c>
      <c r="AD127" s="165">
        <f ca="1"/>
        <v>3.331821665700252E-2</v>
      </c>
      <c r="AE127" s="140">
        <f ca="1"/>
        <v>5.67699042481149E-2</v>
      </c>
      <c r="AH127" s="137"/>
      <c r="AI127" s="137"/>
      <c r="AJ127" s="137"/>
      <c r="AK127" s="137"/>
      <c r="AM127" s="137"/>
      <c r="AN127" s="137"/>
      <c r="AO127" s="137"/>
      <c r="AQ127" s="137"/>
      <c r="AR127" s="137"/>
      <c r="AS127" s="137"/>
      <c r="AT127" s="137"/>
      <c r="AV127" s="137"/>
      <c r="AW127" s="137"/>
      <c r="AX127" s="137"/>
    </row>
    <row r="128" spans="1:50" s="79" customFormat="1" ht="10.199999999999999" x14ac:dyDescent="0.2">
      <c r="A128" s="97">
        <f t="shared" si="3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8">
        <v>5.0000000000000001E-4</v>
      </c>
      <c r="G128" s="158">
        <v>1.1000000000000001E-3</v>
      </c>
      <c r="H128" s="158">
        <v>1.9E-3</v>
      </c>
      <c r="I128" s="158">
        <v>2.5000000000000001E-3</v>
      </c>
      <c r="J128" s="158" t="s">
        <v>87</v>
      </c>
      <c r="K128" s="158">
        <v>3.8E-3</v>
      </c>
      <c r="L128" s="158">
        <v>4.5999999999999999E-3</v>
      </c>
      <c r="M128" s="158">
        <v>5.5999999999999999E-3</v>
      </c>
      <c r="N128" s="139" cm="1">
        <f t="array" aca="1" ref="N128:AE128" ca="1">IF(OR(B128="",NOT($J$2)),"",GetStripDefaultProbability(A128,B128,Parameter_Date,CDSRollDate,E128:M128,SpreadCurveMaturities,D128,C128,$J$4,$J$6))</f>
        <v>0</v>
      </c>
      <c r="O128" s="165">
        <f ca="1"/>
        <v>4.9871509903820499E-4</v>
      </c>
      <c r="P128" s="165">
        <f ca="1"/>
        <v>2.031196389914669E-3</v>
      </c>
      <c r="Q128" s="165">
        <f ca="1"/>
        <v>6.7406213677994042E-3</v>
      </c>
      <c r="R128" s="165">
        <f ca="1"/>
        <v>1.314280688722369E-2</v>
      </c>
      <c r="S128" s="165">
        <f ca="1"/>
        <v>0</v>
      </c>
      <c r="T128" s="165">
        <f ca="1"/>
        <v>3.3123671045065639E-2</v>
      </c>
      <c r="U128" s="165">
        <f ca="1"/>
        <v>5.5795898810333755E-2</v>
      </c>
      <c r="V128" s="140">
        <f ca="1"/>
        <v>9.6570203997132453E-2</v>
      </c>
      <c r="W128" s="139">
        <f ca="1"/>
        <v>0</v>
      </c>
      <c r="X128" s="165">
        <f ca="1"/>
        <v>5.9842770240881027E-4</v>
      </c>
      <c r="Y128" s="165">
        <f ca="1"/>
        <v>2.1975106639420261E-3</v>
      </c>
      <c r="Z128" s="165">
        <f ca="1"/>
        <v>7.0902657757011545E-3</v>
      </c>
      <c r="AA128" s="165">
        <f ca="1"/>
        <v>1.3791158588515873E-2</v>
      </c>
      <c r="AB128" s="165">
        <f ca="1"/>
        <v>0</v>
      </c>
      <c r="AC128" s="165">
        <f ca="1"/>
        <v>3.4750209783964148E-2</v>
      </c>
      <c r="AD128" s="165">
        <f ca="1"/>
        <v>5.8514677761906109E-2</v>
      </c>
      <c r="AE128" s="140">
        <f ca="1"/>
        <v>0.10120794640980335</v>
      </c>
      <c r="AH128" s="137"/>
      <c r="AI128" s="137"/>
      <c r="AJ128" s="137"/>
      <c r="AK128" s="137"/>
      <c r="AM128" s="137"/>
      <c r="AN128" s="137"/>
      <c r="AO128" s="137"/>
      <c r="AQ128" s="137"/>
      <c r="AR128" s="137"/>
      <c r="AS128" s="137"/>
      <c r="AT128" s="137"/>
      <c r="AV128" s="137"/>
      <c r="AW128" s="137"/>
      <c r="AX128" s="137"/>
    </row>
    <row r="129" spans="1:50" s="79" customFormat="1" ht="10.199999999999999" x14ac:dyDescent="0.2">
      <c r="A129" s="97">
        <f t="shared" si="3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8">
        <v>1E-3</v>
      </c>
      <c r="G129" s="158">
        <v>1.6000000000000001E-3</v>
      </c>
      <c r="H129" s="158">
        <v>2.3999999999999998E-3</v>
      </c>
      <c r="I129" s="158">
        <v>3.0999999999999999E-3</v>
      </c>
      <c r="J129" s="158" t="s">
        <v>87</v>
      </c>
      <c r="K129" s="158">
        <v>5.1999999999999998E-3</v>
      </c>
      <c r="L129" s="158">
        <v>6.3E-3</v>
      </c>
      <c r="M129" s="158">
        <v>7.1999999999999998E-3</v>
      </c>
      <c r="N129" s="139" cm="1">
        <f t="array" aca="1" ref="N129:AE129" ca="1">IF(OR(B129="",NOT($J$2)),"",GetStripDefaultProbability(A129,B129,Parameter_Date,CDSRollDate,E129:M129,SpreadCurveMaturities,D129,C129,$J$4,$J$6))</f>
        <v>0</v>
      </c>
      <c r="O129" s="165">
        <f ca="1"/>
        <v>9.971822959833343E-4</v>
      </c>
      <c r="P129" s="165">
        <f ca="1"/>
        <v>2.9463263670987949E-3</v>
      </c>
      <c r="Q129" s="165">
        <f ca="1"/>
        <v>8.4851200991914455E-3</v>
      </c>
      <c r="R129" s="165">
        <f ca="1"/>
        <v>1.6244120275446861E-2</v>
      </c>
      <c r="S129" s="165">
        <f ca="1"/>
        <v>0</v>
      </c>
      <c r="T129" s="165">
        <f ca="1"/>
        <v>4.5289768774494421E-2</v>
      </c>
      <c r="U129" s="165">
        <f ca="1"/>
        <v>7.5999737468978257E-2</v>
      </c>
      <c r="V129" s="140">
        <f ca="1"/>
        <v>0.12183331891546678</v>
      </c>
      <c r="W129" s="139">
        <f ca="1"/>
        <v>0</v>
      </c>
      <c r="X129" s="165">
        <f ca="1"/>
        <v>1.0968435312084246E-3</v>
      </c>
      <c r="Y129" s="165">
        <f ca="1"/>
        <v>3.1124881321764608E-3</v>
      </c>
      <c r="Z129" s="165">
        <f ca="1"/>
        <v>8.9056868056004435E-3</v>
      </c>
      <c r="AA129" s="165">
        <f ca="1"/>
        <v>1.7048654937826258E-2</v>
      </c>
      <c r="AB129" s="165">
        <f ca="1"/>
        <v>0</v>
      </c>
      <c r="AC129" s="165">
        <f ca="1"/>
        <v>4.7506902183933497E-2</v>
      </c>
      <c r="AD129" s="165">
        <f ca="1"/>
        <v>7.9676819644374119E-2</v>
      </c>
      <c r="AE129" s="140">
        <f ca="1"/>
        <v>0.1276133028024411</v>
      </c>
      <c r="AH129" s="137"/>
      <c r="AI129" s="137"/>
      <c r="AJ129" s="137"/>
      <c r="AK129" s="137"/>
      <c r="AM129" s="137"/>
      <c r="AN129" s="137"/>
      <c r="AO129" s="137"/>
      <c r="AQ129" s="137"/>
      <c r="AR129" s="137"/>
      <c r="AS129" s="137"/>
      <c r="AT129" s="137"/>
      <c r="AV129" s="137"/>
      <c r="AW129" s="137"/>
      <c r="AX129" s="137"/>
    </row>
    <row r="130" spans="1:50" s="79" customFormat="1" ht="10.199999999999999" x14ac:dyDescent="0.2">
      <c r="A130" s="97">
        <f t="shared" si="3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8">
        <v>6.9999999999999999E-4</v>
      </c>
      <c r="G130" s="158">
        <v>1E-3</v>
      </c>
      <c r="H130" s="158">
        <v>1.6999999999999999E-3</v>
      </c>
      <c r="I130" s="158">
        <v>2.3999999999999998E-3</v>
      </c>
      <c r="J130" s="158" t="s">
        <v>87</v>
      </c>
      <c r="K130" s="158">
        <v>3.8E-3</v>
      </c>
      <c r="L130" s="158">
        <v>4.7999999999999996E-3</v>
      </c>
      <c r="M130" s="158">
        <v>6.0000000000000001E-3</v>
      </c>
      <c r="N130" s="139" cm="1">
        <f t="array" aca="1" ref="N130:AE130" ca="1">IF(OR(B130="",NOT($J$2)),"",GetStripDefaultProbability(A130,B130,Parameter_Date,CDSRollDate,E130:M130,SpreadCurveMaturities,D130,C130,$J$4,$J$6))</f>
        <v>0</v>
      </c>
      <c r="O130" s="165">
        <f ca="1"/>
        <v>6.9813171573551713E-4</v>
      </c>
      <c r="P130" s="165">
        <f ca="1"/>
        <v>1.8403238360689134E-3</v>
      </c>
      <c r="Q130" s="165">
        <f ca="1"/>
        <v>6.0249396957506862E-3</v>
      </c>
      <c r="R130" s="165">
        <f ca="1"/>
        <v>1.2638542399154962E-2</v>
      </c>
      <c r="S130" s="165">
        <f ca="1"/>
        <v>0</v>
      </c>
      <c r="T130" s="165">
        <f ca="1"/>
        <v>3.3201599473552168E-2</v>
      </c>
      <c r="U130" s="165">
        <f ca="1"/>
        <v>5.8474826044512263E-2</v>
      </c>
      <c r="V130" s="140">
        <f ca="1"/>
        <v>0.10389435567116134</v>
      </c>
      <c r="W130" s="139">
        <f ca="1"/>
        <v>0</v>
      </c>
      <c r="X130" s="165">
        <f ca="1"/>
        <v>7.97823908687878E-4</v>
      </c>
      <c r="Y130" s="165">
        <f ca="1"/>
        <v>2.006669919534132E-3</v>
      </c>
      <c r="Z130" s="165">
        <f ca="1"/>
        <v>6.3747871369144171E-3</v>
      </c>
      <c r="AA130" s="165">
        <f ca="1"/>
        <v>1.3260248329108437E-2</v>
      </c>
      <c r="AB130" s="165">
        <f ca="1"/>
        <v>0</v>
      </c>
      <c r="AC130" s="165">
        <f ca="1"/>
        <v>3.4830428199198238E-2</v>
      </c>
      <c r="AD130" s="165">
        <f ca="1"/>
        <v>6.1321082438897778E-2</v>
      </c>
      <c r="AE130" s="140">
        <f ca="1"/>
        <v>0.10887440502541279</v>
      </c>
      <c r="AH130" s="137"/>
      <c r="AI130" s="137"/>
      <c r="AJ130" s="137"/>
      <c r="AK130" s="137"/>
      <c r="AM130" s="137"/>
      <c r="AN130" s="137"/>
      <c r="AO130" s="137"/>
      <c r="AQ130" s="137"/>
      <c r="AR130" s="137"/>
      <c r="AS130" s="137"/>
      <c r="AT130" s="137"/>
      <c r="AV130" s="137"/>
      <c r="AW130" s="137"/>
      <c r="AX130" s="137"/>
    </row>
    <row r="131" spans="1:50" s="79" customFormat="1" ht="10.199999999999999" x14ac:dyDescent="0.2">
      <c r="A131" s="97">
        <f t="shared" si="3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8">
        <v>1.1000000000000001E-3</v>
      </c>
      <c r="G131" s="158">
        <v>1.5E-3</v>
      </c>
      <c r="H131" s="158">
        <v>1.9E-3</v>
      </c>
      <c r="I131" s="158">
        <v>2.5999999999999999E-3</v>
      </c>
      <c r="J131" s="158" t="s">
        <v>87</v>
      </c>
      <c r="K131" s="158">
        <v>3.8E-3</v>
      </c>
      <c r="L131" s="158">
        <v>4.7000000000000002E-3</v>
      </c>
      <c r="M131" s="158">
        <v>5.7000000000000002E-3</v>
      </c>
      <c r="N131" s="139" cm="1">
        <f t="array" aca="1" ref="N131:AE131" ca="1">IF(OR(B131="",NOT($J$2)),"",GetStripDefaultProbability(A131,B131,Parameter_Date,CDSRollDate,E131:M131,SpreadCurveMaturities,D131,C131,$J$4,$J$6))</f>
        <v>0</v>
      </c>
      <c r="O131" s="165">
        <f ca="1"/>
        <v>1.0968460033887739E-3</v>
      </c>
      <c r="P131" s="165">
        <f ca="1"/>
        <v>2.7581141421583188E-3</v>
      </c>
      <c r="Q131" s="165">
        <f ca="1"/>
        <v>6.6986588756065002E-3</v>
      </c>
      <c r="R131" s="165">
        <f ca="1"/>
        <v>1.3639627677154986E-2</v>
      </c>
      <c r="S131" s="165">
        <f ca="1"/>
        <v>0</v>
      </c>
      <c r="T131" s="165">
        <f ca="1"/>
        <v>3.3038447675185489E-2</v>
      </c>
      <c r="U131" s="165">
        <f ca="1"/>
        <v>5.7009572578452405E-2</v>
      </c>
      <c r="V131" s="140">
        <f ca="1"/>
        <v>9.8202526382957456E-2</v>
      </c>
      <c r="W131" s="139">
        <f ca="1"/>
        <v>0</v>
      </c>
      <c r="X131" s="165">
        <f ca="1"/>
        <v>1.1964968262314635E-3</v>
      </c>
      <c r="Y131" s="165">
        <f ca="1"/>
        <v>2.9243072733321496E-3</v>
      </c>
      <c r="Z131" s="165">
        <f ca="1"/>
        <v>7.0481889673472686E-3</v>
      </c>
      <c r="AA131" s="165">
        <f ca="1"/>
        <v>1.4314539134608228E-2</v>
      </c>
      <c r="AB131" s="165">
        <f ca="1"/>
        <v>0</v>
      </c>
      <c r="AC131" s="165">
        <f ca="1"/>
        <v>3.4662661151129259E-2</v>
      </c>
      <c r="AD131" s="165">
        <f ca="1"/>
        <v>5.9788194927665628E-2</v>
      </c>
      <c r="AE131" s="140">
        <f ca="1"/>
        <v>0.10291749445215026</v>
      </c>
      <c r="AH131" s="137"/>
      <c r="AI131" s="137"/>
      <c r="AJ131" s="137"/>
      <c r="AK131" s="137"/>
      <c r="AM131" s="137"/>
      <c r="AN131" s="137"/>
      <c r="AO131" s="137"/>
      <c r="AQ131" s="137"/>
      <c r="AR131" s="137"/>
      <c r="AS131" s="137"/>
      <c r="AT131" s="137"/>
      <c r="AV131" s="137"/>
      <c r="AW131" s="137"/>
      <c r="AX131" s="137"/>
    </row>
    <row r="132" spans="1:50" s="79" customFormat="1" ht="10.199999999999999" x14ac:dyDescent="0.2">
      <c r="A132" s="97">
        <f t="shared" si="3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8">
        <v>8.0000000000000004E-4</v>
      </c>
      <c r="G132" s="158">
        <v>1E-3</v>
      </c>
      <c r="H132" s="158">
        <v>1.9E-3</v>
      </c>
      <c r="I132" s="158">
        <v>2.3999999999999998E-3</v>
      </c>
      <c r="J132" s="158" t="s">
        <v>87</v>
      </c>
      <c r="K132" s="158">
        <v>3.8E-3</v>
      </c>
      <c r="L132" s="158">
        <v>4.4999999999999997E-3</v>
      </c>
      <c r="M132" s="158">
        <v>5.4000000000000003E-3</v>
      </c>
      <c r="N132" s="139" cm="1">
        <f t="array" aca="1" ref="N132:AE132" ca="1">IF(OR(B132="",NOT($J$2)),"",GetStripDefaultProbability(A132,B132,Parameter_Date,CDSRollDate,E132:M132,SpreadCurveMaturities,D132,C132,$J$4,$J$6))</f>
        <v>0</v>
      </c>
      <c r="O132" s="165">
        <f ca="1"/>
        <v>7.9782515363191475E-4</v>
      </c>
      <c r="P132" s="165">
        <f ca="1"/>
        <v>1.8377423240791835E-3</v>
      </c>
      <c r="Q132" s="165">
        <f ca="1"/>
        <v>6.7391538246808214E-3</v>
      </c>
      <c r="R132" s="165">
        <f ca="1"/>
        <v>1.2601578621638354E-2</v>
      </c>
      <c r="S132" s="165">
        <f ca="1"/>
        <v>0</v>
      </c>
      <c r="T132" s="165">
        <f ca="1"/>
        <v>3.3163217349863383E-2</v>
      </c>
      <c r="U132" s="165">
        <f ca="1"/>
        <v>5.4535150562049384E-2</v>
      </c>
      <c r="V132" s="140">
        <f ca="1"/>
        <v>9.3001335011870911E-2</v>
      </c>
      <c r="W132" s="139">
        <f ca="1"/>
        <v>0</v>
      </c>
      <c r="X132" s="165">
        <f ca="1"/>
        <v>8.9750707345648273E-4</v>
      </c>
      <c r="Y132" s="165">
        <f ca="1"/>
        <v>2.0040888377645949E-3</v>
      </c>
      <c r="Z132" s="165">
        <f ca="1"/>
        <v>7.0887867690719863E-3</v>
      </c>
      <c r="AA132" s="165">
        <f ca="1"/>
        <v>1.3223177662300745E-2</v>
      </c>
      <c r="AB132" s="165">
        <f ca="1"/>
        <v>0</v>
      </c>
      <c r="AC132" s="165">
        <f ca="1"/>
        <v>3.4791831517083205E-2</v>
      </c>
      <c r="AD132" s="165">
        <f ca="1"/>
        <v>5.7193705973914488E-2</v>
      </c>
      <c r="AE132" s="140">
        <f ca="1"/>
        <v>9.744862740238136E-2</v>
      </c>
      <c r="AH132" s="137"/>
      <c r="AI132" s="137"/>
      <c r="AJ132" s="137"/>
      <c r="AK132" s="137"/>
      <c r="AM132" s="137"/>
      <c r="AN132" s="137"/>
      <c r="AO132" s="137"/>
      <c r="AQ132" s="137"/>
      <c r="AR132" s="137"/>
      <c r="AS132" s="137"/>
      <c r="AT132" s="137"/>
      <c r="AV132" s="137"/>
      <c r="AW132" s="137"/>
      <c r="AX132" s="137"/>
    </row>
    <row r="133" spans="1:50" s="79" customFormat="1" ht="10.199999999999999" x14ac:dyDescent="0.2">
      <c r="A133" s="97">
        <f t="shared" si="3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8">
        <v>6.9999999999999999E-4</v>
      </c>
      <c r="G133" s="158">
        <v>8.0000000000000004E-4</v>
      </c>
      <c r="H133" s="158">
        <v>1.2999999999999999E-3</v>
      </c>
      <c r="I133" s="158">
        <v>1.6999999999999999E-3</v>
      </c>
      <c r="J133" s="158" t="s">
        <v>87</v>
      </c>
      <c r="K133" s="158">
        <v>2.7000000000000001E-3</v>
      </c>
      <c r="L133" s="158">
        <v>3.0999999999999999E-3</v>
      </c>
      <c r="M133" s="158">
        <v>3.8999999999999998E-3</v>
      </c>
      <c r="N133" s="139" cm="1">
        <f t="array" aca="1" ref="N133:AE133" ca="1">IF(OR(B133="",NOT($J$2)),"",GetStripDefaultProbability(A133,B133,Parameter_Date,CDSRollDate,E133:M133,SpreadCurveMaturities,D133,C133,$J$4,$J$6))</f>
        <v>0</v>
      </c>
      <c r="O133" s="165">
        <f ca="1"/>
        <v>6.9813171573551713E-4</v>
      </c>
      <c r="P133" s="165">
        <f ca="1"/>
        <v>1.4688960752100577E-3</v>
      </c>
      <c r="Q133" s="165">
        <f ca="1"/>
        <v>4.603215621535095E-3</v>
      </c>
      <c r="R133" s="165">
        <f ca="1"/>
        <v>8.936744918632944E-3</v>
      </c>
      <c r="S133" s="165">
        <f ca="1"/>
        <v>0</v>
      </c>
      <c r="T133" s="165">
        <f ca="1"/>
        <v>2.3643963915158106E-2</v>
      </c>
      <c r="U133" s="165">
        <f ca="1"/>
        <v>3.7703699799972012E-2</v>
      </c>
      <c r="V133" s="140">
        <f ca="1"/>
        <v>6.8168622789490096E-2</v>
      </c>
      <c r="W133" s="139">
        <f ca="1"/>
        <v>0</v>
      </c>
      <c r="X133" s="165">
        <f ca="1"/>
        <v>7.97823908687878E-4</v>
      </c>
      <c r="Y133" s="165">
        <f ca="1"/>
        <v>1.635304058142717E-3</v>
      </c>
      <c r="Z133" s="165">
        <f ca="1"/>
        <v>4.9534974073496274E-3</v>
      </c>
      <c r="AA133" s="165">
        <f ca="1"/>
        <v>9.4521389290795899E-3</v>
      </c>
      <c r="AB133" s="165">
        <f ca="1"/>
        <v>0</v>
      </c>
      <c r="AC133" s="165">
        <f ca="1"/>
        <v>2.4796830624811195E-2</v>
      </c>
      <c r="AD133" s="165">
        <f ca="1"/>
        <v>3.9541449736521961E-2</v>
      </c>
      <c r="AE133" s="140">
        <f ca="1"/>
        <v>7.1455492385266384E-2</v>
      </c>
      <c r="AH133" s="137"/>
      <c r="AI133" s="137"/>
      <c r="AJ133" s="137"/>
      <c r="AK133" s="137"/>
      <c r="AM133" s="137"/>
      <c r="AN133" s="137"/>
      <c r="AO133" s="137"/>
      <c r="AQ133" s="137"/>
      <c r="AR133" s="137"/>
      <c r="AS133" s="137"/>
      <c r="AT133" s="137"/>
      <c r="AV133" s="137"/>
      <c r="AW133" s="137"/>
      <c r="AX133" s="137"/>
    </row>
    <row r="134" spans="1:50" s="79" customFormat="1" ht="10.199999999999999" x14ac:dyDescent="0.2">
      <c r="A134" s="97">
        <f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8">
        <v>2.9999999999999997E-4</v>
      </c>
      <c r="G134" s="158">
        <v>5.9999999999999995E-4</v>
      </c>
      <c r="H134" s="158">
        <v>1.2999999999999999E-3</v>
      </c>
      <c r="I134" s="158">
        <v>1.8E-3</v>
      </c>
      <c r="J134" s="158" t="s">
        <v>87</v>
      </c>
      <c r="K134" s="158">
        <v>2.8999999999999998E-3</v>
      </c>
      <c r="L134" s="158">
        <v>3.5000000000000001E-3</v>
      </c>
      <c r="M134" s="158">
        <v>4.4999999999999997E-3</v>
      </c>
      <c r="N134" s="139" cm="1">
        <f t="array" aca="1" ref="N134:AE134" ca="1">IF(OR(B134="",NOT($J$2)),"",GetStripDefaultProbability(A134,B134,Parameter_Date,CDSRollDate,E134:M134,SpreadCurveMaturities,D134,C134,$J$4,$J$6))</f>
        <v>0</v>
      </c>
      <c r="O134" s="165">
        <f ca="1"/>
        <v>2.9925881803194443E-4</v>
      </c>
      <c r="P134" s="165">
        <f ca="1"/>
        <v>1.1075880241206981E-3</v>
      </c>
      <c r="Q134" s="165">
        <f ca="1"/>
        <v>4.6263789666909361E-3</v>
      </c>
      <c r="R134" s="165">
        <f ca="1"/>
        <v>9.5010409706643983E-3</v>
      </c>
      <c r="S134" s="165">
        <f ca="1"/>
        <v>0</v>
      </c>
      <c r="T134" s="165">
        <f ca="1"/>
        <v>2.5436489555727304E-2</v>
      </c>
      <c r="U134" s="165">
        <f ca="1"/>
        <v>4.2741103959467175E-2</v>
      </c>
      <c r="V134" s="140">
        <f ca="1"/>
        <v>7.8836607197787179E-2</v>
      </c>
      <c r="W134" s="139">
        <f ca="1"/>
        <v>0</v>
      </c>
      <c r="X134" s="165">
        <f ca="1"/>
        <v>3.9899165370427259E-4</v>
      </c>
      <c r="Y134" s="165">
        <f ca="1"/>
        <v>1.274056220039288E-3</v>
      </c>
      <c r="Z134" s="165">
        <f ca="1"/>
        <v>4.9767300625829236E-3</v>
      </c>
      <c r="AA134" s="165">
        <f ca="1"/>
        <v>1.0016309971652815E-2</v>
      </c>
      <c r="AB134" s="165">
        <f ca="1"/>
        <v>0</v>
      </c>
      <c r="AC134" s="165">
        <f ca="1"/>
        <v>2.6677991185062533E-2</v>
      </c>
      <c r="AD134" s="165">
        <f ca="1"/>
        <v>4.4823863338291137E-2</v>
      </c>
      <c r="AE134" s="140">
        <f ca="1"/>
        <v>8.2624645719138412E-2</v>
      </c>
      <c r="AH134" s="137"/>
      <c r="AI134" s="137"/>
      <c r="AJ134" s="137"/>
      <c r="AK134" s="137"/>
      <c r="AM134" s="137"/>
      <c r="AN134" s="137"/>
      <c r="AO134" s="137"/>
      <c r="AQ134" s="137"/>
      <c r="AR134" s="137"/>
      <c r="AS134" s="137"/>
      <c r="AT134" s="137"/>
      <c r="AV134" s="137"/>
      <c r="AW134" s="137"/>
      <c r="AX134" s="137"/>
    </row>
    <row r="135" spans="1:50" s="79" customFormat="1" ht="10.199999999999999" x14ac:dyDescent="0.2">
      <c r="A135" s="97">
        <f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8">
        <v>5.9999999999999995E-4</v>
      </c>
      <c r="G135" s="158">
        <v>8.9999999999999998E-4</v>
      </c>
      <c r="H135" s="158">
        <v>1.8E-3</v>
      </c>
      <c r="I135" s="158">
        <v>2.5000000000000001E-3</v>
      </c>
      <c r="J135" s="158" t="s">
        <v>87</v>
      </c>
      <c r="K135" s="158">
        <v>3.8999999999999998E-3</v>
      </c>
      <c r="L135" s="158">
        <v>4.7999999999999996E-3</v>
      </c>
      <c r="M135" s="158">
        <v>6.3E-3</v>
      </c>
      <c r="N135" s="139" cm="1">
        <f t="array" aca="1" ref="N135:AE135" ca="1">IF(OR(B135="",NOT($J$2)),"",GetStripDefaultProbability(A135,B135,Parameter_Date,CDSRollDate,E135:M135,SpreadCurveMaturities,D135,C135,$J$4,$J$6))</f>
        <v>0</v>
      </c>
      <c r="O135" s="165">
        <f ca="1"/>
        <v>5.9842836468415594E-4</v>
      </c>
      <c r="P135" s="165">
        <f ca="1"/>
        <v>1.6571902907872582E-3</v>
      </c>
      <c r="Q135" s="165">
        <f ca="1"/>
        <v>6.3925394200574637E-3</v>
      </c>
      <c r="R135" s="165">
        <f ca="1"/>
        <v>1.317053506659982E-2</v>
      </c>
      <c r="S135" s="165">
        <f ca="1"/>
        <v>0</v>
      </c>
      <c r="T135" s="165">
        <f ca="1"/>
        <v>3.4051998994880983E-2</v>
      </c>
      <c r="U135" s="165">
        <f ca="1"/>
        <v>5.8326741838027885E-2</v>
      </c>
      <c r="V135" s="140">
        <f ca="1"/>
        <v>0.10944744673445717</v>
      </c>
      <c r="W135" s="139">
        <f ca="1"/>
        <v>0</v>
      </c>
      <c r="X135" s="165">
        <f ca="1"/>
        <v>6.9813078535330142E-4</v>
      </c>
      <c r="Y135" s="165">
        <f ca="1"/>
        <v>1.8235668939718952E-3</v>
      </c>
      <c r="Z135" s="165">
        <f ca="1"/>
        <v>6.742308308002265E-3</v>
      </c>
      <c r="AA135" s="165">
        <f ca="1"/>
        <v>1.3818979678020593E-2</v>
      </c>
      <c r="AB135" s="165">
        <f ca="1"/>
        <v>0</v>
      </c>
      <c r="AC135" s="165">
        <f ca="1"/>
        <v>3.5722457497220805E-2</v>
      </c>
      <c r="AD135" s="165">
        <f ca="1"/>
        <v>6.116552719085655E-2</v>
      </c>
      <c r="AE135" s="140">
        <f ca="1"/>
        <v>0.11468861445941247</v>
      </c>
      <c r="AH135" s="137"/>
      <c r="AI135" s="137"/>
      <c r="AJ135" s="137"/>
      <c r="AK135" s="137"/>
      <c r="AM135" s="137"/>
      <c r="AN135" s="137"/>
      <c r="AO135" s="137"/>
      <c r="AQ135" s="137"/>
      <c r="AR135" s="137"/>
      <c r="AS135" s="137"/>
      <c r="AT135" s="137"/>
      <c r="AV135" s="137"/>
      <c r="AW135" s="137"/>
      <c r="AX135" s="137"/>
    </row>
    <row r="136" spans="1:50" s="79" customFormat="1" ht="10.199999999999999" x14ac:dyDescent="0.2">
      <c r="A136" s="97">
        <f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8">
        <v>1.1800000000000001E-3</v>
      </c>
      <c r="G136" s="158">
        <v>1.5299999999999999E-3</v>
      </c>
      <c r="H136" s="158">
        <v>2.0699999999999998E-3</v>
      </c>
      <c r="I136" s="158">
        <v>2.49E-3</v>
      </c>
      <c r="J136" s="158" t="s">
        <v>87</v>
      </c>
      <c r="K136" s="158">
        <v>3.2000000000000002E-3</v>
      </c>
      <c r="L136" s="158">
        <v>3.62E-3</v>
      </c>
      <c r="M136" s="158">
        <v>4.0000000000000001E-3</v>
      </c>
      <c r="N136" s="139" cm="1">
        <f t="array" aca="1" ref="N136:AE136" ca="1">IF(OR(B136="",NOT($J$2)),"",GetStripDefaultProbability(A136,B136,Parameter_Date,CDSRollDate,E136:M136,SpreadCurveMaturities,D136,C136,$J$4,$J$6))</f>
        <v>0</v>
      </c>
      <c r="O136" s="165">
        <f ca="1"/>
        <v>1.1765698360519661E-3</v>
      </c>
      <c r="P136" s="165">
        <f ca="1"/>
        <v>2.8116854156079452E-3</v>
      </c>
      <c r="Q136" s="165">
        <f ca="1"/>
        <v>7.303455889605126E-3</v>
      </c>
      <c r="R136" s="165">
        <f ca="1"/>
        <v>1.3012828884712002E-2</v>
      </c>
      <c r="S136" s="165">
        <f ca="1"/>
        <v>0</v>
      </c>
      <c r="T136" s="165">
        <f ca="1"/>
        <v>2.7647125987797727E-2</v>
      </c>
      <c r="U136" s="165">
        <f ca="1"/>
        <v>4.3527151556896237E-2</v>
      </c>
      <c r="V136" s="140">
        <f ca="1"/>
        <v>6.8177332516029421E-2</v>
      </c>
      <c r="W136" s="139">
        <f ca="1"/>
        <v>0</v>
      </c>
      <c r="X136" s="165">
        <f ca="1"/>
        <v>1.2762122949028232E-3</v>
      </c>
      <c r="Y136" s="165">
        <f ca="1"/>
        <v>2.977869618976281E-3</v>
      </c>
      <c r="Z136" s="165">
        <f ca="1"/>
        <v>7.6653312415072561E-3</v>
      </c>
      <c r="AA136" s="165">
        <f ca="1"/>
        <v>1.3657631062012454E-2</v>
      </c>
      <c r="AB136" s="165">
        <f ca="1"/>
        <v>0</v>
      </c>
      <c r="AC136" s="165">
        <f ca="1"/>
        <v>2.9009375942680271E-2</v>
      </c>
      <c r="AD136" s="165">
        <f ca="1"/>
        <v>4.5658385221623132E-2</v>
      </c>
      <c r="AE136" s="140">
        <f ca="1"/>
        <v>7.1471979127952112E-2</v>
      </c>
      <c r="AH136" s="137"/>
      <c r="AI136" s="137"/>
      <c r="AJ136" s="137"/>
      <c r="AK136" s="137"/>
      <c r="AM136" s="137"/>
      <c r="AN136" s="137"/>
      <c r="AO136" s="137"/>
      <c r="AQ136" s="137"/>
      <c r="AR136" s="137"/>
      <c r="AS136" s="137"/>
      <c r="AT136" s="137"/>
      <c r="AV136" s="137"/>
      <c r="AW136" s="137"/>
      <c r="AX136" s="137"/>
    </row>
    <row r="137" spans="1:50" s="79" customFormat="1" ht="10.199999999999999" x14ac:dyDescent="0.2">
      <c r="A137" s="97">
        <f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8" t="s">
        <v>87</v>
      </c>
      <c r="G137" s="158">
        <v>7.1500000000000003E-4</v>
      </c>
      <c r="H137" s="158" t="s">
        <v>87</v>
      </c>
      <c r="I137" s="158">
        <v>1.815E-3</v>
      </c>
      <c r="J137" s="158" t="s">
        <v>87</v>
      </c>
      <c r="K137" s="158">
        <v>2.7499999999999998E-3</v>
      </c>
      <c r="L137" s="158">
        <v>3.0799999999999998E-3</v>
      </c>
      <c r="M137" s="158">
        <v>3.63E-3</v>
      </c>
      <c r="N137" s="139" cm="1">
        <f t="array" aca="1" ref="N137:AE137" ca="1">IF(OR(B137="",NOT($J$2)),"",GetStripDefaultProbability(A137,B137,Parameter_Date,CDSRollDate,E137:M137,SpreadCurveMaturities,D137,C137,$J$4,$J$6))</f>
        <v>0</v>
      </c>
      <c r="O137" s="165">
        <f ca="1"/>
        <v>0</v>
      </c>
      <c r="P137" s="165">
        <f ca="1"/>
        <v>1.3106568485329317E-3</v>
      </c>
      <c r="Q137" s="165">
        <f ca="1"/>
        <v>0</v>
      </c>
      <c r="R137" s="165">
        <f ca="1"/>
        <v>9.5264177067013733E-3</v>
      </c>
      <c r="S137" s="165">
        <f ca="1"/>
        <v>0</v>
      </c>
      <c r="T137" s="165">
        <f ca="1"/>
        <v>2.4058941719140803E-2</v>
      </c>
      <c r="U137" s="165">
        <f ca="1"/>
        <v>3.7412235156229601E-2</v>
      </c>
      <c r="V137" s="140">
        <f ca="1"/>
        <v>6.3185606252457061E-2</v>
      </c>
      <c r="W137" s="139">
        <f ca="1"/>
        <v>0</v>
      </c>
      <c r="X137" s="165">
        <f ca="1"/>
        <v>0</v>
      </c>
      <c r="Y137" s="165">
        <f ca="1"/>
        <v>1.4770912024811844E-3</v>
      </c>
      <c r="Z137" s="165">
        <f ca="1"/>
        <v>0</v>
      </c>
      <c r="AA137" s="165">
        <f ca="1"/>
        <v>1.0041593393597559E-2</v>
      </c>
      <c r="AB137" s="165">
        <f ca="1"/>
        <v>0</v>
      </c>
      <c r="AC137" s="165">
        <f ca="1"/>
        <v>2.5235781309011385E-2</v>
      </c>
      <c r="AD137" s="165">
        <f ca="1"/>
        <v>3.923919743887061E-2</v>
      </c>
      <c r="AE137" s="140">
        <f ca="1"/>
        <v>6.6238826688007846E-2</v>
      </c>
      <c r="AI137" s="137"/>
      <c r="AK137" s="137"/>
      <c r="AM137" s="137"/>
      <c r="AN137" s="137"/>
      <c r="AO137" s="137"/>
      <c r="AR137" s="137"/>
      <c r="AT137" s="137"/>
      <c r="AV137" s="137"/>
      <c r="AW137" s="137"/>
      <c r="AX137" s="137"/>
    </row>
    <row r="138" spans="1:50" s="79" customFormat="1" ht="10.199999999999999" x14ac:dyDescent="0.2">
      <c r="A138" s="97">
        <f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8" t="s">
        <v>87</v>
      </c>
      <c r="G138" s="158">
        <v>1.4220000000000001E-3</v>
      </c>
      <c r="H138" s="158" t="s">
        <v>87</v>
      </c>
      <c r="I138" s="158">
        <v>2.6410000000000001E-3</v>
      </c>
      <c r="J138" s="158" t="s">
        <v>87</v>
      </c>
      <c r="K138" s="158">
        <v>3.8600000000000001E-3</v>
      </c>
      <c r="L138" s="158">
        <v>4.7739999999999996E-3</v>
      </c>
      <c r="M138" s="158">
        <v>5.6880000000000003E-3</v>
      </c>
      <c r="N138" s="139" cm="1">
        <f t="array" aca="1" ref="N138:AE138" ca="1">IF(OR(B138="",NOT($J$2)),"",GetStripDefaultProbability(A138,B138,Parameter_Date,CDSRollDate,E138:M138,SpreadCurveMaturities,D138,C138,$J$4,$J$6))</f>
        <v>0</v>
      </c>
      <c r="O138" s="165">
        <f ca="1"/>
        <v>0</v>
      </c>
      <c r="P138" s="165">
        <f ca="1"/>
        <v>2.6049732407912307E-3</v>
      </c>
      <c r="Q138" s="165">
        <f ca="1"/>
        <v>0</v>
      </c>
      <c r="R138" s="165">
        <f ca="1"/>
        <v>1.3785015907959774E-2</v>
      </c>
      <c r="S138" s="165">
        <f ca="1"/>
        <v>0</v>
      </c>
      <c r="T138" s="165">
        <f ca="1"/>
        <v>3.3536116788507875E-2</v>
      </c>
      <c r="U138" s="165">
        <f ca="1"/>
        <v>5.8030203603303243E-2</v>
      </c>
      <c r="V138" s="140">
        <f ca="1"/>
        <v>9.8296122674143338E-2</v>
      </c>
      <c r="W138" s="139">
        <f ca="1"/>
        <v>0</v>
      </c>
      <c r="X138" s="165">
        <f ca="1"/>
        <v>0</v>
      </c>
      <c r="Y138" s="165">
        <f ca="1"/>
        <v>2.7711918933055468E-3</v>
      </c>
      <c r="Z138" s="165">
        <f ca="1"/>
        <v>0</v>
      </c>
      <c r="AA138" s="165">
        <f ca="1"/>
        <v>1.4466249772538187E-2</v>
      </c>
      <c r="AB138" s="165">
        <f ca="1"/>
        <v>0</v>
      </c>
      <c r="AC138" s="165">
        <f ca="1"/>
        <v>3.5184003473141323E-2</v>
      </c>
      <c r="AD138" s="165">
        <f ca="1"/>
        <v>6.085676335213519E-2</v>
      </c>
      <c r="AE138" s="140">
        <f ca="1"/>
        <v>0.10301419939729084</v>
      </c>
      <c r="AI138" s="137"/>
      <c r="AK138" s="137"/>
      <c r="AM138" s="137"/>
      <c r="AN138" s="137"/>
      <c r="AO138" s="137"/>
      <c r="AR138" s="137"/>
      <c r="AT138" s="137"/>
      <c r="AV138" s="137"/>
      <c r="AW138" s="137"/>
      <c r="AX138" s="137"/>
    </row>
    <row r="139" spans="1:50" s="79" customFormat="1" ht="10.199999999999999" x14ac:dyDescent="0.2">
      <c r="A139" s="97">
        <f t="shared" ref="A139:A202" si="4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8">
        <v>1.34E-3</v>
      </c>
      <c r="G139" s="158">
        <v>2.0799999999999998E-3</v>
      </c>
      <c r="H139" s="158">
        <v>3.0500000000000002E-3</v>
      </c>
      <c r="I139" s="158">
        <v>3.5400000000000002E-3</v>
      </c>
      <c r="J139" s="158" t="s">
        <v>87</v>
      </c>
      <c r="K139" s="158">
        <v>4.2700000000000004E-3</v>
      </c>
      <c r="L139" s="158">
        <v>4.64E-3</v>
      </c>
      <c r="M139" s="158">
        <v>5.0099999999999997E-3</v>
      </c>
      <c r="N139" s="139" cm="1">
        <f t="array" aca="1" ref="N139:AE139" ca="1">IF(OR(B139="",NOT($J$2)),"",GetStripDefaultProbability(A139,B139,Parameter_Date,CDSRollDate,E139:M139,SpreadCurveMaturities,D139,C139,$J$4,$J$6))</f>
        <v>0</v>
      </c>
      <c r="O139" s="165">
        <f ca="1"/>
        <v>1.3360184188740964E-3</v>
      </c>
      <c r="P139" s="165">
        <f ca="1"/>
        <v>3.8278116207451918E-3</v>
      </c>
      <c r="Q139" s="165">
        <f ca="1"/>
        <v>1.076798917488897E-2</v>
      </c>
      <c r="R139" s="165">
        <f ca="1"/>
        <v>1.845599553334154E-2</v>
      </c>
      <c r="S139" s="165">
        <f ca="1"/>
        <v>0</v>
      </c>
      <c r="T139" s="165">
        <f ca="1"/>
        <v>3.6644607237197202E-2</v>
      </c>
      <c r="U139" s="165">
        <f ca="1"/>
        <v>5.5215031989962804E-2</v>
      </c>
      <c r="V139" s="140">
        <f ca="1"/>
        <v>8.4306859877512075E-2</v>
      </c>
      <c r="W139" s="139">
        <f ca="1"/>
        <v>0</v>
      </c>
      <c r="X139" s="165">
        <f ca="1"/>
        <v>1.4356455514394906E-3</v>
      </c>
      <c r="Y139" s="165">
        <f ca="1"/>
        <v>4.0179953216316067E-3</v>
      </c>
      <c r="Z139" s="165">
        <f ca="1"/>
        <v>1.1302858077429367E-2</v>
      </c>
      <c r="AA139" s="165">
        <f ca="1"/>
        <v>1.9370260350633273E-2</v>
      </c>
      <c r="AB139" s="165">
        <f ca="1"/>
        <v>0</v>
      </c>
      <c r="AC139" s="165">
        <f ca="1"/>
        <v>3.8443048639206889E-2</v>
      </c>
      <c r="AD139" s="165">
        <f ca="1"/>
        <v>5.7902347651357156E-2</v>
      </c>
      <c r="AE139" s="140">
        <f ca="1"/>
        <v>8.8342260106268888E-2</v>
      </c>
      <c r="AH139" s="137"/>
      <c r="AI139" s="137"/>
      <c r="AJ139" s="137"/>
      <c r="AK139" s="137"/>
      <c r="AM139" s="137"/>
      <c r="AN139" s="137"/>
      <c r="AO139" s="137"/>
      <c r="AQ139" s="137"/>
      <c r="AR139" s="137"/>
      <c r="AS139" s="137"/>
      <c r="AT139" s="137"/>
      <c r="AV139" s="137"/>
      <c r="AW139" s="137"/>
      <c r="AX139" s="137"/>
    </row>
    <row r="140" spans="1:50" s="79" customFormat="1" ht="10.199999999999999" x14ac:dyDescent="0.2">
      <c r="A140" s="97">
        <f t="shared" si="4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8" t="s">
        <v>87</v>
      </c>
      <c r="G140" s="158">
        <v>7.7700000000000002E-4</v>
      </c>
      <c r="H140" s="158" t="s">
        <v>87</v>
      </c>
      <c r="I140" s="158">
        <v>1.4959999999999999E-3</v>
      </c>
      <c r="J140" s="158" t="s">
        <v>87</v>
      </c>
      <c r="K140" s="158">
        <v>2.1710000000000002E-3</v>
      </c>
      <c r="L140" s="158">
        <v>2.5089999999999999E-3</v>
      </c>
      <c r="M140" s="158">
        <v>3.4740000000000001E-3</v>
      </c>
      <c r="N140" s="139" cm="1">
        <f t="array" aca="1" ref="N140:AE140" ca="1">IF(OR(B140="",NOT($J$2)),"",GetStripDefaultProbability(A140,B140,Parameter_Date,CDSRollDate,E140:M140,SpreadCurveMaturities,D140,C140,$J$4,$J$6))</f>
        <v>0</v>
      </c>
      <c r="O140" s="165">
        <f ca="1"/>
        <v>0</v>
      </c>
      <c r="P140" s="165">
        <f ca="1"/>
        <v>1.4242278661398267E-3</v>
      </c>
      <c r="Q140" s="165">
        <f ca="1"/>
        <v>0</v>
      </c>
      <c r="R140" s="165">
        <f ca="1"/>
        <v>7.8316223151089215E-3</v>
      </c>
      <c r="S140" s="165">
        <f ca="1"/>
        <v>0</v>
      </c>
      <c r="T140" s="165">
        <f ca="1"/>
        <v>1.8962880734838872E-2</v>
      </c>
      <c r="U140" s="165">
        <f ca="1"/>
        <v>3.0596139504843856E-2</v>
      </c>
      <c r="V140" s="140">
        <f ca="1"/>
        <v>6.2067948403917494E-2</v>
      </c>
      <c r="W140" s="139">
        <f ca="1"/>
        <v>0</v>
      </c>
      <c r="X140" s="165">
        <f ca="1"/>
        <v>0</v>
      </c>
      <c r="Y140" s="165">
        <f ca="1"/>
        <v>1.5906432931798165E-3</v>
      </c>
      <c r="Z140" s="165">
        <f ca="1"/>
        <v>0</v>
      </c>
      <c r="AA140" s="165">
        <f ca="1"/>
        <v>8.3476863606765095E-3</v>
      </c>
      <c r="AB140" s="165">
        <f ca="1"/>
        <v>0</v>
      </c>
      <c r="AC140" s="165">
        <f ca="1"/>
        <v>1.9881290046685152E-2</v>
      </c>
      <c r="AD140" s="165">
        <f ca="1"/>
        <v>3.208397438035604E-2</v>
      </c>
      <c r="AE140" s="140">
        <f ca="1"/>
        <v>6.5063426512132927E-2</v>
      </c>
      <c r="AI140" s="137"/>
      <c r="AK140" s="137"/>
      <c r="AM140" s="137"/>
      <c r="AN140" s="137"/>
      <c r="AO140" s="137"/>
      <c r="AR140" s="137"/>
      <c r="AT140" s="137"/>
      <c r="AV140" s="137"/>
      <c r="AW140" s="137"/>
      <c r="AX140" s="137"/>
    </row>
    <row r="141" spans="1:50" s="79" customFormat="1" ht="10.199999999999999" x14ac:dyDescent="0.2">
      <c r="A141" s="97">
        <f t="shared" si="4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8" t="s">
        <v>87</v>
      </c>
      <c r="G141" s="158">
        <v>9.4300000000000004E-4</v>
      </c>
      <c r="H141" s="158" t="s">
        <v>87</v>
      </c>
      <c r="I141" s="158">
        <v>2.702E-3</v>
      </c>
      <c r="J141" s="158" t="s">
        <v>87</v>
      </c>
      <c r="K141" s="158">
        <v>3.908E-3</v>
      </c>
      <c r="L141" s="158">
        <v>4.6319999999999998E-3</v>
      </c>
      <c r="M141" s="158">
        <v>5.6940000000000003E-3</v>
      </c>
      <c r="N141" s="139" cm="1">
        <f t="array" aca="1" ref="N141:AE141" ca="1">IF(OR(B141="",NOT($J$2)),"",GetStripDefaultProbability(A141,B141,Parameter_Date,CDSRollDate,E141:M141,SpreadCurveMaturities,D141,C141,$J$4,$J$6))</f>
        <v>0</v>
      </c>
      <c r="O141" s="165">
        <f ca="1"/>
        <v>0</v>
      </c>
      <c r="P141" s="165">
        <f ca="1"/>
        <v>1.7282420374397089E-3</v>
      </c>
      <c r="Q141" s="165">
        <f ca="1"/>
        <v>0</v>
      </c>
      <c r="R141" s="165">
        <f ca="1"/>
        <v>1.4173928064679431E-2</v>
      </c>
      <c r="S141" s="165">
        <f ca="1"/>
        <v>0</v>
      </c>
      <c r="T141" s="165">
        <f ca="1"/>
        <v>3.4003252946263496E-2</v>
      </c>
      <c r="U141" s="165">
        <f ca="1"/>
        <v>5.6138967481277668E-2</v>
      </c>
      <c r="V141" s="140">
        <f ca="1"/>
        <v>9.8700574712874523E-2</v>
      </c>
      <c r="W141" s="139">
        <f ca="1"/>
        <v>0</v>
      </c>
      <c r="X141" s="165">
        <f ca="1"/>
        <v>0</v>
      </c>
      <c r="Y141" s="165">
        <f ca="1"/>
        <v>1.8946067996397087E-3</v>
      </c>
      <c r="Z141" s="165">
        <f ca="1"/>
        <v>0</v>
      </c>
      <c r="AA141" s="165">
        <f ca="1"/>
        <v>1.4871073670612245E-2</v>
      </c>
      <c r="AB141" s="165">
        <f ca="1"/>
        <v>0</v>
      </c>
      <c r="AC141" s="165">
        <f ca="1"/>
        <v>3.5670753660774657E-2</v>
      </c>
      <c r="AD141" s="165">
        <f ca="1"/>
        <v>5.8871442660277329E-2</v>
      </c>
      <c r="AE141" s="140">
        <f ca="1"/>
        <v>0.103436413414143</v>
      </c>
      <c r="AI141" s="137"/>
      <c r="AK141" s="137"/>
      <c r="AM141" s="137"/>
      <c r="AN141" s="137"/>
      <c r="AO141" s="137"/>
      <c r="AR141" s="137"/>
      <c r="AT141" s="137"/>
      <c r="AV141" s="137"/>
      <c r="AW141" s="137"/>
      <c r="AX141" s="137"/>
    </row>
    <row r="142" spans="1:50" s="79" customFormat="1" ht="10.199999999999999" x14ac:dyDescent="0.2">
      <c r="A142" s="97">
        <f t="shared" si="4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8" t="s">
        <v>87</v>
      </c>
      <c r="G142" s="158">
        <v>1.206E-3</v>
      </c>
      <c r="H142" s="158" t="s">
        <v>87</v>
      </c>
      <c r="I142" s="158">
        <v>1.9189999999999999E-3</v>
      </c>
      <c r="J142" s="158" t="s">
        <v>87</v>
      </c>
      <c r="K142" s="158">
        <v>2.4130000000000002E-3</v>
      </c>
      <c r="L142" s="158">
        <v>2.6809999999999998E-3</v>
      </c>
      <c r="M142" s="158">
        <v>3.2169999999999998E-3</v>
      </c>
      <c r="N142" s="139" cm="1">
        <f t="array" aca="1" ref="N142:AE142" ca="1">IF(OR(B142="",NOT($J$2)),"",GetStripDefaultProbability(A142,B142,Parameter_Date,CDSRollDate,E142:M142,SpreadCurveMaturities,D142,C142,$J$4,$J$6))</f>
        <v>0</v>
      </c>
      <c r="O142" s="165">
        <f ca="1"/>
        <v>0</v>
      </c>
      <c r="P142" s="165">
        <f ca="1"/>
        <v>2.2097151142000948E-3</v>
      </c>
      <c r="Q142" s="165">
        <f ca="1"/>
        <v>0</v>
      </c>
      <c r="R142" s="165">
        <f ca="1"/>
        <v>1.0008174312066465E-2</v>
      </c>
      <c r="S142" s="165">
        <f ca="1"/>
        <v>0</v>
      </c>
      <c r="T142" s="165">
        <f ca="1"/>
        <v>2.0866192016920304E-2</v>
      </c>
      <c r="U142" s="165">
        <f ca="1"/>
        <v>3.2332770663621835E-2</v>
      </c>
      <c r="V142" s="140">
        <f ca="1"/>
        <v>5.6023156985561373E-2</v>
      </c>
      <c r="W142" s="139">
        <f ca="1"/>
        <v>0</v>
      </c>
      <c r="X142" s="165">
        <f ca="1"/>
        <v>0</v>
      </c>
      <c r="Y142" s="165">
        <f ca="1"/>
        <v>2.3759996375752879E-3</v>
      </c>
      <c r="Z142" s="165">
        <f ca="1"/>
        <v>0</v>
      </c>
      <c r="AA142" s="165">
        <f ca="1"/>
        <v>1.0522959612803473E-2</v>
      </c>
      <c r="AB142" s="165">
        <f ca="1"/>
        <v>0</v>
      </c>
      <c r="AC142" s="165">
        <f ca="1"/>
        <v>2.1892418494512067E-2</v>
      </c>
      <c r="AD142" s="165">
        <f ca="1"/>
        <v>3.3918635376729123E-2</v>
      </c>
      <c r="AE142" s="140">
        <f ca="1"/>
        <v>5.8743449389078273E-2</v>
      </c>
      <c r="AI142" s="137"/>
      <c r="AK142" s="137"/>
      <c r="AM142" s="137"/>
      <c r="AN142" s="137"/>
      <c r="AO142" s="137"/>
      <c r="AR142" s="137"/>
      <c r="AT142" s="137"/>
      <c r="AV142" s="137"/>
      <c r="AW142" s="137"/>
      <c r="AX142" s="137"/>
    </row>
    <row r="143" spans="1:50" s="79" customFormat="1" ht="10.199999999999999" x14ac:dyDescent="0.2">
      <c r="A143" s="97">
        <f t="shared" si="4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8" t="s">
        <v>87</v>
      </c>
      <c r="G143" s="158">
        <v>1.178E-3</v>
      </c>
      <c r="H143" s="158" t="s">
        <v>87</v>
      </c>
      <c r="I143" s="158">
        <v>2.3010000000000001E-3</v>
      </c>
      <c r="J143" s="158" t="s">
        <v>87</v>
      </c>
      <c r="K143" s="158">
        <v>3.3779999999999999E-3</v>
      </c>
      <c r="L143" s="158">
        <v>4.3559999999999996E-3</v>
      </c>
      <c r="M143" s="158">
        <v>5.3350000000000003E-3</v>
      </c>
      <c r="N143" s="139" cm="1">
        <f t="array" aca="1" ref="N143:AE143" ca="1">IF(OR(B143="",NOT($J$2)),"",GetStripDefaultProbability(A143,B143,Parameter_Date,CDSRollDate,E143:M143,SpreadCurveMaturities,D143,C143,$J$4,$J$6))</f>
        <v>0</v>
      </c>
      <c r="O143" s="165">
        <f ca="1"/>
        <v>0</v>
      </c>
      <c r="P143" s="165">
        <f ca="1"/>
        <v>2.1584665790731483E-3</v>
      </c>
      <c r="Q143" s="165">
        <f ca="1"/>
        <v>0</v>
      </c>
      <c r="R143" s="165">
        <f ca="1"/>
        <v>1.2027602468006493E-2</v>
      </c>
      <c r="S143" s="165">
        <f ca="1"/>
        <v>0</v>
      </c>
      <c r="T143" s="165">
        <f ca="1"/>
        <v>2.9409944040634572E-2</v>
      </c>
      <c r="U143" s="165">
        <f ca="1"/>
        <v>5.3291664801019212E-2</v>
      </c>
      <c r="V143" s="140">
        <f ca="1"/>
        <v>9.3071948226851609E-2</v>
      </c>
      <c r="W143" s="139">
        <f ca="1"/>
        <v>0</v>
      </c>
      <c r="X143" s="165">
        <f ca="1"/>
        <v>0</v>
      </c>
      <c r="Y143" s="165">
        <f ca="1"/>
        <v>2.3247596431897888E-3</v>
      </c>
      <c r="Z143" s="165">
        <f ca="1"/>
        <v>0</v>
      </c>
      <c r="AA143" s="165">
        <f ca="1"/>
        <v>1.2620569910237966E-2</v>
      </c>
      <c r="AB143" s="165">
        <f ca="1"/>
        <v>0</v>
      </c>
      <c r="AC143" s="165">
        <f ca="1"/>
        <v>3.0855964466022456E-2</v>
      </c>
      <c r="AD143" s="165">
        <f ca="1"/>
        <v>5.5892028212558786E-2</v>
      </c>
      <c r="AE143" s="140">
        <f ca="1"/>
        <v>9.7553252346901265E-2</v>
      </c>
      <c r="AI143" s="137"/>
      <c r="AK143" s="137"/>
      <c r="AM143" s="137"/>
      <c r="AN143" s="137"/>
      <c r="AO143" s="137"/>
      <c r="AR143" s="137"/>
      <c r="AT143" s="137"/>
      <c r="AV143" s="137"/>
      <c r="AW143" s="137"/>
      <c r="AX143" s="137"/>
    </row>
    <row r="144" spans="1:50" s="79" customFormat="1" ht="10.199999999999999" x14ac:dyDescent="0.2">
      <c r="A144" s="97">
        <f t="shared" si="4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8" t="s">
        <v>87</v>
      </c>
      <c r="G144" s="158">
        <v>1.1900000000000001E-3</v>
      </c>
      <c r="H144" s="158" t="s">
        <v>87</v>
      </c>
      <c r="I144" s="158">
        <v>2.4269999999999999E-3</v>
      </c>
      <c r="J144" s="158" t="s">
        <v>87</v>
      </c>
      <c r="K144" s="158">
        <v>3.522E-3</v>
      </c>
      <c r="L144" s="158">
        <v>3.6649999999999999E-3</v>
      </c>
      <c r="M144" s="158">
        <v>3.8549999999999999E-3</v>
      </c>
      <c r="N144" s="139" cm="1">
        <f t="array" aca="1" ref="N144:AE144" ca="1">IF(OR(B144="",NOT($J$2)),"",GetStripDefaultProbability(A144,B144,Parameter_Date,CDSRollDate,E144:M144,SpreadCurveMaturities,D144,C144,$J$4,$J$6))</f>
        <v>0</v>
      </c>
      <c r="O144" s="165">
        <f ca="1"/>
        <v>0</v>
      </c>
      <c r="P144" s="165">
        <f ca="1"/>
        <v>2.1804305565821247E-3</v>
      </c>
      <c r="Q144" s="165">
        <f ca="1"/>
        <v>0</v>
      </c>
      <c r="R144" s="165">
        <f ca="1"/>
        <v>1.269018743856809E-2</v>
      </c>
      <c r="S144" s="165">
        <f ca="1"/>
        <v>0</v>
      </c>
      <c r="T144" s="165">
        <f ca="1"/>
        <v>3.0638428367049775E-2</v>
      </c>
      <c r="U144" s="165">
        <f ca="1"/>
        <v>4.3917138354169216E-2</v>
      </c>
      <c r="V144" s="140">
        <f ca="1"/>
        <v>6.5177723874814908E-2</v>
      </c>
      <c r="W144" s="139">
        <f ca="1"/>
        <v>0</v>
      </c>
      <c r="X144" s="165">
        <f ca="1"/>
        <v>0</v>
      </c>
      <c r="Y144" s="165">
        <f ca="1"/>
        <v>2.3467199603214306E-3</v>
      </c>
      <c r="Z144" s="165">
        <f ca="1"/>
        <v>0</v>
      </c>
      <c r="AA144" s="165">
        <f ca="1"/>
        <v>1.3315913224784426E-2</v>
      </c>
      <c r="AB144" s="165">
        <f ca="1"/>
        <v>0</v>
      </c>
      <c r="AC144" s="165">
        <f ca="1"/>
        <v>3.2144218611471875E-2</v>
      </c>
      <c r="AD144" s="165">
        <f ca="1"/>
        <v>4.6064088321135066E-2</v>
      </c>
      <c r="AE144" s="140">
        <f ca="1"/>
        <v>6.832550155956707E-2</v>
      </c>
      <c r="AI144" s="137"/>
      <c r="AK144" s="137"/>
      <c r="AM144" s="137"/>
      <c r="AN144" s="137"/>
      <c r="AO144" s="137"/>
      <c r="AR144" s="137"/>
      <c r="AT144" s="137"/>
      <c r="AV144" s="137"/>
      <c r="AW144" s="137"/>
      <c r="AX144" s="137"/>
    </row>
    <row r="145" spans="1:50" s="79" customFormat="1" ht="10.199999999999999" x14ac:dyDescent="0.2">
      <c r="A145" s="97">
        <f t="shared" si="4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8" t="s">
        <v>87</v>
      </c>
      <c r="G145" s="158">
        <v>1.103E-3</v>
      </c>
      <c r="H145" s="158" t="s">
        <v>87</v>
      </c>
      <c r="I145" s="158">
        <v>1.805E-3</v>
      </c>
      <c r="J145" s="158" t="s">
        <v>87</v>
      </c>
      <c r="K145" s="158">
        <v>2.5569999999999998E-3</v>
      </c>
      <c r="L145" s="158">
        <v>3.46E-3</v>
      </c>
      <c r="M145" s="158">
        <v>4.2620000000000002E-3</v>
      </c>
      <c r="N145" s="139" cm="1">
        <f t="array" aca="1" ref="N145:AE145" ca="1">IF(OR(B145="",NOT($J$2)),"",GetStripDefaultProbability(A145,B145,Parameter_Date,CDSRollDate,E145:M145,SpreadCurveMaturities,D145,C145,$J$4,$J$6))</f>
        <v>0</v>
      </c>
      <c r="O145" s="165">
        <f ca="1"/>
        <v>0</v>
      </c>
      <c r="P145" s="165">
        <f ca="1"/>
        <v>2.0211808565875344E-3</v>
      </c>
      <c r="Q145" s="165">
        <f ca="1"/>
        <v>0</v>
      </c>
      <c r="R145" s="165">
        <f ca="1"/>
        <v>9.4203239135784989E-3</v>
      </c>
      <c r="S145" s="165">
        <f ca="1"/>
        <v>0</v>
      </c>
      <c r="T145" s="165">
        <f ca="1"/>
        <v>2.2255469128535044E-2</v>
      </c>
      <c r="U145" s="165">
        <f ca="1"/>
        <v>4.2623628386369239E-2</v>
      </c>
      <c r="V145" s="140">
        <f ca="1"/>
        <v>7.508207021819735E-2</v>
      </c>
      <c r="W145" s="139">
        <f ca="1"/>
        <v>0</v>
      </c>
      <c r="X145" s="165">
        <f ca="1"/>
        <v>0</v>
      </c>
      <c r="Y145" s="165">
        <f ca="1"/>
        <v>2.1874967997400629E-3</v>
      </c>
      <c r="Z145" s="165">
        <f ca="1"/>
        <v>0</v>
      </c>
      <c r="AA145" s="165">
        <f ca="1"/>
        <v>9.9354545295476937E-3</v>
      </c>
      <c r="AB145" s="165">
        <f ca="1"/>
        <v>0</v>
      </c>
      <c r="AC145" s="165">
        <f ca="1"/>
        <v>2.3346095573472003E-2</v>
      </c>
      <c r="AD145" s="165">
        <f ca="1"/>
        <v>4.4706297184233246E-2</v>
      </c>
      <c r="AE145" s="140">
        <f ca="1"/>
        <v>7.8700488047758199E-2</v>
      </c>
      <c r="AI145" s="137"/>
      <c r="AK145" s="137"/>
      <c r="AM145" s="137"/>
      <c r="AN145" s="137"/>
      <c r="AO145" s="137"/>
      <c r="AR145" s="137"/>
      <c r="AT145" s="137"/>
      <c r="AV145" s="137"/>
      <c r="AW145" s="137"/>
      <c r="AX145" s="137"/>
    </row>
    <row r="146" spans="1:50" s="79" customFormat="1" ht="10.199999999999999" x14ac:dyDescent="0.2">
      <c r="A146" s="97">
        <f t="shared" si="4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8" t="s">
        <v>87</v>
      </c>
      <c r="G146" s="158">
        <v>1.1720000000000001E-3</v>
      </c>
      <c r="H146" s="158" t="s">
        <v>87</v>
      </c>
      <c r="I146" s="158">
        <v>3.0980000000000001E-3</v>
      </c>
      <c r="J146" s="158" t="s">
        <v>87</v>
      </c>
      <c r="K146" s="158">
        <v>3.908E-3</v>
      </c>
      <c r="L146" s="158">
        <v>4.8139999999999997E-3</v>
      </c>
      <c r="M146" s="158">
        <v>6.1479999999999998E-3</v>
      </c>
      <c r="N146" s="139" cm="1">
        <f t="array" aca="1" ref="N146:AE146" ca="1">IF(OR(B146="",NOT($J$2)),"",GetStripDefaultProbability(A146,B146,Parameter_Date,CDSRollDate,E146:M146,SpreadCurveMaturities,D146,C146,$J$4,$J$6))</f>
        <v>0</v>
      </c>
      <c r="O146" s="165">
        <f ca="1"/>
        <v>0</v>
      </c>
      <c r="P146" s="165">
        <f ca="1"/>
        <v>2.1474844105111579E-3</v>
      </c>
      <c r="Q146" s="165">
        <f ca="1"/>
        <v>0</v>
      </c>
      <c r="R146" s="165">
        <f ca="1"/>
        <v>1.6225571976307918E-2</v>
      </c>
      <c r="S146" s="165">
        <f ca="1"/>
        <v>0</v>
      </c>
      <c r="T146" s="165">
        <f ca="1"/>
        <v>3.3734216880182299E-2</v>
      </c>
      <c r="U146" s="165">
        <f ca="1"/>
        <v>5.8265449819216775E-2</v>
      </c>
      <c r="V146" s="140">
        <f ca="1"/>
        <v>0.10687800324633234</v>
      </c>
      <c r="W146" s="139">
        <f ca="1"/>
        <v>0</v>
      </c>
      <c r="X146" s="165">
        <f ca="1"/>
        <v>0</v>
      </c>
      <c r="Y146" s="165">
        <f ca="1"/>
        <v>2.3137793048021438E-3</v>
      </c>
      <c r="Z146" s="165">
        <f ca="1"/>
        <v>0</v>
      </c>
      <c r="AA146" s="165">
        <f ca="1"/>
        <v>1.7025137512679089E-2</v>
      </c>
      <c r="AB146" s="165">
        <f ca="1"/>
        <v>0</v>
      </c>
      <c r="AC146" s="165">
        <f ca="1"/>
        <v>3.5389403262487518E-2</v>
      </c>
      <c r="AD146" s="165">
        <f ca="1"/>
        <v>6.1099376180294263E-2</v>
      </c>
      <c r="AE146" s="140">
        <f ca="1"/>
        <v>0.11199670992518029</v>
      </c>
      <c r="AI146" s="137"/>
      <c r="AK146" s="137"/>
      <c r="AM146" s="137"/>
      <c r="AN146" s="137"/>
      <c r="AO146" s="137"/>
      <c r="AR146" s="137"/>
      <c r="AT146" s="137"/>
      <c r="AV146" s="137"/>
      <c r="AW146" s="137"/>
      <c r="AX146" s="137"/>
    </row>
    <row r="147" spans="1:50" s="79" customFormat="1" ht="10.199999999999999" x14ac:dyDescent="0.2">
      <c r="A147" s="97">
        <f t="shared" si="4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8" t="s">
        <v>87</v>
      </c>
      <c r="G147" s="158">
        <v>1.0380000000000001E-3</v>
      </c>
      <c r="H147" s="158" t="s">
        <v>87</v>
      </c>
      <c r="I147" s="158">
        <v>2.8470000000000001E-3</v>
      </c>
      <c r="J147" s="158" t="s">
        <v>87</v>
      </c>
      <c r="K147" s="158">
        <v>4.3429999999999996E-3</v>
      </c>
      <c r="L147" s="158">
        <v>5.4520000000000002E-3</v>
      </c>
      <c r="M147" s="158">
        <v>7.1890000000000001E-3</v>
      </c>
      <c r="N147" s="139" cm="1">
        <f t="array" aca="1" ref="N147:AE147" ca="1">IF(OR(B147="",NOT($J$2)),"",GetStripDefaultProbability(A147,B147,Parameter_Date,CDSRollDate,E147:M147,SpreadCurveMaturities,D147,C147,$J$4,$J$6))</f>
        <v>0</v>
      </c>
      <c r="O147" s="165">
        <f ca="1"/>
        <v>0</v>
      </c>
      <c r="P147" s="165">
        <f ca="1"/>
        <v>1.9021847451784479E-3</v>
      </c>
      <c r="Q147" s="165">
        <f ca="1"/>
        <v>0</v>
      </c>
      <c r="R147" s="165">
        <f ca="1"/>
        <v>1.4923988783168252E-2</v>
      </c>
      <c r="S147" s="165">
        <f ca="1"/>
        <v>0</v>
      </c>
      <c r="T147" s="165">
        <f ca="1"/>
        <v>3.7831056158170284E-2</v>
      </c>
      <c r="U147" s="165">
        <f ca="1"/>
        <v>6.633424312115177E-2</v>
      </c>
      <c r="V147" s="140">
        <f ca="1"/>
        <v>0.12532747101660213</v>
      </c>
      <c r="W147" s="139">
        <f ca="1"/>
        <v>0</v>
      </c>
      <c r="X147" s="165">
        <f ca="1"/>
        <v>0</v>
      </c>
      <c r="Y147" s="165">
        <f ca="1"/>
        <v>2.0685205193510248E-3</v>
      </c>
      <c r="Z147" s="165">
        <f ca="1"/>
        <v>0</v>
      </c>
      <c r="AA147" s="165">
        <f ca="1"/>
        <v>1.5658678389997904E-2</v>
      </c>
      <c r="AB147" s="165">
        <f ca="1"/>
        <v>0</v>
      </c>
      <c r="AC147" s="165">
        <f ca="1"/>
        <v>3.9684511892431718E-2</v>
      </c>
      <c r="AD147" s="165">
        <f ca="1"/>
        <v>6.9552726693938083E-2</v>
      </c>
      <c r="AE147" s="140">
        <f ca="1"/>
        <v>0.13129718750871444</v>
      </c>
      <c r="AI147" s="137"/>
      <c r="AK147" s="137"/>
      <c r="AM147" s="137"/>
      <c r="AN147" s="137"/>
      <c r="AO147" s="137"/>
      <c r="AR147" s="137"/>
      <c r="AT147" s="137"/>
      <c r="AV147" s="137"/>
      <c r="AW147" s="137"/>
      <c r="AX147" s="137"/>
    </row>
    <row r="148" spans="1:50" s="79" customFormat="1" ht="10.199999999999999" x14ac:dyDescent="0.2">
      <c r="A148" s="97">
        <f t="shared" si="4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8" t="s">
        <v>87</v>
      </c>
      <c r="G148" s="158">
        <v>9.5500000000000001E-4</v>
      </c>
      <c r="H148" s="158" t="s">
        <v>87</v>
      </c>
      <c r="I148" s="158">
        <v>1.8079999999999999E-3</v>
      </c>
      <c r="J148" s="158" t="s">
        <v>87</v>
      </c>
      <c r="K148" s="158">
        <v>3.4740000000000001E-3</v>
      </c>
      <c r="L148" s="158">
        <v>4.7109999999999999E-3</v>
      </c>
      <c r="M148" s="158">
        <v>6.3769999999999999E-3</v>
      </c>
      <c r="N148" s="139" cm="1">
        <f t="array" aca="1" ref="N148:AE148" ca="1">IF(OR(B148="",NOT($J$2)),"",GetStripDefaultProbability(A148,B148,Parameter_Date,CDSRollDate,E148:M148,SpreadCurveMaturities,D148,C148,$J$4,$J$6))</f>
        <v>0</v>
      </c>
      <c r="O148" s="165">
        <f ca="1"/>
        <v>0</v>
      </c>
      <c r="P148" s="165">
        <f ca="1"/>
        <v>1.7502154068336218E-3</v>
      </c>
      <c r="Q148" s="165">
        <f ca="1"/>
        <v>0</v>
      </c>
      <c r="R148" s="165">
        <f ca="1"/>
        <v>9.456482368678909E-3</v>
      </c>
      <c r="S148" s="165">
        <f ca="1"/>
        <v>0</v>
      </c>
      <c r="T148" s="165">
        <f ca="1"/>
        <v>3.0602106978603771E-2</v>
      </c>
      <c r="U148" s="165">
        <f ca="1"/>
        <v>5.8202375809629836E-2</v>
      </c>
      <c r="V148" s="140">
        <f ca="1"/>
        <v>0.11287435470340779</v>
      </c>
      <c r="W148" s="139">
        <f ca="1"/>
        <v>0</v>
      </c>
      <c r="X148" s="165">
        <f ca="1"/>
        <v>0</v>
      </c>
      <c r="Y148" s="165">
        <f ca="1"/>
        <v>1.9165765071353924E-3</v>
      </c>
      <c r="Z148" s="165">
        <f ca="1"/>
        <v>0</v>
      </c>
      <c r="AA148" s="165">
        <f ca="1"/>
        <v>9.9716337723317894E-3</v>
      </c>
      <c r="AB148" s="165">
        <f ca="1"/>
        <v>0</v>
      </c>
      <c r="AC148" s="165">
        <f ca="1"/>
        <v>3.2099787475158625E-2</v>
      </c>
      <c r="AD148" s="165">
        <f ca="1"/>
        <v>6.1033549566747558E-2</v>
      </c>
      <c r="AE148" s="140">
        <f ca="1"/>
        <v>0.1182827285701129</v>
      </c>
      <c r="AI148" s="137"/>
      <c r="AK148" s="137"/>
      <c r="AM148" s="137"/>
      <c r="AN148" s="137"/>
      <c r="AO148" s="137"/>
      <c r="AR148" s="137"/>
      <c r="AT148" s="137"/>
      <c r="AV148" s="137"/>
      <c r="AW148" s="137"/>
      <c r="AX148" s="137"/>
    </row>
    <row r="149" spans="1:50" s="79" customFormat="1" ht="10.199999999999999" x14ac:dyDescent="0.2">
      <c r="A149" s="97">
        <f t="shared" si="4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8" t="s">
        <v>87</v>
      </c>
      <c r="G149" s="158">
        <v>6.3100000000000005E-4</v>
      </c>
      <c r="H149" s="158" t="s">
        <v>87</v>
      </c>
      <c r="I149" s="158">
        <v>1.8730000000000001E-3</v>
      </c>
      <c r="J149" s="158" t="s">
        <v>87</v>
      </c>
      <c r="K149" s="158">
        <v>3.4259999999999998E-3</v>
      </c>
      <c r="L149" s="158">
        <v>4.339E-3</v>
      </c>
      <c r="M149" s="158">
        <v>5.8009999999999997E-3</v>
      </c>
      <c r="N149" s="139" cm="1">
        <f t="array" aca="1" ref="N149:AE149" ca="1">IF(OR(B149="",NOT($J$2)),"",GetStripDefaultProbability(A149,B149,Parameter_Date,CDSRollDate,E149:M149,SpreadCurveMaturities,D149,C149,$J$4,$J$6))</f>
        <v>0</v>
      </c>
      <c r="O149" s="165">
        <f ca="1"/>
        <v>0</v>
      </c>
      <c r="P149" s="165">
        <f ca="1"/>
        <v>1.1567659951828846E-3</v>
      </c>
      <c r="Q149" s="165">
        <f ca="1"/>
        <v>0</v>
      </c>
      <c r="R149" s="165">
        <f ca="1"/>
        <v>9.8444011140035315E-3</v>
      </c>
      <c r="S149" s="165">
        <f ca="1"/>
        <v>0</v>
      </c>
      <c r="T149" s="165">
        <f ca="1"/>
        <v>3.017513062255428E-2</v>
      </c>
      <c r="U149" s="165">
        <f ca="1"/>
        <v>5.3348488958419371E-2</v>
      </c>
      <c r="V149" s="140">
        <f ca="1"/>
        <v>0.10251350148066951</v>
      </c>
      <c r="W149" s="139">
        <f ca="1"/>
        <v>0</v>
      </c>
      <c r="X149" s="165">
        <f ca="1"/>
        <v>0</v>
      </c>
      <c r="Y149" s="165">
        <f ca="1"/>
        <v>1.3232259954732983E-3</v>
      </c>
      <c r="Z149" s="165">
        <f ca="1"/>
        <v>0</v>
      </c>
      <c r="AA149" s="165">
        <f ca="1"/>
        <v>1.0359421138368852E-2</v>
      </c>
      <c r="AB149" s="165">
        <f ca="1"/>
        <v>0</v>
      </c>
      <c r="AC149" s="165">
        <f ca="1"/>
        <v>3.1651826376123071E-2</v>
      </c>
      <c r="AD149" s="165">
        <f ca="1"/>
        <v>5.5946222397839529E-2</v>
      </c>
      <c r="AE149" s="140">
        <f ca="1"/>
        <v>0.10743809079234212</v>
      </c>
      <c r="AI149" s="137"/>
      <c r="AK149" s="137"/>
      <c r="AM149" s="137"/>
      <c r="AN149" s="137"/>
      <c r="AO149" s="137"/>
      <c r="AR149" s="137"/>
      <c r="AT149" s="137"/>
      <c r="AV149" s="137"/>
      <c r="AW149" s="137"/>
      <c r="AX149" s="137"/>
    </row>
    <row r="150" spans="1:50" s="79" customFormat="1" ht="10.199999999999999" x14ac:dyDescent="0.2">
      <c r="A150" s="97">
        <f t="shared" si="4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8" t="s">
        <v>87</v>
      </c>
      <c r="G150" s="158">
        <v>3.28E-4</v>
      </c>
      <c r="H150" s="158" t="s">
        <v>87</v>
      </c>
      <c r="I150" s="158">
        <v>9.8400000000000007E-4</v>
      </c>
      <c r="J150" s="158" t="s">
        <v>87</v>
      </c>
      <c r="K150" s="158">
        <v>1.6410000000000001E-3</v>
      </c>
      <c r="L150" s="158">
        <v>2.2030000000000001E-3</v>
      </c>
      <c r="M150" s="158">
        <v>2.9529999999999999E-3</v>
      </c>
      <c r="N150" s="139" cm="1">
        <f t="array" aca="1" ref="N150:AE150" ca="1">IF(OR(B150="",NOT($J$2)),"",GetStripDefaultProbability(A150,B150,Parameter_Date,CDSRollDate,E150:M150,SpreadCurveMaturities,D150,C150,$J$4,$J$6))</f>
        <v>0</v>
      </c>
      <c r="O150" s="165">
        <f ca="1"/>
        <v>0</v>
      </c>
      <c r="P150" s="165">
        <f ca="1"/>
        <v>6.0146416517459222E-4</v>
      </c>
      <c r="Q150" s="165">
        <f ca="1"/>
        <v>0</v>
      </c>
      <c r="R150" s="165">
        <f ca="1"/>
        <v>5.1813468273587127E-3</v>
      </c>
      <c r="S150" s="165">
        <f ca="1"/>
        <v>0</v>
      </c>
      <c r="T150" s="165">
        <f ca="1"/>
        <v>1.4475566215468971E-2</v>
      </c>
      <c r="U150" s="165">
        <f ca="1"/>
        <v>2.7417728316483703E-2</v>
      </c>
      <c r="V150" s="140">
        <f ca="1"/>
        <v>5.3211406963071584E-2</v>
      </c>
      <c r="W150" s="139">
        <f ca="1"/>
        <v>0</v>
      </c>
      <c r="X150" s="165">
        <f ca="1"/>
        <v>0</v>
      </c>
      <c r="Y150" s="165">
        <f ca="1"/>
        <v>7.680167080639233E-4</v>
      </c>
      <c r="Z150" s="165">
        <f ca="1"/>
        <v>0</v>
      </c>
      <c r="AA150" s="165">
        <f ca="1"/>
        <v>5.6988947358236342E-3</v>
      </c>
      <c r="AB150" s="165">
        <f ca="1"/>
        <v>0</v>
      </c>
      <c r="AC150" s="165">
        <f ca="1"/>
        <v>1.5320196539574393E-2</v>
      </c>
      <c r="AD150" s="165">
        <f ca="1"/>
        <v>2.8715762059394856E-2</v>
      </c>
      <c r="AE150" s="140">
        <f ca="1"/>
        <v>5.5753101933810778E-2</v>
      </c>
      <c r="AI150" s="137"/>
      <c r="AK150" s="137"/>
      <c r="AM150" s="137"/>
      <c r="AN150" s="137"/>
      <c r="AO150" s="137"/>
      <c r="AR150" s="137"/>
      <c r="AT150" s="137"/>
      <c r="AV150" s="137"/>
      <c r="AW150" s="137"/>
      <c r="AX150" s="137"/>
    </row>
    <row r="151" spans="1:50" s="79" customFormat="1" ht="10.199999999999999" x14ac:dyDescent="0.2">
      <c r="A151" s="97">
        <f t="shared" si="4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8" t="s">
        <v>87</v>
      </c>
      <c r="G151" s="158">
        <v>3.0200000000000001E-3</v>
      </c>
      <c r="H151" s="158" t="s">
        <v>87</v>
      </c>
      <c r="I151" s="158">
        <v>9.3609999999999995E-3</v>
      </c>
      <c r="J151" s="158" t="s">
        <v>87</v>
      </c>
      <c r="K151" s="158">
        <v>1.5102000000000001E-2</v>
      </c>
      <c r="L151" s="158">
        <v>1.737E-2</v>
      </c>
      <c r="M151" s="158">
        <v>1.9540999999999999E-2</v>
      </c>
      <c r="N151" s="139" cm="1">
        <f t="array" aca="1" ref="N151:AE151" ca="1">IF(OR(B151="",NOT($J$2)),"",GetStripDefaultProbability(A151,B151,Parameter_Date,CDSRollDate,E151:M151,SpreadCurveMaturities,D151,C151,$J$4,$J$6))</f>
        <v>0</v>
      </c>
      <c r="O151" s="165">
        <f ca="1"/>
        <v>0</v>
      </c>
      <c r="P151" s="165">
        <f ca="1"/>
        <v>5.5243350301239502E-3</v>
      </c>
      <c r="Q151" s="165">
        <f ca="1"/>
        <v>0</v>
      </c>
      <c r="R151" s="165">
        <f ca="1"/>
        <v>4.8492365344932509E-2</v>
      </c>
      <c r="S151" s="165">
        <f ca="1"/>
        <v>0</v>
      </c>
      <c r="T151" s="165">
        <f ca="1"/>
        <v>0.12768154097872786</v>
      </c>
      <c r="U151" s="165">
        <f ca="1"/>
        <v>0.19854489769544281</v>
      </c>
      <c r="V151" s="140">
        <f ca="1"/>
        <v>0.3033104984096201</v>
      </c>
      <c r="W151" s="139">
        <f ca="1"/>
        <v>0</v>
      </c>
      <c r="X151" s="165">
        <f ca="1"/>
        <v>0</v>
      </c>
      <c r="Y151" s="165">
        <f ca="1"/>
        <v>5.7996061806743215E-3</v>
      </c>
      <c r="Z151" s="165">
        <f ca="1"/>
        <v>0</v>
      </c>
      <c r="AA151" s="165">
        <f ca="1"/>
        <v>5.0869904702576796E-2</v>
      </c>
      <c r="AB151" s="165">
        <f ca="1"/>
        <v>0</v>
      </c>
      <c r="AC151" s="165">
        <f ca="1"/>
        <v>0.13375783720823897</v>
      </c>
      <c r="AD151" s="165">
        <f ca="1"/>
        <v>0.20764520214942428</v>
      </c>
      <c r="AE151" s="140">
        <f ca="1"/>
        <v>0.31636761317355866</v>
      </c>
      <c r="AI151" s="137"/>
      <c r="AK151" s="137"/>
      <c r="AM151" s="137"/>
      <c r="AN151" s="137"/>
      <c r="AO151" s="137"/>
      <c r="AR151" s="137"/>
      <c r="AT151" s="137"/>
      <c r="AV151" s="137"/>
      <c r="AW151" s="137"/>
      <c r="AX151" s="137"/>
    </row>
    <row r="152" spans="1:50" s="79" customFormat="1" ht="10.199999999999999" x14ac:dyDescent="0.2">
      <c r="A152" s="97">
        <f t="shared" si="4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8" t="s">
        <v>87</v>
      </c>
      <c r="G152" s="158">
        <v>5.31E-4</v>
      </c>
      <c r="H152" s="158" t="s">
        <v>87</v>
      </c>
      <c r="I152" s="158">
        <v>6.7599999999999995E-4</v>
      </c>
      <c r="J152" s="158" t="s">
        <v>87</v>
      </c>
      <c r="K152" s="158">
        <v>1.158E-3</v>
      </c>
      <c r="L152" s="158">
        <v>1.4959999999999999E-3</v>
      </c>
      <c r="M152" s="158">
        <v>1.9780000000000002E-3</v>
      </c>
      <c r="N152" s="139" cm="1">
        <f t="array" aca="1" ref="N152:AE152" ca="1">IF(OR(B152="",NOT($J$2)),"",GetStripDefaultProbability(A152,B152,Parameter_Date,CDSRollDate,E152:M152,SpreadCurveMaturities,D152,C152,$J$4,$J$6))</f>
        <v>0</v>
      </c>
      <c r="O152" s="165">
        <f ca="1"/>
        <v>0</v>
      </c>
      <c r="P152" s="165">
        <f ca="1"/>
        <v>9.7353192124483012E-4</v>
      </c>
      <c r="Q152" s="165">
        <f ca="1"/>
        <v>0</v>
      </c>
      <c r="R152" s="165">
        <f ca="1"/>
        <v>3.5213134582900985E-3</v>
      </c>
      <c r="S152" s="165">
        <f ca="1"/>
        <v>0</v>
      </c>
      <c r="T152" s="165">
        <f ca="1"/>
        <v>1.0199672432308349E-2</v>
      </c>
      <c r="U152" s="165">
        <f ca="1"/>
        <v>1.8582542604316132E-2</v>
      </c>
      <c r="V152" s="140">
        <f ca="1"/>
        <v>3.5696920769246687E-2</v>
      </c>
      <c r="W152" s="139">
        <f ca="1"/>
        <v>0</v>
      </c>
      <c r="X152" s="165">
        <f ca="1"/>
        <v>0</v>
      </c>
      <c r="Y152" s="165">
        <f ca="1"/>
        <v>1.1400224579736218E-3</v>
      </c>
      <c r="Z152" s="165">
        <f ca="1"/>
        <v>0</v>
      </c>
      <c r="AA152" s="165">
        <f ca="1"/>
        <v>4.0395631437314394E-3</v>
      </c>
      <c r="AB152" s="165">
        <f ca="1"/>
        <v>0</v>
      </c>
      <c r="AC152" s="165">
        <f ca="1"/>
        <v>1.1047604451581816E-2</v>
      </c>
      <c r="AD152" s="165">
        <f ca="1"/>
        <v>1.9754109530380148E-2</v>
      </c>
      <c r="AE152" s="140">
        <f ca="1"/>
        <v>3.7336262004526555E-2</v>
      </c>
      <c r="AI152" s="137"/>
      <c r="AK152" s="137"/>
      <c r="AM152" s="137"/>
      <c r="AN152" s="137"/>
      <c r="AO152" s="137"/>
      <c r="AR152" s="137"/>
      <c r="AT152" s="137"/>
      <c r="AV152" s="137"/>
      <c r="AW152" s="137"/>
      <c r="AX152" s="137"/>
    </row>
    <row r="153" spans="1:50" s="79" customFormat="1" ht="10.199999999999999" x14ac:dyDescent="0.2">
      <c r="A153" s="97">
        <f t="shared" si="4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8" t="s">
        <v>87</v>
      </c>
      <c r="G153" s="158">
        <v>4.7899999999999999E-4</v>
      </c>
      <c r="H153" s="158" t="s">
        <v>87</v>
      </c>
      <c r="I153" s="158">
        <v>1.245E-3</v>
      </c>
      <c r="J153" s="158" t="s">
        <v>87</v>
      </c>
      <c r="K153" s="158">
        <v>2.075E-3</v>
      </c>
      <c r="L153" s="158">
        <v>2.581E-3</v>
      </c>
      <c r="M153" s="158">
        <v>3.0869999999999999E-3</v>
      </c>
      <c r="N153" s="139" cm="1">
        <f t="array" aca="1" ref="N153:AE153" ca="1">IF(OR(B153="",NOT($J$2)),"",GetStripDefaultProbability(A153,B153,Parameter_Date,CDSRollDate,E153:M153,SpreadCurveMaturities,D153,C153,$J$4,$J$6))</f>
        <v>0</v>
      </c>
      <c r="O153" s="165">
        <f ca="1"/>
        <v>0</v>
      </c>
      <c r="P153" s="165">
        <f ca="1"/>
        <v>8.7823702214828714E-4</v>
      </c>
      <c r="Q153" s="165">
        <f ca="1"/>
        <v>0</v>
      </c>
      <c r="R153" s="165">
        <f ca="1"/>
        <v>6.5436947389526656E-3</v>
      </c>
      <c r="S153" s="165">
        <f ca="1"/>
        <v>0</v>
      </c>
      <c r="T153" s="165">
        <f ca="1"/>
        <v>1.8270936175257546E-2</v>
      </c>
      <c r="U153" s="165">
        <f ca="1"/>
        <v>3.184363238388721E-2</v>
      </c>
      <c r="V153" s="140">
        <f ca="1"/>
        <v>5.4480777965157712E-2</v>
      </c>
      <c r="W153" s="139">
        <f ca="1"/>
        <v>0</v>
      </c>
      <c r="X153" s="165">
        <f ca="1"/>
        <v>0</v>
      </c>
      <c r="Y153" s="165">
        <f ca="1"/>
        <v>1.0447434400623345E-3</v>
      </c>
      <c r="Z153" s="165">
        <f ca="1"/>
        <v>0</v>
      </c>
      <c r="AA153" s="165">
        <f ca="1"/>
        <v>7.0605137234847071E-3</v>
      </c>
      <c r="AB153" s="165">
        <f ca="1"/>
        <v>0</v>
      </c>
      <c r="AC153" s="165">
        <f ca="1"/>
        <v>1.9146546997247049E-2</v>
      </c>
      <c r="AD153" s="165">
        <f ca="1"/>
        <v>3.3384200042393619E-2</v>
      </c>
      <c r="AE153" s="140">
        <f ca="1"/>
        <v>5.710784277704839E-2</v>
      </c>
      <c r="AI153" s="137"/>
      <c r="AK153" s="137"/>
      <c r="AM153" s="137"/>
      <c r="AN153" s="137"/>
      <c r="AO153" s="137"/>
      <c r="AR153" s="137"/>
      <c r="AT153" s="137"/>
      <c r="AV153" s="137"/>
      <c r="AW153" s="137"/>
      <c r="AX153" s="137"/>
    </row>
    <row r="154" spans="1:50" s="79" customFormat="1" ht="10.199999999999999" x14ac:dyDescent="0.2">
      <c r="A154" s="97">
        <f t="shared" si="4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8" t="s">
        <v>87</v>
      </c>
      <c r="G154" s="158">
        <v>9.1699999999999995E-4</v>
      </c>
      <c r="H154" s="158" t="s">
        <v>87</v>
      </c>
      <c r="I154" s="158">
        <v>1.689E-3</v>
      </c>
      <c r="J154" s="158" t="s">
        <v>87</v>
      </c>
      <c r="K154" s="158">
        <v>2.4610000000000001E-3</v>
      </c>
      <c r="L154" s="158">
        <v>3.4450000000000001E-3</v>
      </c>
      <c r="M154" s="158">
        <v>4.6750000000000003E-3</v>
      </c>
      <c r="N154" s="139" cm="1">
        <f t="array" aca="1" ref="N154:AE154" ca="1">IF(OR(B154="",NOT($J$2)),"",GetStripDefaultProbability(A154,B154,Parameter_Date,CDSRollDate,E154:M154,SpreadCurveMaturities,D154,C154,$J$4,$J$6))</f>
        <v>0</v>
      </c>
      <c r="O154" s="165">
        <f ca="1"/>
        <v>0</v>
      </c>
      <c r="P154" s="165">
        <f ca="1"/>
        <v>1.6806314245455534E-3</v>
      </c>
      <c r="Q154" s="165">
        <f ca="1"/>
        <v>0</v>
      </c>
      <c r="R154" s="165">
        <f ca="1"/>
        <v>8.832917806178564E-3</v>
      </c>
      <c r="S154" s="165">
        <f ca="1"/>
        <v>0</v>
      </c>
      <c r="T154" s="165">
        <f ca="1"/>
        <v>2.1474482810816098E-2</v>
      </c>
      <c r="U154" s="165">
        <f ca="1"/>
        <v>4.2622862470811151E-2</v>
      </c>
      <c r="V154" s="140">
        <f ca="1"/>
        <v>8.3457516748579263E-2</v>
      </c>
      <c r="W154" s="139">
        <f ca="1"/>
        <v>0</v>
      </c>
      <c r="X154" s="165">
        <f ca="1"/>
        <v>0</v>
      </c>
      <c r="Y154" s="165">
        <f ca="1"/>
        <v>1.8470041211994248E-3</v>
      </c>
      <c r="Z154" s="165">
        <f ca="1"/>
        <v>0</v>
      </c>
      <c r="AA154" s="165">
        <f ca="1"/>
        <v>9.3484144014566173E-3</v>
      </c>
      <c r="AB154" s="165">
        <f ca="1"/>
        <v>0</v>
      </c>
      <c r="AC154" s="165">
        <f ca="1"/>
        <v>2.252242570387275E-2</v>
      </c>
      <c r="AD154" s="165">
        <f ca="1"/>
        <v>4.4701507599314794E-2</v>
      </c>
      <c r="AE154" s="140">
        <f ca="1"/>
        <v>8.7492418458135712E-2</v>
      </c>
      <c r="AI154" s="137"/>
      <c r="AK154" s="137"/>
      <c r="AM154" s="137"/>
      <c r="AN154" s="137"/>
      <c r="AO154" s="137"/>
      <c r="AR154" s="137"/>
      <c r="AT154" s="137"/>
      <c r="AV154" s="137"/>
      <c r="AW154" s="137"/>
      <c r="AX154" s="137"/>
    </row>
    <row r="155" spans="1:50" s="79" customFormat="1" ht="10.199999999999999" x14ac:dyDescent="0.2">
      <c r="A155" s="97">
        <f t="shared" si="4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8" t="s">
        <v>87</v>
      </c>
      <c r="G155" s="158">
        <v>4.0900000000000002E-4</v>
      </c>
      <c r="H155" s="158" t="s">
        <v>87</v>
      </c>
      <c r="I155" s="158">
        <v>1.271E-3</v>
      </c>
      <c r="J155" s="158" t="s">
        <v>87</v>
      </c>
      <c r="K155" s="158">
        <v>1.882E-3</v>
      </c>
      <c r="L155" s="158">
        <v>2.6949999999999999E-3</v>
      </c>
      <c r="M155" s="158">
        <v>3.3059999999999999E-3</v>
      </c>
      <c r="N155" s="139" cm="1">
        <f t="array" aca="1" ref="N155:AE155" ca="1">IF(OR(B155="",NOT($J$2)),"",GetStripDefaultProbability(A155,B155,Parameter_Date,CDSRollDate,E155:M155,SpreadCurveMaturities,D155,C155,$J$4,$J$6))</f>
        <v>0</v>
      </c>
      <c r="O155" s="165">
        <f ca="1"/>
        <v>0</v>
      </c>
      <c r="P155" s="165">
        <f ca="1"/>
        <v>7.499411830947933E-4</v>
      </c>
      <c r="Q155" s="165">
        <f ca="1"/>
        <v>0</v>
      </c>
      <c r="R155" s="165">
        <f ca="1"/>
        <v>6.6907916689580293E-3</v>
      </c>
      <c r="S155" s="165">
        <f ca="1"/>
        <v>0</v>
      </c>
      <c r="T155" s="165">
        <f ca="1"/>
        <v>1.6504848137317674E-2</v>
      </c>
      <c r="U155" s="165">
        <f ca="1"/>
        <v>3.3566644322510553E-2</v>
      </c>
      <c r="V155" s="140">
        <f ca="1"/>
        <v>5.8819562520724289E-2</v>
      </c>
      <c r="W155" s="139">
        <f ca="1"/>
        <v>0</v>
      </c>
      <c r="X155" s="165">
        <f ca="1"/>
        <v>0</v>
      </c>
      <c r="Y155" s="165">
        <f ca="1"/>
        <v>9.1646898187758286E-4</v>
      </c>
      <c r="Z155" s="165">
        <f ca="1"/>
        <v>0</v>
      </c>
      <c r="AA155" s="165">
        <f ca="1"/>
        <v>7.2075588422417791E-3</v>
      </c>
      <c r="AB155" s="165">
        <f ca="1"/>
        <v>0</v>
      </c>
      <c r="AC155" s="165">
        <f ca="1"/>
        <v>1.7347656743356143E-2</v>
      </c>
      <c r="AD155" s="165">
        <f ca="1"/>
        <v>3.5185505119099569E-2</v>
      </c>
      <c r="AE155" s="140">
        <f ca="1"/>
        <v>6.1648846270992652E-2</v>
      </c>
      <c r="AI155" s="137"/>
      <c r="AK155" s="137"/>
      <c r="AM155" s="137"/>
      <c r="AN155" s="137"/>
      <c r="AO155" s="137"/>
      <c r="AR155" s="137"/>
      <c r="AT155" s="137"/>
      <c r="AV155" s="137"/>
      <c r="AW155" s="137"/>
      <c r="AX155" s="137"/>
    </row>
    <row r="156" spans="1:50" s="79" customFormat="1" ht="10.199999999999999" x14ac:dyDescent="0.2">
      <c r="A156" s="97">
        <f t="shared" si="4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8" t="s">
        <v>87</v>
      </c>
      <c r="G156" s="158">
        <v>4.516E-3</v>
      </c>
      <c r="H156" s="158" t="s">
        <v>87</v>
      </c>
      <c r="I156" s="158">
        <v>5.5579999999999996E-3</v>
      </c>
      <c r="J156" s="158" t="s">
        <v>87</v>
      </c>
      <c r="K156" s="158">
        <v>6.9480000000000002E-3</v>
      </c>
      <c r="L156" s="158">
        <v>6.9480000000000002E-3</v>
      </c>
      <c r="M156" s="158">
        <v>6.9480000000000002E-3</v>
      </c>
      <c r="N156" s="139" cm="1">
        <f t="array" aca="1" ref="N156:AE156" ca="1">IF(OR(B156="",NOT($J$2)),"",GetStripDefaultProbability(A156,B156,Parameter_Date,CDSRollDate,E156:M156,SpreadCurveMaturities,D156,C156,$J$4,$J$6))</f>
        <v>0</v>
      </c>
      <c r="O156" s="165">
        <f ca="1"/>
        <v>0</v>
      </c>
      <c r="P156" s="165">
        <f ca="1"/>
        <v>8.2496870761092911E-3</v>
      </c>
      <c r="Q156" s="165">
        <f ca="1"/>
        <v>0</v>
      </c>
      <c r="R156" s="165">
        <f ca="1"/>
        <v>2.8595673796477983E-2</v>
      </c>
      <c r="S156" s="165">
        <f ca="1"/>
        <v>0</v>
      </c>
      <c r="T156" s="165">
        <f ca="1"/>
        <v>5.8939637294417979E-2</v>
      </c>
      <c r="U156" s="165">
        <f ca="1"/>
        <v>8.0617849156059962E-2</v>
      </c>
      <c r="V156" s="140">
        <f ca="1"/>
        <v>0.11226470879449013</v>
      </c>
      <c r="W156" s="139">
        <f ca="1"/>
        <v>0</v>
      </c>
      <c r="X156" s="165">
        <f ca="1"/>
        <v>0</v>
      </c>
      <c r="Y156" s="165">
        <f ca="1"/>
        <v>8.6600431299782565E-3</v>
      </c>
      <c r="Z156" s="165">
        <f ca="1"/>
        <v>0</v>
      </c>
      <c r="AA156" s="165">
        <f ca="1"/>
        <v>3.0001405337565012E-2</v>
      </c>
      <c r="AB156" s="165">
        <f ca="1"/>
        <v>0</v>
      </c>
      <c r="AC156" s="165">
        <f ca="1"/>
        <v>6.1798568841943458E-2</v>
      </c>
      <c r="AD156" s="165">
        <f ca="1"/>
        <v>8.4484161335210306E-2</v>
      </c>
      <c r="AE156" s="140">
        <f ca="1"/>
        <v>0.1175326816392932</v>
      </c>
      <c r="AI156" s="137"/>
      <c r="AK156" s="137"/>
      <c r="AM156" s="137"/>
      <c r="AN156" s="137"/>
      <c r="AO156" s="137"/>
      <c r="AR156" s="137"/>
      <c r="AT156" s="137"/>
      <c r="AV156" s="137"/>
      <c r="AW156" s="137"/>
      <c r="AX156" s="137"/>
    </row>
    <row r="157" spans="1:50" s="79" customFormat="1" ht="10.199999999999999" x14ac:dyDescent="0.2">
      <c r="A157" s="97">
        <f t="shared" si="4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8" t="s">
        <v>87</v>
      </c>
      <c r="G157" s="158">
        <v>6.8499999999999995E-4</v>
      </c>
      <c r="H157" s="158" t="s">
        <v>87</v>
      </c>
      <c r="I157" s="158">
        <v>1.8890000000000001E-3</v>
      </c>
      <c r="J157" s="158" t="s">
        <v>87</v>
      </c>
      <c r="K157" s="158">
        <v>2.6540000000000001E-3</v>
      </c>
      <c r="L157" s="158">
        <v>3.5980000000000001E-3</v>
      </c>
      <c r="M157" s="158">
        <v>4.5880000000000001E-3</v>
      </c>
      <c r="N157" s="139" cm="1">
        <f t="array" aca="1" ref="N157:AE157" ca="1">IF(OR(B157="",NOT($J$2)),"",GetStripDefaultProbability(A157,B157,Parameter_Date,CDSRollDate,E157:M157,SpreadCurveMaturities,D157,C157,$J$4,$J$6))</f>
        <v>0</v>
      </c>
      <c r="O157" s="165">
        <f ca="1"/>
        <v>0</v>
      </c>
      <c r="P157" s="165">
        <f ca="1"/>
        <v>1.2556985299999601E-3</v>
      </c>
      <c r="Q157" s="165">
        <f ca="1"/>
        <v>0</v>
      </c>
      <c r="R157" s="165">
        <f ca="1"/>
        <v>9.9214913918072023E-3</v>
      </c>
      <c r="S157" s="165">
        <f ca="1"/>
        <v>0</v>
      </c>
      <c r="T157" s="165">
        <f ca="1"/>
        <v>2.3147774276735311E-2</v>
      </c>
      <c r="U157" s="165">
        <f ca="1"/>
        <v>4.4361900531465159E-2</v>
      </c>
      <c r="V157" s="140">
        <f ca="1"/>
        <v>8.1140944286224537E-2</v>
      </c>
      <c r="W157" s="139">
        <f ca="1"/>
        <v>0</v>
      </c>
      <c r="X157" s="165">
        <f ca="1"/>
        <v>0</v>
      </c>
      <c r="Y157" s="165">
        <f ca="1"/>
        <v>1.4221420429092468E-3</v>
      </c>
      <c r="Z157" s="165">
        <f ca="1"/>
        <v>0</v>
      </c>
      <c r="AA157" s="165">
        <f ca="1"/>
        <v>1.0436455468374906E-2</v>
      </c>
      <c r="AB157" s="165">
        <f ca="1"/>
        <v>0</v>
      </c>
      <c r="AC157" s="165">
        <f ca="1"/>
        <v>2.4281830757163836E-2</v>
      </c>
      <c r="AD157" s="165">
        <f ca="1"/>
        <v>4.6528155504857671E-2</v>
      </c>
      <c r="AE157" s="140">
        <f ca="1"/>
        <v>8.5041905752169633E-2</v>
      </c>
      <c r="AI157" s="137"/>
      <c r="AK157" s="137"/>
      <c r="AM157" s="137"/>
      <c r="AN157" s="137"/>
      <c r="AO157" s="137"/>
      <c r="AR157" s="137"/>
      <c r="AT157" s="137"/>
      <c r="AV157" s="137"/>
      <c r="AW157" s="137"/>
      <c r="AX157" s="137"/>
    </row>
    <row r="158" spans="1:50" s="79" customFormat="1" ht="10.199999999999999" x14ac:dyDescent="0.2">
      <c r="A158" s="97">
        <f t="shared" si="4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8" t="s">
        <v>87</v>
      </c>
      <c r="G158" s="158">
        <v>9.0200000000000002E-4</v>
      </c>
      <c r="H158" s="158" t="s">
        <v>87</v>
      </c>
      <c r="I158" s="158">
        <v>2.1849999999999999E-3</v>
      </c>
      <c r="J158" s="158" t="s">
        <v>87</v>
      </c>
      <c r="K158" s="158">
        <v>3.4259999999999998E-3</v>
      </c>
      <c r="L158" s="158">
        <v>4.3189999999999999E-3</v>
      </c>
      <c r="M158" s="158">
        <v>5.1630000000000001E-3</v>
      </c>
      <c r="N158" s="139" cm="1">
        <f t="array" aca="1" ref="N158:AE158" ca="1">IF(OR(B158="",NOT($J$2)),"",GetStripDefaultProbability(A158,B158,Parameter_Date,CDSRollDate,E158:M158,SpreadCurveMaturities,D158,C158,$J$4,$J$6))</f>
        <v>0</v>
      </c>
      <c r="O158" s="165">
        <f ca="1"/>
        <v>0</v>
      </c>
      <c r="P158" s="165">
        <f ca="1"/>
        <v>1.65316273874061E-3</v>
      </c>
      <c r="Q158" s="165">
        <f ca="1"/>
        <v>0</v>
      </c>
      <c r="R158" s="165">
        <f ca="1"/>
        <v>1.1454176198384736E-2</v>
      </c>
      <c r="S158" s="165">
        <f ca="1"/>
        <v>0</v>
      </c>
      <c r="T158" s="165">
        <f ca="1"/>
        <v>2.9952619848685469E-2</v>
      </c>
      <c r="U158" s="165">
        <f ca="1"/>
        <v>5.2858665560888363E-2</v>
      </c>
      <c r="V158" s="140">
        <f ca="1"/>
        <v>8.9859577113448053E-2</v>
      </c>
      <c r="W158" s="139">
        <f ca="1"/>
        <v>0</v>
      </c>
      <c r="X158" s="165">
        <f ca="1"/>
        <v>0</v>
      </c>
      <c r="Y158" s="165">
        <f ca="1"/>
        <v>1.8195400131072459E-3</v>
      </c>
      <c r="Z158" s="165">
        <f ca="1"/>
        <v>0</v>
      </c>
      <c r="AA158" s="165">
        <f ca="1"/>
        <v>1.2016997754052849E-2</v>
      </c>
      <c r="AB158" s="165">
        <f ca="1"/>
        <v>0</v>
      </c>
      <c r="AC158" s="165">
        <f ca="1"/>
        <v>3.1423526116832412E-2</v>
      </c>
      <c r="AD158" s="165">
        <f ca="1"/>
        <v>5.5436896112347811E-2</v>
      </c>
      <c r="AE158" s="140">
        <f ca="1"/>
        <v>9.4163188354298266E-2</v>
      </c>
      <c r="AI158" s="137"/>
      <c r="AK158" s="137"/>
      <c r="AM158" s="137"/>
      <c r="AN158" s="137"/>
      <c r="AO158" s="137"/>
      <c r="AR158" s="137"/>
      <c r="AT158" s="137"/>
      <c r="AV158" s="137"/>
      <c r="AW158" s="137"/>
      <c r="AX158" s="137"/>
    </row>
    <row r="159" spans="1:50" s="79" customFormat="1" ht="10.199999999999999" x14ac:dyDescent="0.2">
      <c r="A159" s="97">
        <f t="shared" si="4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8" t="s">
        <v>87</v>
      </c>
      <c r="G159" s="158">
        <v>6.29E-4</v>
      </c>
      <c r="H159" s="158" t="s">
        <v>87</v>
      </c>
      <c r="I159" s="158">
        <v>1.8E-3</v>
      </c>
      <c r="J159" s="158" t="s">
        <v>87</v>
      </c>
      <c r="K159" s="158">
        <v>2.6059999999999998E-3</v>
      </c>
      <c r="L159" s="158">
        <v>3.2690000000000002E-3</v>
      </c>
      <c r="M159" s="158">
        <v>3.885E-3</v>
      </c>
      <c r="N159" s="139" cm="1">
        <f t="array" aca="1" ref="N159:AE159" ca="1">IF(OR(B159="",NOT($J$2)),"",GetStripDefaultProbability(A159,B159,Parameter_Date,CDSRollDate,E159:M159,SpreadCurveMaturities,D159,C159,$J$4,$J$6))</f>
        <v>0</v>
      </c>
      <c r="O159" s="165">
        <f ca="1"/>
        <v>0</v>
      </c>
      <c r="P159" s="165">
        <f ca="1"/>
        <v>1.1531016405149641E-3</v>
      </c>
      <c r="Q159" s="165">
        <f ca="1"/>
        <v>0</v>
      </c>
      <c r="R159" s="165">
        <f ca="1"/>
        <v>9.4589676140013346E-3</v>
      </c>
      <c r="S159" s="165">
        <f ca="1"/>
        <v>0</v>
      </c>
      <c r="T159" s="165">
        <f ca="1"/>
        <v>2.2770274584106187E-2</v>
      </c>
      <c r="U159" s="165">
        <f ca="1"/>
        <v>4.0101934287840924E-2</v>
      </c>
      <c r="V159" s="140">
        <f ca="1"/>
        <v>6.8030136442925881E-2</v>
      </c>
      <c r="W159" s="139">
        <f ca="1"/>
        <v>0</v>
      </c>
      <c r="X159" s="165">
        <f ca="1"/>
        <v>0</v>
      </c>
      <c r="Y159" s="165">
        <f ca="1"/>
        <v>1.3195622514540206E-3</v>
      </c>
      <c r="Z159" s="165">
        <f ca="1"/>
        <v>0</v>
      </c>
      <c r="AA159" s="165">
        <f ca="1"/>
        <v>9.9742021151695281E-3</v>
      </c>
      <c r="AB159" s="165">
        <f ca="1"/>
        <v>0</v>
      </c>
      <c r="AC159" s="165">
        <f ca="1"/>
        <v>2.3883013421721055E-2</v>
      </c>
      <c r="AD159" s="165">
        <f ca="1"/>
        <v>4.2059069355506407E-2</v>
      </c>
      <c r="AE159" s="140">
        <f ca="1"/>
        <v>7.1312859600079825E-2</v>
      </c>
      <c r="AI159" s="137"/>
      <c r="AK159" s="137"/>
      <c r="AM159" s="137"/>
      <c r="AN159" s="137"/>
      <c r="AO159" s="137"/>
      <c r="AR159" s="137"/>
      <c r="AT159" s="137"/>
      <c r="AV159" s="137"/>
      <c r="AW159" s="137"/>
      <c r="AX159" s="137"/>
    </row>
    <row r="160" spans="1:50" s="79" customFormat="1" ht="10.199999999999999" x14ac:dyDescent="0.2">
      <c r="A160" s="97">
        <f t="shared" si="4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8" t="s">
        <v>87</v>
      </c>
      <c r="G160" s="158">
        <v>1.238E-3</v>
      </c>
      <c r="H160" s="158" t="s">
        <v>87</v>
      </c>
      <c r="I160" s="158">
        <v>4.0530000000000002E-3</v>
      </c>
      <c r="J160" s="158" t="s">
        <v>87</v>
      </c>
      <c r="K160" s="158">
        <v>5.6940000000000003E-3</v>
      </c>
      <c r="L160" s="158">
        <v>7.4310000000000001E-3</v>
      </c>
      <c r="M160" s="158">
        <v>9.3609999999999995E-3</v>
      </c>
      <c r="N160" s="139" cm="1">
        <f t="array" aca="1" ref="N160:AE160" ca="1">IF(OR(B160="",NOT($J$2)),"",GetStripDefaultProbability(A160,B160,Parameter_Date,CDSRollDate,E160:M160,SpreadCurveMaturities,D160,C160,$J$4,$J$6))</f>
        <v>0</v>
      </c>
      <c r="O160" s="165">
        <f ca="1"/>
        <v>0</v>
      </c>
      <c r="P160" s="165">
        <f ca="1"/>
        <v>2.2682816726165012E-3</v>
      </c>
      <c r="Q160" s="165">
        <f ca="1"/>
        <v>0</v>
      </c>
      <c r="R160" s="165">
        <f ca="1"/>
        <v>2.1230547547910206E-2</v>
      </c>
      <c r="S160" s="165">
        <f ca="1"/>
        <v>0</v>
      </c>
      <c r="T160" s="165">
        <f ca="1"/>
        <v>4.9209524299589247E-2</v>
      </c>
      <c r="U160" s="165">
        <f ca="1"/>
        <v>8.9814589950642065E-2</v>
      </c>
      <c r="V160" s="140">
        <f ca="1"/>
        <v>0.15999363898789898</v>
      </c>
      <c r="W160" s="139">
        <f ca="1"/>
        <v>0</v>
      </c>
      <c r="X160" s="165">
        <f ca="1"/>
        <v>0</v>
      </c>
      <c r="Y160" s="165">
        <f ca="1"/>
        <v>2.43455643573387E-3</v>
      </c>
      <c r="Z160" s="165">
        <f ca="1"/>
        <v>0</v>
      </c>
      <c r="AA160" s="165">
        <f ca="1"/>
        <v>2.2275672311939831E-2</v>
      </c>
      <c r="AB160" s="165">
        <f ca="1"/>
        <v>0</v>
      </c>
      <c r="AC160" s="165">
        <f ca="1"/>
        <v>5.1609824169777774E-2</v>
      </c>
      <c r="AD160" s="165">
        <f ca="1"/>
        <v>9.4129389426029775E-2</v>
      </c>
      <c r="AE160" s="140">
        <f ca="1"/>
        <v>0.16749690696929631</v>
      </c>
      <c r="AI160" s="137"/>
      <c r="AK160" s="137"/>
      <c r="AM160" s="137"/>
      <c r="AN160" s="137"/>
      <c r="AO160" s="137"/>
      <c r="AR160" s="137"/>
      <c r="AT160" s="137"/>
      <c r="AV160" s="137"/>
      <c r="AW160" s="137"/>
      <c r="AX160" s="137"/>
    </row>
    <row r="161" spans="1:50" s="79" customFormat="1" ht="10.199999999999999" x14ac:dyDescent="0.2">
      <c r="A161" s="97">
        <f t="shared" si="4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8" t="s">
        <v>87</v>
      </c>
      <c r="G161" s="158">
        <v>3.4431999999999997E-2</v>
      </c>
      <c r="H161" s="158" t="s">
        <v>87</v>
      </c>
      <c r="I161" s="158">
        <v>3.3938000000000003E-2</v>
      </c>
      <c r="J161" s="158" t="s">
        <v>87</v>
      </c>
      <c r="K161" s="158">
        <v>3.006E-2</v>
      </c>
      <c r="L161" s="158">
        <v>2.8119999999999999E-2</v>
      </c>
      <c r="M161" s="158">
        <v>2.7151000000000002E-2</v>
      </c>
      <c r="N161" s="139" cm="1">
        <f t="array" aca="1" ref="N161:AE161" ca="1">IF(OR(B161="",NOT($J$2)),"",GetStripDefaultProbability(A161,B161,Parameter_Date,CDSRollDate,E161:M161,SpreadCurveMaturities,D161,C161,$J$4,$J$6))</f>
        <v>0</v>
      </c>
      <c r="O161" s="165">
        <f ca="1"/>
        <v>0</v>
      </c>
      <c r="P161" s="165">
        <f ca="1"/>
        <v>6.1203306424805315E-2</v>
      </c>
      <c r="Q161" s="165">
        <f ca="1"/>
        <v>0</v>
      </c>
      <c r="R161" s="165">
        <f ca="1"/>
        <v>0.16136231893429298</v>
      </c>
      <c r="S161" s="165">
        <f ca="1"/>
        <v>0</v>
      </c>
      <c r="T161" s="165">
        <f ca="1"/>
        <v>0.22212067339846986</v>
      </c>
      <c r="U161" s="165">
        <f ca="1"/>
        <v>0.27559364974698752</v>
      </c>
      <c r="V161" s="140">
        <f ca="1"/>
        <v>0.35641213938929794</v>
      </c>
      <c r="W161" s="139">
        <f ca="1"/>
        <v>0</v>
      </c>
      <c r="X161" s="165">
        <f ca="1"/>
        <v>0</v>
      </c>
      <c r="Y161" s="165">
        <f ca="1"/>
        <v>6.4163106179960239E-2</v>
      </c>
      <c r="Z161" s="165">
        <f ca="1"/>
        <v>0</v>
      </c>
      <c r="AA161" s="165">
        <f ca="1"/>
        <v>0.16870491813270783</v>
      </c>
      <c r="AB161" s="165">
        <f ca="1"/>
        <v>0</v>
      </c>
      <c r="AC161" s="165">
        <f ca="1"/>
        <v>0.23169336138296948</v>
      </c>
      <c r="AD161" s="165">
        <f ca="1"/>
        <v>0.28691829225652277</v>
      </c>
      <c r="AE161" s="140">
        <f ca="1"/>
        <v>0.37008195082618989</v>
      </c>
      <c r="AI161" s="137"/>
      <c r="AK161" s="137"/>
      <c r="AM161" s="137"/>
      <c r="AN161" s="137"/>
      <c r="AO161" s="137"/>
      <c r="AR161" s="137"/>
      <c r="AT161" s="137"/>
      <c r="AV161" s="137"/>
      <c r="AW161" s="137"/>
      <c r="AX161" s="137"/>
    </row>
    <row r="162" spans="1:50" s="79" customFormat="1" ht="10.199999999999999" x14ac:dyDescent="0.2">
      <c r="A162" s="97">
        <f t="shared" si="4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8" t="s">
        <v>87</v>
      </c>
      <c r="G162" s="158">
        <v>1.083E-3</v>
      </c>
      <c r="H162" s="158" t="s">
        <v>87</v>
      </c>
      <c r="I162" s="158">
        <v>3.0460000000000001E-3</v>
      </c>
      <c r="J162" s="158" t="s">
        <v>87</v>
      </c>
      <c r="K162" s="158">
        <v>4.8729999999999997E-3</v>
      </c>
      <c r="L162" s="158">
        <v>6.4980000000000003E-3</v>
      </c>
      <c r="M162" s="158">
        <v>8.6300000000000005E-3</v>
      </c>
      <c r="N162" s="139" cm="1">
        <f t="array" aca="1" ref="N162:AE162" ca="1">IF(OR(B162="",NOT($J$2)),"",GetStripDefaultProbability(A162,B162,Parameter_Date,CDSRollDate,E162:M162,SpreadCurveMaturities,D162,C162,$J$4,$J$6))</f>
        <v>0</v>
      </c>
      <c r="O162" s="165">
        <f ca="1"/>
        <v>0</v>
      </c>
      <c r="P162" s="165">
        <f ca="1"/>
        <v>1.9845681671356585E-3</v>
      </c>
      <c r="Q162" s="165">
        <f ca="1"/>
        <v>0</v>
      </c>
      <c r="R162" s="165">
        <f ca="1"/>
        <v>1.5964792447831777E-2</v>
      </c>
      <c r="S162" s="165">
        <f ca="1"/>
        <v>0</v>
      </c>
      <c r="T162" s="165">
        <f ca="1"/>
        <v>4.2480737331016982E-2</v>
      </c>
      <c r="U162" s="165">
        <f ca="1"/>
        <v>7.9293082004993298E-2</v>
      </c>
      <c r="V162" s="140">
        <f ca="1"/>
        <v>0.1498837532623043</v>
      </c>
      <c r="W162" s="139">
        <f ca="1"/>
        <v>0</v>
      </c>
      <c r="X162" s="165">
        <f ca="1"/>
        <v>0</v>
      </c>
      <c r="Y162" s="165">
        <f ca="1"/>
        <v>2.150890211897627E-3</v>
      </c>
      <c r="Z162" s="165">
        <f ca="1"/>
        <v>0</v>
      </c>
      <c r="AA162" s="165">
        <f ca="1"/>
        <v>1.6750942662863699E-2</v>
      </c>
      <c r="AB162" s="165">
        <f ca="1"/>
        <v>0</v>
      </c>
      <c r="AC162" s="165">
        <f ca="1"/>
        <v>4.4558722041945775E-2</v>
      </c>
      <c r="AD162" s="165">
        <f ca="1"/>
        <v>8.3123076893110603E-2</v>
      </c>
      <c r="AE162" s="140">
        <f ca="1"/>
        <v>0.15696428993920419</v>
      </c>
      <c r="AI162" s="137"/>
      <c r="AK162" s="137"/>
      <c r="AM162" s="137"/>
      <c r="AN162" s="137"/>
      <c r="AO162" s="137"/>
      <c r="AR162" s="137"/>
      <c r="AT162" s="137"/>
      <c r="AV162" s="137"/>
      <c r="AW162" s="137"/>
      <c r="AX162" s="137"/>
    </row>
    <row r="163" spans="1:50" s="79" customFormat="1" ht="10.199999999999999" x14ac:dyDescent="0.2">
      <c r="A163" s="97">
        <f t="shared" si="4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8" t="s">
        <v>87</v>
      </c>
      <c r="G163" s="158">
        <v>1.0970000000000001E-3</v>
      </c>
      <c r="H163" s="158" t="s">
        <v>87</v>
      </c>
      <c r="I163" s="158">
        <v>1.645E-3</v>
      </c>
      <c r="J163" s="158" t="s">
        <v>87</v>
      </c>
      <c r="K163" s="158">
        <v>2.4130000000000002E-3</v>
      </c>
      <c r="L163" s="158">
        <v>2.6689999999999999E-3</v>
      </c>
      <c r="M163" s="158">
        <v>3.2850000000000002E-3</v>
      </c>
      <c r="N163" s="139" cm="1">
        <f t="array" aca="1" ref="N163:AE163" ca="1">IF(OR(B163="",NOT($J$2)),"",GetStripDefaultProbability(A163,B163,Parameter_Date,CDSRollDate,E163:M163,SpreadCurveMaturities,D163,C163,$J$4,$J$6))</f>
        <v>0</v>
      </c>
      <c r="O163" s="165">
        <f ca="1"/>
        <v>0</v>
      </c>
      <c r="P163" s="165">
        <f ca="1"/>
        <v>2.0101971896097082E-3</v>
      </c>
      <c r="Q163" s="165">
        <f ca="1"/>
        <v>0</v>
      </c>
      <c r="R163" s="165">
        <f ca="1"/>
        <v>8.5757965685478998E-3</v>
      </c>
      <c r="S163" s="165">
        <f ca="1"/>
        <v>0</v>
      </c>
      <c r="T163" s="165">
        <f ca="1"/>
        <v>2.1037712398243591E-2</v>
      </c>
      <c r="U163" s="165">
        <f ca="1"/>
        <v>3.2344086193017096E-2</v>
      </c>
      <c r="V163" s="140">
        <f ca="1"/>
        <v>5.7576198169500103E-2</v>
      </c>
      <c r="W163" s="139">
        <f ca="1"/>
        <v>0</v>
      </c>
      <c r="X163" s="165">
        <f ca="1"/>
        <v>0</v>
      </c>
      <c r="Y163" s="165">
        <f ca="1"/>
        <v>2.1765149632306802E-3</v>
      </c>
      <c r="Z163" s="165">
        <f ca="1"/>
        <v>0</v>
      </c>
      <c r="AA163" s="165">
        <f ca="1"/>
        <v>9.0913757928527961E-3</v>
      </c>
      <c r="AB163" s="165">
        <f ca="1"/>
        <v>0</v>
      </c>
      <c r="AC163" s="165">
        <f ca="1"/>
        <v>2.2064148687265805E-2</v>
      </c>
      <c r="AD163" s="165">
        <f ca="1"/>
        <v>3.3922721805596301E-2</v>
      </c>
      <c r="AE163" s="140">
        <f ca="1"/>
        <v>6.0362871253627937E-2</v>
      </c>
      <c r="AI163" s="137"/>
      <c r="AK163" s="137"/>
      <c r="AM163" s="137"/>
      <c r="AN163" s="137"/>
      <c r="AO163" s="137"/>
      <c r="AR163" s="137"/>
      <c r="AT163" s="137"/>
      <c r="AV163" s="137"/>
      <c r="AW163" s="137"/>
      <c r="AX163" s="137"/>
    </row>
    <row r="164" spans="1:50" s="79" customFormat="1" ht="10.199999999999999" x14ac:dyDescent="0.2">
      <c r="A164" s="97">
        <f t="shared" si="4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8" t="s">
        <v>87</v>
      </c>
      <c r="G164" s="158">
        <v>1.505E-3</v>
      </c>
      <c r="H164" s="158" t="s">
        <v>87</v>
      </c>
      <c r="I164" s="158">
        <v>2.6090000000000002E-3</v>
      </c>
      <c r="J164" s="158" t="s">
        <v>87</v>
      </c>
      <c r="K164" s="158">
        <v>3.764E-3</v>
      </c>
      <c r="L164" s="158">
        <v>4.8170000000000001E-3</v>
      </c>
      <c r="M164" s="158">
        <v>5.8209999999999998E-3</v>
      </c>
      <c r="N164" s="139" cm="1">
        <f t="array" aca="1" ref="N164:AE164" ca="1">IF(OR(B164="",NOT($J$2)),"",GetStripDefaultProbability(A164,B164,Parameter_Date,CDSRollDate,E164:M164,SpreadCurveMaturities,D164,C164,$J$4,$J$6))</f>
        <v>0</v>
      </c>
      <c r="O164" s="165">
        <f ca="1"/>
        <v>0</v>
      </c>
      <c r="P164" s="165">
        <f ca="1"/>
        <v>2.7568135448374775E-3</v>
      </c>
      <c r="Q164" s="165">
        <f ca="1"/>
        <v>0</v>
      </c>
      <c r="R164" s="165">
        <f ca="1"/>
        <v>1.3604801749017237E-2</v>
      </c>
      <c r="S164" s="165">
        <f ca="1"/>
        <v>0</v>
      </c>
      <c r="T164" s="165">
        <f ca="1"/>
        <v>3.2675155855973137E-2</v>
      </c>
      <c r="U164" s="165">
        <f ca="1"/>
        <v>5.8711543846042491E-2</v>
      </c>
      <c r="V164" s="140">
        <f ca="1"/>
        <v>0.10091164426017996</v>
      </c>
      <c r="W164" s="139">
        <f ca="1"/>
        <v>0</v>
      </c>
      <c r="X164" s="165">
        <f ca="1"/>
        <v>0</v>
      </c>
      <c r="Y164" s="165">
        <f ca="1"/>
        <v>2.9230068927710295E-3</v>
      </c>
      <c r="Z164" s="165">
        <f ca="1"/>
        <v>0</v>
      </c>
      <c r="AA164" s="165">
        <f ca="1"/>
        <v>1.4277717453043071E-2</v>
      </c>
      <c r="AB164" s="165">
        <f ca="1"/>
        <v>0</v>
      </c>
      <c r="AC164" s="165">
        <f ca="1"/>
        <v>3.4281762355599099E-2</v>
      </c>
      <c r="AD164" s="165">
        <f ca="1"/>
        <v>6.1571665079210969E-2</v>
      </c>
      <c r="AE164" s="140">
        <f ca="1"/>
        <v>0.10575443955737562</v>
      </c>
      <c r="AI164" s="137"/>
      <c r="AK164" s="137"/>
      <c r="AM164" s="137"/>
      <c r="AN164" s="137"/>
      <c r="AO164" s="137"/>
      <c r="AR164" s="137"/>
      <c r="AT164" s="137"/>
      <c r="AV164" s="137"/>
      <c r="AW164" s="137"/>
      <c r="AX164" s="137"/>
    </row>
    <row r="165" spans="1:50" s="79" customFormat="1" ht="10.199999999999999" x14ac:dyDescent="0.2">
      <c r="A165" s="97">
        <f t="shared" si="4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8" t="s">
        <v>87</v>
      </c>
      <c r="G165" s="158">
        <v>5.31E-4</v>
      </c>
      <c r="H165" s="158" t="s">
        <v>87</v>
      </c>
      <c r="I165" s="158">
        <v>1.4480000000000001E-3</v>
      </c>
      <c r="J165" s="158" t="s">
        <v>87</v>
      </c>
      <c r="K165" s="158">
        <v>2.1229999999999999E-3</v>
      </c>
      <c r="L165" s="158">
        <v>2.7989999999999998E-3</v>
      </c>
      <c r="M165" s="158">
        <v>3.9569999999999996E-3</v>
      </c>
      <c r="N165" s="139" cm="1">
        <f t="array" aca="1" ref="N165:AE165" ca="1">IF(OR(B165="",NOT($J$2)),"",GetStripDefaultProbability(A165,B165,Parameter_Date,CDSRollDate,E165:M165,SpreadCurveMaturities,D165,C165,$J$4,$J$6))</f>
        <v>0</v>
      </c>
      <c r="O165" s="165">
        <f ca="1"/>
        <v>0</v>
      </c>
      <c r="P165" s="165">
        <f ca="1"/>
        <v>9.7353192124483012E-4</v>
      </c>
      <c r="Q165" s="165">
        <f ca="1"/>
        <v>0</v>
      </c>
      <c r="R165" s="165">
        <f ca="1"/>
        <v>7.6111033150191298E-3</v>
      </c>
      <c r="S165" s="165">
        <f ca="1"/>
        <v>0</v>
      </c>
      <c r="T165" s="165">
        <f ca="1"/>
        <v>1.8586544601855604E-2</v>
      </c>
      <c r="U165" s="165">
        <f ca="1"/>
        <v>3.4578695223679512E-2</v>
      </c>
      <c r="V165" s="140">
        <f ca="1"/>
        <v>7.119281793531973E-2</v>
      </c>
      <c r="W165" s="139">
        <f ca="1"/>
        <v>0</v>
      </c>
      <c r="X165" s="165">
        <f ca="1"/>
        <v>0</v>
      </c>
      <c r="Y165" s="165">
        <f ca="1"/>
        <v>1.1400224579736218E-3</v>
      </c>
      <c r="Z165" s="165">
        <f ca="1"/>
        <v>0</v>
      </c>
      <c r="AA165" s="165">
        <f ca="1"/>
        <v>8.1273571781141918E-3</v>
      </c>
      <c r="AB165" s="165">
        <f ca="1"/>
        <v>0</v>
      </c>
      <c r="AC165" s="165">
        <f ca="1"/>
        <v>1.9483576470008424E-2</v>
      </c>
      <c r="AD165" s="165">
        <f ca="1"/>
        <v>3.6258227725765702E-2</v>
      </c>
      <c r="AE165" s="140">
        <f ca="1"/>
        <v>7.4617615754372313E-2</v>
      </c>
      <c r="AI165" s="137"/>
      <c r="AK165" s="137"/>
      <c r="AM165" s="137"/>
      <c r="AN165" s="137"/>
      <c r="AO165" s="137"/>
      <c r="AR165" s="137"/>
      <c r="AT165" s="137"/>
      <c r="AV165" s="137"/>
      <c r="AW165" s="137"/>
      <c r="AX165" s="137"/>
    </row>
    <row r="166" spans="1:50" s="79" customFormat="1" ht="10.199999999999999" x14ac:dyDescent="0.2">
      <c r="A166" s="97">
        <f t="shared" si="4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8" t="s">
        <v>87</v>
      </c>
      <c r="G166" s="158">
        <v>3.0165999999999998E-2</v>
      </c>
      <c r="H166" s="158" t="s">
        <v>87</v>
      </c>
      <c r="I166" s="158">
        <v>2.1916999999999999E-2</v>
      </c>
      <c r="J166" s="158" t="s">
        <v>87</v>
      </c>
      <c r="K166" s="158">
        <v>1.8335000000000001E-2</v>
      </c>
      <c r="L166" s="158">
        <v>1.6732E-2</v>
      </c>
      <c r="M166" s="158">
        <v>1.5789999999999998E-2</v>
      </c>
      <c r="N166" s="139" cm="1">
        <f t="array" aca="1" ref="N166:AE166" ca="1">IF(OR(B166="",NOT($J$2)),"",GetStripDefaultProbability(A166,B166,Parameter_Date,CDSRollDate,E166:M166,SpreadCurveMaturities,D166,C166,$J$4,$J$6))</f>
        <v>0</v>
      </c>
      <c r="O166" s="165">
        <f ca="1"/>
        <v>0</v>
      </c>
      <c r="P166" s="165">
        <f ca="1"/>
        <v>5.3828710315112938E-2</v>
      </c>
      <c r="Q166" s="165">
        <f ca="1"/>
        <v>0</v>
      </c>
      <c r="R166" s="165">
        <f ca="1"/>
        <v>0.10573381307936658</v>
      </c>
      <c r="S166" s="165">
        <f ca="1"/>
        <v>0</v>
      </c>
      <c r="T166" s="165">
        <f ca="1"/>
        <v>0.14007795971211767</v>
      </c>
      <c r="U166" s="165">
        <f ca="1"/>
        <v>0.17244303528117855</v>
      </c>
      <c r="V166" s="140">
        <f ca="1"/>
        <v>0.22314074846478715</v>
      </c>
      <c r="W166" s="139">
        <f ca="1"/>
        <v>0</v>
      </c>
      <c r="X166" s="165">
        <f ca="1"/>
        <v>0</v>
      </c>
      <c r="Y166" s="165">
        <f ca="1"/>
        <v>5.644269671544444E-2</v>
      </c>
      <c r="Z166" s="165">
        <f ca="1"/>
        <v>0</v>
      </c>
      <c r="AA166" s="165">
        <f ca="1"/>
        <v>0.11067246764393823</v>
      </c>
      <c r="AB166" s="165">
        <f ca="1"/>
        <v>0</v>
      </c>
      <c r="AC166" s="165">
        <f ca="1"/>
        <v>0.14641338943695981</v>
      </c>
      <c r="AD166" s="165">
        <f ca="1"/>
        <v>0.1800557497365548</v>
      </c>
      <c r="AE166" s="140">
        <f ca="1"/>
        <v>0.2326626277375855</v>
      </c>
      <c r="AI166" s="137"/>
      <c r="AK166" s="137"/>
      <c r="AM166" s="137"/>
      <c r="AN166" s="137"/>
      <c r="AO166" s="137"/>
      <c r="AR166" s="137"/>
      <c r="AT166" s="137"/>
      <c r="AV166" s="137"/>
      <c r="AW166" s="137"/>
      <c r="AX166" s="137"/>
    </row>
    <row r="167" spans="1:50" s="79" customFormat="1" ht="10.199999999999999" x14ac:dyDescent="0.2">
      <c r="A167" s="97">
        <f t="shared" si="4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8" t="s">
        <v>87</v>
      </c>
      <c r="G167" s="158">
        <v>8.2399999999999997E-4</v>
      </c>
      <c r="H167" s="158" t="s">
        <v>87</v>
      </c>
      <c r="I167" s="158">
        <v>2.5300000000000001E-3</v>
      </c>
      <c r="J167" s="158" t="s">
        <v>87</v>
      </c>
      <c r="K167" s="158">
        <v>3.522E-3</v>
      </c>
      <c r="L167" s="158">
        <v>4.5840000000000004E-3</v>
      </c>
      <c r="M167" s="158">
        <v>5.9350000000000002E-3</v>
      </c>
      <c r="N167" s="139" cm="1">
        <f t="array" aca="1" ref="N167:AE167" ca="1">IF(OR(B167="",NOT($J$2)),"",GetStripDefaultProbability(A167,B167,Parameter_Date,CDSRollDate,E167:M167,SpreadCurveMaturities,D167,C167,$J$4,$J$6))</f>
        <v>0</v>
      </c>
      <c r="O167" s="165">
        <f ca="1"/>
        <v>0</v>
      </c>
      <c r="P167" s="165">
        <f ca="1"/>
        <v>1.5103134868280632E-3</v>
      </c>
      <c r="Q167" s="165">
        <f ca="1"/>
        <v>0</v>
      </c>
      <c r="R167" s="165">
        <f ca="1"/>
        <v>1.3284452420974202E-2</v>
      </c>
      <c r="S167" s="165">
        <f ca="1"/>
        <v>0</v>
      </c>
      <c r="T167" s="165">
        <f ca="1"/>
        <v>3.0630325965063987E-2</v>
      </c>
      <c r="U167" s="165">
        <f ca="1"/>
        <v>5.6057595784869907E-2</v>
      </c>
      <c r="V167" s="140">
        <f ca="1"/>
        <v>0.10406178314757419</v>
      </c>
      <c r="W167" s="139">
        <f ca="1"/>
        <v>0</v>
      </c>
      <c r="X167" s="165">
        <f ca="1"/>
        <v>0</v>
      </c>
      <c r="Y167" s="165">
        <f ca="1"/>
        <v>1.676714567457549E-3</v>
      </c>
      <c r="Z167" s="165">
        <f ca="1"/>
        <v>0</v>
      </c>
      <c r="AA167" s="165">
        <f ca="1"/>
        <v>1.3936998099636777E-2</v>
      </c>
      <c r="AB167" s="165">
        <f ca="1"/>
        <v>0</v>
      </c>
      <c r="AC167" s="165">
        <f ca="1"/>
        <v>3.2133282001082786E-2</v>
      </c>
      <c r="AD167" s="165">
        <f ca="1"/>
        <v>5.8787268098985601E-2</v>
      </c>
      <c r="AE167" s="140">
        <f ca="1"/>
        <v>0.10905619985081161</v>
      </c>
      <c r="AI167" s="137"/>
      <c r="AK167" s="137"/>
      <c r="AM167" s="137"/>
      <c r="AN167" s="137"/>
      <c r="AO167" s="137"/>
      <c r="AR167" s="137"/>
      <c r="AT167" s="137"/>
      <c r="AV167" s="137"/>
      <c r="AW167" s="137"/>
      <c r="AX167" s="137"/>
    </row>
    <row r="168" spans="1:50" s="79" customFormat="1" ht="10.199999999999999" x14ac:dyDescent="0.2">
      <c r="A168" s="97">
        <f t="shared" si="4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8" t="s">
        <v>87</v>
      </c>
      <c r="G168" s="158">
        <v>6.8499999999999995E-4</v>
      </c>
      <c r="H168" s="158" t="s">
        <v>87</v>
      </c>
      <c r="I168" s="158">
        <v>2.2669999999999999E-3</v>
      </c>
      <c r="J168" s="158" t="s">
        <v>87</v>
      </c>
      <c r="K168" s="158">
        <v>3.4259999999999998E-3</v>
      </c>
      <c r="L168" s="158">
        <v>4.8869999999999999E-3</v>
      </c>
      <c r="M168" s="158">
        <v>6.398E-3</v>
      </c>
      <c r="N168" s="139" cm="1">
        <f t="array" aca="1" ref="N168:AE168" ca="1">IF(OR(B168="",NOT($J$2)),"",GetStripDefaultProbability(A168,B168,Parameter_Date,CDSRollDate,E168:M168,SpreadCurveMaturities,D168,C168,$J$4,$J$6))</f>
        <v>0</v>
      </c>
      <c r="O168" s="165">
        <f ca="1"/>
        <v>0</v>
      </c>
      <c r="P168" s="165">
        <f ca="1"/>
        <v>1.2556985299999601E-3</v>
      </c>
      <c r="Q168" s="165">
        <f ca="1"/>
        <v>0</v>
      </c>
      <c r="R168" s="165">
        <f ca="1"/>
        <v>1.191703594350968E-2</v>
      </c>
      <c r="S168" s="165">
        <f ca="1"/>
        <v>0</v>
      </c>
      <c r="T168" s="165">
        <f ca="1"/>
        <v>2.9935527114402394E-2</v>
      </c>
      <c r="U168" s="165">
        <f ca="1"/>
        <v>6.034281404579489E-2</v>
      </c>
      <c r="V168" s="140">
        <f ca="1"/>
        <v>0.11270964218086077</v>
      </c>
      <c r="W168" s="139">
        <f ca="1"/>
        <v>0</v>
      </c>
      <c r="X168" s="165">
        <f ca="1"/>
        <v>0</v>
      </c>
      <c r="Y168" s="165">
        <f ca="1"/>
        <v>1.4221420429092468E-3</v>
      </c>
      <c r="Z168" s="165">
        <f ca="1"/>
        <v>0</v>
      </c>
      <c r="AA168" s="165">
        <f ca="1"/>
        <v>1.2501239906287376E-2</v>
      </c>
      <c r="AB168" s="165">
        <f ca="1"/>
        <v>0</v>
      </c>
      <c r="AC168" s="165">
        <f ca="1"/>
        <v>3.1404132487191538E-2</v>
      </c>
      <c r="AD168" s="165">
        <f ca="1"/>
        <v>6.3278427761857658E-2</v>
      </c>
      <c r="AE168" s="140">
        <f ca="1"/>
        <v>0.11810916420858508</v>
      </c>
      <c r="AI168" s="137"/>
      <c r="AK168" s="137"/>
      <c r="AM168" s="137"/>
      <c r="AN168" s="137"/>
      <c r="AO168" s="137"/>
      <c r="AR168" s="137"/>
      <c r="AT168" s="137"/>
      <c r="AV168" s="137"/>
      <c r="AW168" s="137"/>
      <c r="AX168" s="137"/>
    </row>
    <row r="169" spans="1:50" s="79" customFormat="1" ht="10.199999999999999" x14ac:dyDescent="0.2">
      <c r="A169" s="97">
        <f t="shared" si="4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8" t="s">
        <v>87</v>
      </c>
      <c r="G169" s="158">
        <v>4.5399999999999998E-4</v>
      </c>
      <c r="H169" s="158" t="s">
        <v>87</v>
      </c>
      <c r="I169" s="158">
        <v>1.5560000000000001E-3</v>
      </c>
      <c r="J169" s="158" t="s">
        <v>87</v>
      </c>
      <c r="K169" s="158">
        <v>2.2680000000000001E-3</v>
      </c>
      <c r="L169" s="158">
        <v>2.9789999999999999E-3</v>
      </c>
      <c r="M169" s="158">
        <v>3.6459999999999999E-3</v>
      </c>
      <c r="N169" s="139" cm="1">
        <f t="array" aca="1" ref="N169:AE169" ca="1">IF(OR(B169="",NOT($J$2)),"",GetStripDefaultProbability(A169,B169,Parameter_Date,CDSRollDate,E169:M169,SpreadCurveMaturities,D169,C169,$J$4,$J$6))</f>
        <v>0</v>
      </c>
      <c r="O169" s="165">
        <f ca="1"/>
        <v>0</v>
      </c>
      <c r="P169" s="165">
        <f ca="1"/>
        <v>8.3241895618169082E-4</v>
      </c>
      <c r="Q169" s="165">
        <f ca="1"/>
        <v>0</v>
      </c>
      <c r="R169" s="165">
        <f ca="1"/>
        <v>8.1929064464361101E-3</v>
      </c>
      <c r="S169" s="165">
        <f ca="1"/>
        <v>0</v>
      </c>
      <c r="T169" s="165">
        <f ca="1"/>
        <v>1.9857344739977689E-2</v>
      </c>
      <c r="U169" s="165">
        <f ca="1"/>
        <v>3.6771820374391195E-2</v>
      </c>
      <c r="V169" s="140">
        <f ca="1"/>
        <v>6.4419315883090689E-2</v>
      </c>
      <c r="W169" s="139">
        <f ca="1"/>
        <v>0</v>
      </c>
      <c r="X169" s="165">
        <f ca="1"/>
        <v>0</v>
      </c>
      <c r="Y169" s="165">
        <f ca="1"/>
        <v>9.9893300978548538E-4</v>
      </c>
      <c r="Z169" s="165">
        <f ca="1"/>
        <v>0</v>
      </c>
      <c r="AA169" s="165">
        <f ca="1"/>
        <v>8.7088751897999028E-3</v>
      </c>
      <c r="AB169" s="165">
        <f ca="1"/>
        <v>0</v>
      </c>
      <c r="AC169" s="165">
        <f ca="1"/>
        <v>2.0819303922195886E-2</v>
      </c>
      <c r="AD169" s="165">
        <f ca="1"/>
        <v>3.856025747796743E-2</v>
      </c>
      <c r="AE169" s="140">
        <f ca="1"/>
        <v>6.7526163729604183E-2</v>
      </c>
      <c r="AI169" s="137"/>
      <c r="AK169" s="137"/>
      <c r="AM169" s="137"/>
      <c r="AN169" s="137"/>
      <c r="AO169" s="137"/>
      <c r="AR169" s="137"/>
      <c r="AT169" s="137"/>
      <c r="AV169" s="137"/>
      <c r="AW169" s="137"/>
      <c r="AX169" s="137"/>
    </row>
    <row r="170" spans="1:50" s="79" customFormat="1" ht="10.199999999999999" x14ac:dyDescent="0.2">
      <c r="A170" s="97">
        <f t="shared" si="4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8" t="s">
        <v>87</v>
      </c>
      <c r="G170" s="158">
        <v>7.3800000000000005E-4</v>
      </c>
      <c r="H170" s="158" t="s">
        <v>87</v>
      </c>
      <c r="I170" s="158">
        <v>2.0179999999999998E-3</v>
      </c>
      <c r="J170" s="158" t="s">
        <v>87</v>
      </c>
      <c r="K170" s="158">
        <v>2.4610000000000001E-3</v>
      </c>
      <c r="L170" s="158">
        <v>2.8050000000000002E-3</v>
      </c>
      <c r="M170" s="158">
        <v>3.5929999999999998E-3</v>
      </c>
      <c r="N170" s="139" cm="1">
        <f t="array" aca="1" ref="N170:AE170" ca="1">IF(OR(B170="",NOT($J$2)),"",GetStripDefaultProbability(A170,B170,Parameter_Date,CDSRollDate,E170:M170,SpreadCurveMaturities,D170,C170,$J$4,$J$6))</f>
        <v>0</v>
      </c>
      <c r="O170" s="165">
        <f ca="1"/>
        <v>0</v>
      </c>
      <c r="P170" s="165">
        <f ca="1"/>
        <v>1.3527895275132762E-3</v>
      </c>
      <c r="Q170" s="165">
        <f ca="1"/>
        <v>0</v>
      </c>
      <c r="R170" s="165">
        <f ca="1"/>
        <v>1.0595460300818371E-2</v>
      </c>
      <c r="S170" s="165">
        <f ca="1"/>
        <v>0</v>
      </c>
      <c r="T170" s="165">
        <f ca="1"/>
        <v>2.1311335985194968E-2</v>
      </c>
      <c r="U170" s="165">
        <f ca="1"/>
        <v>3.394216367221814E-2</v>
      </c>
      <c r="V170" s="140">
        <f ca="1"/>
        <v>6.3213531675949342E-2</v>
      </c>
      <c r="W170" s="139">
        <f ca="1"/>
        <v>0</v>
      </c>
      <c r="X170" s="165">
        <f ca="1"/>
        <v>0</v>
      </c>
      <c r="Y170" s="165">
        <f ca="1"/>
        <v>1.5192168599257316E-3</v>
      </c>
      <c r="Z170" s="165">
        <f ca="1"/>
        <v>0</v>
      </c>
      <c r="AA170" s="165">
        <f ca="1"/>
        <v>1.1114781669173346E-2</v>
      </c>
      <c r="AB170" s="165">
        <f ca="1"/>
        <v>0</v>
      </c>
      <c r="AC170" s="165">
        <f ca="1"/>
        <v>2.235866220672833E-2</v>
      </c>
      <c r="AD170" s="165">
        <f ca="1"/>
        <v>3.5605577675691391E-2</v>
      </c>
      <c r="AE170" s="140">
        <f ca="1"/>
        <v>6.6274432867162503E-2</v>
      </c>
      <c r="AI170" s="137"/>
      <c r="AK170" s="137"/>
      <c r="AM170" s="137"/>
      <c r="AN170" s="137"/>
      <c r="AO170" s="137"/>
      <c r="AR170" s="137"/>
      <c r="AT170" s="137"/>
      <c r="AV170" s="137"/>
      <c r="AW170" s="137"/>
      <c r="AX170" s="137"/>
    </row>
    <row r="171" spans="1:50" s="79" customFormat="1" ht="10.199999999999999" x14ac:dyDescent="0.2">
      <c r="A171" s="97">
        <f t="shared" si="4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8" t="s">
        <v>87</v>
      </c>
      <c r="G171" s="158">
        <v>9.7499999999999996E-4</v>
      </c>
      <c r="H171" s="158" t="s">
        <v>87</v>
      </c>
      <c r="I171" s="158">
        <v>3.0920000000000001E-3</v>
      </c>
      <c r="J171" s="158" t="s">
        <v>87</v>
      </c>
      <c r="K171" s="158">
        <v>4.8729999999999997E-3</v>
      </c>
      <c r="L171" s="158">
        <v>6.0260000000000001E-3</v>
      </c>
      <c r="M171" s="158">
        <v>7.0740000000000004E-3</v>
      </c>
      <c r="N171" s="139" cm="1">
        <f t="array" aca="1" ref="N171:AE171" ca="1">IF(OR(B171="",NOT($J$2)),"",GetStripDefaultProbability(A171,B171,Parameter_Date,CDSRollDate,E171:M171,SpreadCurveMaturities,D171,C171,$J$4,$J$6))</f>
        <v>0</v>
      </c>
      <c r="O171" s="165">
        <f ca="1"/>
        <v>0</v>
      </c>
      <c r="P171" s="165">
        <f ca="1"/>
        <v>1.7868366231326149E-3</v>
      </c>
      <c r="Q171" s="165">
        <f ca="1"/>
        <v>0</v>
      </c>
      <c r="R171" s="165">
        <f ca="1"/>
        <v>1.6222228163120356E-2</v>
      </c>
      <c r="S171" s="165">
        <f ca="1"/>
        <v>0</v>
      </c>
      <c r="T171" s="165">
        <f ca="1"/>
        <v>4.2468727661899797E-2</v>
      </c>
      <c r="U171" s="165">
        <f ca="1"/>
        <v>7.3108873989985668E-2</v>
      </c>
      <c r="V171" s="140">
        <f ca="1"/>
        <v>0.12108493093978212</v>
      </c>
      <c r="W171" s="139">
        <f ca="1"/>
        <v>0</v>
      </c>
      <c r="X171" s="165">
        <f ca="1"/>
        <v>0</v>
      </c>
      <c r="Y171" s="165">
        <f ca="1"/>
        <v>1.9531916204039712E-3</v>
      </c>
      <c r="Z171" s="165">
        <f ca="1"/>
        <v>0</v>
      </c>
      <c r="AA171" s="165">
        <f ca="1"/>
        <v>1.702028438501213E-2</v>
      </c>
      <c r="AB171" s="165">
        <f ca="1"/>
        <v>0</v>
      </c>
      <c r="AC171" s="165">
        <f ca="1"/>
        <v>4.4545388821718102E-2</v>
      </c>
      <c r="AD171" s="165">
        <f ca="1"/>
        <v>7.6645716411768761E-2</v>
      </c>
      <c r="AE171" s="140">
        <f ca="1"/>
        <v>0.12683669444463264</v>
      </c>
      <c r="AI171" s="137"/>
      <c r="AK171" s="137"/>
      <c r="AM171" s="137"/>
      <c r="AN171" s="137"/>
      <c r="AO171" s="137"/>
      <c r="AR171" s="137"/>
      <c r="AT171" s="137"/>
      <c r="AV171" s="137"/>
      <c r="AW171" s="137"/>
      <c r="AX171" s="137"/>
    </row>
    <row r="172" spans="1:50" s="79" customFormat="1" ht="10.199999999999999" x14ac:dyDescent="0.2">
      <c r="A172" s="97">
        <f t="shared" si="4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8" t="s">
        <v>87</v>
      </c>
      <c r="G172" s="158">
        <v>8.5298437190000007E-2</v>
      </c>
      <c r="H172" s="158" t="s">
        <v>87</v>
      </c>
      <c r="I172" s="158">
        <v>5.2450613260000001E-2</v>
      </c>
      <c r="J172" s="158" t="s">
        <v>87</v>
      </c>
      <c r="K172" s="158">
        <v>3.9500213579999999E-2</v>
      </c>
      <c r="L172" s="158">
        <v>3.2934272280000003E-2</v>
      </c>
      <c r="M172" s="158">
        <v>2.9231474059999998E-2</v>
      </c>
      <c r="N172" s="139" cm="1">
        <f t="array" aca="1" ref="N172:AE172" ca="1">IF(OR(B172="",NOT($J$2)),"",GetStripDefaultProbability(A172,B172,Parameter_Date,CDSRollDate,E172:M172,SpreadCurveMaturities,D172,C172,$J$4,$J$6))</f>
        <v>0</v>
      </c>
      <c r="O172" s="165">
        <f ca="1"/>
        <v>0</v>
      </c>
      <c r="P172" s="165">
        <f ca="1"/>
        <v>0.14482786474797438</v>
      </c>
      <c r="Q172" s="165">
        <f ca="1"/>
        <v>0</v>
      </c>
      <c r="R172" s="165">
        <f ca="1"/>
        <v>0.22818898046958191</v>
      </c>
      <c r="S172" s="165">
        <f ca="1"/>
        <v>0</v>
      </c>
      <c r="T172" s="165">
        <f ca="1"/>
        <v>0.26348770539632549</v>
      </c>
      <c r="U172" s="165">
        <f ca="1"/>
        <v>0.28868910495867284</v>
      </c>
      <c r="V172" s="140">
        <f ca="1"/>
        <v>0.34381842709392318</v>
      </c>
      <c r="W172" s="139">
        <f ca="1"/>
        <v>0</v>
      </c>
      <c r="X172" s="165">
        <f ca="1"/>
        <v>0</v>
      </c>
      <c r="Y172" s="165">
        <f ca="1"/>
        <v>0.15149115906489385</v>
      </c>
      <c r="Z172" s="165">
        <f ca="1"/>
        <v>0</v>
      </c>
      <c r="AA172" s="165">
        <f ca="1"/>
        <v>0.23774909860042059</v>
      </c>
      <c r="AB172" s="165">
        <f ca="1"/>
        <v>0</v>
      </c>
      <c r="AC172" s="165">
        <f ca="1"/>
        <v>0.27393072555605691</v>
      </c>
      <c r="AD172" s="165">
        <f ca="1"/>
        <v>0.29967693034584975</v>
      </c>
      <c r="AE172" s="140">
        <f ca="1"/>
        <v>0.35627683803933574</v>
      </c>
      <c r="AI172" s="137"/>
      <c r="AK172" s="137"/>
      <c r="AM172" s="137"/>
      <c r="AN172" s="137"/>
      <c r="AO172" s="137"/>
      <c r="AR172" s="137"/>
      <c r="AT172" s="137"/>
      <c r="AV172" s="137"/>
      <c r="AW172" s="137"/>
      <c r="AX172" s="137"/>
    </row>
    <row r="173" spans="1:50" s="79" customFormat="1" ht="10.199999999999999" x14ac:dyDescent="0.2">
      <c r="A173" s="97">
        <f t="shared" si="4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8" t="s">
        <v>87</v>
      </c>
      <c r="G173" s="158">
        <v>9.8200000000000002E-4</v>
      </c>
      <c r="H173" s="158" t="s">
        <v>87</v>
      </c>
      <c r="I173" s="158">
        <v>3.1849999999999999E-3</v>
      </c>
      <c r="J173" s="158" t="s">
        <v>87</v>
      </c>
      <c r="K173" s="158">
        <v>4.5840000000000004E-3</v>
      </c>
      <c r="L173" s="158">
        <v>5.8869999999999999E-3</v>
      </c>
      <c r="M173" s="158">
        <v>7.3340000000000002E-3</v>
      </c>
      <c r="N173" s="139" cm="1">
        <f t="array" aca="1" ref="N173:AE173" ca="1">IF(OR(B173="",NOT($J$2)),"",GetStripDefaultProbability(A173,B173,Parameter_Date,CDSRollDate,E173:M173,SpreadCurveMaturities,D173,C173,$J$4,$J$6))</f>
        <v>0</v>
      </c>
      <c r="O173" s="165">
        <f ca="1"/>
        <v>0</v>
      </c>
      <c r="P173" s="165">
        <f ca="1"/>
        <v>1.7996537340341234E-3</v>
      </c>
      <c r="Q173" s="165">
        <f ca="1"/>
        <v>0</v>
      </c>
      <c r="R173" s="165">
        <f ca="1"/>
        <v>1.6710353725820526E-2</v>
      </c>
      <c r="S173" s="165">
        <f ca="1"/>
        <v>0</v>
      </c>
      <c r="T173" s="165">
        <f ca="1"/>
        <v>3.9807929614993021E-2</v>
      </c>
      <c r="U173" s="165">
        <f ca="1"/>
        <v>7.1563897123542164E-2</v>
      </c>
      <c r="V173" s="140">
        <f ca="1"/>
        <v>0.12667619750992154</v>
      </c>
      <c r="W173" s="139">
        <f ca="1"/>
        <v>0</v>
      </c>
      <c r="X173" s="165">
        <f ca="1"/>
        <v>0</v>
      </c>
      <c r="Y173" s="165">
        <f ca="1"/>
        <v>1.9660065953017725E-3</v>
      </c>
      <c r="Z173" s="165">
        <f ca="1"/>
        <v>0</v>
      </c>
      <c r="AA173" s="165">
        <f ca="1"/>
        <v>1.753242019546597E-2</v>
      </c>
      <c r="AB173" s="165">
        <f ca="1"/>
        <v>0</v>
      </c>
      <c r="AC173" s="165">
        <f ca="1"/>
        <v>4.1756061095992836E-2</v>
      </c>
      <c r="AD173" s="165">
        <f ca="1"/>
        <v>7.5027855922303432E-2</v>
      </c>
      <c r="AE173" s="140">
        <f ca="1"/>
        <v>0.1326946955958449</v>
      </c>
      <c r="AI173" s="137"/>
      <c r="AK173" s="137"/>
      <c r="AM173" s="137"/>
      <c r="AN173" s="137"/>
      <c r="AO173" s="137"/>
      <c r="AR173" s="137"/>
      <c r="AT173" s="137"/>
      <c r="AV173" s="137"/>
      <c r="AW173" s="137"/>
      <c r="AX173" s="137"/>
    </row>
    <row r="174" spans="1:50" s="79" customFormat="1" ht="10.199999999999999" x14ac:dyDescent="0.2">
      <c r="A174" s="97">
        <f t="shared" si="4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8" t="s">
        <v>87</v>
      </c>
      <c r="G174" s="158">
        <v>1.206E-3</v>
      </c>
      <c r="H174" s="158" t="s">
        <v>87</v>
      </c>
      <c r="I174" s="158">
        <v>2.8470000000000001E-3</v>
      </c>
      <c r="J174" s="158" t="s">
        <v>87</v>
      </c>
      <c r="K174" s="158">
        <v>4.6800000000000001E-3</v>
      </c>
      <c r="L174" s="158">
        <v>6.2880000000000002E-3</v>
      </c>
      <c r="M174" s="158">
        <v>7.5170000000000002E-3</v>
      </c>
      <c r="N174" s="139" cm="1">
        <f t="array" aca="1" ref="N174:AE174" ca="1">IF(OR(B174="",NOT($J$2)),"",GetStripDefaultProbability(A174,B174,Parameter_Date,CDSRollDate,E174:M174,SpreadCurveMaturities,D174,C174,$J$4,$J$6))</f>
        <v>0</v>
      </c>
      <c r="O174" s="165">
        <f ca="1"/>
        <v>0</v>
      </c>
      <c r="P174" s="165">
        <f ca="1"/>
        <v>2.2097151142000948E-3</v>
      </c>
      <c r="Q174" s="165">
        <f ca="1"/>
        <v>0</v>
      </c>
      <c r="R174" s="165">
        <f ca="1"/>
        <v>1.4900122706315133E-2</v>
      </c>
      <c r="S174" s="165">
        <f ca="1"/>
        <v>0</v>
      </c>
      <c r="T174" s="165">
        <f ca="1"/>
        <v>4.084526772900654E-2</v>
      </c>
      <c r="U174" s="165">
        <f ca="1"/>
        <v>7.6878060918913693E-2</v>
      </c>
      <c r="V174" s="140">
        <f ca="1"/>
        <v>0.1293685451293739</v>
      </c>
      <c r="W174" s="139">
        <f ca="1"/>
        <v>0</v>
      </c>
      <c r="X174" s="165">
        <f ca="1"/>
        <v>0</v>
      </c>
      <c r="Y174" s="165">
        <f ca="1"/>
        <v>2.3759996375752879E-3</v>
      </c>
      <c r="Z174" s="165">
        <f ca="1"/>
        <v>0</v>
      </c>
      <c r="AA174" s="165">
        <f ca="1"/>
        <v>1.5634778543216932E-2</v>
      </c>
      <c r="AB174" s="165">
        <f ca="1"/>
        <v>0</v>
      </c>
      <c r="AC174" s="165">
        <f ca="1"/>
        <v>4.2845457981953161E-2</v>
      </c>
      <c r="AD174" s="165">
        <f ca="1"/>
        <v>8.0596691167272083E-2</v>
      </c>
      <c r="AE174" s="140">
        <f ca="1"/>
        <v>0.13550678580854814</v>
      </c>
      <c r="AI174" s="137"/>
      <c r="AK174" s="137"/>
      <c r="AM174" s="137"/>
      <c r="AN174" s="137"/>
      <c r="AO174" s="137"/>
      <c r="AR174" s="137"/>
      <c r="AT174" s="137"/>
      <c r="AV174" s="137"/>
      <c r="AW174" s="137"/>
      <c r="AX174" s="137"/>
    </row>
    <row r="175" spans="1:50" s="79" customFormat="1" ht="10.199999999999999" x14ac:dyDescent="0.2">
      <c r="A175" s="97">
        <f t="shared" si="4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8" t="s">
        <v>87</v>
      </c>
      <c r="G175" s="158">
        <v>5.0299999999999997E-4</v>
      </c>
      <c r="H175" s="158" t="s">
        <v>87</v>
      </c>
      <c r="I175" s="158">
        <v>2.1450000000000002E-3</v>
      </c>
      <c r="J175" s="158" t="s">
        <v>87</v>
      </c>
      <c r="K175" s="158">
        <v>2.9429999999999999E-3</v>
      </c>
      <c r="L175" s="158">
        <v>3.8409999999999998E-3</v>
      </c>
      <c r="M175" s="158">
        <v>4.9890000000000004E-3</v>
      </c>
      <c r="N175" s="139" cm="1">
        <f t="array" aca="1" ref="N175:AE175" ca="1">IF(OR(B175="",NOT($J$2)),"",GetStripDefaultProbability(A175,B175,Parameter_Date,CDSRollDate,E175:M175,SpreadCurveMaturities,D175,C175,$J$4,$J$6))</f>
        <v>0</v>
      </c>
      <c r="O175" s="165">
        <f ca="1"/>
        <v>0</v>
      </c>
      <c r="P175" s="165">
        <f ca="1"/>
        <v>9.2222040400591343E-4</v>
      </c>
      <c r="Q175" s="165">
        <f ca="1"/>
        <v>0</v>
      </c>
      <c r="R175" s="165">
        <f ca="1"/>
        <v>1.1298524950831279E-2</v>
      </c>
      <c r="S175" s="165">
        <f ca="1"/>
        <v>0</v>
      </c>
      <c r="T175" s="165">
        <f ca="1"/>
        <v>2.5651370469041868E-2</v>
      </c>
      <c r="U175" s="165">
        <f ca="1"/>
        <v>4.714574296740448E-2</v>
      </c>
      <c r="V175" s="140">
        <f ca="1"/>
        <v>8.8058103724588666E-2</v>
      </c>
      <c r="W175" s="139">
        <f ca="1"/>
        <v>0</v>
      </c>
      <c r="X175" s="165">
        <f ca="1"/>
        <v>0</v>
      </c>
      <c r="Y175" s="165">
        <f ca="1"/>
        <v>1.088719491972312E-3</v>
      </c>
      <c r="Z175" s="165">
        <f ca="1"/>
        <v>0</v>
      </c>
      <c r="AA175" s="165">
        <f ca="1"/>
        <v>1.1850986828164434E-2</v>
      </c>
      <c r="AB175" s="165">
        <f ca="1"/>
        <v>0</v>
      </c>
      <c r="AC175" s="165">
        <f ca="1"/>
        <v>2.6909779515738808E-2</v>
      </c>
      <c r="AD175" s="165">
        <f ca="1"/>
        <v>4.9447246733341998E-2</v>
      </c>
      <c r="AE175" s="140">
        <f ca="1"/>
        <v>9.2308397738111392E-2</v>
      </c>
      <c r="AI175" s="137"/>
      <c r="AK175" s="137"/>
      <c r="AM175" s="137"/>
      <c r="AN175" s="137"/>
      <c r="AO175" s="137"/>
      <c r="AR175" s="137"/>
      <c r="AT175" s="137"/>
      <c r="AV175" s="137"/>
      <c r="AW175" s="137"/>
      <c r="AX175" s="137"/>
    </row>
    <row r="176" spans="1:50" s="79" customFormat="1" ht="10.199999999999999" x14ac:dyDescent="0.2">
      <c r="A176" s="97">
        <f t="shared" si="4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8" t="s">
        <v>87</v>
      </c>
      <c r="G176" s="158">
        <v>1.5280000000000001E-3</v>
      </c>
      <c r="H176" s="158" t="s">
        <v>87</v>
      </c>
      <c r="I176" s="158">
        <v>2.96E-3</v>
      </c>
      <c r="J176" s="158" t="s">
        <v>87</v>
      </c>
      <c r="K176" s="158">
        <v>4.5840000000000004E-3</v>
      </c>
      <c r="L176" s="158">
        <v>5.6340000000000001E-3</v>
      </c>
      <c r="M176" s="158">
        <v>7.4009999999999996E-3</v>
      </c>
      <c r="N176" s="139" cm="1">
        <f t="array" aca="1" ref="N176:AE176" ca="1">IF(OR(B176="",NOT($J$2)),"",GetStripDefaultProbability(A176,B176,Parameter_Date,CDSRollDate,E176:M176,SpreadCurveMaturities,D176,C176,$J$4,$J$6))</f>
        <v>0</v>
      </c>
      <c r="O176" s="165">
        <f ca="1"/>
        <v>0</v>
      </c>
      <c r="P176" s="165">
        <f ca="1"/>
        <v>2.7988857184382265E-3</v>
      </c>
      <c r="Q176" s="165">
        <f ca="1"/>
        <v>0</v>
      </c>
      <c r="R176" s="165">
        <f ca="1"/>
        <v>1.5448887405377643E-2</v>
      </c>
      <c r="S176" s="165">
        <f ca="1"/>
        <v>0</v>
      </c>
      <c r="T176" s="165">
        <f ca="1"/>
        <v>3.9863593498848604E-2</v>
      </c>
      <c r="U176" s="165">
        <f ca="1"/>
        <v>6.8303987884523965E-2</v>
      </c>
      <c r="V176" s="140">
        <f ca="1"/>
        <v>0.12858660269795619</v>
      </c>
      <c r="W176" s="139">
        <f ca="1"/>
        <v>0</v>
      </c>
      <c r="X176" s="165">
        <f ca="1"/>
        <v>0</v>
      </c>
      <c r="Y176" s="165">
        <f ca="1"/>
        <v>2.9650720549193599E-3</v>
      </c>
      <c r="Z176" s="165">
        <f ca="1"/>
        <v>0</v>
      </c>
      <c r="AA176" s="165">
        <f ca="1"/>
        <v>1.6212709764917843E-2</v>
      </c>
      <c r="AB176" s="165">
        <f ca="1"/>
        <v>0</v>
      </c>
      <c r="AC176" s="165">
        <f ca="1"/>
        <v>4.1818183111494434E-2</v>
      </c>
      <c r="AD176" s="165">
        <f ca="1"/>
        <v>7.1617830876002819E-2</v>
      </c>
      <c r="AE176" s="140">
        <f ca="1"/>
        <v>0.13470424163604056</v>
      </c>
      <c r="AI176" s="137"/>
      <c r="AK176" s="137"/>
      <c r="AM176" s="137"/>
      <c r="AN176" s="137"/>
      <c r="AO176" s="137"/>
      <c r="AR176" s="137"/>
      <c r="AT176" s="137"/>
      <c r="AV176" s="137"/>
      <c r="AW176" s="137"/>
      <c r="AX176" s="137"/>
    </row>
    <row r="177" spans="1:50" s="79" customFormat="1" ht="10.199999999999999" x14ac:dyDescent="0.2">
      <c r="A177" s="97">
        <f t="shared" si="4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8" t="s">
        <v>87</v>
      </c>
      <c r="G177" s="158">
        <v>5.3899999999999998E-4</v>
      </c>
      <c r="H177" s="158" t="s">
        <v>87</v>
      </c>
      <c r="I177" s="158">
        <v>1.8E-3</v>
      </c>
      <c r="J177" s="158" t="s">
        <v>87</v>
      </c>
      <c r="K177" s="158">
        <v>2.6059999999999998E-3</v>
      </c>
      <c r="L177" s="158">
        <v>3.2690000000000002E-3</v>
      </c>
      <c r="M177" s="158">
        <v>3.885E-3</v>
      </c>
      <c r="N177" s="139" cm="1">
        <f t="array" aca="1" ref="N177:AE177" ca="1">IF(OR(B177="",NOT($J$2)),"",GetStripDefaultProbability(A177,B177,Parameter_Date,CDSRollDate,E177:M177,SpreadCurveMaturities,D177,C177,$J$4,$J$6))</f>
        <v>0</v>
      </c>
      <c r="O177" s="165">
        <f ca="1"/>
        <v>0</v>
      </c>
      <c r="P177" s="165">
        <f ca="1"/>
        <v>9.8819187445531309E-4</v>
      </c>
      <c r="Q177" s="165">
        <f ca="1"/>
        <v>0</v>
      </c>
      <c r="R177" s="165">
        <f ca="1"/>
        <v>9.4713251915784502E-3</v>
      </c>
      <c r="S177" s="165">
        <f ca="1"/>
        <v>0</v>
      </c>
      <c r="T177" s="165">
        <f ca="1"/>
        <v>2.2782874767687367E-2</v>
      </c>
      <c r="U177" s="165">
        <f ca="1"/>
        <v>4.0114710101683659E-2</v>
      </c>
      <c r="V177" s="140">
        <f ca="1"/>
        <v>6.804296938595833E-2</v>
      </c>
      <c r="W177" s="139">
        <f ca="1"/>
        <v>0</v>
      </c>
      <c r="X177" s="165">
        <f ca="1"/>
        <v>0</v>
      </c>
      <c r="Y177" s="165">
        <f ca="1"/>
        <v>1.1546799680786091E-3</v>
      </c>
      <c r="Z177" s="165">
        <f ca="1"/>
        <v>0</v>
      </c>
      <c r="AA177" s="165">
        <f ca="1"/>
        <v>9.9865751648987588E-3</v>
      </c>
      <c r="AB177" s="165">
        <f ca="1"/>
        <v>0</v>
      </c>
      <c r="AC177" s="165">
        <f ca="1"/>
        <v>2.3895663186113247E-2</v>
      </c>
      <c r="AD177" s="165">
        <f ca="1"/>
        <v>4.207190246112591E-2</v>
      </c>
      <c r="AE177" s="140">
        <f ca="1"/>
        <v>7.1325750616991646E-2</v>
      </c>
      <c r="AI177" s="137"/>
      <c r="AK177" s="137"/>
      <c r="AM177" s="137"/>
      <c r="AN177" s="137"/>
      <c r="AO177" s="137"/>
      <c r="AR177" s="137"/>
      <c r="AT177" s="137"/>
      <c r="AV177" s="137"/>
      <c r="AW177" s="137"/>
      <c r="AX177" s="137"/>
    </row>
    <row r="178" spans="1:50" s="79" customFormat="1" ht="10.199999999999999" x14ac:dyDescent="0.2">
      <c r="A178" s="97">
        <f t="shared" si="4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8" t="s">
        <v>87</v>
      </c>
      <c r="G178" s="158">
        <v>6.2E-4</v>
      </c>
      <c r="H178" s="158" t="s">
        <v>87</v>
      </c>
      <c r="I178" s="158">
        <v>1.565E-3</v>
      </c>
      <c r="J178" s="158" t="s">
        <v>87</v>
      </c>
      <c r="K178" s="158">
        <v>2.1710000000000002E-3</v>
      </c>
      <c r="L178" s="158">
        <v>2.8279999999999998E-3</v>
      </c>
      <c r="M178" s="158">
        <v>3.6359999999999999E-3</v>
      </c>
      <c r="N178" s="139" cm="1">
        <f t="array" aca="1" ref="N178:AE178" ca="1">IF(OR(B178="",NOT($J$2)),"",GetStripDefaultProbability(A178,B178,Parameter_Date,CDSRollDate,E178:M178,SpreadCurveMaturities,D178,C178,$J$4,$J$6))</f>
        <v>0</v>
      </c>
      <c r="O178" s="165">
        <f ca="1"/>
        <v>0</v>
      </c>
      <c r="P178" s="165">
        <f ca="1"/>
        <v>1.1366118794311486E-3</v>
      </c>
      <c r="Q178" s="165">
        <f ca="1"/>
        <v>0</v>
      </c>
      <c r="R178" s="165">
        <f ca="1"/>
        <v>8.2178976970754825E-3</v>
      </c>
      <c r="S178" s="165">
        <f ca="1"/>
        <v>0</v>
      </c>
      <c r="T178" s="165">
        <f ca="1"/>
        <v>1.8945441844931965E-2</v>
      </c>
      <c r="U178" s="165">
        <f ca="1"/>
        <v>3.4834526596602577E-2</v>
      </c>
      <c r="V178" s="140">
        <f ca="1"/>
        <v>6.4611872723129071E-2</v>
      </c>
      <c r="W178" s="139">
        <f ca="1"/>
        <v>0</v>
      </c>
      <c r="X178" s="165">
        <f ca="1"/>
        <v>0</v>
      </c>
      <c r="Y178" s="165">
        <f ca="1"/>
        <v>1.3030752384491917E-3</v>
      </c>
      <c r="Z178" s="165">
        <f ca="1"/>
        <v>0</v>
      </c>
      <c r="AA178" s="165">
        <f ca="1"/>
        <v>8.7338059634900489E-3</v>
      </c>
      <c r="AB178" s="165">
        <f ca="1"/>
        <v>0</v>
      </c>
      <c r="AC178" s="165">
        <f ca="1"/>
        <v>1.9863889339874596E-2</v>
      </c>
      <c r="AD178" s="165">
        <f ca="1"/>
        <v>3.653004181039865E-2</v>
      </c>
      <c r="AE178" s="140">
        <f ca="1"/>
        <v>6.7729493561083376E-2</v>
      </c>
      <c r="AI178" s="137"/>
      <c r="AK178" s="137"/>
      <c r="AM178" s="137"/>
      <c r="AN178" s="137"/>
      <c r="AO178" s="137"/>
      <c r="AR178" s="137"/>
      <c r="AT178" s="137"/>
      <c r="AV178" s="137"/>
      <c r="AW178" s="137"/>
      <c r="AX178" s="137"/>
    </row>
    <row r="179" spans="1:50" s="79" customFormat="1" ht="10.199999999999999" x14ac:dyDescent="0.2">
      <c r="A179" s="97">
        <f t="shared" si="4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8" t="s">
        <v>87</v>
      </c>
      <c r="G179" s="158">
        <v>1.0510000000000001E-3</v>
      </c>
      <c r="H179" s="158" t="s">
        <v>87</v>
      </c>
      <c r="I179" s="158">
        <v>2.1979999999999999E-3</v>
      </c>
      <c r="J179" s="158" t="s">
        <v>87</v>
      </c>
      <c r="K179" s="158">
        <v>3.2330000000000002E-3</v>
      </c>
      <c r="L179" s="158">
        <v>4.267E-3</v>
      </c>
      <c r="M179" s="158">
        <v>5.1720000000000004E-3</v>
      </c>
      <c r="N179" s="139" cm="1">
        <f t="array" aca="1" ref="N179:AE179" ca="1">IF(OR(B179="",NOT($J$2)),"",GetStripDefaultProbability(A179,B179,Parameter_Date,CDSRollDate,E179:M179,SpreadCurveMaturities,D179,C179,$J$4,$J$6))</f>
        <v>0</v>
      </c>
      <c r="O179" s="165">
        <f ca="1"/>
        <v>0</v>
      </c>
      <c r="P179" s="165">
        <f ca="1"/>
        <v>1.9259850931711009E-3</v>
      </c>
      <c r="Q179" s="165">
        <f ca="1"/>
        <v>0</v>
      </c>
      <c r="R179" s="165">
        <f ca="1"/>
        <v>1.1502045106972836E-2</v>
      </c>
      <c r="S179" s="165">
        <f ca="1"/>
        <v>0</v>
      </c>
      <c r="T179" s="165">
        <f ca="1"/>
        <v>2.8174096127489667E-2</v>
      </c>
      <c r="U179" s="165">
        <f ca="1"/>
        <v>5.2355827352407958E-2</v>
      </c>
      <c r="V179" s="140">
        <f ca="1"/>
        <v>9.0332578286783094E-2</v>
      </c>
      <c r="W179" s="139">
        <f ca="1"/>
        <v>0</v>
      </c>
      <c r="X179" s="165">
        <f ca="1"/>
        <v>0</v>
      </c>
      <c r="Y179" s="165">
        <f ca="1"/>
        <v>2.0923169009432474E-3</v>
      </c>
      <c r="Z179" s="165">
        <f ca="1"/>
        <v>0</v>
      </c>
      <c r="AA179" s="165">
        <f ca="1"/>
        <v>1.2068226996953868E-2</v>
      </c>
      <c r="AB179" s="165">
        <f ca="1"/>
        <v>0</v>
      </c>
      <c r="AC179" s="165">
        <f ca="1"/>
        <v>2.9559163747021722E-2</v>
      </c>
      <c r="AD179" s="165">
        <f ca="1"/>
        <v>5.4911157088247453E-2</v>
      </c>
      <c r="AE179" s="140">
        <f ca="1"/>
        <v>9.466072564358019E-2</v>
      </c>
      <c r="AI179" s="137"/>
      <c r="AK179" s="137"/>
      <c r="AM179" s="137"/>
      <c r="AN179" s="137"/>
      <c r="AO179" s="137"/>
      <c r="AR179" s="137"/>
      <c r="AT179" s="137"/>
      <c r="AV179" s="137"/>
      <c r="AW179" s="137"/>
      <c r="AX179" s="137"/>
    </row>
    <row r="180" spans="1:50" s="79" customFormat="1" ht="10.199999999999999" x14ac:dyDescent="0.2">
      <c r="A180" s="97">
        <f t="shared" si="4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8" t="s">
        <v>87</v>
      </c>
      <c r="G180" s="158">
        <v>3.6499999999999998E-4</v>
      </c>
      <c r="H180" s="158" t="s">
        <v>87</v>
      </c>
      <c r="I180" s="158">
        <v>2.3809999999999999E-3</v>
      </c>
      <c r="J180" s="158" t="s">
        <v>87</v>
      </c>
      <c r="K180" s="158">
        <v>3.0400000000000002E-3</v>
      </c>
      <c r="L180" s="158">
        <v>3.901E-3</v>
      </c>
      <c r="M180" s="158">
        <v>4.914E-3</v>
      </c>
      <c r="N180" s="139" cm="1">
        <f t="array" aca="1" ref="N180:AE180" ca="1">IF(OR(B180="",NOT($J$2)),"",GetStripDefaultProbability(A180,B180,Parameter_Date,CDSRollDate,E180:M180,SpreadCurveMaturities,D180,C180,$J$4,$J$6))</f>
        <v>0</v>
      </c>
      <c r="O180" s="165">
        <f ca="1"/>
        <v>0</v>
      </c>
      <c r="P180" s="165">
        <f ca="1"/>
        <v>6.6928971667234993E-4</v>
      </c>
      <c r="Q180" s="165">
        <f ca="1"/>
        <v>0</v>
      </c>
      <c r="R180" s="165">
        <f ca="1"/>
        <v>1.2563187992524094E-2</v>
      </c>
      <c r="S180" s="165">
        <f ca="1"/>
        <v>0</v>
      </c>
      <c r="T180" s="165">
        <f ca="1"/>
        <v>2.6414278400860636E-2</v>
      </c>
      <c r="U180" s="165">
        <f ca="1"/>
        <v>4.7715318939632767E-2</v>
      </c>
      <c r="V180" s="140">
        <f ca="1"/>
        <v>8.6251956419903353E-2</v>
      </c>
      <c r="W180" s="139">
        <f ca="1"/>
        <v>0</v>
      </c>
      <c r="X180" s="165">
        <f ca="1"/>
        <v>0</v>
      </c>
      <c r="Y180" s="165">
        <f ca="1"/>
        <v>8.3583095624395476E-4</v>
      </c>
      <c r="Z180" s="165">
        <f ca="1"/>
        <v>0</v>
      </c>
      <c r="AA180" s="165">
        <f ca="1"/>
        <v>1.317709245607146E-2</v>
      </c>
      <c r="AB180" s="165">
        <f ca="1"/>
        <v>0</v>
      </c>
      <c r="AC180" s="165">
        <f ca="1"/>
        <v>2.7708813883111527E-2</v>
      </c>
      <c r="AD180" s="165">
        <f ca="1"/>
        <v>5.0042337287996008E-2</v>
      </c>
      <c r="AE180" s="140">
        <f ca="1"/>
        <v>9.0386844378186781E-2</v>
      </c>
      <c r="AI180" s="137"/>
      <c r="AK180" s="137"/>
      <c r="AM180" s="137"/>
      <c r="AN180" s="137"/>
      <c r="AO180" s="137"/>
      <c r="AR180" s="137"/>
      <c r="AT180" s="137"/>
      <c r="AV180" s="137"/>
      <c r="AW180" s="137"/>
      <c r="AX180" s="137"/>
    </row>
    <row r="181" spans="1:50" s="79" customFormat="1" ht="10.199999999999999" x14ac:dyDescent="0.2">
      <c r="A181" s="97">
        <f t="shared" si="4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8" t="s">
        <v>87</v>
      </c>
      <c r="G181" s="158">
        <v>1.371E-3</v>
      </c>
      <c r="H181" s="158" t="s">
        <v>87</v>
      </c>
      <c r="I181" s="158">
        <v>1.9380000000000001E-3</v>
      </c>
      <c r="J181" s="158" t="s">
        <v>87</v>
      </c>
      <c r="K181" s="158">
        <v>3.3289999999999999E-3</v>
      </c>
      <c r="L181" s="158">
        <v>4.4219999999999997E-3</v>
      </c>
      <c r="M181" s="158">
        <v>5.3169999999999997E-3</v>
      </c>
      <c r="N181" s="139" cm="1">
        <f t="array" aca="1" ref="N181:AE181" ca="1">IF(OR(B181="",NOT($J$2)),"",GetStripDefaultProbability(A181,B181,Parameter_Date,CDSRollDate,E181:M181,SpreadCurveMaturities,D181,C181,$J$4,$J$6))</f>
        <v>0</v>
      </c>
      <c r="O181" s="165">
        <f ca="1"/>
        <v>0</v>
      </c>
      <c r="P181" s="165">
        <f ca="1"/>
        <v>2.5116624080722127E-3</v>
      </c>
      <c r="Q181" s="165">
        <f ca="1"/>
        <v>0</v>
      </c>
      <c r="R181" s="165">
        <f ca="1"/>
        <v>1.0085746513750604E-2</v>
      </c>
      <c r="S181" s="165">
        <f ca="1"/>
        <v>0</v>
      </c>
      <c r="T181" s="165">
        <f ca="1"/>
        <v>2.9151122215436254E-2</v>
      </c>
      <c r="U181" s="165">
        <f ca="1"/>
        <v>5.4406727562878121E-2</v>
      </c>
      <c r="V181" s="140">
        <f ca="1"/>
        <v>9.2845665193948768E-2</v>
      </c>
      <c r="W181" s="139">
        <f ca="1"/>
        <v>0</v>
      </c>
      <c r="X181" s="165">
        <f ca="1"/>
        <v>0</v>
      </c>
      <c r="Y181" s="165">
        <f ca="1"/>
        <v>2.6778966110900804E-3</v>
      </c>
      <c r="Z181" s="165">
        <f ca="1"/>
        <v>0</v>
      </c>
      <c r="AA181" s="165">
        <f ca="1"/>
        <v>1.0600445726719143E-2</v>
      </c>
      <c r="AB181" s="165">
        <f ca="1"/>
        <v>0</v>
      </c>
      <c r="AC181" s="165">
        <f ca="1"/>
        <v>3.0584378109362098E-2</v>
      </c>
      <c r="AD181" s="165">
        <f ca="1"/>
        <v>5.706181784629194E-2</v>
      </c>
      <c r="AE181" s="140">
        <f ca="1"/>
        <v>9.729088547040099E-2</v>
      </c>
      <c r="AI181" s="137"/>
      <c r="AK181" s="137"/>
      <c r="AM181" s="137"/>
      <c r="AN181" s="137"/>
      <c r="AO181" s="137"/>
      <c r="AR181" s="137"/>
      <c r="AT181" s="137"/>
      <c r="AV181" s="137"/>
      <c r="AW181" s="137"/>
      <c r="AX181" s="137"/>
    </row>
    <row r="182" spans="1:50" s="79" customFormat="1" ht="10.199999999999999" x14ac:dyDescent="0.2">
      <c r="A182" s="97">
        <f t="shared" si="4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8" t="s">
        <v>87</v>
      </c>
      <c r="G182" s="158">
        <v>4.4099999999999999E-4</v>
      </c>
      <c r="H182" s="158" t="s">
        <v>87</v>
      </c>
      <c r="I182" s="158">
        <v>1.4480000000000001E-3</v>
      </c>
      <c r="J182" s="158" t="s">
        <v>87</v>
      </c>
      <c r="K182" s="158">
        <v>2.0270000000000002E-3</v>
      </c>
      <c r="L182" s="158">
        <v>2.7499999999999998E-3</v>
      </c>
      <c r="M182" s="158">
        <v>3.6189999999999998E-3</v>
      </c>
      <c r="N182" s="139" cm="1">
        <f t="array" aca="1" ref="N182:AE182" ca="1">IF(OR(B182="",NOT($J$2)),"",GetStripDefaultProbability(A182,B182,Parameter_Date,CDSRollDate,E182:M182,SpreadCurveMaturities,D182,C182,$J$4,$J$6))</f>
        <v>0</v>
      </c>
      <c r="O182" s="165">
        <f ca="1"/>
        <v>0</v>
      </c>
      <c r="P182" s="165">
        <f ca="1"/>
        <v>8.0859273791922259E-4</v>
      </c>
      <c r="Q182" s="165">
        <f ca="1"/>
        <v>0</v>
      </c>
      <c r="R182" s="165">
        <f ca="1"/>
        <v>7.6233149448147186E-3</v>
      </c>
      <c r="S182" s="165">
        <f ca="1"/>
        <v>0</v>
      </c>
      <c r="T182" s="165">
        <f ca="1"/>
        <v>1.7723606290339422E-2</v>
      </c>
      <c r="U182" s="165">
        <f ca="1"/>
        <v>3.4040181455639917E-2</v>
      </c>
      <c r="V182" s="140">
        <f ca="1"/>
        <v>6.4684890432043951E-2</v>
      </c>
      <c r="W182" s="139">
        <f ca="1"/>
        <v>0</v>
      </c>
      <c r="X182" s="165">
        <f ca="1"/>
        <v>0</v>
      </c>
      <c r="Y182" s="165">
        <f ca="1"/>
        <v>9.7511076223477655E-4</v>
      </c>
      <c r="Z182" s="165">
        <f ca="1"/>
        <v>0</v>
      </c>
      <c r="AA182" s="165">
        <f ca="1"/>
        <v>8.1395893517219875E-3</v>
      </c>
      <c r="AB182" s="165">
        <f ca="1"/>
        <v>0</v>
      </c>
      <c r="AC182" s="165">
        <f ca="1"/>
        <v>1.857762667873919E-2</v>
      </c>
      <c r="AD182" s="165">
        <f ca="1"/>
        <v>3.5693033421832276E-2</v>
      </c>
      <c r="AE182" s="140">
        <f ca="1"/>
        <v>6.7802770769812448E-2</v>
      </c>
      <c r="AI182" s="137"/>
      <c r="AK182" s="137"/>
      <c r="AM182" s="137"/>
      <c r="AN182" s="137"/>
      <c r="AO182" s="137"/>
      <c r="AR182" s="137"/>
      <c r="AT182" s="137"/>
      <c r="AV182" s="137"/>
      <c r="AW182" s="137"/>
      <c r="AX182" s="137"/>
    </row>
    <row r="183" spans="1:50" s="79" customFormat="1" ht="10.199999999999999" x14ac:dyDescent="0.2">
      <c r="A183" s="97">
        <f t="shared" si="4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8" t="s">
        <v>87</v>
      </c>
      <c r="G183" s="158">
        <v>7.6599999999999997E-4</v>
      </c>
      <c r="H183" s="158" t="s">
        <v>87</v>
      </c>
      <c r="I183" s="158">
        <v>2.5040000000000001E-3</v>
      </c>
      <c r="J183" s="158" t="s">
        <v>87</v>
      </c>
      <c r="K183" s="158">
        <v>3.2330000000000002E-3</v>
      </c>
      <c r="L183" s="158">
        <v>4.2339999999999999E-3</v>
      </c>
      <c r="M183" s="158">
        <v>5.1450000000000003E-3</v>
      </c>
      <c r="N183" s="139" cm="1">
        <f t="array" aca="1" ref="N183:AE183" ca="1">IF(OR(B183="",NOT($J$2)),"",GetStripDefaultProbability(A183,B183,Parameter_Date,CDSRollDate,E183:M183,SpreadCurveMaturities,D183,C183,$J$4,$J$6))</f>
        <v>0</v>
      </c>
      <c r="O183" s="165">
        <f ca="1"/>
        <v>0</v>
      </c>
      <c r="P183" s="165">
        <f ca="1"/>
        <v>1.4040791044571677E-3</v>
      </c>
      <c r="Q183" s="165">
        <f ca="1"/>
        <v>0</v>
      </c>
      <c r="R183" s="165">
        <f ca="1"/>
        <v>1.3155559143414708E-2</v>
      </c>
      <c r="S183" s="165">
        <f ca="1"/>
        <v>0</v>
      </c>
      <c r="T183" s="165">
        <f ca="1"/>
        <v>2.8035849166366145E-2</v>
      </c>
      <c r="U183" s="165">
        <f ca="1"/>
        <v>5.1779083538728066E-2</v>
      </c>
      <c r="V183" s="140">
        <f ca="1"/>
        <v>8.9732555019037208E-2</v>
      </c>
      <c r="W183" s="139">
        <f ca="1"/>
        <v>0</v>
      </c>
      <c r="X183" s="165">
        <f ca="1"/>
        <v>0</v>
      </c>
      <c r="Y183" s="165">
        <f ca="1"/>
        <v>1.5704978893326116E-3</v>
      </c>
      <c r="Z183" s="165">
        <f ca="1"/>
        <v>0</v>
      </c>
      <c r="AA183" s="165">
        <f ca="1"/>
        <v>1.3801363453981308E-2</v>
      </c>
      <c r="AB183" s="165">
        <f ca="1"/>
        <v>0</v>
      </c>
      <c r="AC183" s="165">
        <f ca="1"/>
        <v>2.9411949322660891E-2</v>
      </c>
      <c r="AD183" s="165">
        <f ca="1"/>
        <v>5.4303550737116235E-2</v>
      </c>
      <c r="AE183" s="140">
        <f ca="1"/>
        <v>9.4029472879492926E-2</v>
      </c>
      <c r="AI183" s="137"/>
      <c r="AK183" s="137"/>
      <c r="AM183" s="137"/>
      <c r="AN183" s="137"/>
      <c r="AO183" s="137"/>
      <c r="AR183" s="137"/>
      <c r="AT183" s="137"/>
      <c r="AV183" s="137"/>
      <c r="AW183" s="137"/>
      <c r="AX183" s="137"/>
    </row>
    <row r="184" spans="1:50" s="79" customFormat="1" ht="10.199999999999999" x14ac:dyDescent="0.2">
      <c r="A184" s="97">
        <f t="shared" si="4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8" t="s">
        <v>87</v>
      </c>
      <c r="G184" s="158">
        <v>1.694E-3</v>
      </c>
      <c r="H184" s="158" t="s">
        <v>87</v>
      </c>
      <c r="I184" s="158">
        <v>4.3359999999999996E-3</v>
      </c>
      <c r="J184" s="158" t="s">
        <v>87</v>
      </c>
      <c r="K184" s="158">
        <v>7.3819999999999997E-3</v>
      </c>
      <c r="L184" s="158">
        <v>9.6019999999999994E-3</v>
      </c>
      <c r="M184" s="158">
        <v>1.2803E-2</v>
      </c>
      <c r="N184" s="139" cm="1">
        <f t="array" aca="1" ref="N184:AE184" ca="1">IF(OR(B184="",NOT($J$2)),"",GetStripDefaultProbability(A184,B184,Parameter_Date,CDSRollDate,E184:M184,SpreadCurveMaturities,D184,C184,$J$4,$J$6))</f>
        <v>0</v>
      </c>
      <c r="O184" s="165">
        <f ca="1"/>
        <v>0</v>
      </c>
      <c r="P184" s="165">
        <f ca="1"/>
        <v>3.1024848862137855E-3</v>
      </c>
      <c r="Q184" s="165">
        <f ca="1"/>
        <v>0</v>
      </c>
      <c r="R184" s="165">
        <f ca="1"/>
        <v>2.2645591175109003E-2</v>
      </c>
      <c r="S184" s="165">
        <f ca="1"/>
        <v>0</v>
      </c>
      <c r="T184" s="165">
        <f ca="1"/>
        <v>6.403729399638991E-2</v>
      </c>
      <c r="U184" s="165">
        <f ca="1"/>
        <v>0.11549020285886702</v>
      </c>
      <c r="V184" s="140">
        <f ca="1"/>
        <v>0.21682090136293686</v>
      </c>
      <c r="W184" s="139">
        <f ca="1"/>
        <v>0</v>
      </c>
      <c r="X184" s="165">
        <f ca="1"/>
        <v>0</v>
      </c>
      <c r="Y184" s="165">
        <f ca="1"/>
        <v>3.2686206270176044E-3</v>
      </c>
      <c r="Z184" s="165">
        <f ca="1"/>
        <v>0</v>
      </c>
      <c r="AA184" s="165">
        <f ca="1"/>
        <v>2.3762953293037681E-2</v>
      </c>
      <c r="AB184" s="165">
        <f ca="1"/>
        <v>0</v>
      </c>
      <c r="AC184" s="165">
        <f ca="1"/>
        <v>6.7144864363750001E-2</v>
      </c>
      <c r="AD184" s="165">
        <f ca="1"/>
        <v>0.12101972322622678</v>
      </c>
      <c r="AE184" s="140">
        <f ca="1"/>
        <v>0.22678520669573876</v>
      </c>
      <c r="AI184" s="137"/>
      <c r="AK184" s="137"/>
      <c r="AM184" s="137"/>
      <c r="AN184" s="137"/>
      <c r="AO184" s="137"/>
      <c r="AR184" s="137"/>
      <c r="AT184" s="137"/>
      <c r="AV184" s="137"/>
      <c r="AW184" s="137"/>
      <c r="AX184" s="137"/>
    </row>
    <row r="185" spans="1:50" s="79" customFormat="1" ht="10.199999999999999" x14ac:dyDescent="0.2">
      <c r="A185" s="97">
        <f t="shared" si="4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8">
        <v>5.5999999999999995E-4</v>
      </c>
      <c r="G185" s="158">
        <v>6.9999999999999999E-4</v>
      </c>
      <c r="H185" s="158">
        <v>1.1199999999999999E-3</v>
      </c>
      <c r="I185" s="158">
        <v>1.5399999999999999E-3</v>
      </c>
      <c r="J185" s="158" t="s">
        <v>87</v>
      </c>
      <c r="K185" s="158">
        <v>2.3700000000000001E-3</v>
      </c>
      <c r="L185" s="158">
        <v>2.65E-3</v>
      </c>
      <c r="M185" s="158">
        <v>3.0699999999999998E-3</v>
      </c>
      <c r="N185" s="139" cm="1">
        <f t="array" aca="1" ref="N185:AE185" ca="1">IF(OR(B185="",NOT($J$2)),"",GetStripDefaultProbability(A185,B185,Parameter_Date,CDSRollDate,E185:M185,SpreadCurveMaturities,D185,C185,$J$4,$J$6))</f>
        <v>0</v>
      </c>
      <c r="O185" s="165">
        <f ca="1"/>
        <v>5.5855258906134519E-4</v>
      </c>
      <c r="P185" s="165">
        <f ca="1"/>
        <v>1.2867399331942808E-3</v>
      </c>
      <c r="Q185" s="165">
        <f ca="1"/>
        <v>3.9671141963303347E-3</v>
      </c>
      <c r="R185" s="165">
        <f ca="1"/>
        <v>8.1132037813906877E-3</v>
      </c>
      <c r="S185" s="165">
        <f ca="1"/>
        <v>0</v>
      </c>
      <c r="T185" s="165">
        <f ca="1"/>
        <v>2.0801012917200934E-2</v>
      </c>
      <c r="U185" s="165">
        <f ca="1"/>
        <v>3.2291347982838503E-2</v>
      </c>
      <c r="V185" s="140">
        <f ca="1"/>
        <v>5.3526009245340789E-2</v>
      </c>
      <c r="W185" s="139">
        <f ca="1"/>
        <v>0</v>
      </c>
      <c r="X185" s="165">
        <f ca="1"/>
        <v>6.5826057784346137E-4</v>
      </c>
      <c r="Y185" s="165">
        <f ca="1"/>
        <v>1.453178272952993E-3</v>
      </c>
      <c r="Z185" s="165">
        <f ca="1"/>
        <v>4.3175856305324167E-3</v>
      </c>
      <c r="AA185" s="165">
        <f ca="1"/>
        <v>8.6289148290489281E-3</v>
      </c>
      <c r="AB185" s="165">
        <f ca="1"/>
        <v>0</v>
      </c>
      <c r="AC185" s="165">
        <f ca="1"/>
        <v>2.1807900230943478E-2</v>
      </c>
      <c r="AD185" s="165">
        <f ca="1"/>
        <v>3.3859758628768666E-2</v>
      </c>
      <c r="AE185" s="140">
        <f ca="1"/>
        <v>5.6112112122029711E-2</v>
      </c>
      <c r="AH185" s="137"/>
      <c r="AI185" s="137"/>
      <c r="AJ185" s="137"/>
      <c r="AK185" s="137"/>
      <c r="AM185" s="137"/>
      <c r="AN185" s="137"/>
      <c r="AO185" s="137"/>
      <c r="AQ185" s="137"/>
      <c r="AR185" s="137"/>
      <c r="AS185" s="137"/>
      <c r="AT185" s="137"/>
      <c r="AV185" s="137"/>
      <c r="AW185" s="137"/>
      <c r="AX185" s="137"/>
    </row>
    <row r="186" spans="1:50" s="79" customFormat="1" ht="10.199999999999999" x14ac:dyDescent="0.2">
      <c r="A186" s="97">
        <f t="shared" si="4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8" t="s">
        <v>87</v>
      </c>
      <c r="G186" s="158">
        <v>3.5379999999999999E-3</v>
      </c>
      <c r="H186" s="158" t="s">
        <v>87</v>
      </c>
      <c r="I186" s="158">
        <v>6.4209999999999996E-3</v>
      </c>
      <c r="J186" s="158" t="s">
        <v>87</v>
      </c>
      <c r="K186" s="158">
        <v>1.0614999999999999E-2</v>
      </c>
      <c r="L186" s="158">
        <v>1.2324E-2</v>
      </c>
      <c r="M186" s="158">
        <v>1.4395E-2</v>
      </c>
      <c r="N186" s="139" cm="1">
        <f t="array" aca="1" ref="N186:AE186" ca="1">IF(OR(B186="",NOT($J$2)),"",GetStripDefaultProbability(A186,B186,Parameter_Date,CDSRollDate,E186:M186,SpreadCurveMaturities,D186,C186,$J$4,$J$6))</f>
        <v>0</v>
      </c>
      <c r="O186" s="165">
        <f ca="1"/>
        <v>0</v>
      </c>
      <c r="P186" s="165">
        <f ca="1"/>
        <v>6.4688439918875185E-3</v>
      </c>
      <c r="Q186" s="165">
        <f ca="1"/>
        <v>0</v>
      </c>
      <c r="R186" s="165">
        <f ca="1"/>
        <v>3.3232690724415037E-2</v>
      </c>
      <c r="S186" s="165">
        <f ca="1"/>
        <v>0</v>
      </c>
      <c r="T186" s="165">
        <f ca="1"/>
        <v>9.0846934231141208E-2</v>
      </c>
      <c r="U186" s="165">
        <f ca="1"/>
        <v>0.14420843570554431</v>
      </c>
      <c r="V186" s="140">
        <f ca="1"/>
        <v>0.23334279993125828</v>
      </c>
      <c r="W186" s="139">
        <f ca="1"/>
        <v>0</v>
      </c>
      <c r="X186" s="165">
        <f ca="1"/>
        <v>0</v>
      </c>
      <c r="Y186" s="165">
        <f ca="1"/>
        <v>6.7909853330345715E-3</v>
      </c>
      <c r="Z186" s="165">
        <f ca="1"/>
        <v>0</v>
      </c>
      <c r="AA186" s="165">
        <f ca="1"/>
        <v>3.4862914979784887E-2</v>
      </c>
      <c r="AB186" s="165">
        <f ca="1"/>
        <v>0</v>
      </c>
      <c r="AC186" s="165">
        <f ca="1"/>
        <v>9.5233953882969735E-2</v>
      </c>
      <c r="AD186" s="165">
        <f ca="1"/>
        <v>0.15099167821134429</v>
      </c>
      <c r="AE186" s="140">
        <f ca="1"/>
        <v>0.24383219634611875</v>
      </c>
      <c r="AI186" s="137"/>
      <c r="AK186" s="137"/>
      <c r="AM186" s="137"/>
      <c r="AN186" s="137"/>
      <c r="AO186" s="137"/>
      <c r="AR186" s="137"/>
      <c r="AT186" s="137"/>
      <c r="AV186" s="137"/>
      <c r="AW186" s="137"/>
      <c r="AX186" s="137"/>
    </row>
    <row r="187" spans="1:50" s="79" customFormat="1" ht="10.199999999999999" x14ac:dyDescent="0.2">
      <c r="A187" s="97">
        <f t="shared" si="4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8" t="s">
        <v>87</v>
      </c>
      <c r="G187" s="158">
        <v>1.0579999999999999E-3</v>
      </c>
      <c r="H187" s="158" t="s">
        <v>87</v>
      </c>
      <c r="I187" s="158">
        <v>1.954E-3</v>
      </c>
      <c r="J187" s="158" t="s">
        <v>87</v>
      </c>
      <c r="K187" s="158">
        <v>2.6059999999999998E-3</v>
      </c>
      <c r="L187" s="158">
        <v>2.7680000000000001E-3</v>
      </c>
      <c r="M187" s="158">
        <v>3.1749999999999999E-3</v>
      </c>
      <c r="N187" s="139" cm="1">
        <f t="array" aca="1" ref="N187:AE187" ca="1">IF(OR(B187="",NOT($J$2)),"",GetStripDefaultProbability(A187,B187,Parameter_Date,CDSRollDate,E187:M187,SpreadCurveMaturities,D187,C187,$J$4,$J$6))</f>
        <v>0</v>
      </c>
      <c r="O187" s="165">
        <f ca="1"/>
        <v>0</v>
      </c>
      <c r="P187" s="165">
        <f ca="1"/>
        <v>1.9388004320008978E-3</v>
      </c>
      <c r="Q187" s="165">
        <f ca="1"/>
        <v>0</v>
      </c>
      <c r="R187" s="165">
        <f ca="1"/>
        <v>1.021335795161149E-2</v>
      </c>
      <c r="S187" s="165">
        <f ca="1"/>
        <v>0</v>
      </c>
      <c r="T187" s="165">
        <f ca="1"/>
        <v>2.2621832715421619E-2</v>
      </c>
      <c r="U187" s="165">
        <f ca="1"/>
        <v>3.3286702938009394E-2</v>
      </c>
      <c r="V187" s="140">
        <f ca="1"/>
        <v>5.4801565619135184E-2</v>
      </c>
      <c r="W187" s="139">
        <f ca="1"/>
        <v>0</v>
      </c>
      <c r="X187" s="165">
        <f ca="1"/>
        <v>0</v>
      </c>
      <c r="Y187" s="165">
        <f ca="1"/>
        <v>2.1051301040645454E-3</v>
      </c>
      <c r="Z187" s="165">
        <f ca="1"/>
        <v>0</v>
      </c>
      <c r="AA187" s="165">
        <f ca="1"/>
        <v>1.0728068855685335E-2</v>
      </c>
      <c r="AB187" s="165">
        <f ca="1"/>
        <v>0</v>
      </c>
      <c r="AC187" s="165">
        <f ca="1"/>
        <v>2.3734246939596026E-2</v>
      </c>
      <c r="AD187" s="165">
        <f ca="1"/>
        <v>3.4918666877831073E-2</v>
      </c>
      <c r="AE187" s="140">
        <f ca="1"/>
        <v>5.7462417235452867E-2</v>
      </c>
      <c r="AI187" s="137"/>
      <c r="AK187" s="137"/>
      <c r="AM187" s="137"/>
      <c r="AN187" s="137"/>
      <c r="AO187" s="137"/>
      <c r="AR187" s="137"/>
      <c r="AT187" s="137"/>
      <c r="AV187" s="137"/>
      <c r="AW187" s="137"/>
      <c r="AX187" s="137"/>
    </row>
    <row r="188" spans="1:50" s="79" customFormat="1" ht="10.199999999999999" x14ac:dyDescent="0.2">
      <c r="A188" s="97">
        <f t="shared" si="4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8" t="s">
        <v>87</v>
      </c>
      <c r="G188" s="158">
        <v>1.206E-3</v>
      </c>
      <c r="H188" s="158" t="s">
        <v>87</v>
      </c>
      <c r="I188" s="158">
        <v>3.0339999999999998E-3</v>
      </c>
      <c r="J188" s="158" t="s">
        <v>87</v>
      </c>
      <c r="K188" s="158">
        <v>4.8250000000000003E-3</v>
      </c>
      <c r="L188" s="158">
        <v>5.8199999999999997E-3</v>
      </c>
      <c r="M188" s="158">
        <v>6.8149999999999999E-3</v>
      </c>
      <c r="N188" s="139" cm="1">
        <f t="array" aca="1" ref="N188:AE188" ca="1">IF(OR(B188="",NOT($J$2)),"",GetStripDefaultProbability(A188,B188,Parameter_Date,CDSRollDate,E188:M188,SpreadCurveMaturities,D188,C188,$J$4,$J$6))</f>
        <v>0</v>
      </c>
      <c r="O188" s="165">
        <f ca="1"/>
        <v>0</v>
      </c>
      <c r="P188" s="165">
        <f ca="1"/>
        <v>2.2097151142000948E-3</v>
      </c>
      <c r="Q188" s="165">
        <f ca="1"/>
        <v>0</v>
      </c>
      <c r="R188" s="165">
        <f ca="1"/>
        <v>1.5884084774048457E-2</v>
      </c>
      <c r="S188" s="165">
        <f ca="1"/>
        <v>0</v>
      </c>
      <c r="T188" s="165">
        <f ca="1"/>
        <v>4.2037482334088994E-2</v>
      </c>
      <c r="U188" s="165">
        <f ca="1"/>
        <v>7.0468047375752407E-2</v>
      </c>
      <c r="V188" s="140">
        <f ca="1"/>
        <v>0.11659798572625002</v>
      </c>
      <c r="W188" s="139">
        <f ca="1"/>
        <v>0</v>
      </c>
      <c r="X188" s="165">
        <f ca="1"/>
        <v>0</v>
      </c>
      <c r="Y188" s="165">
        <f ca="1"/>
        <v>2.3759996375752879E-3</v>
      </c>
      <c r="Z188" s="165">
        <f ca="1"/>
        <v>0</v>
      </c>
      <c r="AA188" s="165">
        <f ca="1"/>
        <v>1.6667108353740967E-2</v>
      </c>
      <c r="AB188" s="165">
        <f ca="1"/>
        <v>0</v>
      </c>
      <c r="AC188" s="165">
        <f ca="1"/>
        <v>4.4094878028164919E-2</v>
      </c>
      <c r="AD188" s="165">
        <f ca="1"/>
        <v>7.388155061151358E-2</v>
      </c>
      <c r="AE188" s="140">
        <f ca="1"/>
        <v>0.12214616808194867</v>
      </c>
      <c r="AI188" s="137"/>
      <c r="AK188" s="137"/>
      <c r="AM188" s="137"/>
      <c r="AN188" s="137"/>
      <c r="AO188" s="137"/>
      <c r="AR188" s="137"/>
      <c r="AT188" s="137"/>
      <c r="AV188" s="137"/>
      <c r="AW188" s="137"/>
      <c r="AX188" s="137"/>
    </row>
    <row r="189" spans="1:50" s="79" customFormat="1" ht="10.199999999999999" x14ac:dyDescent="0.2">
      <c r="A189" s="97">
        <f t="shared" si="4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8" t="s">
        <v>87</v>
      </c>
      <c r="G189" s="158">
        <v>2.6489999999999999E-3</v>
      </c>
      <c r="H189" s="158" t="s">
        <v>87</v>
      </c>
      <c r="I189" s="158">
        <v>4.8570000000000002E-3</v>
      </c>
      <c r="J189" s="158" t="s">
        <v>87</v>
      </c>
      <c r="K189" s="158">
        <v>7.2859999999999999E-3</v>
      </c>
      <c r="L189" s="158">
        <v>8.4169999999999991E-3</v>
      </c>
      <c r="M189" s="158">
        <v>9.5029999999999993E-3</v>
      </c>
      <c r="N189" s="139" cm="1">
        <f t="array" aca="1" ref="N189:AE189" ca="1">IF(OR(B189="",NOT($J$2)),"",GetStripDefaultProbability(A189,B189,Parameter_Date,CDSRollDate,E189:M189,SpreadCurveMaturities,D189,C189,$J$4,$J$6))</f>
        <v>0</v>
      </c>
      <c r="O189" s="165">
        <f ca="1"/>
        <v>0</v>
      </c>
      <c r="P189" s="165">
        <f ca="1"/>
        <v>4.8473161614444038E-3</v>
      </c>
      <c r="Q189" s="165">
        <f ca="1"/>
        <v>0</v>
      </c>
      <c r="R189" s="165">
        <f ca="1"/>
        <v>2.5226644860626535E-2</v>
      </c>
      <c r="S189" s="165">
        <f ca="1"/>
        <v>0</v>
      </c>
      <c r="T189" s="165">
        <f ca="1"/>
        <v>6.2691281560985357E-2</v>
      </c>
      <c r="U189" s="165">
        <f ca="1"/>
        <v>9.9906610855643785E-2</v>
      </c>
      <c r="V189" s="140">
        <f ca="1"/>
        <v>0.15777244003285074</v>
      </c>
      <c r="W189" s="139">
        <f ca="1"/>
        <v>0</v>
      </c>
      <c r="X189" s="165">
        <f ca="1"/>
        <v>0</v>
      </c>
      <c r="Y189" s="165">
        <f ca="1"/>
        <v>5.0889557228830373E-3</v>
      </c>
      <c r="Z189" s="165">
        <f ca="1"/>
        <v>0</v>
      </c>
      <c r="AA189" s="165">
        <f ca="1"/>
        <v>2.6470125165542702E-2</v>
      </c>
      <c r="AB189" s="165">
        <f ca="1"/>
        <v>0</v>
      </c>
      <c r="AC189" s="165">
        <f ca="1"/>
        <v>6.5733175699129287E-2</v>
      </c>
      <c r="AD189" s="165">
        <f ca="1"/>
        <v>0.10467970619536504</v>
      </c>
      <c r="AE189" s="140">
        <f ca="1"/>
        <v>0.16512028709230453</v>
      </c>
      <c r="AI189" s="137"/>
      <c r="AK189" s="137"/>
      <c r="AM189" s="137"/>
      <c r="AN189" s="137"/>
      <c r="AO189" s="137"/>
      <c r="AR189" s="137"/>
      <c r="AT189" s="137"/>
      <c r="AV189" s="137"/>
      <c r="AW189" s="137"/>
      <c r="AX189" s="137"/>
    </row>
    <row r="190" spans="1:50" s="79" customFormat="1" ht="10.199999999999999" x14ac:dyDescent="0.2">
      <c r="A190" s="97">
        <f t="shared" si="4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8" t="s">
        <v>87</v>
      </c>
      <c r="G190" s="158">
        <v>1.451E-3</v>
      </c>
      <c r="H190" s="158" t="s">
        <v>87</v>
      </c>
      <c r="I190" s="158">
        <v>4.3909999999999999E-3</v>
      </c>
      <c r="J190" s="158" t="s">
        <v>87</v>
      </c>
      <c r="K190" s="158">
        <v>6.803E-3</v>
      </c>
      <c r="L190" s="158">
        <v>8.1539999999999998E-3</v>
      </c>
      <c r="M190" s="158">
        <v>9.9399999999999992E-3</v>
      </c>
      <c r="N190" s="139" cm="1">
        <f t="array" aca="1" ref="N190:AE190" ca="1">IF(OR(B190="",NOT($J$2)),"",GetStripDefaultProbability(A190,B190,Parameter_Date,CDSRollDate,E190:M190,SpreadCurveMaturities,D190,C190,$J$4,$J$6))</f>
        <v>0</v>
      </c>
      <c r="O190" s="165">
        <f ca="1"/>
        <v>0</v>
      </c>
      <c r="P190" s="165">
        <f ca="1"/>
        <v>2.6580284820836297E-3</v>
      </c>
      <c r="Q190" s="165">
        <f ca="1"/>
        <v>0</v>
      </c>
      <c r="R190" s="165">
        <f ca="1"/>
        <v>2.2969750471633188E-2</v>
      </c>
      <c r="S190" s="165">
        <f ca="1"/>
        <v>0</v>
      </c>
      <c r="T190" s="165">
        <f ca="1"/>
        <v>5.8878987594488841E-2</v>
      </c>
      <c r="U190" s="165">
        <f ca="1"/>
        <v>9.7593978732821829E-2</v>
      </c>
      <c r="V190" s="140">
        <f ca="1"/>
        <v>0.16766815691827242</v>
      </c>
      <c r="W190" s="139">
        <f ca="1"/>
        <v>0</v>
      </c>
      <c r="X190" s="165">
        <f ca="1"/>
        <v>0</v>
      </c>
      <c r="Y190" s="165">
        <f ca="1"/>
        <v>2.8242382928211907E-3</v>
      </c>
      <c r="Z190" s="165">
        <f ca="1"/>
        <v>0</v>
      </c>
      <c r="AA190" s="165">
        <f ca="1"/>
        <v>2.4101215390974318E-2</v>
      </c>
      <c r="AB190" s="165">
        <f ca="1"/>
        <v>0</v>
      </c>
      <c r="AC190" s="165">
        <f ca="1"/>
        <v>6.1740866284736184E-2</v>
      </c>
      <c r="AD190" s="165">
        <f ca="1"/>
        <v>0.10226552911738551</v>
      </c>
      <c r="AE190" s="140">
        <f ca="1"/>
        <v>0.17548377078713973</v>
      </c>
      <c r="AI190" s="137"/>
      <c r="AK190" s="137"/>
      <c r="AM190" s="137"/>
      <c r="AN190" s="137"/>
      <c r="AO190" s="137"/>
      <c r="AR190" s="137"/>
      <c r="AT190" s="137"/>
      <c r="AV190" s="137"/>
      <c r="AW190" s="137"/>
      <c r="AX190" s="137"/>
    </row>
    <row r="191" spans="1:50" s="79" customFormat="1" ht="10.199999999999999" x14ac:dyDescent="0.2">
      <c r="A191" s="97">
        <f t="shared" si="4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8" t="s">
        <v>87</v>
      </c>
      <c r="G191" s="158">
        <v>1.689E-3</v>
      </c>
      <c r="H191" s="158" t="s">
        <v>87</v>
      </c>
      <c r="I191" s="158">
        <v>2.6540000000000001E-3</v>
      </c>
      <c r="J191" s="158" t="s">
        <v>87</v>
      </c>
      <c r="K191" s="158">
        <v>3.2810000000000001E-3</v>
      </c>
      <c r="L191" s="158">
        <v>3.3289999999999999E-3</v>
      </c>
      <c r="M191" s="158">
        <v>3.4740000000000001E-3</v>
      </c>
      <c r="N191" s="139" cm="1">
        <f t="array" aca="1" ref="N191:AE191" ca="1">IF(OR(B191="",NOT($J$2)),"",GetStripDefaultProbability(A191,B191,Parameter_Date,CDSRollDate,E191:M191,SpreadCurveMaturities,D191,C191,$J$4,$J$6))</f>
        <v>0</v>
      </c>
      <c r="O191" s="165">
        <f ca="1"/>
        <v>0</v>
      </c>
      <c r="P191" s="165">
        <f ca="1"/>
        <v>3.093341671385974E-3</v>
      </c>
      <c r="Q191" s="165">
        <f ca="1"/>
        <v>0</v>
      </c>
      <c r="R191" s="165">
        <f ca="1"/>
        <v>1.3815808012894837E-2</v>
      </c>
      <c r="S191" s="165">
        <f ca="1"/>
        <v>0</v>
      </c>
      <c r="T191" s="165">
        <f ca="1"/>
        <v>2.8251636189030704E-2</v>
      </c>
      <c r="U191" s="165">
        <f ca="1"/>
        <v>3.9525078109611589E-2</v>
      </c>
      <c r="V191" s="140">
        <f ca="1"/>
        <v>5.838428879240487E-2</v>
      </c>
      <c r="W191" s="139">
        <f ca="1"/>
        <v>0</v>
      </c>
      <c r="X191" s="165">
        <f ca="1"/>
        <v>0</v>
      </c>
      <c r="Y191" s="165">
        <f ca="1"/>
        <v>3.259478935954796E-3</v>
      </c>
      <c r="Z191" s="165">
        <f ca="1"/>
        <v>0</v>
      </c>
      <c r="AA191" s="165">
        <f ca="1"/>
        <v>1.4500353868053928E-2</v>
      </c>
      <c r="AB191" s="165">
        <f ca="1"/>
        <v>0</v>
      </c>
      <c r="AC191" s="165">
        <f ca="1"/>
        <v>2.964381956489448E-2</v>
      </c>
      <c r="AD191" s="165">
        <f ca="1"/>
        <v>4.1462068752346259E-2</v>
      </c>
      <c r="AE191" s="140">
        <f ca="1"/>
        <v>6.1214084341546959E-2</v>
      </c>
      <c r="AI191" s="137"/>
      <c r="AK191" s="137"/>
      <c r="AM191" s="137"/>
      <c r="AN191" s="137"/>
      <c r="AO191" s="137"/>
      <c r="AR191" s="137"/>
      <c r="AT191" s="137"/>
      <c r="AV191" s="137"/>
      <c r="AW191" s="137"/>
      <c r="AX191" s="137"/>
    </row>
    <row r="192" spans="1:50" s="79" customFormat="1" ht="10.199999999999999" x14ac:dyDescent="0.2">
      <c r="A192" s="97">
        <f t="shared" si="4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8" t="s">
        <v>87</v>
      </c>
      <c r="G192" s="158">
        <v>5.1599999999999997E-4</v>
      </c>
      <c r="H192" s="158" t="s">
        <v>87</v>
      </c>
      <c r="I192" s="158">
        <v>1.9E-3</v>
      </c>
      <c r="J192" s="158" t="s">
        <v>87</v>
      </c>
      <c r="K192" s="158">
        <v>2.7499999999999998E-3</v>
      </c>
      <c r="L192" s="158">
        <v>3.5500000000000002E-3</v>
      </c>
      <c r="M192" s="158">
        <v>4.5999999999999999E-3</v>
      </c>
      <c r="N192" s="139" cm="1">
        <f t="array" aca="1" ref="N192:AE192" ca="1">IF(OR(B192="",NOT($J$2)),"",GetStripDefaultProbability(A192,B192,Parameter_Date,CDSRollDate,E192:M192,SpreadCurveMaturities,D192,C192,$J$4,$J$6))</f>
        <v>0</v>
      </c>
      <c r="O192" s="165">
        <f ca="1"/>
        <v>0</v>
      </c>
      <c r="P192" s="165">
        <f ca="1"/>
        <v>9.4604393366792827E-4</v>
      </c>
      <c r="Q192" s="165">
        <f ca="1"/>
        <v>0</v>
      </c>
      <c r="R192" s="165">
        <f ca="1"/>
        <v>1.0002880901996747E-2</v>
      </c>
      <c r="S192" s="165">
        <f ca="1"/>
        <v>0</v>
      </c>
      <c r="T192" s="165">
        <f ca="1"/>
        <v>2.4037891181276749E-2</v>
      </c>
      <c r="U192" s="165">
        <f ca="1"/>
        <v>4.3637552328599893E-2</v>
      </c>
      <c r="V192" s="140">
        <f ca="1"/>
        <v>8.1393451689800722E-2</v>
      </c>
      <c r="W192" s="139">
        <f ca="1"/>
        <v>0</v>
      </c>
      <c r="X192" s="165">
        <f ca="1"/>
        <v>0</v>
      </c>
      <c r="Y192" s="165">
        <f ca="1"/>
        <v>1.1125390513704314E-3</v>
      </c>
      <c r="Z192" s="165">
        <f ca="1"/>
        <v>0</v>
      </c>
      <c r="AA192" s="165">
        <f ca="1"/>
        <v>1.0517838693162584E-2</v>
      </c>
      <c r="AB192" s="165">
        <f ca="1"/>
        <v>0</v>
      </c>
      <c r="AC192" s="165">
        <f ca="1"/>
        <v>2.5214802214785892E-2</v>
      </c>
      <c r="AD192" s="165">
        <f ca="1"/>
        <v>4.5767777336758408E-2</v>
      </c>
      <c r="AE192" s="140">
        <f ca="1"/>
        <v>8.5304394871365874E-2</v>
      </c>
      <c r="AI192" s="137"/>
      <c r="AK192" s="137"/>
      <c r="AM192" s="137"/>
      <c r="AN192" s="137"/>
      <c r="AO192" s="137"/>
      <c r="AR192" s="137"/>
      <c r="AT192" s="137"/>
      <c r="AV192" s="137"/>
      <c r="AW192" s="137"/>
      <c r="AX192" s="137"/>
    </row>
    <row r="193" spans="1:50" s="79" customFormat="1" ht="10.199999999999999" x14ac:dyDescent="0.2">
      <c r="A193" s="97">
        <f t="shared" si="4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8" t="s">
        <v>87</v>
      </c>
      <c r="G193" s="158">
        <v>4.7899999999999999E-4</v>
      </c>
      <c r="H193" s="158" t="s">
        <v>87</v>
      </c>
      <c r="I193" s="158">
        <v>1.351E-3</v>
      </c>
      <c r="J193" s="158" t="s">
        <v>87</v>
      </c>
      <c r="K193" s="158">
        <v>2.075E-3</v>
      </c>
      <c r="L193" s="158">
        <v>2.895E-3</v>
      </c>
      <c r="M193" s="158">
        <v>3.9569999999999996E-3</v>
      </c>
      <c r="N193" s="139" cm="1">
        <f t="array" aca="1" ref="N193:AE193" ca="1">IF(OR(B193="",NOT($J$2)),"",GetStripDefaultProbability(A193,B193,Parameter_Date,CDSRollDate,E193:M193,SpreadCurveMaturities,D193,C193,$J$4,$J$6))</f>
        <v>0</v>
      </c>
      <c r="O193" s="165">
        <f ca="1"/>
        <v>0</v>
      </c>
      <c r="P193" s="165">
        <f ca="1"/>
        <v>8.7823702214828714E-4</v>
      </c>
      <c r="Q193" s="165">
        <f ca="1"/>
        <v>0</v>
      </c>
      <c r="R193" s="165">
        <f ca="1"/>
        <v>7.1048346440126808E-3</v>
      </c>
      <c r="S193" s="165">
        <f ca="1"/>
        <v>0</v>
      </c>
      <c r="T193" s="165">
        <f ca="1"/>
        <v>1.8210957318732346E-2</v>
      </c>
      <c r="U193" s="165">
        <f ca="1"/>
        <v>3.597366502535837E-2</v>
      </c>
      <c r="V193" s="140">
        <f ca="1"/>
        <v>7.1106444706236283E-2</v>
      </c>
      <c r="W193" s="139">
        <f ca="1"/>
        <v>0</v>
      </c>
      <c r="X193" s="165">
        <f ca="1"/>
        <v>0</v>
      </c>
      <c r="Y193" s="165">
        <f ca="1"/>
        <v>1.0447434400623345E-3</v>
      </c>
      <c r="Z193" s="165">
        <f ca="1"/>
        <v>0</v>
      </c>
      <c r="AA193" s="165">
        <f ca="1"/>
        <v>7.6213671879339362E-3</v>
      </c>
      <c r="AB193" s="165">
        <f ca="1"/>
        <v>0</v>
      </c>
      <c r="AC193" s="165">
        <f ca="1"/>
        <v>1.9086531504704851E-2</v>
      </c>
      <c r="AD193" s="165">
        <f ca="1"/>
        <v>3.7718389430751453E-2</v>
      </c>
      <c r="AE193" s="140">
        <f ca="1"/>
        <v>7.4525238012967621E-2</v>
      </c>
      <c r="AI193" s="137"/>
      <c r="AK193" s="137"/>
      <c r="AM193" s="137"/>
      <c r="AN193" s="137"/>
      <c r="AO193" s="137"/>
      <c r="AR193" s="137"/>
      <c r="AT193" s="137"/>
      <c r="AV193" s="137"/>
      <c r="AW193" s="137"/>
      <c r="AX193" s="137"/>
    </row>
    <row r="194" spans="1:50" s="79" customFormat="1" ht="10.199999999999999" x14ac:dyDescent="0.2">
      <c r="A194" s="97">
        <f t="shared" si="4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8" t="s">
        <v>87</v>
      </c>
      <c r="G194" s="158">
        <v>4.7899999999999999E-4</v>
      </c>
      <c r="H194" s="158" t="s">
        <v>87</v>
      </c>
      <c r="I194" s="158">
        <v>1.433E-3</v>
      </c>
      <c r="J194" s="158" t="s">
        <v>87</v>
      </c>
      <c r="K194" s="158">
        <v>2.075E-3</v>
      </c>
      <c r="L194" s="158">
        <v>2.7659999999999998E-3</v>
      </c>
      <c r="M194" s="158">
        <v>3.5569999999999998E-3</v>
      </c>
      <c r="N194" s="139" cm="1">
        <f t="array" aca="1" ref="N194:AE194" ca="1">IF(OR(B194="",NOT($J$2)),"",GetStripDefaultProbability(A194,B194,Parameter_Date,CDSRollDate,E194:M194,SpreadCurveMaturities,D194,C194,$J$4,$J$6))</f>
        <v>0</v>
      </c>
      <c r="O194" s="165">
        <f ca="1"/>
        <v>0</v>
      </c>
      <c r="P194" s="165">
        <f ca="1"/>
        <v>8.7823702214828714E-4</v>
      </c>
      <c r="Q194" s="165">
        <f ca="1"/>
        <v>0</v>
      </c>
      <c r="R194" s="165">
        <f ca="1"/>
        <v>7.5387894311058634E-3</v>
      </c>
      <c r="S194" s="165">
        <f ca="1"/>
        <v>0</v>
      </c>
      <c r="T194" s="165">
        <f ca="1"/>
        <v>1.8164569104118677E-2</v>
      </c>
      <c r="U194" s="165">
        <f ca="1"/>
        <v>3.4205655902381671E-2</v>
      </c>
      <c r="V194" s="140">
        <f ca="1"/>
        <v>6.3367713727948138E-2</v>
      </c>
      <c r="W194" s="139">
        <f ca="1"/>
        <v>0</v>
      </c>
      <c r="X194" s="165">
        <f ca="1"/>
        <v>0</v>
      </c>
      <c r="Y194" s="165">
        <f ca="1"/>
        <v>1.0447434400623345E-3</v>
      </c>
      <c r="Z194" s="165">
        <f ca="1"/>
        <v>0</v>
      </c>
      <c r="AA194" s="165">
        <f ca="1"/>
        <v>8.0550967671391138E-3</v>
      </c>
      <c r="AB194" s="165">
        <f ca="1"/>
        <v>0</v>
      </c>
      <c r="AC194" s="165">
        <f ca="1"/>
        <v>1.9040110632585372E-2</v>
      </c>
      <c r="AD194" s="165">
        <f ca="1"/>
        <v>3.5866358428528478E-2</v>
      </c>
      <c r="AE194" s="140">
        <f ca="1"/>
        <v>6.6422762413257064E-2</v>
      </c>
      <c r="AI194" s="137"/>
      <c r="AK194" s="137"/>
      <c r="AM194" s="137"/>
      <c r="AN194" s="137"/>
      <c r="AO194" s="137"/>
      <c r="AR194" s="137"/>
      <c r="AT194" s="137"/>
      <c r="AV194" s="137"/>
      <c r="AW194" s="137"/>
      <c r="AX194" s="137"/>
    </row>
    <row r="195" spans="1:50" s="79" customFormat="1" ht="10.199999999999999" x14ac:dyDescent="0.2">
      <c r="A195" s="97">
        <f t="shared" si="4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8" t="s">
        <v>87</v>
      </c>
      <c r="G195" s="158">
        <v>8.5499999999999997E-4</v>
      </c>
      <c r="H195" s="158" t="s">
        <v>87</v>
      </c>
      <c r="I195" s="158">
        <v>1.8420000000000001E-3</v>
      </c>
      <c r="J195" s="158" t="s">
        <v>87</v>
      </c>
      <c r="K195" s="158">
        <v>2.895E-3</v>
      </c>
      <c r="L195" s="158">
        <v>3.1580000000000002E-3</v>
      </c>
      <c r="M195" s="158">
        <v>3.79E-3</v>
      </c>
      <c r="N195" s="139" cm="1">
        <f t="array" aca="1" ref="N195:AE195" ca="1">IF(OR(B195="",NOT($J$2)),"",GetStripDefaultProbability(A195,B195,Parameter_Date,CDSRollDate,E195:M195,SpreadCurveMaturities,D195,C195,$J$4,$J$6))</f>
        <v>0</v>
      </c>
      <c r="O195" s="165">
        <f ca="1"/>
        <v>0</v>
      </c>
      <c r="P195" s="165">
        <f ca="1"/>
        <v>1.5670893350742121E-3</v>
      </c>
      <c r="Q195" s="165">
        <f ca="1"/>
        <v>0</v>
      </c>
      <c r="R195" s="165">
        <f ca="1"/>
        <v>9.649825885691854E-3</v>
      </c>
      <c r="S195" s="165">
        <f ca="1"/>
        <v>0</v>
      </c>
      <c r="T195" s="165">
        <f ca="1"/>
        <v>2.5341305440470752E-2</v>
      </c>
      <c r="U195" s="165">
        <f ca="1"/>
        <v>3.8257897078943892E-2</v>
      </c>
      <c r="V195" s="140">
        <f ca="1"/>
        <v>6.6009371333840217E-2</v>
      </c>
      <c r="W195" s="139">
        <f ca="1"/>
        <v>0</v>
      </c>
      <c r="X195" s="165">
        <f ca="1"/>
        <v>0</v>
      </c>
      <c r="Y195" s="165">
        <f ca="1"/>
        <v>1.733480953815314E-3</v>
      </c>
      <c r="Z195" s="165">
        <f ca="1"/>
        <v>0</v>
      </c>
      <c r="AA195" s="165">
        <f ca="1"/>
        <v>1.0164898138339984E-2</v>
      </c>
      <c r="AB195" s="165">
        <f ca="1"/>
        <v>0</v>
      </c>
      <c r="AC195" s="165">
        <f ca="1"/>
        <v>2.6582545012538428E-2</v>
      </c>
      <c r="AD195" s="165">
        <f ca="1"/>
        <v>4.0127224240675496E-2</v>
      </c>
      <c r="AE195" s="140">
        <f ca="1"/>
        <v>6.9196820032029871E-2</v>
      </c>
      <c r="AI195" s="137"/>
      <c r="AK195" s="137"/>
      <c r="AM195" s="137"/>
      <c r="AN195" s="137"/>
      <c r="AO195" s="137"/>
      <c r="AR195" s="137"/>
      <c r="AT195" s="137"/>
      <c r="AV195" s="137"/>
      <c r="AW195" s="137"/>
      <c r="AX195" s="137"/>
    </row>
    <row r="196" spans="1:50" s="79" customFormat="1" ht="10.199999999999999" x14ac:dyDescent="0.2">
      <c r="A196" s="97">
        <f t="shared" si="4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8" t="s">
        <v>87</v>
      </c>
      <c r="G196" s="158">
        <v>4.15E-4</v>
      </c>
      <c r="H196" s="158" t="s">
        <v>87</v>
      </c>
      <c r="I196" s="158">
        <v>1.5920000000000001E-3</v>
      </c>
      <c r="J196" s="158" t="s">
        <v>87</v>
      </c>
      <c r="K196" s="158">
        <v>2.075E-3</v>
      </c>
      <c r="L196" s="158">
        <v>2.7499999999999998E-3</v>
      </c>
      <c r="M196" s="158">
        <v>3.522E-3</v>
      </c>
      <c r="N196" s="139" cm="1">
        <f t="array" aca="1" ref="N196:AE196" ca="1">IF(OR(B196="",NOT($J$2)),"",GetStripDefaultProbability(A196,B196,Parameter_Date,CDSRollDate,E196:M196,SpreadCurveMaturities,D196,C196,$J$4,$J$6))</f>
        <v>0</v>
      </c>
      <c r="O196" s="165">
        <f ca="1"/>
        <v>0</v>
      </c>
      <c r="P196" s="165">
        <f ca="1"/>
        <v>7.6093860988790674E-4</v>
      </c>
      <c r="Q196" s="165">
        <f ca="1"/>
        <v>0</v>
      </c>
      <c r="R196" s="165">
        <f ca="1"/>
        <v>8.3886314342599411E-3</v>
      </c>
      <c r="S196" s="165">
        <f ca="1"/>
        <v>0</v>
      </c>
      <c r="T196" s="165">
        <f ca="1"/>
        <v>1.8083459702236127E-2</v>
      </c>
      <c r="U196" s="165">
        <f ca="1"/>
        <v>3.391007948236946E-2</v>
      </c>
      <c r="V196" s="140">
        <f ca="1"/>
        <v>6.2620718100608208E-2</v>
      </c>
      <c r="W196" s="139">
        <f ca="1"/>
        <v>0</v>
      </c>
      <c r="X196" s="165">
        <f ca="1"/>
        <v>0</v>
      </c>
      <c r="Y196" s="165">
        <f ca="1"/>
        <v>9.2746457590908715E-4</v>
      </c>
      <c r="Z196" s="165">
        <f ca="1"/>
        <v>0</v>
      </c>
      <c r="AA196" s="165">
        <f ca="1"/>
        <v>8.9045058229492158E-3</v>
      </c>
      <c r="AB196" s="165">
        <f ca="1"/>
        <v>0</v>
      </c>
      <c r="AC196" s="165">
        <f ca="1"/>
        <v>1.8958954532637184E-2</v>
      </c>
      <c r="AD196" s="165">
        <f ca="1"/>
        <v>3.556008576027736E-2</v>
      </c>
      <c r="AE196" s="140">
        <f ca="1"/>
        <v>6.5643931259189103E-2</v>
      </c>
      <c r="AI196" s="137"/>
      <c r="AK196" s="137"/>
      <c r="AM196" s="137"/>
      <c r="AN196" s="137"/>
      <c r="AO196" s="137"/>
      <c r="AR196" s="137"/>
      <c r="AT196" s="137"/>
      <c r="AV196" s="137"/>
      <c r="AW196" s="137"/>
      <c r="AX196" s="137"/>
    </row>
    <row r="197" spans="1:50" s="79" customFormat="1" ht="10.199999999999999" x14ac:dyDescent="0.2">
      <c r="A197" s="97">
        <f t="shared" si="4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8" t="s">
        <v>87</v>
      </c>
      <c r="G197" s="158">
        <v>2.2030000000000001E-3</v>
      </c>
      <c r="H197" s="158" t="s">
        <v>87</v>
      </c>
      <c r="I197" s="158">
        <v>3.8249999999999998E-3</v>
      </c>
      <c r="J197" s="158" t="s">
        <v>87</v>
      </c>
      <c r="K197" s="158">
        <v>5.2589999999999998E-3</v>
      </c>
      <c r="L197" s="158">
        <v>6.0720000000000001E-3</v>
      </c>
      <c r="M197" s="158">
        <v>7.2199999999999999E-3</v>
      </c>
      <c r="N197" s="139" cm="1">
        <f t="array" aca="1" ref="N197:AE197" ca="1">IF(OR(B197="",NOT($J$2)),"",GetStripDefaultProbability(A197,B197,Parameter_Date,CDSRollDate,E197:M197,SpreadCurveMaturities,D197,C197,$J$4,$J$6))</f>
        <v>0</v>
      </c>
      <c r="O197" s="165">
        <f ca="1"/>
        <v>0</v>
      </c>
      <c r="P197" s="165">
        <f ca="1"/>
        <v>4.032829432139895E-3</v>
      </c>
      <c r="Q197" s="165">
        <f ca="1"/>
        <v>0</v>
      </c>
      <c r="R197" s="165">
        <f ca="1"/>
        <v>1.989348595007312E-2</v>
      </c>
      <c r="S197" s="165">
        <f ca="1"/>
        <v>0</v>
      </c>
      <c r="T197" s="165">
        <f ca="1"/>
        <v>4.5303858085197102E-2</v>
      </c>
      <c r="U197" s="165">
        <f ca="1"/>
        <v>7.2624842629453679E-2</v>
      </c>
      <c r="V197" s="140">
        <f ca="1"/>
        <v>0.12271235030857774</v>
      </c>
      <c r="W197" s="139">
        <f ca="1"/>
        <v>0</v>
      </c>
      <c r="X197" s="165">
        <f ca="1"/>
        <v>0</v>
      </c>
      <c r="Y197" s="165">
        <f ca="1"/>
        <v>4.2339697811191179E-3</v>
      </c>
      <c r="Z197" s="165">
        <f ca="1"/>
        <v>0</v>
      </c>
      <c r="AA197" s="165">
        <f ca="1"/>
        <v>2.0877101544750198E-2</v>
      </c>
      <c r="AB197" s="165">
        <f ca="1"/>
        <v>0</v>
      </c>
      <c r="AC197" s="165">
        <f ca="1"/>
        <v>4.7520210258275908E-2</v>
      </c>
      <c r="AD197" s="165">
        <f ca="1"/>
        <v>7.6137378544424261E-2</v>
      </c>
      <c r="AE197" s="140">
        <f ca="1"/>
        <v>0.12853443723648306</v>
      </c>
      <c r="AI197" s="137"/>
      <c r="AK197" s="137"/>
      <c r="AM197" s="137"/>
      <c r="AN197" s="137"/>
      <c r="AO197" s="137"/>
      <c r="AR197" s="137"/>
      <c r="AT197" s="137"/>
      <c r="AV197" s="137"/>
      <c r="AW197" s="137"/>
      <c r="AX197" s="137"/>
    </row>
    <row r="198" spans="1:50" s="79" customFormat="1" ht="10.199999999999999" x14ac:dyDescent="0.2">
      <c r="A198" s="97">
        <f t="shared" si="4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8" t="s">
        <v>87</v>
      </c>
      <c r="G198" s="158">
        <v>4.8999999999999998E-4</v>
      </c>
      <c r="H198" s="158" t="s">
        <v>87</v>
      </c>
      <c r="I198" s="158">
        <v>1.544E-3</v>
      </c>
      <c r="J198" s="158" t="s">
        <v>87</v>
      </c>
      <c r="K198" s="158">
        <v>2.1229999999999999E-3</v>
      </c>
      <c r="L198" s="158">
        <v>2.7989999999999998E-3</v>
      </c>
      <c r="M198" s="158">
        <v>3.6670000000000001E-3</v>
      </c>
      <c r="N198" s="139" cm="1">
        <f t="array" aca="1" ref="N198:AE198" ca="1">IF(OR(B198="",NOT($J$2)),"",GetStripDefaultProbability(A198,B198,Parameter_Date,CDSRollDate,E198:M198,SpreadCurveMaturities,D198,C198,$J$4,$J$6))</f>
        <v>0</v>
      </c>
      <c r="O198" s="165">
        <f ca="1"/>
        <v>0</v>
      </c>
      <c r="P198" s="165">
        <f ca="1"/>
        <v>8.9839631067922809E-4</v>
      </c>
      <c r="Q198" s="165">
        <f ca="1"/>
        <v>0</v>
      </c>
      <c r="R198" s="165">
        <f ca="1"/>
        <v>8.1245316486917574E-3</v>
      </c>
      <c r="S198" s="165">
        <f ca="1"/>
        <v>0</v>
      </c>
      <c r="T198" s="165">
        <f ca="1"/>
        <v>1.8537827605231261E-2</v>
      </c>
      <c r="U198" s="165">
        <f ca="1"/>
        <v>3.4529405854058171E-2</v>
      </c>
      <c r="V198" s="140">
        <f ca="1"/>
        <v>6.5372208449016478E-2</v>
      </c>
      <c r="W198" s="139">
        <f ca="1"/>
        <v>0</v>
      </c>
      <c r="X198" s="165">
        <f ca="1"/>
        <v>0</v>
      </c>
      <c r="Y198" s="165">
        <f ca="1"/>
        <v>1.0648993690034469E-3</v>
      </c>
      <c r="Z198" s="165">
        <f ca="1"/>
        <v>0</v>
      </c>
      <c r="AA198" s="165">
        <f ca="1"/>
        <v>8.6405267240180494E-3</v>
      </c>
      <c r="AB198" s="165">
        <f ca="1"/>
        <v>0</v>
      </c>
      <c r="AC198" s="165">
        <f ca="1"/>
        <v>1.9434834307383797E-2</v>
      </c>
      <c r="AD198" s="165">
        <f ca="1"/>
        <v>3.6208762623989865E-2</v>
      </c>
      <c r="AE198" s="140">
        <f ca="1"/>
        <v>6.8524755866330889E-2</v>
      </c>
      <c r="AI198" s="137"/>
      <c r="AK198" s="137"/>
      <c r="AM198" s="137"/>
      <c r="AN198" s="137"/>
      <c r="AO198" s="137"/>
      <c r="AR198" s="137"/>
      <c r="AT198" s="137"/>
      <c r="AV198" s="137"/>
      <c r="AW198" s="137"/>
      <c r="AX198" s="137"/>
    </row>
    <row r="199" spans="1:50" s="79" customFormat="1" ht="10.199999999999999" x14ac:dyDescent="0.2">
      <c r="A199" s="97">
        <f t="shared" si="4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8" t="s">
        <v>87</v>
      </c>
      <c r="G199" s="158">
        <v>8.1499999999999997E-4</v>
      </c>
      <c r="H199" s="158" t="s">
        <v>87</v>
      </c>
      <c r="I199" s="158">
        <v>1.572E-3</v>
      </c>
      <c r="J199" s="158" t="s">
        <v>87</v>
      </c>
      <c r="K199" s="158">
        <v>1.9780000000000002E-3</v>
      </c>
      <c r="L199" s="158">
        <v>2.5869999999999999E-3</v>
      </c>
      <c r="M199" s="158">
        <v>3.297E-3</v>
      </c>
      <c r="N199" s="139" cm="1">
        <f t="array" aca="1" ref="N199:AE199" ca="1">IF(OR(B199="",NOT($J$2)),"",GetStripDefaultProbability(A199,B199,Parameter_Date,CDSRollDate,E199:M199,SpreadCurveMaturities,D199,C199,$J$4,$J$6))</f>
        <v>0</v>
      </c>
      <c r="O199" s="165">
        <f ca="1"/>
        <v>0</v>
      </c>
      <c r="P199" s="165">
        <f ca="1"/>
        <v>1.493829576169392E-3</v>
      </c>
      <c r="Q199" s="165">
        <f ca="1"/>
        <v>0</v>
      </c>
      <c r="R199" s="165">
        <f ca="1"/>
        <v>8.2283548132302542E-3</v>
      </c>
      <c r="S199" s="165">
        <f ca="1"/>
        <v>0</v>
      </c>
      <c r="T199" s="165">
        <f ca="1"/>
        <v>1.7155460395736011E-2</v>
      </c>
      <c r="U199" s="165">
        <f ca="1"/>
        <v>3.1793751367222511E-2</v>
      </c>
      <c r="V199" s="140">
        <f ca="1"/>
        <v>5.8531427081255138E-2</v>
      </c>
      <c r="W199" s="139">
        <f ca="1"/>
        <v>0</v>
      </c>
      <c r="X199" s="165">
        <f ca="1"/>
        <v>0</v>
      </c>
      <c r="Y199" s="165">
        <f ca="1"/>
        <v>1.6602334038587907E-3</v>
      </c>
      <c r="Z199" s="165">
        <f ca="1"/>
        <v>0</v>
      </c>
      <c r="AA199" s="165">
        <f ca="1"/>
        <v>8.7442004212604507E-3</v>
      </c>
      <c r="AB199" s="165">
        <f ca="1"/>
        <v>0</v>
      </c>
      <c r="AC199" s="165">
        <f ca="1"/>
        <v>1.7997300978288555E-2</v>
      </c>
      <c r="AD199" s="165">
        <f ca="1"/>
        <v>3.3341463548055006E-2</v>
      </c>
      <c r="AE199" s="140">
        <f ca="1"/>
        <v>6.1361464427175938E-2</v>
      </c>
      <c r="AI199" s="137"/>
      <c r="AK199" s="137"/>
      <c r="AM199" s="137"/>
      <c r="AN199" s="137"/>
      <c r="AO199" s="137"/>
      <c r="AR199" s="137"/>
      <c r="AT199" s="137"/>
      <c r="AV199" s="137"/>
      <c r="AW199" s="137"/>
      <c r="AX199" s="137"/>
    </row>
    <row r="200" spans="1:50" s="79" customFormat="1" ht="10.199999999999999" x14ac:dyDescent="0.2">
      <c r="A200" s="97">
        <f t="shared" si="4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8" t="s">
        <v>87</v>
      </c>
      <c r="G200" s="158">
        <v>4.9200000000000003E-4</v>
      </c>
      <c r="H200" s="158" t="s">
        <v>87</v>
      </c>
      <c r="I200" s="158">
        <v>1.6999999999999999E-3</v>
      </c>
      <c r="J200" s="158" t="s">
        <v>87</v>
      </c>
      <c r="K200" s="158">
        <v>2.4610000000000001E-3</v>
      </c>
      <c r="L200" s="158">
        <v>3.042E-3</v>
      </c>
      <c r="M200" s="158">
        <v>3.7580000000000001E-3</v>
      </c>
      <c r="N200" s="139" cm="1">
        <f t="array" aca="1" ref="N200:AE200" ca="1">IF(OR(B200="",NOT($J$2)),"",GetStripDefaultProbability(A200,B200,Parameter_Date,CDSRollDate,E200:M200,SpreadCurveMaturities,D200,C200,$J$4,$J$6))</f>
        <v>0</v>
      </c>
      <c r="O200" s="165">
        <f ca="1"/>
        <v>0</v>
      </c>
      <c r="P200" s="165">
        <f ca="1"/>
        <v>9.0206159250039164E-4</v>
      </c>
      <c r="Q200" s="165">
        <f ca="1"/>
        <v>0</v>
      </c>
      <c r="R200" s="165">
        <f ca="1"/>
        <v>8.9491965295571685E-3</v>
      </c>
      <c r="S200" s="165">
        <f ca="1"/>
        <v>0</v>
      </c>
      <c r="T200" s="165">
        <f ca="1"/>
        <v>2.1527428623261069E-2</v>
      </c>
      <c r="U200" s="165">
        <f ca="1"/>
        <v>3.7315137733532011E-2</v>
      </c>
      <c r="V200" s="140">
        <f ca="1"/>
        <v>6.6218216754201253E-2</v>
      </c>
      <c r="W200" s="139">
        <f ca="1"/>
        <v>0</v>
      </c>
      <c r="X200" s="165">
        <f ca="1"/>
        <v>0</v>
      </c>
      <c r="Y200" s="165">
        <f ca="1"/>
        <v>1.0685640399772378E-3</v>
      </c>
      <c r="Z200" s="165">
        <f ca="1"/>
        <v>0</v>
      </c>
      <c r="AA200" s="165">
        <f ca="1"/>
        <v>9.4647459772803089E-3</v>
      </c>
      <c r="AB200" s="165">
        <f ca="1"/>
        <v>0</v>
      </c>
      <c r="AC200" s="165">
        <f ca="1"/>
        <v>2.2575585023908329E-2</v>
      </c>
      <c r="AD200" s="165">
        <f ca="1"/>
        <v>3.9133633753017372E-2</v>
      </c>
      <c r="AE200" s="140">
        <f ca="1"/>
        <v>6.9412756607827197E-2</v>
      </c>
      <c r="AI200" s="137"/>
      <c r="AK200" s="137"/>
      <c r="AM200" s="137"/>
      <c r="AN200" s="137"/>
      <c r="AO200" s="137"/>
      <c r="AR200" s="137"/>
      <c r="AT200" s="137"/>
      <c r="AV200" s="137"/>
      <c r="AW200" s="137"/>
      <c r="AX200" s="137"/>
    </row>
    <row r="201" spans="1:50" s="79" customFormat="1" ht="10.199999999999999" x14ac:dyDescent="0.2">
      <c r="A201" s="97">
        <f t="shared" si="4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8" t="s">
        <v>87</v>
      </c>
      <c r="G201" s="158">
        <v>2.6540000000000001E-3</v>
      </c>
      <c r="H201" s="158" t="s">
        <v>87</v>
      </c>
      <c r="I201" s="158">
        <v>6.8830000000000002E-3</v>
      </c>
      <c r="J201" s="158" t="s">
        <v>87</v>
      </c>
      <c r="K201" s="158">
        <v>1.0614999999999999E-2</v>
      </c>
      <c r="L201" s="158">
        <v>1.2263E-2</v>
      </c>
      <c r="M201" s="158">
        <v>1.5025999999999999E-2</v>
      </c>
      <c r="N201" s="139" cm="1">
        <f t="array" aca="1" ref="N201:AE201" ca="1">IF(OR(B201="",NOT($J$2)),"",GetStripDefaultProbability(A201,B201,Parameter_Date,CDSRollDate,E201:M201,SpreadCurveMaturities,D201,C201,$J$4,$J$6))</f>
        <v>0</v>
      </c>
      <c r="O201" s="165">
        <f ca="1"/>
        <v>0</v>
      </c>
      <c r="P201" s="165">
        <f ca="1"/>
        <v>4.8564434381836996E-3</v>
      </c>
      <c r="Q201" s="165">
        <f ca="1"/>
        <v>0</v>
      </c>
      <c r="R201" s="165">
        <f ca="1"/>
        <v>3.5770908214729613E-2</v>
      </c>
      <c r="S201" s="165">
        <f ca="1"/>
        <v>0</v>
      </c>
      <c r="T201" s="165">
        <f ca="1"/>
        <v>9.0677647786132076E-2</v>
      </c>
      <c r="U201" s="165">
        <f ca="1"/>
        <v>0.14327201955910029</v>
      </c>
      <c r="V201" s="140">
        <f ca="1"/>
        <v>0.24468965357874073</v>
      </c>
      <c r="W201" s="139">
        <f ca="1"/>
        <v>0</v>
      </c>
      <c r="X201" s="165">
        <f ca="1"/>
        <v>0</v>
      </c>
      <c r="Y201" s="165">
        <f ca="1"/>
        <v>5.098536601256809E-3</v>
      </c>
      <c r="Z201" s="165">
        <f ca="1"/>
        <v>0</v>
      </c>
      <c r="AA201" s="165">
        <f ca="1"/>
        <v>3.7523703716248025E-2</v>
      </c>
      <c r="AB201" s="165">
        <f ca="1"/>
        <v>0</v>
      </c>
      <c r="AC201" s="165">
        <f ca="1"/>
        <v>9.5054650244197236E-2</v>
      </c>
      <c r="AD201" s="165">
        <f ca="1"/>
        <v>0.15001000037312451</v>
      </c>
      <c r="AE201" s="140">
        <f ca="1"/>
        <v>0.25566916282473684</v>
      </c>
      <c r="AI201" s="137"/>
      <c r="AK201" s="137"/>
      <c r="AM201" s="137"/>
      <c r="AN201" s="137"/>
      <c r="AO201" s="137"/>
      <c r="AR201" s="137"/>
      <c r="AT201" s="137"/>
      <c r="AV201" s="137"/>
      <c r="AW201" s="137"/>
      <c r="AX201" s="137"/>
    </row>
    <row r="202" spans="1:50" s="79" customFormat="1" ht="10.199999999999999" x14ac:dyDescent="0.2">
      <c r="A202" s="97">
        <f t="shared" si="4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8" t="s">
        <v>87</v>
      </c>
      <c r="G202" s="158">
        <v>1.689E-3</v>
      </c>
      <c r="H202" s="158" t="s">
        <v>87</v>
      </c>
      <c r="I202" s="158">
        <v>3.1359999999999999E-3</v>
      </c>
      <c r="J202" s="158" t="s">
        <v>87</v>
      </c>
      <c r="K202" s="158">
        <v>4.1009999999999996E-3</v>
      </c>
      <c r="L202" s="158">
        <v>4.4869999999999997E-3</v>
      </c>
      <c r="M202" s="158">
        <v>4.777E-3</v>
      </c>
      <c r="N202" s="139" cm="1">
        <f t="array" aca="1" ref="N202:AE202" ca="1">IF(OR(B202="",NOT($J$2)),"",GetStripDefaultProbability(A202,B202,Parameter_Date,CDSRollDate,E202:M202,SpreadCurveMaturities,D202,C202,$J$4,$J$6))</f>
        <v>0</v>
      </c>
      <c r="O202" s="165">
        <f ca="1"/>
        <v>0</v>
      </c>
      <c r="P202" s="165">
        <f ca="1"/>
        <v>3.093341671385974E-3</v>
      </c>
      <c r="Q202" s="165">
        <f ca="1"/>
        <v>0</v>
      </c>
      <c r="R202" s="165">
        <f ca="1"/>
        <v>1.6351309197823793E-2</v>
      </c>
      <c r="S202" s="165">
        <f ca="1"/>
        <v>0</v>
      </c>
      <c r="T202" s="165">
        <f ca="1"/>
        <v>3.5378563663637563E-2</v>
      </c>
      <c r="U202" s="165">
        <f ca="1"/>
        <v>5.3645365428099834E-2</v>
      </c>
      <c r="V202" s="140">
        <f ca="1"/>
        <v>8.0503245989656191E-2</v>
      </c>
      <c r="W202" s="139">
        <f ca="1"/>
        <v>0</v>
      </c>
      <c r="X202" s="165">
        <f ca="1"/>
        <v>0</v>
      </c>
      <c r="Y202" s="165">
        <f ca="1"/>
        <v>3.259478935954796E-3</v>
      </c>
      <c r="Z202" s="165">
        <f ca="1"/>
        <v>0</v>
      </c>
      <c r="AA202" s="165">
        <f ca="1"/>
        <v>1.7160569079513244E-2</v>
      </c>
      <c r="AB202" s="165">
        <f ca="1"/>
        <v>0</v>
      </c>
      <c r="AC202" s="165">
        <f ca="1"/>
        <v>3.7116719335567594E-2</v>
      </c>
      <c r="AD202" s="165">
        <f ca="1"/>
        <v>5.6260043430932938E-2</v>
      </c>
      <c r="AE202" s="140">
        <f ca="1"/>
        <v>8.4365479816374989E-2</v>
      </c>
      <c r="AI202" s="137"/>
      <c r="AK202" s="137"/>
      <c r="AM202" s="137"/>
      <c r="AN202" s="137"/>
      <c r="AO202" s="137"/>
      <c r="AR202" s="137"/>
      <c r="AT202" s="137"/>
      <c r="AV202" s="137"/>
      <c r="AW202" s="137"/>
      <c r="AX202" s="137"/>
    </row>
    <row r="203" spans="1:50" s="79" customFormat="1" ht="10.199999999999999" x14ac:dyDescent="0.2">
      <c r="A203" s="97">
        <f t="shared" ref="A203:A266" si="5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8" t="s">
        <v>87</v>
      </c>
      <c r="G203" s="158">
        <v>1.4519999999999999E-3</v>
      </c>
      <c r="H203" s="158" t="s">
        <v>87</v>
      </c>
      <c r="I203" s="158">
        <v>1.9059999999999999E-3</v>
      </c>
      <c r="J203" s="158" t="s">
        <v>87</v>
      </c>
      <c r="K203" s="158">
        <v>3.8119999999999999E-3</v>
      </c>
      <c r="L203" s="158">
        <v>5.2639999999999996E-3</v>
      </c>
      <c r="M203" s="158">
        <v>6.489E-3</v>
      </c>
      <c r="N203" s="139" cm="1">
        <f t="array" aca="1" ref="N203:AE203" ca="1">IF(OR(B203="",NOT($J$2)),"",GetStripDefaultProbability(A203,B203,Parameter_Date,CDSRollDate,E203:M203,SpreadCurveMaturities,D203,C203,$J$4,$J$6))</f>
        <v>0</v>
      </c>
      <c r="O203" s="165">
        <f ca="1"/>
        <v>0</v>
      </c>
      <c r="P203" s="165">
        <f ca="1"/>
        <v>2.65985792327883E-3</v>
      </c>
      <c r="Q203" s="165">
        <f ca="1"/>
        <v>0</v>
      </c>
      <c r="R203" s="165">
        <f ca="1"/>
        <v>9.9056798011142311E-3</v>
      </c>
      <c r="S203" s="165">
        <f ca="1"/>
        <v>0</v>
      </c>
      <c r="T203" s="165">
        <f ca="1"/>
        <v>3.3534695210937993E-2</v>
      </c>
      <c r="U203" s="165">
        <f ca="1"/>
        <v>6.4979456787917722E-2</v>
      </c>
      <c r="V203" s="140">
        <f ca="1"/>
        <v>0.11331674319879648</v>
      </c>
      <c r="W203" s="139">
        <f ca="1"/>
        <v>0</v>
      </c>
      <c r="X203" s="165">
        <f ca="1"/>
        <v>0</v>
      </c>
      <c r="Y203" s="165">
        <f ca="1"/>
        <v>2.8260674291038512E-3</v>
      </c>
      <c r="Z203" s="165">
        <f ca="1"/>
        <v>0</v>
      </c>
      <c r="AA203" s="165">
        <f ca="1"/>
        <v>1.0420453443188094E-2</v>
      </c>
      <c r="AB203" s="165">
        <f ca="1"/>
        <v>0</v>
      </c>
      <c r="AC203" s="165">
        <f ca="1"/>
        <v>3.5180899993948467E-2</v>
      </c>
      <c r="AD203" s="165">
        <f ca="1"/>
        <v>6.8139599714561294E-2</v>
      </c>
      <c r="AE203" s="140">
        <f ca="1"/>
        <v>0.11873778963698434</v>
      </c>
      <c r="AI203" s="137"/>
      <c r="AK203" s="137"/>
      <c r="AM203" s="137"/>
      <c r="AN203" s="137"/>
      <c r="AO203" s="137"/>
      <c r="AR203" s="137"/>
      <c r="AT203" s="137"/>
      <c r="AV203" s="137"/>
      <c r="AW203" s="137"/>
      <c r="AX203" s="137"/>
    </row>
    <row r="204" spans="1:50" s="79" customFormat="1" ht="10.199999999999999" x14ac:dyDescent="0.2">
      <c r="A204" s="97">
        <f t="shared" si="5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8" t="s">
        <v>87</v>
      </c>
      <c r="G204" s="158">
        <v>4.7377000000000002E-2</v>
      </c>
      <c r="H204" s="158" t="s">
        <v>87</v>
      </c>
      <c r="I204" s="158">
        <v>4.0816999999999999E-2</v>
      </c>
      <c r="J204" s="158" t="s">
        <v>87</v>
      </c>
      <c r="K204" s="158">
        <v>3.4257999999999997E-2</v>
      </c>
      <c r="L204" s="158">
        <v>3.0977999999999999E-2</v>
      </c>
      <c r="M204" s="158">
        <v>2.7698E-2</v>
      </c>
      <c r="N204" s="139" cm="1">
        <f t="array" aca="1" ref="N204:AE204" ca="1">IF(OR(B204="",NOT($J$2)),"",GetStripDefaultProbability(A204,B204,Parameter_Date,CDSRollDate,E204:M204,SpreadCurveMaturities,D204,C204,$J$4,$J$6))</f>
        <v>0</v>
      </c>
      <c r="O204" s="165">
        <f ca="1"/>
        <v>0</v>
      </c>
      <c r="P204" s="165">
        <f ca="1"/>
        <v>8.3231000414831113E-2</v>
      </c>
      <c r="Q204" s="165">
        <f ca="1"/>
        <v>0</v>
      </c>
      <c r="R204" s="165">
        <f ca="1"/>
        <v>0.18906844390296973</v>
      </c>
      <c r="S204" s="165">
        <f ca="1"/>
        <v>0</v>
      </c>
      <c r="T204" s="165">
        <f ca="1"/>
        <v>0.24470007289980034</v>
      </c>
      <c r="U204" s="165">
        <f ca="1"/>
        <v>0.29207776081983827</v>
      </c>
      <c r="V204" s="140">
        <f ca="1"/>
        <v>0.34526867225297697</v>
      </c>
      <c r="W204" s="139">
        <f ca="1"/>
        <v>0</v>
      </c>
      <c r="X204" s="165">
        <f ca="1"/>
        <v>0</v>
      </c>
      <c r="Y204" s="165">
        <f ca="1"/>
        <v>8.7205584064638408E-2</v>
      </c>
      <c r="Z204" s="165">
        <f ca="1"/>
        <v>0</v>
      </c>
      <c r="AA204" s="165">
        <f ca="1"/>
        <v>0.19745935865845698</v>
      </c>
      <c r="AB204" s="165">
        <f ca="1"/>
        <v>0</v>
      </c>
      <c r="AC204" s="165">
        <f ca="1"/>
        <v>0.25493442822116097</v>
      </c>
      <c r="AD204" s="165">
        <f ca="1"/>
        <v>0.30371113521532944</v>
      </c>
      <c r="AE204" s="140">
        <f ca="1"/>
        <v>0.35816403451238443</v>
      </c>
      <c r="AI204" s="137"/>
      <c r="AK204" s="137"/>
      <c r="AM204" s="137"/>
      <c r="AN204" s="137"/>
      <c r="AO204" s="137"/>
      <c r="AR204" s="137"/>
      <c r="AT204" s="137"/>
      <c r="AV204" s="137"/>
      <c r="AW204" s="137"/>
      <c r="AX204" s="137"/>
    </row>
    <row r="205" spans="1:50" s="79" customFormat="1" ht="10.199999999999999" x14ac:dyDescent="0.2">
      <c r="A205" s="97">
        <f t="shared" si="5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8" t="s">
        <v>87</v>
      </c>
      <c r="G205" s="158">
        <v>2.8180000000000002E-3</v>
      </c>
      <c r="H205" s="158" t="s">
        <v>87</v>
      </c>
      <c r="I205" s="158">
        <v>5.391E-3</v>
      </c>
      <c r="J205" s="158" t="s">
        <v>87</v>
      </c>
      <c r="K205" s="158">
        <v>8.8500000000000002E-3</v>
      </c>
      <c r="L205" s="158">
        <v>1.0579E-2</v>
      </c>
      <c r="M205" s="158">
        <v>1.2817E-2</v>
      </c>
      <c r="N205" s="139" cm="1">
        <f t="array" aca="1" ref="N205:AE205" ca="1">IF(OR(B205="",NOT($J$2)),"",GetStripDefaultProbability(A205,B205,Parameter_Date,CDSRollDate,E205:M205,SpreadCurveMaturities,D205,C205,$J$4,$J$6))</f>
        <v>0</v>
      </c>
      <c r="O205" s="165">
        <f ca="1"/>
        <v>0</v>
      </c>
      <c r="P205" s="165">
        <f ca="1"/>
        <v>5.1557721672592649E-3</v>
      </c>
      <c r="Q205" s="165">
        <f ca="1"/>
        <v>0</v>
      </c>
      <c r="R205" s="165">
        <f ca="1"/>
        <v>2.7986908751528761E-2</v>
      </c>
      <c r="S205" s="165">
        <f ca="1"/>
        <v>0</v>
      </c>
      <c r="T205" s="165">
        <f ca="1"/>
        <v>7.6152579436304491E-2</v>
      </c>
      <c r="U205" s="165">
        <f ca="1"/>
        <v>0.12523568928981332</v>
      </c>
      <c r="V205" s="140">
        <f ca="1"/>
        <v>0.21195534804630189</v>
      </c>
      <c r="W205" s="139">
        <f ca="1"/>
        <v>0</v>
      </c>
      <c r="X205" s="165">
        <f ca="1"/>
        <v>0</v>
      </c>
      <c r="Y205" s="165">
        <f ca="1"/>
        <v>5.4127382295798832E-3</v>
      </c>
      <c r="Z205" s="165">
        <f ca="1"/>
        <v>0</v>
      </c>
      <c r="AA205" s="165">
        <f ca="1"/>
        <v>2.9364256682124945E-2</v>
      </c>
      <c r="AB205" s="165">
        <f ca="1"/>
        <v>0</v>
      </c>
      <c r="AC205" s="165">
        <f ca="1"/>
        <v>7.985148720306412E-2</v>
      </c>
      <c r="AD205" s="165">
        <f ca="1"/>
        <v>0.13118413264890927</v>
      </c>
      <c r="AE205" s="140">
        <f ca="1"/>
        <v>0.2216248871217924</v>
      </c>
      <c r="AI205" s="137"/>
      <c r="AK205" s="137"/>
      <c r="AM205" s="137"/>
      <c r="AN205" s="137"/>
      <c r="AO205" s="137"/>
      <c r="AR205" s="137"/>
      <c r="AT205" s="137"/>
      <c r="AV205" s="137"/>
      <c r="AW205" s="137"/>
      <c r="AX205" s="137"/>
    </row>
    <row r="206" spans="1:50" s="79" customFormat="1" ht="10.199999999999999" x14ac:dyDescent="0.2">
      <c r="A206" s="97">
        <f t="shared" si="5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8" t="s">
        <v>87</v>
      </c>
      <c r="G206" s="158">
        <v>6.6639999999999998E-3</v>
      </c>
      <c r="H206" s="158" t="s">
        <v>87</v>
      </c>
      <c r="I206" s="158">
        <v>1.1985000000000001E-2</v>
      </c>
      <c r="J206" s="158" t="s">
        <v>87</v>
      </c>
      <c r="K206" s="158">
        <v>1.7659999999999999E-2</v>
      </c>
      <c r="L206" s="158">
        <v>1.9762999999999999E-2</v>
      </c>
      <c r="M206" s="158">
        <v>2.2307E-2</v>
      </c>
      <c r="N206" s="139" cm="1">
        <f t="array" aca="1" ref="N206:AE206" ca="1">IF(OR(B206="",NOT($J$2)),"",GetStripDefaultProbability(A206,B206,Parameter_Date,CDSRollDate,E206:M206,SpreadCurveMaturities,D206,C206,$J$4,$J$6))</f>
        <v>0</v>
      </c>
      <c r="O206" s="165">
        <f ca="1"/>
        <v>0</v>
      </c>
      <c r="P206" s="165">
        <f ca="1"/>
        <v>1.2149921498784133E-2</v>
      </c>
      <c r="Q206" s="165">
        <f ca="1"/>
        <v>0</v>
      </c>
      <c r="R206" s="165">
        <f ca="1"/>
        <v>6.1259515953759558E-2</v>
      </c>
      <c r="S206" s="165">
        <f ca="1"/>
        <v>0</v>
      </c>
      <c r="T206" s="165">
        <f ca="1"/>
        <v>0.14670585909663014</v>
      </c>
      <c r="U206" s="165">
        <f ca="1"/>
        <v>0.22106926421545847</v>
      </c>
      <c r="V206" s="140">
        <f ca="1"/>
        <v>0.3378373464479395</v>
      </c>
      <c r="W206" s="139">
        <f ca="1"/>
        <v>0</v>
      </c>
      <c r="X206" s="165">
        <f ca="1"/>
        <v>0</v>
      </c>
      <c r="Y206" s="165">
        <f ca="1"/>
        <v>1.2752743378895981E-2</v>
      </c>
      <c r="Z206" s="165">
        <f ca="1"/>
        <v>0</v>
      </c>
      <c r="AA206" s="165">
        <f ca="1"/>
        <v>6.4238634048524257E-2</v>
      </c>
      <c r="AB206" s="165">
        <f ca="1"/>
        <v>0</v>
      </c>
      <c r="AC206" s="165">
        <f ca="1"/>
        <v>0.15360098327814031</v>
      </c>
      <c r="AD206" s="165">
        <f ca="1"/>
        <v>0.23103294124798412</v>
      </c>
      <c r="AE206" s="140">
        <f ca="1"/>
        <v>0.35202703267518798</v>
      </c>
      <c r="AI206" s="137"/>
      <c r="AK206" s="137"/>
      <c r="AM206" s="137"/>
      <c r="AN206" s="137"/>
      <c r="AO206" s="137"/>
      <c r="AR206" s="137"/>
      <c r="AT206" s="137"/>
      <c r="AV206" s="137"/>
      <c r="AW206" s="137"/>
      <c r="AX206" s="137"/>
    </row>
    <row r="207" spans="1:50" s="79" customFormat="1" ht="10.199999999999999" x14ac:dyDescent="0.2">
      <c r="A207" s="97">
        <f t="shared" si="5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8" t="s">
        <v>87</v>
      </c>
      <c r="G207" s="158">
        <v>4.7100000000000001E-4</v>
      </c>
      <c r="H207" s="158" t="s">
        <v>87</v>
      </c>
      <c r="I207" s="158">
        <v>1.882E-3</v>
      </c>
      <c r="J207" s="158" t="s">
        <v>87</v>
      </c>
      <c r="K207" s="158">
        <v>2.5569999999999998E-3</v>
      </c>
      <c r="L207" s="158">
        <v>3.4259999999999998E-3</v>
      </c>
      <c r="M207" s="158">
        <v>4.3909999999999999E-3</v>
      </c>
      <c r="N207" s="139" cm="1">
        <f t="array" aca="1" ref="N207:AE207" ca="1">IF(OR(B207="",NOT($J$2)),"",GetStripDefaultProbability(A207,B207,Parameter_Date,CDSRollDate,E207:M207,SpreadCurveMaturities,D207,C207,$J$4,$J$6))</f>
        <v>0</v>
      </c>
      <c r="O207" s="165">
        <f ca="1"/>
        <v>0</v>
      </c>
      <c r="P207" s="165">
        <f ca="1"/>
        <v>8.63575467908273E-4</v>
      </c>
      <c r="Q207" s="165">
        <f ca="1"/>
        <v>0</v>
      </c>
      <c r="R207" s="165">
        <f ca="1"/>
        <v>9.9139791187163873E-3</v>
      </c>
      <c r="S207" s="165">
        <f ca="1"/>
        <v>0</v>
      </c>
      <c r="T207" s="165">
        <f ca="1"/>
        <v>2.2299616967779379E-2</v>
      </c>
      <c r="U207" s="165">
        <f ca="1"/>
        <v>4.2217103587192106E-2</v>
      </c>
      <c r="V207" s="140">
        <f ca="1"/>
        <v>7.7753787922473783E-2</v>
      </c>
      <c r="W207" s="139">
        <f ca="1"/>
        <v>0</v>
      </c>
      <c r="X207" s="165">
        <f ca="1"/>
        <v>0</v>
      </c>
      <c r="Y207" s="165">
        <f ca="1"/>
        <v>1.0300843291946027E-3</v>
      </c>
      <c r="Z207" s="165">
        <f ca="1"/>
        <v>0</v>
      </c>
      <c r="AA207" s="165">
        <f ca="1"/>
        <v>1.0428997382444849E-2</v>
      </c>
      <c r="AB207" s="165">
        <f ca="1"/>
        <v>0</v>
      </c>
      <c r="AC207" s="165">
        <f ca="1"/>
        <v>2.339054070412927E-2</v>
      </c>
      <c r="AD207" s="165">
        <f ca="1"/>
        <v>4.4278098186457449E-2</v>
      </c>
      <c r="AE207" s="140">
        <f ca="1"/>
        <v>8.1495398458102164E-2</v>
      </c>
      <c r="AI207" s="137"/>
      <c r="AK207" s="137"/>
      <c r="AM207" s="137"/>
      <c r="AN207" s="137"/>
      <c r="AO207" s="137"/>
      <c r="AR207" s="137"/>
      <c r="AT207" s="137"/>
      <c r="AV207" s="137"/>
      <c r="AW207" s="137"/>
      <c r="AX207" s="137"/>
    </row>
    <row r="208" spans="1:50" s="79" customFormat="1" ht="10.199999999999999" x14ac:dyDescent="0.2">
      <c r="A208" s="97">
        <f t="shared" si="5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8" t="s">
        <v>87</v>
      </c>
      <c r="G208" s="158">
        <v>1.122E-3</v>
      </c>
      <c r="H208" s="158" t="s">
        <v>87</v>
      </c>
      <c r="I208" s="158">
        <v>1.936E-3</v>
      </c>
      <c r="J208" s="158" t="s">
        <v>87</v>
      </c>
      <c r="K208" s="158">
        <v>2.9919999999999999E-3</v>
      </c>
      <c r="L208" s="158">
        <v>3.9589999999999998E-3</v>
      </c>
      <c r="M208" s="158">
        <v>5.1029999999999999E-3</v>
      </c>
      <c r="N208" s="139" cm="1">
        <f t="array" aca="1" ref="N208:AE208" ca="1">IF(OR(B208="",NOT($J$2)),"",GetStripDefaultProbability(A208,B208,Parameter_Date,CDSRollDate,E208:M208,SpreadCurveMaturities,D208,C208,$J$4,$J$6))</f>
        <v>0</v>
      </c>
      <c r="O208" s="165">
        <f ca="1"/>
        <v>0</v>
      </c>
      <c r="P208" s="165">
        <f ca="1"/>
        <v>2.0559616777662271E-3</v>
      </c>
      <c r="Q208" s="165">
        <f ca="1"/>
        <v>0</v>
      </c>
      <c r="R208" s="165">
        <f ca="1"/>
        <v>1.0109500573373786E-2</v>
      </c>
      <c r="S208" s="165">
        <f ca="1"/>
        <v>0</v>
      </c>
      <c r="T208" s="165">
        <f ca="1"/>
        <v>2.6129975104790537E-2</v>
      </c>
      <c r="U208" s="165">
        <f ca="1"/>
        <v>4.868957662168516E-2</v>
      </c>
      <c r="V208" s="140">
        <f ca="1"/>
        <v>9.0026541562035378E-2</v>
      </c>
      <c r="W208" s="139">
        <f ca="1"/>
        <v>0</v>
      </c>
      <c r="X208" s="165">
        <f ca="1"/>
        <v>0</v>
      </c>
      <c r="Y208" s="165">
        <f ca="1"/>
        <v>2.2222718245822337E-3</v>
      </c>
      <c r="Z208" s="165">
        <f ca="1"/>
        <v>0</v>
      </c>
      <c r="AA208" s="165">
        <f ca="1"/>
        <v>1.0624252412082869E-2</v>
      </c>
      <c r="AB208" s="165">
        <f ca="1"/>
        <v>0</v>
      </c>
      <c r="AC208" s="165">
        <f ca="1"/>
        <v>2.7414085620212747E-2</v>
      </c>
      <c r="AD208" s="165">
        <f ca="1"/>
        <v>5.1068333298910251E-2</v>
      </c>
      <c r="AE208" s="140">
        <f ca="1"/>
        <v>9.4371555196125723E-2</v>
      </c>
      <c r="AI208" s="137"/>
      <c r="AK208" s="137"/>
      <c r="AM208" s="137"/>
      <c r="AN208" s="137"/>
      <c r="AO208" s="137"/>
      <c r="AR208" s="137"/>
      <c r="AT208" s="137"/>
      <c r="AV208" s="137"/>
      <c r="AW208" s="137"/>
      <c r="AX208" s="137"/>
    </row>
    <row r="209" spans="1:50" s="79" customFormat="1" ht="10.199999999999999" x14ac:dyDescent="0.2">
      <c r="A209" s="97">
        <f t="shared" si="5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8" t="s">
        <v>87</v>
      </c>
      <c r="G209" s="158">
        <v>3.9202000000000001E-2</v>
      </c>
      <c r="H209" s="158" t="s">
        <v>87</v>
      </c>
      <c r="I209" s="158">
        <v>3.9371999999999997E-2</v>
      </c>
      <c r="J209" s="158" t="s">
        <v>87</v>
      </c>
      <c r="K209" s="158">
        <v>3.4451000000000002E-2</v>
      </c>
      <c r="L209" s="158">
        <v>3.1989999999999998E-2</v>
      </c>
      <c r="M209" s="158">
        <v>3.0020999999999999E-2</v>
      </c>
      <c r="N209" s="139" cm="1">
        <f t="array" aca="1" ref="N209:AE209" ca="1">IF(OR(B209="",NOT($J$2)),"",GetStripDefaultProbability(A209,B209,Parameter_Date,CDSRollDate,E209:M209,SpreadCurveMaturities,D209,C209,$J$4,$J$6))</f>
        <v>0</v>
      </c>
      <c r="O209" s="165">
        <f ca="1"/>
        <v>0</v>
      </c>
      <c r="P209" s="165">
        <f ca="1"/>
        <v>6.9381071782747661E-2</v>
      </c>
      <c r="Q209" s="165">
        <f ca="1"/>
        <v>0</v>
      </c>
      <c r="R209" s="165">
        <f ca="1"/>
        <v>0.18485276443276466</v>
      </c>
      <c r="S209" s="165">
        <f ca="1"/>
        <v>0</v>
      </c>
      <c r="T209" s="165">
        <f ca="1"/>
        <v>0.249325548712647</v>
      </c>
      <c r="U209" s="165">
        <f ca="1"/>
        <v>0.3052480021921693</v>
      </c>
      <c r="V209" s="140">
        <f ca="1"/>
        <v>0.37948319968367294</v>
      </c>
      <c r="W209" s="139">
        <f ca="1"/>
        <v>0</v>
      </c>
      <c r="X209" s="165">
        <f ca="1"/>
        <v>0</v>
      </c>
      <c r="Y209" s="165">
        <f ca="1"/>
        <v>7.2720799995342866E-2</v>
      </c>
      <c r="Z209" s="165">
        <f ca="1"/>
        <v>0</v>
      </c>
      <c r="AA209" s="165">
        <f ca="1"/>
        <v>0.19314211539377468</v>
      </c>
      <c r="AB209" s="165">
        <f ca="1"/>
        <v>0</v>
      </c>
      <c r="AC209" s="165">
        <f ca="1"/>
        <v>0.25982515329375444</v>
      </c>
      <c r="AD209" s="165">
        <f ca="1"/>
        <v>0.31742726598220705</v>
      </c>
      <c r="AE209" s="140">
        <f ca="1"/>
        <v>0.39352578378439318</v>
      </c>
      <c r="AI209" s="137"/>
      <c r="AK209" s="137"/>
      <c r="AM209" s="137"/>
      <c r="AN209" s="137"/>
      <c r="AO209" s="137"/>
      <c r="AR209" s="137"/>
      <c r="AT209" s="137"/>
      <c r="AV209" s="137"/>
      <c r="AW209" s="137"/>
      <c r="AX209" s="137"/>
    </row>
    <row r="210" spans="1:50" s="79" customFormat="1" ht="10.199999999999999" x14ac:dyDescent="0.2">
      <c r="A210" s="97">
        <f t="shared" si="5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8" t="s">
        <v>87</v>
      </c>
      <c r="G210" s="158">
        <v>4.2750000000000002E-3</v>
      </c>
      <c r="H210" s="158" t="s">
        <v>87</v>
      </c>
      <c r="I210" s="158">
        <v>7.5789999999999998E-3</v>
      </c>
      <c r="J210" s="158" t="s">
        <v>87</v>
      </c>
      <c r="K210" s="158">
        <v>1.1918E-2</v>
      </c>
      <c r="L210" s="158">
        <v>1.4062E-2</v>
      </c>
      <c r="M210" s="158">
        <v>1.6954E-2</v>
      </c>
      <c r="N210" s="139" cm="1">
        <f t="array" aca="1" ref="N210:AE210" ca="1">IF(OR(B210="",NOT($J$2)),"",GetStripDefaultProbability(A210,B210,Parameter_Date,CDSRollDate,E210:M210,SpreadCurveMaturities,D210,C210,$J$4,$J$6))</f>
        <v>0</v>
      </c>
      <c r="O210" s="165">
        <f ca="1"/>
        <v>0</v>
      </c>
      <c r="P210" s="165">
        <f ca="1"/>
        <v>7.8111427957774371E-3</v>
      </c>
      <c r="Q210" s="165">
        <f ca="1"/>
        <v>0</v>
      </c>
      <c r="R210" s="165">
        <f ca="1"/>
        <v>3.9112741933157613E-2</v>
      </c>
      <c r="S210" s="165">
        <f ca="1"/>
        <v>0</v>
      </c>
      <c r="T210" s="165">
        <f ca="1"/>
        <v>0.10127086994767986</v>
      </c>
      <c r="U210" s="165">
        <f ca="1"/>
        <v>0.16327188429008344</v>
      </c>
      <c r="V210" s="140">
        <f ca="1"/>
        <v>0.27204725459034762</v>
      </c>
      <c r="W210" s="139">
        <f ca="1"/>
        <v>0</v>
      </c>
      <c r="X210" s="165">
        <f ca="1"/>
        <v>0</v>
      </c>
      <c r="Y210" s="165">
        <f ca="1"/>
        <v>8.1997946445419023E-3</v>
      </c>
      <c r="Z210" s="165">
        <f ca="1"/>
        <v>0</v>
      </c>
      <c r="AA210" s="165">
        <f ca="1"/>
        <v>4.1024383408073462E-2</v>
      </c>
      <c r="AB210" s="165">
        <f ca="1"/>
        <v>0</v>
      </c>
      <c r="AC210" s="165">
        <f ca="1"/>
        <v>0.10613571642295327</v>
      </c>
      <c r="AD210" s="165">
        <f ca="1"/>
        <v>0.17088540603163527</v>
      </c>
      <c r="AE210" s="140">
        <f ca="1"/>
        <v>0.28407040839364395</v>
      </c>
      <c r="AI210" s="137"/>
      <c r="AK210" s="137"/>
      <c r="AM210" s="137"/>
      <c r="AN210" s="137"/>
      <c r="AO210" s="137"/>
      <c r="AR210" s="137"/>
      <c r="AT210" s="137"/>
      <c r="AV210" s="137"/>
      <c r="AW210" s="137"/>
      <c r="AX210" s="137"/>
    </row>
    <row r="211" spans="1:50" s="79" customFormat="1" ht="10.199999999999999" x14ac:dyDescent="0.2">
      <c r="A211" s="97">
        <f t="shared" si="5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8" t="s">
        <v>87</v>
      </c>
      <c r="G211" s="158">
        <v>3.6250000000000002E-3</v>
      </c>
      <c r="H211" s="158" t="s">
        <v>87</v>
      </c>
      <c r="I211" s="158">
        <v>7.8189999999999996E-3</v>
      </c>
      <c r="J211" s="158" t="s">
        <v>87</v>
      </c>
      <c r="K211" s="158">
        <v>1.2063000000000001E-2</v>
      </c>
      <c r="L211" s="158">
        <v>1.3636000000000001E-2</v>
      </c>
      <c r="M211" s="158">
        <v>1.5828999999999999E-2</v>
      </c>
      <c r="N211" s="139" cm="1">
        <f t="array" aca="1" ref="N211:AE211" ca="1">IF(OR(B211="",NOT($J$2)),"",GetStripDefaultProbability(A211,B211,Parameter_Date,CDSRollDate,E211:M211,SpreadCurveMaturities,D211,C211,$J$4,$J$6))</f>
        <v>0</v>
      </c>
      <c r="O211" s="165">
        <f ca="1"/>
        <v>0</v>
      </c>
      <c r="P211" s="165">
        <f ca="1"/>
        <v>6.6273906415479367E-3</v>
      </c>
      <c r="Q211" s="165">
        <f ca="1"/>
        <v>0</v>
      </c>
      <c r="R211" s="165">
        <f ca="1"/>
        <v>4.0459429192131746E-2</v>
      </c>
      <c r="S211" s="165">
        <f ca="1"/>
        <v>0</v>
      </c>
      <c r="T211" s="165">
        <f ca="1"/>
        <v>0.1024746059609889</v>
      </c>
      <c r="U211" s="165">
        <f ca="1"/>
        <v>0.15772100444226711</v>
      </c>
      <c r="V211" s="140">
        <f ca="1"/>
        <v>0.25293424779732199</v>
      </c>
      <c r="W211" s="139">
        <f ca="1"/>
        <v>0</v>
      </c>
      <c r="X211" s="165">
        <f ca="1"/>
        <v>0</v>
      </c>
      <c r="Y211" s="165">
        <f ca="1"/>
        <v>6.9573940289806568E-3</v>
      </c>
      <c r="Z211" s="165">
        <f ca="1"/>
        <v>0</v>
      </c>
      <c r="AA211" s="165">
        <f ca="1"/>
        <v>4.2435832344815516E-2</v>
      </c>
      <c r="AB211" s="165">
        <f ca="1"/>
        <v>0</v>
      </c>
      <c r="AC211" s="165">
        <f ca="1"/>
        <v>0.10739541590947277</v>
      </c>
      <c r="AD211" s="165">
        <f ca="1"/>
        <v>0.16507798658112405</v>
      </c>
      <c r="AE211" s="140">
        <f ca="1"/>
        <v>0.26416279662824638</v>
      </c>
      <c r="AI211" s="137"/>
      <c r="AK211" s="137"/>
      <c r="AM211" s="137"/>
      <c r="AN211" s="137"/>
      <c r="AO211" s="137"/>
      <c r="AR211" s="137"/>
      <c r="AT211" s="137"/>
      <c r="AV211" s="137"/>
      <c r="AW211" s="137"/>
      <c r="AX211" s="137"/>
    </row>
    <row r="212" spans="1:50" s="79" customFormat="1" ht="10.199999999999999" x14ac:dyDescent="0.2">
      <c r="A212" s="97">
        <f t="shared" si="5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8" t="s">
        <v>87</v>
      </c>
      <c r="G212" s="158">
        <v>6.7599999999999995E-4</v>
      </c>
      <c r="H212" s="158" t="s">
        <v>87</v>
      </c>
      <c r="I212" s="158">
        <v>1.158E-3</v>
      </c>
      <c r="J212" s="158" t="s">
        <v>87</v>
      </c>
      <c r="K212" s="158">
        <v>1.9300000000000001E-3</v>
      </c>
      <c r="L212" s="158">
        <v>2.4610000000000001E-3</v>
      </c>
      <c r="M212" s="158">
        <v>3.571E-3</v>
      </c>
      <c r="N212" s="139" cm="1">
        <f t="array" aca="1" ref="N212:AE212" ca="1">IF(OR(B212="",NOT($J$2)),"",GetStripDefaultProbability(A212,B212,Parameter_Date,CDSRollDate,E212:M212,SpreadCurveMaturities,D212,C212,$J$4,$J$6))</f>
        <v>0</v>
      </c>
      <c r="O212" s="165">
        <f ca="1"/>
        <v>0</v>
      </c>
      <c r="P212" s="165">
        <f ca="1"/>
        <v>1.2392104493526013E-3</v>
      </c>
      <c r="Q212" s="165">
        <f ca="1"/>
        <v>0</v>
      </c>
      <c r="R212" s="165">
        <f ca="1"/>
        <v>6.0565307985961381E-3</v>
      </c>
      <c r="S212" s="165">
        <f ca="1"/>
        <v>0</v>
      </c>
      <c r="T212" s="165">
        <f ca="1"/>
        <v>1.6969938552694352E-2</v>
      </c>
      <c r="U212" s="165">
        <f ca="1"/>
        <v>3.0416622426407303E-2</v>
      </c>
      <c r="V212" s="140">
        <f ca="1"/>
        <v>6.4572532860040055E-2</v>
      </c>
      <c r="W212" s="139">
        <f ca="1"/>
        <v>0</v>
      </c>
      <c r="X212" s="165">
        <f ca="1"/>
        <v>0</v>
      </c>
      <c r="Y212" s="165">
        <f ca="1"/>
        <v>1.4056567100166895E-3</v>
      </c>
      <c r="Z212" s="165">
        <f ca="1"/>
        <v>0</v>
      </c>
      <c r="AA212" s="165">
        <f ca="1"/>
        <v>6.5735249944891549E-3</v>
      </c>
      <c r="AB212" s="165">
        <f ca="1"/>
        <v>0</v>
      </c>
      <c r="AC212" s="165">
        <f ca="1"/>
        <v>1.7812351290324546E-2</v>
      </c>
      <c r="AD212" s="165">
        <f ca="1"/>
        <v>3.1882958695107488E-2</v>
      </c>
      <c r="AE212" s="140">
        <f ca="1"/>
        <v>6.7675136587587281E-2</v>
      </c>
      <c r="AI212" s="137"/>
      <c r="AK212" s="137"/>
      <c r="AM212" s="137"/>
      <c r="AN212" s="137"/>
      <c r="AO212" s="137"/>
      <c r="AR212" s="137"/>
      <c r="AT212" s="137"/>
      <c r="AV212" s="137"/>
      <c r="AW212" s="137"/>
      <c r="AX212" s="137"/>
    </row>
    <row r="213" spans="1:50" s="79" customFormat="1" ht="10.199999999999999" x14ac:dyDescent="0.2">
      <c r="A213" s="97">
        <f t="shared" si="5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8" t="s">
        <v>87</v>
      </c>
      <c r="G213" s="158">
        <v>5.1699999999999999E-4</v>
      </c>
      <c r="H213" s="158" t="s">
        <v>87</v>
      </c>
      <c r="I213" s="158">
        <v>1.0820000000000001E-3</v>
      </c>
      <c r="J213" s="158" t="s">
        <v>87</v>
      </c>
      <c r="K213" s="158">
        <v>1.882E-3</v>
      </c>
      <c r="L213" s="158">
        <v>2.1879999999999998E-3</v>
      </c>
      <c r="M213" s="158">
        <v>2.7569999999999999E-3</v>
      </c>
      <c r="N213" s="139" cm="1">
        <f t="array" aca="1" ref="N213:AE213" ca="1">IF(OR(B213="",NOT($J$2)),"",GetStripDefaultProbability(A213,B213,Parameter_Date,CDSRollDate,E213:M213,SpreadCurveMaturities,D213,C213,$J$4,$J$6))</f>
        <v>0</v>
      </c>
      <c r="O213" s="165">
        <f ca="1"/>
        <v>0</v>
      </c>
      <c r="P213" s="165">
        <f ca="1"/>
        <v>9.4787648951710768E-4</v>
      </c>
      <c r="Q213" s="165">
        <f ca="1"/>
        <v>0</v>
      </c>
      <c r="R213" s="165">
        <f ca="1"/>
        <v>5.6753358846225455E-3</v>
      </c>
      <c r="S213" s="165">
        <f ca="1"/>
        <v>0</v>
      </c>
      <c r="T213" s="165">
        <f ca="1"/>
        <v>1.6596375907364513E-2</v>
      </c>
      <c r="U213" s="165">
        <f ca="1"/>
        <v>2.6881758140538503E-2</v>
      </c>
      <c r="V213" s="140">
        <f ca="1"/>
        <v>4.8976361267117463E-2</v>
      </c>
      <c r="W213" s="139">
        <f ca="1"/>
        <v>0</v>
      </c>
      <c r="X213" s="165">
        <f ca="1"/>
        <v>0</v>
      </c>
      <c r="Y213" s="165">
        <f ca="1"/>
        <v>1.1143713018323398E-3</v>
      </c>
      <c r="Z213" s="165">
        <f ca="1"/>
        <v>0</v>
      </c>
      <c r="AA213" s="165">
        <f ca="1"/>
        <v>6.1925740392102524E-3</v>
      </c>
      <c r="AB213" s="165">
        <f ca="1"/>
        <v>0</v>
      </c>
      <c r="AC213" s="165">
        <f ca="1"/>
        <v>1.7439218426287706E-2</v>
      </c>
      <c r="AD213" s="165">
        <f ca="1"/>
        <v>2.8169661859787531E-2</v>
      </c>
      <c r="AE213" s="140">
        <f ca="1"/>
        <v>5.1330421553162253E-2</v>
      </c>
      <c r="AI213" s="137"/>
      <c r="AK213" s="137"/>
      <c r="AM213" s="137"/>
      <c r="AN213" s="137"/>
      <c r="AO213" s="137"/>
      <c r="AR213" s="137"/>
      <c r="AT213" s="137"/>
      <c r="AV213" s="137"/>
      <c r="AW213" s="137"/>
      <c r="AX213" s="137"/>
    </row>
    <row r="214" spans="1:50" s="79" customFormat="1" ht="10.199999999999999" x14ac:dyDescent="0.2">
      <c r="A214" s="97">
        <f t="shared" si="5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8" t="s">
        <v>87</v>
      </c>
      <c r="G214" s="158">
        <v>5.7200000000000003E-4</v>
      </c>
      <c r="H214" s="158" t="s">
        <v>87</v>
      </c>
      <c r="I214" s="158">
        <v>2.3140000000000001E-3</v>
      </c>
      <c r="J214" s="158" t="s">
        <v>87</v>
      </c>
      <c r="K214" s="158">
        <v>4.1009999999999996E-3</v>
      </c>
      <c r="L214" s="158">
        <v>5.7629999999999999E-3</v>
      </c>
      <c r="M214" s="158">
        <v>6.9569999999999996E-3</v>
      </c>
      <c r="N214" s="139" cm="1">
        <f t="array" aca="1" ref="N214:AE214" ca="1">IF(OR(B214="",NOT($J$2)),"",GetStripDefaultProbability(A214,B214,Parameter_Date,CDSRollDate,E214:M214,SpreadCurveMaturities,D214,C214,$J$4,$J$6))</f>
        <v>0</v>
      </c>
      <c r="O214" s="165">
        <f ca="1"/>
        <v>0</v>
      </c>
      <c r="P214" s="165">
        <f ca="1"/>
        <v>1.0486619251388607E-3</v>
      </c>
      <c r="Q214" s="165">
        <f ca="1"/>
        <v>0</v>
      </c>
      <c r="R214" s="165">
        <f ca="1"/>
        <v>1.2180770773268623E-2</v>
      </c>
      <c r="S214" s="165">
        <f ca="1"/>
        <v>0</v>
      </c>
      <c r="T214" s="165">
        <f ca="1"/>
        <v>3.6034229219056191E-2</v>
      </c>
      <c r="U214" s="165">
        <f ca="1"/>
        <v>7.1094158131712826E-2</v>
      </c>
      <c r="V214" s="140">
        <f ca="1"/>
        <v>0.12083593932870096</v>
      </c>
      <c r="W214" s="139">
        <f ca="1"/>
        <v>0</v>
      </c>
      <c r="X214" s="165">
        <f ca="1"/>
        <v>0</v>
      </c>
      <c r="Y214" s="165">
        <f ca="1"/>
        <v>1.2151399412508868E-3</v>
      </c>
      <c r="Z214" s="165">
        <f ca="1"/>
        <v>0</v>
      </c>
      <c r="AA214" s="165">
        <f ca="1"/>
        <v>1.2777221030142893E-2</v>
      </c>
      <c r="AB214" s="165">
        <f ca="1"/>
        <v>0</v>
      </c>
      <c r="AC214" s="165">
        <f ca="1"/>
        <v>3.7798543735044543E-2</v>
      </c>
      <c r="AD214" s="165">
        <f ca="1"/>
        <v>7.4539802397060928E-2</v>
      </c>
      <c r="AE214" s="140">
        <f ca="1"/>
        <v>0.12659269638890347</v>
      </c>
      <c r="AI214" s="137"/>
      <c r="AK214" s="137"/>
      <c r="AM214" s="137"/>
      <c r="AN214" s="137"/>
      <c r="AO214" s="137"/>
      <c r="AR214" s="137"/>
      <c r="AT214" s="137"/>
      <c r="AV214" s="137"/>
      <c r="AW214" s="137"/>
      <c r="AX214" s="137"/>
    </row>
    <row r="215" spans="1:50" s="79" customFormat="1" ht="10.199999999999999" x14ac:dyDescent="0.2">
      <c r="A215" s="97">
        <f t="shared" si="5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8" t="s">
        <v>87</v>
      </c>
      <c r="G215" s="158">
        <v>1.358E-3</v>
      </c>
      <c r="H215" s="158" t="s">
        <v>87</v>
      </c>
      <c r="I215" s="158">
        <v>2.5469999999999998E-3</v>
      </c>
      <c r="J215" s="158" t="s">
        <v>87</v>
      </c>
      <c r="K215" s="158">
        <v>4.5840000000000004E-3</v>
      </c>
      <c r="L215" s="158">
        <v>5.7549999999999997E-3</v>
      </c>
      <c r="M215" s="158">
        <v>8.0470000000000003E-3</v>
      </c>
      <c r="N215" s="139" cm="1">
        <f t="array" aca="1" ref="N215:AE215" ca="1">IF(OR(B215="",NOT($J$2)),"",GetStripDefaultProbability(A215,B215,Parameter_Date,CDSRollDate,E215:M215,SpreadCurveMaturities,D215,C215,$J$4,$J$6))</f>
        <v>0</v>
      </c>
      <c r="O215" s="165">
        <f ca="1"/>
        <v>0</v>
      </c>
      <c r="P215" s="165">
        <f ca="1"/>
        <v>2.4878759095612324E-3</v>
      </c>
      <c r="Q215" s="165">
        <f ca="1"/>
        <v>0</v>
      </c>
      <c r="R215" s="165">
        <f ca="1"/>
        <v>1.3298932797557339E-2</v>
      </c>
      <c r="S215" s="165">
        <f ca="1"/>
        <v>0</v>
      </c>
      <c r="T215" s="165">
        <f ca="1"/>
        <v>4.0139573088289637E-2</v>
      </c>
      <c r="U215" s="165">
        <f ca="1"/>
        <v>7.0169975722230382E-2</v>
      </c>
      <c r="V215" s="140">
        <f ca="1"/>
        <v>0.1410249856247312</v>
      </c>
      <c r="W215" s="139">
        <f ca="1"/>
        <v>0</v>
      </c>
      <c r="X215" s="165">
        <f ca="1"/>
        <v>0</v>
      </c>
      <c r="Y215" s="165">
        <f ca="1"/>
        <v>2.6541140766714877E-3</v>
      </c>
      <c r="Z215" s="165">
        <f ca="1"/>
        <v>0</v>
      </c>
      <c r="AA215" s="165">
        <f ca="1"/>
        <v>1.3955790915029964E-2</v>
      </c>
      <c r="AB215" s="165">
        <f ca="1"/>
        <v>0</v>
      </c>
      <c r="AC215" s="165">
        <f ca="1"/>
        <v>4.2107090916474132E-2</v>
      </c>
      <c r="AD215" s="165">
        <f ca="1"/>
        <v>7.3573922621409937E-2</v>
      </c>
      <c r="AE215" s="140">
        <f ca="1"/>
        <v>0.14772146442831768</v>
      </c>
      <c r="AI215" s="137"/>
      <c r="AK215" s="137"/>
      <c r="AM215" s="137"/>
      <c r="AN215" s="137"/>
      <c r="AO215" s="137"/>
      <c r="AR215" s="137"/>
      <c r="AT215" s="137"/>
      <c r="AV215" s="137"/>
      <c r="AW215" s="137"/>
      <c r="AX215" s="137"/>
    </row>
    <row r="216" spans="1:50" s="79" customFormat="1" ht="10.199999999999999" x14ac:dyDescent="0.2">
      <c r="A216" s="97">
        <f t="shared" si="5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8" t="s">
        <v>87</v>
      </c>
      <c r="G216" s="158">
        <v>2.9978999999999999E-2</v>
      </c>
      <c r="H216" s="158" t="s">
        <v>87</v>
      </c>
      <c r="I216" s="158">
        <v>2.785E-2</v>
      </c>
      <c r="J216" s="158" t="s">
        <v>87</v>
      </c>
      <c r="K216" s="158">
        <v>2.5090000000000001E-2</v>
      </c>
      <c r="L216" s="158">
        <v>2.1465999999999999E-2</v>
      </c>
      <c r="M216" s="158">
        <v>1.8398999999999999E-2</v>
      </c>
      <c r="N216" s="139" cm="1">
        <f t="array" aca="1" ref="N216:AE216" ca="1">IF(OR(B216="",NOT($J$2)),"",GetStripDefaultProbability(A216,B216,Parameter_Date,CDSRollDate,E216:M216,SpreadCurveMaturities,D216,C216,$J$4,$J$6))</f>
        <v>0</v>
      </c>
      <c r="O216" s="165">
        <f ca="1"/>
        <v>0</v>
      </c>
      <c r="P216" s="165">
        <f ca="1"/>
        <v>5.3504122122054687E-2</v>
      </c>
      <c r="Q216" s="165">
        <f ca="1"/>
        <v>0</v>
      </c>
      <c r="R216" s="165">
        <f ca="1"/>
        <v>0.13406891924079112</v>
      </c>
      <c r="S216" s="165">
        <f ca="1"/>
        <v>0</v>
      </c>
      <c r="T216" s="165">
        <f ca="1"/>
        <v>0.18966047264809449</v>
      </c>
      <c r="U216" s="165">
        <f ca="1"/>
        <v>0.21399505969036292</v>
      </c>
      <c r="V216" s="140">
        <f ca="1"/>
        <v>0.24407152961870793</v>
      </c>
      <c r="W216" s="139">
        <f ca="1"/>
        <v>0</v>
      </c>
      <c r="X216" s="165">
        <f ca="1"/>
        <v>0</v>
      </c>
      <c r="Y216" s="165">
        <f ca="1"/>
        <v>5.6102818428865997E-2</v>
      </c>
      <c r="Z216" s="165">
        <f ca="1"/>
        <v>0</v>
      </c>
      <c r="AA216" s="165">
        <f ca="1"/>
        <v>0.14026463921923971</v>
      </c>
      <c r="AB216" s="165">
        <f ca="1"/>
        <v>0</v>
      </c>
      <c r="AC216" s="165">
        <f ca="1"/>
        <v>0.19804440355894282</v>
      </c>
      <c r="AD216" s="165">
        <f ca="1"/>
        <v>0.22310734685798395</v>
      </c>
      <c r="AE216" s="140">
        <f ca="1"/>
        <v>0.2540328565053902</v>
      </c>
      <c r="AI216" s="137"/>
      <c r="AK216" s="137"/>
      <c r="AM216" s="137"/>
      <c r="AN216" s="137"/>
      <c r="AO216" s="137"/>
      <c r="AR216" s="137"/>
      <c r="AT216" s="137"/>
      <c r="AV216" s="137"/>
      <c r="AW216" s="137"/>
      <c r="AX216" s="137"/>
    </row>
    <row r="217" spans="1:50" s="79" customFormat="1" ht="10.199999999999999" x14ac:dyDescent="0.2">
      <c r="A217" s="97">
        <f t="shared" si="5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8" t="s">
        <v>87</v>
      </c>
      <c r="G217" s="158">
        <v>1.1770000000000001E-3</v>
      </c>
      <c r="H217" s="158" t="s">
        <v>87</v>
      </c>
      <c r="I217" s="158">
        <v>1.9789999999999999E-3</v>
      </c>
      <c r="J217" s="158" t="s">
        <v>87</v>
      </c>
      <c r="K217" s="158">
        <v>2.4610000000000001E-3</v>
      </c>
      <c r="L217" s="158">
        <v>3.2100000000000002E-3</v>
      </c>
      <c r="M217" s="158">
        <v>4.0119999999999999E-3</v>
      </c>
      <c r="N217" s="139" cm="1">
        <f t="array" aca="1" ref="N217:AE217" ca="1">IF(OR(B217="",NOT($J$2)),"",GetStripDefaultProbability(A217,B217,Parameter_Date,CDSRollDate,E217:M217,SpreadCurveMaturities,D217,C217,$J$4,$J$6))</f>
        <v>0</v>
      </c>
      <c r="O217" s="165">
        <f ca="1"/>
        <v>0</v>
      </c>
      <c r="P217" s="165">
        <f ca="1"/>
        <v>2.156636225952413E-3</v>
      </c>
      <c r="Q217" s="165">
        <f ca="1"/>
        <v>0</v>
      </c>
      <c r="R217" s="165">
        <f ca="1"/>
        <v>1.0328918606264503E-2</v>
      </c>
      <c r="S217" s="165">
        <f ca="1"/>
        <v>0</v>
      </c>
      <c r="T217" s="165">
        <f ca="1"/>
        <v>2.1272539669781598E-2</v>
      </c>
      <c r="U217" s="165">
        <f ca="1"/>
        <v>3.9292689433052086E-2</v>
      </c>
      <c r="V217" s="140">
        <f ca="1"/>
        <v>7.0648305428324454E-2</v>
      </c>
      <c r="W217" s="139">
        <f ca="1"/>
        <v>0</v>
      </c>
      <c r="X217" s="165">
        <f ca="1"/>
        <v>0</v>
      </c>
      <c r="Y217" s="165">
        <f ca="1"/>
        <v>2.3229295950893958E-3</v>
      </c>
      <c r="Z217" s="165">
        <f ca="1"/>
        <v>0</v>
      </c>
      <c r="AA217" s="165">
        <f ca="1"/>
        <v>1.084353594895715E-2</v>
      </c>
      <c r="AB217" s="165">
        <f ca="1"/>
        <v>0</v>
      </c>
      <c r="AC217" s="165">
        <f ca="1"/>
        <v>2.2320179321124289E-2</v>
      </c>
      <c r="AD217" s="165">
        <f ca="1"/>
        <v>4.121882679506117E-2</v>
      </c>
      <c r="AE217" s="140">
        <f ca="1"/>
        <v>7.4063341186845988E-2</v>
      </c>
      <c r="AI217" s="137"/>
      <c r="AK217" s="137"/>
      <c r="AM217" s="137"/>
      <c r="AN217" s="137"/>
      <c r="AO217" s="137"/>
      <c r="AR217" s="137"/>
      <c r="AT217" s="137"/>
      <c r="AV217" s="137"/>
      <c r="AW217" s="137"/>
      <c r="AX217" s="137"/>
    </row>
    <row r="218" spans="1:50" s="79" customFormat="1" ht="10.199999999999999" x14ac:dyDescent="0.2">
      <c r="A218" s="97">
        <f t="shared" si="5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8" t="s">
        <v>87</v>
      </c>
      <c r="G218" s="158">
        <v>6.0800000000000003E-4</v>
      </c>
      <c r="H218" s="158" t="s">
        <v>87</v>
      </c>
      <c r="I218" s="158">
        <v>1.688E-3</v>
      </c>
      <c r="J218" s="158" t="s">
        <v>87</v>
      </c>
      <c r="K218" s="158">
        <v>2.5089999999999999E-3</v>
      </c>
      <c r="L218" s="158">
        <v>3.3609999999999998E-3</v>
      </c>
      <c r="M218" s="158">
        <v>4.2129999999999997E-3</v>
      </c>
      <c r="N218" s="139" cm="1">
        <f t="array" aca="1" ref="N218:AE218" ca="1">IF(OR(B218="",NOT($J$2)),"",GetStripDefaultProbability(A218,B218,Parameter_Date,CDSRollDate,E218:M218,SpreadCurveMaturities,D218,C218,$J$4,$J$6))</f>
        <v>0</v>
      </c>
      <c r="O218" s="165">
        <f ca="1"/>
        <v>0</v>
      </c>
      <c r="P218" s="165">
        <f ca="1"/>
        <v>1.1146251111291416E-3</v>
      </c>
      <c r="Q218" s="165">
        <f ca="1"/>
        <v>0</v>
      </c>
      <c r="R218" s="165">
        <f ca="1"/>
        <v>8.8698870987827805E-3</v>
      </c>
      <c r="S218" s="165">
        <f ca="1"/>
        <v>0</v>
      </c>
      <c r="T218" s="165">
        <f ca="1"/>
        <v>2.1954971244332433E-2</v>
      </c>
      <c r="U218" s="165">
        <f ca="1"/>
        <v>4.1498477727678784E-2</v>
      </c>
      <c r="V218" s="140">
        <f ca="1"/>
        <v>7.4513772306052606E-2</v>
      </c>
      <c r="W218" s="139">
        <f ca="1"/>
        <v>0</v>
      </c>
      <c r="X218" s="165">
        <f ca="1"/>
        <v>0</v>
      </c>
      <c r="Y218" s="165">
        <f ca="1"/>
        <v>1.2810921343229253E-3</v>
      </c>
      <c r="Z218" s="165">
        <f ca="1"/>
        <v>0</v>
      </c>
      <c r="AA218" s="165">
        <f ca="1"/>
        <v>9.3854491887324087E-3</v>
      </c>
      <c r="AB218" s="165">
        <f ca="1"/>
        <v>0</v>
      </c>
      <c r="AC218" s="165">
        <f ca="1"/>
        <v>2.3024504053045347E-2</v>
      </c>
      <c r="AD218" s="165">
        <f ca="1"/>
        <v>4.3520566646559788E-2</v>
      </c>
      <c r="AE218" s="140">
        <f ca="1"/>
        <v>7.8099789456221091E-2</v>
      </c>
      <c r="AI218" s="137"/>
      <c r="AK218" s="137"/>
      <c r="AM218" s="137"/>
      <c r="AN218" s="137"/>
      <c r="AO218" s="137"/>
      <c r="AR218" s="137"/>
      <c r="AT218" s="137"/>
      <c r="AV218" s="137"/>
      <c r="AW218" s="137"/>
      <c r="AX218" s="137"/>
    </row>
    <row r="219" spans="1:50" s="79" customFormat="1" ht="10.199999999999999" x14ac:dyDescent="0.2">
      <c r="A219" s="97">
        <f t="shared" si="5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8" t="s">
        <v>87</v>
      </c>
      <c r="G219" s="158">
        <v>2.8519999999999999E-3</v>
      </c>
      <c r="H219" s="158" t="s">
        <v>87</v>
      </c>
      <c r="I219" s="158">
        <v>4.0480000000000004E-3</v>
      </c>
      <c r="J219" s="158" t="s">
        <v>87</v>
      </c>
      <c r="K219" s="158">
        <v>6.8999999999999999E-3</v>
      </c>
      <c r="L219" s="158">
        <v>8.3260000000000001E-3</v>
      </c>
      <c r="M219" s="158">
        <v>1.0028E-2</v>
      </c>
      <c r="N219" s="139" cm="1">
        <f t="array" aca="1" ref="N219:AE219" ca="1">IF(OR(B219="",NOT($J$2)),"",GetStripDefaultProbability(A219,B219,Parameter_Date,CDSRollDate,E219:M219,SpreadCurveMaturities,D219,C219,$J$4,$J$6))</f>
        <v>0</v>
      </c>
      <c r="O219" s="165">
        <f ca="1"/>
        <v>0</v>
      </c>
      <c r="P219" s="165">
        <f ca="1"/>
        <v>5.217816965056965E-3</v>
      </c>
      <c r="Q219" s="165">
        <f ca="1"/>
        <v>0</v>
      </c>
      <c r="R219" s="165">
        <f ca="1"/>
        <v>2.0966414599576488E-2</v>
      </c>
      <c r="S219" s="165">
        <f ca="1"/>
        <v>0</v>
      </c>
      <c r="T219" s="165">
        <f ca="1"/>
        <v>5.9744546528204712E-2</v>
      </c>
      <c r="U219" s="165">
        <f ca="1"/>
        <v>9.9694612423206874E-2</v>
      </c>
      <c r="V219" s="140">
        <f ca="1"/>
        <v>0.16880340995322995</v>
      </c>
      <c r="W219" s="139">
        <f ca="1"/>
        <v>0</v>
      </c>
      <c r="X219" s="165">
        <f ca="1"/>
        <v>0</v>
      </c>
      <c r="Y219" s="165">
        <f ca="1"/>
        <v>5.4778651615209339E-3</v>
      </c>
      <c r="Z219" s="165">
        <f ca="1"/>
        <v>0</v>
      </c>
      <c r="AA219" s="165">
        <f ca="1"/>
        <v>2.2002167466171674E-2</v>
      </c>
      <c r="AB219" s="165">
        <f ca="1"/>
        <v>0</v>
      </c>
      <c r="AC219" s="165">
        <f ca="1"/>
        <v>6.2648420121211967E-2</v>
      </c>
      <c r="AD219" s="165">
        <f ca="1"/>
        <v>0.10446602383038406</v>
      </c>
      <c r="AE219" s="140">
        <f ca="1"/>
        <v>0.17666724073641915</v>
      </c>
      <c r="AI219" s="137"/>
      <c r="AK219" s="137"/>
      <c r="AM219" s="137"/>
      <c r="AN219" s="137"/>
      <c r="AO219" s="137"/>
      <c r="AR219" s="137"/>
      <c r="AT219" s="137"/>
      <c r="AV219" s="137"/>
      <c r="AW219" s="137"/>
      <c r="AX219" s="137"/>
    </row>
    <row r="220" spans="1:50" s="79" customFormat="1" ht="10.199999999999999" x14ac:dyDescent="0.2">
      <c r="A220" s="97">
        <f t="shared" si="5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8" t="s">
        <v>87</v>
      </c>
      <c r="G220" s="158">
        <v>1.1709999999999999E-3</v>
      </c>
      <c r="H220" s="158" t="s">
        <v>87</v>
      </c>
      <c r="I220" s="158">
        <v>2.1580000000000002E-3</v>
      </c>
      <c r="J220" s="158" t="s">
        <v>87</v>
      </c>
      <c r="K220" s="158">
        <v>3.3289999999999999E-3</v>
      </c>
      <c r="L220" s="158">
        <v>3.5130000000000001E-3</v>
      </c>
      <c r="M220" s="158">
        <v>4.032E-3</v>
      </c>
      <c r="N220" s="139" cm="1">
        <f t="array" aca="1" ref="N220:AE220" ca="1">IF(OR(B220="",NOT($J$2)),"",GetStripDefaultProbability(A220,B220,Parameter_Date,CDSRollDate,E220:M220,SpreadCurveMaturities,D220,C220,$J$4,$J$6))</f>
        <v>0</v>
      </c>
      <c r="O220" s="165">
        <f ca="1"/>
        <v>0</v>
      </c>
      <c r="P220" s="165">
        <f ca="1"/>
        <v>2.1456540374287236E-3</v>
      </c>
      <c r="Q220" s="165">
        <f ca="1"/>
        <v>0</v>
      </c>
      <c r="R220" s="165">
        <f ca="1"/>
        <v>1.1274351070025057E-2</v>
      </c>
      <c r="S220" s="165">
        <f ca="1"/>
        <v>0</v>
      </c>
      <c r="T220" s="165">
        <f ca="1"/>
        <v>2.905074291849663E-2</v>
      </c>
      <c r="U220" s="165">
        <f ca="1"/>
        <v>4.2272783550854731E-2</v>
      </c>
      <c r="V220" s="140">
        <f ca="1"/>
        <v>6.936486421741872E-2</v>
      </c>
      <c r="W220" s="139">
        <f ca="1"/>
        <v>0</v>
      </c>
      <c r="X220" s="165">
        <f ca="1"/>
        <v>0</v>
      </c>
      <c r="Y220" s="165">
        <f ca="1"/>
        <v>2.3119492367875694E-3</v>
      </c>
      <c r="Z220" s="165">
        <f ca="1"/>
        <v>0</v>
      </c>
      <c r="AA220" s="165">
        <f ca="1"/>
        <v>1.1830094154146709E-2</v>
      </c>
      <c r="AB220" s="165">
        <f ca="1"/>
        <v>0</v>
      </c>
      <c r="AC220" s="165">
        <f ca="1"/>
        <v>3.0479393581499425E-2</v>
      </c>
      <c r="AD220" s="165">
        <f ca="1"/>
        <v>4.4341463672253112E-2</v>
      </c>
      <c r="AE220" s="140">
        <f ca="1"/>
        <v>7.2712908709565705E-2</v>
      </c>
      <c r="AI220" s="137"/>
      <c r="AK220" s="137"/>
      <c r="AM220" s="137"/>
      <c r="AN220" s="137"/>
      <c r="AO220" s="137"/>
      <c r="AR220" s="137"/>
      <c r="AT220" s="137"/>
      <c r="AV220" s="137"/>
      <c r="AW220" s="137"/>
      <c r="AX220" s="137"/>
    </row>
    <row r="221" spans="1:50" s="79" customFormat="1" ht="10.199999999999999" x14ac:dyDescent="0.2">
      <c r="A221" s="97">
        <f t="shared" si="5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8" t="s">
        <v>87</v>
      </c>
      <c r="G221" s="158">
        <v>8.4699999999999999E-4</v>
      </c>
      <c r="H221" s="158" t="s">
        <v>87</v>
      </c>
      <c r="I221" s="158">
        <v>2.3890000000000001E-3</v>
      </c>
      <c r="J221" s="158" t="s">
        <v>87</v>
      </c>
      <c r="K221" s="158">
        <v>3.8119999999999999E-3</v>
      </c>
      <c r="L221" s="158">
        <v>5.0819999999999997E-3</v>
      </c>
      <c r="M221" s="158">
        <v>7.1149999999999998E-3</v>
      </c>
      <c r="N221" s="139" cm="1">
        <f t="array" aca="1" ref="N221:AE221" ca="1">IF(OR(B221="",NOT($J$2)),"",GetStripDefaultProbability(A221,B221,Parameter_Date,CDSRollDate,E221:M221,SpreadCurveMaturities,D221,C221,$J$4,$J$6))</f>
        <v>0</v>
      </c>
      <c r="O221" s="165">
        <f ca="1"/>
        <v>0</v>
      </c>
      <c r="P221" s="165">
        <f ca="1"/>
        <v>1.5524378098503711E-3</v>
      </c>
      <c r="Q221" s="165">
        <f ca="1"/>
        <v>0</v>
      </c>
      <c r="R221" s="165">
        <f ca="1"/>
        <v>1.253788867741068E-2</v>
      </c>
      <c r="S221" s="165">
        <f ca="1"/>
        <v>0</v>
      </c>
      <c r="T221" s="165">
        <f ca="1"/>
        <v>3.3335308906995431E-2</v>
      </c>
      <c r="U221" s="165">
        <f ca="1"/>
        <v>6.2379267794693605E-2</v>
      </c>
      <c r="V221" s="140">
        <f ca="1"/>
        <v>0.12564731706373755</v>
      </c>
      <c r="W221" s="139">
        <f ca="1"/>
        <v>0</v>
      </c>
      <c r="X221" s="165">
        <f ca="1"/>
        <v>0</v>
      </c>
      <c r="Y221" s="165">
        <f ca="1"/>
        <v>1.7188318703365013E-3</v>
      </c>
      <c r="Z221" s="165">
        <f ca="1"/>
        <v>0</v>
      </c>
      <c r="AA221" s="165">
        <f ca="1"/>
        <v>1.3153799467388372E-2</v>
      </c>
      <c r="AB221" s="165">
        <f ca="1"/>
        <v>0</v>
      </c>
      <c r="AC221" s="165">
        <f ca="1"/>
        <v>3.4970228459155539E-2</v>
      </c>
      <c r="AD221" s="165">
        <f ca="1"/>
        <v>6.5411805280171986E-2</v>
      </c>
      <c r="AE221" s="140">
        <f ca="1"/>
        <v>0.13164763198561757</v>
      </c>
      <c r="AI221" s="137"/>
      <c r="AK221" s="137"/>
      <c r="AM221" s="137"/>
      <c r="AN221" s="137"/>
      <c r="AO221" s="137"/>
      <c r="AR221" s="137"/>
      <c r="AT221" s="137"/>
      <c r="AV221" s="137"/>
      <c r="AW221" s="137"/>
      <c r="AX221" s="137"/>
    </row>
    <row r="222" spans="1:50" s="79" customFormat="1" ht="10.199999999999999" x14ac:dyDescent="0.2">
      <c r="A222" s="97">
        <f t="shared" si="5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8" t="s">
        <v>87</v>
      </c>
      <c r="G222" s="158">
        <v>9.6699999999999998E-4</v>
      </c>
      <c r="H222" s="158" t="s">
        <v>87</v>
      </c>
      <c r="I222" s="158">
        <v>2.1649999999999998E-3</v>
      </c>
      <c r="J222" s="158" t="s">
        <v>87</v>
      </c>
      <c r="K222" s="158">
        <v>2.7989999999999998E-3</v>
      </c>
      <c r="L222" s="158">
        <v>3.643E-3</v>
      </c>
      <c r="M222" s="158">
        <v>4.594E-3</v>
      </c>
      <c r="N222" s="139" cm="1">
        <f t="array" aca="1" ref="N222:AE222" ca="1">IF(OR(B222="",NOT($J$2)),"",GetStripDefaultProbability(A222,B222,Parameter_Date,CDSRollDate,E222:M222,SpreadCurveMaturities,D222,C222,$J$4,$J$6))</f>
        <v>0</v>
      </c>
      <c r="O222" s="165">
        <f ca="1"/>
        <v>0</v>
      </c>
      <c r="P222" s="165">
        <f ca="1"/>
        <v>1.7721882965165969E-3</v>
      </c>
      <c r="Q222" s="165">
        <f ca="1"/>
        <v>0</v>
      </c>
      <c r="R222" s="165">
        <f ca="1"/>
        <v>1.1339615317591645E-2</v>
      </c>
      <c r="S222" s="165">
        <f ca="1"/>
        <v>0</v>
      </c>
      <c r="T222" s="165">
        <f ca="1"/>
        <v>2.4266777910879278E-2</v>
      </c>
      <c r="U222" s="165">
        <f ca="1"/>
        <v>4.4599011217168139E-2</v>
      </c>
      <c r="V222" s="140">
        <f ca="1"/>
        <v>8.0800150392067782E-2</v>
      </c>
      <c r="W222" s="139">
        <f ca="1"/>
        <v>0</v>
      </c>
      <c r="X222" s="165">
        <f ca="1"/>
        <v>0</v>
      </c>
      <c r="Y222" s="165">
        <f ca="1"/>
        <v>1.9385457349557766E-3</v>
      </c>
      <c r="Z222" s="165">
        <f ca="1"/>
        <v>0</v>
      </c>
      <c r="AA222" s="165">
        <f ca="1"/>
        <v>1.1897217026527795E-2</v>
      </c>
      <c r="AB222" s="165">
        <f ca="1"/>
        <v>0</v>
      </c>
      <c r="AC222" s="165">
        <f ca="1"/>
        <v>2.5460299595989277E-2</v>
      </c>
      <c r="AD222" s="165">
        <f ca="1"/>
        <v>4.6780462083431451E-2</v>
      </c>
      <c r="AE222" s="140">
        <f ca="1"/>
        <v>8.4687643954842073E-2</v>
      </c>
      <c r="AI222" s="137"/>
      <c r="AK222" s="137"/>
      <c r="AM222" s="137"/>
      <c r="AN222" s="137"/>
      <c r="AO222" s="137"/>
      <c r="AR222" s="137"/>
      <c r="AT222" s="137"/>
      <c r="AV222" s="137"/>
      <c r="AW222" s="137"/>
      <c r="AX222" s="137"/>
    </row>
    <row r="223" spans="1:50" s="79" customFormat="1" ht="10.199999999999999" x14ac:dyDescent="0.2">
      <c r="A223" s="97">
        <f t="shared" si="5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8" t="s">
        <v>87</v>
      </c>
      <c r="G223" s="158">
        <v>5.0900000000000001E-4</v>
      </c>
      <c r="H223" s="158" t="s">
        <v>87</v>
      </c>
      <c r="I223" s="158">
        <v>1.818E-3</v>
      </c>
      <c r="J223" s="158" t="s">
        <v>87</v>
      </c>
      <c r="K223" s="158">
        <v>2.7499999999999998E-3</v>
      </c>
      <c r="L223" s="158">
        <v>3.4499999999999999E-3</v>
      </c>
      <c r="M223" s="158">
        <v>4.45E-3</v>
      </c>
      <c r="N223" s="139" cm="1">
        <f t="array" aca="1" ref="N223:AE223" ca="1">IF(OR(B223="",NOT($J$2)),"",GetStripDefaultProbability(A223,B223,Parameter_Date,CDSRollDate,E223:M223,SpreadCurveMaturities,D223,C223,$J$4,$J$6))</f>
        <v>0</v>
      </c>
      <c r="O223" s="165">
        <f ca="1"/>
        <v>0</v>
      </c>
      <c r="P223" s="165">
        <f ca="1"/>
        <v>9.3321594928119644E-4</v>
      </c>
      <c r="Q223" s="165">
        <f ca="1"/>
        <v>0</v>
      </c>
      <c r="R223" s="165">
        <f ca="1"/>
        <v>9.5705697466125228E-3</v>
      </c>
      <c r="S223" s="165">
        <f ca="1"/>
        <v>0</v>
      </c>
      <c r="T223" s="165">
        <f ca="1"/>
        <v>2.4086185996519571E-2</v>
      </c>
      <c r="U223" s="165">
        <f ca="1"/>
        <v>4.2358138200068618E-2</v>
      </c>
      <c r="V223" s="140">
        <f ca="1"/>
        <v>7.8691225770440631E-2</v>
      </c>
      <c r="W223" s="139">
        <f ca="1"/>
        <v>0</v>
      </c>
      <c r="X223" s="165">
        <f ca="1"/>
        <v>0</v>
      </c>
      <c r="Y223" s="165">
        <f ca="1"/>
        <v>1.0997132047997349E-3</v>
      </c>
      <c r="Z223" s="165">
        <f ca="1"/>
        <v>0</v>
      </c>
      <c r="AA223" s="165">
        <f ca="1"/>
        <v>1.0085771815875888E-2</v>
      </c>
      <c r="AB223" s="165">
        <f ca="1"/>
        <v>0</v>
      </c>
      <c r="AC223" s="165">
        <f ca="1"/>
        <v>2.5263144299233931E-2</v>
      </c>
      <c r="AD223" s="165">
        <f ca="1"/>
        <v>4.4424196287792816E-2</v>
      </c>
      <c r="AE223" s="140">
        <f ca="1"/>
        <v>8.247367613499057E-2</v>
      </c>
      <c r="AI223" s="137"/>
      <c r="AK223" s="137"/>
      <c r="AM223" s="137"/>
      <c r="AN223" s="137"/>
      <c r="AO223" s="137"/>
      <c r="AR223" s="137"/>
      <c r="AT223" s="137"/>
      <c r="AV223" s="137"/>
      <c r="AW223" s="137"/>
      <c r="AX223" s="137"/>
    </row>
    <row r="224" spans="1:50" s="79" customFormat="1" ht="10.199999999999999" x14ac:dyDescent="0.2">
      <c r="A224" s="97">
        <f t="shared" si="5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8" t="s">
        <v>87</v>
      </c>
      <c r="G224" s="158">
        <v>3.7399999999999998E-4</v>
      </c>
      <c r="H224" s="158" t="s">
        <v>87</v>
      </c>
      <c r="I224" s="158">
        <v>1.689E-3</v>
      </c>
      <c r="J224" s="158" t="s">
        <v>87</v>
      </c>
      <c r="K224" s="158">
        <v>2.6540000000000001E-3</v>
      </c>
      <c r="L224" s="158">
        <v>3.8119999999999999E-3</v>
      </c>
      <c r="M224" s="158">
        <v>5.0660000000000002E-3</v>
      </c>
      <c r="N224" s="139" cm="1">
        <f t="array" aca="1" ref="N224:AE224" ca="1">IF(OR(B224="",NOT($J$2)),"",GetStripDefaultProbability(A224,B224,Parameter_Date,CDSRollDate,E224:M224,SpreadCurveMaturities,D224,C224,$J$4,$J$6))</f>
        <v>0</v>
      </c>
      <c r="O224" s="165">
        <f ca="1"/>
        <v>0</v>
      </c>
      <c r="P224" s="165">
        <f ca="1"/>
        <v>6.8578713306555183E-4</v>
      </c>
      <c r="Q224" s="165">
        <f ca="1"/>
        <v>0</v>
      </c>
      <c r="R224" s="165">
        <f ca="1"/>
        <v>8.9071867221903744E-3</v>
      </c>
      <c r="S224" s="165">
        <f ca="1"/>
        <v>0</v>
      </c>
      <c r="T224" s="165">
        <f ca="1"/>
        <v>2.3306459068782481E-2</v>
      </c>
      <c r="U224" s="165">
        <f ca="1"/>
        <v>4.7365562397195915E-2</v>
      </c>
      <c r="V224" s="140">
        <f ca="1"/>
        <v>9.0246730807701958E-2</v>
      </c>
      <c r="W224" s="139">
        <f ca="1"/>
        <v>0</v>
      </c>
      <c r="X224" s="165">
        <f ca="1"/>
        <v>0</v>
      </c>
      <c r="Y224" s="165">
        <f ca="1"/>
        <v>8.5232562328219075E-4</v>
      </c>
      <c r="Z224" s="165">
        <f ca="1"/>
        <v>0</v>
      </c>
      <c r="AA224" s="165">
        <f ca="1"/>
        <v>9.4227894766654163E-3</v>
      </c>
      <c r="AB224" s="165">
        <f ca="1"/>
        <v>0</v>
      </c>
      <c r="AC224" s="165">
        <f ca="1"/>
        <v>2.4440791968039943E-2</v>
      </c>
      <c r="AD224" s="165">
        <f ca="1"/>
        <v>4.9670007370846592E-2</v>
      </c>
      <c r="AE224" s="140">
        <f ca="1"/>
        <v>9.4596443419569742E-2</v>
      </c>
      <c r="AI224" s="137"/>
      <c r="AK224" s="137"/>
      <c r="AM224" s="137"/>
      <c r="AN224" s="137"/>
      <c r="AO224" s="137"/>
      <c r="AR224" s="137"/>
      <c r="AT224" s="137"/>
      <c r="AV224" s="137"/>
      <c r="AW224" s="137"/>
      <c r="AX224" s="137"/>
    </row>
    <row r="225" spans="1:50" s="79" customFormat="1" ht="10.199999999999999" x14ac:dyDescent="0.2">
      <c r="A225" s="97">
        <f t="shared" si="5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8" t="s">
        <v>87</v>
      </c>
      <c r="G225" s="158">
        <v>6.2200000000000005E-4</v>
      </c>
      <c r="H225" s="158" t="s">
        <v>87</v>
      </c>
      <c r="I225" s="158">
        <v>2.343E-3</v>
      </c>
      <c r="J225" s="158" t="s">
        <v>87</v>
      </c>
      <c r="K225" s="158">
        <v>3.2330000000000002E-3</v>
      </c>
      <c r="L225" s="158">
        <v>4.2170000000000003E-3</v>
      </c>
      <c r="M225" s="158">
        <v>5.1539999999999997E-3</v>
      </c>
      <c r="N225" s="139" cm="1">
        <f t="array" aca="1" ref="N225:AE225" ca="1">IF(OR(B225="",NOT($J$2)),"",GetStripDefaultProbability(A225,B225,Parameter_Date,CDSRollDate,E225:M225,SpreadCurveMaturities,D225,C225,$J$4,$J$6))</f>
        <v>0</v>
      </c>
      <c r="O225" s="165">
        <f ca="1"/>
        <v>0</v>
      </c>
      <c r="P225" s="165">
        <f ca="1"/>
        <v>1.1402762940874167E-3</v>
      </c>
      <c r="Q225" s="165">
        <f ca="1"/>
        <v>0</v>
      </c>
      <c r="R225" s="165">
        <f ca="1"/>
        <v>1.2326765373085524E-2</v>
      </c>
      <c r="S225" s="165">
        <f ca="1"/>
        <v>0</v>
      </c>
      <c r="T225" s="165">
        <f ca="1"/>
        <v>2.8150472977409247E-2</v>
      </c>
      <c r="U225" s="165">
        <f ca="1"/>
        <v>5.1670839796083334E-2</v>
      </c>
      <c r="V225" s="140">
        <f ca="1"/>
        <v>9.0063421992390147E-2</v>
      </c>
      <c r="W225" s="139">
        <f ca="1"/>
        <v>0</v>
      </c>
      <c r="X225" s="165">
        <f ca="1"/>
        <v>0</v>
      </c>
      <c r="Y225" s="165">
        <f ca="1"/>
        <v>1.3067390424026382E-3</v>
      </c>
      <c r="Z225" s="165">
        <f ca="1"/>
        <v>0</v>
      </c>
      <c r="AA225" s="165">
        <f ca="1"/>
        <v>1.2930751340012314E-2</v>
      </c>
      <c r="AB225" s="165">
        <f ca="1"/>
        <v>0</v>
      </c>
      <c r="AC225" s="165">
        <f ca="1"/>
        <v>2.9531500016341417E-2</v>
      </c>
      <c r="AD225" s="165">
        <f ca="1"/>
        <v>5.4189904528087696E-2</v>
      </c>
      <c r="AE225" s="140">
        <f ca="1"/>
        <v>9.4375631603161314E-2</v>
      </c>
      <c r="AI225" s="137"/>
      <c r="AK225" s="137"/>
      <c r="AM225" s="137"/>
      <c r="AN225" s="137"/>
      <c r="AO225" s="137"/>
      <c r="AR225" s="137"/>
      <c r="AT225" s="137"/>
      <c r="AV225" s="137"/>
      <c r="AW225" s="137"/>
      <c r="AX225" s="137"/>
    </row>
    <row r="226" spans="1:50" s="79" customFormat="1" ht="10.199999999999999" x14ac:dyDescent="0.2">
      <c r="A226" s="97">
        <f t="shared" si="5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8" t="s">
        <v>87</v>
      </c>
      <c r="G226" s="158">
        <v>7.2400000000000003E-4</v>
      </c>
      <c r="H226" s="158" t="s">
        <v>87</v>
      </c>
      <c r="I226" s="158">
        <v>1.5920000000000001E-3</v>
      </c>
      <c r="J226" s="158" t="s">
        <v>87</v>
      </c>
      <c r="K226" s="158">
        <v>2.5569999999999998E-3</v>
      </c>
      <c r="L226" s="158">
        <v>2.97E-3</v>
      </c>
      <c r="M226" s="158">
        <v>4.0010000000000002E-3</v>
      </c>
      <c r="N226" s="139" cm="1">
        <f t="array" aca="1" ref="N226:AE226" ca="1">IF(OR(B226="",NOT($J$2)),"",GetStripDefaultProbability(A226,B226,Parameter_Date,CDSRollDate,E226:M226,SpreadCurveMaturities,D226,C226,$J$4,$J$6))</f>
        <v>0</v>
      </c>
      <c r="O226" s="165">
        <f ca="1"/>
        <v>0</v>
      </c>
      <c r="P226" s="165">
        <f ca="1"/>
        <v>1.3271437589867929E-3</v>
      </c>
      <c r="Q226" s="165">
        <f ca="1"/>
        <v>0</v>
      </c>
      <c r="R226" s="165">
        <f ca="1"/>
        <v>8.3465026831561762E-3</v>
      </c>
      <c r="S226" s="165">
        <f ca="1"/>
        <v>0</v>
      </c>
      <c r="T226" s="165">
        <f ca="1"/>
        <v>2.243060601701008E-2</v>
      </c>
      <c r="U226" s="165">
        <f ca="1"/>
        <v>3.6282803244179762E-2</v>
      </c>
      <c r="V226" s="140">
        <f ca="1"/>
        <v>7.1123116381782592E-2</v>
      </c>
      <c r="W226" s="139">
        <f ca="1"/>
        <v>0</v>
      </c>
      <c r="X226" s="165">
        <f ca="1"/>
        <v>0</v>
      </c>
      <c r="Y226" s="165">
        <f ca="1"/>
        <v>1.4935753653312345E-3</v>
      </c>
      <c r="Z226" s="165">
        <f ca="1"/>
        <v>0</v>
      </c>
      <c r="AA226" s="165">
        <f ca="1"/>
        <v>8.8623127812461622E-3</v>
      </c>
      <c r="AB226" s="165">
        <f ca="1"/>
        <v>0</v>
      </c>
      <c r="AC226" s="165">
        <f ca="1"/>
        <v>2.3521538657320762E-2</v>
      </c>
      <c r="AD226" s="165">
        <f ca="1"/>
        <v>3.8049512855822143E-2</v>
      </c>
      <c r="AE226" s="140">
        <f ca="1"/>
        <v>7.4546632216135E-2</v>
      </c>
      <c r="AI226" s="137"/>
      <c r="AK226" s="137"/>
      <c r="AM226" s="137"/>
      <c r="AN226" s="137"/>
      <c r="AO226" s="137"/>
      <c r="AR226" s="137"/>
      <c r="AT226" s="137"/>
      <c r="AV226" s="137"/>
      <c r="AW226" s="137"/>
      <c r="AX226" s="137"/>
    </row>
    <row r="227" spans="1:50" s="79" customFormat="1" ht="10.199999999999999" x14ac:dyDescent="0.2">
      <c r="A227" s="97">
        <f t="shared" si="5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8" t="s">
        <v>87</v>
      </c>
      <c r="G227" s="158">
        <v>4.4999999999999999E-4</v>
      </c>
      <c r="H227" s="158" t="s">
        <v>87</v>
      </c>
      <c r="I227" s="158">
        <v>1.158E-3</v>
      </c>
      <c r="J227" s="158" t="s">
        <v>87</v>
      </c>
      <c r="K227" s="158">
        <v>2.0270000000000002E-3</v>
      </c>
      <c r="L227" s="158">
        <v>2.6540000000000001E-3</v>
      </c>
      <c r="M227" s="158">
        <v>3.571E-3</v>
      </c>
      <c r="N227" s="139" cm="1">
        <f t="array" aca="1" ref="N227:AE227" ca="1">IF(OR(B227="",NOT($J$2)),"",GetStripDefaultProbability(A227,B227,Parameter_Date,CDSRollDate,E227:M227,SpreadCurveMaturities,D227,C227,$J$4,$J$6))</f>
        <v>0</v>
      </c>
      <c r="O227" s="165">
        <f ca="1"/>
        <v>0</v>
      </c>
      <c r="P227" s="165">
        <f ca="1"/>
        <v>8.250878721699495E-4</v>
      </c>
      <c r="Q227" s="165">
        <f ca="1"/>
        <v>0</v>
      </c>
      <c r="R227" s="165">
        <f ca="1"/>
        <v>6.086885567110123E-3</v>
      </c>
      <c r="S227" s="165">
        <f ca="1"/>
        <v>0</v>
      </c>
      <c r="T227" s="165">
        <f ca="1"/>
        <v>1.7886218938380383E-2</v>
      </c>
      <c r="U227" s="165">
        <f ca="1"/>
        <v>3.2923290967495578E-2</v>
      </c>
      <c r="V227" s="140">
        <f ca="1"/>
        <v>6.4096181926808216E-2</v>
      </c>
      <c r="W227" s="139">
        <f ca="1"/>
        <v>0</v>
      </c>
      <c r="X227" s="165">
        <f ca="1"/>
        <v>0</v>
      </c>
      <c r="Y227" s="165">
        <f ca="1"/>
        <v>9.9160314751089995E-4</v>
      </c>
      <c r="Z227" s="165">
        <f ca="1"/>
        <v>0</v>
      </c>
      <c r="AA227" s="165">
        <f ca="1"/>
        <v>6.6039437778153687E-3</v>
      </c>
      <c r="AB227" s="165">
        <f ca="1"/>
        <v>0</v>
      </c>
      <c r="AC227" s="165">
        <f ca="1"/>
        <v>1.8740338997472517E-2</v>
      </c>
      <c r="AD227" s="165">
        <f ca="1"/>
        <v>3.4514206205227271E-2</v>
      </c>
      <c r="AE227" s="140">
        <f ca="1"/>
        <v>6.7178678615549825E-2</v>
      </c>
      <c r="AI227" s="137"/>
      <c r="AK227" s="137"/>
      <c r="AM227" s="137"/>
      <c r="AN227" s="137"/>
      <c r="AO227" s="137"/>
      <c r="AR227" s="137"/>
      <c r="AT227" s="137"/>
      <c r="AV227" s="137"/>
      <c r="AW227" s="137"/>
      <c r="AX227" s="137"/>
    </row>
    <row r="228" spans="1:50" s="79" customFormat="1" ht="10.199999999999999" x14ac:dyDescent="0.2">
      <c r="A228" s="97">
        <f t="shared" si="5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8" t="s">
        <v>87</v>
      </c>
      <c r="G228" s="158">
        <v>5.31E-4</v>
      </c>
      <c r="H228" s="158" t="s">
        <v>87</v>
      </c>
      <c r="I228" s="158">
        <v>1.6410000000000001E-3</v>
      </c>
      <c r="J228" s="158" t="s">
        <v>87</v>
      </c>
      <c r="K228" s="158">
        <v>2.6540000000000001E-3</v>
      </c>
      <c r="L228" s="158">
        <v>3.764E-3</v>
      </c>
      <c r="M228" s="158">
        <v>4.8250000000000003E-3</v>
      </c>
      <c r="N228" s="139" cm="1">
        <f t="array" aca="1" ref="N228:AE228" ca="1">IF(OR(B228="",NOT($J$2)),"",GetStripDefaultProbability(A228,B228,Parameter_Date,CDSRollDate,E228:M228,SpreadCurveMaturities,D228,C228,$J$4,$J$6))</f>
        <v>0</v>
      </c>
      <c r="O228" s="165">
        <f ca="1"/>
        <v>0</v>
      </c>
      <c r="P228" s="165">
        <f ca="1"/>
        <v>9.7353192124483012E-4</v>
      </c>
      <c r="Q228" s="165">
        <f ca="1"/>
        <v>0</v>
      </c>
      <c r="R228" s="165">
        <f ca="1"/>
        <v>8.6319243252129807E-3</v>
      </c>
      <c r="S228" s="165">
        <f ca="1"/>
        <v>0</v>
      </c>
      <c r="T228" s="165">
        <f ca="1"/>
        <v>2.3312053337873562E-2</v>
      </c>
      <c r="U228" s="165">
        <f ca="1"/>
        <v>4.6733872789836317E-2</v>
      </c>
      <c r="V228" s="140">
        <f ca="1"/>
        <v>8.5634189827524021E-2</v>
      </c>
      <c r="W228" s="139">
        <f ca="1"/>
        <v>0</v>
      </c>
      <c r="X228" s="165">
        <f ca="1"/>
        <v>0</v>
      </c>
      <c r="Y228" s="165">
        <f ca="1"/>
        <v>1.1400224579736218E-3</v>
      </c>
      <c r="Z228" s="165">
        <f ca="1"/>
        <v>0</v>
      </c>
      <c r="AA228" s="165">
        <f ca="1"/>
        <v>9.1476358946399605E-3</v>
      </c>
      <c r="AB228" s="165">
        <f ca="1"/>
        <v>0</v>
      </c>
      <c r="AC228" s="165">
        <f ca="1"/>
        <v>2.4446319201533839E-2</v>
      </c>
      <c r="AD228" s="165">
        <f ca="1"/>
        <v>4.9007545427506849E-2</v>
      </c>
      <c r="AE228" s="140">
        <f ca="1"/>
        <v>8.9737852549797048E-2</v>
      </c>
      <c r="AI228" s="137"/>
      <c r="AK228" s="137"/>
      <c r="AM228" s="137"/>
      <c r="AN228" s="137"/>
      <c r="AO228" s="137"/>
      <c r="AR228" s="137"/>
      <c r="AT228" s="137"/>
      <c r="AV228" s="137"/>
      <c r="AW228" s="137"/>
      <c r="AX228" s="137"/>
    </row>
    <row r="229" spans="1:50" s="79" customFormat="1" ht="10.199999999999999" x14ac:dyDescent="0.2">
      <c r="A229" s="97">
        <f t="shared" si="5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8" t="s">
        <v>87</v>
      </c>
      <c r="G229" s="158">
        <v>1.544E-3</v>
      </c>
      <c r="H229" s="158" t="s">
        <v>87</v>
      </c>
      <c r="I229" s="158">
        <v>2.2200000000000002E-3</v>
      </c>
      <c r="J229" s="158" t="s">
        <v>87</v>
      </c>
      <c r="K229" s="158">
        <v>2.9919999999999999E-3</v>
      </c>
      <c r="L229" s="158">
        <v>3.9569999999999996E-3</v>
      </c>
      <c r="M229" s="158">
        <v>5.2110000000000004E-3</v>
      </c>
      <c r="N229" s="139" cm="1">
        <f t="array" aca="1" ref="N229:AE229" ca="1">IF(OR(B229="",NOT($J$2)),"",GetStripDefaultProbability(A229,B229,Parameter_Date,CDSRollDate,E229:M229,SpreadCurveMaturities,D229,C229,$J$4,$J$6))</f>
        <v>0</v>
      </c>
      <c r="O229" s="165">
        <f ca="1"/>
        <v>0</v>
      </c>
      <c r="P229" s="165">
        <f ca="1"/>
        <v>2.8281522797002356E-3</v>
      </c>
      <c r="Q229" s="165">
        <f ca="1"/>
        <v>0</v>
      </c>
      <c r="R229" s="165">
        <f ca="1"/>
        <v>1.1549521023935916E-2</v>
      </c>
      <c r="S229" s="165">
        <f ca="1"/>
        <v>0</v>
      </c>
      <c r="T229" s="165">
        <f ca="1"/>
        <v>2.5905453702130266E-2</v>
      </c>
      <c r="U229" s="165">
        <f ca="1"/>
        <v>4.8434519807711296E-2</v>
      </c>
      <c r="V229" s="140">
        <f ca="1"/>
        <v>9.1919634234482128E-2</v>
      </c>
      <c r="W229" s="139">
        <f ca="1"/>
        <v>0</v>
      </c>
      <c r="X229" s="165">
        <f ca="1"/>
        <v>0</v>
      </c>
      <c r="Y229" s="165">
        <f ca="1"/>
        <v>2.9943337388165236E-3</v>
      </c>
      <c r="Z229" s="165">
        <f ca="1"/>
        <v>0</v>
      </c>
      <c r="AA229" s="165">
        <f ca="1"/>
        <v>1.2121337683061895E-2</v>
      </c>
      <c r="AB229" s="165">
        <f ca="1"/>
        <v>0</v>
      </c>
      <c r="AC229" s="165">
        <f ca="1"/>
        <v>2.7182733845384166E-2</v>
      </c>
      <c r="AD229" s="165">
        <f ca="1"/>
        <v>5.0804315807160383E-2</v>
      </c>
      <c r="AE229" s="140">
        <f ca="1"/>
        <v>9.6358125974745912E-2</v>
      </c>
      <c r="AI229" s="137"/>
      <c r="AK229" s="137"/>
      <c r="AM229" s="137"/>
      <c r="AN229" s="137"/>
      <c r="AO229" s="137"/>
      <c r="AR229" s="137"/>
      <c r="AT229" s="137"/>
      <c r="AV229" s="137"/>
      <c r="AW229" s="137"/>
      <c r="AX229" s="137"/>
    </row>
    <row r="230" spans="1:50" s="79" customFormat="1" ht="10.199999999999999" x14ac:dyDescent="0.2">
      <c r="A230" s="97">
        <f t="shared" si="5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8" t="s">
        <v>87</v>
      </c>
      <c r="G230" s="158">
        <v>9.8799999999999995E-4</v>
      </c>
      <c r="H230" s="158" t="s">
        <v>87</v>
      </c>
      <c r="I230" s="158">
        <v>2.0430000000000001E-3</v>
      </c>
      <c r="J230" s="158" t="s">
        <v>87</v>
      </c>
      <c r="K230" s="158">
        <v>3.0400000000000002E-3</v>
      </c>
      <c r="L230" s="158">
        <v>3.9370000000000004E-3</v>
      </c>
      <c r="M230" s="158">
        <v>4.9329999999999999E-3</v>
      </c>
      <c r="N230" s="139" cm="1">
        <f t="array" aca="1" ref="N230:AE230" ca="1">IF(OR(B230="",NOT($J$2)),"",GetStripDefaultProbability(A230,B230,Parameter_Date,CDSRollDate,E230:M230,SpreadCurveMaturities,D230,C230,$J$4,$J$6))</f>
        <v>0</v>
      </c>
      <c r="O230" s="165">
        <f ca="1"/>
        <v>0</v>
      </c>
      <c r="P230" s="165">
        <f ca="1"/>
        <v>1.8106396991798279E-3</v>
      </c>
      <c r="Q230" s="165">
        <f ca="1"/>
        <v>0</v>
      </c>
      <c r="R230" s="165">
        <f ca="1"/>
        <v>1.069286074093434E-2</v>
      </c>
      <c r="S230" s="165">
        <f ca="1"/>
        <v>0</v>
      </c>
      <c r="T230" s="165">
        <f ca="1"/>
        <v>2.6522520820832396E-2</v>
      </c>
      <c r="U230" s="165">
        <f ca="1"/>
        <v>4.8301505371290299E-2</v>
      </c>
      <c r="V230" s="140">
        <f ca="1"/>
        <v>8.665873357092313E-2</v>
      </c>
      <c r="W230" s="139">
        <f ca="1"/>
        <v>0</v>
      </c>
      <c r="X230" s="165">
        <f ca="1"/>
        <v>0</v>
      </c>
      <c r="Y230" s="165">
        <f ca="1"/>
        <v>1.9769907295962286E-3</v>
      </c>
      <c r="Z230" s="165">
        <f ca="1"/>
        <v>0</v>
      </c>
      <c r="AA230" s="165">
        <f ca="1"/>
        <v>1.1218663387834837E-2</v>
      </c>
      <c r="AB230" s="165">
        <f ca="1"/>
        <v>0</v>
      </c>
      <c r="AC230" s="165">
        <f ca="1"/>
        <v>2.7826711503648571E-2</v>
      </c>
      <c r="AD230" s="165">
        <f ca="1"/>
        <v>5.066205358206799E-2</v>
      </c>
      <c r="AE230" s="140">
        <f ca="1"/>
        <v>9.0818123295832942E-2</v>
      </c>
      <c r="AI230" s="137"/>
      <c r="AK230" s="137"/>
      <c r="AM230" s="137"/>
      <c r="AN230" s="137"/>
      <c r="AO230" s="137"/>
      <c r="AR230" s="137"/>
      <c r="AT230" s="137"/>
      <c r="AV230" s="137"/>
      <c r="AW230" s="137"/>
      <c r="AX230" s="137"/>
    </row>
    <row r="231" spans="1:50" s="79" customFormat="1" ht="10.199999999999999" x14ac:dyDescent="0.2">
      <c r="A231" s="97">
        <f t="shared" si="5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8" t="s">
        <v>87</v>
      </c>
      <c r="G231" s="158">
        <v>3.7787000000000001E-2</v>
      </c>
      <c r="H231" s="158" t="s">
        <v>87</v>
      </c>
      <c r="I231" s="158">
        <v>3.7137000000000003E-2</v>
      </c>
      <c r="J231" s="158" t="s">
        <v>87</v>
      </c>
      <c r="K231" s="158">
        <v>3.2376000000000002E-2</v>
      </c>
      <c r="L231" s="158">
        <v>2.9519E-2</v>
      </c>
      <c r="M231" s="158">
        <v>2.8091000000000001E-2</v>
      </c>
      <c r="N231" s="139" cm="1">
        <f t="array" aca="1" ref="N231:AE231" ca="1">IF(OR(B231="",NOT($J$2)),"",GetStripDefaultProbability(A231,B231,Parameter_Date,CDSRollDate,E231:M231,SpreadCurveMaturities,D231,C231,$J$4,$J$6))</f>
        <v>0</v>
      </c>
      <c r="O231" s="165">
        <f ca="1"/>
        <v>0</v>
      </c>
      <c r="P231" s="165">
        <f ca="1"/>
        <v>6.69626374993878E-2</v>
      </c>
      <c r="Q231" s="165">
        <f ca="1"/>
        <v>0</v>
      </c>
      <c r="R231" s="165">
        <f ca="1"/>
        <v>0.17512128200677768</v>
      </c>
      <c r="S231" s="165">
        <f ca="1"/>
        <v>0</v>
      </c>
      <c r="T231" s="165">
        <f ca="1"/>
        <v>0.23611805040186151</v>
      </c>
      <c r="U231" s="165">
        <f ca="1"/>
        <v>0.28407860835631493</v>
      </c>
      <c r="V231" s="140">
        <f ca="1"/>
        <v>0.36140084853549659</v>
      </c>
      <c r="W231" s="139">
        <f ca="1"/>
        <v>0</v>
      </c>
      <c r="X231" s="165">
        <f ca="1"/>
        <v>0</v>
      </c>
      <c r="Y231" s="165">
        <f ca="1"/>
        <v>7.0190398589657255E-2</v>
      </c>
      <c r="Z231" s="165">
        <f ca="1"/>
        <v>0</v>
      </c>
      <c r="AA231" s="165">
        <f ca="1"/>
        <v>0.18301765689555671</v>
      </c>
      <c r="AB231" s="165">
        <f ca="1"/>
        <v>0</v>
      </c>
      <c r="AC231" s="165">
        <f ca="1"/>
        <v>0.24615905536288063</v>
      </c>
      <c r="AD231" s="165">
        <f ca="1"/>
        <v>0.29557787211726638</v>
      </c>
      <c r="AE231" s="140">
        <f ca="1"/>
        <v>0.3750562993859945</v>
      </c>
      <c r="AI231" s="137"/>
      <c r="AK231" s="137"/>
      <c r="AM231" s="137"/>
      <c r="AN231" s="137"/>
      <c r="AO231" s="137"/>
      <c r="AR231" s="137"/>
      <c r="AT231" s="137"/>
      <c r="AV231" s="137"/>
      <c r="AW231" s="137"/>
      <c r="AX231" s="137"/>
    </row>
    <row r="232" spans="1:50" s="79" customFormat="1" ht="10.199999999999999" x14ac:dyDescent="0.2">
      <c r="A232" s="97">
        <f t="shared" si="5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8" t="s">
        <v>87</v>
      </c>
      <c r="G232" s="158">
        <v>1.098E-3</v>
      </c>
      <c r="H232" s="158" t="s">
        <v>87</v>
      </c>
      <c r="I232" s="158">
        <v>2.1949999999999999E-3</v>
      </c>
      <c r="J232" s="158" t="s">
        <v>87</v>
      </c>
      <c r="K232" s="158">
        <v>4.3909999999999999E-3</v>
      </c>
      <c r="L232" s="158">
        <v>5.6239999999999997E-3</v>
      </c>
      <c r="M232" s="158">
        <v>6.9069999999999999E-3</v>
      </c>
      <c r="N232" s="139" cm="1">
        <f t="array" aca="1" ref="N232:AE232" ca="1">IF(OR(B232="",NOT($J$2)),"",GetStripDefaultProbability(A232,B232,Parameter_Date,CDSRollDate,E232:M232,SpreadCurveMaturities,D232,C232,$J$4,$J$6))</f>
        <v>0</v>
      </c>
      <c r="O232" s="165">
        <f ca="1"/>
        <v>0</v>
      </c>
      <c r="P232" s="165">
        <f ca="1"/>
        <v>2.0120278091242394E-3</v>
      </c>
      <c r="Q232" s="165">
        <f ca="1"/>
        <v>0</v>
      </c>
      <c r="R232" s="165">
        <f ca="1"/>
        <v>1.147968391106402E-2</v>
      </c>
      <c r="S232" s="165">
        <f ca="1"/>
        <v>0</v>
      </c>
      <c r="T232" s="165">
        <f ca="1"/>
        <v>3.8649364193234392E-2</v>
      </c>
      <c r="U232" s="165">
        <f ca="1"/>
        <v>6.892833728126313E-2</v>
      </c>
      <c r="V232" s="140">
        <f ca="1"/>
        <v>0.11983798234863319</v>
      </c>
      <c r="W232" s="139">
        <f ca="1"/>
        <v>0</v>
      </c>
      <c r="X232" s="165">
        <f ca="1"/>
        <v>0</v>
      </c>
      <c r="Y232" s="165">
        <f ca="1"/>
        <v>2.1783452776362733E-3</v>
      </c>
      <c r="Z232" s="165">
        <f ca="1"/>
        <v>0</v>
      </c>
      <c r="AA232" s="165">
        <f ca="1"/>
        <v>1.204507639588559E-2</v>
      </c>
      <c r="AB232" s="165">
        <f ca="1"/>
        <v>0</v>
      </c>
      <c r="AC232" s="165">
        <f ca="1"/>
        <v>4.0543730160182867E-2</v>
      </c>
      <c r="AD232" s="165">
        <f ca="1"/>
        <v>7.2274307115956393E-2</v>
      </c>
      <c r="AE232" s="140">
        <f ca="1"/>
        <v>0.12555123046163486</v>
      </c>
      <c r="AI232" s="137"/>
      <c r="AK232" s="137"/>
      <c r="AM232" s="137"/>
      <c r="AN232" s="137"/>
      <c r="AO232" s="137"/>
      <c r="AR232" s="137"/>
      <c r="AT232" s="137"/>
      <c r="AV232" s="137"/>
      <c r="AW232" s="137"/>
      <c r="AX232" s="137"/>
    </row>
    <row r="233" spans="1:50" s="79" customFormat="1" ht="10.199999999999999" x14ac:dyDescent="0.2">
      <c r="A233" s="97">
        <f t="shared" si="5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8" t="s">
        <v>87</v>
      </c>
      <c r="G233" s="158">
        <v>0.128667</v>
      </c>
      <c r="H233" s="158" t="s">
        <v>87</v>
      </c>
      <c r="I233" s="158">
        <v>9.0311000000000002E-2</v>
      </c>
      <c r="J233" s="158" t="s">
        <v>87</v>
      </c>
      <c r="K233" s="158">
        <v>6.6102999999999995E-2</v>
      </c>
      <c r="L233" s="158">
        <v>6.0176E-2</v>
      </c>
      <c r="M233" s="158">
        <v>5.4705999999999998E-2</v>
      </c>
      <c r="N233" s="139" cm="1">
        <f t="array" aca="1" ref="N233:AE233" ca="1">IF(OR(B233="",NOT($J$2)),"",GetStripDefaultProbability(A233,B233,Parameter_Date,CDSRollDate,E233:M233,SpreadCurveMaturities,D233,C233,$J$4,$J$6))</f>
        <v>0</v>
      </c>
      <c r="O233" s="165">
        <f ca="1"/>
        <v>0</v>
      </c>
      <c r="P233" s="165">
        <f ca="1"/>
        <v>0.21021431869207108</v>
      </c>
      <c r="Q233" s="165">
        <f ca="1"/>
        <v>0</v>
      </c>
      <c r="R233" s="165">
        <f ca="1"/>
        <v>0.35916526345025546</v>
      </c>
      <c r="S233" s="165">
        <f ca="1"/>
        <v>0</v>
      </c>
      <c r="T233" s="165">
        <f ca="1"/>
        <v>0.38792089666806007</v>
      </c>
      <c r="U233" s="165">
        <f ca="1"/>
        <v>0.460337566265418</v>
      </c>
      <c r="V233" s="140">
        <f ca="1"/>
        <v>0.53985450363649279</v>
      </c>
      <c r="W233" s="139">
        <f ca="1"/>
        <v>0</v>
      </c>
      <c r="X233" s="165">
        <f ca="1"/>
        <v>0</v>
      </c>
      <c r="Y233" s="165">
        <f ca="1"/>
        <v>0.21947830582760475</v>
      </c>
      <c r="Z233" s="165">
        <f ca="1"/>
        <v>0</v>
      </c>
      <c r="AA233" s="165">
        <f ca="1"/>
        <v>0.37260326114389142</v>
      </c>
      <c r="AB233" s="165">
        <f ca="1"/>
        <v>0</v>
      </c>
      <c r="AC233" s="165">
        <f ca="1"/>
        <v>0.40105429766500045</v>
      </c>
      <c r="AD233" s="165">
        <f ca="1"/>
        <v>0.47483082552434319</v>
      </c>
      <c r="AE233" s="140">
        <f ca="1"/>
        <v>0.55503635084665404</v>
      </c>
      <c r="AI233" s="137"/>
      <c r="AK233" s="137"/>
      <c r="AM233" s="137"/>
      <c r="AN233" s="137"/>
      <c r="AO233" s="137"/>
      <c r="AR233" s="137"/>
      <c r="AT233" s="137"/>
      <c r="AV233" s="137"/>
      <c r="AW233" s="137"/>
      <c r="AX233" s="137"/>
    </row>
    <row r="234" spans="1:50" s="79" customFormat="1" ht="10.199999999999999" x14ac:dyDescent="0.2">
      <c r="A234" s="97">
        <f t="shared" si="5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8" t="s">
        <v>87</v>
      </c>
      <c r="G234" s="158">
        <v>5.6700000000000001E-4</v>
      </c>
      <c r="H234" s="158" t="s">
        <v>87</v>
      </c>
      <c r="I234" s="158">
        <v>1.255E-3</v>
      </c>
      <c r="J234" s="158" t="s">
        <v>87</v>
      </c>
      <c r="K234" s="158">
        <v>2.0270000000000002E-3</v>
      </c>
      <c r="L234" s="158">
        <v>2.7499999999999998E-3</v>
      </c>
      <c r="M234" s="158">
        <v>3.6670000000000001E-3</v>
      </c>
      <c r="N234" s="139" cm="1">
        <f t="array" aca="1" ref="N234:AE234" ca="1">IF(OR(B234="",NOT($J$2)),"",GetStripDefaultProbability(A234,B234,Parameter_Date,CDSRollDate,E234:M234,SpreadCurveMaturities,D234,C234,$J$4,$J$6))</f>
        <v>0</v>
      </c>
      <c r="O234" s="165">
        <f ca="1"/>
        <v>0</v>
      </c>
      <c r="P234" s="165">
        <f ca="1"/>
        <v>1.0395000296653523E-3</v>
      </c>
      <c r="Q234" s="165">
        <f ca="1"/>
        <v>0</v>
      </c>
      <c r="R234" s="165">
        <f ca="1"/>
        <v>6.5847806441892143E-3</v>
      </c>
      <c r="S234" s="165">
        <f ca="1"/>
        <v>0</v>
      </c>
      <c r="T234" s="165">
        <f ca="1"/>
        <v>1.7815291227740837E-2</v>
      </c>
      <c r="U234" s="165">
        <f ca="1"/>
        <v>3.4133084603272801E-2</v>
      </c>
      <c r="V234" s="140">
        <f ca="1"/>
        <v>6.5735309795329155E-2</v>
      </c>
      <c r="W234" s="139">
        <f ca="1"/>
        <v>0</v>
      </c>
      <c r="X234" s="165">
        <f ca="1"/>
        <v>0</v>
      </c>
      <c r="Y234" s="165">
        <f ca="1"/>
        <v>1.2059795726555578E-3</v>
      </c>
      <c r="Z234" s="165">
        <f ca="1"/>
        <v>0</v>
      </c>
      <c r="AA234" s="165">
        <f ca="1"/>
        <v>7.1015495839208409E-3</v>
      </c>
      <c r="AB234" s="165">
        <f ca="1"/>
        <v>0</v>
      </c>
      <c r="AC234" s="165">
        <f ca="1"/>
        <v>1.8669333977607505E-2</v>
      </c>
      <c r="AD234" s="165">
        <f ca="1"/>
        <v>3.5786263891197878E-2</v>
      </c>
      <c r="AE234" s="140">
        <f ca="1"/>
        <v>6.889880044499519E-2</v>
      </c>
      <c r="AI234" s="137"/>
      <c r="AK234" s="137"/>
      <c r="AM234" s="137"/>
      <c r="AN234" s="137"/>
      <c r="AO234" s="137"/>
      <c r="AR234" s="137"/>
      <c r="AT234" s="137"/>
      <c r="AV234" s="137"/>
      <c r="AW234" s="137"/>
      <c r="AX234" s="137"/>
    </row>
    <row r="235" spans="1:50" s="79" customFormat="1" ht="10.199999999999999" x14ac:dyDescent="0.2">
      <c r="A235" s="97">
        <f t="shared" si="5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8" t="s">
        <v>87</v>
      </c>
      <c r="G235" s="158">
        <v>7.6000000000000004E-4</v>
      </c>
      <c r="H235" s="158" t="s">
        <v>87</v>
      </c>
      <c r="I235" s="158">
        <v>2.075E-3</v>
      </c>
      <c r="J235" s="158" t="s">
        <v>87</v>
      </c>
      <c r="K235" s="158">
        <v>2.702E-3</v>
      </c>
      <c r="L235" s="158">
        <v>3.6189999999999998E-3</v>
      </c>
      <c r="M235" s="158">
        <v>4.6800000000000001E-3</v>
      </c>
      <c r="N235" s="139" cm="1">
        <f t="array" aca="1" ref="N235:AE235" ca="1">IF(OR(B235="",NOT($J$2)),"",GetStripDefaultProbability(A235,B235,Parameter_Date,CDSRollDate,E235:M235,SpreadCurveMaturities,D235,C235,$J$4,$J$6))</f>
        <v>0</v>
      </c>
      <c r="O235" s="165">
        <f ca="1"/>
        <v>0</v>
      </c>
      <c r="P235" s="165">
        <f ca="1"/>
        <v>1.3930887008265502E-3</v>
      </c>
      <c r="Q235" s="165">
        <f ca="1"/>
        <v>0</v>
      </c>
      <c r="R235" s="165">
        <f ca="1"/>
        <v>1.0893344726215726E-2</v>
      </c>
      <c r="S235" s="165">
        <f ca="1"/>
        <v>0</v>
      </c>
      <c r="T235" s="165">
        <f ca="1"/>
        <v>2.3466538936629866E-2</v>
      </c>
      <c r="U235" s="165">
        <f ca="1"/>
        <v>4.4468714977491719E-2</v>
      </c>
      <c r="V235" s="140">
        <f ca="1"/>
        <v>8.2739229979355677E-2</v>
      </c>
      <c r="W235" s="139">
        <f ca="1"/>
        <v>0</v>
      </c>
      <c r="X235" s="165">
        <f ca="1"/>
        <v>0</v>
      </c>
      <c r="Y235" s="165">
        <f ca="1"/>
        <v>1.5595093172930952E-3</v>
      </c>
      <c r="Z235" s="165">
        <f ca="1"/>
        <v>0</v>
      </c>
      <c r="AA235" s="165">
        <f ca="1"/>
        <v>1.1427526347709716E-2</v>
      </c>
      <c r="AB235" s="165">
        <f ca="1"/>
        <v>0</v>
      </c>
      <c r="AC235" s="165">
        <f ca="1"/>
        <v>2.4619663934340563E-2</v>
      </c>
      <c r="AD235" s="165">
        <f ca="1"/>
        <v>4.6643091818653448E-2</v>
      </c>
      <c r="AE235" s="140">
        <f ca="1"/>
        <v>8.6717099514340035E-2</v>
      </c>
      <c r="AI235" s="137"/>
      <c r="AK235" s="137"/>
      <c r="AM235" s="137"/>
      <c r="AN235" s="137"/>
      <c r="AO235" s="137"/>
      <c r="AR235" s="137"/>
      <c r="AT235" s="137"/>
      <c r="AV235" s="137"/>
      <c r="AW235" s="137"/>
      <c r="AX235" s="137"/>
    </row>
    <row r="236" spans="1:50" s="79" customFormat="1" ht="10.199999999999999" x14ac:dyDescent="0.2">
      <c r="A236" s="97">
        <f t="shared" si="5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8" t="s">
        <v>87</v>
      </c>
      <c r="G236" s="158">
        <v>1.158E-3</v>
      </c>
      <c r="H236" s="158" t="s">
        <v>87</v>
      </c>
      <c r="I236" s="158">
        <v>3.3089999999999999E-3</v>
      </c>
      <c r="J236" s="158" t="s">
        <v>87</v>
      </c>
      <c r="K236" s="158">
        <v>4.6319999999999998E-3</v>
      </c>
      <c r="L236" s="158">
        <v>6.097E-3</v>
      </c>
      <c r="M236" s="158">
        <v>7.515E-3</v>
      </c>
      <c r="N236" s="139" cm="1">
        <f t="array" aca="1" ref="N236:AE236" ca="1">IF(OR(B236="",NOT($J$2)),"",GetStripDefaultProbability(A236,B236,Parameter_Date,CDSRollDate,E236:M236,SpreadCurveMaturities,D236,C236,$J$4,$J$6))</f>
        <v>0</v>
      </c>
      <c r="O236" s="165">
        <f ca="1"/>
        <v>0</v>
      </c>
      <c r="P236" s="165">
        <f ca="1"/>
        <v>2.1218588844478248E-3</v>
      </c>
      <c r="Q236" s="165">
        <f ca="1"/>
        <v>0</v>
      </c>
      <c r="R236" s="165">
        <f ca="1"/>
        <v>1.7336909962092917E-2</v>
      </c>
      <c r="S236" s="165">
        <f ca="1"/>
        <v>0</v>
      </c>
      <c r="T236" s="165">
        <f ca="1"/>
        <v>4.0138975103558017E-2</v>
      </c>
      <c r="U236" s="165">
        <f ca="1"/>
        <v>7.4154375576095721E-2</v>
      </c>
      <c r="V236" s="140">
        <f ca="1"/>
        <v>0.12953097049826801</v>
      </c>
      <c r="W236" s="139">
        <f ca="1"/>
        <v>0</v>
      </c>
      <c r="X236" s="165">
        <f ca="1"/>
        <v>0</v>
      </c>
      <c r="Y236" s="165">
        <f ca="1"/>
        <v>2.288158049297162E-3</v>
      </c>
      <c r="Z236" s="165">
        <f ca="1"/>
        <v>0</v>
      </c>
      <c r="AA236" s="165">
        <f ca="1"/>
        <v>1.8190923004611004E-2</v>
      </c>
      <c r="AB236" s="165">
        <f ca="1"/>
        <v>0</v>
      </c>
      <c r="AC236" s="165">
        <f ca="1"/>
        <v>4.2103959150770143E-2</v>
      </c>
      <c r="AD236" s="165">
        <f ca="1"/>
        <v>7.7741150049690178E-2</v>
      </c>
      <c r="AE236" s="140">
        <f ca="1"/>
        <v>0.13567790982382721</v>
      </c>
      <c r="AI236" s="137"/>
      <c r="AK236" s="137"/>
      <c r="AM236" s="137"/>
      <c r="AN236" s="137"/>
      <c r="AO236" s="137"/>
      <c r="AR236" s="137"/>
      <c r="AT236" s="137"/>
      <c r="AV236" s="137"/>
      <c r="AW236" s="137"/>
      <c r="AX236" s="137"/>
    </row>
    <row r="237" spans="1:50" s="79" customFormat="1" ht="10.199999999999999" x14ac:dyDescent="0.2">
      <c r="A237" s="97">
        <f t="shared" si="5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8" t="s">
        <v>87</v>
      </c>
      <c r="G237" s="158">
        <v>1.062E-3</v>
      </c>
      <c r="H237" s="158" t="s">
        <v>87</v>
      </c>
      <c r="I237" s="158">
        <v>1.9780000000000002E-3</v>
      </c>
      <c r="J237" s="158" t="s">
        <v>87</v>
      </c>
      <c r="K237" s="158">
        <v>3.088E-3</v>
      </c>
      <c r="L237" s="158">
        <v>3.764E-3</v>
      </c>
      <c r="M237" s="158">
        <v>5.4039999999999999E-3</v>
      </c>
      <c r="N237" s="139" cm="1">
        <f t="array" aca="1" ref="N237:AE237" ca="1">IF(OR(B237="",NOT($J$2)),"",GetStripDefaultProbability(A237,B237,Parameter_Date,CDSRollDate,E237:M237,SpreadCurveMaturities,D237,C237,$J$4,$J$6))</f>
        <v>0</v>
      </c>
      <c r="O237" s="165">
        <f ca="1"/>
        <v>0</v>
      </c>
      <c r="P237" s="165">
        <f ca="1"/>
        <v>1.9461234094957369E-3</v>
      </c>
      <c r="Q237" s="165">
        <f ca="1"/>
        <v>0</v>
      </c>
      <c r="R237" s="165">
        <f ca="1"/>
        <v>1.0339512099092785E-2</v>
      </c>
      <c r="S237" s="165">
        <f ca="1"/>
        <v>0</v>
      </c>
      <c r="T237" s="165">
        <f ca="1"/>
        <v>2.6985496299740674E-2</v>
      </c>
      <c r="U237" s="165">
        <f ca="1"/>
        <v>4.5983637915673725E-2</v>
      </c>
      <c r="V237" s="140">
        <f ca="1"/>
        <v>9.623190747929411E-2</v>
      </c>
      <c r="W237" s="139">
        <f ca="1"/>
        <v>0</v>
      </c>
      <c r="X237" s="165">
        <f ca="1"/>
        <v>0</v>
      </c>
      <c r="Y237" s="165">
        <f ca="1"/>
        <v>2.112451861173148E-3</v>
      </c>
      <c r="Z237" s="165">
        <f ca="1"/>
        <v>0</v>
      </c>
      <c r="AA237" s="165">
        <f ca="1"/>
        <v>1.0854152250647897E-2</v>
      </c>
      <c r="AB237" s="165">
        <f ca="1"/>
        <v>0</v>
      </c>
      <c r="AC237" s="165">
        <f ca="1"/>
        <v>2.831221904311132E-2</v>
      </c>
      <c r="AD237" s="165">
        <f ca="1"/>
        <v>4.8232114502974377E-2</v>
      </c>
      <c r="AE237" s="140">
        <f ca="1"/>
        <v>0.10087554146947164</v>
      </c>
      <c r="AI237" s="137"/>
      <c r="AK237" s="137"/>
      <c r="AM237" s="137"/>
      <c r="AN237" s="137"/>
      <c r="AO237" s="137"/>
      <c r="AR237" s="137"/>
      <c r="AT237" s="137"/>
      <c r="AV237" s="137"/>
      <c r="AW237" s="137"/>
      <c r="AX237" s="137"/>
    </row>
    <row r="238" spans="1:50" s="79" customFormat="1" ht="10.199999999999999" x14ac:dyDescent="0.2">
      <c r="A238" s="97">
        <f t="shared" si="5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8" t="s">
        <v>87</v>
      </c>
      <c r="G238" s="158">
        <v>1.0319999999999999E-3</v>
      </c>
      <c r="H238" s="158" t="s">
        <v>87</v>
      </c>
      <c r="I238" s="158">
        <v>1.8159999999999999E-3</v>
      </c>
      <c r="J238" s="158" t="s">
        <v>87</v>
      </c>
      <c r="K238" s="158">
        <v>2.6540000000000001E-3</v>
      </c>
      <c r="L238" s="158">
        <v>3.4919999999999999E-3</v>
      </c>
      <c r="M238" s="158">
        <v>4.4229999999999998E-3</v>
      </c>
      <c r="N238" s="139" cm="1">
        <f t="array" aca="1" ref="N238:AE238" ca="1">IF(OR(B238="",NOT($J$2)),"",GetStripDefaultProbability(A238,B238,Parameter_Date,CDSRollDate,E238:M238,SpreadCurveMaturities,D238,C238,$J$4,$J$6))</f>
        <v>0</v>
      </c>
      <c r="O238" s="165">
        <f ca="1"/>
        <v>0</v>
      </c>
      <c r="P238" s="165">
        <f ca="1"/>
        <v>1.8911997793389368E-3</v>
      </c>
      <c r="Q238" s="165">
        <f ca="1"/>
        <v>0</v>
      </c>
      <c r="R238" s="165">
        <f ca="1"/>
        <v>9.4881716297043894E-3</v>
      </c>
      <c r="S238" s="165">
        <f ca="1"/>
        <v>0</v>
      </c>
      <c r="T238" s="165">
        <f ca="1"/>
        <v>2.3141120722797948E-2</v>
      </c>
      <c r="U238" s="165">
        <f ca="1"/>
        <v>4.2946993259509569E-2</v>
      </c>
      <c r="V238" s="140">
        <f ca="1"/>
        <v>7.8098093886978526E-2</v>
      </c>
      <c r="W238" s="139">
        <f ca="1"/>
        <v>0</v>
      </c>
      <c r="X238" s="165">
        <f ca="1"/>
        <v>0</v>
      </c>
      <c r="Y238" s="165">
        <f ca="1"/>
        <v>2.0575373841963396E-3</v>
      </c>
      <c r="Z238" s="165">
        <f ca="1"/>
        <v>0</v>
      </c>
      <c r="AA238" s="165">
        <f ca="1"/>
        <v>1.0003285168296072E-2</v>
      </c>
      <c r="AB238" s="165">
        <f ca="1"/>
        <v>0</v>
      </c>
      <c r="AC238" s="165">
        <f ca="1"/>
        <v>2.4275022797009105E-2</v>
      </c>
      <c r="AD238" s="165">
        <f ca="1"/>
        <v>4.5045002056205763E-2</v>
      </c>
      <c r="AE238" s="140">
        <f ca="1"/>
        <v>8.185689701168386E-2</v>
      </c>
      <c r="AI238" s="137"/>
      <c r="AK238" s="137"/>
      <c r="AM238" s="137"/>
      <c r="AN238" s="137"/>
      <c r="AO238" s="137"/>
      <c r="AR238" s="137"/>
      <c r="AT238" s="137"/>
      <c r="AV238" s="137"/>
      <c r="AW238" s="137"/>
      <c r="AX238" s="137"/>
    </row>
    <row r="239" spans="1:50" s="79" customFormat="1" ht="10.199999999999999" x14ac:dyDescent="0.2">
      <c r="A239" s="97">
        <f t="shared" si="5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8" t="s">
        <v>87</v>
      </c>
      <c r="G239" s="158">
        <v>6.02E-4</v>
      </c>
      <c r="H239" s="158" t="s">
        <v>87</v>
      </c>
      <c r="I239" s="158">
        <v>2.0270000000000002E-3</v>
      </c>
      <c r="J239" s="158" t="s">
        <v>87</v>
      </c>
      <c r="K239" s="158">
        <v>2.5089999999999999E-3</v>
      </c>
      <c r="L239" s="158">
        <v>3.4740000000000001E-3</v>
      </c>
      <c r="M239" s="158">
        <v>4.4390000000000002E-3</v>
      </c>
      <c r="N239" s="139" cm="1">
        <f t="array" aca="1" ref="N239:AE239" ca="1">IF(OR(B239="",NOT($J$2)),"",GetStripDefaultProbability(A239,B239,Parameter_Date,CDSRollDate,E239:M239,SpreadCurveMaturities,D239,C239,$J$4,$J$6))</f>
        <v>0</v>
      </c>
      <c r="O239" s="165">
        <f ca="1"/>
        <v>0</v>
      </c>
      <c r="P239" s="165">
        <f ca="1"/>
        <v>1.1036315469192814E-3</v>
      </c>
      <c r="Q239" s="165">
        <f ca="1"/>
        <v>0</v>
      </c>
      <c r="R239" s="165">
        <f ca="1"/>
        <v>1.0661794765324806E-2</v>
      </c>
      <c r="S239" s="165">
        <f ca="1"/>
        <v>0</v>
      </c>
      <c r="T239" s="165">
        <f ca="1"/>
        <v>2.1761681422987733E-2</v>
      </c>
      <c r="U239" s="165">
        <f ca="1"/>
        <v>4.2803923719546666E-2</v>
      </c>
      <c r="V239" s="140">
        <f ca="1"/>
        <v>7.854915702156684E-2</v>
      </c>
      <c r="W239" s="139">
        <f ca="1"/>
        <v>0</v>
      </c>
      <c r="X239" s="165">
        <f ca="1"/>
        <v>0</v>
      </c>
      <c r="Y239" s="165">
        <f ca="1"/>
        <v>1.270100402186447E-3</v>
      </c>
      <c r="Z239" s="165">
        <f ca="1"/>
        <v>0</v>
      </c>
      <c r="AA239" s="165">
        <f ca="1"/>
        <v>1.1183482874430162E-2</v>
      </c>
      <c r="AB239" s="165">
        <f ca="1"/>
        <v>0</v>
      </c>
      <c r="AC239" s="165">
        <f ca="1"/>
        <v>2.2830247445844942E-2</v>
      </c>
      <c r="AD239" s="165">
        <f ca="1"/>
        <v>4.4897200127914316E-2</v>
      </c>
      <c r="AE239" s="140">
        <f ca="1"/>
        <v>8.2332128093273393E-2</v>
      </c>
      <c r="AI239" s="137"/>
      <c r="AK239" s="137"/>
      <c r="AM239" s="137"/>
      <c r="AN239" s="137"/>
      <c r="AO239" s="137"/>
      <c r="AR239" s="137"/>
      <c r="AT239" s="137"/>
      <c r="AV239" s="137"/>
      <c r="AW239" s="137"/>
      <c r="AX239" s="137"/>
    </row>
    <row r="240" spans="1:50" s="79" customFormat="1" ht="10.199999999999999" x14ac:dyDescent="0.2">
      <c r="A240" s="97">
        <f t="shared" si="5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8" t="s">
        <v>87</v>
      </c>
      <c r="G240" s="158">
        <v>9.41E-4</v>
      </c>
      <c r="H240" s="158" t="s">
        <v>87</v>
      </c>
      <c r="I240" s="158">
        <v>2.0409999999999998E-3</v>
      </c>
      <c r="J240" s="158" t="s">
        <v>87</v>
      </c>
      <c r="K240" s="158">
        <v>3.1359999999999999E-3</v>
      </c>
      <c r="L240" s="158">
        <v>4.032E-3</v>
      </c>
      <c r="M240" s="158">
        <v>5.0280000000000004E-3</v>
      </c>
      <c r="N240" s="139" cm="1">
        <f t="array" aca="1" ref="N240:AE240" ca="1">IF(OR(B240="",NOT($J$2)),"",GetStripDefaultProbability(A240,B240,Parameter_Date,CDSRollDate,E240:M240,SpreadCurveMaturities,D240,C240,$J$4,$J$6))</f>
        <v>0</v>
      </c>
      <c r="O240" s="165">
        <f ca="1"/>
        <v>0</v>
      </c>
      <c r="P240" s="165">
        <f ca="1"/>
        <v>1.7245797625372594E-3</v>
      </c>
      <c r="Q240" s="165">
        <f ca="1"/>
        <v>0</v>
      </c>
      <c r="R240" s="165">
        <f ca="1"/>
        <v>1.0688806151484154E-2</v>
      </c>
      <c r="S240" s="165">
        <f ca="1"/>
        <v>0</v>
      </c>
      <c r="T240" s="165">
        <f ca="1"/>
        <v>2.7401571022541926E-2</v>
      </c>
      <c r="U240" s="165">
        <f ca="1"/>
        <v>4.9462102815246545E-2</v>
      </c>
      <c r="V240" s="140">
        <f ca="1"/>
        <v>8.8226135762628721E-2</v>
      </c>
      <c r="W240" s="139">
        <f ca="1"/>
        <v>0</v>
      </c>
      <c r="X240" s="165">
        <f ca="1"/>
        <v>0</v>
      </c>
      <c r="Y240" s="165">
        <f ca="1"/>
        <v>1.8909451350836992E-3</v>
      </c>
      <c r="Z240" s="165">
        <f ca="1"/>
        <v>0</v>
      </c>
      <c r="AA240" s="165">
        <f ca="1"/>
        <v>1.1214094848036038E-2</v>
      </c>
      <c r="AB240" s="165">
        <f ca="1"/>
        <v>0</v>
      </c>
      <c r="AC240" s="165">
        <f ca="1"/>
        <v>2.8748426151145368E-2</v>
      </c>
      <c r="AD240" s="165">
        <f ca="1"/>
        <v>5.187818148487966E-2</v>
      </c>
      <c r="AE240" s="140">
        <f ca="1"/>
        <v>9.245727763676459E-2</v>
      </c>
      <c r="AI240" s="137"/>
      <c r="AK240" s="137"/>
      <c r="AM240" s="137"/>
      <c r="AN240" s="137"/>
      <c r="AO240" s="137"/>
      <c r="AR240" s="137"/>
      <c r="AT240" s="137"/>
      <c r="AV240" s="137"/>
      <c r="AW240" s="137"/>
      <c r="AX240" s="137"/>
    </row>
    <row r="241" spans="1:50" s="79" customFormat="1" ht="10.199999999999999" x14ac:dyDescent="0.2">
      <c r="A241" s="97">
        <f t="shared" si="5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8" t="s">
        <v>87</v>
      </c>
      <c r="G241" s="158">
        <v>1.0070000000000001E-3</v>
      </c>
      <c r="H241" s="158" t="s">
        <v>87</v>
      </c>
      <c r="I241" s="158">
        <v>2.4489999999999998E-3</v>
      </c>
      <c r="J241" s="158" t="s">
        <v>87</v>
      </c>
      <c r="K241" s="158">
        <v>2.7989999999999998E-3</v>
      </c>
      <c r="L241" s="158">
        <v>3.388E-3</v>
      </c>
      <c r="M241" s="158">
        <v>3.7799999999999999E-3</v>
      </c>
      <c r="N241" s="139" cm="1">
        <f t="array" aca="1" ref="N241:AE241" ca="1">IF(OR(B241="",NOT($J$2)),"",GetStripDefaultProbability(A241,B241,Parameter_Date,CDSRollDate,E241:M241,SpreadCurveMaturities,D241,C241,$J$4,$J$6))</f>
        <v>0</v>
      </c>
      <c r="O241" s="165">
        <f ca="1"/>
        <v>0</v>
      </c>
      <c r="P241" s="165">
        <f ca="1"/>
        <v>1.8454277976306388E-3</v>
      </c>
      <c r="Q241" s="165">
        <f ca="1"/>
        <v>0</v>
      </c>
      <c r="R241" s="165">
        <f ca="1"/>
        <v>1.283180036091558E-2</v>
      </c>
      <c r="S241" s="165">
        <f ca="1"/>
        <v>0</v>
      </c>
      <c r="T241" s="165">
        <f ca="1"/>
        <v>2.4097329217689145E-2</v>
      </c>
      <c r="U241" s="165">
        <f ca="1"/>
        <v>4.1043847917335397E-2</v>
      </c>
      <c r="V241" s="140">
        <f ca="1"/>
        <v>6.5060102667721775E-2</v>
      </c>
      <c r="W241" s="139">
        <f ca="1"/>
        <v>0</v>
      </c>
      <c r="X241" s="165">
        <f ca="1"/>
        <v>0</v>
      </c>
      <c r="Y241" s="165">
        <f ca="1"/>
        <v>2.0117730304975989E-3</v>
      </c>
      <c r="Z241" s="165">
        <f ca="1"/>
        <v>0</v>
      </c>
      <c r="AA241" s="165">
        <f ca="1"/>
        <v>1.346327646393608E-2</v>
      </c>
      <c r="AB241" s="165">
        <f ca="1"/>
        <v>0</v>
      </c>
      <c r="AC241" s="165">
        <f ca="1"/>
        <v>2.5282406892077613E-2</v>
      </c>
      <c r="AD241" s="165">
        <f ca="1"/>
        <v>4.3052290369591573E-2</v>
      </c>
      <c r="AE241" s="140">
        <f ca="1"/>
        <v>6.8206516489399349E-2</v>
      </c>
      <c r="AI241" s="137"/>
      <c r="AK241" s="137"/>
      <c r="AM241" s="137"/>
      <c r="AN241" s="137"/>
      <c r="AO241" s="137"/>
      <c r="AR241" s="137"/>
      <c r="AT241" s="137"/>
      <c r="AV241" s="137"/>
      <c r="AW241" s="137"/>
      <c r="AX241" s="137"/>
    </row>
    <row r="242" spans="1:50" s="79" customFormat="1" ht="10.199999999999999" x14ac:dyDescent="0.2">
      <c r="A242" s="97">
        <f t="shared" si="5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8" t="s">
        <v>87</v>
      </c>
      <c r="G242" s="158">
        <v>2.0790000000000001E-3</v>
      </c>
      <c r="H242" s="158" t="s">
        <v>87</v>
      </c>
      <c r="I242" s="158">
        <v>3.5140000000000002E-3</v>
      </c>
      <c r="J242" s="158" t="s">
        <v>87</v>
      </c>
      <c r="K242" s="158">
        <v>5.1630000000000001E-3</v>
      </c>
      <c r="L242" s="158">
        <v>6.1060000000000003E-3</v>
      </c>
      <c r="M242" s="158">
        <v>6.9950000000000003E-3</v>
      </c>
      <c r="N242" s="139" cm="1">
        <f t="array" aca="1" ref="N242:AE242" ca="1">IF(OR(B242="",NOT($J$2)),"",GetStripDefaultProbability(A242,B242,Parameter_Date,CDSRollDate,E242:M242,SpreadCurveMaturities,D242,C242,$J$4,$J$6))</f>
        <v>0</v>
      </c>
      <c r="O242" s="165">
        <f ca="1"/>
        <v>0</v>
      </c>
      <c r="P242" s="165">
        <f ca="1"/>
        <v>3.8062629071252685E-3</v>
      </c>
      <c r="Q242" s="165">
        <f ca="1"/>
        <v>0</v>
      </c>
      <c r="R242" s="165">
        <f ca="1"/>
        <v>1.8280379424545301E-2</v>
      </c>
      <c r="S242" s="165">
        <f ca="1"/>
        <v>0</v>
      </c>
      <c r="T242" s="165">
        <f ca="1"/>
        <v>4.4652229851585901E-2</v>
      </c>
      <c r="U242" s="165">
        <f ca="1"/>
        <v>7.3390542558537497E-2</v>
      </c>
      <c r="V242" s="140">
        <f ca="1"/>
        <v>0.11862685728165123</v>
      </c>
      <c r="W242" s="139">
        <f ca="1"/>
        <v>0</v>
      </c>
      <c r="X242" s="165">
        <f ca="1"/>
        <v>0</v>
      </c>
      <c r="Y242" s="165">
        <f ca="1"/>
        <v>3.9961300640704023E-3</v>
      </c>
      <c r="Z242" s="165">
        <f ca="1"/>
        <v>0</v>
      </c>
      <c r="AA242" s="165">
        <f ca="1"/>
        <v>1.9185060882613292E-2</v>
      </c>
      <c r="AB242" s="165">
        <f ca="1"/>
        <v>0</v>
      </c>
      <c r="AC242" s="165">
        <f ca="1"/>
        <v>4.6838064412781821E-2</v>
      </c>
      <c r="AD242" s="165">
        <f ca="1"/>
        <v>7.694180516554594E-2</v>
      </c>
      <c r="AE242" s="140">
        <f ca="1"/>
        <v>0.12426093060549337</v>
      </c>
      <c r="AI242" s="137"/>
      <c r="AK242" s="137"/>
      <c r="AM242" s="137"/>
      <c r="AN242" s="137"/>
      <c r="AO242" s="137"/>
      <c r="AR242" s="137"/>
      <c r="AT242" s="137"/>
      <c r="AV242" s="137"/>
      <c r="AW242" s="137"/>
      <c r="AX242" s="137"/>
    </row>
    <row r="243" spans="1:50" s="79" customFormat="1" ht="10.199999999999999" x14ac:dyDescent="0.2">
      <c r="A243" s="97">
        <f t="shared" si="5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8" t="s">
        <v>87</v>
      </c>
      <c r="G243" s="158">
        <v>6.9099999999999999E-4</v>
      </c>
      <c r="H243" s="158" t="s">
        <v>87</v>
      </c>
      <c r="I243" s="158">
        <v>2.895E-3</v>
      </c>
      <c r="J243" s="158" t="s">
        <v>87</v>
      </c>
      <c r="K243" s="158">
        <v>4.1980000000000003E-3</v>
      </c>
      <c r="L243" s="158">
        <v>5.3080000000000002E-3</v>
      </c>
      <c r="M243" s="158">
        <v>6.5620000000000001E-3</v>
      </c>
      <c r="N243" s="139" cm="1">
        <f t="array" aca="1" ref="N243:AE243" ca="1">IF(OR(B243="",NOT($J$2)),"",GetStripDefaultProbability(A243,B243,Parameter_Date,CDSRollDate,E243:M243,SpreadCurveMaturities,D243,C243,$J$4,$J$6))</f>
        <v>0</v>
      </c>
      <c r="O243" s="165">
        <f ca="1"/>
        <v>0</v>
      </c>
      <c r="P243" s="165">
        <f ca="1"/>
        <v>1.2666904337357288E-3</v>
      </c>
      <c r="Q243" s="165">
        <f ca="1"/>
        <v>0</v>
      </c>
      <c r="R243" s="165">
        <f ca="1"/>
        <v>1.5226044195428501E-2</v>
      </c>
      <c r="S243" s="165">
        <f ca="1"/>
        <v>0</v>
      </c>
      <c r="T243" s="165">
        <f ca="1"/>
        <v>3.654437810502964E-2</v>
      </c>
      <c r="U243" s="165">
        <f ca="1"/>
        <v>6.4630461539689321E-2</v>
      </c>
      <c r="V243" s="140">
        <f ca="1"/>
        <v>0.11370542481687218</v>
      </c>
      <c r="W243" s="139">
        <f ca="1"/>
        <v>0</v>
      </c>
      <c r="X243" s="165">
        <f ca="1"/>
        <v>0</v>
      </c>
      <c r="Y243" s="165">
        <f ca="1"/>
        <v>1.4331321148040033E-3</v>
      </c>
      <c r="Z243" s="165">
        <f ca="1"/>
        <v>0</v>
      </c>
      <c r="AA243" s="165">
        <f ca="1"/>
        <v>1.5973221705878116E-2</v>
      </c>
      <c r="AB243" s="165">
        <f ca="1"/>
        <v>0</v>
      </c>
      <c r="AC243" s="165">
        <f ca="1"/>
        <v>3.8333284781102095E-2</v>
      </c>
      <c r="AD243" s="165">
        <f ca="1"/>
        <v>6.7765784916173022E-2</v>
      </c>
      <c r="AE243" s="140">
        <f ca="1"/>
        <v>0.11913209070293918</v>
      </c>
      <c r="AI243" s="137"/>
      <c r="AK243" s="137"/>
      <c r="AM243" s="137"/>
      <c r="AN243" s="137"/>
      <c r="AO243" s="137"/>
      <c r="AR243" s="137"/>
      <c r="AT243" s="137"/>
      <c r="AV243" s="137"/>
      <c r="AW243" s="137"/>
      <c r="AX243" s="137"/>
    </row>
    <row r="244" spans="1:50" s="79" customFormat="1" ht="10.199999999999999" x14ac:dyDescent="0.2">
      <c r="A244" s="97">
        <f t="shared" si="5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8" t="s">
        <v>87</v>
      </c>
      <c r="G244" s="158">
        <v>2.5040000000000001E-3</v>
      </c>
      <c r="H244" s="158" t="s">
        <v>87</v>
      </c>
      <c r="I244" s="158">
        <v>6.2230000000000002E-3</v>
      </c>
      <c r="J244" s="158" t="s">
        <v>87</v>
      </c>
      <c r="K244" s="158">
        <v>8.3470000000000003E-3</v>
      </c>
      <c r="L244" s="158">
        <v>9.9769999999999998E-3</v>
      </c>
      <c r="M244" s="158">
        <v>1.2248999999999999E-2</v>
      </c>
      <c r="N244" s="139" cm="1">
        <f t="array" aca="1" ref="N244:AE244" ca="1">IF(OR(B244="",NOT($J$2)),"",GetStripDefaultProbability(A244,B244,Parameter_Date,CDSRollDate,E244:M244,SpreadCurveMaturities,D244,C244,$J$4,$J$6))</f>
        <v>0</v>
      </c>
      <c r="O244" s="165">
        <f ca="1"/>
        <v>0</v>
      </c>
      <c r="P244" s="165">
        <f ca="1"/>
        <v>4.582589069088816E-3</v>
      </c>
      <c r="Q244" s="165">
        <f ca="1"/>
        <v>0</v>
      </c>
      <c r="R244" s="165">
        <f ca="1"/>
        <v>3.2366980235727705E-2</v>
      </c>
      <c r="S244" s="165">
        <f ca="1"/>
        <v>0</v>
      </c>
      <c r="T244" s="165">
        <f ca="1"/>
        <v>7.1224939295913448E-2</v>
      </c>
      <c r="U244" s="165">
        <f ca="1"/>
        <v>0.1176898885514529</v>
      </c>
      <c r="V244" s="140">
        <f ca="1"/>
        <v>0.20308068841736193</v>
      </c>
      <c r="W244" s="139">
        <f ca="1"/>
        <v>0</v>
      </c>
      <c r="X244" s="165">
        <f ca="1"/>
        <v>0</v>
      </c>
      <c r="Y244" s="165">
        <f ca="1"/>
        <v>4.8110700780424898E-3</v>
      </c>
      <c r="Z244" s="165">
        <f ca="1"/>
        <v>0</v>
      </c>
      <c r="AA244" s="165">
        <f ca="1"/>
        <v>3.3956176814815331E-2</v>
      </c>
      <c r="AB244" s="165">
        <f ca="1"/>
        <v>0</v>
      </c>
      <c r="AC244" s="165">
        <f ca="1"/>
        <v>7.4665034734311964E-2</v>
      </c>
      <c r="AD244" s="165">
        <f ca="1"/>
        <v>0.12329023389409122</v>
      </c>
      <c r="AE244" s="140">
        <f ca="1"/>
        <v>0.21238360261032907</v>
      </c>
      <c r="AI244" s="137"/>
      <c r="AK244" s="137"/>
      <c r="AM244" s="137"/>
      <c r="AN244" s="137"/>
      <c r="AO244" s="137"/>
      <c r="AR244" s="137"/>
      <c r="AT244" s="137"/>
      <c r="AV244" s="137"/>
      <c r="AW244" s="137"/>
      <c r="AX244" s="137"/>
    </row>
    <row r="245" spans="1:50" s="79" customFormat="1" ht="10.199999999999999" x14ac:dyDescent="0.2">
      <c r="A245" s="97">
        <f t="shared" si="5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8" t="s">
        <v>87</v>
      </c>
      <c r="G245" s="158">
        <v>3.1319999999999998E-3</v>
      </c>
      <c r="H245" s="158" t="s">
        <v>87</v>
      </c>
      <c r="I245" s="158">
        <v>7.0920000000000002E-3</v>
      </c>
      <c r="J245" s="158" t="s">
        <v>87</v>
      </c>
      <c r="K245" s="158">
        <v>1.155E-2</v>
      </c>
      <c r="L245" s="158">
        <v>1.3374E-2</v>
      </c>
      <c r="M245" s="158">
        <v>1.5500999999999999E-2</v>
      </c>
      <c r="N245" s="139" cm="1">
        <f t="array" aca="1" ref="N245:AE245" ca="1">IF(OR(B245="",NOT($J$2)),"",GetStripDefaultProbability(A245,B245,Parameter_Date,CDSRollDate,E245:M245,SpreadCurveMaturities,D245,C245,$J$4,$J$6))</f>
        <v>0</v>
      </c>
      <c r="O245" s="165">
        <f ca="1"/>
        <v>0</v>
      </c>
      <c r="P245" s="165">
        <f ca="1"/>
        <v>5.7286284600440718E-3</v>
      </c>
      <c r="Q245" s="165">
        <f ca="1"/>
        <v>0</v>
      </c>
      <c r="R245" s="165">
        <f ca="1"/>
        <v>3.6777702897757947E-2</v>
      </c>
      <c r="S245" s="165">
        <f ca="1"/>
        <v>0</v>
      </c>
      <c r="T245" s="165">
        <f ca="1"/>
        <v>9.8615132690985319E-2</v>
      </c>
      <c r="U245" s="165">
        <f ca="1"/>
        <v>0.1557382132975097</v>
      </c>
      <c r="V245" s="140">
        <f ca="1"/>
        <v>0.2489987025757695</v>
      </c>
      <c r="W245" s="139">
        <f ca="1"/>
        <v>0</v>
      </c>
      <c r="X245" s="165">
        <f ca="1"/>
        <v>0</v>
      </c>
      <c r="Y245" s="165">
        <f ca="1"/>
        <v>6.014042315551249E-3</v>
      </c>
      <c r="Z245" s="165">
        <f ca="1"/>
        <v>0</v>
      </c>
      <c r="AA245" s="165">
        <f ca="1"/>
        <v>3.8578459000384036E-2</v>
      </c>
      <c r="AB245" s="165">
        <f ca="1"/>
        <v>0</v>
      </c>
      <c r="AC245" s="165">
        <f ca="1"/>
        <v>0.10336356150704173</v>
      </c>
      <c r="AD245" s="165">
        <f ca="1"/>
        <v>0.16302533047124423</v>
      </c>
      <c r="AE245" s="140">
        <f ca="1"/>
        <v>0.26009190845090202</v>
      </c>
      <c r="AI245" s="137"/>
      <c r="AK245" s="137"/>
      <c r="AM245" s="137"/>
      <c r="AN245" s="137"/>
      <c r="AO245" s="137"/>
      <c r="AR245" s="137"/>
      <c r="AT245" s="137"/>
      <c r="AV245" s="137"/>
      <c r="AW245" s="137"/>
      <c r="AX245" s="137"/>
    </row>
    <row r="246" spans="1:50" s="79" customFormat="1" ht="10.199999999999999" x14ac:dyDescent="0.2">
      <c r="A246" s="97">
        <f t="shared" si="5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8" t="s">
        <v>87</v>
      </c>
      <c r="G246" s="158">
        <v>6.3900000000000003E-4</v>
      </c>
      <c r="H246" s="158" t="s">
        <v>87</v>
      </c>
      <c r="I246" s="158">
        <v>1.4480000000000001E-3</v>
      </c>
      <c r="J246" s="158" t="s">
        <v>87</v>
      </c>
      <c r="K246" s="158">
        <v>2.5569999999999998E-3</v>
      </c>
      <c r="L246" s="158">
        <v>3.3289999999999999E-3</v>
      </c>
      <c r="M246" s="158">
        <v>4.3429999999999996E-3</v>
      </c>
      <c r="N246" s="139" cm="1">
        <f t="array" aca="1" ref="N246:AE246" ca="1">IF(OR(B246="",NOT($J$2)),"",GetStripDefaultProbability(A246,B246,Parameter_Date,CDSRollDate,E246:M246,SpreadCurveMaturities,D246,C246,$J$4,$J$6))</f>
        <v>0</v>
      </c>
      <c r="O246" s="165">
        <f ca="1"/>
        <v>0</v>
      </c>
      <c r="P246" s="165">
        <f ca="1"/>
        <v>1.1714232805138947E-3</v>
      </c>
      <c r="Q246" s="165">
        <f ca="1"/>
        <v>0</v>
      </c>
      <c r="R246" s="165">
        <f ca="1"/>
        <v>7.5964516774634783E-3</v>
      </c>
      <c r="S246" s="165">
        <f ca="1"/>
        <v>0</v>
      </c>
      <c r="T246" s="165">
        <f ca="1"/>
        <v>2.2525144436106093E-2</v>
      </c>
      <c r="U246" s="165">
        <f ca="1"/>
        <v>4.1155922479059526E-2</v>
      </c>
      <c r="V246" s="140">
        <f ca="1"/>
        <v>7.7241417009026425E-2</v>
      </c>
      <c r="W246" s="139">
        <f ca="1"/>
        <v>0</v>
      </c>
      <c r="X246" s="165">
        <f ca="1"/>
        <v>0</v>
      </c>
      <c r="Y246" s="165">
        <f ca="1"/>
        <v>1.3378808380992702E-3</v>
      </c>
      <c r="Z246" s="165">
        <f ca="1"/>
        <v>0</v>
      </c>
      <c r="AA246" s="165">
        <f ca="1"/>
        <v>8.1126802309251511E-3</v>
      </c>
      <c r="AB246" s="165">
        <f ca="1"/>
        <v>0</v>
      </c>
      <c r="AC246" s="165">
        <f ca="1"/>
        <v>2.3616177004478378E-2</v>
      </c>
      <c r="AD246" s="165">
        <f ca="1"/>
        <v>4.3155328331520471E-2</v>
      </c>
      <c r="AE246" s="140">
        <f ca="1"/>
        <v>8.0948984767130749E-2</v>
      </c>
      <c r="AI246" s="137"/>
      <c r="AK246" s="137"/>
      <c r="AM246" s="137"/>
      <c r="AN246" s="137"/>
      <c r="AO246" s="137"/>
      <c r="AR246" s="137"/>
      <c r="AT246" s="137"/>
      <c r="AV246" s="137"/>
      <c r="AW246" s="137"/>
      <c r="AX246" s="137"/>
    </row>
    <row r="247" spans="1:50" s="79" customFormat="1" ht="10.199999999999999" x14ac:dyDescent="0.2">
      <c r="A247" s="97">
        <f t="shared" si="5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8" t="s">
        <v>87</v>
      </c>
      <c r="G247" s="158">
        <v>6.0999999999999997E-4</v>
      </c>
      <c r="H247" s="158" t="s">
        <v>87</v>
      </c>
      <c r="I247" s="158">
        <v>2.3159999999999999E-3</v>
      </c>
      <c r="J247" s="158" t="s">
        <v>87</v>
      </c>
      <c r="K247" s="158">
        <v>2.702E-3</v>
      </c>
      <c r="L247" s="158">
        <v>3.571E-3</v>
      </c>
      <c r="M247" s="158">
        <v>4.8250000000000003E-3</v>
      </c>
      <c r="N247" s="139" cm="1">
        <f t="array" aca="1" ref="N247:AE247" ca="1">IF(OR(B247="",NOT($J$2)),"",GetStripDefaultProbability(A247,B247,Parameter_Date,CDSRollDate,E247:M247,SpreadCurveMaturities,D247,C247,$J$4,$J$6))</f>
        <v>0</v>
      </c>
      <c r="O247" s="165">
        <f ca="1"/>
        <v>0</v>
      </c>
      <c r="P247" s="165">
        <f ca="1"/>
        <v>1.1182896058454794E-3</v>
      </c>
      <c r="Q247" s="165">
        <f ca="1"/>
        <v>0</v>
      </c>
      <c r="R247" s="165">
        <f ca="1"/>
        <v>1.2186013047749245E-2</v>
      </c>
      <c r="S247" s="165">
        <f ca="1"/>
        <v>0</v>
      </c>
      <c r="T247" s="165">
        <f ca="1"/>
        <v>2.3348861558432743E-2</v>
      </c>
      <c r="U247" s="165">
        <f ca="1"/>
        <v>4.3712124965143873E-2</v>
      </c>
      <c r="V247" s="140">
        <f ca="1"/>
        <v>8.5553849204505705E-2</v>
      </c>
      <c r="W247" s="139">
        <f ca="1"/>
        <v>0</v>
      </c>
      <c r="X247" s="165">
        <f ca="1"/>
        <v>0</v>
      </c>
      <c r="Y247" s="165">
        <f ca="1"/>
        <v>1.2847560183228968E-3</v>
      </c>
      <c r="Z247" s="165">
        <f ca="1"/>
        <v>0</v>
      </c>
      <c r="AA247" s="165">
        <f ca="1"/>
        <v>1.2782977935562601E-2</v>
      </c>
      <c r="AB247" s="165">
        <f ca="1"/>
        <v>0</v>
      </c>
      <c r="AC247" s="165">
        <f ca="1"/>
        <v>2.4494954206837338E-2</v>
      </c>
      <c r="AD247" s="165">
        <f ca="1"/>
        <v>4.584805838352346E-2</v>
      </c>
      <c r="AE247" s="140">
        <f ca="1"/>
        <v>8.9690108158543835E-2</v>
      </c>
      <c r="AI247" s="137"/>
      <c r="AK247" s="137"/>
      <c r="AM247" s="137"/>
      <c r="AN247" s="137"/>
      <c r="AO247" s="137"/>
      <c r="AR247" s="137"/>
      <c r="AT247" s="137"/>
      <c r="AV247" s="137"/>
      <c r="AW247" s="137"/>
      <c r="AX247" s="137"/>
    </row>
    <row r="248" spans="1:50" s="79" customFormat="1" ht="10.199999999999999" x14ac:dyDescent="0.2">
      <c r="A248" s="97">
        <f t="shared" si="5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8" t="s">
        <v>87</v>
      </c>
      <c r="G248" s="158">
        <v>2.4285999999999999E-2</v>
      </c>
      <c r="H248" s="158" t="s">
        <v>87</v>
      </c>
      <c r="I248" s="158">
        <v>2.4133999999999999E-2</v>
      </c>
      <c r="J248" s="158" t="s">
        <v>87</v>
      </c>
      <c r="K248" s="158">
        <v>2.1857000000000001E-2</v>
      </c>
      <c r="L248" s="158">
        <v>2.0947E-2</v>
      </c>
      <c r="M248" s="158">
        <v>2.0036000000000002E-2</v>
      </c>
      <c r="N248" s="139" cm="1">
        <f t="array" aca="1" ref="N248:AE248" ca="1">IF(OR(B248="",NOT($J$2)),"",GetStripDefaultProbability(A248,B248,Parameter_Date,CDSRollDate,E248:M248,SpreadCurveMaturities,D248,C248,$J$4,$J$6))</f>
        <v>0</v>
      </c>
      <c r="O248" s="165">
        <f ca="1"/>
        <v>0</v>
      </c>
      <c r="P248" s="165">
        <f ca="1"/>
        <v>4.3583597705239341E-2</v>
      </c>
      <c r="Q248" s="165">
        <f ca="1"/>
        <v>0</v>
      </c>
      <c r="R248" s="165">
        <f ca="1"/>
        <v>0.11768658766728557</v>
      </c>
      <c r="S248" s="165">
        <f ca="1"/>
        <v>0</v>
      </c>
      <c r="T248" s="165">
        <f ca="1"/>
        <v>0.16806988624222641</v>
      </c>
      <c r="U248" s="165">
        <f ca="1"/>
        <v>0.21637730553380763</v>
      </c>
      <c r="V248" s="140">
        <f ca="1"/>
        <v>0.27979548983378155</v>
      </c>
      <c r="W248" s="139">
        <f ca="1"/>
        <v>0</v>
      </c>
      <c r="X248" s="165">
        <f ca="1"/>
        <v>0</v>
      </c>
      <c r="Y248" s="165">
        <f ca="1"/>
        <v>4.56967668298216E-2</v>
      </c>
      <c r="Z248" s="165">
        <f ca="1"/>
        <v>0</v>
      </c>
      <c r="AA248" s="165">
        <f ca="1"/>
        <v>0.12319399325179781</v>
      </c>
      <c r="AB248" s="165">
        <f ca="1"/>
        <v>0</v>
      </c>
      <c r="AC248" s="165">
        <f ca="1"/>
        <v>0.1756119478962308</v>
      </c>
      <c r="AD248" s="165">
        <f ca="1"/>
        <v>0.22577114988561031</v>
      </c>
      <c r="AE248" s="140">
        <f ca="1"/>
        <v>0.29132622026849397</v>
      </c>
      <c r="AI248" s="137"/>
      <c r="AK248" s="137"/>
      <c r="AM248" s="137"/>
      <c r="AN248" s="137"/>
      <c r="AO248" s="137"/>
      <c r="AR248" s="137"/>
      <c r="AT248" s="137"/>
      <c r="AV248" s="137"/>
      <c r="AW248" s="137"/>
      <c r="AX248" s="137"/>
    </row>
    <row r="249" spans="1:50" s="79" customFormat="1" ht="10.199999999999999" x14ac:dyDescent="0.2">
      <c r="A249" s="97">
        <f t="shared" si="5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8" t="s">
        <v>87</v>
      </c>
      <c r="G249" s="158">
        <v>1.5659999999999999E-3</v>
      </c>
      <c r="H249" s="158" t="s">
        <v>87</v>
      </c>
      <c r="I249" s="158">
        <v>2.3509999999999998E-3</v>
      </c>
      <c r="J249" s="158" t="s">
        <v>87</v>
      </c>
      <c r="K249" s="158">
        <v>2.7499999999999998E-3</v>
      </c>
      <c r="L249" s="158">
        <v>3.5490000000000001E-3</v>
      </c>
      <c r="M249" s="158">
        <v>4.2579999999999996E-3</v>
      </c>
      <c r="N249" s="139" cm="1">
        <f t="array" aca="1" ref="N249:AE249" ca="1">IF(OR(B249="",NOT($J$2)),"",GetStripDefaultProbability(A249,B249,Parameter_Date,CDSRollDate,E249:M249,SpreadCurveMaturities,D249,C249,$J$4,$J$6))</f>
        <v>0</v>
      </c>
      <c r="O249" s="165">
        <f ca="1"/>
        <v>0</v>
      </c>
      <c r="P249" s="165">
        <f ca="1"/>
        <v>2.868392411093601E-3</v>
      </c>
      <c r="Q249" s="165">
        <f ca="1"/>
        <v>0</v>
      </c>
      <c r="R249" s="165">
        <f ca="1"/>
        <v>1.2237029957196444E-2</v>
      </c>
      <c r="S249" s="165">
        <f ca="1"/>
        <v>0</v>
      </c>
      <c r="T249" s="165">
        <f ca="1"/>
        <v>2.3630624628863783E-2</v>
      </c>
      <c r="U249" s="165">
        <f ca="1"/>
        <v>4.3211005387975177E-2</v>
      </c>
      <c r="V249" s="140">
        <f ca="1"/>
        <v>7.4217941087918349E-2</v>
      </c>
      <c r="W249" s="139">
        <f ca="1"/>
        <v>0</v>
      </c>
      <c r="X249" s="165">
        <f ca="1"/>
        <v>0</v>
      </c>
      <c r="Y249" s="165">
        <f ca="1"/>
        <v>3.0345671640593652E-3</v>
      </c>
      <c r="Z249" s="165">
        <f ca="1"/>
        <v>0</v>
      </c>
      <c r="AA249" s="165">
        <f ca="1"/>
        <v>1.2842924726681249E-2</v>
      </c>
      <c r="AB249" s="165">
        <f ca="1"/>
        <v>0</v>
      </c>
      <c r="AC249" s="165">
        <f ca="1"/>
        <v>2.4796494554503945E-2</v>
      </c>
      <c r="AD249" s="165">
        <f ca="1"/>
        <v>4.5328404016232837E-2</v>
      </c>
      <c r="AE249" s="140">
        <f ca="1"/>
        <v>7.7800396648232906E-2</v>
      </c>
      <c r="AI249" s="137"/>
      <c r="AK249" s="137"/>
      <c r="AM249" s="137"/>
      <c r="AN249" s="137"/>
      <c r="AO249" s="137"/>
      <c r="AR249" s="137"/>
      <c r="AT249" s="137"/>
      <c r="AV249" s="137"/>
      <c r="AW249" s="137"/>
      <c r="AX249" s="137"/>
    </row>
    <row r="250" spans="1:50" s="79" customFormat="1" ht="10.199999999999999" x14ac:dyDescent="0.2">
      <c r="A250" s="97">
        <f t="shared" si="5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8" t="s">
        <v>87</v>
      </c>
      <c r="G250" s="158">
        <v>6.9800000000000005E-4</v>
      </c>
      <c r="H250" s="158" t="s">
        <v>87</v>
      </c>
      <c r="I250" s="158">
        <v>1.629E-3</v>
      </c>
      <c r="J250" s="158" t="s">
        <v>87</v>
      </c>
      <c r="K250" s="158">
        <v>2.6540000000000001E-3</v>
      </c>
      <c r="L250" s="158">
        <v>3.637E-3</v>
      </c>
      <c r="M250" s="158">
        <v>4.8650000000000004E-3</v>
      </c>
      <c r="N250" s="139" cm="1">
        <f t="array" aca="1" ref="N250:AE250" ca="1">IF(OR(B250="",NOT($J$2)),"",GetStripDefaultProbability(A250,B250,Parameter_Date,CDSRollDate,E250:M250,SpreadCurveMaturities,D250,C250,$J$4,$J$6))</f>
        <v>0</v>
      </c>
      <c r="O250" s="165">
        <f ca="1"/>
        <v>0</v>
      </c>
      <c r="P250" s="165">
        <f ca="1"/>
        <v>1.2795141697464762E-3</v>
      </c>
      <c r="Q250" s="165">
        <f ca="1"/>
        <v>0</v>
      </c>
      <c r="R250" s="165">
        <f ca="1"/>
        <v>8.5456767067378925E-3</v>
      </c>
      <c r="S250" s="165">
        <f ca="1"/>
        <v>0</v>
      </c>
      <c r="T250" s="165">
        <f ca="1"/>
        <v>2.3295523350907565E-2</v>
      </c>
      <c r="U250" s="165">
        <f ca="1"/>
        <v>4.5030283372796465E-2</v>
      </c>
      <c r="V250" s="140">
        <f ca="1"/>
        <v>8.665103504474081E-2</v>
      </c>
      <c r="W250" s="139">
        <f ca="1"/>
        <v>0</v>
      </c>
      <c r="X250" s="165">
        <f ca="1"/>
        <v>0</v>
      </c>
      <c r="Y250" s="165">
        <f ca="1"/>
        <v>1.4459537137068157E-3</v>
      </c>
      <c r="Z250" s="165">
        <f ca="1"/>
        <v>0</v>
      </c>
      <c r="AA250" s="165">
        <f ca="1"/>
        <v>9.0613884025372293E-3</v>
      </c>
      <c r="AB250" s="165">
        <f ca="1"/>
        <v>0</v>
      </c>
      <c r="AC250" s="165">
        <f ca="1"/>
        <v>2.4429701001502102E-2</v>
      </c>
      <c r="AD250" s="165">
        <f ca="1"/>
        <v>4.7222302562719753E-2</v>
      </c>
      <c r="AE250" s="140">
        <f ca="1"/>
        <v>9.0831807314879609E-2</v>
      </c>
      <c r="AI250" s="137"/>
      <c r="AK250" s="137"/>
      <c r="AM250" s="137"/>
      <c r="AN250" s="137"/>
      <c r="AO250" s="137"/>
      <c r="AR250" s="137"/>
      <c r="AT250" s="137"/>
      <c r="AV250" s="137"/>
      <c r="AW250" s="137"/>
      <c r="AX250" s="137"/>
    </row>
    <row r="251" spans="1:50" s="79" customFormat="1" ht="10.199999999999999" x14ac:dyDescent="0.2">
      <c r="A251" s="97">
        <f t="shared" si="5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8" t="s">
        <v>87</v>
      </c>
      <c r="G251" s="158">
        <v>1.928E-3</v>
      </c>
      <c r="H251" s="158" t="s">
        <v>87</v>
      </c>
      <c r="I251" s="158">
        <v>4.6899999999999997E-3</v>
      </c>
      <c r="J251" s="158" t="s">
        <v>87</v>
      </c>
      <c r="K251" s="158">
        <v>6.7070000000000003E-3</v>
      </c>
      <c r="L251" s="158">
        <v>8.3960000000000007E-3</v>
      </c>
      <c r="M251" s="158">
        <v>9.9319999999999999E-3</v>
      </c>
      <c r="N251" s="139" cm="1">
        <f t="array" aca="1" ref="N251:AE251" ca="1">IF(OR(B251="",NOT($J$2)),"",GetStripDefaultProbability(A251,B251,Parameter_Date,CDSRollDate,E251:M251,SpreadCurveMaturities,D251,C251,$J$4,$J$6))</f>
        <v>0</v>
      </c>
      <c r="O251" s="165">
        <f ca="1"/>
        <v>0</v>
      </c>
      <c r="P251" s="165">
        <f ca="1"/>
        <v>3.5302943888767535E-3</v>
      </c>
      <c r="Q251" s="165">
        <f ca="1"/>
        <v>0</v>
      </c>
      <c r="R251" s="165">
        <f ca="1"/>
        <v>2.4462682037784012E-2</v>
      </c>
      <c r="S251" s="165">
        <f ca="1"/>
        <v>0</v>
      </c>
      <c r="T251" s="165">
        <f ca="1"/>
        <v>5.7755881265483366E-2</v>
      </c>
      <c r="U251" s="165">
        <f ca="1"/>
        <v>0.1005637246646256</v>
      </c>
      <c r="V251" s="140">
        <f ca="1"/>
        <v>0.16680051616211644</v>
      </c>
      <c r="W251" s="139">
        <f ca="1"/>
        <v>0</v>
      </c>
      <c r="X251" s="165">
        <f ca="1"/>
        <v>0</v>
      </c>
      <c r="Y251" s="165">
        <f ca="1"/>
        <v>3.6963588340584996E-3</v>
      </c>
      <c r="Z251" s="165">
        <f ca="1"/>
        <v>0</v>
      </c>
      <c r="AA251" s="165">
        <f ca="1"/>
        <v>2.5670211402117893E-2</v>
      </c>
      <c r="AB251" s="165">
        <f ca="1"/>
        <v>0</v>
      </c>
      <c r="AC251" s="165">
        <f ca="1"/>
        <v>6.0566620871036814E-2</v>
      </c>
      <c r="AD251" s="165">
        <f ca="1"/>
        <v>0.10537349496639969</v>
      </c>
      <c r="AE251" s="140">
        <f ca="1"/>
        <v>0.17457198878764202</v>
      </c>
      <c r="AI251" s="137"/>
      <c r="AK251" s="137"/>
      <c r="AM251" s="137"/>
      <c r="AN251" s="137"/>
      <c r="AO251" s="137"/>
      <c r="AR251" s="137"/>
      <c r="AT251" s="137"/>
      <c r="AV251" s="137"/>
      <c r="AW251" s="137"/>
      <c r="AX251" s="137"/>
    </row>
    <row r="252" spans="1:50" s="79" customFormat="1" ht="10.199999999999999" x14ac:dyDescent="0.2">
      <c r="A252" s="97">
        <f t="shared" si="5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8" t="s">
        <v>87</v>
      </c>
      <c r="G252" s="158">
        <v>6.02E-4</v>
      </c>
      <c r="H252" s="158" t="s">
        <v>87</v>
      </c>
      <c r="I252" s="158">
        <v>2.8709999999999999E-3</v>
      </c>
      <c r="J252" s="158" t="s">
        <v>87</v>
      </c>
      <c r="K252" s="158">
        <v>3.8119999999999999E-3</v>
      </c>
      <c r="L252" s="158">
        <v>4.6119999999999998E-3</v>
      </c>
      <c r="M252" s="158">
        <v>5.6470000000000001E-3</v>
      </c>
      <c r="N252" s="139" cm="1">
        <f t="array" aca="1" ref="N252:AE252" ca="1">IF(OR(B252="",NOT($J$2)),"",GetStripDefaultProbability(A252,B252,Parameter_Date,CDSRollDate,E252:M252,SpreadCurveMaturities,D252,C252,$J$4,$J$6))</f>
        <v>0</v>
      </c>
      <c r="O252" s="165">
        <f ca="1"/>
        <v>0</v>
      </c>
      <c r="P252" s="165">
        <f ca="1"/>
        <v>1.1036315469192814E-3</v>
      </c>
      <c r="Q252" s="165">
        <f ca="1"/>
        <v>0</v>
      </c>
      <c r="R252" s="165">
        <f ca="1"/>
        <v>1.5112341831841847E-2</v>
      </c>
      <c r="S252" s="165">
        <f ca="1"/>
        <v>0</v>
      </c>
      <c r="T252" s="165">
        <f ca="1"/>
        <v>3.3084339621732739E-2</v>
      </c>
      <c r="U252" s="165">
        <f ca="1"/>
        <v>5.5931456592405504E-2</v>
      </c>
      <c r="V252" s="140">
        <f ca="1"/>
        <v>9.7882142528360472E-2</v>
      </c>
      <c r="W252" s="139">
        <f ca="1"/>
        <v>0</v>
      </c>
      <c r="X252" s="165">
        <f ca="1"/>
        <v>0</v>
      </c>
      <c r="Y252" s="165">
        <f ca="1"/>
        <v>1.270100402186447E-3</v>
      </c>
      <c r="Z252" s="165">
        <f ca="1"/>
        <v>0</v>
      </c>
      <c r="AA252" s="165">
        <f ca="1"/>
        <v>1.5853323334126257E-2</v>
      </c>
      <c r="AB252" s="165">
        <f ca="1"/>
        <v>0</v>
      </c>
      <c r="AC252" s="165">
        <f ca="1"/>
        <v>3.470479084207545E-2</v>
      </c>
      <c r="AD252" s="165">
        <f ca="1"/>
        <v>5.8651361003479119E-2</v>
      </c>
      <c r="AE252" s="140">
        <f ca="1"/>
        <v>0.10257747698589903</v>
      </c>
      <c r="AI252" s="137"/>
      <c r="AK252" s="137"/>
      <c r="AM252" s="137"/>
      <c r="AN252" s="137"/>
      <c r="AO252" s="137"/>
      <c r="AR252" s="137"/>
      <c r="AT252" s="137"/>
      <c r="AV252" s="137"/>
      <c r="AW252" s="137"/>
      <c r="AX252" s="137"/>
    </row>
    <row r="253" spans="1:50" s="79" customFormat="1" ht="10.199999999999999" x14ac:dyDescent="0.2">
      <c r="A253" s="97">
        <f t="shared" si="5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8" t="s">
        <v>87</v>
      </c>
      <c r="G253" s="158">
        <v>3.7399999999999998E-4</v>
      </c>
      <c r="H253" s="158" t="s">
        <v>87</v>
      </c>
      <c r="I253" s="158">
        <v>1.255E-3</v>
      </c>
      <c r="J253" s="158" t="s">
        <v>87</v>
      </c>
      <c r="K253" s="158">
        <v>1.9300000000000001E-3</v>
      </c>
      <c r="L253" s="158">
        <v>2.9919999999999999E-3</v>
      </c>
      <c r="M253" s="158">
        <v>3.4740000000000001E-3</v>
      </c>
      <c r="N253" s="139" cm="1">
        <f t="array" aca="1" ref="N253:AE253" ca="1">IF(OR(B253="",NOT($J$2)),"",GetStripDefaultProbability(A253,B253,Parameter_Date,CDSRollDate,E253:M253,SpreadCurveMaturities,D253,C253,$J$4,$J$6))</f>
        <v>0</v>
      </c>
      <c r="O253" s="165">
        <f ca="1"/>
        <v>0</v>
      </c>
      <c r="P253" s="165">
        <f ca="1"/>
        <v>6.8578713306555183E-4</v>
      </c>
      <c r="Q253" s="165">
        <f ca="1"/>
        <v>0</v>
      </c>
      <c r="R253" s="165">
        <f ca="1"/>
        <v>6.6107944076351233E-3</v>
      </c>
      <c r="S253" s="165">
        <f ca="1"/>
        <v>0</v>
      </c>
      <c r="T253" s="165">
        <f ca="1"/>
        <v>1.6956746518959731E-2</v>
      </c>
      <c r="U253" s="165">
        <f ca="1"/>
        <v>3.7493609930114302E-2</v>
      </c>
      <c r="V253" s="140">
        <f ca="1"/>
        <v>6.1514824428614001E-2</v>
      </c>
      <c r="W253" s="139">
        <f ca="1"/>
        <v>0</v>
      </c>
      <c r="X253" s="165">
        <f ca="1"/>
        <v>0</v>
      </c>
      <c r="Y253" s="165">
        <f ca="1"/>
        <v>8.5232562328219075E-4</v>
      </c>
      <c r="Z253" s="165">
        <f ca="1"/>
        <v>0</v>
      </c>
      <c r="AA253" s="165">
        <f ca="1"/>
        <v>7.1276137167685105E-3</v>
      </c>
      <c r="AB253" s="165">
        <f ca="1"/>
        <v>0</v>
      </c>
      <c r="AC253" s="165">
        <f ca="1"/>
        <v>1.7799244226598288E-2</v>
      </c>
      <c r="AD253" s="165">
        <f ca="1"/>
        <v>3.9305553645668678E-2</v>
      </c>
      <c r="AE253" s="140">
        <f ca="1"/>
        <v>6.4474282690774154E-2</v>
      </c>
      <c r="AI253" s="137"/>
      <c r="AK253" s="137"/>
      <c r="AM253" s="137"/>
      <c r="AN253" s="137"/>
      <c r="AO253" s="137"/>
      <c r="AR253" s="137"/>
      <c r="AT253" s="137"/>
      <c r="AV253" s="137"/>
      <c r="AW253" s="137"/>
      <c r="AX253" s="137"/>
    </row>
    <row r="254" spans="1:50" s="79" customFormat="1" ht="10.199999999999999" x14ac:dyDescent="0.2">
      <c r="A254" s="97">
        <f t="shared" si="5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8" t="s">
        <v>87</v>
      </c>
      <c r="G254" s="158">
        <v>1.0859999999999999E-3</v>
      </c>
      <c r="H254" s="158" t="s">
        <v>87</v>
      </c>
      <c r="I254" s="158">
        <v>1.3029999999999999E-3</v>
      </c>
      <c r="J254" s="158" t="s">
        <v>87</v>
      </c>
      <c r="K254" s="158">
        <v>2.1710000000000002E-3</v>
      </c>
      <c r="L254" s="158">
        <v>2.895E-3</v>
      </c>
      <c r="M254" s="158">
        <v>3.3779999999999999E-3</v>
      </c>
      <c r="N254" s="139" cm="1">
        <f t="array" aca="1" ref="N254:AE254" ca="1">IF(OR(B254="",NOT($J$2)),"",GetStripDefaultProbability(A254,B254,Parameter_Date,CDSRollDate,E254:M254,SpreadCurveMaturities,D254,C254,$J$4,$J$6))</f>
        <v>0</v>
      </c>
      <c r="O254" s="165">
        <f ca="1"/>
        <v>0</v>
      </c>
      <c r="P254" s="165">
        <f ca="1"/>
        <v>1.9900601554717623E-3</v>
      </c>
      <c r="Q254" s="165">
        <f ca="1"/>
        <v>0</v>
      </c>
      <c r="R254" s="165">
        <f ca="1"/>
        <v>6.7688470999459627E-3</v>
      </c>
      <c r="S254" s="165">
        <f ca="1"/>
        <v>0</v>
      </c>
      <c r="T254" s="165">
        <f ca="1"/>
        <v>1.9029624782840981E-2</v>
      </c>
      <c r="U254" s="165">
        <f ca="1"/>
        <v>3.581282705240163E-2</v>
      </c>
      <c r="V254" s="140">
        <f ca="1"/>
        <v>5.9417367263104981E-2</v>
      </c>
      <c r="W254" s="139">
        <f ca="1"/>
        <v>0</v>
      </c>
      <c r="X254" s="165">
        <f ca="1"/>
        <v>0</v>
      </c>
      <c r="Y254" s="165">
        <f ca="1"/>
        <v>2.1563812849735298E-3</v>
      </c>
      <c r="Z254" s="165">
        <f ca="1"/>
        <v>0</v>
      </c>
      <c r="AA254" s="165">
        <f ca="1"/>
        <v>7.2853452054597589E-3</v>
      </c>
      <c r="AB254" s="165">
        <f ca="1"/>
        <v>0</v>
      </c>
      <c r="AC254" s="165">
        <f ca="1"/>
        <v>1.9947973221847048E-2</v>
      </c>
      <c r="AD254" s="165">
        <f ca="1"/>
        <v>3.7552167311237783E-2</v>
      </c>
      <c r="AE254" s="140">
        <f ca="1"/>
        <v>6.2284710673758181E-2</v>
      </c>
      <c r="AI254" s="137"/>
      <c r="AK254" s="137"/>
      <c r="AM254" s="137"/>
      <c r="AN254" s="137"/>
      <c r="AO254" s="137"/>
      <c r="AR254" s="137"/>
      <c r="AT254" s="137"/>
      <c r="AV254" s="137"/>
      <c r="AW254" s="137"/>
      <c r="AX254" s="137"/>
    </row>
    <row r="255" spans="1:50" s="79" customFormat="1" ht="10.199999999999999" x14ac:dyDescent="0.2">
      <c r="A255" s="97">
        <f t="shared" si="5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8" t="s">
        <v>87</v>
      </c>
      <c r="G255" s="158">
        <v>6.9499999999999998E-4</v>
      </c>
      <c r="H255" s="158" t="s">
        <v>87</v>
      </c>
      <c r="I255" s="158">
        <v>1.544E-3</v>
      </c>
      <c r="J255" s="158" t="s">
        <v>87</v>
      </c>
      <c r="K255" s="158">
        <v>2.3159999999999999E-3</v>
      </c>
      <c r="L255" s="158">
        <v>3.1849999999999999E-3</v>
      </c>
      <c r="M255" s="158">
        <v>4.4869999999999997E-3</v>
      </c>
      <c r="N255" s="139" cm="1">
        <f t="array" aca="1" ref="N255:AE255" ca="1">IF(OR(B255="",NOT($J$2)),"",GetStripDefaultProbability(A255,B255,Parameter_Date,CDSRollDate,E255:M255,SpreadCurveMaturities,D255,C255,$J$4,$J$6))</f>
        <v>0</v>
      </c>
      <c r="O255" s="165">
        <f ca="1"/>
        <v>0</v>
      </c>
      <c r="P255" s="165">
        <f ca="1"/>
        <v>1.2740183028888685E-3</v>
      </c>
      <c r="Q255" s="165">
        <f ca="1"/>
        <v>0</v>
      </c>
      <c r="R255" s="165">
        <f ca="1"/>
        <v>8.0966291082970043E-3</v>
      </c>
      <c r="S255" s="165">
        <f ca="1"/>
        <v>0</v>
      </c>
      <c r="T255" s="165">
        <f ca="1"/>
        <v>2.026799657466738E-2</v>
      </c>
      <c r="U255" s="165">
        <f ca="1"/>
        <v>3.9436811020747808E-2</v>
      </c>
      <c r="V255" s="140">
        <f ca="1"/>
        <v>8.0572248999078222E-2</v>
      </c>
      <c r="W255" s="139">
        <f ca="1"/>
        <v>0</v>
      </c>
      <c r="X255" s="165">
        <f ca="1"/>
        <v>0</v>
      </c>
      <c r="Y255" s="165">
        <f ca="1"/>
        <v>1.4404587627556698E-3</v>
      </c>
      <c r="Z255" s="165">
        <f ca="1"/>
        <v>0</v>
      </c>
      <c r="AA255" s="165">
        <f ca="1"/>
        <v>8.6125795096582136E-3</v>
      </c>
      <c r="AB255" s="165">
        <f ca="1"/>
        <v>0</v>
      </c>
      <c r="AC255" s="165">
        <f ca="1"/>
        <v>2.125132101825411E-2</v>
      </c>
      <c r="AD255" s="165">
        <f ca="1"/>
        <v>4.1355962272917934E-2</v>
      </c>
      <c r="AE255" s="140">
        <f ca="1"/>
        <v>8.4468176259335226E-2</v>
      </c>
      <c r="AI255" s="137"/>
      <c r="AK255" s="137"/>
      <c r="AM255" s="137"/>
      <c r="AN255" s="137"/>
      <c r="AO255" s="137"/>
      <c r="AR255" s="137"/>
      <c r="AT255" s="137"/>
      <c r="AV255" s="137"/>
      <c r="AW255" s="137"/>
      <c r="AX255" s="137"/>
    </row>
    <row r="256" spans="1:50" s="79" customFormat="1" ht="10.199999999999999" x14ac:dyDescent="0.2">
      <c r="A256" s="97">
        <f t="shared" si="5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8" t="s">
        <v>87</v>
      </c>
      <c r="G256" s="158">
        <v>2.0885000000000001E-2</v>
      </c>
      <c r="H256" s="158" t="s">
        <v>87</v>
      </c>
      <c r="I256" s="158">
        <v>1.9042E-2</v>
      </c>
      <c r="J256" s="158" t="s">
        <v>87</v>
      </c>
      <c r="K256" s="158">
        <v>1.5970999999999999E-2</v>
      </c>
      <c r="L256" s="158">
        <v>1.5356E-2</v>
      </c>
      <c r="M256" s="158">
        <v>1.4435E-2</v>
      </c>
      <c r="N256" s="139" cm="1">
        <f t="array" aca="1" ref="N256:AE256" ca="1">IF(OR(B256="",NOT($J$2)),"",GetStripDefaultProbability(A256,B256,Parameter_Date,CDSRollDate,E256:M256,SpreadCurveMaturities,D256,C256,$J$4,$J$6))</f>
        <v>0</v>
      </c>
      <c r="O256" s="165">
        <f ca="1"/>
        <v>0</v>
      </c>
      <c r="P256" s="165">
        <f ca="1"/>
        <v>3.7594065066232529E-2</v>
      </c>
      <c r="Q256" s="165">
        <f ca="1"/>
        <v>0</v>
      </c>
      <c r="R256" s="165">
        <f ca="1"/>
        <v>9.3716150479233096E-2</v>
      </c>
      <c r="S256" s="165">
        <f ca="1"/>
        <v>0</v>
      </c>
      <c r="T256" s="165">
        <f ca="1"/>
        <v>0.12442889710801497</v>
      </c>
      <c r="U256" s="165">
        <f ca="1"/>
        <v>0.16272234366370897</v>
      </c>
      <c r="V256" s="140">
        <f ca="1"/>
        <v>0.20892407558452819</v>
      </c>
      <c r="W256" s="139">
        <f ca="1"/>
        <v>0</v>
      </c>
      <c r="X256" s="165">
        <f ca="1"/>
        <v>0</v>
      </c>
      <c r="Y256" s="165">
        <f ca="1"/>
        <v>3.942548997623585E-2</v>
      </c>
      <c r="Z256" s="165">
        <f ca="1"/>
        <v>0</v>
      </c>
      <c r="AA256" s="165">
        <f ca="1"/>
        <v>9.8156700028350086E-2</v>
      </c>
      <c r="AB256" s="165">
        <f ca="1"/>
        <v>0</v>
      </c>
      <c r="AC256" s="165">
        <f ca="1"/>
        <v>0.13014849141489226</v>
      </c>
      <c r="AD256" s="165">
        <f ca="1"/>
        <v>0.17001846777726226</v>
      </c>
      <c r="AE256" s="140">
        <f ca="1"/>
        <v>0.2179929748325431</v>
      </c>
      <c r="AI256" s="137"/>
      <c r="AK256" s="137"/>
      <c r="AM256" s="137"/>
      <c r="AN256" s="137"/>
      <c r="AO256" s="137"/>
      <c r="AR256" s="137"/>
      <c r="AT256" s="137"/>
      <c r="AV256" s="137"/>
      <c r="AW256" s="137"/>
      <c r="AX256" s="137"/>
    </row>
    <row r="257" spans="1:50" s="79" customFormat="1" ht="10.199999999999999" x14ac:dyDescent="0.2">
      <c r="A257" s="97">
        <f t="shared" si="5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8" t="s">
        <v>87</v>
      </c>
      <c r="G257" s="158">
        <v>1.3420000000000001E-3</v>
      </c>
      <c r="H257" s="158" t="s">
        <v>87</v>
      </c>
      <c r="I257" s="158">
        <v>2.5339999999999998E-3</v>
      </c>
      <c r="J257" s="158" t="s">
        <v>87</v>
      </c>
      <c r="K257" s="158">
        <v>3.3289999999999999E-3</v>
      </c>
      <c r="L257" s="158">
        <v>3.4290000000000002E-3</v>
      </c>
      <c r="M257" s="158">
        <v>3.5279999999999999E-3</v>
      </c>
      <c r="N257" s="139" cm="1">
        <f t="array" aca="1" ref="N257:AE257" ca="1">IF(OR(B257="",NOT($J$2)),"",GetStripDefaultProbability(A257,B257,Parameter_Date,CDSRollDate,E257:M257,SpreadCurveMaturities,D257,C257,$J$4,$J$6))</f>
        <v>0</v>
      </c>
      <c r="O257" s="165">
        <f ca="1"/>
        <v>0</v>
      </c>
      <c r="P257" s="165">
        <f ca="1"/>
        <v>2.4585994470417427E-3</v>
      </c>
      <c r="Q257" s="165">
        <f ca="1"/>
        <v>0</v>
      </c>
      <c r="R257" s="165">
        <f ca="1"/>
        <v>1.3232696970780666E-2</v>
      </c>
      <c r="S257" s="165">
        <f ca="1"/>
        <v>0</v>
      </c>
      <c r="T257" s="165">
        <f ca="1"/>
        <v>2.8806002776536888E-2</v>
      </c>
      <c r="U257" s="165">
        <f ca="1"/>
        <v>4.0916998481919209E-2</v>
      </c>
      <c r="V257" s="140">
        <f ca="1"/>
        <v>5.9314256021226974E-2</v>
      </c>
      <c r="W257" s="139">
        <f ca="1"/>
        <v>0</v>
      </c>
      <c r="X257" s="165">
        <f ca="1"/>
        <v>0</v>
      </c>
      <c r="Y257" s="165">
        <f ca="1"/>
        <v>2.6248424931669678E-3</v>
      </c>
      <c r="Z257" s="165">
        <f ca="1"/>
        <v>0</v>
      </c>
      <c r="AA257" s="165">
        <f ca="1"/>
        <v>1.3886183755451587E-2</v>
      </c>
      <c r="AB257" s="165">
        <f ca="1"/>
        <v>0</v>
      </c>
      <c r="AC257" s="165">
        <f ca="1"/>
        <v>3.0223253455288757E-2</v>
      </c>
      <c r="AD257" s="165">
        <f ca="1"/>
        <v>4.2919653180278572E-2</v>
      </c>
      <c r="AE257" s="140">
        <f ca="1"/>
        <v>6.2186068848532505E-2</v>
      </c>
      <c r="AI257" s="137"/>
      <c r="AK257" s="137"/>
      <c r="AM257" s="137"/>
      <c r="AN257" s="137"/>
      <c r="AO257" s="137"/>
      <c r="AR257" s="137"/>
      <c r="AT257" s="137"/>
      <c r="AV257" s="137"/>
      <c r="AW257" s="137"/>
      <c r="AX257" s="137"/>
    </row>
    <row r="258" spans="1:50" s="79" customFormat="1" ht="10.199999999999999" x14ac:dyDescent="0.2">
      <c r="A258" s="97">
        <f t="shared" si="5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8" t="s">
        <v>87</v>
      </c>
      <c r="G258" s="158">
        <v>2.846E-3</v>
      </c>
      <c r="H258" s="158" t="s">
        <v>87</v>
      </c>
      <c r="I258" s="158">
        <v>4.3860000000000001E-3</v>
      </c>
      <c r="J258" s="158" t="s">
        <v>87</v>
      </c>
      <c r="K258" s="158">
        <v>7.0930000000000003E-3</v>
      </c>
      <c r="L258" s="158">
        <v>8.5389999999999997E-3</v>
      </c>
      <c r="M258" s="158">
        <v>1.0266000000000001E-2</v>
      </c>
      <c r="N258" s="139" cm="1">
        <f t="array" aca="1" ref="N258:AE258" ca="1">IF(OR(B258="",NOT($J$2)),"",GetStripDefaultProbability(A258,B258,Parameter_Date,CDSRollDate,E258:M258,SpreadCurveMaturities,D258,C258,$J$4,$J$6))</f>
        <v>0</v>
      </c>
      <c r="O258" s="165">
        <f ca="1"/>
        <v>0</v>
      </c>
      <c r="P258" s="165">
        <f ca="1"/>
        <v>5.2068681615092816E-3</v>
      </c>
      <c r="Q258" s="165">
        <f ca="1"/>
        <v>0</v>
      </c>
      <c r="R258" s="165">
        <f ca="1"/>
        <v>2.2735791749481371E-2</v>
      </c>
      <c r="S258" s="165">
        <f ca="1"/>
        <v>0</v>
      </c>
      <c r="T258" s="165">
        <f ca="1"/>
        <v>6.1247536064375718E-2</v>
      </c>
      <c r="U258" s="165">
        <f ca="1"/>
        <v>0.10198738513768524</v>
      </c>
      <c r="V258" s="140">
        <f ca="1"/>
        <v>0.17232283687156458</v>
      </c>
      <c r="W258" s="139">
        <f ca="1"/>
        <v>0</v>
      </c>
      <c r="X258" s="165">
        <f ca="1"/>
        <v>0</v>
      </c>
      <c r="Y258" s="165">
        <f ca="1"/>
        <v>5.4663724836915284E-3</v>
      </c>
      <c r="Z258" s="165">
        <f ca="1"/>
        <v>0</v>
      </c>
      <c r="AA258" s="165">
        <f ca="1"/>
        <v>2.3857900012499211E-2</v>
      </c>
      <c r="AB258" s="165">
        <f ca="1"/>
        <v>0</v>
      </c>
      <c r="AC258" s="165">
        <f ca="1"/>
        <v>6.4221859764811984E-2</v>
      </c>
      <c r="AD258" s="165">
        <f ca="1"/>
        <v>0.10686121663338577</v>
      </c>
      <c r="AE258" s="140">
        <f ca="1"/>
        <v>0.18033431718625781</v>
      </c>
      <c r="AI258" s="137"/>
      <c r="AK258" s="137"/>
      <c r="AM258" s="137"/>
      <c r="AN258" s="137"/>
      <c r="AO258" s="137"/>
      <c r="AR258" s="137"/>
      <c r="AT258" s="137"/>
      <c r="AV258" s="137"/>
      <c r="AW258" s="137"/>
      <c r="AX258" s="137"/>
    </row>
    <row r="259" spans="1:50" s="79" customFormat="1" ht="10.199999999999999" x14ac:dyDescent="0.2">
      <c r="A259" s="97">
        <f t="shared" si="5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8" t="s">
        <v>87</v>
      </c>
      <c r="G259" s="158">
        <v>1.1789999999999999E-3</v>
      </c>
      <c r="H259" s="158" t="s">
        <v>87</v>
      </c>
      <c r="I259" s="158">
        <v>2.5530000000000001E-3</v>
      </c>
      <c r="J259" s="158" t="s">
        <v>87</v>
      </c>
      <c r="K259" s="158">
        <v>4.5840000000000004E-3</v>
      </c>
      <c r="L259" s="158">
        <v>5.6449999999999998E-3</v>
      </c>
      <c r="M259" s="158">
        <v>6.6100000000000004E-3</v>
      </c>
      <c r="N259" s="139" cm="1">
        <f t="array" aca="1" ref="N259:AE259" ca="1">IF(OR(B259="",NOT($J$2)),"",GetStripDefaultProbability(A259,B259,Parameter_Date,CDSRollDate,E259:M259,SpreadCurveMaturities,D259,C259,$J$4,$J$6))</f>
        <v>0</v>
      </c>
      <c r="O259" s="165">
        <f ca="1"/>
        <v>0</v>
      </c>
      <c r="P259" s="165">
        <f ca="1"/>
        <v>2.1602969288448959E-3</v>
      </c>
      <c r="Q259" s="165">
        <f ca="1"/>
        <v>0</v>
      </c>
      <c r="R259" s="165">
        <f ca="1"/>
        <v>1.3355718459684085E-2</v>
      </c>
      <c r="S259" s="165">
        <f ca="1"/>
        <v>0</v>
      </c>
      <c r="T259" s="165">
        <f ca="1"/>
        <v>4.0162510631125747E-2</v>
      </c>
      <c r="U259" s="165">
        <f ca="1"/>
        <v>6.8750529183390641E-2</v>
      </c>
      <c r="V259" s="140">
        <f ca="1"/>
        <v>0.1135924317825342</v>
      </c>
      <c r="W259" s="139">
        <f ca="1"/>
        <v>0</v>
      </c>
      <c r="X259" s="165">
        <f ca="1"/>
        <v>0</v>
      </c>
      <c r="Y259" s="165">
        <f ca="1"/>
        <v>2.3265896878975623E-3</v>
      </c>
      <c r="Z259" s="165">
        <f ca="1"/>
        <v>0</v>
      </c>
      <c r="AA259" s="165">
        <f ca="1"/>
        <v>1.4014169835320112E-2</v>
      </c>
      <c r="AB259" s="165">
        <f ca="1"/>
        <v>0</v>
      </c>
      <c r="AC259" s="165">
        <f ca="1"/>
        <v>4.2130019467266466E-2</v>
      </c>
      <c r="AD259" s="165">
        <f ca="1"/>
        <v>7.2085861916056149E-2</v>
      </c>
      <c r="AE259" s="140">
        <f ca="1"/>
        <v>0.11900838659402535</v>
      </c>
      <c r="AI259" s="137"/>
      <c r="AK259" s="137"/>
      <c r="AM259" s="137"/>
      <c r="AN259" s="137"/>
      <c r="AO259" s="137"/>
      <c r="AR259" s="137"/>
      <c r="AT259" s="137"/>
      <c r="AV259" s="137"/>
      <c r="AW259" s="137"/>
      <c r="AX259" s="137"/>
    </row>
    <row r="260" spans="1:50" s="79" customFormat="1" ht="10.199999999999999" x14ac:dyDescent="0.2">
      <c r="A260" s="97">
        <f t="shared" si="5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8" t="s">
        <v>87</v>
      </c>
      <c r="G260" s="158">
        <v>5.7700000000000004E-4</v>
      </c>
      <c r="H260" s="158" t="s">
        <v>87</v>
      </c>
      <c r="I260" s="158">
        <v>1.15E-3</v>
      </c>
      <c r="J260" s="158" t="s">
        <v>87</v>
      </c>
      <c r="K260" s="158">
        <v>1.9780000000000002E-3</v>
      </c>
      <c r="L260" s="158">
        <v>2.5760000000000002E-3</v>
      </c>
      <c r="M260" s="158">
        <v>3.3579999999999999E-3</v>
      </c>
      <c r="N260" s="139" cm="1">
        <f t="array" aca="1" ref="N260:AE260" ca="1">IF(OR(B260="",NOT($J$2)),"",GetStripDefaultProbability(A260,B260,Parameter_Date,CDSRollDate,E260:M260,SpreadCurveMaturities,D260,C260,$J$4,$J$6))</f>
        <v>0</v>
      </c>
      <c r="O260" s="165">
        <f ca="1"/>
        <v>0</v>
      </c>
      <c r="P260" s="165">
        <f ca="1"/>
        <v>1.0578237371936527E-3</v>
      </c>
      <c r="Q260" s="165">
        <f ca="1"/>
        <v>0</v>
      </c>
      <c r="R260" s="165">
        <f ca="1"/>
        <v>6.027459814296976E-3</v>
      </c>
      <c r="S260" s="165">
        <f ca="1"/>
        <v>0</v>
      </c>
      <c r="T260" s="165">
        <f ca="1"/>
        <v>1.7426113367882912E-2</v>
      </c>
      <c r="U260" s="165">
        <f ca="1"/>
        <v>3.1920528187702524E-2</v>
      </c>
      <c r="V260" s="140">
        <f ca="1"/>
        <v>6.0048618495040174E-2</v>
      </c>
      <c r="W260" s="139">
        <f ca="1"/>
        <v>0</v>
      </c>
      <c r="X260" s="165">
        <f ca="1"/>
        <v>0</v>
      </c>
      <c r="Y260" s="165">
        <f ca="1"/>
        <v>1.224300226485564E-3</v>
      </c>
      <c r="Z260" s="165">
        <f ca="1"/>
        <v>0</v>
      </c>
      <c r="AA260" s="165">
        <f ca="1"/>
        <v>6.5445033767973504E-3</v>
      </c>
      <c r="AB260" s="165">
        <f ca="1"/>
        <v>0</v>
      </c>
      <c r="AC260" s="165">
        <f ca="1"/>
        <v>1.8268227600666931E-2</v>
      </c>
      <c r="AD260" s="165">
        <f ca="1"/>
        <v>3.3461984812841239E-2</v>
      </c>
      <c r="AE260" s="140">
        <f ca="1"/>
        <v>6.2938657326351288E-2</v>
      </c>
      <c r="AI260" s="137"/>
      <c r="AK260" s="137"/>
      <c r="AM260" s="137"/>
      <c r="AN260" s="137"/>
      <c r="AO260" s="137"/>
      <c r="AR260" s="137"/>
      <c r="AT260" s="137"/>
      <c r="AV260" s="137"/>
      <c r="AW260" s="137"/>
      <c r="AX260" s="137"/>
    </row>
    <row r="261" spans="1:50" s="79" customFormat="1" ht="10.199999999999999" x14ac:dyDescent="0.2">
      <c r="A261" s="97">
        <f t="shared" si="5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8" t="s">
        <v>87</v>
      </c>
      <c r="G261" s="158">
        <v>2.5500000000000002E-3</v>
      </c>
      <c r="H261" s="158" t="s">
        <v>87</v>
      </c>
      <c r="I261" s="158">
        <v>3.8579999999999999E-3</v>
      </c>
      <c r="J261" s="158" t="s">
        <v>87</v>
      </c>
      <c r="K261" s="158">
        <v>4.9699999999999996E-3</v>
      </c>
      <c r="L261" s="158">
        <v>5.5579999999999996E-3</v>
      </c>
      <c r="M261" s="158">
        <v>6.3429999999999997E-3</v>
      </c>
      <c r="N261" s="139" cm="1">
        <f t="array" aca="1" ref="N261:AE261" ca="1">IF(OR(B261="",NOT($J$2)),"",GetStripDefaultProbability(A261,B261,Parameter_Date,CDSRollDate,E261:M261,SpreadCurveMaturities,D261,C261,$J$4,$J$6))</f>
        <v>0</v>
      </c>
      <c r="O261" s="165">
        <f ca="1"/>
        <v>0</v>
      </c>
      <c r="P261" s="165">
        <f ca="1"/>
        <v>4.6665790094847504E-3</v>
      </c>
      <c r="Q261" s="165">
        <f ca="1"/>
        <v>0</v>
      </c>
      <c r="R261" s="165">
        <f ca="1"/>
        <v>2.0015640647380595E-2</v>
      </c>
      <c r="S261" s="165">
        <f ca="1"/>
        <v>0</v>
      </c>
      <c r="T261" s="165">
        <f ca="1"/>
        <v>4.2637204682868357E-2</v>
      </c>
      <c r="U261" s="165">
        <f ca="1"/>
        <v>6.6166022507104127E-2</v>
      </c>
      <c r="V261" s="140">
        <f ca="1"/>
        <v>0.1071782248445069</v>
      </c>
      <c r="W261" s="139">
        <f ca="1"/>
        <v>0</v>
      </c>
      <c r="X261" s="165">
        <f ca="1"/>
        <v>0</v>
      </c>
      <c r="Y261" s="165">
        <f ca="1"/>
        <v>4.8992353151826595E-3</v>
      </c>
      <c r="Z261" s="165">
        <f ca="1"/>
        <v>0</v>
      </c>
      <c r="AA261" s="165">
        <f ca="1"/>
        <v>2.1005068135951821E-2</v>
      </c>
      <c r="AB261" s="165">
        <f ca="1"/>
        <v>0</v>
      </c>
      <c r="AC261" s="165">
        <f ca="1"/>
        <v>4.4724693035675167E-2</v>
      </c>
      <c r="AD261" s="165">
        <f ca="1"/>
        <v>6.9372430965012999E-2</v>
      </c>
      <c r="AE261" s="140">
        <f ca="1"/>
        <v>0.11228584948840326</v>
      </c>
      <c r="AI261" s="137"/>
      <c r="AK261" s="137"/>
      <c r="AM261" s="137"/>
      <c r="AN261" s="137"/>
      <c r="AO261" s="137"/>
      <c r="AR261" s="137"/>
      <c r="AT261" s="137"/>
      <c r="AV261" s="137"/>
      <c r="AW261" s="137"/>
      <c r="AX261" s="137"/>
    </row>
    <row r="262" spans="1:50" s="79" customFormat="1" ht="10.199999999999999" x14ac:dyDescent="0.2">
      <c r="A262" s="97">
        <f t="shared" si="5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8" t="s">
        <v>87</v>
      </c>
      <c r="G262" s="158">
        <v>2.5166999999999998E-2</v>
      </c>
      <c r="H262" s="158" t="s">
        <v>87</v>
      </c>
      <c r="I262" s="158">
        <v>2.5009E-2</v>
      </c>
      <c r="J262" s="158" t="s">
        <v>87</v>
      </c>
      <c r="K262" s="158">
        <v>2.265E-2</v>
      </c>
      <c r="L262" s="158">
        <v>2.1706E-2</v>
      </c>
      <c r="M262" s="158">
        <v>2.0763E-2</v>
      </c>
      <c r="N262" s="139" cm="1">
        <f t="array" aca="1" ref="N262:AE262" ca="1">IF(OR(B262="",NOT($J$2)),"",GetStripDefaultProbability(A262,B262,Parameter_Date,CDSRollDate,E262:M262,SpreadCurveMaturities,D262,C262,$J$4,$J$6))</f>
        <v>0</v>
      </c>
      <c r="O262" s="165">
        <f ca="1"/>
        <v>0</v>
      </c>
      <c r="P262" s="165">
        <f ca="1"/>
        <v>4.5129221503093397E-2</v>
      </c>
      <c r="Q262" s="165">
        <f ca="1"/>
        <v>0</v>
      </c>
      <c r="R262" s="165">
        <f ca="1"/>
        <v>0.12168187004701503</v>
      </c>
      <c r="S262" s="165">
        <f ca="1"/>
        <v>0</v>
      </c>
      <c r="T262" s="165">
        <f ca="1"/>
        <v>0.17356287607067389</v>
      </c>
      <c r="U262" s="165">
        <f ca="1"/>
        <v>0.22319149808162075</v>
      </c>
      <c r="V262" s="140">
        <f ca="1"/>
        <v>0.28818375663652274</v>
      </c>
      <c r="W262" s="139">
        <f ca="1"/>
        <v>0</v>
      </c>
      <c r="X262" s="165">
        <f ca="1"/>
        <v>0</v>
      </c>
      <c r="Y262" s="165">
        <f ca="1"/>
        <v>4.731459514761438E-2</v>
      </c>
      <c r="Z262" s="165">
        <f ca="1"/>
        <v>0</v>
      </c>
      <c r="AA262" s="165">
        <f ca="1"/>
        <v>0.12736252847262441</v>
      </c>
      <c r="AB262" s="165">
        <f ca="1"/>
        <v>0</v>
      </c>
      <c r="AC262" s="165">
        <f ca="1"/>
        <v>0.1813256880417039</v>
      </c>
      <c r="AD262" s="165">
        <f ca="1"/>
        <v>0.23283003288665105</v>
      </c>
      <c r="AE262" s="140">
        <f ca="1"/>
        <v>0.29997475265937679</v>
      </c>
      <c r="AI262" s="137"/>
      <c r="AK262" s="137"/>
      <c r="AM262" s="137"/>
      <c r="AN262" s="137"/>
      <c r="AO262" s="137"/>
      <c r="AR262" s="137"/>
      <c r="AT262" s="137"/>
      <c r="AV262" s="137"/>
      <c r="AW262" s="137"/>
      <c r="AX262" s="137"/>
    </row>
    <row r="263" spans="1:50" s="79" customFormat="1" ht="10.199999999999999" x14ac:dyDescent="0.2">
      <c r="A263" s="97">
        <f t="shared" si="5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8" t="s">
        <v>87</v>
      </c>
      <c r="G263" s="158">
        <v>4.4299999999999999E-3</v>
      </c>
      <c r="H263" s="158" t="s">
        <v>87</v>
      </c>
      <c r="I263" s="158">
        <v>7.8539999999999999E-3</v>
      </c>
      <c r="J263" s="158" t="s">
        <v>87</v>
      </c>
      <c r="K263" s="158">
        <v>1.235E-2</v>
      </c>
      <c r="L263" s="158">
        <v>1.4572E-2</v>
      </c>
      <c r="M263" s="158">
        <v>1.7569000000000001E-2</v>
      </c>
      <c r="N263" s="139" cm="1">
        <f t="array" aca="1" ref="N263:AE263" ca="1">IF(OR(B263="",NOT($J$2)),"",GetStripDefaultProbability(A263,B263,Parameter_Date,CDSRollDate,E263:M263,SpreadCurveMaturities,D263,C263,$J$4,$J$6))</f>
        <v>0</v>
      </c>
      <c r="O263" s="165">
        <f ca="1"/>
        <v>0</v>
      </c>
      <c r="P263" s="165">
        <f ca="1"/>
        <v>8.0932160927873475E-3</v>
      </c>
      <c r="Q263" s="165">
        <f ca="1"/>
        <v>0</v>
      </c>
      <c r="R263" s="165">
        <f ca="1"/>
        <v>4.0507963420000404E-2</v>
      </c>
      <c r="S263" s="165">
        <f ca="1"/>
        <v>0</v>
      </c>
      <c r="T263" s="165">
        <f ca="1"/>
        <v>0.1047982147050297</v>
      </c>
      <c r="U263" s="165">
        <f ca="1"/>
        <v>0.16879857621238026</v>
      </c>
      <c r="V263" s="140">
        <f ca="1"/>
        <v>0.28078337293759259</v>
      </c>
      <c r="W263" s="139">
        <f ca="1"/>
        <v>0</v>
      </c>
      <c r="X263" s="165">
        <f ca="1"/>
        <v>0</v>
      </c>
      <c r="Y263" s="165">
        <f ca="1"/>
        <v>8.4958296162166436E-3</v>
      </c>
      <c r="Z263" s="165">
        <f ca="1"/>
        <v>0</v>
      </c>
      <c r="AA263" s="165">
        <f ca="1"/>
        <v>4.2486067818161999E-2</v>
      </c>
      <c r="AB263" s="165">
        <f ca="1"/>
        <v>0</v>
      </c>
      <c r="AC263" s="165">
        <f ca="1"/>
        <v>0.10982514143929145</v>
      </c>
      <c r="AD263" s="165">
        <f ca="1"/>
        <v>0.17664956328817627</v>
      </c>
      <c r="AE263" s="140">
        <f ca="1"/>
        <v>0.29313528199223604</v>
      </c>
      <c r="AI263" s="137"/>
      <c r="AK263" s="137"/>
      <c r="AM263" s="137"/>
      <c r="AN263" s="137"/>
      <c r="AO263" s="137"/>
      <c r="AR263" s="137"/>
      <c r="AT263" s="137"/>
      <c r="AV263" s="137"/>
      <c r="AW263" s="137"/>
      <c r="AX263" s="137"/>
    </row>
    <row r="264" spans="1:50" s="79" customFormat="1" ht="10.199999999999999" x14ac:dyDescent="0.2">
      <c r="A264" s="97">
        <f t="shared" si="5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8">
        <v>2.2000000000000001E-3</v>
      </c>
      <c r="G264" s="158">
        <v>2.8999999999999998E-3</v>
      </c>
      <c r="H264" s="158">
        <v>4.7999999999999996E-3</v>
      </c>
      <c r="I264" s="158">
        <v>6.8999999999999999E-3</v>
      </c>
      <c r="J264" s="158">
        <v>9.7000000000000003E-3</v>
      </c>
      <c r="K264" s="158">
        <v>1.2E-2</v>
      </c>
      <c r="L264" s="158">
        <v>1.5100000000000001E-2</v>
      </c>
      <c r="M264" s="158">
        <v>1.7399999999999999E-2</v>
      </c>
      <c r="N264" s="139" cm="1">
        <f t="array" aca="1" ref="N264:AE264" ca="1">IF(OR(B264="",NOT($J$2)),"",GetStripDefaultProbability(A264,B264,Parameter_Date,CDSRollDate,E264:M264,SpreadCurveMaturities,D264,C264,$J$4,$J$6))</f>
        <v>0</v>
      </c>
      <c r="O264" s="165">
        <f ca="1"/>
        <v>2.1924932334899117E-3</v>
      </c>
      <c r="P264" s="165">
        <f ca="1"/>
        <v>5.324491253661856E-3</v>
      </c>
      <c r="Q264" s="165">
        <f ca="1"/>
        <v>1.6929811362638381E-2</v>
      </c>
      <c r="R264" s="165">
        <f ca="1"/>
        <v>3.60403658304288E-2</v>
      </c>
      <c r="S264" s="165">
        <f ca="1"/>
        <v>6.7208370170617093E-2</v>
      </c>
      <c r="T264" s="165">
        <f ca="1"/>
        <v>0.1029291630639303</v>
      </c>
      <c r="U264" s="165">
        <f ca="1"/>
        <v>0.17649882037925491</v>
      </c>
      <c r="V264" s="140">
        <f ca="1"/>
        <v>0.27666895339810138</v>
      </c>
      <c r="W264" s="139">
        <f ca="1"/>
        <v>0</v>
      </c>
      <c r="X264" s="165">
        <f ca="1"/>
        <v>2.3019801285307784E-3</v>
      </c>
      <c r="Y264" s="165">
        <f ca="1"/>
        <v>5.5900498651660913E-3</v>
      </c>
      <c r="Z264" s="165">
        <f ca="1"/>
        <v>1.7769923047965541E-2</v>
      </c>
      <c r="AA264" s="165">
        <f ca="1"/>
        <v>3.7816245620238553E-2</v>
      </c>
      <c r="AB264" s="165">
        <f ca="1"/>
        <v>7.0485239468781491E-2</v>
      </c>
      <c r="AC264" s="165">
        <f ca="1"/>
        <v>0.107882790683971</v>
      </c>
      <c r="AD264" s="165">
        <f ca="1"/>
        <v>0.18473217872939862</v>
      </c>
      <c r="AE264" s="140">
        <f ca="1"/>
        <v>0.28885524132196383</v>
      </c>
      <c r="AH264" s="137"/>
      <c r="AI264" s="137"/>
      <c r="AJ264" s="137"/>
      <c r="AK264" s="137"/>
      <c r="AL264" s="137"/>
      <c r="AM264" s="137"/>
      <c r="AN264" s="137"/>
      <c r="AO264" s="137"/>
      <c r="AQ264" s="137"/>
      <c r="AR264" s="137"/>
      <c r="AS264" s="137"/>
      <c r="AT264" s="137"/>
      <c r="AU264" s="137"/>
      <c r="AV264" s="137"/>
      <c r="AW264" s="137"/>
      <c r="AX264" s="137"/>
    </row>
    <row r="265" spans="1:50" s="79" customFormat="1" ht="10.199999999999999" x14ac:dyDescent="0.2">
      <c r="A265" s="97">
        <f t="shared" si="5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8">
        <v>5.4000000000000003E-3</v>
      </c>
      <c r="G265" s="158">
        <v>5.4000000000000003E-3</v>
      </c>
      <c r="H265" s="158">
        <v>8.0999999999999996E-3</v>
      </c>
      <c r="I265" s="158">
        <v>9.7999999999999997E-3</v>
      </c>
      <c r="J265" s="158" t="s">
        <v>87</v>
      </c>
      <c r="K265" s="158">
        <v>1.2500000000000001E-2</v>
      </c>
      <c r="L265" s="158">
        <v>1.4800000000000001E-2</v>
      </c>
      <c r="M265" s="158">
        <v>1.6E-2</v>
      </c>
      <c r="N265" s="139" cm="1">
        <f t="array" aca="1" ref="N265:AE265" ca="1">IF(OR(B265="",NOT($J$2)),"",GetStripDefaultProbability(A265,B265,Parameter_Date,CDSRollDate,E265:M265,SpreadCurveMaturities,D265,C265,$J$4,$J$6))</f>
        <v>0</v>
      </c>
      <c r="O265" s="165">
        <f ca="1"/>
        <v>5.3730327208842965E-3</v>
      </c>
      <c r="P265" s="165">
        <f ca="1"/>
        <v>9.8561157576370073E-3</v>
      </c>
      <c r="Q265" s="165">
        <f ca="1"/>
        <v>2.8348712167205581E-2</v>
      </c>
      <c r="R265" s="165">
        <f ca="1"/>
        <v>5.0459448513912486E-2</v>
      </c>
      <c r="S265" s="165">
        <f ca="1"/>
        <v>0</v>
      </c>
      <c r="T265" s="165">
        <f ca="1"/>
        <v>0.10454171452411942</v>
      </c>
      <c r="U265" s="165">
        <f ca="1"/>
        <v>0.16946802266146332</v>
      </c>
      <c r="V265" s="140">
        <f ca="1"/>
        <v>0.24999040445940246</v>
      </c>
      <c r="W265" s="139">
        <f ca="1"/>
        <v>0</v>
      </c>
      <c r="X265" s="165">
        <f ca="1"/>
        <v>5.6408464945036929E-3</v>
      </c>
      <c r="Y265" s="165">
        <f ca="1"/>
        <v>1.0346318343715133E-2</v>
      </c>
      <c r="Z265" s="165">
        <f ca="1"/>
        <v>2.9747012502563952E-2</v>
      </c>
      <c r="AA265" s="165">
        <f ca="1"/>
        <v>5.2925151065511766E-2</v>
      </c>
      <c r="AB265" s="165">
        <f ca="1"/>
        <v>0</v>
      </c>
      <c r="AC265" s="165">
        <f ca="1"/>
        <v>0.10953206106639113</v>
      </c>
      <c r="AD265" s="165">
        <f ca="1"/>
        <v>0.17731880129621536</v>
      </c>
      <c r="AE265" s="140">
        <f ca="1"/>
        <v>0.26100373495498741</v>
      </c>
      <c r="AH265" s="137"/>
      <c r="AI265" s="137"/>
      <c r="AJ265" s="137"/>
      <c r="AK265" s="137"/>
      <c r="AM265" s="137"/>
      <c r="AN265" s="137"/>
      <c r="AO265" s="137"/>
      <c r="AQ265" s="137"/>
      <c r="AR265" s="137"/>
      <c r="AS265" s="137"/>
      <c r="AT265" s="137"/>
      <c r="AV265" s="137"/>
      <c r="AW265" s="137"/>
      <c r="AX265" s="137"/>
    </row>
    <row r="266" spans="1:50" s="79" customFormat="1" ht="10.199999999999999" x14ac:dyDescent="0.2">
      <c r="A266" s="97">
        <f t="shared" si="5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8" t="s">
        <v>87</v>
      </c>
      <c r="G266" s="158">
        <v>3.7569999999999999E-3</v>
      </c>
      <c r="H266" s="158" t="s">
        <v>87</v>
      </c>
      <c r="I266" s="158">
        <v>8.1030000000000008E-3</v>
      </c>
      <c r="J266" s="158" t="s">
        <v>87</v>
      </c>
      <c r="K266" s="158">
        <v>1.2500000000000001E-2</v>
      </c>
      <c r="L266" s="158">
        <v>1.413E-2</v>
      </c>
      <c r="M266" s="158">
        <v>1.6403000000000001E-2</v>
      </c>
      <c r="N266" s="139" cm="1">
        <f t="array" aca="1" ref="N266:AE266" ca="1">IF(OR(B266="",NOT($J$2)),"",GetStripDefaultProbability(A266,B266,Parameter_Date,CDSRollDate,E266:M266,SpreadCurveMaturities,D266,C266,$J$4,$J$6))</f>
        <v>0</v>
      </c>
      <c r="O266" s="165">
        <f ca="1"/>
        <v>0</v>
      </c>
      <c r="P266" s="165">
        <f ca="1"/>
        <v>6.8678963769525092E-3</v>
      </c>
      <c r="Q266" s="165">
        <f ca="1"/>
        <v>0</v>
      </c>
      <c r="R266" s="165">
        <f ca="1"/>
        <v>4.1904421017862181E-2</v>
      </c>
      <c r="S266" s="165">
        <f ca="1"/>
        <v>0</v>
      </c>
      <c r="T266" s="165">
        <f ca="1"/>
        <v>0.10603983811906681</v>
      </c>
      <c r="U266" s="165">
        <f ca="1"/>
        <v>0.16305445638689364</v>
      </c>
      <c r="V266" s="140">
        <f ca="1"/>
        <v>0.26109037294860871</v>
      </c>
      <c r="W266" s="139">
        <f ca="1"/>
        <v>0</v>
      </c>
      <c r="X266" s="165">
        <f ca="1"/>
        <v>0</v>
      </c>
      <c r="Y266" s="165">
        <f ca="1"/>
        <v>7.2098229018005E-3</v>
      </c>
      <c r="Z266" s="165">
        <f ca="1"/>
        <v>0</v>
      </c>
      <c r="AA266" s="165">
        <f ca="1"/>
        <v>4.3949564877249991E-2</v>
      </c>
      <c r="AB266" s="165">
        <f ca="1"/>
        <v>0</v>
      </c>
      <c r="AC266" s="165">
        <f ca="1"/>
        <v>0.1111243295411477</v>
      </c>
      <c r="AD266" s="165">
        <f ca="1"/>
        <v>0.1706407678061016</v>
      </c>
      <c r="AE266" s="140">
        <f ca="1"/>
        <v>0.27262959136103992</v>
      </c>
      <c r="AI266" s="137"/>
      <c r="AK266" s="137"/>
      <c r="AM266" s="137"/>
      <c r="AN266" s="137"/>
      <c r="AO266" s="137"/>
      <c r="AR266" s="137"/>
      <c r="AT266" s="137"/>
      <c r="AV266" s="137"/>
      <c r="AW266" s="137"/>
      <c r="AX266" s="137"/>
    </row>
    <row r="267" spans="1:50" s="79" customFormat="1" ht="10.199999999999999" x14ac:dyDescent="0.2">
      <c r="A267" s="97">
        <f t="shared" ref="A267:A330" si="6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8" t="s">
        <v>87</v>
      </c>
      <c r="G267" s="158">
        <v>2.745E-3</v>
      </c>
      <c r="H267" s="158" t="s">
        <v>87</v>
      </c>
      <c r="I267" s="158">
        <v>5.0330000000000001E-3</v>
      </c>
      <c r="J267" s="158" t="s">
        <v>87</v>
      </c>
      <c r="K267" s="158">
        <v>7.5500000000000003E-3</v>
      </c>
      <c r="L267" s="158">
        <v>8.7220000000000006E-3</v>
      </c>
      <c r="M267" s="158">
        <v>9.8480000000000009E-3</v>
      </c>
      <c r="N267" s="139" cm="1">
        <f t="array" aca="1" ref="N267:AE267" ca="1">IF(OR(B267="",NOT($J$2)),"",GetStripDefaultProbability(A267,B267,Parameter_Date,CDSRollDate,E267:M267,SpreadCurveMaturities,D267,C267,$J$4,$J$6))</f>
        <v>0</v>
      </c>
      <c r="O267" s="165">
        <f ca="1"/>
        <v>0</v>
      </c>
      <c r="P267" s="165">
        <f ca="1"/>
        <v>5.0225453910953677E-3</v>
      </c>
      <c r="Q267" s="165">
        <f ca="1"/>
        <v>0</v>
      </c>
      <c r="R267" s="165">
        <f ca="1"/>
        <v>2.613090753765579E-2</v>
      </c>
      <c r="S267" s="165">
        <f ca="1"/>
        <v>0</v>
      </c>
      <c r="T267" s="165">
        <f ca="1"/>
        <v>6.4908038597352502E-2</v>
      </c>
      <c r="U267" s="165">
        <f ca="1"/>
        <v>0.10337886493343718</v>
      </c>
      <c r="V267" s="140">
        <f ca="1"/>
        <v>0.16311036761407749</v>
      </c>
      <c r="W267" s="139">
        <f ca="1"/>
        <v>0</v>
      </c>
      <c r="X267" s="165">
        <f ca="1"/>
        <v>0</v>
      </c>
      <c r="Y267" s="165">
        <f ca="1"/>
        <v>5.2728924542249089E-3</v>
      </c>
      <c r="Z267" s="165">
        <f ca="1"/>
        <v>0</v>
      </c>
      <c r="AA267" s="165">
        <f ca="1"/>
        <v>2.741826992800378E-2</v>
      </c>
      <c r="AB267" s="165">
        <f ca="1"/>
        <v>0</v>
      </c>
      <c r="AC267" s="165">
        <f ca="1"/>
        <v>6.8053923950293194E-2</v>
      </c>
      <c r="AD267" s="165">
        <f ca="1"/>
        <v>0.10830951226028429</v>
      </c>
      <c r="AE267" s="140">
        <f ca="1"/>
        <v>0.17068702054004925</v>
      </c>
      <c r="AI267" s="137"/>
      <c r="AK267" s="137"/>
      <c r="AM267" s="137"/>
      <c r="AN267" s="137"/>
      <c r="AO267" s="137"/>
      <c r="AR267" s="137"/>
      <c r="AT267" s="137"/>
      <c r="AV267" s="137"/>
      <c r="AW267" s="137"/>
      <c r="AX267" s="137"/>
    </row>
    <row r="268" spans="1:50" s="79" customFormat="1" ht="10.199999999999999" x14ac:dyDescent="0.2">
      <c r="A268" s="97">
        <f t="shared" si="6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8" t="s">
        <v>87</v>
      </c>
      <c r="G268" s="158">
        <v>1.2830000000000001E-3</v>
      </c>
      <c r="H268" s="158" t="s">
        <v>87</v>
      </c>
      <c r="I268" s="158">
        <v>4.1999999999999997E-3</v>
      </c>
      <c r="J268" s="158" t="s">
        <v>87</v>
      </c>
      <c r="K268" s="158">
        <v>5.8999999999999999E-3</v>
      </c>
      <c r="L268" s="158">
        <v>7.7000000000000002E-3</v>
      </c>
      <c r="M268" s="158">
        <v>9.7000000000000003E-3</v>
      </c>
      <c r="N268" s="139" cm="1">
        <f t="array" aca="1" ref="N268:AE268" ca="1">IF(OR(B268="",NOT($J$2)),"",GetStripDefaultProbability(A268,B268,Parameter_Date,CDSRollDate,E268:M268,SpreadCurveMaturities,D268,C268,$J$4,$J$6))</f>
        <v>0</v>
      </c>
      <c r="O268" s="165">
        <f ca="1"/>
        <v>0</v>
      </c>
      <c r="P268" s="165">
        <f ca="1"/>
        <v>2.3506351281643578E-3</v>
      </c>
      <c r="Q268" s="165">
        <f ca="1"/>
        <v>0</v>
      </c>
      <c r="R268" s="165">
        <f ca="1"/>
        <v>2.1994332164307462E-2</v>
      </c>
      <c r="S268" s="165">
        <f ca="1"/>
        <v>0</v>
      </c>
      <c r="T268" s="165">
        <f ca="1"/>
        <v>5.0955768041069049E-2</v>
      </c>
      <c r="U268" s="165">
        <f ca="1"/>
        <v>9.2957122093440092E-2</v>
      </c>
      <c r="V268" s="140">
        <f ca="1"/>
        <v>0.1654324963846705</v>
      </c>
      <c r="W268" s="139">
        <f ca="1"/>
        <v>0</v>
      </c>
      <c r="X268" s="165">
        <f ca="1"/>
        <v>0</v>
      </c>
      <c r="Y268" s="165">
        <f ca="1"/>
        <v>2.5168961668209366E-3</v>
      </c>
      <c r="Z268" s="165">
        <f ca="1"/>
        <v>0</v>
      </c>
      <c r="AA268" s="165">
        <f ca="1"/>
        <v>2.3077053077833365E-2</v>
      </c>
      <c r="AB268" s="165">
        <f ca="1"/>
        <v>0</v>
      </c>
      <c r="AC268" s="165">
        <f ca="1"/>
        <v>5.3439598825668955E-2</v>
      </c>
      <c r="AD268" s="165">
        <f ca="1"/>
        <v>9.7416883536310728E-2</v>
      </c>
      <c r="AE268" s="140">
        <f ca="1"/>
        <v>0.17317325407608064</v>
      </c>
      <c r="AI268" s="137"/>
      <c r="AK268" s="137"/>
      <c r="AM268" s="137"/>
      <c r="AN268" s="137"/>
      <c r="AO268" s="137"/>
      <c r="AR268" s="137"/>
      <c r="AT268" s="137"/>
      <c r="AV268" s="137"/>
      <c r="AW268" s="137"/>
      <c r="AX268" s="137"/>
    </row>
    <row r="269" spans="1:50" s="79" customFormat="1" ht="10.199999999999999" x14ac:dyDescent="0.2">
      <c r="A269" s="97">
        <f t="shared" si="6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8">
        <v>6.9999999999999999E-4</v>
      </c>
      <c r="G269" s="158">
        <v>1.4E-3</v>
      </c>
      <c r="H269" s="158">
        <v>2.5000000000000001E-3</v>
      </c>
      <c r="I269" s="158">
        <v>3.5999999999999999E-3</v>
      </c>
      <c r="J269" s="158" t="s">
        <v>87</v>
      </c>
      <c r="K269" s="158">
        <v>5.5999999999999999E-3</v>
      </c>
      <c r="L269" s="158">
        <v>7.0000000000000001E-3</v>
      </c>
      <c r="M269" s="158">
        <v>8.6E-3</v>
      </c>
      <c r="N269" s="139" cm="1">
        <f t="array" aca="1" ref="N269:AE269" ca="1">IF(OR(B269="",NOT($J$2)),"",GetStripDefaultProbability(A269,B269,Parameter_Date,CDSRollDate,E269:M269,SpreadCurveMaturities,D269,C269,$J$4,$J$6))</f>
        <v>0</v>
      </c>
      <c r="O269" s="165">
        <f ca="1"/>
        <v>6.9813171573551713E-4</v>
      </c>
      <c r="P269" s="165">
        <f ca="1"/>
        <v>2.5829931935232864E-3</v>
      </c>
      <c r="Q269" s="165">
        <f ca="1"/>
        <v>8.864418471730473E-3</v>
      </c>
      <c r="R269" s="165">
        <f ca="1"/>
        <v>1.8940763841453934E-2</v>
      </c>
      <c r="S269" s="165">
        <f ca="1"/>
        <v>0</v>
      </c>
      <c r="T269" s="165">
        <f ca="1"/>
        <v>4.8652371666343175E-2</v>
      </c>
      <c r="U269" s="165">
        <f ca="1"/>
        <v>8.437112279032577E-2</v>
      </c>
      <c r="V269" s="140">
        <f ca="1"/>
        <v>0.14599916982205075</v>
      </c>
      <c r="W269" s="139">
        <f ca="1"/>
        <v>0</v>
      </c>
      <c r="X269" s="165">
        <f ca="1"/>
        <v>7.97823908687878E-4</v>
      </c>
      <c r="Y269" s="165">
        <f ca="1"/>
        <v>2.7492155090809156E-3</v>
      </c>
      <c r="Z269" s="165">
        <f ca="1"/>
        <v>9.3028225328267711E-3</v>
      </c>
      <c r="AA269" s="165">
        <f ca="1"/>
        <v>1.9877528518898457E-2</v>
      </c>
      <c r="AB269" s="165">
        <f ca="1"/>
        <v>0</v>
      </c>
      <c r="AC269" s="165">
        <f ca="1"/>
        <v>5.1029566364662271E-2</v>
      </c>
      <c r="AD269" s="165">
        <f ca="1"/>
        <v>8.8437824364933193E-2</v>
      </c>
      <c r="AE269" s="140">
        <f ca="1"/>
        <v>0.15287503608082131</v>
      </c>
      <c r="AH269" s="137"/>
      <c r="AI269" s="137"/>
      <c r="AJ269" s="137"/>
      <c r="AK269" s="137"/>
      <c r="AM269" s="137"/>
      <c r="AN269" s="137"/>
      <c r="AO269" s="137"/>
      <c r="AQ269" s="137"/>
      <c r="AR269" s="137"/>
      <c r="AS269" s="137"/>
      <c r="AT269" s="137"/>
      <c r="AV269" s="137"/>
      <c r="AW269" s="137"/>
      <c r="AX269" s="137"/>
    </row>
    <row r="270" spans="1:50" s="79" customFormat="1" ht="10.199999999999999" x14ac:dyDescent="0.2">
      <c r="A270" s="97">
        <f t="shared" si="6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8" t="s">
        <v>87</v>
      </c>
      <c r="G270" s="158">
        <v>2.875E-3</v>
      </c>
      <c r="H270" s="158" t="s">
        <v>87</v>
      </c>
      <c r="I270" s="158">
        <v>1.1301E-2</v>
      </c>
      <c r="J270" s="158" t="s">
        <v>87</v>
      </c>
      <c r="K270" s="158">
        <v>1.15E-2</v>
      </c>
      <c r="L270" s="158">
        <v>1.0968E-2</v>
      </c>
      <c r="M270" s="158">
        <v>1.0647999999999999E-2</v>
      </c>
      <c r="N270" s="139" cm="1">
        <f t="array" aca="1" ref="N270:AE270" ca="1">IF(OR(B270="",NOT($J$2)),"",GetStripDefaultProbability(A270,B270,Parameter_Date,CDSRollDate,E270:M270,SpreadCurveMaturities,D270,C270,$J$4,$J$6))</f>
        <v>0</v>
      </c>
      <c r="O270" s="165">
        <f ca="1"/>
        <v>0</v>
      </c>
      <c r="P270" s="165">
        <f ca="1"/>
        <v>5.2597862733725353E-3</v>
      </c>
      <c r="Q270" s="165">
        <f ca="1"/>
        <v>0</v>
      </c>
      <c r="R270" s="165">
        <f ca="1"/>
        <v>5.8455169374758587E-2</v>
      </c>
      <c r="S270" s="165">
        <f ca="1"/>
        <v>0</v>
      </c>
      <c r="T270" s="165">
        <f ca="1"/>
        <v>9.5267634442672278E-2</v>
      </c>
      <c r="U270" s="165">
        <f ca="1"/>
        <v>0.12284122461318969</v>
      </c>
      <c r="V270" s="140">
        <f ca="1"/>
        <v>0.16412107884293481</v>
      </c>
      <c r="W270" s="139">
        <f ca="1"/>
        <v>0</v>
      </c>
      <c r="X270" s="165">
        <f ca="1"/>
        <v>0</v>
      </c>
      <c r="Y270" s="165">
        <f ca="1"/>
        <v>5.5219191952479152E-3</v>
      </c>
      <c r="Z270" s="165">
        <f ca="1"/>
        <v>0</v>
      </c>
      <c r="AA270" s="165">
        <f ca="1"/>
        <v>6.1311512305754712E-2</v>
      </c>
      <c r="AB270" s="165">
        <f ca="1"/>
        <v>0</v>
      </c>
      <c r="AC270" s="165">
        <f ca="1"/>
        <v>9.9795450522511264E-2</v>
      </c>
      <c r="AD270" s="165">
        <f ca="1"/>
        <v>0.12857004057965493</v>
      </c>
      <c r="AE270" s="140">
        <f ca="1"/>
        <v>0.17156874984484249</v>
      </c>
      <c r="AI270" s="137"/>
      <c r="AK270" s="137"/>
      <c r="AM270" s="137"/>
      <c r="AN270" s="137"/>
      <c r="AO270" s="137"/>
      <c r="AR270" s="137"/>
      <c r="AT270" s="137"/>
      <c r="AV270" s="137"/>
      <c r="AW270" s="137"/>
      <c r="AX270" s="137"/>
    </row>
    <row r="271" spans="1:50" s="79" customFormat="1" ht="10.199999999999999" x14ac:dyDescent="0.2">
      <c r="A271" s="97">
        <f t="shared" si="6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8" t="s">
        <v>87</v>
      </c>
      <c r="G271" s="158">
        <v>1.9629999999999999E-3</v>
      </c>
      <c r="H271" s="158" t="s">
        <v>87</v>
      </c>
      <c r="I271" s="158">
        <v>4.3169999999999997E-3</v>
      </c>
      <c r="J271" s="158" t="s">
        <v>87</v>
      </c>
      <c r="K271" s="158">
        <v>7.1500000000000001E-3</v>
      </c>
      <c r="L271" s="158">
        <v>8.0300000000000007E-3</v>
      </c>
      <c r="M271" s="158">
        <v>9.2399999999999999E-3</v>
      </c>
      <c r="N271" s="139" cm="1">
        <f t="array" aca="1" ref="N271:AE271" ca="1">IF(OR(B271="",NOT($J$2)),"",GetStripDefaultProbability(A271,B271,Parameter_Date,CDSRollDate,E271:M271,SpreadCurveMaturities,D271,C271,$J$4,$J$6))</f>
        <v>0</v>
      </c>
      <c r="O271" s="165">
        <f ca="1"/>
        <v>0</v>
      </c>
      <c r="P271" s="165">
        <f ca="1"/>
        <v>3.5942673455220397E-3</v>
      </c>
      <c r="Q271" s="165">
        <f ca="1"/>
        <v>0</v>
      </c>
      <c r="R271" s="165">
        <f ca="1"/>
        <v>2.2506112296755254E-2</v>
      </c>
      <c r="S271" s="165">
        <f ca="1"/>
        <v>0</v>
      </c>
      <c r="T271" s="165">
        <f ca="1"/>
        <v>6.1940068965773198E-2</v>
      </c>
      <c r="U271" s="165">
        <f ca="1"/>
        <v>9.5539811355946247E-2</v>
      </c>
      <c r="V271" s="140">
        <f ca="1"/>
        <v>0.15431718320345655</v>
      </c>
      <c r="W271" s="139">
        <f ca="1"/>
        <v>0</v>
      </c>
      <c r="X271" s="165">
        <f ca="1"/>
        <v>0</v>
      </c>
      <c r="Y271" s="165">
        <f ca="1"/>
        <v>3.7603211294500172E-3</v>
      </c>
      <c r="Z271" s="165">
        <f ca="1"/>
        <v>0</v>
      </c>
      <c r="AA271" s="165">
        <f ca="1"/>
        <v>2.3618547853069716E-2</v>
      </c>
      <c r="AB271" s="165">
        <f ca="1"/>
        <v>0</v>
      </c>
      <c r="AC271" s="165">
        <f ca="1"/>
        <v>6.4950205751546197E-2</v>
      </c>
      <c r="AD271" s="165">
        <f ca="1"/>
        <v>0.10011796579555898</v>
      </c>
      <c r="AE271" s="140">
        <f ca="1"/>
        <v>0.16152636434207568</v>
      </c>
      <c r="AI271" s="137"/>
      <c r="AK271" s="137"/>
      <c r="AM271" s="137"/>
      <c r="AN271" s="137"/>
      <c r="AO271" s="137"/>
      <c r="AR271" s="137"/>
      <c r="AT271" s="137"/>
      <c r="AV271" s="137"/>
      <c r="AW271" s="137"/>
      <c r="AX271" s="137"/>
    </row>
    <row r="272" spans="1:50" s="79" customFormat="1" ht="10.199999999999999" x14ac:dyDescent="0.2">
      <c r="A272" s="97">
        <f t="shared" si="6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8" t="s">
        <v>87</v>
      </c>
      <c r="G272" s="158">
        <v>2E-3</v>
      </c>
      <c r="H272" s="158" t="s">
        <v>87</v>
      </c>
      <c r="I272" s="158">
        <v>3.5000000000000001E-3</v>
      </c>
      <c r="J272" s="158" t="s">
        <v>87</v>
      </c>
      <c r="K272" s="158">
        <v>5.0000000000000001E-3</v>
      </c>
      <c r="L272" s="158">
        <v>6.7999999999999996E-3</v>
      </c>
      <c r="M272" s="158">
        <v>8.6999999999999994E-3</v>
      </c>
      <c r="N272" s="139" cm="1">
        <f t="array" aca="1" ref="N272:AE272" ca="1">IF(OR(B272="",NOT($J$2)),"",GetStripDefaultProbability(A272,B272,Parameter_Date,CDSRollDate,E272:M272,SpreadCurveMaturities,D272,C272,$J$4,$J$6))</f>
        <v>0</v>
      </c>
      <c r="O272" s="165">
        <f ca="1"/>
        <v>0</v>
      </c>
      <c r="P272" s="165">
        <f ca="1"/>
        <v>3.6618914744027675E-3</v>
      </c>
      <c r="Q272" s="165">
        <f ca="1"/>
        <v>0</v>
      </c>
      <c r="R272" s="165">
        <f ca="1"/>
        <v>1.8218352863642262E-2</v>
      </c>
      <c r="S272" s="165">
        <f ca="1"/>
        <v>0</v>
      </c>
      <c r="T272" s="165">
        <f ca="1"/>
        <v>4.3208039804509601E-2</v>
      </c>
      <c r="U272" s="165">
        <f ca="1"/>
        <v>8.2658296536544884E-2</v>
      </c>
      <c r="V272" s="140">
        <f ca="1"/>
        <v>0.14994312721213332</v>
      </c>
      <c r="W272" s="139">
        <f ca="1"/>
        <v>0</v>
      </c>
      <c r="X272" s="165">
        <f ca="1"/>
        <v>0</v>
      </c>
      <c r="Y272" s="165">
        <f ca="1"/>
        <v>3.8279339885810559E-3</v>
      </c>
      <c r="Z272" s="165">
        <f ca="1"/>
        <v>0</v>
      </c>
      <c r="AA272" s="165">
        <f ca="1"/>
        <v>1.9121349770980234E-2</v>
      </c>
      <c r="AB272" s="165">
        <f ca="1"/>
        <v>0</v>
      </c>
      <c r="AC272" s="165">
        <f ca="1"/>
        <v>4.5325881727903194E-2</v>
      </c>
      <c r="AD272" s="165">
        <f ca="1"/>
        <v>8.6648617630845526E-2</v>
      </c>
      <c r="AE272" s="140">
        <f ca="1"/>
        <v>0.15701931981374162</v>
      </c>
      <c r="AI272" s="137"/>
      <c r="AK272" s="137"/>
      <c r="AM272" s="137"/>
      <c r="AN272" s="137"/>
      <c r="AO272" s="137"/>
      <c r="AR272" s="137"/>
      <c r="AT272" s="137"/>
      <c r="AV272" s="137"/>
      <c r="AW272" s="137"/>
      <c r="AX272" s="137"/>
    </row>
    <row r="273" spans="1:50" s="79" customFormat="1" ht="10.199999999999999" x14ac:dyDescent="0.2">
      <c r="A273" s="97">
        <f t="shared" si="6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8" t="s">
        <v>87</v>
      </c>
      <c r="G273" s="158">
        <v>2.1810000000000002E-3</v>
      </c>
      <c r="H273" s="158" t="s">
        <v>87</v>
      </c>
      <c r="I273" s="158">
        <v>3.9830000000000004E-3</v>
      </c>
      <c r="J273" s="158" t="s">
        <v>87</v>
      </c>
      <c r="K273" s="158">
        <v>5.4999999999999997E-3</v>
      </c>
      <c r="L273" s="158">
        <v>6.0689999999999997E-3</v>
      </c>
      <c r="M273" s="158">
        <v>7.0169999999999998E-3</v>
      </c>
      <c r="N273" s="139" cm="1">
        <f t="array" aca="1" ref="N273:AE273" ca="1">IF(OR(B273="",NOT($J$2)),"",GetStripDefaultProbability(A273,B273,Parameter_Date,CDSRollDate,E273:M273,SpreadCurveMaturities,D273,C273,$J$4,$J$6))</f>
        <v>0</v>
      </c>
      <c r="O273" s="165">
        <f ca="1"/>
        <v>0</v>
      </c>
      <c r="P273" s="165">
        <f ca="1"/>
        <v>3.9926358711522836E-3</v>
      </c>
      <c r="Q273" s="165">
        <f ca="1"/>
        <v>0</v>
      </c>
      <c r="R273" s="165">
        <f ca="1"/>
        <v>2.0724733230984449E-2</v>
      </c>
      <c r="S273" s="165">
        <f ca="1"/>
        <v>0</v>
      </c>
      <c r="T273" s="165">
        <f ca="1"/>
        <v>4.7370979960576265E-2</v>
      </c>
      <c r="U273" s="165">
        <f ca="1"/>
        <v>7.2213813825277251E-2</v>
      </c>
      <c r="V273" s="140">
        <f ca="1"/>
        <v>0.11844490017923726</v>
      </c>
      <c r="W273" s="139">
        <f ca="1"/>
        <v>0</v>
      </c>
      <c r="X273" s="165">
        <f ca="1"/>
        <v>0</v>
      </c>
      <c r="Y273" s="165">
        <f ca="1"/>
        <v>4.1917765602771384E-3</v>
      </c>
      <c r="Z273" s="165">
        <f ca="1"/>
        <v>0</v>
      </c>
      <c r="AA273" s="165">
        <f ca="1"/>
        <v>2.1749005827743084E-2</v>
      </c>
      <c r="AB273" s="165">
        <f ca="1"/>
        <v>0</v>
      </c>
      <c r="AC273" s="165">
        <f ca="1"/>
        <v>4.9686280153441453E-2</v>
      </c>
      <c r="AD273" s="165">
        <f ca="1"/>
        <v>7.5704967165838299E-2</v>
      </c>
      <c r="AE273" s="140">
        <f ca="1"/>
        <v>0.12406438830954258</v>
      </c>
      <c r="AI273" s="137"/>
      <c r="AK273" s="137"/>
      <c r="AM273" s="137"/>
      <c r="AN273" s="137"/>
      <c r="AO273" s="137"/>
      <c r="AR273" s="137"/>
      <c r="AT273" s="137"/>
      <c r="AV273" s="137"/>
      <c r="AW273" s="137"/>
      <c r="AX273" s="137"/>
    </row>
    <row r="274" spans="1:50" s="79" customFormat="1" ht="10.199999999999999" x14ac:dyDescent="0.2">
      <c r="A274" s="97">
        <f t="shared" si="6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8">
        <v>1E-3</v>
      </c>
      <c r="G274" s="158">
        <v>1.6000000000000001E-3</v>
      </c>
      <c r="H274" s="158">
        <v>2.3999999999999998E-3</v>
      </c>
      <c r="I274" s="158">
        <v>3.0999999999999999E-3</v>
      </c>
      <c r="J274" s="158" t="s">
        <v>87</v>
      </c>
      <c r="K274" s="158">
        <v>5.1999999999999998E-3</v>
      </c>
      <c r="L274" s="158">
        <v>6.3E-3</v>
      </c>
      <c r="M274" s="158">
        <v>7.1999999999999998E-3</v>
      </c>
      <c r="N274" s="139" cm="1">
        <f t="array" aca="1" ref="N274:AE274" ca="1">IF(OR(B274="",NOT($J$2)),"",GetStripDefaultProbability(A274,B274,Parameter_Date,CDSRollDate,E274:M274,SpreadCurveMaturities,D274,C274,$J$4,$J$6))</f>
        <v>0</v>
      </c>
      <c r="O274" s="165">
        <f ca="1"/>
        <v>9.971822959833343E-4</v>
      </c>
      <c r="P274" s="165">
        <f ca="1"/>
        <v>2.9463263670987949E-3</v>
      </c>
      <c r="Q274" s="165">
        <f ca="1"/>
        <v>8.4851200991914455E-3</v>
      </c>
      <c r="R274" s="165">
        <f ca="1"/>
        <v>1.6244120275446861E-2</v>
      </c>
      <c r="S274" s="165">
        <f ca="1"/>
        <v>0</v>
      </c>
      <c r="T274" s="165">
        <f ca="1"/>
        <v>4.5289768774494421E-2</v>
      </c>
      <c r="U274" s="165">
        <f ca="1"/>
        <v>7.5999737468978257E-2</v>
      </c>
      <c r="V274" s="140">
        <f ca="1"/>
        <v>0.12183331891546678</v>
      </c>
      <c r="W274" s="139">
        <f ca="1"/>
        <v>0</v>
      </c>
      <c r="X274" s="165">
        <f ca="1"/>
        <v>1.0968435312084246E-3</v>
      </c>
      <c r="Y274" s="165">
        <f ca="1"/>
        <v>3.1124881321764608E-3</v>
      </c>
      <c r="Z274" s="165">
        <f ca="1"/>
        <v>8.9056868056004435E-3</v>
      </c>
      <c r="AA274" s="165">
        <f ca="1"/>
        <v>1.7048654937826258E-2</v>
      </c>
      <c r="AB274" s="165">
        <f ca="1"/>
        <v>0</v>
      </c>
      <c r="AC274" s="165">
        <f ca="1"/>
        <v>4.7506902183933497E-2</v>
      </c>
      <c r="AD274" s="165">
        <f ca="1"/>
        <v>7.9676819644374119E-2</v>
      </c>
      <c r="AE274" s="140">
        <f ca="1"/>
        <v>0.1276133028024411</v>
      </c>
      <c r="AH274" s="137"/>
      <c r="AI274" s="137"/>
      <c r="AJ274" s="137"/>
      <c r="AK274" s="137"/>
      <c r="AM274" s="137"/>
      <c r="AN274" s="137"/>
      <c r="AO274" s="137"/>
      <c r="AQ274" s="137"/>
      <c r="AR274" s="137"/>
      <c r="AS274" s="137"/>
      <c r="AT274" s="137"/>
      <c r="AV274" s="137"/>
      <c r="AW274" s="137"/>
      <c r="AX274" s="137"/>
    </row>
    <row r="275" spans="1:50" s="79" customFormat="1" ht="10.199999999999999" x14ac:dyDescent="0.2">
      <c r="A275" s="97">
        <f t="shared" si="6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8" t="s">
        <v>87</v>
      </c>
      <c r="G275" s="158">
        <v>5.0000000000000001E-3</v>
      </c>
      <c r="H275" s="158" t="s">
        <v>87</v>
      </c>
      <c r="I275" s="158">
        <v>0.01</v>
      </c>
      <c r="J275" s="158" t="s">
        <v>87</v>
      </c>
      <c r="K275" s="158">
        <v>0.02</v>
      </c>
      <c r="L275" s="158">
        <v>2.3E-2</v>
      </c>
      <c r="M275" s="158">
        <v>2.5323999999999999E-2</v>
      </c>
      <c r="N275" s="139" cm="1">
        <f t="array" aca="1" ref="N275:AE275" ca="1">IF(OR(B275="",NOT($J$2)),"",GetStripDefaultProbability(A275,B275,Parameter_Date,CDSRollDate,E275:M275,SpreadCurveMaturities,D275,C275,$J$4,$J$6))</f>
        <v>0</v>
      </c>
      <c r="O275" s="165">
        <f ca="1"/>
        <v>0</v>
      </c>
      <c r="P275" s="165">
        <f ca="1"/>
        <v>6.8551437315185204E-3</v>
      </c>
      <c r="Q275" s="165">
        <f ca="1"/>
        <v>0</v>
      </c>
      <c r="R275" s="165">
        <f ca="1"/>
        <v>3.8789829411562282E-2</v>
      </c>
      <c r="S275" s="165">
        <f ca="1"/>
        <v>0</v>
      </c>
      <c r="T275" s="165">
        <f ca="1"/>
        <v>0.12808104317270663</v>
      </c>
      <c r="U275" s="165">
        <f ca="1"/>
        <v>0.1984961757605036</v>
      </c>
      <c r="V275" s="140">
        <f ca="1"/>
        <v>0.29552556504790539</v>
      </c>
      <c r="W275" s="139">
        <f ca="1"/>
        <v>0</v>
      </c>
      <c r="X275" s="165">
        <f ca="1"/>
        <v>0</v>
      </c>
      <c r="Y275" s="165">
        <f ca="1"/>
        <v>7.196438134908778E-3</v>
      </c>
      <c r="Z275" s="165">
        <f ca="1"/>
        <v>0</v>
      </c>
      <c r="AA275" s="165">
        <f ca="1"/>
        <v>4.068643743173983E-2</v>
      </c>
      <c r="AB275" s="165">
        <f ca="1"/>
        <v>0</v>
      </c>
      <c r="AC275" s="165">
        <f ca="1"/>
        <v>0.13420063057679832</v>
      </c>
      <c r="AD275" s="165">
        <f ca="1"/>
        <v>0.2076226071007945</v>
      </c>
      <c r="AE275" s="140">
        <f ca="1"/>
        <v>0.30829716222575343</v>
      </c>
      <c r="AI275" s="137"/>
      <c r="AK275" s="137"/>
      <c r="AM275" s="137"/>
      <c r="AN275" s="137"/>
      <c r="AO275" s="137"/>
      <c r="AR275" s="137"/>
      <c r="AT275" s="137"/>
      <c r="AV275" s="137"/>
      <c r="AW275" s="137"/>
      <c r="AX275" s="137"/>
    </row>
    <row r="276" spans="1:50" s="79" customFormat="1" ht="10.199999999999999" x14ac:dyDescent="0.2">
      <c r="A276" s="97">
        <f t="shared" si="6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8">
        <v>1.8749999999999999E-2</v>
      </c>
      <c r="G276" s="158">
        <v>1.8749999999999999E-2</v>
      </c>
      <c r="H276" s="158">
        <v>1.7250000000000001E-2</v>
      </c>
      <c r="I276" s="158">
        <v>1.6500000000000001E-2</v>
      </c>
      <c r="J276" s="158" t="s">
        <v>87</v>
      </c>
      <c r="K276" s="158">
        <v>1.4999999999999999E-2</v>
      </c>
      <c r="L276" s="158">
        <v>1.4999999999999999E-2</v>
      </c>
      <c r="M276" s="158">
        <v>1.4999999999999999E-2</v>
      </c>
      <c r="N276" s="139" cm="1">
        <f t="array" aca="1" ref="N276:AE276" ca="1">IF(OR(B276="",NOT($J$2)),"",GetStripDefaultProbability(A276,B276,Parameter_Date,CDSRollDate,E276:M276,SpreadCurveMaturities,D276,C276,$J$4,$J$6))</f>
        <v>0</v>
      </c>
      <c r="O276" s="165">
        <f ca="1"/>
        <v>1.8533642044024745E-2</v>
      </c>
      <c r="P276" s="165">
        <f ca="1"/>
        <v>3.38078707234446E-2</v>
      </c>
      <c r="Q276" s="165">
        <f ca="1"/>
        <v>5.8589139017687586E-2</v>
      </c>
      <c r="R276" s="165">
        <f ca="1"/>
        <v>8.1609261059923388E-2</v>
      </c>
      <c r="S276" s="165">
        <f ca="1"/>
        <v>0</v>
      </c>
      <c r="T276" s="165">
        <f ca="1"/>
        <v>0.11867542157294741</v>
      </c>
      <c r="U276" s="165">
        <f ca="1"/>
        <v>0.16194794959789438</v>
      </c>
      <c r="V276" s="140">
        <f ca="1"/>
        <v>0.22300351904492832</v>
      </c>
      <c r="W276" s="139">
        <f ca="1"/>
        <v>0</v>
      </c>
      <c r="X276" s="165">
        <f ca="1"/>
        <v>1.9449915325930212E-2</v>
      </c>
      <c r="Y276" s="165">
        <f ca="1"/>
        <v>3.5467200497171669E-2</v>
      </c>
      <c r="Z276" s="165">
        <f ca="1"/>
        <v>6.1418456948283073E-2</v>
      </c>
      <c r="AA276" s="165">
        <f ca="1"/>
        <v>8.5496916005345258E-2</v>
      </c>
      <c r="AB276" s="165">
        <f ca="1"/>
        <v>0</v>
      </c>
      <c r="AC276" s="165">
        <f ca="1"/>
        <v>0.12416652262265615</v>
      </c>
      <c r="AD276" s="165">
        <f ca="1"/>
        <v>0.16928849661246648</v>
      </c>
      <c r="AE276" s="140">
        <f ca="1"/>
        <v>0.23271734267248101</v>
      </c>
      <c r="AH276" s="137"/>
      <c r="AI276" s="137"/>
      <c r="AJ276" s="137"/>
      <c r="AK276" s="137"/>
      <c r="AM276" s="137"/>
      <c r="AN276" s="137"/>
      <c r="AO276" s="137"/>
      <c r="AQ276" s="137"/>
      <c r="AR276" s="137"/>
      <c r="AS276" s="137"/>
      <c r="AT276" s="137"/>
      <c r="AV276" s="137"/>
      <c r="AW276" s="137"/>
      <c r="AX276" s="137"/>
    </row>
    <row r="277" spans="1:50" s="79" customFormat="1" ht="10.199999999999999" x14ac:dyDescent="0.2">
      <c r="A277" s="97">
        <f t="shared" si="6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8">
        <v>8.6E-3</v>
      </c>
      <c r="G277" s="158">
        <v>8.6E-3</v>
      </c>
      <c r="H277" s="158">
        <v>8.6E-3</v>
      </c>
      <c r="I277" s="158">
        <v>8.8800000000000007E-3</v>
      </c>
      <c r="J277" s="158" t="s">
        <v>87</v>
      </c>
      <c r="K277" s="158">
        <v>9.4999999999999998E-3</v>
      </c>
      <c r="L277" s="158">
        <v>9.4999999999999998E-3</v>
      </c>
      <c r="M277" s="158">
        <v>9.4999999999999998E-3</v>
      </c>
      <c r="N277" s="139" cm="1">
        <f t="array" aca="1" ref="N277:AE277" ca="1">IF(OR(B277="",NOT($J$2)),"",GetStripDefaultProbability(A277,B277,Parameter_Date,CDSRollDate,E277:M277,SpreadCurveMaturities,D277,C277,$J$4,$J$6))</f>
        <v>0</v>
      </c>
      <c r="O277" s="165">
        <f ca="1"/>
        <v>8.5434919683381461E-3</v>
      </c>
      <c r="P277" s="165">
        <f ca="1"/>
        <v>1.5650883206365651E-2</v>
      </c>
      <c r="Q277" s="165">
        <f ca="1"/>
        <v>2.9755974279355613E-2</v>
      </c>
      <c r="R277" s="165">
        <f ca="1"/>
        <v>4.513798544743719E-2</v>
      </c>
      <c r="S277" s="165">
        <f ca="1"/>
        <v>0</v>
      </c>
      <c r="T277" s="165">
        <f ca="1"/>
        <v>7.8621891901605068E-2</v>
      </c>
      <c r="U277" s="165">
        <f ca="1"/>
        <v>0.10754610335791104</v>
      </c>
      <c r="V277" s="140">
        <f ca="1"/>
        <v>0.14928201862153012</v>
      </c>
      <c r="W277" s="139">
        <f ca="1"/>
        <v>0</v>
      </c>
      <c r="X277" s="165">
        <f ca="1"/>
        <v>8.9685251335003269E-3</v>
      </c>
      <c r="Y277" s="165">
        <f ca="1"/>
        <v>1.6426840299082257E-2</v>
      </c>
      <c r="Z277" s="165">
        <f ca="1"/>
        <v>3.1219310453506566E-2</v>
      </c>
      <c r="AA277" s="165">
        <f ca="1"/>
        <v>4.7340719757006711E-2</v>
      </c>
      <c r="AB277" s="165">
        <f ca="1"/>
        <v>0</v>
      </c>
      <c r="AC277" s="165">
        <f ca="1"/>
        <v>8.2383353753600619E-2</v>
      </c>
      <c r="AD277" s="165">
        <f ca="1"/>
        <v>0.11260952172232142</v>
      </c>
      <c r="AE277" s="140">
        <f ca="1"/>
        <v>0.15614279020570643</v>
      </c>
      <c r="AH277" s="137"/>
      <c r="AI277" s="137"/>
      <c r="AJ277" s="137"/>
      <c r="AK277" s="137"/>
      <c r="AM277" s="137"/>
      <c r="AN277" s="137"/>
      <c r="AO277" s="137"/>
      <c r="AQ277" s="137"/>
      <c r="AR277" s="137"/>
      <c r="AS277" s="137"/>
      <c r="AT277" s="137"/>
      <c r="AV277" s="137"/>
      <c r="AW277" s="137"/>
      <c r="AX277" s="137"/>
    </row>
    <row r="278" spans="1:50" s="79" customFormat="1" ht="10.199999999999999" x14ac:dyDescent="0.2">
      <c r="A278" s="97">
        <f t="shared" si="6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8" t="s">
        <v>87</v>
      </c>
      <c r="G278" s="158">
        <v>2.643E-3</v>
      </c>
      <c r="H278" s="158" t="s">
        <v>87</v>
      </c>
      <c r="I278" s="158">
        <v>3.9979999999999998E-3</v>
      </c>
      <c r="J278" s="158" t="s">
        <v>87</v>
      </c>
      <c r="K278" s="158">
        <v>5.1500000000000001E-3</v>
      </c>
      <c r="L278" s="158">
        <v>5.7600000000000004E-3</v>
      </c>
      <c r="M278" s="158">
        <v>6.5729999999999998E-3</v>
      </c>
      <c r="N278" s="139" cm="1">
        <f t="array" aca="1" ref="N278:AE278" ca="1">IF(OR(B278="",NOT($J$2)),"",GetStripDefaultProbability(A278,B278,Parameter_Date,CDSRollDate,E278:M278,SpreadCurveMaturities,D278,C278,$J$4,$J$6))</f>
        <v>0</v>
      </c>
      <c r="O278" s="165">
        <f ca="1"/>
        <v>0</v>
      </c>
      <c r="P278" s="165">
        <f ca="1"/>
        <v>4.8363633199255407E-3</v>
      </c>
      <c r="Q278" s="165">
        <f ca="1"/>
        <v>0</v>
      </c>
      <c r="R278" s="165">
        <f ca="1"/>
        <v>2.0735363939091034E-2</v>
      </c>
      <c r="S278" s="165">
        <f ca="1"/>
        <v>0</v>
      </c>
      <c r="T278" s="165">
        <f ca="1"/>
        <v>4.4153231118565284E-2</v>
      </c>
      <c r="U278" s="165">
        <f ca="1"/>
        <v>6.8502444223622838E-2</v>
      </c>
      <c r="V278" s="140">
        <f ca="1"/>
        <v>0.11088223002572717</v>
      </c>
      <c r="W278" s="139">
        <f ca="1"/>
        <v>0</v>
      </c>
      <c r="X278" s="165">
        <f ca="1"/>
        <v>0</v>
      </c>
      <c r="Y278" s="165">
        <f ca="1"/>
        <v>5.0774585470167999E-3</v>
      </c>
      <c r="Z278" s="165">
        <f ca="1"/>
        <v>0</v>
      </c>
      <c r="AA278" s="165">
        <f ca="1"/>
        <v>2.1759932902065127E-2</v>
      </c>
      <c r="AB278" s="165">
        <f ca="1"/>
        <v>0</v>
      </c>
      <c r="AC278" s="165">
        <f ca="1"/>
        <v>4.6313259452950395E-2</v>
      </c>
      <c r="AD278" s="165">
        <f ca="1"/>
        <v>7.1818252056992771E-2</v>
      </c>
      <c r="AE278" s="140">
        <f ca="1"/>
        <v>0.11615708808257097</v>
      </c>
      <c r="AI278" s="137"/>
      <c r="AK278" s="137"/>
      <c r="AM278" s="137"/>
      <c r="AN278" s="137"/>
      <c r="AO278" s="137"/>
      <c r="AR278" s="137"/>
      <c r="AT278" s="137"/>
      <c r="AV278" s="137"/>
      <c r="AW278" s="137"/>
      <c r="AX278" s="137"/>
    </row>
    <row r="279" spans="1:50" s="79" customFormat="1" ht="10.199999999999999" x14ac:dyDescent="0.2">
      <c r="A279" s="97">
        <f t="shared" si="6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8">
        <v>1.1999999999999999E-3</v>
      </c>
      <c r="G279" s="158">
        <v>1.6999999999999999E-3</v>
      </c>
      <c r="H279" s="158">
        <v>2.8E-3</v>
      </c>
      <c r="I279" s="158">
        <v>3.5000000000000001E-3</v>
      </c>
      <c r="J279" s="158" t="s">
        <v>87</v>
      </c>
      <c r="K279" s="158">
        <v>4.4999999999999997E-3</v>
      </c>
      <c r="L279" s="158">
        <v>5.1999999999999998E-3</v>
      </c>
      <c r="M279" s="158">
        <v>6.1999999999999998E-3</v>
      </c>
      <c r="N279" s="139" cm="1">
        <f t="array" aca="1" ref="N279:AE279" ca="1">IF(OR(B279="",NOT($J$2)),"",GetStripDefaultProbability(A279,B279,Parameter_Date,CDSRollDate,E279:M279,SpreadCurveMaturities,D279,C279,$J$4,$J$6))</f>
        <v>0</v>
      </c>
      <c r="O279" s="165">
        <f ca="1"/>
        <v>1.1964998035645102E-3</v>
      </c>
      <c r="P279" s="165">
        <f ca="1"/>
        <v>3.1266070059646767E-3</v>
      </c>
      <c r="Q279" s="165">
        <f ca="1"/>
        <v>9.9041130060282256E-3</v>
      </c>
      <c r="R279" s="165">
        <f ca="1"/>
        <v>1.8314723337840455E-2</v>
      </c>
      <c r="S279" s="165">
        <f ca="1"/>
        <v>0</v>
      </c>
      <c r="T279" s="165">
        <f ca="1"/>
        <v>3.8769587889606827E-2</v>
      </c>
      <c r="U279" s="165">
        <f ca="1"/>
        <v>6.2248564301702336E-2</v>
      </c>
      <c r="V279" s="140">
        <f ca="1"/>
        <v>0.10551446892544569</v>
      </c>
      <c r="W279" s="139">
        <f ca="1"/>
        <v>0</v>
      </c>
      <c r="X279" s="165">
        <f ca="1"/>
        <v>1.2961401666722328E-3</v>
      </c>
      <c r="Y279" s="165">
        <f ca="1"/>
        <v>3.2927387267641661E-3</v>
      </c>
      <c r="Z279" s="165">
        <f ca="1"/>
        <v>1.039566293105143E-2</v>
      </c>
      <c r="AA279" s="165">
        <f ca="1"/>
        <v>1.9221826747960247E-2</v>
      </c>
      <c r="AB279" s="165">
        <f ca="1"/>
        <v>0</v>
      </c>
      <c r="AC279" s="165">
        <f ca="1"/>
        <v>4.0671370709359334E-2</v>
      </c>
      <c r="AD279" s="165">
        <f ca="1"/>
        <v>6.5272319214196517E-2</v>
      </c>
      <c r="AE279" s="140">
        <f ca="1"/>
        <v>0.11055595283497199</v>
      </c>
      <c r="AH279" s="137"/>
      <c r="AI279" s="137"/>
      <c r="AJ279" s="137"/>
      <c r="AK279" s="137"/>
      <c r="AM279" s="137"/>
      <c r="AN279" s="137"/>
      <c r="AO279" s="137"/>
      <c r="AQ279" s="137"/>
      <c r="AR279" s="137"/>
      <c r="AS279" s="137"/>
      <c r="AT279" s="137"/>
      <c r="AV279" s="137"/>
      <c r="AW279" s="137"/>
      <c r="AX279" s="137"/>
    </row>
    <row r="280" spans="1:50" s="79" customFormat="1" ht="10.199999999999999" x14ac:dyDescent="0.2">
      <c r="A280" s="97">
        <f t="shared" si="6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8">
        <v>1.1000000000000001E-3</v>
      </c>
      <c r="G280" s="158">
        <v>1.5E-3</v>
      </c>
      <c r="H280" s="158">
        <v>1.9E-3</v>
      </c>
      <c r="I280" s="158">
        <v>2.5999999999999999E-3</v>
      </c>
      <c r="J280" s="158" t="s">
        <v>87</v>
      </c>
      <c r="K280" s="158">
        <v>3.8E-3</v>
      </c>
      <c r="L280" s="158">
        <v>4.7000000000000002E-3</v>
      </c>
      <c r="M280" s="158">
        <v>5.7000000000000002E-3</v>
      </c>
      <c r="N280" s="139" cm="1">
        <f t="array" aca="1" ref="N280:AE280" ca="1">IF(OR(B280="",NOT($J$2)),"",GetStripDefaultProbability(A280,B280,Parameter_Date,CDSRollDate,E280:M280,SpreadCurveMaturities,D280,C280,$J$4,$J$6))</f>
        <v>0</v>
      </c>
      <c r="O280" s="165">
        <f ca="1"/>
        <v>1.0968460033887739E-3</v>
      </c>
      <c r="P280" s="165">
        <f ca="1"/>
        <v>2.7581141421583188E-3</v>
      </c>
      <c r="Q280" s="165">
        <f ca="1"/>
        <v>6.6986588756065002E-3</v>
      </c>
      <c r="R280" s="165">
        <f ca="1"/>
        <v>1.3639627677154986E-2</v>
      </c>
      <c r="S280" s="165">
        <f ca="1"/>
        <v>0</v>
      </c>
      <c r="T280" s="165">
        <f ca="1"/>
        <v>3.3038447675185489E-2</v>
      </c>
      <c r="U280" s="165">
        <f ca="1"/>
        <v>5.7009572578452405E-2</v>
      </c>
      <c r="V280" s="140">
        <f ca="1"/>
        <v>9.8202526382957456E-2</v>
      </c>
      <c r="W280" s="139">
        <f ca="1"/>
        <v>0</v>
      </c>
      <c r="X280" s="165">
        <f ca="1"/>
        <v>1.1964968262314635E-3</v>
      </c>
      <c r="Y280" s="165">
        <f ca="1"/>
        <v>2.9243072733321496E-3</v>
      </c>
      <c r="Z280" s="165">
        <f ca="1"/>
        <v>7.0481889673472686E-3</v>
      </c>
      <c r="AA280" s="165">
        <f ca="1"/>
        <v>1.4314539134608228E-2</v>
      </c>
      <c r="AB280" s="165">
        <f ca="1"/>
        <v>0</v>
      </c>
      <c r="AC280" s="165">
        <f ca="1"/>
        <v>3.4662661151129259E-2</v>
      </c>
      <c r="AD280" s="165">
        <f ca="1"/>
        <v>5.9788194927665628E-2</v>
      </c>
      <c r="AE280" s="140">
        <f ca="1"/>
        <v>0.10291749445215026</v>
      </c>
      <c r="AH280" s="137"/>
      <c r="AI280" s="137"/>
      <c r="AJ280" s="137"/>
      <c r="AK280" s="137"/>
      <c r="AM280" s="137"/>
      <c r="AN280" s="137"/>
      <c r="AO280" s="137"/>
      <c r="AQ280" s="137"/>
      <c r="AR280" s="137"/>
      <c r="AS280" s="137"/>
      <c r="AT280" s="137"/>
      <c r="AV280" s="137"/>
      <c r="AW280" s="137"/>
      <c r="AX280" s="137"/>
    </row>
    <row r="281" spans="1:50" s="79" customFormat="1" ht="10.199999999999999" x14ac:dyDescent="0.2">
      <c r="A281" s="97">
        <f t="shared" si="6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8">
        <v>1.1000000000000001E-3</v>
      </c>
      <c r="G281" s="158">
        <v>1.6000000000000001E-3</v>
      </c>
      <c r="H281" s="158">
        <v>2E-3</v>
      </c>
      <c r="I281" s="158">
        <v>2.8E-3</v>
      </c>
      <c r="J281" s="158" t="s">
        <v>87</v>
      </c>
      <c r="K281" s="158">
        <v>3.8999999999999998E-3</v>
      </c>
      <c r="L281" s="158">
        <v>4.5999999999999999E-3</v>
      </c>
      <c r="M281" s="158">
        <v>5.5999999999999999E-3</v>
      </c>
      <c r="N281" s="139" cm="1">
        <f t="array" aca="1" ref="N281:AE281" ca="1">IF(OR(B281="",NOT($J$2)),"",GetStripDefaultProbability(A281,B281,Parameter_Date,CDSRollDate,E281:M281,SpreadCurveMaturities,D281,C281,$J$4,$J$6))</f>
        <v>0</v>
      </c>
      <c r="O281" s="165">
        <f ca="1"/>
        <v>1.0968460033887739E-3</v>
      </c>
      <c r="P281" s="165">
        <f ca="1"/>
        <v>2.9436906458292222E-3</v>
      </c>
      <c r="Q281" s="165">
        <f ca="1"/>
        <v>7.0503278528422086E-3</v>
      </c>
      <c r="R281" s="165">
        <f ca="1"/>
        <v>1.4694321239492991E-2</v>
      </c>
      <c r="S281" s="165">
        <f ca="1"/>
        <v>0</v>
      </c>
      <c r="T281" s="165">
        <f ca="1"/>
        <v>3.3830655828341771E-2</v>
      </c>
      <c r="U281" s="165">
        <f ca="1"/>
        <v>5.550467519640323E-2</v>
      </c>
      <c r="V281" s="140">
        <f ca="1"/>
        <v>9.6277285948589975E-2</v>
      </c>
      <c r="W281" s="139">
        <f ca="1"/>
        <v>0</v>
      </c>
      <c r="X281" s="165">
        <f ca="1"/>
        <v>1.1964968262314635E-3</v>
      </c>
      <c r="Y281" s="165">
        <f ca="1"/>
        <v>3.1098528501559697E-3</v>
      </c>
      <c r="Z281" s="165">
        <f ca="1"/>
        <v>7.3997406887518213E-3</v>
      </c>
      <c r="AA281" s="165">
        <f ca="1"/>
        <v>1.54225697941478E-2</v>
      </c>
      <c r="AB281" s="165">
        <f ca="1"/>
        <v>0</v>
      </c>
      <c r="AC281" s="165">
        <f ca="1"/>
        <v>3.5494278416622116E-2</v>
      </c>
      <c r="AD281" s="165">
        <f ca="1"/>
        <v>5.8210970264469863E-2</v>
      </c>
      <c r="AE281" s="140">
        <f ca="1"/>
        <v>0.10090196876853308</v>
      </c>
      <c r="AH281" s="137"/>
      <c r="AI281" s="137"/>
      <c r="AJ281" s="137"/>
      <c r="AK281" s="137"/>
      <c r="AM281" s="137"/>
      <c r="AN281" s="137"/>
      <c r="AO281" s="137"/>
      <c r="AQ281" s="137"/>
      <c r="AR281" s="137"/>
      <c r="AS281" s="137"/>
      <c r="AT281" s="137"/>
      <c r="AV281" s="137"/>
      <c r="AW281" s="137"/>
      <c r="AX281" s="137"/>
    </row>
    <row r="282" spans="1:50" s="79" customFormat="1" ht="10.199999999999999" x14ac:dyDescent="0.2">
      <c r="A282" s="97">
        <f t="shared" si="6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8" t="s">
        <v>87</v>
      </c>
      <c r="G282" s="158">
        <v>9.3400000000000004E-4</v>
      </c>
      <c r="H282" s="158" t="s">
        <v>87</v>
      </c>
      <c r="I282" s="158">
        <v>2.264E-3</v>
      </c>
      <c r="J282" s="158" t="s">
        <v>87</v>
      </c>
      <c r="K282" s="158">
        <v>3.5500000000000002E-3</v>
      </c>
      <c r="L282" s="158">
        <v>4.4759999999999999E-3</v>
      </c>
      <c r="M282" s="158">
        <v>5.3509999999999999E-3</v>
      </c>
      <c r="N282" s="139" cm="1">
        <f t="array" aca="1" ref="N282:AE282" ca="1">IF(OR(B282="",NOT($J$2)),"",GetStripDefaultProbability(A282,B282,Parameter_Date,CDSRollDate,E282:M282,SpreadCurveMaturities,D282,C282,$J$4,$J$6))</f>
        <v>0</v>
      </c>
      <c r="O282" s="165">
        <f ca="1"/>
        <v>0</v>
      </c>
      <c r="P282" s="165">
        <f ca="1"/>
        <v>1.7117616955250048E-3</v>
      </c>
      <c r="Q282" s="165">
        <f ca="1"/>
        <v>0</v>
      </c>
      <c r="R282" s="165">
        <f ca="1"/>
        <v>1.1866492731725131E-2</v>
      </c>
      <c r="S282" s="165">
        <f ca="1"/>
        <v>0</v>
      </c>
      <c r="T282" s="165">
        <f ca="1"/>
        <v>3.1024944606830362E-2</v>
      </c>
      <c r="U282" s="165">
        <f ca="1"/>
        <v>5.4743365291620383E-2</v>
      </c>
      <c r="V282" s="140">
        <f ca="1"/>
        <v>9.3019225463405353E-2</v>
      </c>
      <c r="W282" s="139">
        <f ca="1"/>
        <v>0</v>
      </c>
      <c r="X282" s="165">
        <f ca="1"/>
        <v>0</v>
      </c>
      <c r="Y282" s="165">
        <f ca="1"/>
        <v>1.8781292042344688E-3</v>
      </c>
      <c r="Z282" s="165">
        <f ca="1"/>
        <v>0</v>
      </c>
      <c r="AA282" s="165">
        <f ca="1"/>
        <v>1.2449875923969289E-2</v>
      </c>
      <c r="AB282" s="165">
        <f ca="1"/>
        <v>0</v>
      </c>
      <c r="AC282" s="165">
        <f ca="1"/>
        <v>3.2548188095241959E-2</v>
      </c>
      <c r="AD282" s="165">
        <f ca="1"/>
        <v>5.7411778659564483E-2</v>
      </c>
      <c r="AE282" s="140">
        <f ca="1"/>
        <v>9.7467680897404207E-2</v>
      </c>
      <c r="AI282" s="137"/>
      <c r="AK282" s="137"/>
      <c r="AM282" s="137"/>
      <c r="AN282" s="137"/>
      <c r="AO282" s="137"/>
      <c r="AR282" s="137"/>
      <c r="AT282" s="137"/>
      <c r="AV282" s="137"/>
      <c r="AW282" s="137"/>
      <c r="AX282" s="137"/>
    </row>
    <row r="283" spans="1:50" s="79" customFormat="1" ht="10.199999999999999" x14ac:dyDescent="0.2">
      <c r="A283" s="97">
        <f t="shared" si="6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8">
        <v>8.0000000000000004E-4</v>
      </c>
      <c r="G283" s="158">
        <v>1E-3</v>
      </c>
      <c r="H283" s="158">
        <v>1.9E-3</v>
      </c>
      <c r="I283" s="158">
        <v>2.3999999999999998E-3</v>
      </c>
      <c r="J283" s="158" t="s">
        <v>87</v>
      </c>
      <c r="K283" s="158">
        <v>3.8E-3</v>
      </c>
      <c r="L283" s="158">
        <v>4.4999999999999997E-3</v>
      </c>
      <c r="M283" s="158">
        <v>5.4000000000000003E-3</v>
      </c>
      <c r="N283" s="139" cm="1">
        <f t="array" aca="1" ref="N283:AE283" ca="1">IF(OR(B283="",NOT($J$2)),"",GetStripDefaultProbability(A283,B283,Parameter_Date,CDSRollDate,E283:M283,SpreadCurveMaturities,D283,C283,$J$4,$J$6))</f>
        <v>0</v>
      </c>
      <c r="O283" s="165">
        <f ca="1"/>
        <v>7.9782515363191475E-4</v>
      </c>
      <c r="P283" s="165">
        <f ca="1"/>
        <v>1.8377423240791835E-3</v>
      </c>
      <c r="Q283" s="165">
        <f ca="1"/>
        <v>6.7391538246808214E-3</v>
      </c>
      <c r="R283" s="165">
        <f ca="1"/>
        <v>1.2601578621638354E-2</v>
      </c>
      <c r="S283" s="165">
        <f ca="1"/>
        <v>0</v>
      </c>
      <c r="T283" s="165">
        <f ca="1"/>
        <v>3.3163217349863383E-2</v>
      </c>
      <c r="U283" s="165">
        <f ca="1"/>
        <v>5.4535150562049384E-2</v>
      </c>
      <c r="V283" s="140">
        <f ca="1"/>
        <v>9.3001335011870911E-2</v>
      </c>
      <c r="W283" s="139">
        <f ca="1"/>
        <v>0</v>
      </c>
      <c r="X283" s="165">
        <f ca="1"/>
        <v>8.9750707345648273E-4</v>
      </c>
      <c r="Y283" s="165">
        <f ca="1"/>
        <v>2.0040888377645949E-3</v>
      </c>
      <c r="Z283" s="165">
        <f ca="1"/>
        <v>7.0887867690719863E-3</v>
      </c>
      <c r="AA283" s="165">
        <f ca="1"/>
        <v>1.3223177662300745E-2</v>
      </c>
      <c r="AB283" s="165">
        <f ca="1"/>
        <v>0</v>
      </c>
      <c r="AC283" s="165">
        <f ca="1"/>
        <v>3.4791831517083205E-2</v>
      </c>
      <c r="AD283" s="165">
        <f ca="1"/>
        <v>5.7193705973914488E-2</v>
      </c>
      <c r="AE283" s="140">
        <f ca="1"/>
        <v>9.744862740238136E-2</v>
      </c>
      <c r="AH283" s="137"/>
      <c r="AI283" s="137"/>
      <c r="AJ283" s="137"/>
      <c r="AK283" s="137"/>
      <c r="AM283" s="137"/>
      <c r="AN283" s="137"/>
      <c r="AO283" s="137"/>
      <c r="AQ283" s="137"/>
      <c r="AR283" s="137"/>
      <c r="AS283" s="137"/>
      <c r="AT283" s="137"/>
      <c r="AV283" s="137"/>
      <c r="AW283" s="137"/>
      <c r="AX283" s="137"/>
    </row>
    <row r="284" spans="1:50" s="79" customFormat="1" ht="10.199999999999999" x14ac:dyDescent="0.2">
      <c r="A284" s="97">
        <f t="shared" si="6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8">
        <v>1E-3</v>
      </c>
      <c r="G284" s="158">
        <v>1.2999999999999999E-3</v>
      </c>
      <c r="H284" s="158">
        <v>1.6000000000000001E-3</v>
      </c>
      <c r="I284" s="158">
        <v>2.3E-3</v>
      </c>
      <c r="J284" s="158">
        <v>2.8E-3</v>
      </c>
      <c r="K284" s="158">
        <v>3.3E-3</v>
      </c>
      <c r="L284" s="158">
        <v>4.4000000000000003E-3</v>
      </c>
      <c r="M284" s="158">
        <v>5.4000000000000003E-3</v>
      </c>
      <c r="N284" s="139" cm="1">
        <f t="array" aca="1" ref="N284:AE284" ca="1">IF(OR(B284="",NOT($J$2)),"",GetStripDefaultProbability(A284,B284,Parameter_Date,CDSRollDate,E284:M284,SpreadCurveMaturities,D284,C284,$J$4,$J$6))</f>
        <v>4.3457417238412788E-4</v>
      </c>
      <c r="O284" s="165">
        <f ca="1"/>
        <v>7.4798721317637096E-4</v>
      </c>
      <c r="P284" s="165">
        <f ca="1"/>
        <v>1.792612024199558E-3</v>
      </c>
      <c r="Q284" s="165">
        <f ca="1"/>
        <v>4.2317991598477267E-3</v>
      </c>
      <c r="R284" s="165">
        <f ca="1"/>
        <v>9.0785903686321223E-3</v>
      </c>
      <c r="S284" s="165">
        <f ca="1"/>
        <v>1.4701613456667428E-2</v>
      </c>
      <c r="T284" s="165">
        <f ca="1"/>
        <v>2.1674859978418448E-2</v>
      </c>
      <c r="U284" s="165">
        <f ca="1"/>
        <v>4.0755227473082245E-2</v>
      </c>
      <c r="V284" s="140">
        <f ca="1"/>
        <v>7.1479736624282197E-2</v>
      </c>
      <c r="W284" s="139">
        <f ca="1"/>
        <v>4.7802096192173238E-4</v>
      </c>
      <c r="X284" s="165">
        <f ca="1"/>
        <v>8.2275504803841493E-4</v>
      </c>
      <c r="Y284" s="165">
        <f ca="1"/>
        <v>1.9173801495282472E-3</v>
      </c>
      <c r="Z284" s="165">
        <f ca="1"/>
        <v>4.4945498179498333E-3</v>
      </c>
      <c r="AA284" s="165">
        <f ca="1"/>
        <v>9.5259209697426961E-3</v>
      </c>
      <c r="AB284" s="165">
        <f ca="1"/>
        <v>1.5427436528942962E-2</v>
      </c>
      <c r="AC284" s="165">
        <f ca="1"/>
        <v>2.2744474664852077E-2</v>
      </c>
      <c r="AD284" s="165">
        <f ca="1"/>
        <v>4.2753931970607062E-2</v>
      </c>
      <c r="AE284" s="140">
        <f ca="1"/>
        <v>7.4936028092655649E-2</v>
      </c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</row>
    <row r="285" spans="1:50" s="79" customFormat="1" ht="10.199999999999999" x14ac:dyDescent="0.2">
      <c r="A285" s="97">
        <f t="shared" si="6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8" t="s">
        <v>87</v>
      </c>
      <c r="G285" s="158">
        <v>8.6899999999999998E-4</v>
      </c>
      <c r="H285" s="158" t="s">
        <v>87</v>
      </c>
      <c r="I285" s="158">
        <v>2.2699999999999999E-3</v>
      </c>
      <c r="J285" s="158" t="s">
        <v>87</v>
      </c>
      <c r="K285" s="158">
        <v>3.2499999999999999E-3</v>
      </c>
      <c r="L285" s="158">
        <v>4.2300000000000003E-3</v>
      </c>
      <c r="M285" s="158">
        <v>5.2620000000000002E-3</v>
      </c>
      <c r="N285" s="139" cm="1">
        <f t="array" aca="1" ref="N285:AE285" ca="1">IF(OR(B285="",NOT($J$2)),"",GetStripDefaultProbability(A285,B285,Parameter_Date,CDSRollDate,E285:M285,SpreadCurveMaturities,D285,C285,$J$4,$J$6))</f>
        <v>0</v>
      </c>
      <c r="O285" s="165">
        <f ca="1"/>
        <v>0</v>
      </c>
      <c r="P285" s="165">
        <f ca="1"/>
        <v>1.5927289909768438E-3</v>
      </c>
      <c r="Q285" s="165">
        <f ca="1"/>
        <v>0</v>
      </c>
      <c r="R285" s="165">
        <f ca="1"/>
        <v>1.1907204097977298E-2</v>
      </c>
      <c r="S285" s="165">
        <f ca="1"/>
        <v>0</v>
      </c>
      <c r="T285" s="165">
        <f ca="1"/>
        <v>2.8312086626671396E-2</v>
      </c>
      <c r="U285" s="165">
        <f ca="1"/>
        <v>5.1831343125825713E-2</v>
      </c>
      <c r="V285" s="140">
        <f ca="1"/>
        <v>9.2117963800218305E-2</v>
      </c>
      <c r="W285" s="139">
        <f ca="1"/>
        <v>0</v>
      </c>
      <c r="X285" s="165">
        <f ca="1"/>
        <v>0</v>
      </c>
      <c r="Y285" s="165">
        <f ca="1"/>
        <v>1.7591163368048113E-3</v>
      </c>
      <c r="Z285" s="165">
        <f ca="1"/>
        <v>0</v>
      </c>
      <c r="AA285" s="165">
        <f ca="1"/>
        <v>1.2492159567405903E-2</v>
      </c>
      <c r="AB285" s="165">
        <f ca="1"/>
        <v>0</v>
      </c>
      <c r="AC285" s="165">
        <f ca="1"/>
        <v>2.9702652119751094E-2</v>
      </c>
      <c r="AD285" s="165">
        <f ca="1"/>
        <v>5.4359944384211434E-2</v>
      </c>
      <c r="AE285" s="140">
        <f ca="1"/>
        <v>9.6555165768130613E-2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si="6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8">
        <v>5.9999999999999995E-4</v>
      </c>
      <c r="G286" s="158">
        <v>8.0000000000000004E-4</v>
      </c>
      <c r="H286" s="158">
        <v>1.2999999999999999E-3</v>
      </c>
      <c r="I286" s="158">
        <v>1.9E-3</v>
      </c>
      <c r="J286" s="158" t="s">
        <v>87</v>
      </c>
      <c r="K286" s="158">
        <v>3.0999999999999999E-3</v>
      </c>
      <c r="L286" s="158">
        <v>4.0000000000000001E-3</v>
      </c>
      <c r="M286" s="158">
        <v>5.0000000000000001E-3</v>
      </c>
      <c r="N286" s="139" cm="1">
        <f t="array" aca="1" ref="N286:AE286" ca="1">IF(OR(B286="",NOT($J$2)),"",GetStripDefaultProbability(A286,B286,Parameter_Date,CDSRollDate,E286:M286,SpreadCurveMaturities,D286,C286,$J$4,$J$6))</f>
        <v>0</v>
      </c>
      <c r="O286" s="165">
        <f ca="1"/>
        <v>5.9842836468415594E-4</v>
      </c>
      <c r="P286" s="165">
        <f ca="1"/>
        <v>1.4714595053220147E-3</v>
      </c>
      <c r="Q286" s="165">
        <f ca="1"/>
        <v>4.6058207505135229E-3</v>
      </c>
      <c r="R286" s="165">
        <f ca="1"/>
        <v>1.0020867604870309E-2</v>
      </c>
      <c r="S286" s="165">
        <f ca="1"/>
        <v>0</v>
      </c>
      <c r="T286" s="165">
        <f ca="1"/>
        <v>2.7181527430262253E-2</v>
      </c>
      <c r="U286" s="165">
        <f ca="1"/>
        <v>4.9026029098257817E-2</v>
      </c>
      <c r="V286" s="140">
        <f ca="1"/>
        <v>8.7282903547467927E-2</v>
      </c>
      <c r="W286" s="139">
        <f ca="1"/>
        <v>0</v>
      </c>
      <c r="X286" s="165">
        <f ca="1"/>
        <v>6.9813078535330142E-4</v>
      </c>
      <c r="Y286" s="165">
        <f ca="1"/>
        <v>1.6378670610578405E-3</v>
      </c>
      <c r="Z286" s="165">
        <f ca="1"/>
        <v>4.9561112987848155E-3</v>
      </c>
      <c r="AA286" s="165">
        <f ca="1"/>
        <v>1.0535867658475473E-2</v>
      </c>
      <c r="AB286" s="165">
        <f ca="1"/>
        <v>0</v>
      </c>
      <c r="AC286" s="165">
        <f ca="1"/>
        <v>2.8511292922703158E-2</v>
      </c>
      <c r="AD286" s="165">
        <f ca="1"/>
        <v>5.1415286259544168E-2</v>
      </c>
      <c r="AE286" s="140">
        <f ca="1"/>
        <v>9.1466365088003765E-2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si="6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8">
        <v>5.0000000000000001E-4</v>
      </c>
      <c r="G287" s="158">
        <v>6.9999999999999999E-4</v>
      </c>
      <c r="H287" s="158">
        <v>1.2999999999999999E-3</v>
      </c>
      <c r="I287" s="158">
        <v>1.6999999999999999E-3</v>
      </c>
      <c r="J287" s="158" t="s">
        <v>87</v>
      </c>
      <c r="K287" s="158">
        <v>2.8999999999999998E-3</v>
      </c>
      <c r="L287" s="158">
        <v>3.8999999999999998E-3</v>
      </c>
      <c r="M287" s="158">
        <v>4.8999999999999998E-3</v>
      </c>
      <c r="N287" s="139" cm="1">
        <f t="array" aca="1" ref="N287:AE287" ca="1">IF(OR(B287="",NOT($J$2)),"",GetStripDefaultProbability(A287,B287,Parameter_Date,CDSRollDate,E287:M287,SpreadCurveMaturities,D287,C287,$J$4,$J$6))</f>
        <v>0</v>
      </c>
      <c r="O287" s="165">
        <f ca="1"/>
        <v>4.9871509903820499E-4</v>
      </c>
      <c r="P287" s="165">
        <f ca="1"/>
        <v>1.2882676916461389E-3</v>
      </c>
      <c r="Q287" s="165">
        <f ca="1"/>
        <v>4.6147959768386704E-3</v>
      </c>
      <c r="R287" s="165">
        <f ca="1"/>
        <v>8.9484610009749055E-3</v>
      </c>
      <c r="S287" s="165">
        <f ca="1"/>
        <v>0</v>
      </c>
      <c r="T287" s="165">
        <f ca="1"/>
        <v>2.5464314369357144E-2</v>
      </c>
      <c r="U287" s="165">
        <f ca="1"/>
        <v>4.8002241503583787E-2</v>
      </c>
      <c r="V287" s="140">
        <f ca="1"/>
        <v>8.5831725711184581E-2</v>
      </c>
      <c r="W287" s="139">
        <f ca="1"/>
        <v>0</v>
      </c>
      <c r="X287" s="165">
        <f ca="1"/>
        <v>5.9842770240881027E-4</v>
      </c>
      <c r="Y287" s="165">
        <f ca="1"/>
        <v>1.4547057767978488E-3</v>
      </c>
      <c r="Z287" s="165">
        <f ca="1"/>
        <v>4.9651125493053172E-3</v>
      </c>
      <c r="AA287" s="165">
        <f ca="1"/>
        <v>9.4638924825426463E-3</v>
      </c>
      <c r="AB287" s="165">
        <f ca="1"/>
        <v>0</v>
      </c>
      <c r="AC287" s="165">
        <f ca="1"/>
        <v>2.6705783810560768E-2</v>
      </c>
      <c r="AD287" s="165">
        <f ca="1"/>
        <v>5.0338637620734317E-2</v>
      </c>
      <c r="AE287" s="140">
        <f ca="1"/>
        <v>8.9945670445838233E-2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si="6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8">
        <v>6.9999999999999999E-4</v>
      </c>
      <c r="G288" s="158">
        <v>8.0000000000000004E-4</v>
      </c>
      <c r="H288" s="158">
        <v>1.2999999999999999E-3</v>
      </c>
      <c r="I288" s="158">
        <v>2E-3</v>
      </c>
      <c r="J288" s="158" t="s">
        <v>87</v>
      </c>
      <c r="K288" s="158">
        <v>3.3E-3</v>
      </c>
      <c r="L288" s="158">
        <v>4.0000000000000001E-3</v>
      </c>
      <c r="M288" s="158">
        <v>4.8999999999999998E-3</v>
      </c>
      <c r="N288" s="139" cm="1">
        <f t="array" aca="1" ref="N288:AE288" ca="1">IF(OR(B288="",NOT($J$2)),"",GetStripDefaultProbability(A288,B288,Parameter_Date,CDSRollDate,E288:M288,SpreadCurveMaturities,D288,C288,$J$4,$J$6))</f>
        <v>0</v>
      </c>
      <c r="O288" s="165">
        <f ca="1"/>
        <v>6.9813171573551713E-4</v>
      </c>
      <c r="P288" s="165">
        <f ca="1"/>
        <v>1.4688960752100577E-3</v>
      </c>
      <c r="Q288" s="165">
        <f ca="1"/>
        <v>4.603215621535095E-3</v>
      </c>
      <c r="R288" s="165">
        <f ca="1"/>
        <v>1.055881347779164E-2</v>
      </c>
      <c r="S288" s="165">
        <f ca="1"/>
        <v>0</v>
      </c>
      <c r="T288" s="165">
        <f ca="1"/>
        <v>2.8943619146484689E-2</v>
      </c>
      <c r="U288" s="165">
        <f ca="1"/>
        <v>4.8790474202396128E-2</v>
      </c>
      <c r="V288" s="140">
        <f ca="1"/>
        <v>8.512394185600014E-2</v>
      </c>
      <c r="W288" s="139">
        <f ca="1"/>
        <v>0</v>
      </c>
      <c r="X288" s="165">
        <f ca="1"/>
        <v>7.97823908687878E-4</v>
      </c>
      <c r="Y288" s="165">
        <f ca="1"/>
        <v>1.635304058142717E-3</v>
      </c>
      <c r="Z288" s="165">
        <f ca="1"/>
        <v>4.9534974073496274E-3</v>
      </c>
      <c r="AA288" s="165">
        <f ca="1"/>
        <v>1.1073600547618856E-2</v>
      </c>
      <c r="AB288" s="165">
        <f ca="1"/>
        <v>0</v>
      </c>
      <c r="AC288" s="165">
        <f ca="1"/>
        <v>3.0361544803396923E-2</v>
      </c>
      <c r="AD288" s="165">
        <f ca="1"/>
        <v>5.1169632875597282E-2</v>
      </c>
      <c r="AE288" s="140">
        <f ca="1"/>
        <v>8.9206867300898329E-2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si="6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8" t="s">
        <v>87</v>
      </c>
      <c r="G289" s="158">
        <v>5.5000000000000003E-4</v>
      </c>
      <c r="H289" s="158" t="s">
        <v>87</v>
      </c>
      <c r="I289" s="158">
        <v>1.6999999999999999E-3</v>
      </c>
      <c r="J289" s="158" t="s">
        <v>87</v>
      </c>
      <c r="K289" s="158">
        <v>2.7499999999999998E-3</v>
      </c>
      <c r="L289" s="158">
        <v>3.8999999999999998E-3</v>
      </c>
      <c r="M289" s="158">
        <v>5.0000000000000001E-3</v>
      </c>
      <c r="N289" s="139" cm="1">
        <f t="array" aca="1" ref="N289:AE289" ca="1">IF(OR(B289="",NOT($J$2)),"",GetStripDefaultProbability(A289,B289,Parameter_Date,CDSRollDate,E289:M289,SpreadCurveMaturities,D289,C289,$J$4,$J$6))</f>
        <v>0</v>
      </c>
      <c r="O289" s="165">
        <f ca="1"/>
        <v>0</v>
      </c>
      <c r="P289" s="165">
        <f ca="1"/>
        <v>1.0083489615362318E-3</v>
      </c>
      <c r="Q289" s="165">
        <f ca="1"/>
        <v>0</v>
      </c>
      <c r="R289" s="165">
        <f ca="1"/>
        <v>8.9412590197092134E-3</v>
      </c>
      <c r="S289" s="165">
        <f ca="1"/>
        <v>0</v>
      </c>
      <c r="T289" s="165">
        <f ca="1"/>
        <v>2.4148512639827868E-2</v>
      </c>
      <c r="U289" s="165">
        <f ca="1"/>
        <v>4.8395913608175856E-2</v>
      </c>
      <c r="V289" s="140">
        <f ca="1"/>
        <v>8.8620850115223582E-2</v>
      </c>
      <c r="W289" s="139">
        <f ca="1"/>
        <v>0</v>
      </c>
      <c r="X289" s="165">
        <f ca="1"/>
        <v>0</v>
      </c>
      <c r="Y289" s="165">
        <f ca="1"/>
        <v>1.1748336959365169E-3</v>
      </c>
      <c r="Z289" s="165">
        <f ca="1"/>
        <v>0</v>
      </c>
      <c r="AA289" s="165">
        <f ca="1"/>
        <v>9.4567976845941759E-3</v>
      </c>
      <c r="AB289" s="165">
        <f ca="1"/>
        <v>0</v>
      </c>
      <c r="AC289" s="165">
        <f ca="1"/>
        <v>2.5325502464106919E-2</v>
      </c>
      <c r="AD289" s="165">
        <f ca="1"/>
        <v>5.0751342206471928E-2</v>
      </c>
      <c r="AE289" s="140">
        <f ca="1"/>
        <v>9.2892172736280365E-2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si="6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8">
        <v>6.9999999999999999E-4</v>
      </c>
      <c r="G290" s="158">
        <v>8.9999999999999998E-4</v>
      </c>
      <c r="H290" s="158">
        <v>1.2999999999999999E-3</v>
      </c>
      <c r="I290" s="158">
        <v>1.8E-3</v>
      </c>
      <c r="J290" s="158" t="s">
        <v>87</v>
      </c>
      <c r="K290" s="158">
        <v>2.8999999999999998E-3</v>
      </c>
      <c r="L290" s="158">
        <v>3.5999999999999999E-3</v>
      </c>
      <c r="M290" s="158">
        <v>4.4000000000000003E-3</v>
      </c>
      <c r="N290" s="139" cm="1">
        <f t="array" aca="1" ref="N290:AE290" ca="1">IF(OR(B290="",NOT($J$2)),"",GetStripDefaultProbability(A290,B290,Parameter_Date,CDSRollDate,E290:M290,SpreadCurveMaturities,D290,C290,$J$4,$J$6))</f>
        <v>0</v>
      </c>
      <c r="O290" s="165">
        <f ca="1"/>
        <v>6.9813171573551713E-4</v>
      </c>
      <c r="P290" s="165">
        <f ca="1"/>
        <v>1.6546177141141261E-3</v>
      </c>
      <c r="Q290" s="165">
        <f ca="1"/>
        <v>4.5968468698306397E-3</v>
      </c>
      <c r="R290" s="165">
        <f ca="1"/>
        <v>9.4710578118807343E-3</v>
      </c>
      <c r="S290" s="165">
        <f ca="1"/>
        <v>0</v>
      </c>
      <c r="T290" s="165">
        <f ca="1"/>
        <v>2.5405559415607848E-2</v>
      </c>
      <c r="U290" s="165">
        <f ca="1"/>
        <v>4.4018608583022312E-2</v>
      </c>
      <c r="V290" s="140">
        <f ca="1"/>
        <v>7.6690544205209266E-2</v>
      </c>
      <c r="W290" s="139">
        <f ca="1"/>
        <v>0</v>
      </c>
      <c r="X290" s="165">
        <f ca="1"/>
        <v>7.97823908687878E-4</v>
      </c>
      <c r="Y290" s="165">
        <f ca="1"/>
        <v>1.8209947460166021E-3</v>
      </c>
      <c r="Z290" s="165">
        <f ca="1"/>
        <v>4.9471111204165696E-3</v>
      </c>
      <c r="AA290" s="165">
        <f ca="1"/>
        <v>9.9862310288481027E-3</v>
      </c>
      <c r="AB290" s="165">
        <f ca="1"/>
        <v>0</v>
      </c>
      <c r="AC290" s="165">
        <f ca="1"/>
        <v>2.6646931545356911E-2</v>
      </c>
      <c r="AD290" s="165">
        <f ca="1"/>
        <v>4.6164709015169891E-2</v>
      </c>
      <c r="AE290" s="140">
        <f ca="1"/>
        <v>8.0379364469327697E-2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si="6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8">
        <v>5.9999999999999995E-4</v>
      </c>
      <c r="G291" s="158">
        <v>6.9999999999999999E-4</v>
      </c>
      <c r="H291" s="158">
        <v>1.1999999999999999E-3</v>
      </c>
      <c r="I291" s="158">
        <v>1.8E-3</v>
      </c>
      <c r="J291" s="158" t="s">
        <v>87</v>
      </c>
      <c r="K291" s="158">
        <v>2.8E-3</v>
      </c>
      <c r="L291" s="158">
        <v>3.5000000000000001E-3</v>
      </c>
      <c r="M291" s="158">
        <v>4.4000000000000003E-3</v>
      </c>
      <c r="N291" s="139" cm="1">
        <f t="array" aca="1" ref="N291:AE291" ca="1">IF(OR(B291="",NOT($J$2)),"",GetStripDefaultProbability(A291,B291,Parameter_Date,CDSRollDate,E291:M291,SpreadCurveMaturities,D291,C291,$J$4,$J$6))</f>
        <v>0</v>
      </c>
      <c r="O291" s="165">
        <f ca="1"/>
        <v>5.9842836468415594E-4</v>
      </c>
      <c r="P291" s="165">
        <f ca="1"/>
        <v>1.2857132002235261E-3</v>
      </c>
      <c r="Q291" s="165">
        <f ca="1"/>
        <v>4.2533471925841893E-3</v>
      </c>
      <c r="R291" s="165">
        <f ca="1"/>
        <v>9.5034259202997351E-3</v>
      </c>
      <c r="S291" s="165">
        <f ca="1"/>
        <v>0</v>
      </c>
      <c r="T291" s="165">
        <f ca="1"/>
        <v>2.4535037055914422E-2</v>
      </c>
      <c r="U291" s="165">
        <f ca="1"/>
        <v>4.2838193136911618E-2</v>
      </c>
      <c r="V291" s="140">
        <f ca="1"/>
        <v>7.7003864300432046E-2</v>
      </c>
      <c r="W291" s="139">
        <f ca="1"/>
        <v>0</v>
      </c>
      <c r="X291" s="165">
        <f ca="1"/>
        <v>6.9813078535330142E-4</v>
      </c>
      <c r="Y291" s="165">
        <f ca="1"/>
        <v>1.4521517111039106E-3</v>
      </c>
      <c r="Z291" s="165">
        <f ca="1"/>
        <v>4.6037538327666772E-3</v>
      </c>
      <c r="AA291" s="165">
        <f ca="1"/>
        <v>1.0018690153701937E-2</v>
      </c>
      <c r="AB291" s="165">
        <f ca="1"/>
        <v>0</v>
      </c>
      <c r="AC291" s="165">
        <f ca="1"/>
        <v>2.5732292850133898E-2</v>
      </c>
      <c r="AD291" s="165">
        <f ca="1"/>
        <v>4.492582242537202E-2</v>
      </c>
      <c r="AE291" s="140">
        <f ca="1"/>
        <v>8.0706739866939992E-2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si="6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8" t="s">
        <v>87</v>
      </c>
      <c r="G292" s="158">
        <v>3.1260000000000003E-2</v>
      </c>
      <c r="H292" s="158" t="s">
        <v>87</v>
      </c>
      <c r="I292" s="158">
        <v>2.2712E-2</v>
      </c>
      <c r="J292" s="158" t="s">
        <v>87</v>
      </c>
      <c r="K292" s="158">
        <v>1.9E-2</v>
      </c>
      <c r="L292" s="158">
        <v>1.7339E-2</v>
      </c>
      <c r="M292" s="158">
        <v>1.6362000000000002E-2</v>
      </c>
      <c r="N292" s="139" cm="1">
        <f t="array" aca="1" ref="N292:AE292" ca="1">IF(OR(B292="",NOT($J$2)),"",GetStripDefaultProbability(A292,B292,Parameter_Date,CDSRollDate,E292:M292,SpreadCurveMaturities,D292,C292,$J$4,$J$6))</f>
        <v>0</v>
      </c>
      <c r="O292" s="165">
        <f ca="1"/>
        <v>0</v>
      </c>
      <c r="P292" s="165">
        <f ca="1"/>
        <v>5.57254072105412E-2</v>
      </c>
      <c r="Q292" s="165">
        <f ca="1"/>
        <v>0</v>
      </c>
      <c r="R292" s="165">
        <f ca="1"/>
        <v>0.10931982843483912</v>
      </c>
      <c r="S292" s="165">
        <f ca="1"/>
        <v>0</v>
      </c>
      <c r="T292" s="165">
        <f ca="1"/>
        <v>0.14469336430226698</v>
      </c>
      <c r="U292" s="165">
        <f ca="1"/>
        <v>0.17798605858930294</v>
      </c>
      <c r="V292" s="140">
        <f ca="1"/>
        <v>0.23004470945491151</v>
      </c>
      <c r="W292" s="139">
        <f ca="1"/>
        <v>0</v>
      </c>
      <c r="X292" s="165">
        <f ca="1"/>
        <v>0</v>
      </c>
      <c r="Y292" s="165">
        <f ca="1"/>
        <v>5.8428622980779665E-2</v>
      </c>
      <c r="Z292" s="165">
        <f ca="1"/>
        <v>0</v>
      </c>
      <c r="AA292" s="165">
        <f ca="1"/>
        <v>0.11441329704469383</v>
      </c>
      <c r="AB292" s="165">
        <f ca="1"/>
        <v>0</v>
      </c>
      <c r="AC292" s="165">
        <f ca="1"/>
        <v>0.15121337566991</v>
      </c>
      <c r="AD292" s="165">
        <f ca="1"/>
        <v>0.18580769600397962</v>
      </c>
      <c r="AE292" s="140">
        <f ca="1"/>
        <v>0.23980458755715162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si="6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8">
        <v>4.5500000000000002E-3</v>
      </c>
      <c r="G293" s="158">
        <v>5.6800000000000002E-3</v>
      </c>
      <c r="H293" s="158">
        <v>7.9500000000000005E-3</v>
      </c>
      <c r="I293" s="158">
        <v>9.8200000000000006E-3</v>
      </c>
      <c r="J293" s="158" t="s">
        <v>87</v>
      </c>
      <c r="K293" s="158">
        <v>1.2500000000000001E-2</v>
      </c>
      <c r="L293" s="158">
        <v>1.2999999999999999E-2</v>
      </c>
      <c r="M293" s="158">
        <v>1.35E-2</v>
      </c>
      <c r="N293" s="139" cm="1">
        <f t="array" aca="1" ref="N293:AE293" ca="1">IF(OR(B293="",NOT($J$2)),"",GetStripDefaultProbability(A293,B293,Parameter_Date,CDSRollDate,E293:M293,SpreadCurveMaturities,D293,C293,$J$4,$J$6))</f>
        <v>0</v>
      </c>
      <c r="O293" s="165">
        <f ca="1"/>
        <v>4.5291870632833131E-3</v>
      </c>
      <c r="P293" s="165">
        <f ca="1"/>
        <v>1.0398393512738857E-2</v>
      </c>
      <c r="Q293" s="165">
        <f ca="1"/>
        <v>2.7823659838790982E-2</v>
      </c>
      <c r="R293" s="165">
        <f ca="1"/>
        <v>5.0602204102067394E-2</v>
      </c>
      <c r="S293" s="165">
        <f ca="1"/>
        <v>0</v>
      </c>
      <c r="T293" s="165">
        <f ca="1"/>
        <v>0.10456983083317029</v>
      </c>
      <c r="U293" s="165">
        <f ca="1"/>
        <v>0.14751015998122596</v>
      </c>
      <c r="V293" s="140">
        <f ca="1"/>
        <v>0.21040741906188609</v>
      </c>
      <c r="W293" s="139">
        <f ca="1"/>
        <v>0</v>
      </c>
      <c r="X293" s="165">
        <f ca="1"/>
        <v>4.7550528634463518E-3</v>
      </c>
      <c r="Y293" s="165">
        <f ca="1"/>
        <v>1.0915701107775733E-2</v>
      </c>
      <c r="Z293" s="165">
        <f ca="1"/>
        <v>2.9196459478325054E-2</v>
      </c>
      <c r="AA293" s="165">
        <f ca="1"/>
        <v>5.3075181497506563E-2</v>
      </c>
      <c r="AB293" s="165">
        <f ca="1"/>
        <v>0</v>
      </c>
      <c r="AC293" s="165">
        <f ca="1"/>
        <v>0.10956195339662156</v>
      </c>
      <c r="AD293" s="165">
        <f ca="1"/>
        <v>0.15436656483735889</v>
      </c>
      <c r="AE293" s="140">
        <f ca="1"/>
        <v>0.21980191494220624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si="6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8">
        <v>1.3500000000000001E-3</v>
      </c>
      <c r="G294" s="158">
        <v>2.32E-3</v>
      </c>
      <c r="H294" s="158">
        <v>3.8500000000000001E-3</v>
      </c>
      <c r="I294" s="158">
        <v>5.3400000000000001E-3</v>
      </c>
      <c r="J294" s="158" t="s">
        <v>87</v>
      </c>
      <c r="K294" s="158">
        <v>7.1999999999999998E-3</v>
      </c>
      <c r="L294" s="158">
        <v>8.0000000000000002E-3</v>
      </c>
      <c r="M294" s="158">
        <v>8.4499999999999992E-3</v>
      </c>
      <c r="N294" s="139" cm="1">
        <f t="array" aca="1" ref="N294:AE294" ca="1">IF(OR(B294="",NOT($J$2)),"",GetStripDefaultProbability(A294,B294,Parameter_Date,CDSRollDate,E294:M294,SpreadCurveMaturities,D294,C294,$J$4,$J$6))</f>
        <v>0</v>
      </c>
      <c r="O294" s="165">
        <f ca="1"/>
        <v>1.0096408012717495E-3</v>
      </c>
      <c r="P294" s="165">
        <f ca="1"/>
        <v>3.205789148338245E-3</v>
      </c>
      <c r="Q294" s="165">
        <f ca="1"/>
        <v>1.0219471261665558E-2</v>
      </c>
      <c r="R294" s="165">
        <f ca="1"/>
        <v>2.1017505363418065E-2</v>
      </c>
      <c r="S294" s="165">
        <f ca="1"/>
        <v>0</v>
      </c>
      <c r="T294" s="165">
        <f ca="1"/>
        <v>4.6586809793753181E-2</v>
      </c>
      <c r="U294" s="165">
        <f ca="1"/>
        <v>7.1444051615808357E-2</v>
      </c>
      <c r="V294" s="140">
        <f ca="1"/>
        <v>0.10550386434062009</v>
      </c>
      <c r="W294" s="139">
        <f ca="1"/>
        <v>0</v>
      </c>
      <c r="X294" s="165">
        <f ca="1"/>
        <v>1.0843861700547963E-3</v>
      </c>
      <c r="Y294" s="165">
        <f ca="1"/>
        <v>3.3652142505958826E-3</v>
      </c>
      <c r="Z294" s="165">
        <f ca="1"/>
        <v>1.0727513770581787E-2</v>
      </c>
      <c r="AA294" s="165">
        <f ca="1"/>
        <v>2.205881317909586E-2</v>
      </c>
      <c r="AB294" s="165">
        <f ca="1"/>
        <v>0</v>
      </c>
      <c r="AC294" s="165">
        <f ca="1"/>
        <v>4.8865932037996385E-2</v>
      </c>
      <c r="AD294" s="165">
        <f ca="1"/>
        <v>7.4900359737978484E-2</v>
      </c>
      <c r="AE294" s="140">
        <f ca="1"/>
        <v>0.11050164200726975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si="6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8">
        <v>5.6999999999999998E-4</v>
      </c>
      <c r="G295" s="158">
        <v>1.24E-3</v>
      </c>
      <c r="H295" s="158">
        <v>1.9499999999999999E-3</v>
      </c>
      <c r="I295" s="158">
        <v>2.6700000000000001E-3</v>
      </c>
      <c r="J295" s="158" t="s">
        <v>87</v>
      </c>
      <c r="K295" s="158">
        <v>4.0000000000000001E-3</v>
      </c>
      <c r="L295" s="158">
        <v>4.9100000000000003E-3</v>
      </c>
      <c r="M295" s="158">
        <v>6.2899999999999996E-3</v>
      </c>
      <c r="N295" s="139" cm="1">
        <f t="array" aca="1" ref="N295:AE295" ca="1">IF(OR(B295="",NOT($J$2)),"",GetStripDefaultProbability(A295,B295,Parameter_Date,CDSRollDate,E295:M295,SpreadCurveMaturities,D295,C295,$J$4,$J$6))</f>
        <v>0</v>
      </c>
      <c r="O295" s="165">
        <f ca="1"/>
        <v>5.6851542610492078E-4</v>
      </c>
      <c r="P295" s="165">
        <f ca="1"/>
        <v>2.2893400429341293E-3</v>
      </c>
      <c r="Q295" s="165">
        <f ca="1"/>
        <v>6.908810135608956E-3</v>
      </c>
      <c r="R295" s="165">
        <f ca="1"/>
        <v>1.4040288160127257E-2</v>
      </c>
      <c r="S295" s="165">
        <f ca="1"/>
        <v>0</v>
      </c>
      <c r="T295" s="165">
        <f ca="1"/>
        <v>3.4831607138670062E-2</v>
      </c>
      <c r="U295" s="165">
        <f ca="1"/>
        <v>5.9535967853854066E-2</v>
      </c>
      <c r="V295" s="140">
        <f ca="1"/>
        <v>0.10882531938394868</v>
      </c>
      <c r="W295" s="139">
        <f ca="1"/>
        <v>0</v>
      </c>
      <c r="X295" s="165">
        <f ca="1"/>
        <v>6.6822090625728858E-4</v>
      </c>
      <c r="Y295" s="165">
        <f ca="1"/>
        <v>2.4556112966107602E-3</v>
      </c>
      <c r="Z295" s="165">
        <f ca="1"/>
        <v>7.2583758451862934E-3</v>
      </c>
      <c r="AA295" s="165">
        <f ca="1"/>
        <v>1.4734009787775171E-2</v>
      </c>
      <c r="AB295" s="165">
        <f ca="1"/>
        <v>0</v>
      </c>
      <c r="AC295" s="165">
        <f ca="1"/>
        <v>3.6541928157077797E-2</v>
      </c>
      <c r="AD295" s="165">
        <f ca="1"/>
        <v>6.2433855303466901E-2</v>
      </c>
      <c r="AE295" s="140">
        <f ca="1"/>
        <v>0.11403548882772385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si="6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8" t="s">
        <v>87</v>
      </c>
      <c r="G296" s="158">
        <v>6.4400000000000004E-4</v>
      </c>
      <c r="H296" s="158" t="s">
        <v>87</v>
      </c>
      <c r="I296" s="158">
        <v>2.428E-3</v>
      </c>
      <c r="J296" s="158" t="s">
        <v>87</v>
      </c>
      <c r="K296" s="158">
        <v>3.3500000000000001E-3</v>
      </c>
      <c r="L296" s="158">
        <v>4.3699999999999998E-3</v>
      </c>
      <c r="M296" s="158">
        <v>5.3410000000000003E-3</v>
      </c>
      <c r="N296" s="139" cm="1">
        <f t="array" aca="1" ref="N296:AE296" ca="1">IF(OR(B296="",NOT($J$2)),"",GetStripDefaultProbability(A296,B296,Parameter_Date,CDSRollDate,E296:M296,SpreadCurveMaturities,D296,C296,$J$4,$J$6))</f>
        <v>0</v>
      </c>
      <c r="O296" s="165">
        <f ca="1"/>
        <v>0</v>
      </c>
      <c r="P296" s="165">
        <f ca="1"/>
        <v>1.1805839754662761E-3</v>
      </c>
      <c r="Q296" s="165">
        <f ca="1"/>
        <v>0</v>
      </c>
      <c r="R296" s="165">
        <f ca="1"/>
        <v>1.2771984690995941E-2</v>
      </c>
      <c r="S296" s="165">
        <f ca="1"/>
        <v>0</v>
      </c>
      <c r="T296" s="165">
        <f ca="1"/>
        <v>2.9158103646167333E-2</v>
      </c>
      <c r="U296" s="165">
        <f ca="1"/>
        <v>5.3510196393581344E-2</v>
      </c>
      <c r="V296" s="140">
        <f ca="1"/>
        <v>9.3193115424795914E-2</v>
      </c>
      <c r="W296" s="139">
        <f ca="1"/>
        <v>0</v>
      </c>
      <c r="X296" s="165">
        <f ca="1"/>
        <v>0</v>
      </c>
      <c r="Y296" s="165">
        <f ca="1"/>
        <v>1.3470400064176102E-3</v>
      </c>
      <c r="Z296" s="165">
        <f ca="1"/>
        <v>0</v>
      </c>
      <c r="AA296" s="165">
        <f ca="1"/>
        <v>1.3398065165967421E-2</v>
      </c>
      <c r="AB296" s="165">
        <f ca="1"/>
        <v>0</v>
      </c>
      <c r="AC296" s="165">
        <f ca="1"/>
        <v>3.058831884735369E-2</v>
      </c>
      <c r="AD296" s="165">
        <f ca="1"/>
        <v>5.6117262366160992E-2</v>
      </c>
      <c r="AE296" s="140">
        <f ca="1"/>
        <v>9.7676325322896829E-2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si="6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8" t="s">
        <v>87</v>
      </c>
      <c r="G297" s="158">
        <v>6.2399999999999999E-4</v>
      </c>
      <c r="H297" s="158" t="s">
        <v>87</v>
      </c>
      <c r="I297" s="158">
        <v>2.0999999999999999E-3</v>
      </c>
      <c r="J297" s="158" t="s">
        <v>87</v>
      </c>
      <c r="K297" s="158">
        <v>2.5999999999999999E-3</v>
      </c>
      <c r="L297" s="158">
        <v>3.5999999999999999E-3</v>
      </c>
      <c r="M297" s="158">
        <v>4.5999999999999999E-3</v>
      </c>
      <c r="N297" s="139" cm="1">
        <f t="array" aca="1" ref="N297:AE297" ca="1">IF(OR(B297="",NOT($J$2)),"",GetStripDefaultProbability(A297,B297,Parameter_Date,CDSRollDate,E297:M297,SpreadCurveMaturities,D297,C297,$J$4,$J$6))</f>
        <v>0</v>
      </c>
      <c r="O297" s="165">
        <f ca="1"/>
        <v>0</v>
      </c>
      <c r="P297" s="165">
        <f ca="1"/>
        <v>1.1439406954669717E-3</v>
      </c>
      <c r="Q297" s="165">
        <f ca="1"/>
        <v>0</v>
      </c>
      <c r="R297" s="165">
        <f ca="1"/>
        <v>1.1044172949694508E-2</v>
      </c>
      <c r="S297" s="165">
        <f ca="1"/>
        <v>0</v>
      </c>
      <c r="T297" s="165">
        <f ca="1"/>
        <v>2.2544169373425849E-2</v>
      </c>
      <c r="U297" s="165">
        <f ca="1"/>
        <v>4.4332621777589121E-2</v>
      </c>
      <c r="V297" s="140">
        <f ca="1"/>
        <v>8.1316858373338685E-2</v>
      </c>
      <c r="W297" s="139">
        <f ca="1"/>
        <v>0</v>
      </c>
      <c r="X297" s="165">
        <f ca="1"/>
        <v>0</v>
      </c>
      <c r="Y297" s="165">
        <f ca="1"/>
        <v>1.3104028331257789E-3</v>
      </c>
      <c r="Z297" s="165">
        <f ca="1"/>
        <v>0</v>
      </c>
      <c r="AA297" s="165">
        <f ca="1"/>
        <v>1.1584891213684667E-2</v>
      </c>
      <c r="AB297" s="165">
        <f ca="1"/>
        <v>0</v>
      </c>
      <c r="AC297" s="165">
        <f ca="1"/>
        <v>2.3651178615363921E-2</v>
      </c>
      <c r="AD297" s="165">
        <f ca="1"/>
        <v>4.6499650406699677E-2</v>
      </c>
      <c r="AE297" s="140">
        <f ca="1"/>
        <v>8.5228408378050902E-2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si="6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8" t="s">
        <v>87</v>
      </c>
      <c r="G298" s="158">
        <v>1.1999999999999999E-3</v>
      </c>
      <c r="H298" s="158" t="s">
        <v>87</v>
      </c>
      <c r="I298" s="158">
        <v>2E-3</v>
      </c>
      <c r="J298" s="158" t="s">
        <v>87</v>
      </c>
      <c r="K298" s="158">
        <v>3.0000000000000001E-3</v>
      </c>
      <c r="L298" s="158">
        <v>4.0000000000000001E-3</v>
      </c>
      <c r="M298" s="158">
        <v>5.4999999999999997E-3</v>
      </c>
      <c r="N298" s="139" cm="1">
        <f t="array" aca="1" ref="N298:AE298" ca="1">IF(OR(B298="",NOT($J$2)),"",GetStripDefaultProbability(A298,B298,Parameter_Date,CDSRollDate,E298:M298,SpreadCurveMaturities,D298,C298,$J$4,$J$6))</f>
        <v>0</v>
      </c>
      <c r="O298" s="165">
        <f ca="1"/>
        <v>0</v>
      </c>
      <c r="P298" s="165">
        <f ca="1"/>
        <v>2.1987335049910017E-3</v>
      </c>
      <c r="Q298" s="165">
        <f ca="1"/>
        <v>0</v>
      </c>
      <c r="R298" s="165">
        <f ca="1"/>
        <v>1.0436589935145402E-2</v>
      </c>
      <c r="S298" s="165">
        <f ca="1"/>
        <v>0</v>
      </c>
      <c r="T298" s="165">
        <f ca="1"/>
        <v>2.6154392282545347E-2</v>
      </c>
      <c r="U298" s="165">
        <f ca="1"/>
        <v>4.9174899743538059E-2</v>
      </c>
      <c r="V298" s="140">
        <f ca="1"/>
        <v>9.7670776840389384E-2</v>
      </c>
      <c r="W298" s="139">
        <f ca="1"/>
        <v>0</v>
      </c>
      <c r="X298" s="165">
        <f ca="1"/>
        <v>0</v>
      </c>
      <c r="Y298" s="165">
        <f ca="1"/>
        <v>2.3650198584916904E-3</v>
      </c>
      <c r="Z298" s="165">
        <f ca="1"/>
        <v>0</v>
      </c>
      <c r="AA298" s="165">
        <f ca="1"/>
        <v>1.0951142181454654E-2</v>
      </c>
      <c r="AB298" s="165">
        <f ca="1"/>
        <v>0</v>
      </c>
      <c r="AC298" s="165">
        <f ca="1"/>
        <v>2.7441969452412951E-2</v>
      </c>
      <c r="AD298" s="165">
        <f ca="1"/>
        <v>5.1579181457340528E-2</v>
      </c>
      <c r="AE298" s="140">
        <f ca="1"/>
        <v>0.1023814730103989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si="6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8" t="s">
        <v>87</v>
      </c>
      <c r="G299" s="158">
        <v>1.1999999999999999E-3</v>
      </c>
      <c r="H299" s="158" t="s">
        <v>87</v>
      </c>
      <c r="I299" s="158">
        <v>2E-3</v>
      </c>
      <c r="J299" s="158" t="s">
        <v>87</v>
      </c>
      <c r="K299" s="158">
        <v>3.0000000000000001E-3</v>
      </c>
      <c r="L299" s="158">
        <v>4.0000000000000001E-3</v>
      </c>
      <c r="M299" s="158">
        <v>5.4999999999999997E-3</v>
      </c>
      <c r="N299" s="139" cm="1">
        <f t="array" aca="1" ref="N299:AE299" ca="1">IF(OR(B299="",NOT($J$2)),"",GetStripDefaultProbability(A299,B299,Parameter_Date,CDSRollDate,E299:M299,SpreadCurveMaturities,D299,C299,$J$4,$J$6))</f>
        <v>0</v>
      </c>
      <c r="O299" s="165">
        <f ca="1"/>
        <v>0</v>
      </c>
      <c r="P299" s="165">
        <f ca="1"/>
        <v>2.1987335049910017E-3</v>
      </c>
      <c r="Q299" s="165">
        <f ca="1"/>
        <v>0</v>
      </c>
      <c r="R299" s="165">
        <f ca="1"/>
        <v>1.0436589935145402E-2</v>
      </c>
      <c r="S299" s="165">
        <f ca="1"/>
        <v>0</v>
      </c>
      <c r="T299" s="165">
        <f ca="1"/>
        <v>2.6154392282545347E-2</v>
      </c>
      <c r="U299" s="165">
        <f ca="1"/>
        <v>4.9174899743538059E-2</v>
      </c>
      <c r="V299" s="140">
        <f ca="1"/>
        <v>9.7670776840389384E-2</v>
      </c>
      <c r="W299" s="139">
        <f ca="1"/>
        <v>0</v>
      </c>
      <c r="X299" s="165">
        <f ca="1"/>
        <v>0</v>
      </c>
      <c r="Y299" s="165">
        <f ca="1"/>
        <v>2.3650198584916904E-3</v>
      </c>
      <c r="Z299" s="165">
        <f ca="1"/>
        <v>0</v>
      </c>
      <c r="AA299" s="165">
        <f ca="1"/>
        <v>1.0951142181454654E-2</v>
      </c>
      <c r="AB299" s="165">
        <f ca="1"/>
        <v>0</v>
      </c>
      <c r="AC299" s="165">
        <f ca="1"/>
        <v>2.7441969452412951E-2</v>
      </c>
      <c r="AD299" s="165">
        <f ca="1"/>
        <v>5.1579181457340528E-2</v>
      </c>
      <c r="AE299" s="140">
        <f ca="1"/>
        <v>0.1023814730103989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si="6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8" t="s">
        <v>87</v>
      </c>
      <c r="G300" s="158">
        <v>4.8799999999999999E-4</v>
      </c>
      <c r="H300" s="158" t="s">
        <v>87</v>
      </c>
      <c r="I300" s="158">
        <v>1.9499999999999999E-3</v>
      </c>
      <c r="J300" s="158" t="s">
        <v>87</v>
      </c>
      <c r="K300" s="158">
        <v>2.65E-3</v>
      </c>
      <c r="L300" s="158">
        <v>3.5500000000000002E-3</v>
      </c>
      <c r="M300" s="158">
        <v>4.5500000000000002E-3</v>
      </c>
      <c r="N300" s="139" cm="1">
        <f t="array" aca="1" ref="N300:AE300" ca="1">IF(OR(B300="",NOT($J$2)),"",GetStripDefaultProbability(A300,B300,Parameter_Date,CDSRollDate,E300:M300,SpreadCurveMaturities,D300,C300,$J$4,$J$6))</f>
        <v>0</v>
      </c>
      <c r="O300" s="165">
        <f ca="1"/>
        <v>0</v>
      </c>
      <c r="P300" s="165">
        <f ca="1"/>
        <v>8.9473101553383394E-4</v>
      </c>
      <c r="Q300" s="165">
        <f ca="1"/>
        <v>0</v>
      </c>
      <c r="R300" s="165">
        <f ca="1"/>
        <v>1.0270878967562069E-2</v>
      </c>
      <c r="S300" s="165">
        <f ca="1"/>
        <v>0</v>
      </c>
      <c r="T300" s="165">
        <f ca="1"/>
        <v>2.3103931503256958E-2</v>
      </c>
      <c r="U300" s="165">
        <f ca="1"/>
        <v>4.3721326713514919E-2</v>
      </c>
      <c r="V300" s="140">
        <f ca="1"/>
        <v>8.048953358534483E-2</v>
      </c>
      <c r="W300" s="139">
        <f ca="1"/>
        <v>0</v>
      </c>
      <c r="X300" s="165">
        <f ca="1"/>
        <v>0</v>
      </c>
      <c r="Y300" s="165">
        <f ca="1"/>
        <v>1.061234684663459E-3</v>
      </c>
      <c r="Z300" s="165">
        <f ca="1"/>
        <v>0</v>
      </c>
      <c r="AA300" s="165">
        <f ca="1"/>
        <v>1.0785690796685343E-2</v>
      </c>
      <c r="AB300" s="165">
        <f ca="1"/>
        <v>0</v>
      </c>
      <c r="AC300" s="165">
        <f ca="1"/>
        <v>2.4236280566900414E-2</v>
      </c>
      <c r="AD300" s="165">
        <f ca="1"/>
        <v>4.5856908142060782E-2</v>
      </c>
      <c r="AE300" s="140">
        <f ca="1"/>
        <v>8.4360312329843645E-2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si="6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8" t="s">
        <v>87</v>
      </c>
      <c r="G301" s="158">
        <v>7.2199999999999999E-4</v>
      </c>
      <c r="H301" s="158" t="s">
        <v>87</v>
      </c>
      <c r="I301" s="158">
        <v>1.7849999999999999E-3</v>
      </c>
      <c r="J301" s="158" t="s">
        <v>87</v>
      </c>
      <c r="K301" s="158">
        <v>2.5500000000000002E-3</v>
      </c>
      <c r="L301" s="158">
        <v>3.4719999999999998E-3</v>
      </c>
      <c r="M301" s="158">
        <v>4.3400000000000001E-3</v>
      </c>
      <c r="N301" s="139" cm="1">
        <f t="array" aca="1" ref="N301:AE301" ca="1">IF(OR(B301="",NOT($J$2)),"",GetStripDefaultProbability(A301,B301,Parameter_Date,CDSRollDate,E301:M301,SpreadCurveMaturities,D301,C301,$J$4,$J$6))</f>
        <v>0</v>
      </c>
      <c r="O301" s="165">
        <f ca="1"/>
        <v>0</v>
      </c>
      <c r="P301" s="165">
        <f ca="1"/>
        <v>1.3234800244379397E-3</v>
      </c>
      <c r="Q301" s="165">
        <f ca="1"/>
        <v>0</v>
      </c>
      <c r="R301" s="165">
        <f ca="1"/>
        <v>9.3669397603795002E-3</v>
      </c>
      <c r="S301" s="165">
        <f ca="1"/>
        <v>0</v>
      </c>
      <c r="T301" s="165">
        <f ca="1"/>
        <v>2.2256495398894072E-2</v>
      </c>
      <c r="U301" s="165">
        <f ca="1"/>
        <v>4.2856805254518848E-2</v>
      </c>
      <c r="V301" s="140">
        <f ca="1"/>
        <v>7.6675032126809928E-2</v>
      </c>
      <c r="W301" s="139">
        <f ca="1"/>
        <v>0</v>
      </c>
      <c r="X301" s="165">
        <f ca="1"/>
        <v>0</v>
      </c>
      <c r="Y301" s="165">
        <f ca="1"/>
        <v>1.4899122413717381E-3</v>
      </c>
      <c r="Z301" s="165">
        <f ca="1"/>
        <v>0</v>
      </c>
      <c r="AA301" s="165">
        <f ca="1"/>
        <v>9.8822011832864209E-3</v>
      </c>
      <c r="AB301" s="165">
        <f ca="1"/>
        <v>0</v>
      </c>
      <c r="AC301" s="165">
        <f ca="1"/>
        <v>2.3344214474676828E-2</v>
      </c>
      <c r="AD301" s="165">
        <f ca="1"/>
        <v>4.4947894239127262E-2</v>
      </c>
      <c r="AE301" s="140">
        <f ca="1"/>
        <v>8.0365433859603264E-2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si="6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8">
        <v>5.9999999999999995E-4</v>
      </c>
      <c r="G302" s="158">
        <v>5.9999999999999995E-4</v>
      </c>
      <c r="H302" s="158">
        <v>1.1999999999999999E-3</v>
      </c>
      <c r="I302" s="158">
        <v>1.8E-3</v>
      </c>
      <c r="J302" s="158" t="s">
        <v>87</v>
      </c>
      <c r="K302" s="158">
        <v>2.8999999999999998E-3</v>
      </c>
      <c r="L302" s="158">
        <v>3.5000000000000001E-3</v>
      </c>
      <c r="M302" s="158">
        <v>4.4999999999999997E-3</v>
      </c>
      <c r="N302" s="139" cm="1">
        <f t="array" aca="1" ref="N302:AE302" ca="1">IF(OR(B302="",NOT($J$2)),"",GetStripDefaultProbability(A302,B302,Parameter_Date,CDSRollDate,E302:M302,SpreadCurveMaturities,D302,C302,$J$4,$J$6))</f>
        <v>0</v>
      </c>
      <c r="O302" s="165">
        <f ca="1"/>
        <v>5.9842836468415594E-4</v>
      </c>
      <c r="P302" s="165">
        <f ca="1"/>
        <v>1.0999513735518995E-3</v>
      </c>
      <c r="Q302" s="165">
        <f ca="1"/>
        <v>4.2596939824618429E-3</v>
      </c>
      <c r="R302" s="165">
        <f ca="1"/>
        <v>9.5098948316695298E-3</v>
      </c>
      <c r="S302" s="165">
        <f ca="1"/>
        <v>0</v>
      </c>
      <c r="T302" s="165">
        <f ca="1"/>
        <v>2.5445632639098936E-2</v>
      </c>
      <c r="U302" s="165">
        <f ca="1"/>
        <v>4.2750354457805173E-2</v>
      </c>
      <c r="V302" s="140">
        <f ca="1"/>
        <v>7.8846014269037146E-2</v>
      </c>
      <c r="W302" s="139">
        <f ca="1"/>
        <v>0</v>
      </c>
      <c r="X302" s="165">
        <f ca="1"/>
        <v>6.9813078535330142E-4</v>
      </c>
      <c r="Y302" s="165">
        <f ca="1"/>
        <v>1.2664208421503398E-3</v>
      </c>
      <c r="Z302" s="165">
        <f ca="1"/>
        <v>4.6101181502811173E-3</v>
      </c>
      <c r="AA302" s="165">
        <f ca="1"/>
        <v>1.0025179929636363E-2</v>
      </c>
      <c r="AB302" s="165">
        <f ca="1"/>
        <v>0</v>
      </c>
      <c r="AC302" s="165">
        <f ca="1"/>
        <v>2.6687176778992572E-2</v>
      </c>
      <c r="AD302" s="165">
        <f ca="1"/>
        <v>4.4833160928800964E-2</v>
      </c>
      <c r="AE302" s="140">
        <f ca="1"/>
        <v>8.2634105503972211E-2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si="6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8" t="s">
        <v>87</v>
      </c>
      <c r="G303" s="158">
        <v>6.5200000000000002E-4</v>
      </c>
      <c r="H303" s="158" t="s">
        <v>87</v>
      </c>
      <c r="I303" s="158">
        <v>1.8649999999999999E-3</v>
      </c>
      <c r="J303" s="158" t="s">
        <v>87</v>
      </c>
      <c r="K303" s="158">
        <v>2.7000000000000001E-3</v>
      </c>
      <c r="L303" s="158">
        <v>3.3869999999999998E-3</v>
      </c>
      <c r="M303" s="158">
        <v>4.0249999999999999E-3</v>
      </c>
      <c r="N303" s="139" cm="1">
        <f t="array" aca="1" ref="N303:AE303" ca="1">IF(OR(B303="",NOT($J$2)),"",GetStripDefaultProbability(A303,B303,Parameter_Date,CDSRollDate,E303:M303,SpreadCurveMaturities,D303,C303,$J$4,$J$6))</f>
        <v>0</v>
      </c>
      <c r="O303" s="165">
        <f ca="1"/>
        <v>0</v>
      </c>
      <c r="P303" s="165">
        <f ca="1"/>
        <v>1.1952409140203457E-3</v>
      </c>
      <c r="Q303" s="165">
        <f ca="1"/>
        <v>0</v>
      </c>
      <c r="R303" s="165">
        <f ca="1"/>
        <v>9.7992467275087591E-3</v>
      </c>
      <c r="S303" s="165">
        <f ca="1"/>
        <v>0</v>
      </c>
      <c r="T303" s="165">
        <f ca="1"/>
        <v>2.3584432385843734E-2</v>
      </c>
      <c r="U303" s="165">
        <f ca="1"/>
        <v>4.1527631938355403E-2</v>
      </c>
      <c r="V303" s="140">
        <f ca="1"/>
        <v>7.0415866050380416E-2</v>
      </c>
      <c r="W303" s="139">
        <f ca="1"/>
        <v>0</v>
      </c>
      <c r="X303" s="165">
        <f ca="1"/>
        <v>0</v>
      </c>
      <c r="Y303" s="165">
        <f ca="1"/>
        <v>1.3616945023686711E-3</v>
      </c>
      <c r="Z303" s="165">
        <f ca="1"/>
        <v>0</v>
      </c>
      <c r="AA303" s="165">
        <f ca="1"/>
        <v>1.0314286903018721E-2</v>
      </c>
      <c r="AB303" s="165">
        <f ca="1"/>
        <v>0</v>
      </c>
      <c r="AC303" s="165">
        <f ca="1"/>
        <v>2.4739016583734119E-2</v>
      </c>
      <c r="AD303" s="165">
        <f ca="1"/>
        <v>4.3555606876849007E-2</v>
      </c>
      <c r="AE303" s="140">
        <f ca="1"/>
        <v>7.3812317580143172E-2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si="6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8">
        <v>5.0000000000000001E-4</v>
      </c>
      <c r="G304" s="158">
        <v>5.0000000000000001E-4</v>
      </c>
      <c r="H304" s="158">
        <v>1E-3</v>
      </c>
      <c r="I304" s="158">
        <v>1.5E-3</v>
      </c>
      <c r="J304" s="158" t="s">
        <v>87</v>
      </c>
      <c r="K304" s="158">
        <v>2.5999999999999999E-3</v>
      </c>
      <c r="L304" s="158">
        <v>3.3E-3</v>
      </c>
      <c r="M304" s="158">
        <v>4.0000000000000001E-3</v>
      </c>
      <c r="N304" s="139" cm="1">
        <f t="array" aca="1" ref="N304:AE304" ca="1">IF(OR(B304="",NOT($J$2)),"",GetStripDefaultProbability(A304,B304,Parameter_Date,CDSRollDate,E304:M304,SpreadCurveMaturities,D304,C304,$J$4,$J$6))</f>
        <v>0</v>
      </c>
      <c r="O304" s="165">
        <f ca="1"/>
        <v>4.9871509903820499E-4</v>
      </c>
      <c r="P304" s="165">
        <f ca="1"/>
        <v>9.1671021619554871E-4</v>
      </c>
      <c r="Q304" s="165">
        <f ca="1"/>
        <v>3.5506624095835715E-3</v>
      </c>
      <c r="R304" s="165">
        <f ca="1"/>
        <v>7.929191080514375E-3</v>
      </c>
      <c r="S304" s="165">
        <f ca="1"/>
        <v>0</v>
      </c>
      <c r="T304" s="165">
        <f ca="1"/>
        <v>2.2895266955082372E-2</v>
      </c>
      <c r="U304" s="165">
        <f ca="1"/>
        <v>4.0577669104720049E-2</v>
      </c>
      <c r="V304" s="140">
        <f ca="1"/>
        <v>6.9995631882068698E-2</v>
      </c>
      <c r="W304" s="139">
        <f ca="1"/>
        <v>0</v>
      </c>
      <c r="X304" s="165">
        <f ca="1"/>
        <v>5.9842770240881027E-4</v>
      </c>
      <c r="Y304" s="165">
        <f ca="1"/>
        <v>1.0832102224404005E-3</v>
      </c>
      <c r="Z304" s="165">
        <f ca="1"/>
        <v>3.9013094122740677E-3</v>
      </c>
      <c r="AA304" s="165">
        <f ca="1"/>
        <v>8.4451917999233128E-3</v>
      </c>
      <c r="AB304" s="165">
        <f ca="1"/>
        <v>0</v>
      </c>
      <c r="AC304" s="165">
        <f ca="1"/>
        <v>2.4004123184332204E-2</v>
      </c>
      <c r="AD304" s="165">
        <f ca="1"/>
        <v>4.2548525280244665E-2</v>
      </c>
      <c r="AE304" s="140">
        <f ca="1"/>
        <v>7.3362815821720107E-2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si="6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8">
        <v>4.0000000000000002E-4</v>
      </c>
      <c r="G305" s="158">
        <v>5.9999999999999995E-4</v>
      </c>
      <c r="H305" s="158">
        <v>1.1000000000000001E-3</v>
      </c>
      <c r="I305" s="158">
        <v>1.4E-3</v>
      </c>
      <c r="J305" s="158" t="s">
        <v>87</v>
      </c>
      <c r="K305" s="158">
        <v>2.3999999999999998E-3</v>
      </c>
      <c r="L305" s="158">
        <v>3.2000000000000002E-3</v>
      </c>
      <c r="M305" s="158">
        <v>4.1000000000000003E-3</v>
      </c>
      <c r="N305" s="139" cm="1">
        <f t="array" aca="1" ref="N305:AE305" ca="1">IF(OR(B305="",NOT($J$2)),"",GetStripDefaultProbability(A305,B305,Parameter_Date,CDSRollDate,E305:M305,SpreadCurveMaturities,D305,C305,$J$4,$J$6))</f>
        <v>0</v>
      </c>
      <c r="O305" s="165">
        <f ca="1"/>
        <v>3.9899191733294703E-4</v>
      </c>
      <c r="P305" s="165">
        <f ca="1"/>
        <v>1.1050422662570725E-3</v>
      </c>
      <c r="Q305" s="165">
        <f ca="1"/>
        <v>3.9059442282841639E-3</v>
      </c>
      <c r="R305" s="165">
        <f ca="1"/>
        <v>7.367549383478833E-3</v>
      </c>
      <c r="S305" s="165">
        <f ca="1"/>
        <v>0</v>
      </c>
      <c r="T305" s="165">
        <f ca="1"/>
        <v>2.1102578673684591E-2</v>
      </c>
      <c r="U305" s="165">
        <f ca="1"/>
        <v>3.9472286722740391E-2</v>
      </c>
      <c r="V305" s="140">
        <f ca="1"/>
        <v>7.2323261073786949E-2</v>
      </c>
      <c r="W305" s="139">
        <f ca="1"/>
        <v>0</v>
      </c>
      <c r="X305" s="165">
        <f ca="1"/>
        <v>4.9871465885786836E-4</v>
      </c>
      <c r="Y305" s="165">
        <f ca="1"/>
        <v>1.2715108864457259E-3</v>
      </c>
      <c r="Z305" s="165">
        <f ca="1"/>
        <v>4.2564843066109637E-3</v>
      </c>
      <c r="AA305" s="165">
        <f ca="1"/>
        <v>7.8836899302602292E-3</v>
      </c>
      <c r="AB305" s="165">
        <f ca="1"/>
        <v>0</v>
      </c>
      <c r="AC305" s="165">
        <f ca="1"/>
        <v>2.2122530638855609E-2</v>
      </c>
      <c r="AD305" s="165">
        <f ca="1"/>
        <v>4.1389047160634851E-2</v>
      </c>
      <c r="AE305" s="140">
        <f ca="1"/>
        <v>7.580096214437837E-2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si="6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8" t="s">
        <v>87</v>
      </c>
      <c r="G306" s="158">
        <v>3.8699999999999997E-4</v>
      </c>
      <c r="H306" s="158" t="s">
        <v>87</v>
      </c>
      <c r="I306" s="158">
        <v>1.2999999999999999E-3</v>
      </c>
      <c r="J306" s="158" t="s">
        <v>87</v>
      </c>
      <c r="K306" s="158">
        <v>2E-3</v>
      </c>
      <c r="L306" s="158">
        <v>3.0999999999999999E-3</v>
      </c>
      <c r="M306" s="158">
        <v>3.5999999999999999E-3</v>
      </c>
      <c r="N306" s="139" cm="1">
        <f t="array" aca="1" ref="N306:AE306" ca="1">IF(OR(B306="",NOT($J$2)),"",GetStripDefaultProbability(A306,B306,Parameter_Date,CDSRollDate,E306:M306,SpreadCurveMaturities,D306,C306,$J$4,$J$6))</f>
        <v>0</v>
      </c>
      <c r="O306" s="165">
        <f ca="1"/>
        <v>0</v>
      </c>
      <c r="P306" s="165">
        <f ca="1"/>
        <v>7.0961625738730216E-4</v>
      </c>
      <c r="Q306" s="165">
        <f ca="1"/>
        <v>0</v>
      </c>
      <c r="R306" s="165">
        <f ca="1"/>
        <v>6.8472971647529635E-3</v>
      </c>
      <c r="S306" s="165">
        <f ca="1"/>
        <v>0</v>
      </c>
      <c r="T306" s="165">
        <f ca="1"/>
        <v>1.7568325529413675E-2</v>
      </c>
      <c r="U306" s="165">
        <f ca="1"/>
        <v>3.8830664949498717E-2</v>
      </c>
      <c r="V306" s="140">
        <f ca="1"/>
        <v>6.3696123086610101E-2</v>
      </c>
      <c r="W306" s="139">
        <f ca="1"/>
        <v>0</v>
      </c>
      <c r="X306" s="165">
        <f ca="1"/>
        <v>0</v>
      </c>
      <c r="Y306" s="165">
        <f ca="1"/>
        <v>8.7615077640779138E-4</v>
      </c>
      <c r="Z306" s="165">
        <f ca="1"/>
        <v>0</v>
      </c>
      <c r="AA306" s="165">
        <f ca="1"/>
        <v>7.3639912616181302E-3</v>
      </c>
      <c r="AB306" s="165">
        <f ca="1"/>
        <v>0</v>
      </c>
      <c r="AC306" s="165">
        <f ca="1"/>
        <v>1.8410311125003576E-2</v>
      </c>
      <c r="AD306" s="165">
        <f ca="1"/>
        <v>4.0712538814303367E-2</v>
      </c>
      <c r="AE306" s="140">
        <f ca="1"/>
        <v>6.6763812767899555E-2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si="6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8">
        <v>4.0000000000000002E-4</v>
      </c>
      <c r="G307" s="158">
        <v>8.9999999999999998E-4</v>
      </c>
      <c r="H307" s="158">
        <v>1.4E-3</v>
      </c>
      <c r="I307" s="158">
        <v>1.6999999999999999E-3</v>
      </c>
      <c r="J307" s="158" t="s">
        <v>87</v>
      </c>
      <c r="K307" s="158">
        <v>2.5000000000000001E-3</v>
      </c>
      <c r="L307" s="158">
        <v>2.8999999999999998E-3</v>
      </c>
      <c r="M307" s="158">
        <v>3.3999999999999998E-3</v>
      </c>
      <c r="N307" s="139" cm="1">
        <f t="array" aca="1" ref="N307:AE307" ca="1">IF(OR(B307="",NOT($J$2)),"",GetStripDefaultProbability(A307,B307,Parameter_Date,CDSRollDate,E307:M307,SpreadCurveMaturities,D307,C307,$J$4,$J$6))</f>
        <v>0</v>
      </c>
      <c r="O307" s="165">
        <f ca="1"/>
        <v>3.9899191733294703E-4</v>
      </c>
      <c r="P307" s="165">
        <f ca="1"/>
        <v>1.6623360744073556E-3</v>
      </c>
      <c r="Q307" s="165">
        <f ca="1"/>
        <v>4.9634166586608464E-3</v>
      </c>
      <c r="R307" s="165">
        <f ca="1"/>
        <v>8.9214823789062203E-3</v>
      </c>
      <c r="S307" s="165">
        <f ca="1"/>
        <v>0</v>
      </c>
      <c r="T307" s="165">
        <f ca="1"/>
        <v>2.1818943607468277E-2</v>
      </c>
      <c r="U307" s="165">
        <f ca="1"/>
        <v>3.5249917796905228E-2</v>
      </c>
      <c r="V307" s="140">
        <f ca="1"/>
        <v>5.8992090480950554E-2</v>
      </c>
      <c r="W307" s="139">
        <f ca="1"/>
        <v>0</v>
      </c>
      <c r="X307" s="165">
        <f ca="1"/>
        <v>4.9871465885786836E-4</v>
      </c>
      <c r="Y307" s="165">
        <f ca="1"/>
        <v>1.828711820033968E-3</v>
      </c>
      <c r="Z307" s="165">
        <f ca="1"/>
        <v>5.3136084339350242E-3</v>
      </c>
      <c r="AA307" s="165">
        <f ca="1"/>
        <v>9.4368366857953134E-3</v>
      </c>
      <c r="AB307" s="165">
        <f ca="1"/>
        <v>0</v>
      </c>
      <c r="AC307" s="165">
        <f ca="1"/>
        <v>2.2883011176162316E-2</v>
      </c>
      <c r="AD307" s="165">
        <f ca="1"/>
        <v>3.6969309376854831E-2</v>
      </c>
      <c r="AE307" s="140">
        <f ca="1"/>
        <v>6.1845517136780548E-2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si="6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8">
        <v>5.0000000000000001E-4</v>
      </c>
      <c r="G308" s="158">
        <v>6.9999999999999999E-4</v>
      </c>
      <c r="H308" s="158">
        <v>1.1000000000000001E-3</v>
      </c>
      <c r="I308" s="158">
        <v>1.6000000000000001E-3</v>
      </c>
      <c r="J308" s="158" t="s">
        <v>87</v>
      </c>
      <c r="K308" s="158">
        <v>2.3E-3</v>
      </c>
      <c r="L308" s="158">
        <v>2.8999999999999998E-3</v>
      </c>
      <c r="M308" s="158">
        <v>3.7000000000000002E-3</v>
      </c>
      <c r="N308" s="139" cm="1">
        <f t="array" aca="1" ref="N308:AE308" ca="1">IF(OR(B308="",NOT($J$2)),"",GetStripDefaultProbability(A308,B308,Parameter_Date,CDSRollDate,E308:M308,SpreadCurveMaturities,D308,C308,$J$4,$J$6))</f>
        <v>0</v>
      </c>
      <c r="O308" s="165">
        <f ca="1"/>
        <v>4.9871509903820499E-4</v>
      </c>
      <c r="P308" s="165">
        <f ca="1"/>
        <v>1.2882676916461389E-3</v>
      </c>
      <c r="Q308" s="165">
        <f ca="1"/>
        <v>3.8970319743173443E-3</v>
      </c>
      <c r="R308" s="165">
        <f ca="1"/>
        <v>8.4408919073252209E-3</v>
      </c>
      <c r="S308" s="165">
        <f ca="1"/>
        <v>0</v>
      </c>
      <c r="T308" s="165">
        <f ca="1"/>
        <v>2.0108954554090119E-2</v>
      </c>
      <c r="U308" s="165">
        <f ca="1"/>
        <v>3.553734596858904E-2</v>
      </c>
      <c r="V308" s="140">
        <f ca="1"/>
        <v>6.5112371862175E-2</v>
      </c>
      <c r="W308" s="139">
        <f ca="1"/>
        <v>0</v>
      </c>
      <c r="X308" s="165">
        <f ca="1"/>
        <v>5.9842770240881027E-4</v>
      </c>
      <c r="Y308" s="165">
        <f ca="1"/>
        <v>1.4547057767978488E-3</v>
      </c>
      <c r="Z308" s="165">
        <f ca="1"/>
        <v>4.2475452092268773E-3</v>
      </c>
      <c r="AA308" s="165">
        <f ca="1"/>
        <v>8.9566085136073559E-3</v>
      </c>
      <c r="AB308" s="165">
        <f ca="1"/>
        <v>0</v>
      </c>
      <c r="AC308" s="165">
        <f ca="1"/>
        <v>2.1084344451615111E-2</v>
      </c>
      <c r="AD308" s="165">
        <f ca="1"/>
        <v>3.7266669435872424E-2</v>
      </c>
      <c r="AE308" s="140">
        <f ca="1"/>
        <v>6.8253594637474158E-2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si="6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8">
        <v>4.0000000000000002E-4</v>
      </c>
      <c r="G309" s="158">
        <v>5.0000000000000001E-4</v>
      </c>
      <c r="H309" s="158">
        <v>8.9999999999999998E-4</v>
      </c>
      <c r="I309" s="158">
        <v>1.4E-3</v>
      </c>
      <c r="J309" s="158" t="s">
        <v>87</v>
      </c>
      <c r="K309" s="158">
        <v>2.0999999999999999E-3</v>
      </c>
      <c r="L309" s="158">
        <v>2.8E-3</v>
      </c>
      <c r="M309" s="158">
        <v>3.3999999999999998E-3</v>
      </c>
      <c r="N309" s="139" cm="1">
        <f t="array" aca="1" ref="N309:AE309" ca="1">IF(OR(B309="",NOT($J$2)),"",GetStripDefaultProbability(A309,B309,Parameter_Date,CDSRollDate,E309:M309,SpreadCurveMaturities,D309,C309,$J$4,$J$6))</f>
        <v>0</v>
      </c>
      <c r="O309" s="165">
        <f ca="1"/>
        <v>3.9899191733294703E-4</v>
      </c>
      <c r="P309" s="165">
        <f ca="1"/>
        <v>9.192466160231616E-4</v>
      </c>
      <c r="Q309" s="165">
        <f ca="1"/>
        <v>3.1941551440102245E-3</v>
      </c>
      <c r="R309" s="165">
        <f ca="1"/>
        <v>7.4070438774141989E-3</v>
      </c>
      <c r="S309" s="165">
        <f ca="1"/>
        <v>0</v>
      </c>
      <c r="T309" s="165">
        <f ca="1"/>
        <v>1.8423831267614488E-2</v>
      </c>
      <c r="U309" s="165">
        <f ca="1"/>
        <v>3.4537838502330165E-2</v>
      </c>
      <c r="V309" s="140">
        <f ca="1"/>
        <v>5.9774523780821154E-2</v>
      </c>
      <c r="W309" s="139">
        <f ca="1"/>
        <v>0</v>
      </c>
      <c r="X309" s="165">
        <f ca="1"/>
        <v>4.9871465885786836E-4</v>
      </c>
      <c r="Y309" s="165">
        <f ca="1"/>
        <v>1.0857461995669171E-3</v>
      </c>
      <c r="Z309" s="165">
        <f ca="1"/>
        <v>3.5449078332008277E-3</v>
      </c>
      <c r="AA309" s="165">
        <f ca="1"/>
        <v>7.9232951603498414E-3</v>
      </c>
      <c r="AB309" s="165">
        <f ca="1"/>
        <v>0</v>
      </c>
      <c r="AC309" s="165">
        <f ca="1"/>
        <v>1.9310310418790499E-2</v>
      </c>
      <c r="AD309" s="165">
        <f ca="1"/>
        <v>3.6213040734995428E-2</v>
      </c>
      <c r="AE309" s="140">
        <f ca="1"/>
        <v>6.2657701252005427E-2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si="6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8">
        <v>5.0000000000000001E-4</v>
      </c>
      <c r="G310" s="158">
        <v>5.9999999999999995E-4</v>
      </c>
      <c r="H310" s="158">
        <v>1.1999999999999999E-3</v>
      </c>
      <c r="I310" s="158">
        <v>1.6000000000000001E-3</v>
      </c>
      <c r="J310" s="158" t="s">
        <v>87</v>
      </c>
      <c r="K310" s="158">
        <v>2.3E-3</v>
      </c>
      <c r="L310" s="158">
        <v>2.7000000000000001E-3</v>
      </c>
      <c r="M310" s="158">
        <v>3.3E-3</v>
      </c>
      <c r="N310" s="139" cm="1">
        <f t="array" aca="1" ref="N310:AE310" ca="1">IF(OR(B310="",NOT($J$2)),"",GetStripDefaultProbability(A310,B310,Parameter_Date,CDSRollDate,E310:M310,SpreadCurveMaturities,D310,C310,$J$4,$J$6))</f>
        <v>0</v>
      </c>
      <c r="O310" s="165">
        <f ca="1"/>
        <v>4.9871509903820499E-4</v>
      </c>
      <c r="P310" s="165">
        <f ca="1"/>
        <v>1.1024967160709886E-3</v>
      </c>
      <c r="Q310" s="165">
        <f ca="1"/>
        <v>4.2622910490883736E-3</v>
      </c>
      <c r="R310" s="165">
        <f ca="1"/>
        <v>8.4306434500879268E-3</v>
      </c>
      <c r="S310" s="165">
        <f ca="1"/>
        <v>0</v>
      </c>
      <c r="T310" s="165">
        <f ca="1"/>
        <v>2.0098519314619478E-2</v>
      </c>
      <c r="U310" s="165">
        <f ca="1"/>
        <v>3.2898378358151348E-2</v>
      </c>
      <c r="V310" s="140">
        <f ca="1"/>
        <v>5.7680257906873922E-2</v>
      </c>
      <c r="W310" s="139">
        <f ca="1"/>
        <v>0</v>
      </c>
      <c r="X310" s="165">
        <f ca="1"/>
        <v>5.9842770240881027E-4</v>
      </c>
      <c r="Y310" s="165">
        <f ca="1"/>
        <v>1.268965760482299E-3</v>
      </c>
      <c r="Z310" s="165">
        <f ca="1"/>
        <v>4.6127239866569081E-3</v>
      </c>
      <c r="AA310" s="165">
        <f ca="1"/>
        <v>8.946337702795959E-3</v>
      </c>
      <c r="AB310" s="165">
        <f ca="1"/>
        <v>0</v>
      </c>
      <c r="AC310" s="165">
        <f ca="1"/>
        <v>2.1073872165082497E-2</v>
      </c>
      <c r="AD310" s="165">
        <f ca="1"/>
        <v>3.4499407390136239E-2</v>
      </c>
      <c r="AE310" s="140">
        <f ca="1"/>
        <v>6.046849681826405E-2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si="6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8">
        <v>2.9999999999999997E-4</v>
      </c>
      <c r="G311" s="158">
        <v>5.0000000000000001E-4</v>
      </c>
      <c r="H311" s="158">
        <v>8.9999999999999998E-4</v>
      </c>
      <c r="I311" s="158">
        <v>1.2999999999999999E-3</v>
      </c>
      <c r="J311" s="158" t="s">
        <v>87</v>
      </c>
      <c r="K311" s="158">
        <v>2.0999999999999999E-3</v>
      </c>
      <c r="L311" s="158">
        <v>2.7000000000000001E-3</v>
      </c>
      <c r="M311" s="158">
        <v>3.3999999999999998E-3</v>
      </c>
      <c r="N311" s="139" cm="1">
        <f t="array" aca="1" ref="N311:AE311" ca="1">IF(OR(B311="",NOT($J$2)),"",GetStripDefaultProbability(A311,B311,Parameter_Date,CDSRollDate,E311:M311,SpreadCurveMaturities,D311,C311,$J$4,$J$6))</f>
        <v>0</v>
      </c>
      <c r="O311" s="165">
        <f ca="1"/>
        <v>2.9925881803194443E-4</v>
      </c>
      <c r="P311" s="165">
        <f ca="1"/>
        <v>9.2178322277725044E-4</v>
      </c>
      <c r="Q311" s="165">
        <f ca="1"/>
        <v>3.1967258936865806E-3</v>
      </c>
      <c r="R311" s="165">
        <f ca="1"/>
        <v>6.8681704376506447E-3</v>
      </c>
      <c r="S311" s="165">
        <f ca="1"/>
        <v>0</v>
      </c>
      <c r="T311" s="165">
        <f ca="1"/>
        <v>1.8465424945636411E-2</v>
      </c>
      <c r="U311" s="165">
        <f ca="1"/>
        <v>3.3264400645788395E-2</v>
      </c>
      <c r="V311" s="140">
        <f ca="1"/>
        <v>5.9996465449812741E-2</v>
      </c>
      <c r="W311" s="139">
        <f ca="1"/>
        <v>0</v>
      </c>
      <c r="X311" s="165">
        <f ca="1"/>
        <v>3.9899165370427259E-4</v>
      </c>
      <c r="Y311" s="165">
        <f ca="1"/>
        <v>1.0882823835930422E-3</v>
      </c>
      <c r="Z311" s="165">
        <f ca="1"/>
        <v>3.5474873645068294E-3</v>
      </c>
      <c r="AA311" s="165">
        <f ca="1"/>
        <v>7.3846271885489312E-3</v>
      </c>
      <c r="AB311" s="165">
        <f ca="1"/>
        <v>0</v>
      </c>
      <c r="AC311" s="165">
        <f ca="1"/>
        <v>1.9351931818484713E-2</v>
      </c>
      <c r="AD311" s="165">
        <f ca="1"/>
        <v>3.4875572074739125E-2</v>
      </c>
      <c r="AE311" s="140">
        <f ca="1"/>
        <v>6.2888384064658798E-2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si="6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8">
        <v>9.5600000000000008E-3</v>
      </c>
      <c r="G312" s="158">
        <v>9.5600000000000008E-3</v>
      </c>
      <c r="H312" s="158">
        <v>9.2700000000000005E-3</v>
      </c>
      <c r="I312" s="158">
        <v>9.0799999999999995E-3</v>
      </c>
      <c r="J312" s="158" t="s">
        <v>87</v>
      </c>
      <c r="K312" s="158">
        <v>8.6E-3</v>
      </c>
      <c r="L312" s="158">
        <v>8.6E-3</v>
      </c>
      <c r="M312" s="158">
        <v>8.6E-3</v>
      </c>
      <c r="N312" s="139" cm="1">
        <f t="array" aca="1" ref="N312:AE312" ca="1">IF(OR(B312="",NOT($J$2)),"",GetStripDefaultProbability(A312,B312,Parameter_Date,CDSRollDate,E312:M312,SpreadCurveMaturities,D312,C312,$J$4,$J$6))</f>
        <v>0</v>
      </c>
      <c r="O312" s="165">
        <f ca="1"/>
        <v>9.4928118506982795E-3</v>
      </c>
      <c r="P312" s="165">
        <f ca="1"/>
        <v>1.7382848592351063E-2</v>
      </c>
      <c r="Q312" s="165">
        <f ca="1"/>
        <v>3.2002041884310883E-2</v>
      </c>
      <c r="R312" s="165">
        <f ca="1"/>
        <v>4.5936386299767595E-2</v>
      </c>
      <c r="S312" s="165">
        <f ca="1"/>
        <v>0</v>
      </c>
      <c r="T312" s="165">
        <f ca="1"/>
        <v>7.040568718483653E-2</v>
      </c>
      <c r="U312" s="165">
        <f ca="1"/>
        <v>9.6845181514722656E-2</v>
      </c>
      <c r="V312" s="140">
        <f ca="1"/>
        <v>0.13514208446840137</v>
      </c>
      <c r="W312" s="139">
        <f ca="1"/>
        <v>0</v>
      </c>
      <c r="X312" s="165">
        <f ca="1"/>
        <v>9.9648007608770239E-3</v>
      </c>
      <c r="Y312" s="165">
        <f ca="1"/>
        <v>1.8243857123084739E-2</v>
      </c>
      <c r="Z312" s="165">
        <f ca="1"/>
        <v>3.3573416145614043E-2</v>
      </c>
      <c r="AA312" s="165">
        <f ca="1"/>
        <v>4.8174681073698822E-2</v>
      </c>
      <c r="AB312" s="165">
        <f ca="1"/>
        <v>0</v>
      </c>
      <c r="AC312" s="165">
        <f ca="1"/>
        <v>7.377963013437705E-2</v>
      </c>
      <c r="AD312" s="165">
        <f ca="1"/>
        <v>0.1014196140774547</v>
      </c>
      <c r="AE312" s="140">
        <f ca="1"/>
        <v>0.14139475890052045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si="6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8">
        <v>2.2499999999999998E-3</v>
      </c>
      <c r="G313" s="158">
        <v>3.0000000000000001E-3</v>
      </c>
      <c r="H313" s="158">
        <v>4.4999999999999997E-3</v>
      </c>
      <c r="I313" s="158">
        <v>5.5900000000000004E-3</v>
      </c>
      <c r="J313" s="158" t="s">
        <v>87</v>
      </c>
      <c r="K313" s="158">
        <v>7.4999999999999997E-3</v>
      </c>
      <c r="L313" s="158">
        <v>8.2000000000000007E-3</v>
      </c>
      <c r="M313" s="158">
        <v>8.8999999999999999E-3</v>
      </c>
      <c r="N313" s="139" cm="1">
        <f t="array" aca="1" ref="N313:AE313" ca="1">IF(OR(B313="",NOT($J$2)),"",GetStripDefaultProbability(A313,B313,Parameter_Date,CDSRollDate,E313:M313,SpreadCurveMaturities,D313,C313,$J$4,$J$6))</f>
        <v>0</v>
      </c>
      <c r="O313" s="165">
        <f ca="1"/>
        <v>1.6821702535434468E-3</v>
      </c>
      <c r="P313" s="165">
        <f ca="1"/>
        <v>4.1337309050790694E-3</v>
      </c>
      <c r="Q313" s="165">
        <f ca="1"/>
        <v>1.1908324055550756E-2</v>
      </c>
      <c r="R313" s="165">
        <f ca="1"/>
        <v>2.1881944434549383E-2</v>
      </c>
      <c r="S313" s="165">
        <f ca="1"/>
        <v>0</v>
      </c>
      <c r="T313" s="165">
        <f ca="1"/>
        <v>4.836473713654954E-2</v>
      </c>
      <c r="U313" s="165">
        <f ca="1"/>
        <v>7.2918203900522727E-2</v>
      </c>
      <c r="V313" s="140">
        <f ca="1"/>
        <v>0.11111404430495286</v>
      </c>
      <c r="W313" s="139">
        <f ca="1"/>
        <v>0</v>
      </c>
      <c r="X313" s="165">
        <f ca="1"/>
        <v>1.7661978963886549E-3</v>
      </c>
      <c r="Y313" s="165">
        <f ca="1"/>
        <v>4.3400185123748658E-3</v>
      </c>
      <c r="Z313" s="165">
        <f ca="1"/>
        <v>1.2500517172917003E-2</v>
      </c>
      <c r="AA313" s="165">
        <f ca="1"/>
        <v>2.2965693082025229E-2</v>
      </c>
      <c r="AB313" s="165">
        <f ca="1"/>
        <v>0</v>
      </c>
      <c r="AC313" s="165">
        <f ca="1"/>
        <v>5.0728305702652632E-2</v>
      </c>
      <c r="AD313" s="165">
        <f ca="1"/>
        <v>7.6441665066646958E-2</v>
      </c>
      <c r="AE313" s="140">
        <f ca="1"/>
        <v>0.11638663043863118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si="6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8" t="s">
        <v>87</v>
      </c>
      <c r="G314" s="158">
        <v>2E-3</v>
      </c>
      <c r="H314" s="158" t="s">
        <v>87</v>
      </c>
      <c r="I314" s="158">
        <v>3.5000000000000001E-3</v>
      </c>
      <c r="J314" s="158" t="s">
        <v>87</v>
      </c>
      <c r="K314" s="158">
        <v>4.4999999999999997E-3</v>
      </c>
      <c r="L314" s="158">
        <v>5.4999999999999997E-3</v>
      </c>
      <c r="M314" s="158">
        <v>6.4999999999999997E-3</v>
      </c>
      <c r="N314" s="139" cm="1">
        <f t="array" aca="1" ref="N314:AE314" ca="1">IF(OR(B314="",NOT($J$2)),"",GetStripDefaultProbability(A314,B314,Parameter_Date,CDSRollDate,E314:M314,SpreadCurveMaturities,D314,C314,$J$4,$J$6))</f>
        <v>0</v>
      </c>
      <c r="O314" s="165">
        <f ca="1"/>
        <v>0</v>
      </c>
      <c r="P314" s="165">
        <f ca="1"/>
        <v>3.6618914744027675E-3</v>
      </c>
      <c r="Q314" s="165">
        <f ca="1"/>
        <v>0</v>
      </c>
      <c r="R314" s="165">
        <f ca="1"/>
        <v>1.8218352863642262E-2</v>
      </c>
      <c r="S314" s="165">
        <f ca="1"/>
        <v>0</v>
      </c>
      <c r="T314" s="165">
        <f ca="1"/>
        <v>3.8710255399914795E-2</v>
      </c>
      <c r="U314" s="165">
        <f ca="1"/>
        <v>6.624206321226167E-2</v>
      </c>
      <c r="V314" s="140">
        <f ca="1"/>
        <v>0.11117325695131541</v>
      </c>
      <c r="W314" s="139">
        <f ca="1"/>
        <v>0</v>
      </c>
      <c r="X314" s="165">
        <f ca="1"/>
        <v>0</v>
      </c>
      <c r="Y314" s="165">
        <f ca="1"/>
        <v>3.8279339885810559E-3</v>
      </c>
      <c r="Z314" s="165">
        <f ca="1"/>
        <v>0</v>
      </c>
      <c r="AA314" s="165">
        <f ca="1"/>
        <v>1.9121349770980234E-2</v>
      </c>
      <c r="AB314" s="165">
        <f ca="1"/>
        <v>0</v>
      </c>
      <c r="AC314" s="165">
        <f ca="1"/>
        <v>4.0611014298493675E-2</v>
      </c>
      <c r="AD314" s="165">
        <f ca="1"/>
        <v>6.9457896864296265E-2</v>
      </c>
      <c r="AE314" s="140">
        <f ca="1"/>
        <v>0.11647856468855455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si="6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8">
        <v>1.1999999999999999E-3</v>
      </c>
      <c r="G315" s="158">
        <v>1.6000000000000001E-3</v>
      </c>
      <c r="H315" s="158">
        <v>2E-3</v>
      </c>
      <c r="I315" s="158">
        <v>2.8E-3</v>
      </c>
      <c r="J315" s="158">
        <v>3.3999999999999998E-3</v>
      </c>
      <c r="K315" s="158">
        <v>4.0000000000000001E-3</v>
      </c>
      <c r="L315" s="158">
        <v>5.4000000000000003E-3</v>
      </c>
      <c r="M315" s="158">
        <v>6.6E-3</v>
      </c>
      <c r="N315" s="139" cm="1">
        <f t="array" aca="1" ref="N315:AE315" ca="1">IF(OR(B315="",NOT($J$2)),"",GetStripDefaultProbability(A315,B315,Parameter_Date,CDSRollDate,E315:M315,SpreadCurveMaturities,D315,C315,$J$4,$J$6))</f>
        <v>5.2146630916571901E-4</v>
      </c>
      <c r="O315" s="165">
        <f ca="1"/>
        <v>8.9751741967492027E-4</v>
      </c>
      <c r="P315" s="165">
        <f ca="1"/>
        <v>2.2064927031830717E-3</v>
      </c>
      <c r="Q315" s="165">
        <f ca="1"/>
        <v>5.2895063751882132E-3</v>
      </c>
      <c r="R315" s="165">
        <f ca="1"/>
        <v>1.1036658995024484E-2</v>
      </c>
      <c r="S315" s="165">
        <f ca="1"/>
        <v>1.7821292835452196E-2</v>
      </c>
      <c r="T315" s="165">
        <f ca="1"/>
        <v>2.6215240478768331E-2</v>
      </c>
      <c r="U315" s="165">
        <f ca="1"/>
        <v>4.9901734325787483E-2</v>
      </c>
      <c r="V315" s="140">
        <f ca="1"/>
        <v>8.6831411273343262E-2</v>
      </c>
      <c r="W315" s="139">
        <f ca="1"/>
        <v>5.6490921350882406E-4</v>
      </c>
      <c r="X315" s="165">
        <f ca="1"/>
        <v>9.7227401822574944E-4</v>
      </c>
      <c r="Y315" s="165">
        <f ca="1"/>
        <v>2.3312090966547405E-3</v>
      </c>
      <c r="Z315" s="165">
        <f ca="1"/>
        <v>5.5519935839529744E-3</v>
      </c>
      <c r="AA315" s="165">
        <f ca="1"/>
        <v>1.1584601279284512E-2</v>
      </c>
      <c r="AB315" s="165">
        <f ca="1"/>
        <v>1.8704605743498748E-2</v>
      </c>
      <c r="AC315" s="165">
        <f ca="1"/>
        <v>2.751117014063853E-2</v>
      </c>
      <c r="AD315" s="165">
        <f ca="1"/>
        <v>5.2344349607182594E-2</v>
      </c>
      <c r="AE315" s="140">
        <f ca="1"/>
        <v>9.1027980559253097E-2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si="6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8">
        <v>1.3799999999999999E-3</v>
      </c>
      <c r="G316" s="158">
        <v>2.1199999999999999E-3</v>
      </c>
      <c r="H316" s="158">
        <v>3.1199999999999999E-3</v>
      </c>
      <c r="I316" s="158">
        <v>3.9199999999999999E-3</v>
      </c>
      <c r="J316" s="158" t="s">
        <v>87</v>
      </c>
      <c r="K316" s="158">
        <v>5.1000000000000004E-3</v>
      </c>
      <c r="L316" s="158">
        <v>5.8199999999999997E-3</v>
      </c>
      <c r="M316" s="158">
        <v>6.4999999999999997E-3</v>
      </c>
      <c r="N316" s="139" cm="1">
        <f t="array" aca="1" ref="N316:AE316" ca="1">IF(OR(B316="",NOT($J$2)),"",GetStripDefaultProbability(A316,B316,Parameter_Date,CDSRollDate,E316:M316,SpreadCurveMaturities,D316,C316,$J$4,$J$6))</f>
        <v>0</v>
      </c>
      <c r="O316" s="165">
        <f ca="1"/>
        <v>1.0320657206279726E-3</v>
      </c>
      <c r="P316" s="165">
        <f ca="1"/>
        <v>2.9268462934366468E-3</v>
      </c>
      <c r="Q316" s="165">
        <f ca="1"/>
        <v>8.2700789699511335E-3</v>
      </c>
      <c r="R316" s="165">
        <f ca="1"/>
        <v>1.5392264909369069E-2</v>
      </c>
      <c r="S316" s="165">
        <f ca="1"/>
        <v>0</v>
      </c>
      <c r="T316" s="165">
        <f ca="1"/>
        <v>3.3041113528007759E-2</v>
      </c>
      <c r="U316" s="165">
        <f ca="1"/>
        <v>5.2406854875653663E-2</v>
      </c>
      <c r="V316" s="140">
        <f ca="1"/>
        <v>8.282814724168841E-2</v>
      </c>
      <c r="W316" s="139">
        <f ca="1"/>
        <v>0</v>
      </c>
      <c r="X316" s="165">
        <f ca="1"/>
        <v>1.1068093094076525E-3</v>
      </c>
      <c r="Y316" s="165">
        <f ca="1"/>
        <v>3.0723859905161799E-3</v>
      </c>
      <c r="Z316" s="165">
        <f ca="1"/>
        <v>8.6814154645965536E-3</v>
      </c>
      <c r="AA316" s="165">
        <f ca="1"/>
        <v>1.6156174415670743E-2</v>
      </c>
      <c r="AB316" s="165">
        <f ca="1"/>
        <v>0</v>
      </c>
      <c r="AC316" s="165">
        <f ca="1"/>
        <v>3.4667121214306151E-2</v>
      </c>
      <c r="AD316" s="165">
        <f ca="1"/>
        <v>5.4964784528029553E-2</v>
      </c>
      <c r="AE316" s="140">
        <f ca="1"/>
        <v>8.6804201140458948E-2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si="6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8">
        <v>1.5100000000000001E-3</v>
      </c>
      <c r="G317" s="158">
        <v>2.1299999999999999E-3</v>
      </c>
      <c r="H317" s="158">
        <v>2.9499999999999999E-3</v>
      </c>
      <c r="I317" s="158">
        <v>3.6900000000000001E-3</v>
      </c>
      <c r="J317" s="158" t="s">
        <v>87</v>
      </c>
      <c r="K317" s="158">
        <v>5.0000000000000001E-3</v>
      </c>
      <c r="L317" s="158">
        <v>5.7000000000000002E-3</v>
      </c>
      <c r="M317" s="158">
        <v>6.3E-3</v>
      </c>
      <c r="N317" s="139" cm="1">
        <f t="array" aca="1" ref="N317:AE317" ca="1">IF(OR(B317="",NOT($J$2)),"",GetStripDefaultProbability(A317,B317,Parameter_Date,CDSRollDate,E317:M317,SpreadCurveMaturities,D317,C317,$J$4,$J$6))</f>
        <v>0</v>
      </c>
      <c r="O317" s="165">
        <f ca="1"/>
        <v>1.1292345750792965E-3</v>
      </c>
      <c r="P317" s="165">
        <f ca="1"/>
        <v>2.9381949332036861E-3</v>
      </c>
      <c r="Q317" s="165">
        <f ca="1"/>
        <v>7.8105378379854651E-3</v>
      </c>
      <c r="R317" s="165">
        <f ca="1"/>
        <v>1.4481517745884465E-2</v>
      </c>
      <c r="S317" s="165">
        <f ca="1"/>
        <v>0</v>
      </c>
      <c r="T317" s="165">
        <f ca="1"/>
        <v>3.2457085384373308E-2</v>
      </c>
      <c r="U317" s="165">
        <f ca="1"/>
        <v>5.1398891594820806E-2</v>
      </c>
      <c r="V317" s="140">
        <f ca="1"/>
        <v>8.0278538223578222E-2</v>
      </c>
      <c r="W317" s="139">
        <f ca="1"/>
        <v>0</v>
      </c>
      <c r="X317" s="165">
        <f ca="1"/>
        <v>1.2039704227474468E-3</v>
      </c>
      <c r="Y317" s="165">
        <f ca="1"/>
        <v>3.0844226947553954E-3</v>
      </c>
      <c r="Z317" s="165">
        <f ca="1"/>
        <v>8.1991623091669519E-3</v>
      </c>
      <c r="AA317" s="165">
        <f ca="1"/>
        <v>1.5200546343247967E-2</v>
      </c>
      <c r="AB317" s="165">
        <f ca="1"/>
        <v>0</v>
      </c>
      <c r="AC317" s="165">
        <f ca="1"/>
        <v>3.4055124893747957E-2</v>
      </c>
      <c r="AD317" s="165">
        <f ca="1"/>
        <v>5.3909385079185523E-2</v>
      </c>
      <c r="AE317" s="140">
        <f ca="1"/>
        <v>8.4137217552669896E-2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si="6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8" t="s">
        <v>87</v>
      </c>
      <c r="G318" s="158">
        <v>1.2329999999999999E-3</v>
      </c>
      <c r="H318" s="158" t="s">
        <v>87</v>
      </c>
      <c r="I318" s="158">
        <v>2.516E-3</v>
      </c>
      <c r="J318" s="158" t="s">
        <v>87</v>
      </c>
      <c r="K318" s="158">
        <v>3.65E-3</v>
      </c>
      <c r="L318" s="158">
        <v>3.7980000000000002E-3</v>
      </c>
      <c r="M318" s="158">
        <v>3.9950000000000003E-3</v>
      </c>
      <c r="N318" s="139" cm="1">
        <f t="array" aca="1" ref="N318:AE318" ca="1">IF(OR(B318="",NOT($J$2)),"",GetStripDefaultProbability(A318,B318,Parameter_Date,CDSRollDate,E318:M318,SpreadCurveMaturities,D318,C318,$J$4,$J$6))</f>
        <v>0</v>
      </c>
      <c r="O318" s="165">
        <f ca="1"/>
        <v>0</v>
      </c>
      <c r="P318" s="165">
        <f ca="1"/>
        <v>2.2591308725649073E-3</v>
      </c>
      <c r="Q318" s="165">
        <f ca="1"/>
        <v>0</v>
      </c>
      <c r="R318" s="165">
        <f ca="1"/>
        <v>1.3153178671057475E-2</v>
      </c>
      <c r="S318" s="165">
        <f ca="1"/>
        <v>0</v>
      </c>
      <c r="T318" s="165">
        <f ca="1"/>
        <v>3.1738307208145966E-2</v>
      </c>
      <c r="U318" s="165">
        <f ca="1"/>
        <v>4.5479340914505006E-2</v>
      </c>
      <c r="V318" s="140">
        <f ca="1"/>
        <v>6.7472967429522912E-2</v>
      </c>
      <c r="W318" s="139">
        <f ca="1"/>
        <v>0</v>
      </c>
      <c r="X318" s="165">
        <f ca="1"/>
        <v>0</v>
      </c>
      <c r="Y318" s="165">
        <f ca="1"/>
        <v>2.4254071606671923E-3</v>
      </c>
      <c r="Z318" s="165">
        <f ca="1"/>
        <v>0</v>
      </c>
      <c r="AA318" s="165">
        <f ca="1"/>
        <v>1.380201408633086E-2</v>
      </c>
      <c r="AB318" s="165">
        <f ca="1"/>
        <v>0</v>
      </c>
      <c r="AC318" s="165">
        <f ca="1"/>
        <v>3.32977861221877E-2</v>
      </c>
      <c r="AD318" s="165">
        <f ca="1"/>
        <v>4.7701448545186098E-2</v>
      </c>
      <c r="AE318" s="140">
        <f ca="1"/>
        <v>7.0728045637823644E-2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si="6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8">
        <v>1.6000000000000001E-3</v>
      </c>
      <c r="G319" s="158">
        <v>1.9E-3</v>
      </c>
      <c r="H319" s="158">
        <v>2.5000000000000001E-3</v>
      </c>
      <c r="I319" s="158">
        <v>3.0000000000000001E-3</v>
      </c>
      <c r="J319" s="158" t="s">
        <v>87</v>
      </c>
      <c r="K319" s="158">
        <v>3.7000000000000002E-3</v>
      </c>
      <c r="L319" s="158">
        <v>3.8999999999999998E-3</v>
      </c>
      <c r="M319" s="158">
        <v>4.0000000000000001E-3</v>
      </c>
      <c r="N319" s="139" cm="1">
        <f t="array" aca="1" ref="N319:AE319" ca="1">IF(OR(B319="",NOT($J$2)),"",GetStripDefaultProbability(A319,B319,Parameter_Date,CDSRollDate,E319:M319,SpreadCurveMaturities,D319,C319,$J$4,$J$6))</f>
        <v>0</v>
      </c>
      <c r="O319" s="165">
        <f ca="1"/>
        <v>1.1965176605607253E-3</v>
      </c>
      <c r="P319" s="165">
        <f ca="1"/>
        <v>2.6163149584677026E-3</v>
      </c>
      <c r="Q319" s="165">
        <f ca="1"/>
        <v>6.611029355394149E-3</v>
      </c>
      <c r="R319" s="165">
        <f ca="1"/>
        <v>1.175820896111246E-2</v>
      </c>
      <c r="S319" s="165">
        <f ca="1"/>
        <v>0</v>
      </c>
      <c r="T319" s="165">
        <f ca="1"/>
        <v>2.3970424922525546E-2</v>
      </c>
      <c r="U319" s="165">
        <f ca="1"/>
        <v>3.5009572303728365E-2</v>
      </c>
      <c r="V319" s="140">
        <f ca="1"/>
        <v>5.062631746228119E-2</v>
      </c>
      <c r="W319" s="139">
        <f ca="1"/>
        <v>0</v>
      </c>
      <c r="X319" s="165">
        <f ca="1"/>
        <v>1.2712492432811473E-3</v>
      </c>
      <c r="Y319" s="165">
        <f ca="1"/>
        <v>2.7409801273622358E-3</v>
      </c>
      <c r="Z319" s="165">
        <f ca="1"/>
        <v>6.9403367152032214E-3</v>
      </c>
      <c r="AA319" s="165">
        <f ca="1"/>
        <v>1.2342805710330529E-2</v>
      </c>
      <c r="AB319" s="165">
        <f ca="1"/>
        <v>0</v>
      </c>
      <c r="AC319" s="165">
        <f ca="1"/>
        <v>2.5154872263211225E-2</v>
      </c>
      <c r="AD319" s="165">
        <f ca="1"/>
        <v>3.6730588966825128E-2</v>
      </c>
      <c r="AE319" s="140">
        <f ca="1"/>
        <v>5.3091566154577774E-2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si="6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8" t="s">
        <v>87</v>
      </c>
      <c r="G320" s="158" t="s">
        <v>87</v>
      </c>
      <c r="H320" s="158" t="s">
        <v>87</v>
      </c>
      <c r="I320" s="158" t="s">
        <v>87</v>
      </c>
      <c r="J320" s="158" t="s">
        <v>87</v>
      </c>
      <c r="K320" s="158">
        <v>2E-3</v>
      </c>
      <c r="L320" s="158">
        <v>3.6129999999999999E-3</v>
      </c>
      <c r="M320" s="158">
        <v>4.9030000000000002E-3</v>
      </c>
      <c r="N320" s="139" cm="1">
        <f t="array" aca="1" ref="N320:AE320" ca="1">IF(OR(B320="",NOT($J$2)),"",GetStripDefaultProbability(A320,B320,Parameter_Date,CDSRollDate,E320:M320,SpreadCurveMaturities,D320,C320,$J$4,$J$6))</f>
        <v>0</v>
      </c>
      <c r="O320" s="165">
        <f ca="1"/>
        <v>0</v>
      </c>
      <c r="P320" s="165">
        <f ca="1"/>
        <v>0</v>
      </c>
      <c r="Q320" s="165">
        <f ca="1"/>
        <v>0</v>
      </c>
      <c r="R320" s="165">
        <f ca="1"/>
        <v>0</v>
      </c>
      <c r="S320" s="165">
        <f ca="1"/>
        <v>0</v>
      </c>
      <c r="T320" s="165">
        <f ca="1"/>
        <v>1.6958442102288918E-2</v>
      </c>
      <c r="U320" s="165">
        <f ca="1"/>
        <v>4.5020457969748628E-2</v>
      </c>
      <c r="V320" s="140">
        <f ca="1"/>
        <v>8.7759301404748968E-2</v>
      </c>
      <c r="W320" s="139">
        <f ca="1"/>
        <v>0</v>
      </c>
      <c r="X320" s="165">
        <f ca="1"/>
        <v>0</v>
      </c>
      <c r="Y320" s="165">
        <f ca="1"/>
        <v>0</v>
      </c>
      <c r="Z320" s="165">
        <f ca="1"/>
        <v>0</v>
      </c>
      <c r="AA320" s="165">
        <f ca="1"/>
        <v>0</v>
      </c>
      <c r="AB320" s="165">
        <f ca="1"/>
        <v>0</v>
      </c>
      <c r="AC320" s="165">
        <f ca="1"/>
        <v>1.7777302161375741E-2</v>
      </c>
      <c r="AD320" s="165">
        <f ca="1"/>
        <v>4.7233608637095692E-2</v>
      </c>
      <c r="AE320" s="140">
        <f ca="1"/>
        <v>9.2019794508458874E-2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si="6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8">
        <v>1.1900000000000001E-3</v>
      </c>
      <c r="G321" s="158">
        <v>1.4300000000000001E-3</v>
      </c>
      <c r="H321" s="158">
        <v>1.91E-3</v>
      </c>
      <c r="I321" s="158">
        <v>2.32E-3</v>
      </c>
      <c r="J321" s="158" t="s">
        <v>87</v>
      </c>
      <c r="K321" s="158">
        <v>3.0999999999999999E-3</v>
      </c>
      <c r="L321" s="158">
        <v>3.5100000000000001E-3</v>
      </c>
      <c r="M321" s="158">
        <v>3.8999999999999998E-3</v>
      </c>
      <c r="N321" s="139" cm="1">
        <f t="array" aca="1" ref="N321:AE321" ca="1">IF(OR(B321="",NOT($J$2)),"",GetStripDefaultProbability(A321,B321,Parameter_Date,CDSRollDate,E321:M321,SpreadCurveMaturities,D321,C321,$J$4,$J$6))</f>
        <v>0</v>
      </c>
      <c r="O321" s="165">
        <f ca="1"/>
        <v>1.1865348693367306E-3</v>
      </c>
      <c r="P321" s="165">
        <f ca="1"/>
        <v>2.6258433814061455E-3</v>
      </c>
      <c r="Q321" s="165">
        <f ca="1"/>
        <v>6.7366440886025281E-3</v>
      </c>
      <c r="R321" s="165">
        <f ca="1"/>
        <v>1.2129269443250879E-2</v>
      </c>
      <c r="S321" s="165">
        <f ca="1"/>
        <v>0</v>
      </c>
      <c r="T321" s="165">
        <f ca="1"/>
        <v>2.6848206231367966E-2</v>
      </c>
      <c r="U321" s="165">
        <f ca="1"/>
        <v>4.2287150970583665E-2</v>
      </c>
      <c r="V321" s="140">
        <f ca="1"/>
        <v>6.6639773517162326E-2</v>
      </c>
      <c r="W321" s="139">
        <f ca="1"/>
        <v>0</v>
      </c>
      <c r="X321" s="165">
        <f ca="1"/>
        <v>1.2861762805511656E-3</v>
      </c>
      <c r="Y321" s="165">
        <f ca="1"/>
        <v>2.7920585558663946E-3</v>
      </c>
      <c r="Z321" s="165">
        <f ca="1"/>
        <v>7.0861673212067045E-3</v>
      </c>
      <c r="AA321" s="165">
        <f ca="1"/>
        <v>1.2729313496270156E-2</v>
      </c>
      <c r="AB321" s="165">
        <f ca="1"/>
        <v>0</v>
      </c>
      <c r="AC321" s="165">
        <f ca="1"/>
        <v>2.8170649741683262E-2</v>
      </c>
      <c r="AD321" s="165">
        <f ca="1"/>
        <v>4.4358129314342687E-2</v>
      </c>
      <c r="AE321" s="140">
        <f ca="1"/>
        <v>6.986224289732712E-2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si="6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8">
        <v>5.0000000000000001E-4</v>
      </c>
      <c r="G322" s="158">
        <v>8.0000000000000004E-4</v>
      </c>
      <c r="H322" s="158">
        <v>1.1999999999999999E-3</v>
      </c>
      <c r="I322" s="158">
        <v>1.6000000000000001E-3</v>
      </c>
      <c r="J322" s="158" t="s">
        <v>87</v>
      </c>
      <c r="K322" s="158">
        <v>2.5999999999999999E-3</v>
      </c>
      <c r="L322" s="158">
        <v>3.2000000000000002E-3</v>
      </c>
      <c r="M322" s="158">
        <v>3.5999999999999999E-3</v>
      </c>
      <c r="N322" s="139" cm="1">
        <f t="array" aca="1" ref="N322:AE322" ca="1">IF(OR(B322="",NOT($J$2)),"",GetStripDefaultProbability(A322,B322,Parameter_Date,CDSRollDate,E322:M322,SpreadCurveMaturities,D322,C322,$J$4,$J$6))</f>
        <v>0</v>
      </c>
      <c r="O322" s="165">
        <f ca="1"/>
        <v>4.9871509903820499E-4</v>
      </c>
      <c r="P322" s="165">
        <f ca="1"/>
        <v>1.4740231448624463E-3</v>
      </c>
      <c r="Q322" s="165">
        <f ca="1"/>
        <v>4.2495970908799086E-3</v>
      </c>
      <c r="R322" s="165">
        <f ca="1"/>
        <v>8.4177972034678028E-3</v>
      </c>
      <c r="S322" s="165">
        <f ca="1"/>
        <v>0</v>
      </c>
      <c r="T322" s="165">
        <f ca="1"/>
        <v>2.2801516408604616E-2</v>
      </c>
      <c r="U322" s="165">
        <f ca="1"/>
        <v>3.9171346381208783E-2</v>
      </c>
      <c r="V322" s="140">
        <f ca="1"/>
        <v>6.232469083183878E-2</v>
      </c>
      <c r="W322" s="139">
        <f ca="1"/>
        <v>0</v>
      </c>
      <c r="X322" s="165">
        <f ca="1"/>
        <v>5.9842770240881027E-4</v>
      </c>
      <c r="Y322" s="165">
        <f ca="1"/>
        <v>1.640430273368465E-3</v>
      </c>
      <c r="Z322" s="165">
        <f ca="1"/>
        <v>4.5999946951024162E-3</v>
      </c>
      <c r="AA322" s="165">
        <f ca="1"/>
        <v>8.9334496854980294E-3</v>
      </c>
      <c r="AB322" s="165">
        <f ca="1"/>
        <v>0</v>
      </c>
      <c r="AC322" s="165">
        <f ca="1"/>
        <v>2.3910146035690527E-2</v>
      </c>
      <c r="AD322" s="165">
        <f ca="1"/>
        <v>4.107800982357479E-2</v>
      </c>
      <c r="AE322" s="140">
        <f ca="1"/>
        <v>6.5332390704532228E-2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si="6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8" t="s">
        <v>87</v>
      </c>
      <c r="G323" s="158">
        <v>5.9999999999999995E-4</v>
      </c>
      <c r="H323" s="158" t="s">
        <v>87</v>
      </c>
      <c r="I323" s="158">
        <v>1.1999999999999999E-3</v>
      </c>
      <c r="J323" s="158" t="s">
        <v>87</v>
      </c>
      <c r="K323" s="158">
        <v>2.0999999999999999E-3</v>
      </c>
      <c r="L323" s="158">
        <v>3.0000000000000001E-3</v>
      </c>
      <c r="M323" s="158">
        <v>4.1000000000000003E-3</v>
      </c>
      <c r="N323" s="139" cm="1">
        <f t="array" aca="1" ref="N323:AE323" ca="1">IF(OR(B323="",NOT($J$2)),"",GetStripDefaultProbability(A323,B323,Parameter_Date,CDSRollDate,E323:M323,SpreadCurveMaturities,D323,C323,$J$4,$J$6))</f>
        <v>0</v>
      </c>
      <c r="O323" s="165">
        <f ca="1"/>
        <v>0</v>
      </c>
      <c r="P323" s="165">
        <f ca="1"/>
        <v>1.0999669988287497E-3</v>
      </c>
      <c r="Q323" s="165">
        <f ca="1"/>
        <v>0</v>
      </c>
      <c r="R323" s="165">
        <f ca="1"/>
        <v>6.2891393782327221E-3</v>
      </c>
      <c r="S323" s="165">
        <f ca="1"/>
        <v>0</v>
      </c>
      <c r="T323" s="165">
        <f ca="1"/>
        <v>1.850775174293906E-2</v>
      </c>
      <c r="U323" s="165">
        <f ca="1"/>
        <v>3.7417092219293902E-2</v>
      </c>
      <c r="V323" s="140">
        <f ca="1"/>
        <v>7.3770214423215075E-2</v>
      </c>
      <c r="W323" s="139">
        <f ca="1"/>
        <v>0</v>
      </c>
      <c r="X323" s="165">
        <f ca="1"/>
        <v>0</v>
      </c>
      <c r="Y323" s="165">
        <f ca="1"/>
        <v>1.2664364648210524E-3</v>
      </c>
      <c r="Z323" s="165">
        <f ca="1"/>
        <v>0</v>
      </c>
      <c r="AA323" s="165">
        <f ca="1"/>
        <v>6.8060451486190443E-3</v>
      </c>
      <c r="AB323" s="165">
        <f ca="1"/>
        <v>0</v>
      </c>
      <c r="AC323" s="165">
        <f ca="1"/>
        <v>1.9394532983406765E-2</v>
      </c>
      <c r="AD323" s="165">
        <f ca="1"/>
        <v>3.9228895272886977E-2</v>
      </c>
      <c r="AE323" s="140">
        <f ca="1"/>
        <v>7.7311355901838241E-2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si="6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8">
        <v>2.9999999999999997E-4</v>
      </c>
      <c r="G324" s="158">
        <v>5.0000000000000001E-4</v>
      </c>
      <c r="H324" s="158">
        <v>1E-3</v>
      </c>
      <c r="I324" s="158">
        <v>1.5E-3</v>
      </c>
      <c r="J324" s="158" t="s">
        <v>87</v>
      </c>
      <c r="K324" s="158">
        <v>2.3E-3</v>
      </c>
      <c r="L324" s="158">
        <v>2.8999999999999998E-3</v>
      </c>
      <c r="M324" s="158">
        <v>3.3999999999999998E-3</v>
      </c>
      <c r="N324" s="139" cm="1">
        <f t="array" aca="1" ref="N324:AE324" ca="1">IF(OR(B324="",NOT($J$2)),"",GetStripDefaultProbability(A324,B324,Parameter_Date,CDSRollDate,E324:M324,SpreadCurveMaturities,D324,C324,$J$4,$J$6))</f>
        <v>0</v>
      </c>
      <c r="O324" s="165">
        <f ca="1"/>
        <v>2.9925881803194443E-4</v>
      </c>
      <c r="P324" s="165">
        <f ca="1"/>
        <v>9.2178322277725044E-4</v>
      </c>
      <c r="Q324" s="165">
        <f ca="1"/>
        <v>3.5558217736527675E-3</v>
      </c>
      <c r="R324" s="165">
        <f ca="1"/>
        <v>7.9344323459572541E-3</v>
      </c>
      <c r="S324" s="165">
        <f ca="1"/>
        <v>0</v>
      </c>
      <c r="T324" s="165">
        <f ca="1"/>
        <v>2.0183579069150914E-2</v>
      </c>
      <c r="U324" s="165">
        <f ca="1"/>
        <v>3.5612813633425056E-2</v>
      </c>
      <c r="V324" s="140">
        <f ca="1"/>
        <v>5.9355167636921724E-2</v>
      </c>
      <c r="W324" s="139">
        <f ca="1"/>
        <v>0</v>
      </c>
      <c r="X324" s="165">
        <f ca="1"/>
        <v>3.9899165370427259E-4</v>
      </c>
      <c r="Y324" s="165">
        <f ca="1"/>
        <v>1.0882823835930422E-3</v>
      </c>
      <c r="Z324" s="165">
        <f ca="1"/>
        <v>3.9064863322305632E-3</v>
      </c>
      <c r="AA324" s="165">
        <f ca="1"/>
        <v>8.4504496880790647E-3</v>
      </c>
      <c r="AB324" s="165">
        <f ca="1"/>
        <v>0</v>
      </c>
      <c r="AC324" s="165">
        <f ca="1"/>
        <v>2.1159113798738138E-2</v>
      </c>
      <c r="AD324" s="165">
        <f ca="1"/>
        <v>3.7342445790182199E-2</v>
      </c>
      <c r="AE324" s="140">
        <f ca="1"/>
        <v>6.2219396997119869E-2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si="6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8" t="s">
        <v>87</v>
      </c>
      <c r="G325" s="158">
        <v>4.9600000000000002E-4</v>
      </c>
      <c r="H325" s="158" t="s">
        <v>87</v>
      </c>
      <c r="I325" s="158">
        <v>1.2899999999999999E-3</v>
      </c>
      <c r="J325" s="158" t="s">
        <v>87</v>
      </c>
      <c r="K325" s="158">
        <v>2.15E-3</v>
      </c>
      <c r="L325" s="158">
        <v>2.6740000000000002E-3</v>
      </c>
      <c r="M325" s="158">
        <v>3.199E-3</v>
      </c>
      <c r="N325" s="139" cm="1">
        <f t="array" aca="1" ref="N325:AE325" ca="1">IF(OR(B325="",NOT($J$2)),"",GetStripDefaultProbability(A325,B325,Parameter_Date,CDSRollDate,E325:M325,SpreadCurveMaturities,D325,C325,$J$4,$J$6))</f>
        <v>0</v>
      </c>
      <c r="O325" s="165">
        <f ca="1"/>
        <v>0</v>
      </c>
      <c r="P325" s="165">
        <f ca="1"/>
        <v>9.0939211612606208E-4</v>
      </c>
      <c r="Q325" s="165">
        <f ca="1"/>
        <v>0</v>
      </c>
      <c r="R325" s="165">
        <f ca="1"/>
        <v>6.7796443935522754E-3</v>
      </c>
      <c r="S325" s="165">
        <f ca="1"/>
        <v>0</v>
      </c>
      <c r="T325" s="165">
        <f ca="1"/>
        <v>1.8927107525411047E-2</v>
      </c>
      <c r="U325" s="165">
        <f ca="1"/>
        <v>3.2977298823311685E-2</v>
      </c>
      <c r="V325" s="140">
        <f ca="1"/>
        <v>5.6417822021262554E-2</v>
      </c>
      <c r="W325" s="139">
        <f ca="1"/>
        <v>0</v>
      </c>
      <c r="X325" s="165">
        <f ca="1"/>
        <v>0</v>
      </c>
      <c r="Y325" s="165">
        <f ca="1"/>
        <v>1.0758933419590111E-3</v>
      </c>
      <c r="Z325" s="165">
        <f ca="1"/>
        <v>0</v>
      </c>
      <c r="AA325" s="165">
        <f ca="1"/>
        <v>7.2963380649611054E-3</v>
      </c>
      <c r="AB325" s="165">
        <f ca="1"/>
        <v>0</v>
      </c>
      <c r="AC325" s="165">
        <f ca="1"/>
        <v>1.9836313024942931E-2</v>
      </c>
      <c r="AD325" s="165">
        <f ca="1"/>
        <v>3.4574368753476525E-2</v>
      </c>
      <c r="AE325" s="140">
        <f ca="1"/>
        <v>5.9138238563633982E-2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si="6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8">
        <v>5.1000000000000004E-3</v>
      </c>
      <c r="G326" s="158">
        <v>5.1000000000000004E-3</v>
      </c>
      <c r="H326" s="158">
        <v>5.1000000000000004E-3</v>
      </c>
      <c r="I326" s="158">
        <v>5.5700000000000003E-3</v>
      </c>
      <c r="J326" s="158" t="s">
        <v>87</v>
      </c>
      <c r="K326" s="158">
        <v>6.0000000000000001E-3</v>
      </c>
      <c r="L326" s="158">
        <v>6.2100000000000002E-3</v>
      </c>
      <c r="M326" s="158">
        <v>6.3E-3</v>
      </c>
      <c r="N326" s="139" cm="1">
        <f t="array" aca="1" ref="N326:AE326" ca="1">IF(OR(B326="",NOT($J$2)),"",GetStripDefaultProbability(A326,B326,Parameter_Date,CDSRollDate,E326:M326,SpreadCurveMaturities,D326,C326,$J$4,$J$6))</f>
        <v>0</v>
      </c>
      <c r="O326" s="165">
        <f ca="1"/>
        <v>5.075361576645121E-3</v>
      </c>
      <c r="P326" s="165">
        <f ca="1"/>
        <v>9.31119410903547E-3</v>
      </c>
      <c r="Q326" s="165">
        <f ca="1"/>
        <v>1.7753188105159801E-2</v>
      </c>
      <c r="R326" s="165">
        <f ca="1"/>
        <v>2.863364265415802E-2</v>
      </c>
      <c r="S326" s="165">
        <f ca="1"/>
        <v>0</v>
      </c>
      <c r="T326" s="165">
        <f ca="1"/>
        <v>5.0475997430781683E-2</v>
      </c>
      <c r="U326" s="165">
        <f ca="1"/>
        <v>7.2125621646152771E-2</v>
      </c>
      <c r="V326" s="140">
        <f ca="1"/>
        <v>0.10245827974653055</v>
      </c>
      <c r="W326" s="139">
        <f ca="1"/>
        <v>0</v>
      </c>
      <c r="X326" s="165">
        <f ca="1"/>
        <v>5.3283829698247409E-3</v>
      </c>
      <c r="Y326" s="165">
        <f ca="1"/>
        <v>9.7744313076999489E-3</v>
      </c>
      <c r="Z326" s="165">
        <f ca="1"/>
        <v>1.8632206594625167E-2</v>
      </c>
      <c r="AA326" s="165">
        <f ca="1"/>
        <v>3.004438434918455E-2</v>
      </c>
      <c r="AB326" s="165">
        <f ca="1"/>
        <v>0</v>
      </c>
      <c r="AC326" s="165">
        <f ca="1"/>
        <v>5.293157167550655E-2</v>
      </c>
      <c r="AD326" s="165">
        <f ca="1"/>
        <v>7.5596563591324384E-2</v>
      </c>
      <c r="AE326" s="140">
        <f ca="1"/>
        <v>0.10729412943741057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si="6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8" t="s">
        <v>87</v>
      </c>
      <c r="G327" s="158">
        <v>1.225E-3</v>
      </c>
      <c r="H327" s="158" t="s">
        <v>87</v>
      </c>
      <c r="I327" s="158">
        <v>2.4499999999999999E-3</v>
      </c>
      <c r="J327" s="158" t="s">
        <v>87</v>
      </c>
      <c r="K327" s="158">
        <v>4.8999999999999998E-3</v>
      </c>
      <c r="L327" s="158">
        <v>5.6350000000000003E-3</v>
      </c>
      <c r="M327" s="158">
        <v>6.3699999999999998E-3</v>
      </c>
      <c r="N327" s="139" cm="1">
        <f t="array" aca="1" ref="N327:AE327" ca="1">IF(OR(B327="",NOT($J$2)),"",GetStripDefaultProbability(A327,B327,Parameter_Date,CDSRollDate,E327:M327,SpreadCurveMaturities,D327,C327,$J$4,$J$6))</f>
        <v>0</v>
      </c>
      <c r="O327" s="165">
        <f ca="1"/>
        <v>0</v>
      </c>
      <c r="P327" s="165">
        <f ca="1"/>
        <v>2.2444894194199039E-3</v>
      </c>
      <c r="Q327" s="165">
        <f ca="1"/>
        <v>0</v>
      </c>
      <c r="R327" s="165">
        <f ca="1"/>
        <v>1.2806504476717273E-2</v>
      </c>
      <c r="S327" s="165">
        <f ca="1"/>
        <v>0</v>
      </c>
      <c r="T327" s="165">
        <f ca="1"/>
        <v>4.3067854256863769E-2</v>
      </c>
      <c r="U327" s="165">
        <f ca="1"/>
        <v>6.8313247406333821E-2</v>
      </c>
      <c r="V327" s="140">
        <f ca="1"/>
        <v>0.10866416550982272</v>
      </c>
      <c r="W327" s="139">
        <f ca="1"/>
        <v>0</v>
      </c>
      <c r="X327" s="165">
        <f ca="1"/>
        <v>0</v>
      </c>
      <c r="Y327" s="165">
        <f ca="1"/>
        <v>2.4107681475886711E-3</v>
      </c>
      <c r="Z327" s="165">
        <f ca="1"/>
        <v>0</v>
      </c>
      <c r="AA327" s="165">
        <f ca="1"/>
        <v>1.3438199617637703E-2</v>
      </c>
      <c r="AB327" s="165">
        <f ca="1"/>
        <v>0</v>
      </c>
      <c r="AC327" s="165">
        <f ca="1"/>
        <v>4.5175916282079509E-2</v>
      </c>
      <c r="AD327" s="165">
        <f ca="1"/>
        <v>7.1627587453358399E-2</v>
      </c>
      <c r="AE327" s="140">
        <f ca="1"/>
        <v>0.11384638203641406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si="6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8">
        <v>9.3999999999999997E-4</v>
      </c>
      <c r="G328" s="158">
        <v>1.01E-3</v>
      </c>
      <c r="H328" s="158">
        <v>2.0100000000000001E-3</v>
      </c>
      <c r="I328" s="158">
        <v>3.0100000000000001E-3</v>
      </c>
      <c r="J328" s="158" t="s">
        <v>87</v>
      </c>
      <c r="K328" s="158">
        <v>4.7999999999999996E-3</v>
      </c>
      <c r="L328" s="158">
        <v>5.4999999999999997E-3</v>
      </c>
      <c r="M328" s="158">
        <v>6.1999999999999998E-3</v>
      </c>
      <c r="N328" s="139" cm="1">
        <f t="array" aca="1" ref="N328:AE328" ca="1">IF(OR(B328="",NOT($J$2)),"",GetStripDefaultProbability(A328,B328,Parameter_Date,CDSRollDate,E328:M328,SpreadCurveMaturities,D328,C328,$J$4,$J$6))</f>
        <v>0</v>
      </c>
      <c r="O328" s="165">
        <f ca="1"/>
        <v>7.0311662303523814E-4</v>
      </c>
      <c r="P328" s="165">
        <f ca="1"/>
        <v>1.3898317078260281E-3</v>
      </c>
      <c r="Q328" s="165">
        <f ca="1"/>
        <v>5.3501537059021942E-3</v>
      </c>
      <c r="R328" s="165">
        <f ca="1"/>
        <v>1.1917702035055266E-2</v>
      </c>
      <c r="S328" s="165">
        <f ca="1"/>
        <v>0</v>
      </c>
      <c r="T328" s="165">
        <f ca="1"/>
        <v>3.1509771085170613E-2</v>
      </c>
      <c r="U328" s="165">
        <f ca="1"/>
        <v>4.9993577933325595E-2</v>
      </c>
      <c r="V328" s="140">
        <f ca="1"/>
        <v>7.9659211006402275E-2</v>
      </c>
      <c r="W328" s="139">
        <f ca="1"/>
        <v>0</v>
      </c>
      <c r="X328" s="165">
        <f ca="1"/>
        <v>7.77886081441026E-4</v>
      </c>
      <c r="Y328" s="165">
        <f ca="1"/>
        <v>1.5146501775483712E-3</v>
      </c>
      <c r="Z328" s="165">
        <f ca="1"/>
        <v>5.6140559164112869E-3</v>
      </c>
      <c r="AA328" s="165">
        <f ca="1"/>
        <v>1.2507795398638555E-2</v>
      </c>
      <c r="AB328" s="165">
        <f ca="1"/>
        <v>0</v>
      </c>
      <c r="AC328" s="165">
        <f ca="1"/>
        <v>3.3060786208626736E-2</v>
      </c>
      <c r="AD328" s="165">
        <f ca="1"/>
        <v>5.2437215598170162E-2</v>
      </c>
      <c r="AE328" s="140">
        <f ca="1"/>
        <v>8.3491273172835667E-2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si="6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8">
        <v>1.2700000000000001E-3</v>
      </c>
      <c r="G329" s="158">
        <v>1.7899999999999999E-3</v>
      </c>
      <c r="H329" s="158">
        <v>2.5899999999999999E-3</v>
      </c>
      <c r="I329" s="158">
        <v>3.2799999999999999E-3</v>
      </c>
      <c r="J329" s="158" t="s">
        <v>87</v>
      </c>
      <c r="K329" s="158">
        <v>4.5999999999999999E-3</v>
      </c>
      <c r="L329" s="158">
        <v>5.3200000000000001E-3</v>
      </c>
      <c r="M329" s="158">
        <v>5.8999999999999999E-3</v>
      </c>
      <c r="N329" s="139" cm="1">
        <f t="array" aca="1" ref="N329:AE329" ca="1">IF(OR(B329="",NOT($J$2)),"",GetStripDefaultProbability(A329,B329,Parameter_Date,CDSRollDate,E329:M329,SpreadCurveMaturities,D329,C329,$J$4,$J$6))</f>
        <v>0</v>
      </c>
      <c r="O329" s="165">
        <f ca="1"/>
        <v>9.4983856392771848E-4</v>
      </c>
      <c r="P329" s="165">
        <f ca="1"/>
        <v>2.4696527654404221E-3</v>
      </c>
      <c r="Q329" s="165">
        <f ca="1"/>
        <v>6.8650814621231682E-3</v>
      </c>
      <c r="R329" s="165">
        <f ca="1"/>
        <v>1.289138926085398E-2</v>
      </c>
      <c r="S329" s="165">
        <f ca="1"/>
        <v>0</v>
      </c>
      <c r="T329" s="165">
        <f ca="1"/>
        <v>2.995281577468889E-2</v>
      </c>
      <c r="U329" s="165">
        <f ca="1"/>
        <v>4.8170984640015235E-2</v>
      </c>
      <c r="V329" s="140">
        <f ca="1"/>
        <v>7.5515880811346969E-2</v>
      </c>
      <c r="W329" s="139">
        <f ca="1"/>
        <v>0</v>
      </c>
      <c r="X329" s="165">
        <f ca="1"/>
        <v>1.0245886677511251E-3</v>
      </c>
      <c r="Y329" s="165">
        <f ca="1"/>
        <v>2.5943362659548441E-3</v>
      </c>
      <c r="Z329" s="165">
        <f ca="1"/>
        <v>7.2064612901645564E-3</v>
      </c>
      <c r="AA329" s="165">
        <f ca="1"/>
        <v>1.3531592219940936E-2</v>
      </c>
      <c r="AB329" s="165">
        <f ca="1"/>
        <v>0</v>
      </c>
      <c r="AC329" s="165">
        <f ca="1"/>
        <v>3.1429237213146388E-2</v>
      </c>
      <c r="AD329" s="165">
        <f ca="1"/>
        <v>5.052786152327271E-2</v>
      </c>
      <c r="AE329" s="140">
        <f ca="1"/>
        <v>7.9155578089177614E-2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si="6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8">
        <v>9.3999999999999997E-4</v>
      </c>
      <c r="G330" s="158">
        <v>1.66E-3</v>
      </c>
      <c r="H330" s="158">
        <v>2.5699999999999998E-3</v>
      </c>
      <c r="I330" s="158">
        <v>3.4299999999999999E-3</v>
      </c>
      <c r="J330" s="158" t="s">
        <v>87</v>
      </c>
      <c r="K330" s="158">
        <v>4.7999999999999996E-3</v>
      </c>
      <c r="L330" s="158">
        <v>5.5700000000000003E-3</v>
      </c>
      <c r="M330" s="158">
        <v>6.1999999999999998E-3</v>
      </c>
      <c r="N330" s="139" cm="1">
        <f t="array" aca="1" ref="N330:AE330" ca="1">IF(OR(B330="",NOT($J$2)),"",GetStripDefaultProbability(A330,B330,Parameter_Date,CDSRollDate,E330:M330,SpreadCurveMaturities,D330,C330,$J$4,$J$6))</f>
        <v>0</v>
      </c>
      <c r="O330" s="165">
        <f ca="1"/>
        <v>7.0311662303523814E-4</v>
      </c>
      <c r="P330" s="165">
        <f ca="1"/>
        <v>2.2951080678710323E-3</v>
      </c>
      <c r="Q330" s="165">
        <f ca="1"/>
        <v>6.8242740242108191E-3</v>
      </c>
      <c r="R330" s="165">
        <f ca="1"/>
        <v>1.3514147385253916E-2</v>
      </c>
      <c r="S330" s="165">
        <f ca="1"/>
        <v>0</v>
      </c>
      <c r="T330" s="165">
        <f ca="1"/>
        <v>3.1273717318384575E-2</v>
      </c>
      <c r="U330" s="165">
        <f ca="1"/>
        <v>5.0440791513511329E-2</v>
      </c>
      <c r="V330" s="140">
        <f ca="1"/>
        <v>7.9326618279124239E-2</v>
      </c>
      <c r="W330" s="139">
        <f ca="1"/>
        <v>0</v>
      </c>
      <c r="X330" s="165">
        <f ca="1"/>
        <v>7.77886081441026E-4</v>
      </c>
      <c r="Y330" s="165">
        <f ca="1"/>
        <v>2.419813385123204E-3</v>
      </c>
      <c r="Z330" s="165">
        <f ca="1"/>
        <v>7.1630168765192126E-3</v>
      </c>
      <c r="AA330" s="165">
        <f ca="1"/>
        <v>1.4184629208812694E-2</v>
      </c>
      <c r="AB330" s="165">
        <f ca="1"/>
        <v>0</v>
      </c>
      <c r="AC330" s="165">
        <f ca="1"/>
        <v>3.281388623754744E-2</v>
      </c>
      <c r="AD330" s="165">
        <f ca="1"/>
        <v>5.2905873557746452E-2</v>
      </c>
      <c r="AE330" s="140">
        <f ca="1"/>
        <v>8.3142614255969249E-2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si="7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8">
        <v>1.1100000000000001E-3</v>
      </c>
      <c r="G331" s="158">
        <v>1.73E-3</v>
      </c>
      <c r="H331" s="158">
        <v>2.5899999999999999E-3</v>
      </c>
      <c r="I331" s="158">
        <v>3.3500000000000001E-3</v>
      </c>
      <c r="J331" s="158" t="s">
        <v>87</v>
      </c>
      <c r="K331" s="158">
        <v>4.7999999999999996E-3</v>
      </c>
      <c r="L331" s="158">
        <v>5.5799999999999999E-3</v>
      </c>
      <c r="M331" s="158">
        <v>6.1999999999999998E-3</v>
      </c>
      <c r="N331" s="139" cm="1">
        <f t="array" aca="1" ref="N331:AE331" ca="1">IF(OR(B331="",NOT($J$2)),"",GetStripDefaultProbability(A331,B331,Parameter_Date,CDSRollDate,E331:M331,SpreadCurveMaturities,D331,C331,$J$4,$J$6))</f>
        <v>0</v>
      </c>
      <c r="O331" s="165">
        <f ca="1"/>
        <v>8.3022338676930207E-4</v>
      </c>
      <c r="P331" s="165">
        <f ca="1"/>
        <v>2.3892513188592535E-3</v>
      </c>
      <c r="Q331" s="165">
        <f ca="1"/>
        <v>6.8712056223716456E-3</v>
      </c>
      <c r="R331" s="165">
        <f ca="1"/>
        <v>1.3180893372266245E-2</v>
      </c>
      <c r="S331" s="165">
        <f ca="1"/>
        <v>0</v>
      </c>
      <c r="T331" s="165">
        <f ca="1"/>
        <v>3.1288434990249914E-2</v>
      </c>
      <c r="U331" s="165">
        <f ca="1"/>
        <v>5.0553188363002488E-2</v>
      </c>
      <c r="V331" s="140">
        <f ca="1"/>
        <v>7.9327410181284974E-2</v>
      </c>
      <c r="W331" s="139">
        <f ca="1"/>
        <v>0</v>
      </c>
      <c r="X331" s="165">
        <f ca="1"/>
        <v>9.0498291005736142E-4</v>
      </c>
      <c r="Y331" s="165">
        <f ca="1"/>
        <v>2.513944868926532E-3</v>
      </c>
      <c r="Z331" s="165">
        <f ca="1"/>
        <v>7.2126023695698871E-3</v>
      </c>
      <c r="AA331" s="165">
        <f ca="1"/>
        <v>1.3835163901789405E-2</v>
      </c>
      <c r="AB331" s="165">
        <f ca="1"/>
        <v>0</v>
      </c>
      <c r="AC331" s="165">
        <f ca="1"/>
        <v>3.2829669077395485E-2</v>
      </c>
      <c r="AD331" s="165">
        <f ca="1"/>
        <v>5.3024176294158676E-2</v>
      </c>
      <c r="AE331" s="140">
        <f ca="1"/>
        <v>8.3143920615114886E-2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si="7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8">
        <v>1.06E-3</v>
      </c>
      <c r="G332" s="158">
        <v>1.5299999999999999E-3</v>
      </c>
      <c r="H332" s="158">
        <v>2.47E-3</v>
      </c>
      <c r="I332" s="158">
        <v>3.29E-3</v>
      </c>
      <c r="J332" s="158" t="s">
        <v>87</v>
      </c>
      <c r="K332" s="158">
        <v>4.7000000000000002E-3</v>
      </c>
      <c r="L332" s="158">
        <v>5.4200000000000003E-3</v>
      </c>
      <c r="M332" s="158">
        <v>6.0000000000000001E-3</v>
      </c>
      <c r="N332" s="139" cm="1">
        <f t="array" aca="1" ref="N332:AE332" ca="1">IF(OR(B332="",NOT($J$2)),"",GetStripDefaultProbability(A332,B332,Parameter_Date,CDSRollDate,E332:M332,SpreadCurveMaturities,D332,C332,$J$4,$J$6))</f>
        <v>0</v>
      </c>
      <c r="O332" s="165">
        <f ca="1"/>
        <v>7.9284071715424176E-4</v>
      </c>
      <c r="P332" s="165">
        <f ca="1"/>
        <v>2.1117467920932498E-3</v>
      </c>
      <c r="Q332" s="165">
        <f ca="1"/>
        <v>6.5594747501031003E-3</v>
      </c>
      <c r="R332" s="165">
        <f ca="1"/>
        <v>1.2964451255243592E-2</v>
      </c>
      <c r="S332" s="165">
        <f ca="1"/>
        <v>0</v>
      </c>
      <c r="T332" s="165">
        <f ca="1"/>
        <v>3.0658637577187675E-2</v>
      </c>
      <c r="U332" s="165">
        <f ca="1"/>
        <v>4.9107397835086108E-2</v>
      </c>
      <c r="V332" s="140">
        <f ca="1"/>
        <v>7.6780881686968949E-2</v>
      </c>
      <c r="W332" s="139">
        <f ca="1"/>
        <v>0</v>
      </c>
      <c r="X332" s="165">
        <f ca="1"/>
        <v>8.6760317031175926E-4</v>
      </c>
      <c r="Y332" s="165">
        <f ca="1"/>
        <v>2.2364750280676748E-3</v>
      </c>
      <c r="Z332" s="165">
        <f ca="1"/>
        <v>6.8848589485279721E-3</v>
      </c>
      <c r="AA332" s="165">
        <f ca="1"/>
        <v>1.3607549212780734E-2</v>
      </c>
      <c r="AB332" s="165">
        <f ca="1"/>
        <v>0</v>
      </c>
      <c r="AC332" s="165">
        <f ca="1"/>
        <v>3.2168822493012339E-2</v>
      </c>
      <c r="AD332" s="165">
        <f ca="1"/>
        <v>5.1508607516118632E-2</v>
      </c>
      <c r="AE332" s="140">
        <f ca="1"/>
        <v>8.0478622816814838E-2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si="7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8">
        <v>1.15E-3</v>
      </c>
      <c r="G333" s="158">
        <v>1.81E-3</v>
      </c>
      <c r="H333" s="158">
        <v>2.8E-3</v>
      </c>
      <c r="I333" s="158">
        <v>3.5000000000000001E-3</v>
      </c>
      <c r="J333" s="158" t="s">
        <v>87</v>
      </c>
      <c r="K333" s="158">
        <v>4.5999999999999999E-3</v>
      </c>
      <c r="L333" s="158">
        <v>5.1999999999999998E-3</v>
      </c>
      <c r="M333" s="158">
        <v>5.7000000000000002E-3</v>
      </c>
      <c r="N333" s="139" cm="1">
        <f t="array" aca="1" ref="N333:AE333" ca="1">IF(OR(B333="",NOT($J$2)),"",GetStripDefaultProbability(A333,B333,Parameter_Date,CDSRollDate,E333:M333,SpreadCurveMaturities,D333,C333,$J$4,$J$6))</f>
        <v>0</v>
      </c>
      <c r="O333" s="165">
        <f ca="1"/>
        <v>1.1466741417979209E-3</v>
      </c>
      <c r="P333" s="165">
        <f ca="1"/>
        <v>3.3320234789655512E-3</v>
      </c>
      <c r="Q333" s="165">
        <f ca="1"/>
        <v>9.8980999890154742E-3</v>
      </c>
      <c r="R333" s="165">
        <f ca="1"/>
        <v>1.8308603971572635E-2</v>
      </c>
      <c r="S333" s="165">
        <f ca="1"/>
        <v>0</v>
      </c>
      <c r="T333" s="165">
        <f ca="1"/>
        <v>3.9658751176882556E-2</v>
      </c>
      <c r="U333" s="165">
        <f ca="1"/>
        <v>6.2143417864354844E-2</v>
      </c>
      <c r="V333" s="140">
        <f ca="1"/>
        <v>9.5940665654803969E-2</v>
      </c>
      <c r="W333" s="139">
        <f ca="1"/>
        <v>0</v>
      </c>
      <c r="X333" s="165">
        <f ca="1"/>
        <v>1.2463197407124316E-3</v>
      </c>
      <c r="Y333" s="165">
        <f ca="1"/>
        <v>3.4981209665418955E-3</v>
      </c>
      <c r="Z333" s="165">
        <f ca="1"/>
        <v>1.0389633436286516E-2</v>
      </c>
      <c r="AA333" s="165">
        <f ca="1"/>
        <v>1.9215673653110055E-2</v>
      </c>
      <c r="AB333" s="165">
        <f ca="1"/>
        <v>0</v>
      </c>
      <c r="AC333" s="165">
        <f ca="1"/>
        <v>4.1603830362400895E-2</v>
      </c>
      <c r="AD333" s="165">
        <f ca="1"/>
        <v>6.5161991907383587E-2</v>
      </c>
      <c r="AE333" s="140">
        <f ca="1"/>
        <v>0.100512094821821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si="7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8">
        <v>1.6299999999999999E-3</v>
      </c>
      <c r="G334" s="158">
        <v>1.8400000000000001E-3</v>
      </c>
      <c r="H334" s="158">
        <v>2.2399999999999998E-3</v>
      </c>
      <c r="I334" s="158">
        <v>2.8E-3</v>
      </c>
      <c r="J334" s="158" t="s">
        <v>87</v>
      </c>
      <c r="K334" s="158">
        <v>4.5999999999999999E-3</v>
      </c>
      <c r="L334" s="158">
        <v>4.9399999999999999E-3</v>
      </c>
      <c r="M334" s="158">
        <v>5.4999999999999997E-3</v>
      </c>
      <c r="N334" s="139" cm="1">
        <f t="array" aca="1" ref="N334:AE334" ca="1">IF(OR(B334="",NOT($J$2)),"",GetStripDefaultProbability(A334,B334,Parameter_Date,CDSRollDate,E334:M334,SpreadCurveMaturities,D334,C334,$J$4,$J$6))</f>
        <v>0</v>
      </c>
      <c r="O334" s="165">
        <f ca="1"/>
        <v>1.2189387346440705E-3</v>
      </c>
      <c r="P334" s="165">
        <f ca="1"/>
        <v>2.5322133322494E-3</v>
      </c>
      <c r="Q334" s="165">
        <f ca="1"/>
        <v>5.9146582185641838E-3</v>
      </c>
      <c r="R334" s="165">
        <f ca="1"/>
        <v>1.0984307606446198E-2</v>
      </c>
      <c r="S334" s="165">
        <f ca="1"/>
        <v>0</v>
      </c>
      <c r="T334" s="165">
        <f ca="1"/>
        <v>3.0198650319371967E-2</v>
      </c>
      <c r="U334" s="165">
        <f ca="1"/>
        <v>4.4735976162263658E-2</v>
      </c>
      <c r="V334" s="140">
        <f ca="1"/>
        <v>7.0720216292078586E-2</v>
      </c>
      <c r="W334" s="139">
        <f ca="1"/>
        <v>0</v>
      </c>
      <c r="X334" s="165">
        <f ca="1"/>
        <v>1.2936685174284035E-3</v>
      </c>
      <c r="Y334" s="165">
        <f ca="1"/>
        <v>2.656889013181174E-3</v>
      </c>
      <c r="Z334" s="165">
        <f ca="1"/>
        <v>6.2092119068389851E-3</v>
      </c>
      <c r="AA334" s="165">
        <f ca="1"/>
        <v>1.1530503270066439E-2</v>
      </c>
      <c r="AB334" s="165">
        <f ca="1"/>
        <v>0</v>
      </c>
      <c r="AC334" s="165">
        <f ca="1"/>
        <v>3.1687720478903114E-2</v>
      </c>
      <c r="AD334" s="165">
        <f ca="1"/>
        <v>4.6928286059381819E-2</v>
      </c>
      <c r="AE334" s="140">
        <f ca="1"/>
        <v>7.4135769674455676E-2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si="7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8" t="s">
        <v>87</v>
      </c>
      <c r="G335" s="158">
        <v>1.75E-3</v>
      </c>
      <c r="H335" s="158" t="s">
        <v>87</v>
      </c>
      <c r="I335" s="158">
        <v>3.2499999999999999E-3</v>
      </c>
      <c r="J335" s="158" t="s">
        <v>87</v>
      </c>
      <c r="K335" s="158">
        <v>4.2500000000000003E-3</v>
      </c>
      <c r="L335" s="158">
        <v>4.6499999999999996E-3</v>
      </c>
      <c r="M335" s="158">
        <v>4.9500000000000004E-3</v>
      </c>
      <c r="N335" s="139" cm="1">
        <f t="array" aca="1" ref="N335:AE335" ca="1">IF(OR(B335="",NOT($J$2)),"",GetStripDefaultProbability(A335,B335,Parameter_Date,CDSRollDate,E335:M335,SpreadCurveMaturities,D335,C335,$J$4,$J$6))</f>
        <v>0</v>
      </c>
      <c r="O335" s="165">
        <f ca="1"/>
        <v>0</v>
      </c>
      <c r="P335" s="165">
        <f ca="1"/>
        <v>3.2048832137598904E-3</v>
      </c>
      <c r="Q335" s="165">
        <f ca="1"/>
        <v>0</v>
      </c>
      <c r="R335" s="165">
        <f ca="1"/>
        <v>1.6941633019933344E-2</v>
      </c>
      <c r="S335" s="165">
        <f ca="1"/>
        <v>0</v>
      </c>
      <c r="T335" s="165">
        <f ca="1"/>
        <v>3.6645198818695435E-2</v>
      </c>
      <c r="U335" s="165">
        <f ca="1"/>
        <v>5.5548574315218646E-2</v>
      </c>
      <c r="V335" s="140">
        <f ca="1"/>
        <v>8.3309449395789659E-2</v>
      </c>
      <c r="W335" s="139">
        <f ca="1"/>
        <v>0</v>
      </c>
      <c r="X335" s="165">
        <f ca="1"/>
        <v>0</v>
      </c>
      <c r="Y335" s="165">
        <f ca="1"/>
        <v>3.371001889625358E-3</v>
      </c>
      <c r="Z335" s="165">
        <f ca="1"/>
        <v>0</v>
      </c>
      <c r="AA335" s="165">
        <f ca="1"/>
        <v>1.7780294329503676E-2</v>
      </c>
      <c r="AB335" s="165">
        <f ca="1"/>
        <v>0</v>
      </c>
      <c r="AC335" s="165">
        <f ca="1"/>
        <v>3.8444929559459218E-2</v>
      </c>
      <c r="AD335" s="165">
        <f ca="1"/>
        <v>5.8253991625318968E-2</v>
      </c>
      <c r="AE335" s="140">
        <f ca="1"/>
        <v>8.7300734839082073E-2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si="7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8" t="s">
        <v>87</v>
      </c>
      <c r="G336" s="158">
        <v>1.013E-3</v>
      </c>
      <c r="H336" s="158" t="s">
        <v>87</v>
      </c>
      <c r="I336" s="158">
        <v>2.0270000000000002E-3</v>
      </c>
      <c r="J336" s="158" t="s">
        <v>87</v>
      </c>
      <c r="K336" s="158">
        <v>3.6679999999999998E-3</v>
      </c>
      <c r="L336" s="158">
        <v>4.1850000000000004E-3</v>
      </c>
      <c r="M336" s="158">
        <v>4.7229999999999998E-3</v>
      </c>
      <c r="N336" s="139" cm="1">
        <f t="array" aca="1" ref="N336:AE336" ca="1">IF(OR(B336="",NOT($J$2)),"",GetStripDefaultProbability(A336,B336,Parameter_Date,CDSRollDate,E336:M336,SpreadCurveMaturities,D336,C336,$J$4,$J$6))</f>
        <v>0</v>
      </c>
      <c r="O336" s="165">
        <f ca="1"/>
        <v>0</v>
      </c>
      <c r="P336" s="165">
        <f ca="1"/>
        <v>1.3926307647346148E-3</v>
      </c>
      <c r="Q336" s="165">
        <f ca="1"/>
        <v>0</v>
      </c>
      <c r="R336" s="165">
        <f ca="1"/>
        <v>7.9622189522657871E-3</v>
      </c>
      <c r="S336" s="165">
        <f ca="1"/>
        <v>0</v>
      </c>
      <c r="T336" s="165">
        <f ca="1"/>
        <v>2.4231828567370051E-2</v>
      </c>
      <c r="U336" s="165">
        <f ca="1"/>
        <v>3.835624884004063E-2</v>
      </c>
      <c r="V336" s="140">
        <f ca="1"/>
        <v>6.1480953397052507E-2</v>
      </c>
      <c r="W336" s="139">
        <f ca="1"/>
        <v>0</v>
      </c>
      <c r="X336" s="165">
        <f ca="1"/>
        <v>0</v>
      </c>
      <c r="Y336" s="165">
        <f ca="1"/>
        <v>1.5174488845943745E-3</v>
      </c>
      <c r="Z336" s="165">
        <f ca="1"/>
        <v>0</v>
      </c>
      <c r="AA336" s="165">
        <f ca="1"/>
        <v>8.3545127770408012E-3</v>
      </c>
      <c r="AB336" s="165">
        <f ca="1"/>
        <v>0</v>
      </c>
      <c r="AC336" s="165">
        <f ca="1"/>
        <v>2.5426279956867859E-2</v>
      </c>
      <c r="AD336" s="165">
        <f ca="1"/>
        <v>4.0238958229311006E-2</v>
      </c>
      <c r="AE336" s="140">
        <f ca="1"/>
        <v>6.4463208273649708E-2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si="7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8">
        <v>5.0000000000000001E-4</v>
      </c>
      <c r="G337" s="158">
        <v>1E-3</v>
      </c>
      <c r="H337" s="158">
        <v>1.6000000000000001E-3</v>
      </c>
      <c r="I337" s="158">
        <v>2.2000000000000001E-3</v>
      </c>
      <c r="J337" s="158" t="s">
        <v>87</v>
      </c>
      <c r="K337" s="158">
        <v>3.3E-3</v>
      </c>
      <c r="L337" s="158">
        <v>3.8999999999999998E-3</v>
      </c>
      <c r="M337" s="158">
        <v>4.4999999999999997E-3</v>
      </c>
      <c r="N337" s="139" cm="1">
        <f t="array" aca="1" ref="N337:AE337" ca="1">IF(OR(B337="",NOT($J$2)),"",GetStripDefaultProbability(A337,B337,Parameter_Date,CDSRollDate,E337:M337,SpreadCurveMaturities,D337,C337,$J$4,$J$6))</f>
        <v>0</v>
      </c>
      <c r="O337" s="165">
        <f ca="1"/>
        <v>3.7405957234182274E-4</v>
      </c>
      <c r="P337" s="165">
        <f ca="1"/>
        <v>1.3843464839049524E-3</v>
      </c>
      <c r="Q337" s="165">
        <f ca="1"/>
        <v>4.256016280790087E-3</v>
      </c>
      <c r="R337" s="165">
        <f ca="1"/>
        <v>8.6947898214059238E-3</v>
      </c>
      <c r="S337" s="165">
        <f ca="1"/>
        <v>0</v>
      </c>
      <c r="T337" s="165">
        <f ca="1"/>
        <v>2.1657094929917409E-2</v>
      </c>
      <c r="U337" s="165">
        <f ca="1"/>
        <v>3.5666148954645482E-2</v>
      </c>
      <c r="V337" s="140">
        <f ca="1"/>
        <v>5.8549132831508977E-2</v>
      </c>
      <c r="W337" s="139">
        <f ca="1"/>
        <v>0</v>
      </c>
      <c r="X337" s="165">
        <f ca="1"/>
        <v>4.4885440222397488E-4</v>
      </c>
      <c r="Y337" s="165">
        <f ca="1"/>
        <v>1.5091656392391961E-3</v>
      </c>
      <c r="Z337" s="165">
        <f ca="1"/>
        <v>4.5188331524170788E-3</v>
      </c>
      <c r="AA337" s="165">
        <f ca="1"/>
        <v>9.1220380287677649E-3</v>
      </c>
      <c r="AB337" s="165">
        <f ca="1"/>
        <v>0</v>
      </c>
      <c r="AC337" s="165">
        <f ca="1"/>
        <v>2.2723600582623349E-2</v>
      </c>
      <c r="AD337" s="165">
        <f ca="1"/>
        <v>3.7416464019315754E-2</v>
      </c>
      <c r="AE337" s="140">
        <f ca="1"/>
        <v>6.1392200599048818E-2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si="7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8" t="s">
        <v>87</v>
      </c>
      <c r="G338" s="158">
        <v>1.3649999999999999E-3</v>
      </c>
      <c r="H338" s="158" t="s">
        <v>87</v>
      </c>
      <c r="I338" s="158">
        <v>3.6960000000000001E-3</v>
      </c>
      <c r="J338" s="158" t="s">
        <v>87</v>
      </c>
      <c r="K338" s="158">
        <v>4.3E-3</v>
      </c>
      <c r="L338" s="158">
        <v>4.3499999999999997E-3</v>
      </c>
      <c r="M338" s="158">
        <v>4.4000000000000003E-3</v>
      </c>
      <c r="N338" s="139" cm="1">
        <f t="array" aca="1" ref="N338:AE338" ca="1">IF(OR(B338="",NOT($J$2)),"",GetStripDefaultProbability(A338,B338,Parameter_Date,CDSRollDate,E338:M338,SpreadCurveMaturities,D338,C338,$J$4,$J$6))</f>
        <v>0</v>
      </c>
      <c r="O338" s="165">
        <f ca="1"/>
        <v>0</v>
      </c>
      <c r="P338" s="165">
        <f ca="1"/>
        <v>2.5006840940384745E-3</v>
      </c>
      <c r="Q338" s="165">
        <f ca="1"/>
        <v>0</v>
      </c>
      <c r="R338" s="165">
        <f ca="1"/>
        <v>1.9339349589015842E-2</v>
      </c>
      <c r="S338" s="165">
        <f ca="1"/>
        <v>0</v>
      </c>
      <c r="T338" s="165">
        <f ca="1"/>
        <v>3.688426070832973E-2</v>
      </c>
      <c r="U338" s="165">
        <f ca="1"/>
        <v>5.1336007021625218E-2</v>
      </c>
      <c r="V338" s="140">
        <f ca="1"/>
        <v>7.2892930702564418E-2</v>
      </c>
      <c r="W338" s="139">
        <f ca="1"/>
        <v>0</v>
      </c>
      <c r="X338" s="165">
        <f ca="1"/>
        <v>0</v>
      </c>
      <c r="Y338" s="165">
        <f ca="1"/>
        <v>2.6669201266326104E-3</v>
      </c>
      <c r="Z338" s="165">
        <f ca="1"/>
        <v>0</v>
      </c>
      <c r="AA338" s="165">
        <f ca="1"/>
        <v>2.0292898080480515E-2</v>
      </c>
      <c r="AB338" s="165">
        <f ca="1"/>
        <v>0</v>
      </c>
      <c r="AC338" s="165">
        <f ca="1"/>
        <v>3.8692297511569218E-2</v>
      </c>
      <c r="AD338" s="165">
        <f ca="1"/>
        <v>5.3834450437736048E-2</v>
      </c>
      <c r="AE338" s="140">
        <f ca="1"/>
        <v>7.6393107134976823E-2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si="7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8" t="s">
        <v>87</v>
      </c>
      <c r="G339" s="158">
        <v>1.029E-3</v>
      </c>
      <c r="H339" s="158" t="s">
        <v>87</v>
      </c>
      <c r="I339" s="158">
        <v>2.5209999999999998E-3</v>
      </c>
      <c r="J339" s="158" t="s">
        <v>87</v>
      </c>
      <c r="K339" s="158">
        <v>3.5500000000000002E-3</v>
      </c>
      <c r="L339" s="158">
        <v>3.5500000000000002E-3</v>
      </c>
      <c r="M339" s="158">
        <v>3.9500000000000004E-3</v>
      </c>
      <c r="N339" s="139" cm="1">
        <f t="array" aca="1" ref="N339:AE339" ca="1">IF(OR(B339="",NOT($J$2)),"",GetStripDefaultProbability(A339,B339,Parameter_Date,CDSRollDate,E339:M339,SpreadCurveMaturities,D339,C339,$J$4,$J$6))</f>
        <v>0</v>
      </c>
      <c r="O339" s="165">
        <f ca="1"/>
        <v>0</v>
      </c>
      <c r="P339" s="165">
        <f ca="1"/>
        <v>1.4146114620152694E-3</v>
      </c>
      <c r="Q339" s="165">
        <f ca="1"/>
        <v>0</v>
      </c>
      <c r="R339" s="165">
        <f ca="1"/>
        <v>9.9187904489269618E-3</v>
      </c>
      <c r="S339" s="165">
        <f ca="1"/>
        <v>0</v>
      </c>
      <c r="T339" s="165">
        <f ca="1"/>
        <v>2.3211888473249731E-2</v>
      </c>
      <c r="U339" s="165">
        <f ca="1"/>
        <v>3.189747097216733E-2</v>
      </c>
      <c r="V339" s="140">
        <f ca="1"/>
        <v>5.0795166398959091E-2</v>
      </c>
      <c r="W339" s="139">
        <f ca="1"/>
        <v>0</v>
      </c>
      <c r="X339" s="165">
        <f ca="1"/>
        <v>0</v>
      </c>
      <c r="Y339" s="165">
        <f ca="1"/>
        <v>1.539426834444968E-3</v>
      </c>
      <c r="Z339" s="165">
        <f ca="1"/>
        <v>0</v>
      </c>
      <c r="AA339" s="165">
        <f ca="1"/>
        <v>1.040802845626998E-2</v>
      </c>
      <c r="AB339" s="165">
        <f ca="1"/>
        <v>0</v>
      </c>
      <c r="AC339" s="165">
        <f ca="1"/>
        <v>2.4356025101435863E-2</v>
      </c>
      <c r="AD339" s="165">
        <f ca="1"/>
        <v>3.3464290709547373E-2</v>
      </c>
      <c r="AE339" s="140">
        <f ca="1"/>
        <v>5.3267054278351655E-2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si="7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8" t="s">
        <v>87</v>
      </c>
      <c r="G340" s="158">
        <v>6.6299999999999996E-4</v>
      </c>
      <c r="H340" s="158" t="s">
        <v>87</v>
      </c>
      <c r="I340" s="158">
        <v>1.534E-3</v>
      </c>
      <c r="J340" s="158" t="s">
        <v>87</v>
      </c>
      <c r="K340" s="158">
        <v>2.65E-3</v>
      </c>
      <c r="L340" s="158">
        <v>3.4399999999999999E-3</v>
      </c>
      <c r="M340" s="158">
        <v>4.2770000000000004E-3</v>
      </c>
      <c r="N340" s="139" cm="1">
        <f t="array" aca="1" ref="N340:AE340" ca="1">IF(OR(B340="",NOT($J$2)),"",GetStripDefaultProbability(A340,B340,Parameter_Date,CDSRollDate,E340:M340,SpreadCurveMaturities,D340,C340,$J$4,$J$6))</f>
        <v>0</v>
      </c>
      <c r="O340" s="165">
        <f ca="1"/>
        <v>0</v>
      </c>
      <c r="P340" s="165">
        <f ca="1"/>
        <v>9.116828937869581E-4</v>
      </c>
      <c r="Q340" s="165">
        <f ca="1"/>
        <v>0</v>
      </c>
      <c r="R340" s="165">
        <f ca="1"/>
        <v>6.0408168779765292E-3</v>
      </c>
      <c r="S340" s="165">
        <f ca="1"/>
        <v>0</v>
      </c>
      <c r="T340" s="165">
        <f ca="1"/>
        <v>1.7523496944751193E-2</v>
      </c>
      <c r="U340" s="165">
        <f ca="1"/>
        <v>3.197469345868087E-2</v>
      </c>
      <c r="V340" s="140">
        <f ca="1"/>
        <v>5.7040430167597522E-2</v>
      </c>
      <c r="W340" s="139">
        <f ca="1"/>
        <v>0</v>
      </c>
      <c r="X340" s="165">
        <f ca="1"/>
        <v>0</v>
      </c>
      <c r="Y340" s="165">
        <f ca="1"/>
        <v>1.0365611283614795E-3</v>
      </c>
      <c r="Z340" s="165">
        <f ca="1"/>
        <v>0</v>
      </c>
      <c r="AA340" s="165">
        <f ca="1"/>
        <v>6.4285896183714497E-3</v>
      </c>
      <c r="AB340" s="165">
        <f ca="1"/>
        <v>0</v>
      </c>
      <c r="AC340" s="165">
        <f ca="1"/>
        <v>1.8377129722745744E-2</v>
      </c>
      <c r="AD340" s="165">
        <f ca="1"/>
        <v>3.3536943307215683E-2</v>
      </c>
      <c r="AE340" s="140">
        <f ca="1"/>
        <v>5.9805536895555789E-2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si="7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8">
        <v>5.0000000000000001E-4</v>
      </c>
      <c r="G341" s="158">
        <v>6.9999999999999999E-4</v>
      </c>
      <c r="H341" s="158">
        <v>1.1000000000000001E-3</v>
      </c>
      <c r="I341" s="158">
        <v>1.6000000000000001E-3</v>
      </c>
      <c r="J341" s="158" t="s">
        <v>87</v>
      </c>
      <c r="K341" s="158">
        <v>2.5999999999999999E-3</v>
      </c>
      <c r="L341" s="158">
        <v>3.3E-3</v>
      </c>
      <c r="M341" s="158">
        <v>4.1000000000000003E-3</v>
      </c>
      <c r="N341" s="139" cm="1">
        <f t="array" aca="1" ref="N341:AE341" ca="1">IF(OR(B341="",NOT($J$2)),"",GetStripDefaultProbability(A341,B341,Parameter_Date,CDSRollDate,E341:M341,SpreadCurveMaturities,D341,C341,$J$4,$J$6))</f>
        <v>0</v>
      </c>
      <c r="O341" s="165">
        <f ca="1"/>
        <v>4.9871509903820499E-4</v>
      </c>
      <c r="P341" s="165">
        <f ca="1"/>
        <v>1.2882676916461389E-3</v>
      </c>
      <c r="Q341" s="165">
        <f ca="1"/>
        <v>3.8970319743173443E-3</v>
      </c>
      <c r="R341" s="165">
        <f ca="1"/>
        <v>8.4408919073252209E-3</v>
      </c>
      <c r="S341" s="165">
        <f ca="1"/>
        <v>0</v>
      </c>
      <c r="T341" s="165">
        <f ca="1"/>
        <v>2.2825288642466912E-2</v>
      </c>
      <c r="U341" s="165">
        <f ca="1"/>
        <v>4.0506784826974451E-2</v>
      </c>
      <c r="V341" s="140">
        <f ca="1"/>
        <v>7.1860841397431652E-2</v>
      </c>
      <c r="W341" s="139">
        <f ca="1"/>
        <v>0</v>
      </c>
      <c r="X341" s="165">
        <f ca="1"/>
        <v>5.9842770240881027E-4</v>
      </c>
      <c r="Y341" s="165">
        <f ca="1"/>
        <v>1.4547057767978488E-3</v>
      </c>
      <c r="Z341" s="165">
        <f ca="1"/>
        <v>4.2475452092268773E-3</v>
      </c>
      <c r="AA341" s="165">
        <f ca="1"/>
        <v>8.9566085136073559E-3</v>
      </c>
      <c r="AB341" s="165">
        <f ca="1"/>
        <v>0</v>
      </c>
      <c r="AC341" s="165">
        <f ca="1"/>
        <v>2.393401069910206E-2</v>
      </c>
      <c r="AD341" s="165">
        <f ca="1"/>
        <v>4.2477309507273575E-2</v>
      </c>
      <c r="AE341" s="140">
        <f ca="1"/>
        <v>7.5319073319481844E-2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si="7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8">
        <v>8.0000000000000004E-4</v>
      </c>
      <c r="G342" s="158">
        <v>1.2700000000000001E-3</v>
      </c>
      <c r="H342" s="158">
        <v>1.8699999999999999E-3</v>
      </c>
      <c r="I342" s="158">
        <v>2.3E-3</v>
      </c>
      <c r="J342" s="158" t="s">
        <v>87</v>
      </c>
      <c r="K342" s="158">
        <v>2.8E-3</v>
      </c>
      <c r="L342" s="158">
        <v>3.2000000000000002E-3</v>
      </c>
      <c r="M342" s="158">
        <v>3.7000000000000002E-3</v>
      </c>
      <c r="N342" s="139" cm="1">
        <f t="array" aca="1" ref="N342:AE342" ca="1">IF(OR(B342="",NOT($J$2)),"",GetStripDefaultProbability(A342,B342,Parameter_Date,CDSRollDate,E342:M342,SpreadCurveMaturities,D342,C342,$J$4,$J$6))</f>
        <v>0</v>
      </c>
      <c r="O342" s="165">
        <f ca="1"/>
        <v>7.9782515363191475E-4</v>
      </c>
      <c r="P342" s="165">
        <f ca="1"/>
        <v>2.339046673625278E-3</v>
      </c>
      <c r="Q342" s="165">
        <f ca="1"/>
        <v>6.6140935415914814E-3</v>
      </c>
      <c r="R342" s="165">
        <f ca="1"/>
        <v>1.2049132035158228E-2</v>
      </c>
      <c r="S342" s="165">
        <f ca="1"/>
        <v>0</v>
      </c>
      <c r="T342" s="165">
        <f ca="1"/>
        <v>2.4177302748511043E-2</v>
      </c>
      <c r="U342" s="165">
        <f ca="1"/>
        <v>3.8549563585338786E-2</v>
      </c>
      <c r="V342" s="140">
        <f ca="1"/>
        <v>6.3644018073968134E-2</v>
      </c>
      <c r="W342" s="139">
        <f ca="1"/>
        <v>0</v>
      </c>
      <c r="X342" s="165">
        <f ca="1"/>
        <v>8.9750707345648273E-4</v>
      </c>
      <c r="Y342" s="165">
        <f ca="1"/>
        <v>2.5053096435402322E-3</v>
      </c>
      <c r="Z342" s="165">
        <f ca="1"/>
        <v>6.9637166484980417E-3</v>
      </c>
      <c r="AA342" s="165">
        <f ca="1"/>
        <v>1.2643920082016535E-2</v>
      </c>
      <c r="AB342" s="165">
        <f ca="1"/>
        <v>0</v>
      </c>
      <c r="AC342" s="165">
        <f ca="1"/>
        <v>2.5367734125759767E-2</v>
      </c>
      <c r="AD342" s="165">
        <f ca="1"/>
        <v>4.0438632660730001E-2</v>
      </c>
      <c r="AE342" s="140">
        <f ca="1"/>
        <v>6.672583743673477E-2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si="7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8" t="s">
        <v>87</v>
      </c>
      <c r="G343" s="158">
        <v>1.683E-3</v>
      </c>
      <c r="H343" s="158" t="s">
        <v>87</v>
      </c>
      <c r="I343" s="158">
        <v>3.1979999999999999E-3</v>
      </c>
      <c r="J343" s="158" t="s">
        <v>87</v>
      </c>
      <c r="K343" s="158">
        <v>5.0499999999999998E-3</v>
      </c>
      <c r="L343" s="158">
        <v>6.9020000000000001E-3</v>
      </c>
      <c r="M343" s="158">
        <v>6.8859999999999998E-3</v>
      </c>
      <c r="N343" s="139" cm="1">
        <f t="array" aca="1" ref="N343:AE343" ca="1">IF(OR(B343="",NOT($J$2)),"",GetStripDefaultProbability(A343,B343,Parameter_Date,CDSRollDate,E343:M343,SpreadCurveMaturities,D343,C343,$J$4,$J$6))</f>
        <v>0</v>
      </c>
      <c r="O343" s="165">
        <f ca="1"/>
        <v>0</v>
      </c>
      <c r="P343" s="165">
        <f ca="1"/>
        <v>2.3126618722552061E-3</v>
      </c>
      <c r="Q343" s="165">
        <f ca="1"/>
        <v>0</v>
      </c>
      <c r="R343" s="165">
        <f ca="1"/>
        <v>1.2529850933303166E-2</v>
      </c>
      <c r="S343" s="165">
        <f ca="1"/>
        <v>0</v>
      </c>
      <c r="T343" s="165">
        <f ca="1"/>
        <v>3.3047774951042497E-2</v>
      </c>
      <c r="U343" s="165">
        <f ca="1"/>
        <v>6.3583653081009661E-2</v>
      </c>
      <c r="V343" s="140">
        <f ca="1"/>
        <v>8.7461589658269112E-2</v>
      </c>
      <c r="W343" s="139">
        <f ca="1"/>
        <v>0</v>
      </c>
      <c r="X343" s="165">
        <f ca="1"/>
        <v>0</v>
      </c>
      <c r="Y343" s="165">
        <f ca="1"/>
        <v>2.4373649953999266E-3</v>
      </c>
      <c r="Z343" s="165">
        <f ca="1"/>
        <v>0</v>
      </c>
      <c r="AA343" s="165">
        <f ca="1"/>
        <v>1.3151339267984397E-2</v>
      </c>
      <c r="AB343" s="165">
        <f ca="1"/>
        <v>0</v>
      </c>
      <c r="AC343" s="165">
        <f ca="1"/>
        <v>3.4674606675633268E-2</v>
      </c>
      <c r="AD343" s="165">
        <f ca="1"/>
        <v>6.6679666827283546E-2</v>
      </c>
      <c r="AE343" s="140">
        <f ca="1"/>
        <v>9.1653875495616099E-2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si="7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8" t="s">
        <v>87</v>
      </c>
      <c r="G344" s="158">
        <v>2.872E-3</v>
      </c>
      <c r="H344" s="158" t="s">
        <v>87</v>
      </c>
      <c r="I344" s="158">
        <v>4.6160000000000003E-3</v>
      </c>
      <c r="J344" s="158" t="s">
        <v>87</v>
      </c>
      <c r="K344" s="158">
        <v>5.9500000000000004E-3</v>
      </c>
      <c r="L344" s="158">
        <v>6.3600000000000002E-3</v>
      </c>
      <c r="M344" s="158">
        <v>7.1809999999999999E-3</v>
      </c>
      <c r="N344" s="139" cm="1">
        <f t="array" aca="1" ref="N344:AE344" ca="1">IF(OR(B344="",NOT($J$2)),"",GetStripDefaultProbability(A344,B344,Parameter_Date,CDSRollDate,E344:M344,SpreadCurveMaturities,D344,C344,$J$4,$J$6))</f>
        <v>0</v>
      </c>
      <c r="O344" s="165">
        <f ca="1"/>
        <v>0</v>
      </c>
      <c r="P344" s="165">
        <f ca="1"/>
        <v>3.9433052135234847E-3</v>
      </c>
      <c r="Q344" s="165">
        <f ca="1"/>
        <v>0</v>
      </c>
      <c r="R344" s="165">
        <f ca="1"/>
        <v>1.7996615381252967E-2</v>
      </c>
      <c r="S344" s="165">
        <f ca="1"/>
        <v>0</v>
      </c>
      <c r="T344" s="165">
        <f ca="1"/>
        <v>3.8372899495431323E-2</v>
      </c>
      <c r="U344" s="165">
        <f ca="1"/>
        <v>5.6703595771519621E-2</v>
      </c>
      <c r="V344" s="140">
        <f ca="1"/>
        <v>9.1139560501073857E-2</v>
      </c>
      <c r="W344" s="139">
        <f ca="1"/>
        <v>0</v>
      </c>
      <c r="X344" s="165">
        <f ca="1"/>
        <v>0</v>
      </c>
      <c r="Y344" s="165">
        <f ca="1"/>
        <v>4.1399915254118902E-3</v>
      </c>
      <c r="Z344" s="165">
        <f ca="1"/>
        <v>0</v>
      </c>
      <c r="AA344" s="165">
        <f ca="1"/>
        <v>1.8887354365006104E-2</v>
      </c>
      <c r="AB344" s="165">
        <f ca="1"/>
        <v>0</v>
      </c>
      <c r="AC344" s="165">
        <f ca="1"/>
        <v>4.0255880703979008E-2</v>
      </c>
      <c r="AD344" s="165">
        <f ca="1"/>
        <v>5.9462641583347242E-2</v>
      </c>
      <c r="AE344" s="140">
        <f ca="1"/>
        <v>9.5511250800945136E-2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si="7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8">
        <v>1.15E-3</v>
      </c>
      <c r="G345" s="158">
        <v>1.66E-3</v>
      </c>
      <c r="H345" s="158">
        <v>2.82E-3</v>
      </c>
      <c r="I345" s="158">
        <v>3.8899999999999998E-3</v>
      </c>
      <c r="J345" s="158" t="s">
        <v>87</v>
      </c>
      <c r="K345" s="158">
        <v>5.4999999999999997E-3</v>
      </c>
      <c r="L345" s="158">
        <v>6.2100000000000002E-3</v>
      </c>
      <c r="M345" s="158">
        <v>6.62E-3</v>
      </c>
      <c r="N345" s="139" cm="1">
        <f t="array" aca="1" ref="N345:AE345" ca="1">IF(OR(B345="",NOT($J$2)),"",GetStripDefaultProbability(A345,B345,Parameter_Date,CDSRollDate,E345:M345,SpreadCurveMaturities,D345,C345,$J$4,$J$6))</f>
        <v>0</v>
      </c>
      <c r="O345" s="165">
        <f ca="1"/>
        <v>8.6012851897609988E-4</v>
      </c>
      <c r="P345" s="165">
        <f ca="1"/>
        <v>2.2910070159282148E-3</v>
      </c>
      <c r="Q345" s="165">
        <f ca="1"/>
        <v>7.4917718394024169E-3</v>
      </c>
      <c r="R345" s="165">
        <f ca="1"/>
        <v>1.5338090156599482E-2</v>
      </c>
      <c r="S345" s="165">
        <f ca="1"/>
        <v>0</v>
      </c>
      <c r="T345" s="165">
        <f ca="1"/>
        <v>3.5814008822836696E-2</v>
      </c>
      <c r="U345" s="165">
        <f ca="1"/>
        <v>5.5994254959434109E-2</v>
      </c>
      <c r="V345" s="140">
        <f ca="1"/>
        <v>8.3800225003280659E-2</v>
      </c>
      <c r="W345" s="139">
        <f ca="1"/>
        <v>0</v>
      </c>
      <c r="X345" s="165">
        <f ca="1"/>
        <v>9.3488569368982422E-4</v>
      </c>
      <c r="Y345" s="165">
        <f ca="1"/>
        <v>2.4157128457741317E-3</v>
      </c>
      <c r="Z345" s="165">
        <f ca="1"/>
        <v>7.8638944685923695E-3</v>
      </c>
      <c r="AA345" s="165">
        <f ca="1"/>
        <v>1.6098988500264144E-2</v>
      </c>
      <c r="AB345" s="165">
        <f ca="1"/>
        <v>0</v>
      </c>
      <c r="AC345" s="165">
        <f ca="1"/>
        <v>3.7574691057395415E-2</v>
      </c>
      <c r="AD345" s="165">
        <f ca="1"/>
        <v>5.8723624919635786E-2</v>
      </c>
      <c r="AE345" s="140">
        <f ca="1"/>
        <v>8.7818333632498469E-2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si="7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8">
        <v>1.49E-3</v>
      </c>
      <c r="G346" s="158">
        <v>2.1800000000000001E-3</v>
      </c>
      <c r="H346" s="158">
        <v>3.0999999999999999E-3</v>
      </c>
      <c r="I346" s="158">
        <v>3.98E-3</v>
      </c>
      <c r="J346" s="158" t="s">
        <v>87</v>
      </c>
      <c r="K346" s="158">
        <v>5.3E-3</v>
      </c>
      <c r="L346" s="158">
        <v>5.8999999999999999E-3</v>
      </c>
      <c r="M346" s="158">
        <v>6.3E-3</v>
      </c>
      <c r="N346" s="139" cm="1">
        <f t="array" aca="1" ref="N346:AE346" ca="1">IF(OR(B346="",NOT($J$2)),"",GetStripDefaultProbability(A346,B346,Parameter_Date,CDSRollDate,E346:M346,SpreadCurveMaturities,D346,C346,$J$4,$J$6))</f>
        <v>0</v>
      </c>
      <c r="O346" s="165">
        <f ca="1"/>
        <v>1.1142861335603493E-3</v>
      </c>
      <c r="P346" s="165">
        <f ca="1"/>
        <v>3.008176971253107E-3</v>
      </c>
      <c r="Q346" s="165">
        <f ca="1"/>
        <v>8.2111936653304074E-3</v>
      </c>
      <c r="R346" s="165">
        <f ca="1"/>
        <v>1.5632083167704369E-2</v>
      </c>
      <c r="S346" s="165">
        <f ca="1"/>
        <v>0</v>
      </c>
      <c r="T346" s="165">
        <f ca="1"/>
        <v>3.4367416093536107E-2</v>
      </c>
      <c r="U346" s="165">
        <f ca="1"/>
        <v>5.3020453859596417E-2</v>
      </c>
      <c r="V346" s="140">
        <f ca="1"/>
        <v>7.9677044713642453E-2</v>
      </c>
      <c r="W346" s="139">
        <f ca="1"/>
        <v>0</v>
      </c>
      <c r="X346" s="165">
        <f ca="1"/>
        <v>1.1890231751340297E-3</v>
      </c>
      <c r="Y346" s="165">
        <f ca="1"/>
        <v>3.1578768586050243E-3</v>
      </c>
      <c r="Z346" s="165">
        <f ca="1"/>
        <v>8.6196976864880703E-3</v>
      </c>
      <c r="AA346" s="165">
        <f ca="1"/>
        <v>1.6407957511142324E-2</v>
      </c>
      <c r="AB346" s="165">
        <f ca="1"/>
        <v>0</v>
      </c>
      <c r="AC346" s="165">
        <f ca="1"/>
        <v>3.605797815706846E-2</v>
      </c>
      <c r="AD346" s="165">
        <f ca="1"/>
        <v>5.5607316509447835E-2</v>
      </c>
      <c r="AE346" s="140">
        <f ca="1"/>
        <v>8.3504314823743986E-2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si="7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8">
        <v>1.39E-3</v>
      </c>
      <c r="G347" s="158">
        <v>2.0899999999999998E-3</v>
      </c>
      <c r="H347" s="158">
        <v>3.0500000000000002E-3</v>
      </c>
      <c r="I347" s="158">
        <v>3.8999999999999998E-3</v>
      </c>
      <c r="J347" s="158" t="s">
        <v>87</v>
      </c>
      <c r="K347" s="158">
        <v>5.3E-3</v>
      </c>
      <c r="L347" s="158">
        <v>6.0000000000000001E-3</v>
      </c>
      <c r="M347" s="158">
        <v>6.6E-3</v>
      </c>
      <c r="N347" s="139" cm="1">
        <f t="array" aca="1" ref="N347:AE347" ca="1">IF(OR(B347="",NOT($J$2)),"",GetStripDefaultProbability(A347,B347,Parameter_Date,CDSRollDate,E347:M347,SpreadCurveMaturities,D347,C347,$J$4,$J$6))</f>
        <v>0</v>
      </c>
      <c r="O347" s="165">
        <f ca="1"/>
        <v>1.0395405822699599E-3</v>
      </c>
      <c r="P347" s="165">
        <f ca="1"/>
        <v>2.8848937882731684E-3</v>
      </c>
      <c r="Q347" s="165">
        <f ca="1"/>
        <v>8.0834297943213063E-3</v>
      </c>
      <c r="R347" s="165">
        <f ca="1"/>
        <v>1.5321886156478559E-2</v>
      </c>
      <c r="S347" s="165">
        <f ca="1"/>
        <v>0</v>
      </c>
      <c r="T347" s="165">
        <f ca="1"/>
        <v>3.4405595967619607E-2</v>
      </c>
      <c r="U347" s="165">
        <f ca="1"/>
        <v>5.4033117712076306E-2</v>
      </c>
      <c r="V347" s="140">
        <f ca="1"/>
        <v>8.3888123719010221E-2</v>
      </c>
      <c r="W347" s="139">
        <f ca="1"/>
        <v>0</v>
      </c>
      <c r="X347" s="165">
        <f ca="1"/>
        <v>1.1142835771709159E-3</v>
      </c>
      <c r="Y347" s="165">
        <f ca="1"/>
        <v>3.0283500998932178E-3</v>
      </c>
      <c r="Z347" s="165">
        <f ca="1"/>
        <v>8.4855078382544136E-3</v>
      </c>
      <c r="AA347" s="165">
        <f ca="1"/>
        <v>1.6082367659936869E-2</v>
      </c>
      <c r="AB347" s="165">
        <f ca="1"/>
        <v>0</v>
      </c>
      <c r="AC347" s="165">
        <f ca="1"/>
        <v>3.6098072097803913E-2</v>
      </c>
      <c r="AD347" s="165">
        <f ca="1"/>
        <v>5.6668926270201481E-2</v>
      </c>
      <c r="AE347" s="140">
        <f ca="1"/>
        <v>8.7912197322008279E-2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si="7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8" t="s">
        <v>87</v>
      </c>
      <c r="G348" s="158">
        <v>2.5000000000000001E-3</v>
      </c>
      <c r="H348" s="158" t="s">
        <v>87</v>
      </c>
      <c r="I348" s="158">
        <v>3.7000000000000002E-3</v>
      </c>
      <c r="J348" s="158" t="s">
        <v>87</v>
      </c>
      <c r="K348" s="158">
        <v>5.0000000000000001E-3</v>
      </c>
      <c r="L348" s="158">
        <v>5.7999999999999996E-3</v>
      </c>
      <c r="M348" s="158">
        <v>7.0000000000000001E-3</v>
      </c>
      <c r="N348" s="139" cm="1">
        <f t="array" aca="1" ref="N348:AE348" ca="1">IF(OR(B348="",NOT($J$2)),"",GetStripDefaultProbability(A348,B348,Parameter_Date,CDSRollDate,E348:M348,SpreadCurveMaturities,D348,C348,$J$4,$J$6))</f>
        <v>0</v>
      </c>
      <c r="O348" s="165">
        <f ca="1"/>
        <v>0</v>
      </c>
      <c r="P348" s="165">
        <f ca="1"/>
        <v>4.5752852642649833E-3</v>
      </c>
      <c r="Q348" s="165">
        <f ca="1"/>
        <v>0</v>
      </c>
      <c r="R348" s="165">
        <f ca="1"/>
        <v>1.9194826848561664E-2</v>
      </c>
      <c r="S348" s="165">
        <f ca="1"/>
        <v>0</v>
      </c>
      <c r="T348" s="165">
        <f ca="1"/>
        <v>4.3010782156365113E-2</v>
      </c>
      <c r="U348" s="165">
        <f ca="1"/>
        <v>6.9400927444777438E-2</v>
      </c>
      <c r="V348" s="140">
        <f ca="1"/>
        <v>0.11940613788611842</v>
      </c>
      <c r="W348" s="139">
        <f ca="1"/>
        <v>0</v>
      </c>
      <c r="X348" s="165">
        <f ca="1"/>
        <v>0</v>
      </c>
      <c r="Y348" s="165">
        <f ca="1"/>
        <v>4.8034031661986498E-3</v>
      </c>
      <c r="Z348" s="165">
        <f ca="1"/>
        <v>0</v>
      </c>
      <c r="AA348" s="165">
        <f ca="1"/>
        <v>2.0144112859260099E-2</v>
      </c>
      <c r="AB348" s="165">
        <f ca="1"/>
        <v>0</v>
      </c>
      <c r="AC348" s="165">
        <f ca="1"/>
        <v>4.5116665650827947E-2</v>
      </c>
      <c r="AD348" s="165">
        <f ca="1"/>
        <v>7.2761901181726873E-2</v>
      </c>
      <c r="AE348" s="140">
        <f ca="1"/>
        <v>0.12508258238601522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si="7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8">
        <v>1.2199999999999999E-3</v>
      </c>
      <c r="G349" s="158">
        <v>1.82E-3</v>
      </c>
      <c r="H349" s="158">
        <v>2.6700000000000001E-3</v>
      </c>
      <c r="I349" s="158">
        <v>3.4399999999999999E-3</v>
      </c>
      <c r="J349" s="158" t="s">
        <v>87</v>
      </c>
      <c r="K349" s="158">
        <v>4.7999999999999996E-3</v>
      </c>
      <c r="L349" s="158">
        <v>5.4999999999999997E-3</v>
      </c>
      <c r="M349" s="158">
        <v>6.1000000000000004E-3</v>
      </c>
      <c r="N349" s="139" cm="1">
        <f t="array" aca="1" ref="N349:AE349" ca="1">IF(OR(B349="",NOT($J$2)),"",GetStripDefaultProbability(A349,B349,Parameter_Date,CDSRollDate,E349:M349,SpreadCurveMaturities,D349,C349,$J$4,$J$6))</f>
        <v>0</v>
      </c>
      <c r="O349" s="165">
        <f ca="1"/>
        <v>9.1246035404313197E-4</v>
      </c>
      <c r="P349" s="165">
        <f ca="1"/>
        <v>2.5123977923771079E-3</v>
      </c>
      <c r="Q349" s="165">
        <f ca="1"/>
        <v>7.0795510577250642E-3</v>
      </c>
      <c r="R349" s="165">
        <f ca="1"/>
        <v>1.3528038269188469E-2</v>
      </c>
      <c r="S349" s="165">
        <f ca="1"/>
        <v>0</v>
      </c>
      <c r="T349" s="165">
        <f ca="1"/>
        <v>3.1243419411182138E-2</v>
      </c>
      <c r="U349" s="165">
        <f ca="1"/>
        <v>4.9726476670074238E-2</v>
      </c>
      <c r="V349" s="140">
        <f ca="1"/>
        <v>7.795154540742999E-2</v>
      </c>
      <c r="W349" s="139">
        <f ca="1"/>
        <v>0</v>
      </c>
      <c r="X349" s="165">
        <f ca="1"/>
        <v>9.8721340864527107E-4</v>
      </c>
      <c r="Y349" s="165">
        <f ca="1"/>
        <v>2.6370759501149754E-3</v>
      </c>
      <c r="Z349" s="165">
        <f ca="1"/>
        <v>7.4316181150793081E-3</v>
      </c>
      <c r="AA349" s="165">
        <f ca="1"/>
        <v>1.4199781525219723E-2</v>
      </c>
      <c r="AB349" s="165">
        <f ca="1"/>
        <v>0</v>
      </c>
      <c r="AC349" s="165">
        <f ca="1"/>
        <v>3.2782623580599024E-2</v>
      </c>
      <c r="AD349" s="165">
        <f ca="1"/>
        <v>5.2157559380792695E-2</v>
      </c>
      <c r="AE349" s="140">
        <f ca="1"/>
        <v>8.1703640708926772E-2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si="7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8">
        <v>1.42E-3</v>
      </c>
      <c r="G350" s="158">
        <v>1.7700000000000001E-3</v>
      </c>
      <c r="H350" s="158">
        <v>2.66E-3</v>
      </c>
      <c r="I350" s="158">
        <v>3.4199999999999999E-3</v>
      </c>
      <c r="J350" s="158" t="s">
        <v>87</v>
      </c>
      <c r="K350" s="158">
        <v>4.5999999999999999E-3</v>
      </c>
      <c r="L350" s="158">
        <v>5.2399999999999999E-3</v>
      </c>
      <c r="M350" s="158">
        <v>5.7999999999999996E-3</v>
      </c>
      <c r="N350" s="139" cm="1">
        <f t="array" aca="1" ref="N350:AE350" ca="1">IF(OR(B350="",NOT($J$2)),"",GetStripDefaultProbability(A350,B350,Parameter_Date,CDSRollDate,E350:M350,SpreadCurveMaturities,D350,C350,$J$4,$J$6))</f>
        <v>0</v>
      </c>
      <c r="O350" s="165">
        <f ca="1"/>
        <v>1.0619648328191733E-3</v>
      </c>
      <c r="P350" s="165">
        <f ca="1"/>
        <v>2.4388719991637053E-3</v>
      </c>
      <c r="Q350" s="165">
        <f ca="1"/>
        <v>7.0511350055855182E-3</v>
      </c>
      <c r="R350" s="165">
        <f ca="1"/>
        <v>1.3446834659781359E-2</v>
      </c>
      <c r="S350" s="165">
        <f ca="1"/>
        <v>0</v>
      </c>
      <c r="T350" s="165">
        <f ca="1"/>
        <v>2.9898871811387173E-2</v>
      </c>
      <c r="U350" s="165">
        <f ca="1"/>
        <v>4.7334603841838963E-2</v>
      </c>
      <c r="V350" s="140">
        <f ca="1"/>
        <v>7.412786783720593E-2</v>
      </c>
      <c r="W350" s="139">
        <f ca="1"/>
        <v>0</v>
      </c>
      <c r="X350" s="165">
        <f ca="1"/>
        <v>1.136706044524316E-3</v>
      </c>
      <c r="Y350" s="165">
        <f ca="1"/>
        <v>2.563559347050659E-3</v>
      </c>
      <c r="Z350" s="165">
        <f ca="1"/>
        <v>7.4018588311886013E-3</v>
      </c>
      <c r="AA350" s="165">
        <f ca="1"/>
        <v>1.4114630516546489E-2</v>
      </c>
      <c r="AB350" s="165">
        <f ca="1"/>
        <v>0</v>
      </c>
      <c r="AC350" s="165">
        <f ca="1"/>
        <v>3.1372593422096418E-2</v>
      </c>
      <c r="AD350" s="165">
        <f ca="1"/>
        <v>4.9650746904560172E-2</v>
      </c>
      <c r="AE350" s="140">
        <f ca="1"/>
        <v>7.770206828227455E-2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si="7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8">
        <v>1.8500000000000001E-3</v>
      </c>
      <c r="G351" s="158">
        <v>2.0699999999999998E-3</v>
      </c>
      <c r="H351" s="158">
        <v>2.81E-3</v>
      </c>
      <c r="I351" s="158">
        <v>3.2599999999999999E-3</v>
      </c>
      <c r="J351" s="158" t="s">
        <v>87</v>
      </c>
      <c r="K351" s="158">
        <v>4.1000000000000003E-3</v>
      </c>
      <c r="L351" s="158">
        <v>4.5999999999999999E-3</v>
      </c>
      <c r="M351" s="158">
        <v>5.0000000000000001E-3</v>
      </c>
      <c r="N351" s="139" cm="1">
        <f t="array" aca="1" ref="N351:AE351" ca="1">IF(OR(B351="",NOT($J$2)),"",GetStripDefaultProbability(A351,B351,Parameter_Date,CDSRollDate,E351:M351,SpreadCurveMaturities,D351,C351,$J$4,$J$6))</f>
        <v>0</v>
      </c>
      <c r="O351" s="165">
        <f ca="1"/>
        <v>1.8440081184156742E-3</v>
      </c>
      <c r="P351" s="165">
        <f ca="1"/>
        <v>3.7956096246387627E-3</v>
      </c>
      <c r="Q351" s="165">
        <f ca="1"/>
        <v>9.8972720914610735E-3</v>
      </c>
      <c r="R351" s="165">
        <f ca="1"/>
        <v>1.6978348789060904E-2</v>
      </c>
      <c r="S351" s="165">
        <f ca="1"/>
        <v>0</v>
      </c>
      <c r="T351" s="165">
        <f ca="1"/>
        <v>3.523866954799082E-2</v>
      </c>
      <c r="U351" s="165">
        <f ca="1"/>
        <v>5.4921017686196949E-2</v>
      </c>
      <c r="V351" s="140">
        <f ca="1"/>
        <v>8.425349331151466E-2</v>
      </c>
      <c r="W351" s="139">
        <f ca="1"/>
        <v>0</v>
      </c>
      <c r="X351" s="165">
        <f ca="1"/>
        <v>1.9435793062836382E-3</v>
      </c>
      <c r="Y351" s="165">
        <f ca="1"/>
        <v>3.9674400611674487E-3</v>
      </c>
      <c r="Z351" s="165">
        <f ca="1"/>
        <v>1.0390227412958475E-2</v>
      </c>
      <c r="AA351" s="165">
        <f ca="1"/>
        <v>1.7821106391133434E-2</v>
      </c>
      <c r="AB351" s="165">
        <f ca="1"/>
        <v>0</v>
      </c>
      <c r="AC351" s="165">
        <f ca="1"/>
        <v>3.6971195963363845E-2</v>
      </c>
      <c r="AD351" s="165">
        <f ca="1"/>
        <v>5.7597752529391144E-2</v>
      </c>
      <c r="AE351" s="140">
        <f ca="1"/>
        <v>8.8291745520419074E-2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si="7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8">
        <v>1.41E-3</v>
      </c>
      <c r="G352" s="158">
        <v>2.1900000000000001E-3</v>
      </c>
      <c r="H352" s="158">
        <v>3.2100000000000002E-3</v>
      </c>
      <c r="I352" s="158">
        <v>3.7299999999999998E-3</v>
      </c>
      <c r="J352" s="158" t="s">
        <v>87</v>
      </c>
      <c r="K352" s="158">
        <v>4.4999999999999997E-3</v>
      </c>
      <c r="L352" s="158">
        <v>4.8900000000000002E-3</v>
      </c>
      <c r="M352" s="158">
        <v>5.2700000000000004E-3</v>
      </c>
      <c r="N352" s="139" cm="1">
        <f t="array" aca="1" ref="N352:AE352" ca="1">IF(OR(B352="",NOT($J$2)),"",GetStripDefaultProbability(A352,B352,Parameter_Date,CDSRollDate,E352:M352,SpreadCurveMaturities,D352,C352,$J$4,$J$6))</f>
        <v>0</v>
      </c>
      <c r="O352" s="165">
        <f ca="1"/>
        <v>1.405761518280646E-3</v>
      </c>
      <c r="P352" s="165">
        <f ca="1"/>
        <v>4.029939649443981E-3</v>
      </c>
      <c r="Q352" s="165">
        <f ca="1"/>
        <v>1.1330284505718824E-2</v>
      </c>
      <c r="R352" s="165">
        <f ca="1"/>
        <v>1.943952266383886E-2</v>
      </c>
      <c r="S352" s="165">
        <f ca="1"/>
        <v>0</v>
      </c>
      <c r="T352" s="165">
        <f ca="1"/>
        <v>3.8588020899228526E-2</v>
      </c>
      <c r="U352" s="165">
        <f ca="1"/>
        <v>5.811674785604648E-2</v>
      </c>
      <c r="V352" s="140">
        <f ca="1"/>
        <v>8.8478486686361935E-2</v>
      </c>
      <c r="W352" s="139">
        <f ca="1"/>
        <v>0</v>
      </c>
      <c r="X352" s="165">
        <f ca="1"/>
        <v>1.5053812538370348E-3</v>
      </c>
      <c r="Y352" s="165">
        <f ca="1"/>
        <v>4.230285712001125E-3</v>
      </c>
      <c r="Z352" s="165">
        <f ca="1"/>
        <v>1.1893078012350289E-2</v>
      </c>
      <c r="AA352" s="165">
        <f ca="1"/>
        <v>2.0402224328760044E-2</v>
      </c>
      <c r="AB352" s="165">
        <f ca="1"/>
        <v>0</v>
      </c>
      <c r="AC352" s="165">
        <f ca="1"/>
        <v>4.0480112660858047E-2</v>
      </c>
      <c r="AD352" s="165">
        <f ca="1"/>
        <v>6.0941341343688671E-2</v>
      </c>
      <c r="AE352" s="140">
        <f ca="1"/>
        <v>9.270391289291835E-2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si="7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8">
        <v>1.0200000000000001E-3</v>
      </c>
      <c r="G353" s="158">
        <v>1.5399999999999999E-3</v>
      </c>
      <c r="H353" s="158">
        <v>2.0500000000000002E-3</v>
      </c>
      <c r="I353" s="158">
        <v>2.7599999999999999E-3</v>
      </c>
      <c r="J353" s="158" t="s">
        <v>87</v>
      </c>
      <c r="K353" s="158">
        <v>4.3E-3</v>
      </c>
      <c r="L353" s="158">
        <v>5.0000000000000001E-3</v>
      </c>
      <c r="M353" s="158">
        <v>5.4000000000000003E-3</v>
      </c>
      <c r="N353" s="139" cm="1">
        <f t="array" aca="1" ref="N353:AE353" ca="1">IF(OR(B353="",NOT($J$2)),"",GetStripDefaultProbability(A353,B353,Parameter_Date,CDSRollDate,E353:M353,SpreadCurveMaturities,D353,C353,$J$4,$J$6))</f>
        <v>0</v>
      </c>
      <c r="O353" s="165">
        <f ca="1"/>
        <v>1.0171158301052197E-3</v>
      </c>
      <c r="P353" s="165">
        <f ca="1"/>
        <v>2.8344507772793959E-3</v>
      </c>
      <c r="Q353" s="165">
        <f ca="1"/>
        <v>7.2354492769309831E-3</v>
      </c>
      <c r="R353" s="165">
        <f ca="1"/>
        <v>1.4476150903659057E-2</v>
      </c>
      <c r="S353" s="165">
        <f ca="1"/>
        <v>0</v>
      </c>
      <c r="T353" s="165">
        <f ca="1"/>
        <v>3.7437450738668776E-2</v>
      </c>
      <c r="U353" s="165">
        <f ca="1"/>
        <v>6.031857586356637E-2</v>
      </c>
      <c r="V353" s="140">
        <f ca="1"/>
        <v>9.1357048574283839E-2</v>
      </c>
      <c r="W353" s="139">
        <f ca="1"/>
        <v>0</v>
      </c>
      <c r="X353" s="165">
        <f ca="1"/>
        <v>1.1167749866177745E-3</v>
      </c>
      <c r="Y353" s="165">
        <f ca="1"/>
        <v>3.000631186724112E-3</v>
      </c>
      <c r="Z353" s="165">
        <f ca="1"/>
        <v>7.593778146329444E-3</v>
      </c>
      <c r="AA353" s="165">
        <f ca="1"/>
        <v>1.5193284438983268E-2</v>
      </c>
      <c r="AB353" s="165">
        <f ca="1"/>
        <v>0</v>
      </c>
      <c r="AC353" s="165">
        <f ca="1"/>
        <v>3.9275914836700121E-2</v>
      </c>
      <c r="AD353" s="165">
        <f ca="1"/>
        <v>6.3254229538093565E-2</v>
      </c>
      <c r="AE353" s="140">
        <f ca="1"/>
        <v>9.5723569908307105E-2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si="7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8">
        <v>1.65E-3</v>
      </c>
      <c r="G354" s="158">
        <v>2.5300000000000001E-3</v>
      </c>
      <c r="H354" s="158">
        <v>3.2299999999999998E-3</v>
      </c>
      <c r="I354" s="158">
        <v>3.5400000000000002E-3</v>
      </c>
      <c r="J354" s="158" t="s">
        <v>87</v>
      </c>
      <c r="K354" s="158">
        <v>4.1999999999999997E-3</v>
      </c>
      <c r="L354" s="158">
        <v>4.5999999999999999E-3</v>
      </c>
      <c r="M354" s="158">
        <v>5.0000000000000001E-3</v>
      </c>
      <c r="N354" s="139" cm="1">
        <f t="array" aca="1" ref="N354:AE354" ca="1">IF(OR(B354="",NOT($J$2)),"",GetStripDefaultProbability(A354,B354,Parameter_Date,CDSRollDate,E354:M354,SpreadCurveMaturities,D354,C354,$J$4,$J$6))</f>
        <v>0</v>
      </c>
      <c r="O354" s="165">
        <f ca="1"/>
        <v>1.6448193422308188E-3</v>
      </c>
      <c r="P354" s="165">
        <f ca="1"/>
        <v>4.6538502791179104E-3</v>
      </c>
      <c r="Q354" s="165">
        <f ca="1"/>
        <v>1.1372423120745823E-2</v>
      </c>
      <c r="R354" s="165">
        <f ca="1"/>
        <v>1.838427031730494E-2</v>
      </c>
      <c r="S354" s="165">
        <f ca="1"/>
        <v>0</v>
      </c>
      <c r="T354" s="165">
        <f ca="1"/>
        <v>3.5917953707690131E-2</v>
      </c>
      <c r="U354" s="165">
        <f ca="1"/>
        <v>5.4607124313882482E-2</v>
      </c>
      <c r="V354" s="140">
        <f ca="1"/>
        <v>8.3943235315380726E-2</v>
      </c>
      <c r="W354" s="139">
        <f ca="1"/>
        <v>0</v>
      </c>
      <c r="X354" s="165">
        <f ca="1"/>
        <v>1.7444120378020678E-3</v>
      </c>
      <c r="Y354" s="165">
        <f ca="1"/>
        <v>4.8855869366660754E-3</v>
      </c>
      <c r="Z354" s="165">
        <f ca="1"/>
        <v>1.1937502551626067E-2</v>
      </c>
      <c r="AA354" s="165">
        <f ca="1"/>
        <v>1.9295028563533934E-2</v>
      </c>
      <c r="AB354" s="165">
        <f ca="1"/>
        <v>0</v>
      </c>
      <c r="AC354" s="165">
        <f ca="1"/>
        <v>3.7681378620371797E-2</v>
      </c>
      <c r="AD354" s="165">
        <f ca="1"/>
        <v>5.7265655856002406E-2</v>
      </c>
      <c r="AE354" s="140">
        <f ca="1"/>
        <v>8.7963295881273051E-2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si="7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8">
        <v>1.06E-3</v>
      </c>
      <c r="G355" s="158">
        <v>1.6900000000000001E-3</v>
      </c>
      <c r="H355" s="158">
        <v>2.0100000000000001E-3</v>
      </c>
      <c r="I355" s="158">
        <v>2.5400000000000002E-3</v>
      </c>
      <c r="J355" s="158" t="s">
        <v>87</v>
      </c>
      <c r="K355" s="158">
        <v>3.5999999999999999E-3</v>
      </c>
      <c r="L355" s="158">
        <v>4.15E-3</v>
      </c>
      <c r="M355" s="158">
        <v>4.5999999999999999E-3</v>
      </c>
      <c r="N355" s="139" cm="1">
        <f t="array" aca="1" ref="N355:AE355" ca="1">IF(OR(B355="",NOT($J$2)),"",GetStripDefaultProbability(A355,B355,Parameter_Date,CDSRollDate,E355:M355,SpreadCurveMaturities,D355,C355,$J$4,$J$6))</f>
        <v>0</v>
      </c>
      <c r="O355" s="165">
        <f ca="1"/>
        <v>1.0569817093769585E-3</v>
      </c>
      <c r="P355" s="165">
        <f ca="1"/>
        <v>3.1117537983824661E-3</v>
      </c>
      <c r="Q355" s="165">
        <f ca="1"/>
        <v>7.0813323794199912E-3</v>
      </c>
      <c r="R355" s="165">
        <f ca="1"/>
        <v>1.3285508403887314E-2</v>
      </c>
      <c r="S355" s="165">
        <f ca="1"/>
        <v>0</v>
      </c>
      <c r="T355" s="165">
        <f ca="1"/>
        <v>3.1232274995678155E-2</v>
      </c>
      <c r="U355" s="165">
        <f ca="1"/>
        <v>5.0040836766748642E-2</v>
      </c>
      <c r="V355" s="140">
        <f ca="1"/>
        <v>7.8374878540223736E-2</v>
      </c>
      <c r="W355" s="139">
        <f ca="1"/>
        <v>0</v>
      </c>
      <c r="X355" s="165">
        <f ca="1"/>
        <v>1.1566367028181812E-3</v>
      </c>
      <c r="Y355" s="165">
        <f ca="1"/>
        <v>3.2778879945218886E-3</v>
      </c>
      <c r="Z355" s="165">
        <f ca="1"/>
        <v>7.4325143836282415E-3</v>
      </c>
      <c r="AA355" s="165">
        <f ca="1"/>
        <v>1.3944193571596708E-2</v>
      </c>
      <c r="AB355" s="165">
        <f ca="1"/>
        <v>0</v>
      </c>
      <c r="AC355" s="165">
        <f ca="1"/>
        <v>3.2769850593968752E-2</v>
      </c>
      <c r="AD355" s="165">
        <f ca="1"/>
        <v>5.248607684283535E-2</v>
      </c>
      <c r="AE355" s="140">
        <f ca="1"/>
        <v>8.2145751990734817E-2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si="7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8">
        <v>1.09E-3</v>
      </c>
      <c r="G356" s="158">
        <v>1.56E-3</v>
      </c>
      <c r="H356" s="158">
        <v>2.1900000000000001E-3</v>
      </c>
      <c r="I356" s="158">
        <v>2.7299999999999998E-3</v>
      </c>
      <c r="J356" s="158" t="s">
        <v>87</v>
      </c>
      <c r="K356" s="158">
        <v>3.5000000000000001E-3</v>
      </c>
      <c r="L356" s="158">
        <v>4.0000000000000001E-3</v>
      </c>
      <c r="M356" s="158">
        <v>4.5999999999999999E-3</v>
      </c>
      <c r="N356" s="139" cm="1">
        <f t="array" aca="1" ref="N356:AE356" ca="1">IF(OR(B356="",NOT($J$2)),"",GetStripDefaultProbability(A356,B356,Parameter_Date,CDSRollDate,E356:M356,SpreadCurveMaturities,D356,C356,$J$4,$J$6))</f>
        <v>0</v>
      </c>
      <c r="O356" s="165">
        <f ca="1"/>
        <v>8.152704861837945E-4</v>
      </c>
      <c r="P356" s="165">
        <f ca="1"/>
        <v>2.1529371173605316E-3</v>
      </c>
      <c r="Q356" s="165">
        <f ca="1"/>
        <v>5.8047394332981783E-3</v>
      </c>
      <c r="R356" s="165">
        <f ca="1"/>
        <v>1.0730327661899186E-2</v>
      </c>
      <c r="S356" s="165">
        <f ca="1"/>
        <v>0</v>
      </c>
      <c r="T356" s="165">
        <f ca="1"/>
        <v>2.274172683721698E-2</v>
      </c>
      <c r="U356" s="165">
        <f ca="1"/>
        <v>3.6237579551852472E-2</v>
      </c>
      <c r="V356" s="140">
        <f ca="1"/>
        <v>5.946043471953677E-2</v>
      </c>
      <c r="W356" s="139">
        <f ca="1"/>
        <v>0</v>
      </c>
      <c r="X356" s="165">
        <f ca="1"/>
        <v>8.9003118218577981E-4</v>
      </c>
      <c r="Y356" s="165">
        <f ca="1"/>
        <v>2.277660204859977E-3</v>
      </c>
      <c r="Z356" s="165">
        <f ca="1"/>
        <v>6.0926751727712336E-3</v>
      </c>
      <c r="AA356" s="165">
        <f ca="1"/>
        <v>1.1262808345363751E-2</v>
      </c>
      <c r="AB356" s="165">
        <f ca="1"/>
        <v>0</v>
      </c>
      <c r="AC356" s="165">
        <f ca="1"/>
        <v>2.3865202577297961E-2</v>
      </c>
      <c r="AD356" s="165">
        <f ca="1"/>
        <v>3.8018422633817606E-2</v>
      </c>
      <c r="AE356" s="140">
        <f ca="1"/>
        <v>6.2348712334445944E-2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si="7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8">
        <v>1.74E-3</v>
      </c>
      <c r="G357" s="158">
        <v>2.0899999999999998E-3</v>
      </c>
      <c r="H357" s="158">
        <v>2.7799999999999999E-3</v>
      </c>
      <c r="I357" s="158">
        <v>3.3300000000000001E-3</v>
      </c>
      <c r="J357" s="158" t="s">
        <v>87</v>
      </c>
      <c r="K357" s="158">
        <v>4.0000000000000001E-3</v>
      </c>
      <c r="L357" s="158">
        <v>4.45E-3</v>
      </c>
      <c r="M357" s="158">
        <v>5.0000000000000001E-3</v>
      </c>
      <c r="N357" s="139" cm="1">
        <f t="array" aca="1" ref="N357:AE357" ca="1">IF(OR(B357="",NOT($J$2)),"",GetStripDefaultProbability(A357,B357,Parameter_Date,CDSRollDate,E357:M357,SpreadCurveMaturities,D357,C357,$J$4,$J$6))</f>
        <v>0</v>
      </c>
      <c r="O357" s="165">
        <f ca="1"/>
        <v>1.7344591908609042E-3</v>
      </c>
      <c r="P357" s="165">
        <f ca="1"/>
        <v>3.8356415483994377E-3</v>
      </c>
      <c r="Q357" s="165">
        <f ca="1"/>
        <v>9.7916880020003649E-3</v>
      </c>
      <c r="R357" s="165">
        <f ca="1"/>
        <v>1.7361996215557896E-2</v>
      </c>
      <c r="S357" s="165">
        <f ca="1"/>
        <v>0</v>
      </c>
      <c r="T357" s="165">
        <f ca="1"/>
        <v>3.4319783499421441E-2</v>
      </c>
      <c r="U357" s="165">
        <f ca="1"/>
        <v>5.3049271364779438E-2</v>
      </c>
      <c r="V357" s="140">
        <f ca="1"/>
        <v>8.460613953992091E-2</v>
      </c>
      <c r="W357" s="139">
        <f ca="1"/>
        <v>0</v>
      </c>
      <c r="X357" s="165">
        <f ca="1"/>
        <v>1.8340422329004014E-3</v>
      </c>
      <c r="Y357" s="165">
        <f ca="1"/>
        <v>4.0267148001071895E-3</v>
      </c>
      <c r="Z357" s="165">
        <f ca="1"/>
        <v>1.0278633733802889E-2</v>
      </c>
      <c r="AA357" s="165">
        <f ca="1"/>
        <v>1.822295616568459E-2</v>
      </c>
      <c r="AB357" s="165">
        <f ca="1"/>
        <v>0</v>
      </c>
      <c r="AC357" s="165">
        <f ca="1"/>
        <v>3.6006838735769597E-2</v>
      </c>
      <c r="AD357" s="165">
        <f ca="1"/>
        <v>5.5635417708221113E-2</v>
      </c>
      <c r="AE357" s="140">
        <f ca="1"/>
        <v>8.8661017540060172E-2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si="7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8">
        <v>1.42E-3</v>
      </c>
      <c r="G358" s="158">
        <v>1.8400000000000001E-3</v>
      </c>
      <c r="H358" s="158">
        <v>2.5500000000000002E-3</v>
      </c>
      <c r="I358" s="158">
        <v>3.3500000000000001E-3</v>
      </c>
      <c r="J358" s="158" t="s">
        <v>87</v>
      </c>
      <c r="K358" s="158">
        <v>4.7999999999999996E-3</v>
      </c>
      <c r="L358" s="158">
        <v>5.4999999999999997E-3</v>
      </c>
      <c r="M358" s="158">
        <v>6.0000000000000001E-3</v>
      </c>
      <c r="N358" s="139" cm="1">
        <f t="array" aca="1" ref="N358:AE358" ca="1">IF(OR(B358="",NOT($J$2)),"",GetStripDefaultProbability(A358,B358,Parameter_Date,CDSRollDate,E358:M358,SpreadCurveMaturities,D358,C358,$J$4,$J$6))</f>
        <v>0</v>
      </c>
      <c r="O358" s="165">
        <f ca="1"/>
        <v>1.0619648328191733E-3</v>
      </c>
      <c r="P358" s="165">
        <f ca="1"/>
        <v>2.5363173160399821E-3</v>
      </c>
      <c r="Q358" s="165">
        <f ca="1"/>
        <v>6.7521742541457597E-3</v>
      </c>
      <c r="R358" s="165">
        <f ca="1"/>
        <v>1.3174306223935561E-2</v>
      </c>
      <c r="S358" s="165">
        <f ca="1"/>
        <v>0</v>
      </c>
      <c r="T358" s="165">
        <f ca="1"/>
        <v>3.1281667441368399E-2</v>
      </c>
      <c r="U358" s="165">
        <f ca="1"/>
        <v>4.9764799898576961E-2</v>
      </c>
      <c r="V358" s="140">
        <f ca="1"/>
        <v>7.654744162716498E-2</v>
      </c>
      <c r="W358" s="139">
        <f ca="1"/>
        <v>0</v>
      </c>
      <c r="X358" s="165">
        <f ca="1"/>
        <v>1.136706044524316E-3</v>
      </c>
      <c r="Y358" s="165">
        <f ca="1"/>
        <v>2.6609924840208521E-3</v>
      </c>
      <c r="Z358" s="165">
        <f ca="1"/>
        <v>7.0881944225499316E-3</v>
      </c>
      <c r="AA358" s="165">
        <f ca="1"/>
        <v>1.3828804032143371E-2</v>
      </c>
      <c r="AB358" s="165">
        <f ca="1"/>
        <v>0</v>
      </c>
      <c r="AC358" s="165">
        <f ca="1"/>
        <v>3.2823134457078407E-2</v>
      </c>
      <c r="AD358" s="165">
        <f ca="1"/>
        <v>5.2198292455204465E-2</v>
      </c>
      <c r="AE358" s="140">
        <f ca="1"/>
        <v>8.0234218491992082E-2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si="7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8" t="s">
        <v>87</v>
      </c>
      <c r="G359" s="158">
        <v>1.4400000000000001E-3</v>
      </c>
      <c r="H359" s="158" t="s">
        <v>87</v>
      </c>
      <c r="I359" s="158">
        <v>2.2910000000000001E-3</v>
      </c>
      <c r="J359" s="158" t="s">
        <v>87</v>
      </c>
      <c r="K359" s="158">
        <v>3.5999999999999999E-3</v>
      </c>
      <c r="L359" s="158">
        <v>4.5820000000000001E-3</v>
      </c>
      <c r="M359" s="158">
        <v>5.5259999999999997E-3</v>
      </c>
      <c r="N359" s="139" cm="1">
        <f t="array" aca="1" ref="N359:AE359" ca="1">IF(OR(B359="",NOT($J$2)),"",GetStripDefaultProbability(A359,B359,Parameter_Date,CDSRollDate,E359:M359,SpreadCurveMaturities,D359,C359,$J$4,$J$6))</f>
        <v>0</v>
      </c>
      <c r="O359" s="165">
        <f ca="1"/>
        <v>0</v>
      </c>
      <c r="P359" s="165">
        <f ca="1"/>
        <v>1.9790761488300834E-3</v>
      </c>
      <c r="Q359" s="165">
        <f ca="1"/>
        <v>0</v>
      </c>
      <c r="R359" s="165">
        <f ca="1"/>
        <v>8.9651898550245912E-3</v>
      </c>
      <c r="S359" s="165">
        <f ca="1"/>
        <v>0</v>
      </c>
      <c r="T359" s="165">
        <f ca="1"/>
        <v>2.3608856902195829E-2</v>
      </c>
      <c r="U359" s="165">
        <f ca="1"/>
        <v>4.2209734060782433E-2</v>
      </c>
      <c r="V359" s="140">
        <f ca="1"/>
        <v>7.2703649842128848E-2</v>
      </c>
      <c r="W359" s="139">
        <f ca="1"/>
        <v>0</v>
      </c>
      <c r="X359" s="165">
        <f ca="1"/>
        <v>0</v>
      </c>
      <c r="Y359" s="165">
        <f ca="1"/>
        <v>2.1038209676176312E-3</v>
      </c>
      <c r="Z359" s="165">
        <f ca="1"/>
        <v>0</v>
      </c>
      <c r="AA359" s="165">
        <f ca="1"/>
        <v>9.4092851937037647E-3</v>
      </c>
      <c r="AB359" s="165">
        <f ca="1"/>
        <v>0</v>
      </c>
      <c r="AC359" s="165">
        <f ca="1"/>
        <v>2.4774593473003703E-2</v>
      </c>
      <c r="AD359" s="165">
        <f ca="1"/>
        <v>4.4281195048325839E-2</v>
      </c>
      <c r="AE359" s="140">
        <f ca="1"/>
        <v>7.6218360655026518E-2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si="7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8" t="s">
        <v>87</v>
      </c>
      <c r="G360" s="158">
        <v>3.7332999999999998E-2</v>
      </c>
      <c r="H360" s="158" t="s">
        <v>87</v>
      </c>
      <c r="I360" s="158">
        <v>3.1806000000000001E-2</v>
      </c>
      <c r="J360" s="158" t="s">
        <v>87</v>
      </c>
      <c r="K360" s="158">
        <v>2.8000000000000001E-2</v>
      </c>
      <c r="L360" s="158">
        <v>2.4181999999999999E-2</v>
      </c>
      <c r="M360" s="158">
        <v>2.0872999999999999E-2</v>
      </c>
      <c r="N360" s="139" cm="1">
        <f t="array" aca="1" ref="N360:AE360" ca="1">IF(OR(B360="",NOT($J$2)),"",GetStripDefaultProbability(A360,B360,Parameter_Date,CDSRollDate,E360:M360,SpreadCurveMaturities,D360,C360,$J$4,$J$6))</f>
        <v>0</v>
      </c>
      <c r="O360" s="165">
        <f ca="1"/>
        <v>0</v>
      </c>
      <c r="P360" s="165">
        <f ca="1"/>
        <v>6.6185355719123207E-2</v>
      </c>
      <c r="Q360" s="165">
        <f ca="1"/>
        <v>0</v>
      </c>
      <c r="R360" s="165">
        <f ca="1"/>
        <v>0.15077766619499799</v>
      </c>
      <c r="S360" s="165">
        <f ca="1"/>
        <v>0</v>
      </c>
      <c r="T360" s="165">
        <f ca="1"/>
        <v>0.20749974978642982</v>
      </c>
      <c r="U360" s="165">
        <f ca="1"/>
        <v>0.23624562248785752</v>
      </c>
      <c r="V360" s="140">
        <f ca="1"/>
        <v>0.27084071818320876</v>
      </c>
      <c r="W360" s="139">
        <f ca="1"/>
        <v>0</v>
      </c>
      <c r="X360" s="165">
        <f ca="1"/>
        <v>0</v>
      </c>
      <c r="Y360" s="165">
        <f ca="1"/>
        <v>6.9377061007304452E-2</v>
      </c>
      <c r="Z360" s="165">
        <f ca="1"/>
        <v>0</v>
      </c>
      <c r="AA360" s="165">
        <f ca="1"/>
        <v>0.15764700030263912</v>
      </c>
      <c r="AB360" s="165">
        <f ca="1"/>
        <v>0</v>
      </c>
      <c r="AC360" s="165">
        <f ca="1"/>
        <v>0.21650786023253554</v>
      </c>
      <c r="AD360" s="165">
        <f ca="1"/>
        <v>0.24608840522579112</v>
      </c>
      <c r="AE360" s="140">
        <f ca="1"/>
        <v>0.28163436920054064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59">
        <f t="shared" si="7"/>
        <v>350</v>
      </c>
      <c r="B361" s="160" t="s">
        <v>419</v>
      </c>
      <c r="C361" s="161">
        <v>0.4</v>
      </c>
      <c r="D361" s="162" t="s">
        <v>67</v>
      </c>
      <c r="E361" s="163" t="s">
        <v>87</v>
      </c>
      <c r="F361" s="164" t="s">
        <v>87</v>
      </c>
      <c r="G361" s="164">
        <v>1.75E-3</v>
      </c>
      <c r="H361" s="164" t="s">
        <v>87</v>
      </c>
      <c r="I361" s="164">
        <v>2.7499999999999998E-3</v>
      </c>
      <c r="J361" s="164" t="s">
        <v>87</v>
      </c>
      <c r="K361" s="164">
        <v>3.3999999999999998E-3</v>
      </c>
      <c r="L361" s="164">
        <v>3.4499999999999999E-3</v>
      </c>
      <c r="M361" s="164">
        <v>3.5999999999999999E-3</v>
      </c>
      <c r="N361" s="139" cm="1">
        <f t="array" aca="1" ref="N361:AE361" ca="1">IF(OR(B361="",NOT($J$2)),"",GetStripDefaultProbability(A361,B361,Parameter_Date,CDSRollDate,E361:M361,SpreadCurveMaturities,D361,C361,$J$4,$J$6))</f>
        <v>0</v>
      </c>
      <c r="O361" s="165">
        <f ca="1"/>
        <v>0</v>
      </c>
      <c r="P361" s="165">
        <f ca="1"/>
        <v>3.2048832137598904E-3</v>
      </c>
      <c r="Q361" s="165">
        <f ca="1"/>
        <v>0</v>
      </c>
      <c r="R361" s="165">
        <f ca="1"/>
        <v>1.4312494874001214E-2</v>
      </c>
      <c r="S361" s="165">
        <f ca="1"/>
        <v>0</v>
      </c>
      <c r="T361" s="165">
        <f ca="1"/>
        <v>2.9263998566957716E-2</v>
      </c>
      <c r="U361" s="165">
        <f ca="1"/>
        <v>4.0935505560746321E-2</v>
      </c>
      <c r="V361" s="140">
        <f ca="1"/>
        <v>6.0442055961133279E-2</v>
      </c>
      <c r="W361" s="139">
        <f ca="1"/>
        <v>0</v>
      </c>
      <c r="X361" s="165">
        <f ca="1"/>
        <v>0</v>
      </c>
      <c r="Y361" s="165">
        <f ca="1"/>
        <v>3.371001889625358E-3</v>
      </c>
      <c r="Z361" s="165">
        <f ca="1"/>
        <v>0</v>
      </c>
      <c r="AA361" s="165">
        <f ca="1"/>
        <v>1.5021909127885369E-2</v>
      </c>
      <c r="AB361" s="165">
        <f ca="1"/>
        <v>0</v>
      </c>
      <c r="AC361" s="165">
        <f ca="1"/>
        <v>3.0705800557249807E-2</v>
      </c>
      <c r="AD361" s="165">
        <f ca="1"/>
        <v>4.2940644634824388E-2</v>
      </c>
      <c r="AE361" s="140">
        <f ca="1"/>
        <v>6.3368737732328317E-2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30480</xdr:rowOff>
                  </from>
                  <to>
                    <xdr:col>13</xdr:col>
                    <xdr:colOff>22860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40"/>
  <sheetViews>
    <sheetView showGridLines="0" tabSelected="1" topLeftCell="A15" zoomScale="71" workbookViewId="0">
      <selection activeCell="O40" sqref="O40"/>
    </sheetView>
  </sheetViews>
  <sheetFormatPr baseColWidth="10" defaultRowHeight="14.4" x14ac:dyDescent="0.3"/>
  <cols>
    <col min="2" max="2" width="17.5546875" bestFit="1" customWidth="1"/>
    <col min="3" max="3" width="20" bestFit="1" customWidth="1"/>
    <col min="6" max="6" width="20" bestFit="1" customWidth="1"/>
    <col min="7" max="7" width="17.6640625" customWidth="1"/>
    <col min="8" max="9" width="20.88671875" bestFit="1" customWidth="1"/>
    <col min="10" max="10" width="14.88671875" bestFit="1" customWidth="1"/>
    <col min="11" max="11" width="22.21875" bestFit="1" customWidth="1"/>
    <col min="13" max="13" width="18.44140625" bestFit="1" customWidth="1"/>
    <col min="14" max="14" width="15.44140625" bestFit="1" customWidth="1"/>
  </cols>
  <sheetData>
    <row r="2" spans="2:11" ht="15" thickBot="1" x14ac:dyDescent="0.35"/>
    <row r="3" spans="2:11" x14ac:dyDescent="0.3">
      <c r="C3" s="321" t="s">
        <v>456</v>
      </c>
      <c r="D3" s="322"/>
      <c r="E3" s="323"/>
    </row>
    <row r="4" spans="2:11" x14ac:dyDescent="0.3">
      <c r="C4" s="324"/>
      <c r="D4" s="325"/>
      <c r="E4" s="326"/>
    </row>
    <row r="5" spans="2:11" ht="15" thickBot="1" x14ac:dyDescent="0.35">
      <c r="C5" s="327"/>
      <c r="D5" s="328"/>
      <c r="E5" s="329"/>
    </row>
    <row r="6" spans="2:11" ht="15" thickBot="1" x14ac:dyDescent="0.35"/>
    <row r="7" spans="2:11" ht="16.2" thickBot="1" x14ac:dyDescent="0.35">
      <c r="B7" s="319" t="s">
        <v>454</v>
      </c>
      <c r="C7" s="320"/>
      <c r="D7" s="79"/>
      <c r="E7" s="319" t="s">
        <v>455</v>
      </c>
      <c r="F7" s="320"/>
      <c r="G7" s="79"/>
      <c r="H7" s="79"/>
      <c r="I7" s="79"/>
      <c r="J7" s="79"/>
      <c r="K7" s="79"/>
    </row>
    <row r="8" spans="2:11" ht="15" thickBot="1" x14ac:dyDescent="0.35">
      <c r="B8" s="85"/>
      <c r="C8" s="62">
        <v>2</v>
      </c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35">
      <c r="B9" s="209" t="s">
        <v>431</v>
      </c>
      <c r="C9" s="359" t="str">
        <f ca="1">F11</f>
        <v>ACCOR_MMR.EUR.SU</v>
      </c>
      <c r="D9" s="79"/>
      <c r="E9" s="209" t="s">
        <v>453</v>
      </c>
      <c r="F9" s="213" t="b">
        <v>1</v>
      </c>
      <c r="I9" s="79"/>
      <c r="J9" s="79"/>
      <c r="K9" s="286"/>
    </row>
    <row r="10" spans="2:11" x14ac:dyDescent="0.3">
      <c r="B10" s="210" t="s">
        <v>432</v>
      </c>
      <c r="C10" s="196" t="s">
        <v>57</v>
      </c>
      <c r="D10" s="79"/>
      <c r="E10" s="210" t="s">
        <v>433</v>
      </c>
      <c r="F10" s="214">
        <f ca="1">GetConvertDate(CDSRollDate,C10)</f>
        <v>47289</v>
      </c>
      <c r="I10" s="79"/>
      <c r="J10" s="79"/>
      <c r="K10" s="79"/>
    </row>
    <row r="11" spans="2:11" ht="15" thickBot="1" x14ac:dyDescent="0.35">
      <c r="B11" s="210" t="s">
        <v>434</v>
      </c>
      <c r="C11" s="197">
        <v>0.01</v>
      </c>
      <c r="D11" s="79"/>
      <c r="E11" s="211" t="s">
        <v>425</v>
      </c>
      <c r="F11" s="215" t="str">
        <f ca="1">GetGetCDSName(C8)</f>
        <v>ACCOR_MMR.EUR.SU</v>
      </c>
      <c r="I11" s="79"/>
      <c r="J11" s="79"/>
      <c r="K11" s="79"/>
    </row>
    <row r="12" spans="2:11" x14ac:dyDescent="0.3">
      <c r="B12" s="210" t="s">
        <v>85</v>
      </c>
      <c r="C12" s="197">
        <v>0.4</v>
      </c>
      <c r="D12" s="79"/>
      <c r="E12" s="205"/>
      <c r="F12" s="297"/>
      <c r="H12" s="286"/>
      <c r="I12" s="79"/>
      <c r="J12" s="79"/>
      <c r="K12" s="79"/>
    </row>
    <row r="13" spans="2:11" ht="15" thickBot="1" x14ac:dyDescent="0.35">
      <c r="B13" s="211" t="s">
        <v>482</v>
      </c>
      <c r="C13" s="75">
        <v>1</v>
      </c>
      <c r="D13" s="79"/>
      <c r="E13" s="79"/>
      <c r="F13" s="79"/>
      <c r="G13" s="337"/>
      <c r="H13" s="338"/>
      <c r="I13" s="79"/>
      <c r="J13" s="79"/>
      <c r="K13" s="79"/>
    </row>
    <row r="14" spans="2:11" ht="15" thickBot="1" x14ac:dyDescent="0.35">
      <c r="B14" s="204"/>
      <c r="C14" s="79"/>
    </row>
    <row r="15" spans="2:11" x14ac:dyDescent="0.3">
      <c r="B15" s="209" t="s">
        <v>82</v>
      </c>
      <c r="C15" s="63" t="s">
        <v>66</v>
      </c>
      <c r="E15" s="228" t="s">
        <v>435</v>
      </c>
      <c r="F15" s="281" t="str">
        <f t="array" aca="1" ref="F15:K23" ca="1">IF(NOT($F$9),"",GetCDS(C9,C10,C11,C12,C13,C19,C20,C21,C15,C16,C17,C23,C24,C26,C28:C30,C32))</f>
        <v>-0,0291474506314997</v>
      </c>
      <c r="G15" s="272" t="str">
        <f ca="1"/>
        <v>0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 x14ac:dyDescent="0.3">
      <c r="B16" s="210" t="s">
        <v>437</v>
      </c>
      <c r="C16" s="69">
        <v>0</v>
      </c>
      <c r="E16" s="229" t="s">
        <v>436</v>
      </c>
      <c r="F16" s="284" t="str">
        <f ca="1"/>
        <v>0,0164035832433032</v>
      </c>
      <c r="G16" s="274" t="str">
        <f ca="1"/>
        <v>0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" thickBot="1" x14ac:dyDescent="0.35">
      <c r="B17" s="211" t="s">
        <v>439</v>
      </c>
      <c r="C17" s="198">
        <v>0</v>
      </c>
      <c r="E17" s="229" t="s">
        <v>438</v>
      </c>
      <c r="F17" s="284" t="str">
        <f ca="1"/>
        <v>0,0455510338748029</v>
      </c>
      <c r="G17" s="274" t="str">
        <f ca="1"/>
        <v>0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" thickBot="1" x14ac:dyDescent="0.35">
      <c r="B18" s="204"/>
      <c r="C18" s="79"/>
      <c r="E18" s="229" t="s">
        <v>440</v>
      </c>
      <c r="F18" s="284" t="str">
        <f ca="1"/>
        <v>0,00360114400221705</v>
      </c>
      <c r="G18" s="274" t="str">
        <f ca="1"/>
        <v>0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 x14ac:dyDescent="0.3">
      <c r="B19" s="209" t="s">
        <v>442</v>
      </c>
      <c r="C19" s="63" t="s">
        <v>83</v>
      </c>
      <c r="E19" s="229" t="s">
        <v>441</v>
      </c>
      <c r="F19" s="284" t="str">
        <f ca="1"/>
        <v>4,55510338748029</v>
      </c>
      <c r="G19" s="276" t="str">
        <f ca="1"/>
        <v>0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" thickBot="1" x14ac:dyDescent="0.35">
      <c r="B20" s="210" t="s">
        <v>444</v>
      </c>
      <c r="C20" s="69" t="s">
        <v>445</v>
      </c>
      <c r="E20" s="229" t="s">
        <v>443</v>
      </c>
      <c r="F20" s="285" t="str">
        <f ca="1"/>
        <v>00:00:00.0052955</v>
      </c>
      <c r="G20" s="278" t="str">
        <f ca="1"/>
        <v>0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" thickBot="1" x14ac:dyDescent="0.35">
      <c r="B21" s="211" t="s">
        <v>446</v>
      </c>
      <c r="C21" s="222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" thickBot="1" x14ac:dyDescent="0.35">
      <c r="B22" s="204"/>
      <c r="C22" s="79"/>
      <c r="E22" s="231"/>
      <c r="F22" s="279" t="str">
        <f ca="1"/>
        <v>0,000834466222711199</v>
      </c>
      <c r="G22" s="279" t="str">
        <f ca="1"/>
        <v>0,00081807497819716</v>
      </c>
      <c r="H22" s="280" t="str">
        <f ca="1"/>
        <v>1,02003635968693</v>
      </c>
      <c r="I22" s="279" t="str">
        <f ca="1"/>
        <v>1,02003635968693</v>
      </c>
      <c r="J22" s="279" t="str">
        <f ca="1"/>
        <v>-0,0164035832433032</v>
      </c>
      <c r="K22" s="280" t="str">
        <f ca="1"/>
        <v>ACCOR_MMR.EUR.SU</v>
      </c>
    </row>
    <row r="23" spans="2:11" x14ac:dyDescent="0.3">
      <c r="B23" s="212" t="s">
        <v>447</v>
      </c>
      <c r="C23" s="199" t="b">
        <v>1</v>
      </c>
      <c r="F23" t="str">
        <f ca="1"/>
        <v/>
      </c>
      <c r="G23" t="str">
        <f ca="1"/>
        <v/>
      </c>
      <c r="H23" t="str">
        <f ca="1"/>
        <v/>
      </c>
      <c r="I23" t="str">
        <f ca="1"/>
        <v/>
      </c>
      <c r="J23" t="str">
        <f ca="1"/>
        <v/>
      </c>
      <c r="K23" t="str">
        <f ca="1"/>
        <v/>
      </c>
    </row>
    <row r="24" spans="2:11" ht="15" thickBot="1" x14ac:dyDescent="0.35">
      <c r="B24" s="211" t="s">
        <v>448</v>
      </c>
      <c r="C24" s="200" t="b">
        <v>1</v>
      </c>
    </row>
    <row r="25" spans="2:11" ht="15" thickBot="1" x14ac:dyDescent="0.35">
      <c r="B25" s="205"/>
      <c r="C25" s="85"/>
      <c r="D25" s="201"/>
      <c r="G25" s="336"/>
      <c r="H25" s="282"/>
    </row>
    <row r="26" spans="2:11" ht="15" thickBot="1" x14ac:dyDescent="0.35">
      <c r="B26" s="182" t="s">
        <v>449</v>
      </c>
      <c r="C26" s="199" t="b">
        <v>1</v>
      </c>
      <c r="D26" s="85"/>
    </row>
    <row r="27" spans="2:11" ht="15" thickBot="1" x14ac:dyDescent="0.35">
      <c r="B27" s="207" t="s">
        <v>450</v>
      </c>
      <c r="C27" s="221"/>
      <c r="D27" s="85"/>
    </row>
    <row r="28" spans="2:11" x14ac:dyDescent="0.3">
      <c r="B28" s="207" t="s">
        <v>434</v>
      </c>
      <c r="C28" s="227"/>
      <c r="D28" s="85"/>
    </row>
    <row r="29" spans="2:11" x14ac:dyDescent="0.3">
      <c r="B29" s="207" t="s">
        <v>447</v>
      </c>
      <c r="C29" s="202" t="b">
        <v>1</v>
      </c>
      <c r="D29" s="85"/>
    </row>
    <row r="30" spans="2:11" ht="15" thickBot="1" x14ac:dyDescent="0.35">
      <c r="B30" s="208" t="s">
        <v>448</v>
      </c>
      <c r="C30" s="203" t="b">
        <v>1</v>
      </c>
      <c r="D30" s="85"/>
    </row>
    <row r="31" spans="2:11" ht="15" thickBot="1" x14ac:dyDescent="0.35">
      <c r="B31" s="206"/>
      <c r="C31" s="79"/>
      <c r="D31" s="85"/>
    </row>
    <row r="32" spans="2:11" ht="15" thickBot="1" x14ac:dyDescent="0.35">
      <c r="B32" s="182" t="s">
        <v>451</v>
      </c>
      <c r="C32" s="188" t="s">
        <v>452</v>
      </c>
      <c r="D32" s="85"/>
    </row>
    <row r="33" spans="5:11" x14ac:dyDescent="0.3">
      <c r="E33" s="228" t="s">
        <v>435</v>
      </c>
      <c r="F33" s="357" cm="1">
        <f t="array" aca="1" ref="F33" ca="1">ConvertirVirguleEnPoint(F15)</f>
        <v>-2.9147450631499702E-2</v>
      </c>
      <c r="G33" s="339" t="str">
        <f ca="1">RIGHT(G15,LEN(G15))</f>
        <v>0</v>
      </c>
      <c r="H33" s="340" t="str">
        <f ca="1">RIGHT(H15,LEN(H15))</f>
        <v>0</v>
      </c>
      <c r="I33" s="341" t="str">
        <f ca="1">RIGHT(I15,LEN(I15))</f>
        <v>0</v>
      </c>
      <c r="J33" s="339" t="str">
        <f ca="1">RIGHT(J15,LEN(J15))</f>
        <v>0</v>
      </c>
      <c r="K33" s="340" t="str">
        <f ca="1">RIGHT(K15,LEN(K15))</f>
        <v>0</v>
      </c>
    </row>
    <row r="34" spans="5:11" x14ac:dyDescent="0.3">
      <c r="E34" s="229" t="s">
        <v>436</v>
      </c>
      <c r="F34" s="358" cm="1">
        <f t="array" aca="1" ref="F34" ca="1">ConvertirVirguleEnPoint(F16)</f>
        <v>1.64035832433032E-2</v>
      </c>
      <c r="G34" s="342" t="str">
        <f ca="1">RIGHT(G16,LEN(G16))</f>
        <v>0</v>
      </c>
      <c r="H34" s="343" t="str">
        <f ca="1">RIGHT(H16,LEN(H16))</f>
        <v>0</v>
      </c>
      <c r="I34" s="344" t="str">
        <f ca="1">RIGHT(I16,LEN(I16))</f>
        <v>0</v>
      </c>
      <c r="J34" s="342" t="str">
        <f ca="1">RIGHT(J16,LEN(J16))</f>
        <v>0</v>
      </c>
      <c r="K34" s="343" t="str">
        <f ca="1">RIGHT(K16,LEN(K16))</f>
        <v>0</v>
      </c>
    </row>
    <row r="35" spans="5:11" x14ac:dyDescent="0.3">
      <c r="E35" s="229" t="s">
        <v>438</v>
      </c>
      <c r="F35" s="358" cm="1">
        <f t="array" aca="1" ref="F35" ca="1">ConvertirVirguleEnPoint(F17)</f>
        <v>4.5551033874802901E-2</v>
      </c>
      <c r="G35" s="342" t="str">
        <f ca="1">RIGHT(G17,LEN(G17))</f>
        <v>0</v>
      </c>
      <c r="H35" s="343" t="str">
        <f ca="1">RIGHT(H17,LEN(H17))</f>
        <v>0</v>
      </c>
      <c r="I35" s="344" t="str">
        <f ca="1">RIGHT(I17,LEN(I17))</f>
        <v>0</v>
      </c>
      <c r="J35" s="342" t="str">
        <f ca="1">RIGHT(J17,LEN(J17))</f>
        <v>0</v>
      </c>
      <c r="K35" s="343" t="str">
        <f ca="1">RIGHT(K17,LEN(K17))</f>
        <v>0</v>
      </c>
    </row>
    <row r="36" spans="5:11" x14ac:dyDescent="0.3">
      <c r="E36" s="229" t="s">
        <v>440</v>
      </c>
      <c r="F36" s="358" cm="1">
        <f t="array" aca="1" ref="F36" ca="1">ConvertirVirguleEnPoint(F18)</f>
        <v>3.60114400221705E-3</v>
      </c>
      <c r="G36" s="342" t="str">
        <f ca="1">RIGHT(G18,LEN(G18))</f>
        <v>0</v>
      </c>
      <c r="H36" s="343" t="str">
        <f ca="1">RIGHT(H18,LEN(H18))</f>
        <v>0</v>
      </c>
      <c r="I36" s="344" t="str">
        <f ca="1">RIGHT(I18,LEN(I18))</f>
        <v>0</v>
      </c>
      <c r="J36" s="342" t="str">
        <f ca="1">RIGHT(J18,LEN(J18))</f>
        <v>0</v>
      </c>
      <c r="K36" s="343" t="str">
        <f ca="1">RIGHT(K18,LEN(K18))</f>
        <v>0</v>
      </c>
    </row>
    <row r="37" spans="5:11" x14ac:dyDescent="0.3">
      <c r="E37" s="229" t="s">
        <v>441</v>
      </c>
      <c r="F37" s="354" cm="1">
        <f t="array" aca="1" ref="F37" ca="1">ConvertirVirguleEnPoint(F19)</f>
        <v>4.5551033874802904</v>
      </c>
      <c r="G37" s="345" t="str">
        <f ca="1">RIGHT(G19,LEN(G19))</f>
        <v>0</v>
      </c>
      <c r="H37" s="343" t="str">
        <f ca="1">RIGHT(H19,LEN(H19))</f>
        <v>0</v>
      </c>
      <c r="I37" s="346" t="str">
        <f ca="1">RIGHT(I19,LEN(I19))</f>
        <v>0</v>
      </c>
      <c r="J37" s="345" t="str">
        <f ca="1">RIGHT(J19,LEN(J19))</f>
        <v>0</v>
      </c>
      <c r="K37" s="343" t="str">
        <f ca="1">RIGHT(K19,LEN(K19))</f>
        <v>0</v>
      </c>
    </row>
    <row r="38" spans="5:11" ht="15" thickBot="1" x14ac:dyDescent="0.35">
      <c r="E38" s="229" t="s">
        <v>443</v>
      </c>
      <c r="F38" s="355" cm="1">
        <f t="array" aca="1" ref="F38" ca="1">ConvertirVirguleEnPoint(F20)</f>
        <v>0</v>
      </c>
      <c r="G38" s="347" t="str">
        <f ca="1">RIGHT(G20,LEN(G20))</f>
        <v>0</v>
      </c>
      <c r="H38" s="343" t="str">
        <f ca="1">RIGHT(H20,LEN(H20))</f>
        <v>0</v>
      </c>
      <c r="I38" s="348" t="str">
        <f ca="1">RIGHT(I20,LEN(I20))</f>
        <v>0</v>
      </c>
      <c r="J38" s="347" t="str">
        <f ca="1">RIGHT(J20,LEN(J20))</f>
        <v>0</v>
      </c>
      <c r="K38" s="343" t="str">
        <f ca="1">RIGHT(K20,LEN(K20))</f>
        <v>0</v>
      </c>
    </row>
    <row r="39" spans="5:11" ht="15" thickBot="1" x14ac:dyDescent="0.35">
      <c r="E39" s="230"/>
      <c r="F39" s="349" t="s">
        <v>477</v>
      </c>
      <c r="G39" s="350" t="s">
        <v>478</v>
      </c>
      <c r="H39" s="351" t="s">
        <v>479</v>
      </c>
      <c r="I39" s="350" t="s">
        <v>480</v>
      </c>
      <c r="J39" s="350" t="s">
        <v>481</v>
      </c>
      <c r="K39" s="351" t="s">
        <v>425</v>
      </c>
    </row>
    <row r="40" spans="5:11" ht="15" thickBot="1" x14ac:dyDescent="0.35">
      <c r="E40" s="231"/>
      <c r="F40" s="352" cm="1">
        <f t="array" aca="1" ref="F40" ca="1">ConvertirVirguleEnPoint(F22)</f>
        <v>8.3446622271119905E-4</v>
      </c>
      <c r="G40" s="353" cm="1">
        <f t="array" aca="1" ref="G40" ca="1">ConvertirVirguleEnPoint(G22)</f>
        <v>8.1807497819716001E-4</v>
      </c>
      <c r="H40" s="353" cm="1">
        <f t="array" aca="1" ref="H40" ca="1">ConvertirVirguleEnPoint(H22)</f>
        <v>1.02003635968693</v>
      </c>
      <c r="I40" s="353" cm="1">
        <f t="array" aca="1" ref="I40" ca="1">ConvertirVirguleEnPoint(I22)</f>
        <v>1.02003635968693</v>
      </c>
      <c r="J40" s="353" cm="1">
        <f t="array" aca="1" ref="J40" ca="1">ConvertirVirguleEnPoint(J22)</f>
        <v>-1.64035832433032E-2</v>
      </c>
      <c r="K40" s="356" t="str">
        <f ca="1">K22</f>
        <v>ACCOR_MMR.EUR.SU</v>
      </c>
    </row>
  </sheetData>
  <mergeCells count="3">
    <mergeCell ref="B7:C7"/>
    <mergeCell ref="E7:F7"/>
    <mergeCell ref="C3:E5"/>
  </mergeCells>
  <conditionalFormatting sqref="F22 I22 G21:H22 J21:K22">
    <cfRule type="cellIs" dxfId="4" priority="8" stopIfTrue="1" operator="equal">
      <formula>#N/A</formula>
    </cfRule>
  </conditionalFormatting>
  <conditionalFormatting sqref="F21 I21">
    <cfRule type="cellIs" dxfId="3" priority="9" stopIfTrue="1" operator="equal">
      <formula>"""#N/A"""</formula>
    </cfRule>
  </conditionalFormatting>
  <conditionalFormatting sqref="G39:H39 J39:K39">
    <cfRule type="cellIs" dxfId="2" priority="2" stopIfTrue="1" operator="equal">
      <formula>#N/A</formula>
    </cfRule>
  </conditionalFormatting>
  <conditionalFormatting sqref="I39">
    <cfRule type="cellIs" dxfId="1" priority="3" stopIfTrue="1" operator="equal">
      <formula>"""#N/A"""</formula>
    </cfRule>
  </conditionalFormatting>
  <conditionalFormatting sqref="F39">
    <cfRule type="cellIs" dxfId="0" priority="1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6</xdr:col>
                    <xdr:colOff>160020</xdr:colOff>
                    <xdr:row>11</xdr:row>
                    <xdr:rowOff>7620</xdr:rowOff>
                  </from>
                  <to>
                    <xdr:col>7</xdr:col>
                    <xdr:colOff>754380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4" name="Button 14">
              <controlPr defaultSize="0" print="0" autoFill="0" autoPict="0" macro="[0]!CurrentRegionCalculate">
                <anchor moveWithCells="1" sizeWithCells="1">
                  <from>
                    <xdr:col>5</xdr:col>
                    <xdr:colOff>1333500</xdr:colOff>
                    <xdr:row>28</xdr:row>
                    <xdr:rowOff>144780</xdr:rowOff>
                  </from>
                  <to>
                    <xdr:col>7</xdr:col>
                    <xdr:colOff>556260</xdr:colOff>
                    <xdr:row>30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E16" sqref="E16"/>
    </sheetView>
  </sheetViews>
  <sheetFormatPr baseColWidth="10" defaultRowHeight="14.4" x14ac:dyDescent="0.3"/>
  <sheetData>
    <row r="2" spans="2:11" x14ac:dyDescent="0.3">
      <c r="I2" t="s">
        <v>475</v>
      </c>
      <c r="J2" s="283">
        <f ca="1">CDSRollDate</f>
        <v>45463</v>
      </c>
      <c r="K2" s="178">
        <f ca="1">DATE(YEAR(CDSRollDate),MONTH(CDSRollDate),DAY(CDSRollDate))</f>
        <v>45463</v>
      </c>
    </row>
    <row r="3" spans="2:11" x14ac:dyDescent="0.3">
      <c r="I3" t="s">
        <v>476</v>
      </c>
      <c r="J3" s="283">
        <f ca="1">Parameter_Date</f>
        <v>45429</v>
      </c>
      <c r="K3">
        <f ca="1">K2-J3</f>
        <v>34</v>
      </c>
    </row>
    <row r="4" spans="2:11" x14ac:dyDescent="0.3">
      <c r="K4">
        <f ca="1">K3/365</f>
        <v>9.3150684931506855E-2</v>
      </c>
    </row>
    <row r="5" spans="2:11" ht="15" thickBot="1" x14ac:dyDescent="0.35"/>
    <row r="6" spans="2:11" ht="15" thickBot="1" x14ac:dyDescent="0.35">
      <c r="B6" s="182" t="s">
        <v>423</v>
      </c>
      <c r="C6" s="188" t="b">
        <v>1</v>
      </c>
      <c r="H6" s="183" t="s">
        <v>424</v>
      </c>
      <c r="I6" s="330">
        <v>1</v>
      </c>
      <c r="J6" s="331"/>
      <c r="K6" s="332"/>
    </row>
    <row r="7" spans="2:11" ht="15" thickBot="1" x14ac:dyDescent="0.35">
      <c r="D7" s="172"/>
      <c r="H7" s="184" t="s">
        <v>425</v>
      </c>
      <c r="I7" s="333" t="e">
        <f ca="1">[3]!GetGetCDSName(I6)</f>
        <v>#NAME?</v>
      </c>
      <c r="J7" s="334"/>
      <c r="K7" s="335"/>
    </row>
    <row r="8" spans="2:11" ht="15" thickBot="1" x14ac:dyDescent="0.35"/>
    <row r="9" spans="2:11" ht="15" thickBot="1" x14ac:dyDescent="0.35">
      <c r="B9" s="175"/>
      <c r="C9" s="176" t="s">
        <v>426</v>
      </c>
      <c r="D9" s="177" t="s">
        <v>427</v>
      </c>
      <c r="E9" s="174" t="s">
        <v>428</v>
      </c>
    </row>
    <row r="10" spans="2:11" x14ac:dyDescent="0.3">
      <c r="B10" s="185" t="str">
        <f>ROW()-ROW($B$9)&amp;"M"</f>
        <v>1M</v>
      </c>
      <c r="C10" s="216">
        <f ca="1">MAX(0,(DATE(YEAR(CDSRollDate),MONTH(CDSRollDate)+ROW()-ROW($B$9),DAY(CDSRollDate))-Parameter_Date)/365)</f>
        <v>0.17534246575342466</v>
      </c>
      <c r="D10" s="179">
        <f ca="1">IF(NOT($C$6),"",IF(GetConvertDate(CDSRollDate,B10)&lt;Parameter_Date,0,GetGetDefaultprob($I$6,B10)))</f>
        <v>3.9127160576035713E-4</v>
      </c>
      <c r="E10" s="217">
        <f ca="1">IF(NOT($C$6),"",IF(C11=0,0,-LN(1-D11)/$C11))</f>
        <v>2.2319075461063927E-3</v>
      </c>
    </row>
    <row r="11" spans="2:11" x14ac:dyDescent="0.3">
      <c r="B11" s="186" t="str">
        <f t="shared" ref="B11:B74" si="0">ROW()-ROW($B$9)&amp;"M"</f>
        <v>2M</v>
      </c>
      <c r="C11" s="218">
        <f ca="1">MAX(0,(DATE(YEAR(CDSRollDate),MONTH(CDSRollDate)+ROW()-ROW($B$9),DAY(CDSRollDate))-Parameter_Date)/365)</f>
        <v>0.26027397260273971</v>
      </c>
      <c r="D11" s="171">
        <f ca="1">IF(NOT($C$6),"",IF(GetConvertDate(CDSRollDate,B11)&lt;Parameter_Date,0,GetGetDefaultprob($I$6,B11)))</f>
        <v>5.8073874944497561E-4</v>
      </c>
      <c r="E11" s="180">
        <f ca="1">IF(NOT($C$6),"",IF(C11=0,0,-LN((1-D11)/(1-D10))/($C11-$C10)))</f>
        <v>2.2319075461062821E-3</v>
      </c>
      <c r="F11" s="166"/>
      <c r="G11" s="167"/>
    </row>
    <row r="12" spans="2:11" x14ac:dyDescent="0.3">
      <c r="B12" s="186" t="str">
        <f t="shared" si="0"/>
        <v>3M</v>
      </c>
      <c r="C12" s="218">
        <f ca="1">MAX(0,(DATE(YEAR(CDSRollDate),MONTH(CDSRollDate)+ROW()-ROW($B$9),DAY(CDSRollDate))-Parameter_Date)/365)</f>
        <v>0.34520547945205482</v>
      </c>
      <c r="D12" s="171">
        <f ca="1">IF(NOT($C$6),"",IF(GetConvertDate(CDSRollDate,B12)&lt;Parameter_Date,0,GetGetDefaultprob($I$6,B12)))</f>
        <v>7.701699812798779E-4</v>
      </c>
      <c r="E12" s="180">
        <f ca="1">IF(NOT($C$6),"",IF(C12=0,0,-LN((1-D12)/(1-D11))/($C12-$C11)))</f>
        <v>2.2319075461075884E-3</v>
      </c>
      <c r="F12" s="166"/>
      <c r="G12" s="167"/>
    </row>
    <row r="13" spans="2:11" x14ac:dyDescent="0.3">
      <c r="B13" s="186" t="str">
        <f t="shared" si="0"/>
        <v>4M</v>
      </c>
      <c r="C13" s="218">
        <f t="shared" ref="C13:C41" ca="1" si="1">MAX(0,(DATE(YEAR(CDSRollDate),MONTH(CDSRollDate)+ROW()-ROW($B$9),DAY(CDSRollDate))-Parameter_Date)/365)</f>
        <v>0.42739726027397262</v>
      </c>
      <c r="D13" s="171">
        <f ca="1">IF(NOT($C$6),"",IF(GetConvertDate(CDSRollDate,B13)&lt;Parameter_Date,0,GetGetDefaultprob($I$6,B13)))</f>
        <v>9.5345634176380312E-4</v>
      </c>
      <c r="E13" s="180">
        <f t="shared" ref="E13:E75" ca="1" si="2">IF(NOT($C$6),"",IF(C13=0,0,-LN((1-D13)/(1-D12))/($C13-$C12)))</f>
        <v>2.2319075461068602E-3</v>
      </c>
      <c r="F13" s="166"/>
      <c r="G13" s="167"/>
    </row>
    <row r="14" spans="2:11" x14ac:dyDescent="0.3">
      <c r="B14" s="186" t="str">
        <f t="shared" si="0"/>
        <v>5M</v>
      </c>
      <c r="C14" s="218">
        <f t="shared" ca="1" si="1"/>
        <v>0.51232876712328768</v>
      </c>
      <c r="D14" s="171" t="e">
        <f ca="1">IF(NOT($C$6),"",IF(GetConvertDate(CDSRollDate,B14)&lt;Parameter_Date,0,GetGetDefaultprob($I$6,B14)))</f>
        <v>#VALUE!</v>
      </c>
      <c r="E14" s="180" t="e">
        <f t="shared" ca="1" si="2"/>
        <v>#VALUE!</v>
      </c>
      <c r="F14" s="166"/>
      <c r="G14" s="167"/>
    </row>
    <row r="15" spans="2:11" x14ac:dyDescent="0.3">
      <c r="B15" s="186" t="str">
        <f t="shared" si="0"/>
        <v>6M</v>
      </c>
      <c r="C15" s="218">
        <f t="shared" ca="1" si="1"/>
        <v>0.59452054794520548</v>
      </c>
      <c r="D15" s="171" t="e">
        <f ca="1">IF(NOT($C$6),"",IF(GetConvertDate(CDSRollDate,B15)&lt;Parameter_Date,0,GetGetDefaultprob($I$6,B15)))</f>
        <v>#VALUE!</v>
      </c>
      <c r="E15" s="180" t="e">
        <f t="shared" ca="1" si="2"/>
        <v>#VALUE!</v>
      </c>
      <c r="F15" s="166"/>
      <c r="G15" s="167"/>
    </row>
    <row r="16" spans="2:11" x14ac:dyDescent="0.3">
      <c r="B16" s="186" t="str">
        <f t="shared" si="0"/>
        <v>7M</v>
      </c>
      <c r="C16" s="218">
        <f t="shared" ca="1" si="1"/>
        <v>0.67945205479452053</v>
      </c>
      <c r="D16" s="171">
        <f ca="1">IF(NOT($C$6),"",IF(GetConvertDate(CDSRollDate,B16)&lt;Parameter_Date,0,GetGetDefaultprob($I$6,B16)))</f>
        <v>1.7273258115696466E-3</v>
      </c>
      <c r="E16" s="180" t="e">
        <f t="shared" ca="1" si="2"/>
        <v>#VALUE!</v>
      </c>
      <c r="F16" s="166"/>
      <c r="G16" s="167"/>
    </row>
    <row r="17" spans="2:7" x14ac:dyDescent="0.3">
      <c r="B17" s="186" t="str">
        <f t="shared" si="0"/>
        <v>8M</v>
      </c>
      <c r="C17" s="218">
        <f t="shared" ca="1" si="1"/>
        <v>0.76438356164383559</v>
      </c>
      <c r="D17" s="171">
        <f ca="1">IF(NOT($C$6),"",IF(GetConvertDate(CDSRollDate,B17)&lt;Parameter_Date,0,GetGetDefaultprob($I$6,B17)))</f>
        <v>2.1284554399939593E-3</v>
      </c>
      <c r="E17" s="180">
        <f t="shared" ca="1" si="2"/>
        <v>4.73210091963826E-3</v>
      </c>
      <c r="F17" s="166"/>
      <c r="G17" s="167"/>
    </row>
    <row r="18" spans="2:7" x14ac:dyDescent="0.3">
      <c r="B18" s="186" t="str">
        <f t="shared" si="0"/>
        <v>9M</v>
      </c>
      <c r="C18" s="218">
        <f t="shared" ca="1" si="1"/>
        <v>0.84109589041095889</v>
      </c>
      <c r="D18" s="171">
        <f ca="1">IF(NOT($C$6),"",IF(GetConvertDate(CDSRollDate,B18)&lt;Parameter_Date,0,GetGetDefaultprob($I$6,B18)))</f>
        <v>2.490627529756928E-3</v>
      </c>
      <c r="E18" s="180">
        <f t="shared" ca="1" si="2"/>
        <v>4.7321009196389322E-3</v>
      </c>
      <c r="F18" s="166"/>
      <c r="G18" s="167"/>
    </row>
    <row r="19" spans="2:7" x14ac:dyDescent="0.3">
      <c r="B19" s="186" t="str">
        <f t="shared" si="0"/>
        <v>10M</v>
      </c>
      <c r="C19" s="218">
        <f t="shared" ca="1" si="1"/>
        <v>0.92602739726027394</v>
      </c>
      <c r="D19" s="171">
        <f ca="1">IF(NOT($C$6),"",IF(GetConvertDate(CDSRollDate,B19)&lt;Parameter_Date,0,GetGetDefaultprob($I$6,B19)))</f>
        <v>2.8914504454539136E-3</v>
      </c>
      <c r="E19" s="180">
        <f t="shared" ca="1" si="2"/>
        <v>4.73210091963826E-3</v>
      </c>
      <c r="F19" s="166"/>
      <c r="G19" s="167"/>
    </row>
    <row r="20" spans="2:7" x14ac:dyDescent="0.3">
      <c r="B20" s="186" t="str">
        <f t="shared" si="0"/>
        <v>11M</v>
      </c>
      <c r="C20" s="218">
        <f t="shared" ca="1" si="1"/>
        <v>1.0082191780821919</v>
      </c>
      <c r="D20" s="171">
        <f ca="1">IF(NOT($C$6),"",IF(GetConvertDate(CDSRollDate,B20)&lt;Parameter_Date,0,GetGetDefaultprob($I$6,B20)))</f>
        <v>3.2791902382985905E-3</v>
      </c>
      <c r="E20" s="180">
        <f t="shared" ca="1" si="2"/>
        <v>4.7321009196408326E-3</v>
      </c>
      <c r="F20" s="166"/>
      <c r="G20" s="167"/>
    </row>
    <row r="21" spans="2:7" x14ac:dyDescent="0.3">
      <c r="B21" s="186" t="str">
        <f t="shared" si="0"/>
        <v>12M</v>
      </c>
      <c r="C21" s="218">
        <f t="shared" ca="1" si="1"/>
        <v>1.0931506849315069</v>
      </c>
      <c r="D21" s="171">
        <f ca="1">IF(NOT($C$6),"",IF(GetConvertDate(CDSRollDate,B21)&lt;Parameter_Date,0,GetGetDefaultprob($I$6,B21)))</f>
        <v>3.6796962908033359E-3</v>
      </c>
      <c r="E21" s="180">
        <f t="shared" ca="1" si="2"/>
        <v>4.73210091963826E-3</v>
      </c>
      <c r="F21" s="166"/>
      <c r="G21" s="167"/>
    </row>
    <row r="22" spans="2:7" x14ac:dyDescent="0.3">
      <c r="B22" s="186" t="str">
        <f t="shared" si="0"/>
        <v>13M</v>
      </c>
      <c r="C22" s="218">
        <f t="shared" ca="1" si="1"/>
        <v>1.1753424657534246</v>
      </c>
      <c r="D22" s="171">
        <f ca="1">IF(NOT($C$6),"",IF(GetConvertDate(CDSRollDate,B22)&lt;Parameter_Date,0,GetGetDefaultprob($I$6,B22)))</f>
        <v>4.1317033459946639E-3</v>
      </c>
      <c r="E22" s="180">
        <f t="shared" ca="1" si="2"/>
        <v>5.5209825664694866E-3</v>
      </c>
      <c r="F22" s="166"/>
      <c r="G22" s="167"/>
    </row>
    <row r="23" spans="2:7" x14ac:dyDescent="0.3">
      <c r="B23" s="186" t="str">
        <f t="shared" si="0"/>
        <v>14M</v>
      </c>
      <c r="C23" s="218">
        <f t="shared" ca="1" si="1"/>
        <v>1.2602739726027397</v>
      </c>
      <c r="D23" s="171">
        <f ca="1">IF(NOT($C$6),"",IF(GetConvertDate(CDSRollDate,B23)&lt;Parameter_Date,0,GetGetDefaultprob($I$6,B23)))</f>
        <v>4.5985618719842636E-3</v>
      </c>
      <c r="E23" s="180">
        <f t="shared" ca="1" si="2"/>
        <v>5.5209825664684587E-3</v>
      </c>
      <c r="F23" s="166"/>
      <c r="G23" s="167"/>
    </row>
    <row r="24" spans="2:7" x14ac:dyDescent="0.3">
      <c r="B24" s="186" t="str">
        <f t="shared" si="0"/>
        <v>15M</v>
      </c>
      <c r="C24" s="218">
        <f t="shared" ca="1" si="1"/>
        <v>1.3452054794520547</v>
      </c>
      <c r="D24" s="171">
        <f ca="1">IF(NOT($C$6),"",IF(GetConvertDate(CDSRollDate,B24)&lt;Parameter_Date,0,GetGetDefaultprob($I$6,B24)))</f>
        <v>5.0652015368213288E-3</v>
      </c>
      <c r="E24" s="180">
        <f t="shared" ca="1" si="2"/>
        <v>5.5209825664697667E-3</v>
      </c>
      <c r="F24" s="166"/>
      <c r="G24" s="167"/>
    </row>
    <row r="25" spans="2:7" x14ac:dyDescent="0.3">
      <c r="B25" s="186" t="str">
        <f t="shared" si="0"/>
        <v>16M</v>
      </c>
      <c r="C25" s="218">
        <f t="shared" ca="1" si="1"/>
        <v>1.4273972602739726</v>
      </c>
      <c r="D25" s="171">
        <f ca="1">IF(NOT($C$6),"",IF(GetConvertDate(CDSRollDate,B25)&lt;Parameter_Date,0,GetGetDefaultprob($I$6,B25)))</f>
        <v>5.5165800209155957E-3</v>
      </c>
      <c r="E25" s="180">
        <f t="shared" ca="1" si="2"/>
        <v>5.5209825664681205E-3</v>
      </c>
      <c r="F25" s="166"/>
      <c r="G25" s="167"/>
    </row>
    <row r="26" spans="2:7" x14ac:dyDescent="0.3">
      <c r="B26" s="186" t="str">
        <f t="shared" si="0"/>
        <v>17M</v>
      </c>
      <c r="C26" s="218">
        <f t="shared" ca="1" si="1"/>
        <v>1.5123287671232877</v>
      </c>
      <c r="D26" s="171" t="e">
        <f ca="1">IF(NOT($C$6),"",IF(GetConvertDate(CDSRollDate,B26)&lt;Parameter_Date,0,GetGetDefaultprob($I$6,B26)))</f>
        <v>#VALUE!</v>
      </c>
      <c r="E26" s="180" t="e">
        <f t="shared" ca="1" si="2"/>
        <v>#VALUE!</v>
      </c>
      <c r="F26" s="166"/>
      <c r="G26" s="167"/>
    </row>
    <row r="27" spans="2:7" x14ac:dyDescent="0.3">
      <c r="B27" s="186" t="str">
        <f t="shared" si="0"/>
        <v>18M</v>
      </c>
      <c r="C27" s="218">
        <f t="shared" ca="1" si="1"/>
        <v>1.5945205479452054</v>
      </c>
      <c r="D27" s="171">
        <f ca="1">IF(NOT($C$6),"",IF(GetConvertDate(CDSRollDate,B27)&lt;Parameter_Date,0,GetGetDefaultprob($I$6,B27)))</f>
        <v>6.4337515191495998E-3</v>
      </c>
      <c r="E27" s="180" t="e">
        <f t="shared" ca="1" si="2"/>
        <v>#VALUE!</v>
      </c>
      <c r="F27" s="166"/>
      <c r="G27" s="167"/>
    </row>
    <row r="28" spans="2:7" x14ac:dyDescent="0.3">
      <c r="B28" s="186" t="str">
        <f t="shared" si="0"/>
        <v>19M</v>
      </c>
      <c r="C28" s="218">
        <f t="shared" ca="1" si="1"/>
        <v>1.6794520547945206</v>
      </c>
      <c r="D28" s="171">
        <f ca="1">IF(NOT($C$6),"",IF(GetConvertDate(CDSRollDate,B28)&lt;Parameter_Date,0,GetGetDefaultprob($I$6,B28)))</f>
        <v>6.8995308554306023E-3</v>
      </c>
      <c r="E28" s="180">
        <f t="shared" ca="1" si="2"/>
        <v>5.5209825664684449E-3</v>
      </c>
      <c r="F28" s="166"/>
      <c r="G28" s="167"/>
    </row>
    <row r="29" spans="2:7" x14ac:dyDescent="0.3">
      <c r="B29" s="186" t="str">
        <f t="shared" si="0"/>
        <v>20M</v>
      </c>
      <c r="C29" s="218">
        <f t="shared" ca="1" si="1"/>
        <v>1.7643835616438357</v>
      </c>
      <c r="D29" s="171">
        <f ca="1">IF(NOT($C$6),"",IF(GetConvertDate(CDSRollDate,B29)&lt;Parameter_Date,0,GetGetDefaultprob($I$6,B29)))</f>
        <v>7.3650918364782658E-3</v>
      </c>
      <c r="E29" s="180">
        <f t="shared" ca="1" si="2"/>
        <v>5.5209825664697667E-3</v>
      </c>
      <c r="F29" s="166"/>
      <c r="G29" s="167"/>
    </row>
    <row r="30" spans="2:7" x14ac:dyDescent="0.3">
      <c r="B30" s="186" t="str">
        <f t="shared" si="0"/>
        <v>21M</v>
      </c>
      <c r="C30" s="218">
        <f t="shared" ca="1" si="1"/>
        <v>1.8410958904109589</v>
      </c>
      <c r="D30" s="171">
        <f ca="1">IF(NOT($C$6),"",IF(GetConvertDate(CDSRollDate,B30)&lt;Parameter_Date,0,GetGetDefaultprob($I$6,B30)))</f>
        <v>7.785410933203063E-3</v>
      </c>
      <c r="E30" s="180">
        <f t="shared" ca="1" si="2"/>
        <v>5.5209825664685975E-3</v>
      </c>
      <c r="F30" s="166"/>
      <c r="G30" s="167"/>
    </row>
    <row r="31" spans="2:7" x14ac:dyDescent="0.3">
      <c r="B31" s="186" t="str">
        <f t="shared" si="0"/>
        <v>22M</v>
      </c>
      <c r="C31" s="218">
        <f t="shared" ca="1" si="1"/>
        <v>1.9260273972602739</v>
      </c>
      <c r="D31" s="171" t="e">
        <f ca="1">IF(NOT($C$6),"",IF(GetConvertDate(CDSRollDate,B31)&lt;Parameter_Date,0,GetGetDefaultprob($I$6,B31)))</f>
        <v>#VALUE!</v>
      </c>
      <c r="E31" s="180" t="e">
        <f t="shared" ca="1" si="2"/>
        <v>#VALUE!</v>
      </c>
      <c r="F31" s="166"/>
      <c r="G31" s="167"/>
    </row>
    <row r="32" spans="2:7" x14ac:dyDescent="0.3">
      <c r="B32" s="186" t="str">
        <f t="shared" si="0"/>
        <v>23M</v>
      </c>
      <c r="C32" s="218">
        <f t="shared" ca="1" si="1"/>
        <v>2.0082191780821916</v>
      </c>
      <c r="D32" s="171">
        <f ca="1">IF(NOT($C$6),"",IF(GetConvertDate(CDSRollDate,B32)&lt;Parameter_Date,0,GetGetDefaultprob($I$6,B32)))</f>
        <v>8.7004899812208603E-3</v>
      </c>
      <c r="E32" s="180" t="e">
        <f t="shared" ca="1" si="2"/>
        <v>#VALUE!</v>
      </c>
      <c r="F32" s="166"/>
      <c r="G32" s="167"/>
    </row>
    <row r="33" spans="2:7" x14ac:dyDescent="0.3">
      <c r="B33" s="186" t="str">
        <f t="shared" si="0"/>
        <v>24M</v>
      </c>
      <c r="C33" s="218">
        <f t="shared" ca="1" si="1"/>
        <v>2.0931506849315067</v>
      </c>
      <c r="D33" s="171" t="e">
        <f ca="1">IF(NOT($C$6),"",IF(GetConvertDate(CDSRollDate,B33)&lt;Parameter_Date,0,GetGetDefaultprob($I$6,B33)))</f>
        <v>#VALUE!</v>
      </c>
      <c r="E33" s="180" t="e">
        <f t="shared" ca="1" si="2"/>
        <v>#VALUE!</v>
      </c>
      <c r="F33" s="166"/>
      <c r="G33" s="167"/>
    </row>
    <row r="34" spans="2:7" x14ac:dyDescent="0.3">
      <c r="B34" s="186" t="str">
        <f t="shared" si="0"/>
        <v>25M</v>
      </c>
      <c r="C34" s="218">
        <f t="shared" ca="1" si="1"/>
        <v>2.1753424657534248</v>
      </c>
      <c r="D34" s="171">
        <f ca="1">IF(NOT($C$6),"",IF(GetConvertDate(CDSRollDate,B34)&lt;Parameter_Date,0,GetGetDefaultprob($I$6,B34)))</f>
        <v>9.7697997287776728E-3</v>
      </c>
      <c r="E34" s="180" t="e">
        <f t="shared" ca="1" si="2"/>
        <v>#VALUE!</v>
      </c>
      <c r="F34" s="166"/>
      <c r="G34" s="167"/>
    </row>
    <row r="35" spans="2:7" x14ac:dyDescent="0.3">
      <c r="B35" s="186" t="str">
        <f t="shared" si="0"/>
        <v>26M</v>
      </c>
      <c r="C35" s="218">
        <f t="shared" ca="1" si="1"/>
        <v>2.2602739726027399</v>
      </c>
      <c r="D35" s="171">
        <f ca="1">IF(NOT($C$6),"",IF(GetConvertDate(CDSRollDate,B35)&lt;Parameter_Date,0,GetGetDefaultprob($I$6,B35)))</f>
        <v>1.0394158316382018E-2</v>
      </c>
      <c r="E35" s="180">
        <f t="shared" ca="1" si="2"/>
        <v>7.4261897874049092E-3</v>
      </c>
      <c r="F35" s="166"/>
      <c r="G35" s="167"/>
    </row>
    <row r="36" spans="2:7" x14ac:dyDescent="0.3">
      <c r="B36" s="186" t="str">
        <f t="shared" si="0"/>
        <v>27M</v>
      </c>
      <c r="C36" s="218">
        <f t="shared" ca="1" si="1"/>
        <v>2.3452054794520549</v>
      </c>
      <c r="D36" s="171">
        <f ca="1">IF(NOT($C$6),"",IF(GetConvertDate(CDSRollDate,B36)&lt;Parameter_Date,0,GetGetDefaultprob($I$6,B36)))</f>
        <v>1.1018123234266097E-2</v>
      </c>
      <c r="E36" s="180">
        <f t="shared" ca="1" si="2"/>
        <v>7.4261897874036004E-3</v>
      </c>
      <c r="F36" s="166"/>
      <c r="G36" s="167"/>
    </row>
    <row r="37" spans="2:7" x14ac:dyDescent="0.3">
      <c r="B37" s="186" t="str">
        <f t="shared" si="0"/>
        <v>28M</v>
      </c>
      <c r="C37" s="218">
        <f t="shared" ca="1" si="1"/>
        <v>2.4273972602739726</v>
      </c>
      <c r="D37" s="171">
        <f ca="1">IF(NOT($C$6),"",IF(GetConvertDate(CDSRollDate,B37)&lt;Parameter_Date,0,GetGetDefaultprob($I$6,B37)))</f>
        <v>1.1621585659359668E-2</v>
      </c>
      <c r="E37" s="180">
        <f t="shared" ca="1" si="2"/>
        <v>7.4261897874047071E-3</v>
      </c>
      <c r="F37" s="166"/>
      <c r="G37" s="167"/>
    </row>
    <row r="38" spans="2:7" x14ac:dyDescent="0.3">
      <c r="B38" s="186" t="str">
        <f t="shared" si="0"/>
        <v>29M</v>
      </c>
      <c r="C38" s="218">
        <f t="shared" ca="1" si="1"/>
        <v>2.5123287671232877</v>
      </c>
      <c r="D38" s="171">
        <f ca="1">IF(NOT($C$6),"",IF(GetConvertDate(CDSRollDate,B38)&lt;Parameter_Date,0,GetGetDefaultprob($I$6,B38)))</f>
        <v>1.2244776661439194E-2</v>
      </c>
      <c r="E38" s="180">
        <f t="shared" ca="1" si="2"/>
        <v>7.4261897874049092E-3</v>
      </c>
      <c r="F38" s="166"/>
      <c r="G38" s="167"/>
    </row>
    <row r="39" spans="2:7" x14ac:dyDescent="0.3">
      <c r="B39" s="186" t="str">
        <f t="shared" si="0"/>
        <v>30M</v>
      </c>
      <c r="C39" s="218">
        <f t="shared" ca="1" si="1"/>
        <v>2.5945205479452054</v>
      </c>
      <c r="D39" s="171">
        <f ca="1">IF(NOT($C$6),"",IF(GetConvertDate(CDSRollDate,B39)&lt;Parameter_Date,0,GetGetDefaultprob($I$6,B39)))</f>
        <v>1.2847490600367939E-2</v>
      </c>
      <c r="E39" s="180">
        <f t="shared" ca="1" si="2"/>
        <v>7.4261897874033549E-3</v>
      </c>
      <c r="F39" s="166"/>
      <c r="G39" s="167"/>
    </row>
    <row r="40" spans="2:7" x14ac:dyDescent="0.3">
      <c r="B40" s="186" t="str">
        <f t="shared" si="0"/>
        <v>31M</v>
      </c>
      <c r="C40" s="218">
        <f t="shared" ca="1" si="1"/>
        <v>2.6794520547945204</v>
      </c>
      <c r="D40" s="171">
        <f ca="1">IF(NOT($C$6),"",IF(GetConvertDate(CDSRollDate,B40)&lt;Parameter_Date,0,GetGetDefaultprob($I$6,B40)))</f>
        <v>1.3469908646545625E-2</v>
      </c>
      <c r="E40" s="180">
        <f t="shared" ca="1" si="2"/>
        <v>7.4261897874062163E-3</v>
      </c>
      <c r="F40" s="166"/>
      <c r="G40" s="167"/>
    </row>
    <row r="41" spans="2:7" x14ac:dyDescent="0.3">
      <c r="B41" s="186" t="str">
        <f t="shared" si="0"/>
        <v>32M</v>
      </c>
      <c r="C41" s="218">
        <f t="shared" ca="1" si="1"/>
        <v>2.7643835616438355</v>
      </c>
      <c r="D41" s="171">
        <f ca="1">IF(NOT($C$6),"",IF(GetConvertDate(CDSRollDate,B41)&lt;Parameter_Date,0,GetGetDefaultprob($I$6,B41)))</f>
        <v>1.4091934246550419E-2</v>
      </c>
      <c r="E41" s="180">
        <f t="shared" ca="1" si="2"/>
        <v>7.4261897874036004E-3</v>
      </c>
      <c r="F41" s="166"/>
      <c r="G41" s="167"/>
    </row>
    <row r="42" spans="2:7" x14ac:dyDescent="0.3">
      <c r="B42" s="186" t="str">
        <f t="shared" si="0"/>
        <v>33M</v>
      </c>
      <c r="C42" s="218">
        <f t="shared" ref="C42:C73" ca="1" si="3">MAX(0,(DATE(YEAR(CDSRollDate),MONTH(CDSRollDate)+ROW()-ROW($B$9),DAY(CDSRollDate))-Parameter_Date)/365)</f>
        <v>2.8410958904109589</v>
      </c>
      <c r="D42" s="171" t="e">
        <f ca="1">IF(NOT($C$6),"",IF(GetConvertDate(CDSRollDate,B42)&lt;Parameter_Date,0,GetGetDefaultprob($I$6,B42)))</f>
        <v>#VALUE!</v>
      </c>
      <c r="E42" s="180" t="e">
        <f t="shared" ca="1" si="2"/>
        <v>#VALUE!</v>
      </c>
      <c r="F42" s="166"/>
      <c r="G42" s="167"/>
    </row>
    <row r="43" spans="2:7" x14ac:dyDescent="0.3">
      <c r="B43" s="186" t="str">
        <f t="shared" si="0"/>
        <v>34M</v>
      </c>
      <c r="C43" s="218">
        <f t="shared" ca="1" si="3"/>
        <v>2.9260273972602739</v>
      </c>
      <c r="D43" s="171">
        <f ca="1">IF(NOT($C$6),"",IF(GetConvertDate(CDSRollDate,B43)&lt;Parameter_Date,0,GetGetDefaultprob($I$6,B43)))</f>
        <v>1.5274706080536049E-2</v>
      </c>
      <c r="E43" s="180" t="e">
        <f t="shared" ca="1" si="2"/>
        <v>#VALUE!</v>
      </c>
      <c r="F43" s="166"/>
      <c r="G43" s="167"/>
    </row>
    <row r="44" spans="2:7" x14ac:dyDescent="0.3">
      <c r="B44" s="186" t="str">
        <f t="shared" si="0"/>
        <v>35M</v>
      </c>
      <c r="C44" s="218">
        <f t="shared" ca="1" si="3"/>
        <v>3.0082191780821916</v>
      </c>
      <c r="D44" s="171">
        <f ca="1">IF(NOT($C$6),"",IF(GetConvertDate(CDSRollDate,B44)&lt;Parameter_Date,0,GetGetDefaultprob($I$6,B44)))</f>
        <v>1.5875571200393401E-2</v>
      </c>
      <c r="E44" s="180">
        <f t="shared" ca="1" si="2"/>
        <v>7.4261897874033549E-3</v>
      </c>
      <c r="F44" s="166"/>
      <c r="G44" s="167"/>
    </row>
    <row r="45" spans="2:7" x14ac:dyDescent="0.3">
      <c r="B45" s="186" t="str">
        <f t="shared" si="0"/>
        <v>36M</v>
      </c>
      <c r="C45" s="218">
        <f t="shared" ca="1" si="3"/>
        <v>3.0931506849315067</v>
      </c>
      <c r="D45" s="171">
        <f ca="1">IF(NOT($C$6),"",IF(GetConvertDate(CDSRollDate,B45)&lt;Parameter_Date,0,GetGetDefaultprob($I$6,B45)))</f>
        <v>1.6496079985344636E-2</v>
      </c>
      <c r="E45" s="180">
        <f t="shared" ca="1" si="2"/>
        <v>7.4261897874049092E-3</v>
      </c>
      <c r="F45" s="166"/>
      <c r="G45" s="167"/>
    </row>
    <row r="46" spans="2:7" x14ac:dyDescent="0.3">
      <c r="B46" s="186" t="str">
        <f t="shared" si="0"/>
        <v>37M</v>
      </c>
      <c r="C46" s="218">
        <f t="shared" ca="1" si="3"/>
        <v>3.1753424657534248</v>
      </c>
      <c r="D46" s="171">
        <f ca="1">IF(NOT($C$6),"",IF(GetConvertDate(CDSRollDate,B46)&lt;Parameter_Date,0,GetGetDefaultprob($I$6,B46)))</f>
        <v>1.7238996308366561E-2</v>
      </c>
      <c r="E46" s="180">
        <f t="shared" ca="1" si="2"/>
        <v>9.1938940521937452E-3</v>
      </c>
      <c r="F46" s="166"/>
      <c r="G46" s="167"/>
    </row>
    <row r="47" spans="2:7" x14ac:dyDescent="0.3">
      <c r="B47" s="186" t="str">
        <f t="shared" si="0"/>
        <v>38M</v>
      </c>
      <c r="C47" s="218">
        <f t="shared" ca="1" si="3"/>
        <v>3.2602739726027399</v>
      </c>
      <c r="D47" s="171" t="e">
        <f ca="1">IF(NOT($C$6),"",IF(GetConvertDate(CDSRollDate,B47)&lt;Parameter_Date,0,GetGetDefaultprob($I$6,B47)))</f>
        <v>#VALUE!</v>
      </c>
      <c r="E47" s="180" t="e">
        <f t="shared" ca="1" si="2"/>
        <v>#VALUE!</v>
      </c>
      <c r="F47" s="166"/>
      <c r="G47" s="167"/>
    </row>
    <row r="48" spans="2:7" x14ac:dyDescent="0.3">
      <c r="B48" s="186" t="str">
        <f t="shared" si="0"/>
        <v>39M</v>
      </c>
      <c r="C48" s="218">
        <f t="shared" ca="1" si="3"/>
        <v>3.3452054794520549</v>
      </c>
      <c r="D48" s="171">
        <f ca="1">IF(NOT($C$6),"",IF(GetConvertDate(CDSRollDate,B48)&lt;Parameter_Date,0,GetGetDefaultprob($I$6,B48)))</f>
        <v>1.877257886359629E-2</v>
      </c>
      <c r="E48" s="180" t="e">
        <f t="shared" ca="1" si="2"/>
        <v>#VALUE!</v>
      </c>
      <c r="F48" s="166"/>
      <c r="G48" s="167"/>
    </row>
    <row r="49" spans="2:7" x14ac:dyDescent="0.3">
      <c r="B49" s="186" t="str">
        <f t="shared" si="0"/>
        <v>40M</v>
      </c>
      <c r="C49" s="218">
        <f t="shared" ca="1" si="3"/>
        <v>3.4273972602739726</v>
      </c>
      <c r="D49" s="171" t="e">
        <f ca="1">IF(NOT($C$6),"",IF(GetConvertDate(CDSRollDate,B49)&lt;Parameter_Date,0,GetGetDefaultprob($I$6,B49)))</f>
        <v>#VALUE!</v>
      </c>
      <c r="E49" s="180" t="e">
        <f t="shared" ca="1" si="2"/>
        <v>#VALUE!</v>
      </c>
      <c r="F49" s="166"/>
      <c r="G49" s="167"/>
    </row>
    <row r="50" spans="2:7" x14ac:dyDescent="0.3">
      <c r="B50" s="186" t="str">
        <f t="shared" si="0"/>
        <v>41M</v>
      </c>
      <c r="C50" s="218">
        <f t="shared" ca="1" si="3"/>
        <v>3.5123287671232877</v>
      </c>
      <c r="D50" s="171">
        <f ca="1">IF(NOT($C$6),"",IF(GetConvertDate(CDSRollDate,B50)&lt;Parameter_Date,0,GetGetDefaultprob($I$6,B50)))</f>
        <v>2.0279090653136711E-2</v>
      </c>
      <c r="E50" s="180" t="e">
        <f t="shared" ca="1" si="2"/>
        <v>#VALUE!</v>
      </c>
      <c r="F50" s="166"/>
      <c r="G50" s="167"/>
    </row>
    <row r="51" spans="2:7" x14ac:dyDescent="0.3">
      <c r="B51" s="186" t="str">
        <f t="shared" si="0"/>
        <v>42M</v>
      </c>
      <c r="C51" s="218">
        <f t="shared" ca="1" si="3"/>
        <v>3.5945205479452054</v>
      </c>
      <c r="D51" s="171">
        <f ca="1">IF(NOT($C$6),"",IF(GetConvertDate(CDSRollDate,B51)&lt;Parameter_Date,0,GetGetDefaultprob($I$6,B51)))</f>
        <v>2.1019149376592217E-2</v>
      </c>
      <c r="E51" s="180">
        <f t="shared" ca="1" si="2"/>
        <v>9.1938940521910911E-3</v>
      </c>
      <c r="F51" s="166"/>
      <c r="G51" s="167"/>
    </row>
    <row r="52" spans="2:7" x14ac:dyDescent="0.3">
      <c r="B52" s="186" t="str">
        <f t="shared" si="0"/>
        <v>43M</v>
      </c>
      <c r="C52" s="218">
        <f t="shared" ca="1" si="3"/>
        <v>3.6794520547945204</v>
      </c>
      <c r="D52" s="171">
        <f ca="1">IF(NOT($C$6),"",IF(GetConvertDate(CDSRollDate,B52)&lt;Parameter_Date,0,GetGetDefaultprob($I$6,B52)))</f>
        <v>2.1783289443954024E-2</v>
      </c>
      <c r="E52" s="180">
        <f t="shared" ca="1" si="2"/>
        <v>9.1938940521926332E-3</v>
      </c>
      <c r="F52" s="166"/>
      <c r="G52" s="167"/>
    </row>
    <row r="53" spans="2:7" x14ac:dyDescent="0.3">
      <c r="B53" s="186" t="str">
        <f t="shared" si="0"/>
        <v>44M</v>
      </c>
      <c r="C53" s="218">
        <f t="shared" ca="1" si="3"/>
        <v>3.7643835616438355</v>
      </c>
      <c r="D53" s="171">
        <f ca="1">IF(NOT($C$6),"",IF(GetConvertDate(CDSRollDate,B53)&lt;Parameter_Date,0,GetGetDefaultprob($I$6,B53)))</f>
        <v>2.2546833064467919E-2</v>
      </c>
      <c r="E53" s="180">
        <f t="shared" ca="1" si="2"/>
        <v>9.1938940521926332E-3</v>
      </c>
      <c r="F53" s="166"/>
      <c r="G53" s="167"/>
    </row>
    <row r="54" spans="2:7" x14ac:dyDescent="0.3">
      <c r="B54" s="186" t="str">
        <f t="shared" si="0"/>
        <v>45M</v>
      </c>
      <c r="C54" s="218">
        <f t="shared" ca="1" si="3"/>
        <v>3.8438356164383563</v>
      </c>
      <c r="D54" s="171">
        <f ca="1">IF(NOT($C$6),"",IF(GetConvertDate(CDSRollDate,B54)&lt;Parameter_Date,0,GetGetDefaultprob($I$6,B54)))</f>
        <v>2.3260576251160181E-2</v>
      </c>
      <c r="E54" s="180">
        <f t="shared" ca="1" si="2"/>
        <v>9.1938940521913495E-3</v>
      </c>
      <c r="F54" s="166"/>
      <c r="G54" s="167"/>
    </row>
    <row r="55" spans="2:7" x14ac:dyDescent="0.3">
      <c r="B55" s="186" t="str">
        <f t="shared" si="0"/>
        <v>46M</v>
      </c>
      <c r="C55" s="218">
        <f t="shared" ca="1" si="3"/>
        <v>3.9287671232876713</v>
      </c>
      <c r="D55" s="171">
        <f ca="1">IF(NOT($C$6),"",IF(GetConvertDate(CDSRollDate,B55)&lt;Parameter_Date,0,GetGetDefaultprob($I$6,B55)))</f>
        <v>2.4022966780641086E-2</v>
      </c>
      <c r="E55" s="180">
        <f t="shared" ca="1" si="2"/>
        <v>9.1938940521926332E-3</v>
      </c>
      <c r="F55" s="166"/>
      <c r="G55" s="167"/>
    </row>
    <row r="56" spans="2:7" x14ac:dyDescent="0.3">
      <c r="B56" s="186" t="str">
        <f t="shared" si="0"/>
        <v>47M</v>
      </c>
      <c r="C56" s="218">
        <f t="shared" ca="1" si="3"/>
        <v>4.0109589041095894</v>
      </c>
      <c r="D56" s="171">
        <f ca="1">IF(NOT($C$6),"",IF(GetConvertDate(CDSRollDate,B56)&lt;Parameter_Date,0,GetGetDefaultprob($I$6,B56)))</f>
        <v>2.4760197465865219E-2</v>
      </c>
      <c r="E56" s="180">
        <f t="shared" ca="1" si="2"/>
        <v>9.1938940521910407E-3</v>
      </c>
      <c r="F56" s="166"/>
      <c r="G56" s="167"/>
    </row>
    <row r="57" spans="2:7" x14ac:dyDescent="0.3">
      <c r="B57" s="186" t="str">
        <f t="shared" si="0"/>
        <v>48M</v>
      </c>
      <c r="C57" s="218">
        <f t="shared" ca="1" si="3"/>
        <v>4.095890410958904</v>
      </c>
      <c r="D57" s="171">
        <f ca="1">IF(NOT($C$6),"",IF(GetConvertDate(CDSRollDate,B57)&lt;Parameter_Date,0,GetGetDefaultprob($I$6,B57)))</f>
        <v>2.5521417471269681E-2</v>
      </c>
      <c r="E57" s="180">
        <f t="shared" ca="1" si="2"/>
        <v>9.1938940521926818E-3</v>
      </c>
      <c r="F57" s="166"/>
      <c r="G57" s="167"/>
    </row>
    <row r="58" spans="2:7" x14ac:dyDescent="0.3">
      <c r="B58" s="186" t="str">
        <f t="shared" si="0"/>
        <v>49M</v>
      </c>
      <c r="C58" s="218">
        <f t="shared" ca="1" si="3"/>
        <v>4.1780821917808222</v>
      </c>
      <c r="D58" s="171">
        <f ca="1">IF(NOT($C$6),"",IF(GetConvertDate(CDSRollDate,B58)&lt;Parameter_Date,0,GetGetDefaultprob($I$6,B58)))</f>
        <v>2.6257516261181002E-2</v>
      </c>
      <c r="E58" s="180">
        <f t="shared" ca="1" si="2"/>
        <v>9.1938940521923938E-3</v>
      </c>
      <c r="F58" s="166"/>
      <c r="G58" s="167"/>
    </row>
    <row r="59" spans="2:7" x14ac:dyDescent="0.3">
      <c r="B59" s="186" t="str">
        <f t="shared" si="0"/>
        <v>50M</v>
      </c>
      <c r="C59" s="218">
        <f t="shared" ca="1" si="3"/>
        <v>4.2630136986301368</v>
      </c>
      <c r="D59" s="171">
        <f ca="1">IF(NOT($C$6),"",IF(GetConvertDate(CDSRollDate,B59)&lt;Parameter_Date,0,GetGetDefaultprob($I$6,B59)))</f>
        <v>2.7017567539654341E-2</v>
      </c>
      <c r="E59" s="180">
        <f t="shared" ca="1" si="2"/>
        <v>9.1938940521926818E-3</v>
      </c>
      <c r="F59" s="166"/>
      <c r="G59" s="167"/>
    </row>
    <row r="60" spans="2:7" x14ac:dyDescent="0.3">
      <c r="B60" s="186" t="str">
        <f t="shared" si="0"/>
        <v>51M</v>
      </c>
      <c r="C60" s="218">
        <f t="shared" ca="1" si="3"/>
        <v>4.3479452054794523</v>
      </c>
      <c r="D60" s="171">
        <f ca="1">IF(NOT($C$6),"",IF(GetConvertDate(CDSRollDate,B60)&lt;Parameter_Date,0,GetGetDefaultprob($I$6,B60)))</f>
        <v>2.7777025562769508E-2</v>
      </c>
      <c r="E60" s="180">
        <f t="shared" ca="1" si="2"/>
        <v>9.1938940521912767E-3</v>
      </c>
      <c r="F60" s="166"/>
      <c r="G60" s="167"/>
    </row>
    <row r="61" spans="2:7" x14ac:dyDescent="0.3">
      <c r="B61" s="186" t="str">
        <f t="shared" si="0"/>
        <v>52M</v>
      </c>
      <c r="C61" s="218">
        <f t="shared" ca="1" si="3"/>
        <v>4.4301369863013695</v>
      </c>
      <c r="D61" s="171">
        <f ca="1">IF(NOT($C$6),"",IF(GetConvertDate(CDSRollDate,B61)&lt;Parameter_Date,0,GetGetDefaultprob($I$6,B61)))</f>
        <v>2.851142051801836E-2</v>
      </c>
      <c r="E61" s="180">
        <f t="shared" ca="1" si="2"/>
        <v>9.1938940521924927E-3</v>
      </c>
      <c r="F61" s="166"/>
      <c r="G61" s="167"/>
    </row>
    <row r="62" spans="2:7" x14ac:dyDescent="0.3">
      <c r="B62" s="186" t="str">
        <f t="shared" si="0"/>
        <v>53M</v>
      </c>
      <c r="C62" s="218">
        <f t="shared" ca="1" si="3"/>
        <v>4.515068493150685</v>
      </c>
      <c r="D62" s="171" t="e">
        <f ca="1">IF(NOT($C$6),"",IF(GetConvertDate(CDSRollDate,B62)&lt;Parameter_Date,0,GetGetDefaultprob($I$6,B62)))</f>
        <v>#VALUE!</v>
      </c>
      <c r="E62" s="180" t="e">
        <f t="shared" ca="1" si="2"/>
        <v>#VALUE!</v>
      </c>
      <c r="F62" s="166"/>
      <c r="G62" s="167"/>
    </row>
    <row r="63" spans="2:7" x14ac:dyDescent="0.3">
      <c r="B63" s="186" t="str">
        <f t="shared" si="0"/>
        <v>54M</v>
      </c>
      <c r="C63" s="218">
        <f t="shared" ca="1" si="3"/>
        <v>4.5972602739726032</v>
      </c>
      <c r="D63" s="171" t="e">
        <f ca="1">IF(NOT($C$6),"",IF(GetConvertDate(CDSRollDate,B63)&lt;Parameter_Date,0,GetGetDefaultprob($I$6,B63)))</f>
        <v>#VALUE!</v>
      </c>
      <c r="E63" s="180" t="e">
        <f t="shared" ca="1" si="2"/>
        <v>#VALUE!</v>
      </c>
      <c r="F63" s="166"/>
      <c r="G63" s="167"/>
    </row>
    <row r="64" spans="2:7" x14ac:dyDescent="0.3">
      <c r="B64" s="186" t="str">
        <f t="shared" si="0"/>
        <v>55M</v>
      </c>
      <c r="C64" s="218">
        <f t="shared" ca="1" si="3"/>
        <v>4.6821917808219178</v>
      </c>
      <c r="D64" s="171">
        <f ca="1">IF(NOT($C$6),"",IF(GetConvertDate(CDSRollDate,B64)&lt;Parameter_Date,0,GetGetDefaultprob($I$6,B64)))</f>
        <v>3.0760107703110662E-2</v>
      </c>
      <c r="E64" s="180" t="e">
        <f t="shared" ca="1" si="2"/>
        <v>#VALUE!</v>
      </c>
      <c r="F64" s="166"/>
      <c r="G64" s="167"/>
    </row>
    <row r="65" spans="2:7" x14ac:dyDescent="0.3">
      <c r="B65" s="186" t="str">
        <f t="shared" si="0"/>
        <v>56M</v>
      </c>
      <c r="C65" s="218">
        <f t="shared" ca="1" si="3"/>
        <v>4.7671232876712333</v>
      </c>
      <c r="D65" s="171">
        <f ca="1">IF(NOT($C$6),"",IF(GetConvertDate(CDSRollDate,B65)&lt;Parameter_Date,0,GetGetDefaultprob($I$6,B65)))</f>
        <v>3.1516644499635205E-2</v>
      </c>
      <c r="E65" s="180">
        <f t="shared" ca="1" si="2"/>
        <v>9.1938940521925847E-3</v>
      </c>
      <c r="F65" s="166"/>
      <c r="G65" s="167"/>
    </row>
    <row r="66" spans="2:7" x14ac:dyDescent="0.3">
      <c r="B66" s="186" t="str">
        <f t="shared" si="0"/>
        <v>57M</v>
      </c>
      <c r="C66" s="218">
        <f t="shared" ca="1" si="3"/>
        <v>4.8438356164383558</v>
      </c>
      <c r="D66" s="171">
        <f ca="1">IF(NOT($C$6),"",IF(GetConvertDate(CDSRollDate,B66)&lt;Parameter_Date,0,GetGetDefaultprob($I$6,B66)))</f>
        <v>3.2199460487221443E-2</v>
      </c>
      <c r="E66" s="180">
        <f t="shared" ca="1" si="2"/>
        <v>9.1938940521921354E-3</v>
      </c>
      <c r="F66" s="166"/>
      <c r="G66" s="167"/>
    </row>
    <row r="67" spans="2:7" x14ac:dyDescent="0.3">
      <c r="B67" s="186" t="str">
        <f t="shared" si="0"/>
        <v>58M</v>
      </c>
      <c r="C67" s="218">
        <f t="shared" ca="1" si="3"/>
        <v>4.9287671232876713</v>
      </c>
      <c r="D67" s="171">
        <f ca="1">IF(NOT($C$6),"",IF(GetConvertDate(CDSRollDate,B67)&lt;Parameter_Date,0,GetGetDefaultprob($I$6,B67)))</f>
        <v>3.2954873801981477E-2</v>
      </c>
      <c r="E67" s="180">
        <f t="shared" ca="1" si="2"/>
        <v>9.1938940521912767E-3</v>
      </c>
      <c r="F67" s="166"/>
      <c r="G67" s="167"/>
    </row>
    <row r="68" spans="2:7" x14ac:dyDescent="0.3">
      <c r="B68" s="186" t="str">
        <f t="shared" si="0"/>
        <v>59M</v>
      </c>
      <c r="C68" s="218">
        <f t="shared" ca="1" si="3"/>
        <v>5.0109589041095894</v>
      </c>
      <c r="D68" s="171">
        <f ca="1">IF(NOT($C$6),"",IF(GetConvertDate(CDSRollDate,B68)&lt;Parameter_Date,0,GetGetDefaultprob($I$6,B68)))</f>
        <v>3.3685357529327109E-2</v>
      </c>
      <c r="E68" s="180">
        <f t="shared" ca="1" si="2"/>
        <v>9.1938940521937452E-3</v>
      </c>
      <c r="F68" s="166"/>
      <c r="G68" s="167"/>
    </row>
    <row r="69" spans="2:7" x14ac:dyDescent="0.3">
      <c r="B69" s="186" t="str">
        <f t="shared" si="0"/>
        <v>60M</v>
      </c>
      <c r="C69" s="218">
        <f t="shared" ca="1" si="3"/>
        <v>5.095890410958904</v>
      </c>
      <c r="D69" s="171">
        <f ca="1">IF(NOT($C$6),"",IF(GetConvertDate(CDSRollDate,B69)&lt;Parameter_Date,0,GetGetDefaultprob($I$6,B69)))</f>
        <v>3.443961103236548E-2</v>
      </c>
      <c r="E69" s="180">
        <f t="shared" ca="1" si="2"/>
        <v>9.1938940521913721E-3</v>
      </c>
      <c r="F69" s="166"/>
      <c r="G69" s="167"/>
    </row>
    <row r="70" spans="2:7" x14ac:dyDescent="0.3">
      <c r="B70" s="186" t="str">
        <f t="shared" si="0"/>
        <v>61M</v>
      </c>
      <c r="C70" s="218">
        <f t="shared" ca="1" si="3"/>
        <v>5.1780821917808222</v>
      </c>
      <c r="D70" s="171">
        <f ca="1">IF(NOT($C$6),"",IF(GetConvertDate(CDSRollDate,B70)&lt;Parameter_Date,0,GetGetDefaultprob($I$6,B70)))</f>
        <v>3.5189372304139321E-2</v>
      </c>
      <c r="E70" s="180">
        <f t="shared" ca="1" si="2"/>
        <v>9.4511322986233198E-3</v>
      </c>
      <c r="F70" s="166"/>
      <c r="G70" s="167"/>
    </row>
    <row r="71" spans="2:7" x14ac:dyDescent="0.3">
      <c r="B71" s="186" t="str">
        <f t="shared" si="0"/>
        <v>62M</v>
      </c>
      <c r="C71" s="218">
        <f t="shared" ca="1" si="3"/>
        <v>5.2630136986301368</v>
      </c>
      <c r="D71" s="171">
        <f ca="1">IF(NOT($C$6),"",IF(GetConvertDate(CDSRollDate,B71)&lt;Parameter_Date,0,GetGetDefaultprob($I$6,B71)))</f>
        <v>3.5963513998074847E-2</v>
      </c>
      <c r="E71" s="180">
        <f t="shared" ca="1" si="2"/>
        <v>9.4511322986223292E-3</v>
      </c>
      <c r="F71" s="166"/>
      <c r="G71" s="167"/>
    </row>
    <row r="72" spans="2:7" x14ac:dyDescent="0.3">
      <c r="B72" s="186" t="str">
        <f t="shared" si="0"/>
        <v>63M</v>
      </c>
      <c r="C72" s="218">
        <f t="shared" ca="1" si="3"/>
        <v>5.3479452054794523</v>
      </c>
      <c r="D72" s="171">
        <f ca="1">IF(NOT($C$6),"",IF(GetConvertDate(CDSRollDate,B72)&lt;Parameter_Date,0,GetGetDefaultprob($I$6,B72)))</f>
        <v>3.6737034538651403E-2</v>
      </c>
      <c r="E72" s="180">
        <f t="shared" ca="1" si="2"/>
        <v>9.4511322986235383E-3</v>
      </c>
      <c r="F72" s="166"/>
      <c r="G72" s="167"/>
    </row>
    <row r="73" spans="2:7" x14ac:dyDescent="0.3">
      <c r="B73" s="186" t="str">
        <f t="shared" si="0"/>
        <v>64M</v>
      </c>
      <c r="C73" s="218">
        <f t="shared" ca="1" si="3"/>
        <v>5.4301369863013695</v>
      </c>
      <c r="D73" s="171">
        <f ca="1">IF(NOT($C$6),"",IF(GetConvertDate(CDSRollDate,B73)&lt;Parameter_Date,0,GetGetDefaultprob($I$6,B73)))</f>
        <v>3.7485011852436023E-2</v>
      </c>
      <c r="E73" s="180">
        <f t="shared" ca="1" si="2"/>
        <v>9.4511322986234221E-3</v>
      </c>
      <c r="F73" s="166"/>
      <c r="G73" s="167"/>
    </row>
    <row r="74" spans="2:7" x14ac:dyDescent="0.3">
      <c r="B74" s="186" t="str">
        <f t="shared" si="0"/>
        <v>65M</v>
      </c>
      <c r="C74" s="218">
        <f t="shared" ref="C74:C105" ca="1" si="4">MAX(0,(DATE(YEAR(CDSRollDate),MONTH(CDSRollDate)+ROW()-ROW($B$9),DAY(CDSRollDate))-Parameter_Date)/365)</f>
        <v>5.515068493150685</v>
      </c>
      <c r="D74" s="171" t="e">
        <f ca="1">IF(NOT($C$6),"",IF(GetConvertDate(CDSRollDate,B74)&lt;Parameter_Date,0,GetGetDefaultprob($I$6,B74)))</f>
        <v>#VALUE!</v>
      </c>
      <c r="E74" s="180" t="e">
        <f t="shared" ca="1" si="2"/>
        <v>#VALUE!</v>
      </c>
      <c r="F74" s="166"/>
      <c r="G74" s="167"/>
    </row>
    <row r="75" spans="2:7" x14ac:dyDescent="0.3">
      <c r="B75" s="186" t="str">
        <f t="shared" ref="B75:B129" si="5">ROW()-ROW($B$9)&amp;"M"</f>
        <v>66M</v>
      </c>
      <c r="C75" s="218">
        <f t="shared" ca="1" si="4"/>
        <v>5.5972602739726032</v>
      </c>
      <c r="D75" s="171">
        <f ca="1">IF(NOT($C$6),"",IF(GetConvertDate(CDSRollDate,B75)&lt;Parameter_Date,0,GetGetDefaultprob($I$6,B75)))</f>
        <v>3.9004108391334169E-2</v>
      </c>
      <c r="E75" s="180" t="e">
        <f t="shared" ca="1" si="2"/>
        <v>#VALUE!</v>
      </c>
      <c r="F75" s="166"/>
      <c r="G75" s="167"/>
    </row>
    <row r="76" spans="2:7" x14ac:dyDescent="0.3">
      <c r="B76" s="186" t="str">
        <f t="shared" si="5"/>
        <v>67M</v>
      </c>
      <c r="C76" s="218">
        <f t="shared" ca="1" si="4"/>
        <v>5.6821917808219178</v>
      </c>
      <c r="D76" s="171">
        <f ca="1">IF(NOT($C$6),"",IF(GetConvertDate(CDSRollDate,B76)&lt;Parameter_Date,0,GetGetDefaultprob($I$6,B76)))</f>
        <v>3.9775189229417141E-2</v>
      </c>
      <c r="E76" s="180">
        <f t="shared" ref="E76:E129" ca="1" si="6">IF(NOT($C$6),"",IF(C76=0,0,-LN((1-D76)/(1-D75))/($C76-$C75)))</f>
        <v>9.4511322986223292E-3</v>
      </c>
      <c r="F76" s="166"/>
      <c r="G76" s="167"/>
    </row>
    <row r="77" spans="2:7" x14ac:dyDescent="0.3">
      <c r="B77" s="186" t="str">
        <f t="shared" si="5"/>
        <v>68M</v>
      </c>
      <c r="C77" s="218">
        <f t="shared" ca="1" si="4"/>
        <v>5.7671232876712333</v>
      </c>
      <c r="D77" s="171">
        <f ca="1">IF(NOT($C$6),"",IF(GetConvertDate(CDSRollDate,B77)&lt;Parameter_Date,0,GetGetDefaultprob($I$6,B77)))</f>
        <v>4.0545651370100799E-2</v>
      </c>
      <c r="E77" s="180">
        <f t="shared" ca="1" si="6"/>
        <v>9.4511322986222304E-3</v>
      </c>
      <c r="F77" s="166"/>
      <c r="G77" s="167"/>
    </row>
    <row r="78" spans="2:7" x14ac:dyDescent="0.3">
      <c r="B78" s="186" t="str">
        <f t="shared" si="5"/>
        <v>69M</v>
      </c>
      <c r="C78" s="218">
        <f t="shared" ca="1" si="4"/>
        <v>5.8438356164383558</v>
      </c>
      <c r="D78" s="171">
        <f ca="1">IF(NOT($C$6),"",IF(GetConvertDate(CDSRollDate,B78)&lt;Parameter_Date,0,GetGetDefaultprob($I$6,B78)))</f>
        <v>4.1241021287782287E-2</v>
      </c>
      <c r="E78" s="180">
        <f t="shared" ca="1" si="6"/>
        <v>9.4511322986236459E-3</v>
      </c>
      <c r="F78" s="166"/>
      <c r="G78" s="167"/>
    </row>
    <row r="79" spans="2:7" x14ac:dyDescent="0.3">
      <c r="B79" s="186" t="str">
        <f t="shared" si="5"/>
        <v>70M</v>
      </c>
      <c r="C79" s="218">
        <f t="shared" ca="1" si="4"/>
        <v>5.9287671232876713</v>
      </c>
      <c r="D79" s="171" t="e">
        <f ca="1">IF(NOT($C$6),"",IF(GetConvertDate(CDSRollDate,B79)&lt;Parameter_Date,0,GetGetDefaultprob($I$6,B79)))</f>
        <v>#VALUE!</v>
      </c>
      <c r="E79" s="180" t="e">
        <f t="shared" ca="1" si="6"/>
        <v>#VALUE!</v>
      </c>
      <c r="F79" s="166"/>
      <c r="G79" s="167"/>
    </row>
    <row r="80" spans="2:7" x14ac:dyDescent="0.3">
      <c r="B80" s="186" t="str">
        <f t="shared" si="5"/>
        <v>71M</v>
      </c>
      <c r="C80" s="218">
        <f t="shared" ca="1" si="4"/>
        <v>6.0109589041095894</v>
      </c>
      <c r="D80" s="171">
        <f ca="1">IF(NOT($C$6),"",IF(GetConvertDate(CDSRollDate,B80)&lt;Parameter_Date,0,GetGetDefaultprob($I$6,B80)))</f>
        <v>4.2754189876462956E-2</v>
      </c>
      <c r="E80" s="180" t="e">
        <f t="shared" ca="1" si="6"/>
        <v>#VALUE!</v>
      </c>
      <c r="F80" s="166"/>
      <c r="G80" s="167"/>
    </row>
    <row r="81" spans="2:7" x14ac:dyDescent="0.3">
      <c r="B81" s="186" t="str">
        <f t="shared" si="5"/>
        <v>72M</v>
      </c>
      <c r="C81" s="218">
        <f t="shared" ca="1" si="4"/>
        <v>6.095890410958904</v>
      </c>
      <c r="D81" s="171">
        <f ca="1">IF(NOT($C$6),"",IF(GetConvertDate(CDSRollDate,B81)&lt;Parameter_Date,0,GetGetDefaultprob($I$6,B81)))</f>
        <v>4.3522261736048007E-2</v>
      </c>
      <c r="E81" s="180">
        <f t="shared" ca="1" si="6"/>
        <v>9.4511322986223292E-3</v>
      </c>
      <c r="F81" s="166"/>
      <c r="G81" s="167"/>
    </row>
    <row r="82" spans="2:7" x14ac:dyDescent="0.3">
      <c r="B82" s="186" t="str">
        <f t="shared" si="5"/>
        <v>73M</v>
      </c>
      <c r="C82" s="218">
        <f t="shared" ca="1" si="4"/>
        <v>6.1780821917808222</v>
      </c>
      <c r="D82" s="171">
        <f ca="1">IF(NOT($C$6),"",IF(GetConvertDate(CDSRollDate,B82)&lt;Parameter_Date,0,GetGetDefaultprob($I$6,B82)))</f>
        <v>4.4264970295406769E-2</v>
      </c>
      <c r="E82" s="180">
        <f t="shared" ca="1" si="6"/>
        <v>9.4511322986219684E-3</v>
      </c>
      <c r="F82" s="166"/>
      <c r="G82" s="167"/>
    </row>
    <row r="83" spans="2:7" x14ac:dyDescent="0.3">
      <c r="B83" s="186" t="str">
        <f t="shared" si="5"/>
        <v>74M</v>
      </c>
      <c r="C83" s="218">
        <f t="shared" ca="1" si="4"/>
        <v>6.2630136986301368</v>
      </c>
      <c r="D83" s="171">
        <f ca="1">IF(NOT($C$6),"",IF(GetConvertDate(CDSRollDate,B83)&lt;Parameter_Date,0,GetGetDefaultprob($I$6,B83)))</f>
        <v>4.503182993978716E-2</v>
      </c>
      <c r="E83" s="180">
        <f t="shared" ca="1" si="6"/>
        <v>9.4511322986249452E-3</v>
      </c>
      <c r="F83" s="166"/>
      <c r="G83" s="167"/>
    </row>
    <row r="84" spans="2:7" x14ac:dyDescent="0.3">
      <c r="B84" s="186" t="str">
        <f t="shared" si="5"/>
        <v>75M</v>
      </c>
      <c r="C84" s="218">
        <f t="shared" ca="1" si="4"/>
        <v>6.3479452054794523</v>
      </c>
      <c r="D84" s="171">
        <f ca="1">IF(NOT($C$6),"",IF(GetConvertDate(CDSRollDate,B84)&lt;Parameter_Date,0,GetGetDefaultprob($I$6,B84)))</f>
        <v>4.579807427375604E-2</v>
      </c>
      <c r="E84" s="180">
        <f t="shared" ca="1" si="6"/>
        <v>9.4511322986222304E-3</v>
      </c>
      <c r="F84" s="166"/>
      <c r="G84" s="167"/>
    </row>
    <row r="85" spans="2:7" x14ac:dyDescent="0.3">
      <c r="B85" s="186" t="str">
        <f t="shared" si="5"/>
        <v>76M</v>
      </c>
      <c r="C85" s="218">
        <f t="shared" ca="1" si="4"/>
        <v>6.4301369863013695</v>
      </c>
      <c r="D85" s="171">
        <f ca="1">IF(NOT($C$6),"",IF(GetConvertDate(CDSRollDate,B85)&lt;Parameter_Date,0,GetGetDefaultprob($I$6,B85)))</f>
        <v>4.6539015656124172E-2</v>
      </c>
      <c r="E85" s="180">
        <f t="shared" ca="1" si="6"/>
        <v>9.4511322986247752E-3</v>
      </c>
      <c r="F85" s="166"/>
      <c r="G85" s="167"/>
    </row>
    <row r="86" spans="2:7" x14ac:dyDescent="0.3">
      <c r="B86" s="186" t="str">
        <f t="shared" si="5"/>
        <v>77M</v>
      </c>
      <c r="C86" s="218">
        <f t="shared" ca="1" si="4"/>
        <v>6.515068493150685</v>
      </c>
      <c r="D86" s="171" t="e">
        <f ca="1">IF(NOT($C$6),"",IF(GetConvertDate(CDSRollDate,B86)&lt;Parameter_Date,0,GetGetDefaultprob($I$6,B86)))</f>
        <v>#VALUE!</v>
      </c>
      <c r="E86" s="180" t="e">
        <f t="shared" ca="1" si="6"/>
        <v>#VALUE!</v>
      </c>
      <c r="F86" s="166"/>
      <c r="G86" s="167"/>
    </row>
    <row r="87" spans="2:7" x14ac:dyDescent="0.3">
      <c r="B87" s="186" t="str">
        <f t="shared" si="5"/>
        <v>78M</v>
      </c>
      <c r="C87" s="218">
        <f t="shared" ca="1" si="4"/>
        <v>6.5972602739726032</v>
      </c>
      <c r="D87" s="171">
        <f ca="1">IF(NOT($C$6),"",IF(GetConvertDate(CDSRollDate,B87)&lt;Parameter_Date,0,GetGetDefaultprob($I$6,B87)))</f>
        <v>4.8043822645237766E-2</v>
      </c>
      <c r="E87" s="180" t="e">
        <f t="shared" ca="1" si="6"/>
        <v>#VALUE!</v>
      </c>
      <c r="F87" s="166"/>
      <c r="G87" s="167"/>
    </row>
    <row r="88" spans="2:7" x14ac:dyDescent="0.3">
      <c r="B88" s="186" t="str">
        <f t="shared" si="5"/>
        <v>79M</v>
      </c>
      <c r="C88" s="218">
        <f t="shared" ca="1" si="4"/>
        <v>6.6821917808219178</v>
      </c>
      <c r="D88" s="171">
        <f ca="1">IF(NOT($C$6),"",IF(GetConvertDate(CDSRollDate,B88)&lt;Parameter_Date,0,GetGetDefaultprob($I$6,B88)))</f>
        <v>4.8807650226044941E-2</v>
      </c>
      <c r="E88" s="180">
        <f t="shared" ca="1" si="6"/>
        <v>9.4511322986236372E-3</v>
      </c>
      <c r="F88" s="166"/>
      <c r="G88" s="167"/>
    </row>
    <row r="89" spans="2:7" x14ac:dyDescent="0.3">
      <c r="B89" s="186" t="str">
        <f t="shared" si="5"/>
        <v>80M</v>
      </c>
      <c r="C89" s="218">
        <f t="shared" ca="1" si="4"/>
        <v>6.7671232876712333</v>
      </c>
      <c r="D89" s="171">
        <f ca="1">IF(NOT($C$6),"",IF(GetConvertDate(CDSRollDate,B89)&lt;Parameter_Date,0,GetGetDefaultprob($I$6,B89)))</f>
        <v>4.9570864929298297E-2</v>
      </c>
      <c r="E89" s="180">
        <f t="shared" ca="1" si="6"/>
        <v>9.4511322986222304E-3</v>
      </c>
      <c r="F89" s="166"/>
      <c r="G89" s="167"/>
    </row>
    <row r="90" spans="2:7" x14ac:dyDescent="0.3">
      <c r="B90" s="186" t="str">
        <f t="shared" si="5"/>
        <v>81M</v>
      </c>
      <c r="C90" s="218">
        <f t="shared" ca="1" si="4"/>
        <v>6.8438356164383558</v>
      </c>
      <c r="D90" s="171">
        <f ca="1">IF(NOT($C$6),"",IF(GetConvertDate(CDSRollDate,B90)&lt;Parameter_Date,0,GetGetDefaultprob($I$6,B90)))</f>
        <v>5.0259693772859104E-2</v>
      </c>
      <c r="E90" s="180">
        <f t="shared" ca="1" si="6"/>
        <v>9.4511322986221991E-3</v>
      </c>
      <c r="F90" s="166"/>
      <c r="G90" s="167"/>
    </row>
    <row r="91" spans="2:7" x14ac:dyDescent="0.3">
      <c r="B91" s="186" t="str">
        <f t="shared" si="5"/>
        <v>82M</v>
      </c>
      <c r="C91" s="218">
        <f t="shared" ca="1" si="4"/>
        <v>6.9287671232876713</v>
      </c>
      <c r="D91" s="171">
        <f ca="1">IF(NOT($C$6),"",IF(GetConvertDate(CDSRollDate,B91)&lt;Parameter_Date,0,GetGetDefaultprob($I$6,B91)))</f>
        <v>5.1021743390012975E-2</v>
      </c>
      <c r="E91" s="180">
        <f t="shared" ca="1" si="6"/>
        <v>9.4511322986235383E-3</v>
      </c>
      <c r="F91" s="166"/>
      <c r="G91" s="167"/>
    </row>
    <row r="92" spans="2:7" x14ac:dyDescent="0.3">
      <c r="B92" s="186" t="str">
        <f t="shared" si="5"/>
        <v>83M</v>
      </c>
      <c r="C92" s="218">
        <f t="shared" ca="1" si="4"/>
        <v>7.0109589041095894</v>
      </c>
      <c r="D92" s="171">
        <f ca="1">IF(NOT($C$6),"",IF(GetConvertDate(CDSRollDate,B92)&lt;Parameter_Date,0,GetGetDefaultprob($I$6,B92)))</f>
        <v>5.1758628573675414E-2</v>
      </c>
      <c r="E92" s="180">
        <f t="shared" ca="1" si="6"/>
        <v>9.4511322986233198E-3</v>
      </c>
      <c r="F92" s="166"/>
      <c r="G92" s="167"/>
    </row>
    <row r="93" spans="2:7" x14ac:dyDescent="0.3">
      <c r="B93" s="186" t="str">
        <f t="shared" si="5"/>
        <v>84M</v>
      </c>
      <c r="C93" s="218">
        <f t="shared" ca="1" si="4"/>
        <v>7.095890410958904</v>
      </c>
      <c r="D93" s="171">
        <f ca="1">IF(NOT($C$6),"",IF(GetConvertDate(CDSRollDate,B93)&lt;Parameter_Date,0,GetGetDefaultprob($I$6,B93)))</f>
        <v>5.2519475480274025E-2</v>
      </c>
      <c r="E93" s="180">
        <f t="shared" ca="1" si="6"/>
        <v>9.4511322986236372E-3</v>
      </c>
      <c r="F93" s="166"/>
      <c r="G93" s="167"/>
    </row>
    <row r="94" spans="2:7" x14ac:dyDescent="0.3">
      <c r="B94" s="186" t="str">
        <f t="shared" si="5"/>
        <v>85M</v>
      </c>
      <c r="C94" s="218">
        <f t="shared" ca="1" si="4"/>
        <v>7.1780821917808222</v>
      </c>
      <c r="D94" s="171">
        <f ca="1">IF(NOT($C$6),"",IF(GetConvertDate(CDSRollDate,B94)&lt;Parameter_Date,0,GetGetDefaultprob($I$6,B94)))</f>
        <v>5.3310306850899991E-2</v>
      </c>
      <c r="E94" s="180">
        <f t="shared" ca="1" si="6"/>
        <v>1.0159363868425203E-2</v>
      </c>
      <c r="F94" s="166"/>
      <c r="G94" s="167"/>
    </row>
    <row r="95" spans="2:7" x14ac:dyDescent="0.3">
      <c r="B95" s="186" t="str">
        <f t="shared" si="5"/>
        <v>86M</v>
      </c>
      <c r="C95" s="218">
        <f t="shared" ca="1" si="4"/>
        <v>7.2630136986301368</v>
      </c>
      <c r="D95" s="171" t="e">
        <f ca="1">IF(NOT($C$6),"",IF(GetConvertDate(CDSRollDate,B95)&lt;Parameter_Date,0,GetGetDefaultprob($I$6,B95)))</f>
        <v>#VALUE!</v>
      </c>
      <c r="E95" s="180" t="e">
        <f t="shared" ca="1" si="6"/>
        <v>#VALUE!</v>
      </c>
      <c r="F95" s="166"/>
      <c r="G95" s="167"/>
    </row>
    <row r="96" spans="2:7" x14ac:dyDescent="0.3">
      <c r="B96" s="186" t="str">
        <f t="shared" si="5"/>
        <v>87M</v>
      </c>
      <c r="C96" s="218">
        <f t="shared" ca="1" si="4"/>
        <v>7.3479452054794523</v>
      </c>
      <c r="D96" s="171">
        <f ca="1">IF(NOT($C$6),"",IF(GetConvertDate(CDSRollDate,B96)&lt;Parameter_Date,0,GetGetDefaultprob($I$6,B96)))</f>
        <v>5.4942600579714673E-2</v>
      </c>
      <c r="E96" s="180" t="e">
        <f t="shared" ca="1" si="6"/>
        <v>#VALUE!</v>
      </c>
      <c r="F96" s="166"/>
      <c r="G96" s="167"/>
    </row>
    <row r="97" spans="2:7" x14ac:dyDescent="0.3">
      <c r="B97" s="186" t="str">
        <f t="shared" si="5"/>
        <v>88M</v>
      </c>
      <c r="C97" s="218">
        <f t="shared" ca="1" si="4"/>
        <v>7.4301369863013695</v>
      </c>
      <c r="D97" s="171">
        <f ca="1">IF(NOT($C$6),"",IF(GetConvertDate(CDSRollDate,B97)&lt;Parameter_Date,0,GetGetDefaultprob($I$6,B97)))</f>
        <v>5.5731409446137192E-2</v>
      </c>
      <c r="E97" s="180">
        <f t="shared" ca="1" si="6"/>
        <v>1.0159363868426663E-2</v>
      </c>
      <c r="F97" s="166"/>
      <c r="G97" s="167"/>
    </row>
    <row r="98" spans="2:7" x14ac:dyDescent="0.3">
      <c r="B98" s="186" t="str">
        <f t="shared" si="5"/>
        <v>89M</v>
      </c>
      <c r="C98" s="218">
        <f t="shared" ca="1" si="4"/>
        <v>7.515068493150685</v>
      </c>
      <c r="D98" s="171">
        <f ca="1">IF(NOT($C$6),"",IF(GetConvertDate(CDSRollDate,B98)&lt;Parameter_Date,0,GetGetDefaultprob($I$6,B98)))</f>
        <v>5.6545820269153002E-2</v>
      </c>
      <c r="E98" s="180">
        <f t="shared" ca="1" si="6"/>
        <v>1.0159363868425758E-2</v>
      </c>
      <c r="F98" s="166"/>
      <c r="G98" s="167"/>
    </row>
    <row r="99" spans="2:7" x14ac:dyDescent="0.3">
      <c r="B99" s="186" t="str">
        <f t="shared" si="5"/>
        <v>90M</v>
      </c>
      <c r="C99" s="218">
        <f t="shared" ca="1" si="4"/>
        <v>7.5972602739726032</v>
      </c>
      <c r="D99" s="171">
        <f ca="1">IF(NOT($C$6),"",IF(GetConvertDate(CDSRollDate,B99)&lt;Parameter_Date,0,GetGetDefaultprob($I$6,B99)))</f>
        <v>5.7333290979917795E-2</v>
      </c>
      <c r="E99" s="180">
        <f t="shared" ca="1" si="6"/>
        <v>1.0159363868426554E-2</v>
      </c>
      <c r="F99" s="166"/>
      <c r="G99" s="167"/>
    </row>
    <row r="100" spans="2:7" x14ac:dyDescent="0.3">
      <c r="B100" s="186" t="str">
        <f t="shared" si="5"/>
        <v>91M</v>
      </c>
      <c r="C100" s="218">
        <f t="shared" ca="1" si="4"/>
        <v>7.6821917808219178</v>
      </c>
      <c r="D100" s="171">
        <f ca="1">IF(NOT($C$6),"",IF(GetConvertDate(CDSRollDate,B100)&lt;Parameter_Date,0,GetGetDefaultprob($I$6,B100)))</f>
        <v>5.8146320215457958E-2</v>
      </c>
      <c r="E100" s="180">
        <f t="shared" ca="1" si="6"/>
        <v>1.0159363868424556E-2</v>
      </c>
      <c r="F100" s="166"/>
      <c r="G100" s="167"/>
    </row>
    <row r="101" spans="2:7" x14ac:dyDescent="0.3">
      <c r="B101" s="186" t="str">
        <f t="shared" si="5"/>
        <v>92M</v>
      </c>
      <c r="C101" s="218">
        <f t="shared" ca="1" si="4"/>
        <v>7.7671232876712333</v>
      </c>
      <c r="D101" s="171">
        <f ca="1">IF(NOT($C$6),"",IF(GetConvertDate(CDSRollDate,B101)&lt;Parameter_Date,0,GetGetDefaultprob($I$6,B101)))</f>
        <v>5.8958648231222988E-2</v>
      </c>
      <c r="E101" s="180">
        <f t="shared" ca="1" si="6"/>
        <v>1.0159363868425758E-2</v>
      </c>
      <c r="F101" s="166"/>
      <c r="G101" s="167"/>
    </row>
    <row r="102" spans="2:7" x14ac:dyDescent="0.3">
      <c r="B102" s="186" t="str">
        <f t="shared" si="5"/>
        <v>93M</v>
      </c>
      <c r="C102" s="218">
        <f t="shared" ca="1" si="4"/>
        <v>7.8465753424657532</v>
      </c>
      <c r="D102" s="171">
        <f ca="1">IF(NOT($C$6),"",IF(GetConvertDate(CDSRollDate,B102)&lt;Parameter_Date,0,GetGetDefaultprob($I$6,B102)))</f>
        <v>5.9717933704505399E-2</v>
      </c>
      <c r="E102" s="180">
        <f t="shared" ca="1" si="6"/>
        <v>1.0159363868425739E-2</v>
      </c>
      <c r="F102" s="166"/>
      <c r="G102" s="167"/>
    </row>
    <row r="103" spans="2:7" x14ac:dyDescent="0.3">
      <c r="B103" s="186" t="str">
        <f t="shared" si="5"/>
        <v>94M</v>
      </c>
      <c r="C103" s="218">
        <f t="shared" ca="1" si="4"/>
        <v>7.9315068493150687</v>
      </c>
      <c r="D103" s="171">
        <f ca="1">IF(NOT($C$6),"",IF(GetConvertDate(CDSRollDate,B103)&lt;Parameter_Date,0,GetGetDefaultprob($I$6,B103)))</f>
        <v>6.0528906238315416E-2</v>
      </c>
      <c r="E103" s="180">
        <f t="shared" ca="1" si="6"/>
        <v>1.015936386842445E-2</v>
      </c>
      <c r="F103" s="166"/>
      <c r="G103" s="167"/>
    </row>
    <row r="104" spans="2:7" x14ac:dyDescent="0.3">
      <c r="B104" s="186" t="str">
        <f t="shared" si="5"/>
        <v>95M</v>
      </c>
      <c r="C104" s="218">
        <f t="shared" ca="1" si="4"/>
        <v>8.0136986301369859</v>
      </c>
      <c r="D104" s="171">
        <f ca="1">IF(NOT($C$6),"",IF(GetConvertDate(CDSRollDate,B104)&lt;Parameter_Date,0,GetGetDefaultprob($I$6,B104)))</f>
        <v>6.1313052395957746E-2</v>
      </c>
      <c r="E104" s="180">
        <f t="shared" ca="1" si="6"/>
        <v>1.0159363868426663E-2</v>
      </c>
      <c r="F104" s="166"/>
      <c r="G104" s="167"/>
    </row>
    <row r="105" spans="2:7" x14ac:dyDescent="0.3">
      <c r="B105" s="186" t="str">
        <f t="shared" si="5"/>
        <v>96M</v>
      </c>
      <c r="C105" s="218">
        <f t="shared" ca="1" si="4"/>
        <v>8.0986301369863014</v>
      </c>
      <c r="D105" s="171">
        <f ca="1">IF(NOT($C$6),"",IF(GetConvertDate(CDSRollDate,B105)&lt;Parameter_Date,0,GetGetDefaultprob($I$6,B105)))</f>
        <v>6.212264917509458E-2</v>
      </c>
      <c r="E105" s="180">
        <f t="shared" ca="1" si="6"/>
        <v>1.0159363868425758E-2</v>
      </c>
      <c r="F105" s="166"/>
      <c r="G105" s="167"/>
    </row>
    <row r="106" spans="2:7" x14ac:dyDescent="0.3">
      <c r="B106" s="186" t="str">
        <f t="shared" si="5"/>
        <v>97M</v>
      </c>
      <c r="C106" s="218">
        <f t="shared" ref="C106:C129" ca="1" si="7">MAX(0,(DATE(YEAR(CDSRollDate),MONTH(CDSRollDate)+ROW()-ROW($B$9),DAY(CDSRollDate))-Parameter_Date)/365)</f>
        <v>8.1808219178082187</v>
      </c>
      <c r="D106" s="171">
        <f ca="1">IF(NOT($C$6),"",IF(GetConvertDate(CDSRollDate,B106)&lt;Parameter_Date,0,GetGetDefaultprob($I$6,B106)))</f>
        <v>6.2905465087018331E-2</v>
      </c>
      <c r="E106" s="180">
        <f t="shared" ca="1" si="6"/>
        <v>1.0159363868425312E-2</v>
      </c>
      <c r="F106" s="166"/>
      <c r="G106" s="167"/>
    </row>
    <row r="107" spans="2:7" x14ac:dyDescent="0.3">
      <c r="B107" s="186" t="str">
        <f t="shared" si="5"/>
        <v>98M</v>
      </c>
      <c r="C107" s="218">
        <f t="shared" ca="1" si="7"/>
        <v>8.2657534246575342</v>
      </c>
      <c r="D107" s="171">
        <f ca="1">IF(NOT($C$6),"",IF(GetConvertDate(CDSRollDate,B107)&lt;Parameter_Date,0,GetGetDefaultprob($I$6,B107)))</f>
        <v>6.3713688445347416E-2</v>
      </c>
      <c r="E107" s="180">
        <f t="shared" ca="1" si="6"/>
        <v>1.0159363868425758E-2</v>
      </c>
      <c r="F107" s="166"/>
      <c r="G107" s="167"/>
    </row>
    <row r="108" spans="2:7" x14ac:dyDescent="0.3">
      <c r="B108" s="186" t="str">
        <f t="shared" si="5"/>
        <v>99M</v>
      </c>
      <c r="C108" s="218">
        <f t="shared" ca="1" si="7"/>
        <v>8.3506849315068497</v>
      </c>
      <c r="D108" s="171">
        <f ca="1">IF(NOT($C$6),"",IF(GetConvertDate(CDSRollDate,B108)&lt;Parameter_Date,0,GetGetDefaultprob($I$6,B108)))</f>
        <v>6.4521214728864407E-2</v>
      </c>
      <c r="E108" s="180">
        <f t="shared" ca="1" si="6"/>
        <v>1.0159363868427067E-2</v>
      </c>
      <c r="F108" s="166"/>
      <c r="G108" s="167"/>
    </row>
    <row r="109" spans="2:7" x14ac:dyDescent="0.3">
      <c r="B109" s="186" t="str">
        <f t="shared" si="5"/>
        <v>100M</v>
      </c>
      <c r="C109" s="218">
        <f t="shared" ca="1" si="7"/>
        <v>8.4328767123287669</v>
      </c>
      <c r="D109" s="171">
        <f ca="1">IF(NOT($C$6),"",IF(GetConvertDate(CDSRollDate,B109)&lt;Parameter_Date,0,GetGetDefaultprob($I$6,B109)))</f>
        <v>6.5302028635643494E-2</v>
      </c>
      <c r="E109" s="180">
        <f t="shared" ca="1" si="6"/>
        <v>1.0159363868423961E-2</v>
      </c>
      <c r="F109" s="166"/>
      <c r="G109" s="167"/>
    </row>
    <row r="110" spans="2:7" x14ac:dyDescent="0.3">
      <c r="B110" s="186" t="str">
        <f t="shared" si="5"/>
        <v>101M</v>
      </c>
      <c r="C110" s="218">
        <f t="shared" ca="1" si="7"/>
        <v>8.5178082191780824</v>
      </c>
      <c r="D110" s="171">
        <f ca="1">IF(NOT($C$6),"",IF(GetConvertDate(CDSRollDate,B110)&lt;Parameter_Date,0,GetGetDefaultprob($I$6,B110)))</f>
        <v>6.6108185010794851E-2</v>
      </c>
      <c r="E110" s="180">
        <f t="shared" ca="1" si="6"/>
        <v>1.0159363868427067E-2</v>
      </c>
      <c r="F110" s="166"/>
      <c r="G110" s="167"/>
    </row>
    <row r="111" spans="2:7" x14ac:dyDescent="0.3">
      <c r="B111" s="186" t="str">
        <f t="shared" si="5"/>
        <v>102M</v>
      </c>
      <c r="C111" s="218">
        <f t="shared" ca="1" si="7"/>
        <v>8.6</v>
      </c>
      <c r="D111" s="171" t="e">
        <f ca="1">IF(NOT($C$6),"",IF(GetConvertDate(CDSRollDate,B111)&lt;Parameter_Date,0,GetGetDefaultprob($I$6,B111)))</f>
        <v>#VALUE!</v>
      </c>
      <c r="E111" s="180" t="e">
        <f t="shared" ca="1" si="6"/>
        <v>#VALUE!</v>
      </c>
      <c r="F111" s="166"/>
      <c r="G111" s="167"/>
    </row>
    <row r="112" spans="2:7" x14ac:dyDescent="0.3">
      <c r="B112" s="186" t="str">
        <f t="shared" si="5"/>
        <v>103M</v>
      </c>
      <c r="C112" s="218">
        <f t="shared" ca="1" si="7"/>
        <v>8.6849315068493151</v>
      </c>
      <c r="D112" s="171">
        <f ca="1">IF(NOT($C$6),"",IF(GetConvertDate(CDSRollDate,B112)&lt;Parameter_Date,0,GetGetDefaultprob($I$6,B112)))</f>
        <v>6.769246311550503E-2</v>
      </c>
      <c r="E112" s="180" t="e">
        <f t="shared" ca="1" si="6"/>
        <v>#VALUE!</v>
      </c>
      <c r="F112" s="166"/>
      <c r="G112" s="167"/>
    </row>
    <row r="113" spans="2:7" x14ac:dyDescent="0.3">
      <c r="B113" s="186" t="str">
        <f t="shared" si="5"/>
        <v>104M</v>
      </c>
      <c r="C113" s="218">
        <f t="shared" ca="1" si="7"/>
        <v>8.7698630136986306</v>
      </c>
      <c r="D113" s="171">
        <f ca="1">IF(NOT($C$6),"",IF(GetConvertDate(CDSRollDate,B113)&lt;Parameter_Date,0,GetGetDefaultprob($I$6,B113)))</f>
        <v>6.8496557793665036E-2</v>
      </c>
      <c r="E113" s="180">
        <f t="shared" ca="1" si="6"/>
        <v>1.0159363868425758E-2</v>
      </c>
      <c r="F113" s="166"/>
      <c r="G113" s="167"/>
    </row>
    <row r="114" spans="2:7" x14ac:dyDescent="0.3">
      <c r="B114" s="186" t="str">
        <f t="shared" si="5"/>
        <v>105M</v>
      </c>
      <c r="C114" s="218">
        <f t="shared" ca="1" si="7"/>
        <v>8.8465753424657532</v>
      </c>
      <c r="D114" s="171" t="e">
        <f ca="1">IF(NOT($C$6),"",IF(GetConvertDate(CDSRollDate,B114)&lt;Parameter_Date,0,GetGetDefaultprob($I$6,B114)))</f>
        <v>#VALUE!</v>
      </c>
      <c r="E114" s="180" t="e">
        <f t="shared" ca="1" si="6"/>
        <v>#VALUE!</v>
      </c>
      <c r="F114" s="166"/>
      <c r="G114" s="167"/>
    </row>
    <row r="115" spans="2:7" x14ac:dyDescent="0.3">
      <c r="B115" s="186" t="str">
        <f t="shared" si="5"/>
        <v>106M</v>
      </c>
      <c r="C115" s="218">
        <f t="shared" ca="1" si="7"/>
        <v>8.9315068493150687</v>
      </c>
      <c r="D115" s="171">
        <f ca="1">IF(NOT($C$6),"",IF(GetConvertDate(CDSRollDate,B115)&lt;Parameter_Date,0,GetGetDefaultprob($I$6,B115)))</f>
        <v>7.0025016029921283E-2</v>
      </c>
      <c r="E115" s="180" t="e">
        <f t="shared" ca="1" si="6"/>
        <v>#VALUE!</v>
      </c>
      <c r="F115" s="166"/>
      <c r="G115" s="167"/>
    </row>
    <row r="116" spans="2:7" x14ac:dyDescent="0.3">
      <c r="B116" s="186" t="str">
        <f t="shared" si="5"/>
        <v>107M</v>
      </c>
      <c r="C116" s="218">
        <f t="shared" ca="1" si="7"/>
        <v>9.0136986301369859</v>
      </c>
      <c r="D116" s="171">
        <f ca="1">IF(NOT($C$6),"",IF(GetConvertDate(CDSRollDate,B116)&lt;Parameter_Date,0,GetGetDefaultprob($I$6,B116)))</f>
        <v>7.0801236091640907E-2</v>
      </c>
      <c r="E116" s="180">
        <f t="shared" ca="1" si="6"/>
        <v>1.0159363868425312E-2</v>
      </c>
      <c r="F116" s="166"/>
      <c r="G116" s="167"/>
    </row>
    <row r="117" spans="2:7" x14ac:dyDescent="0.3">
      <c r="B117" s="186" t="str">
        <f t="shared" si="5"/>
        <v>108M</v>
      </c>
      <c r="C117" s="218">
        <f t="shared" ca="1" si="7"/>
        <v>9.0986301369863014</v>
      </c>
      <c r="D117" s="171">
        <f ca="1">IF(NOT($C$6),"",IF(GetConvertDate(CDSRollDate,B117)&lt;Parameter_Date,0,GetGetDefaultprob($I$6,B117)))</f>
        <v>7.1602649521707584E-2</v>
      </c>
      <c r="E117" s="180">
        <f t="shared" ca="1" si="6"/>
        <v>1.0159363868427067E-2</v>
      </c>
      <c r="F117" s="166"/>
      <c r="G117" s="167"/>
    </row>
    <row r="118" spans="2:7" x14ac:dyDescent="0.3">
      <c r="B118" s="186" t="str">
        <f t="shared" si="5"/>
        <v>109M</v>
      </c>
      <c r="C118" s="218">
        <f t="shared" ca="1" si="7"/>
        <v>9.1808219178082187</v>
      </c>
      <c r="D118" s="171">
        <f ca="1">IF(NOT($C$6),"",IF(GetConvertDate(CDSRollDate,B118)&lt;Parameter_Date,0,GetGetDefaultprob($I$6,B118)))</f>
        <v>7.2377552783741805E-2</v>
      </c>
      <c r="E118" s="180">
        <f t="shared" ca="1" si="6"/>
        <v>1.0159363868425312E-2</v>
      </c>
      <c r="F118" s="166"/>
      <c r="G118" s="167"/>
    </row>
    <row r="119" spans="2:7" x14ac:dyDescent="0.3">
      <c r="B119" s="186" t="str">
        <f t="shared" si="5"/>
        <v>110M</v>
      </c>
      <c r="C119" s="218">
        <f t="shared" ca="1" si="7"/>
        <v>9.2657534246575342</v>
      </c>
      <c r="D119" s="171">
        <f ca="1">IF(NOT($C$6),"",IF(GetConvertDate(CDSRollDate,B119)&lt;Parameter_Date,0,GetGetDefaultprob($I$6,B119)))</f>
        <v>7.3177606675444595E-2</v>
      </c>
      <c r="E119" s="180">
        <f t="shared" ca="1" si="6"/>
        <v>1.015936386842445E-2</v>
      </c>
      <c r="F119" s="166"/>
      <c r="G119" s="167"/>
    </row>
    <row r="120" spans="2:7" x14ac:dyDescent="0.3">
      <c r="B120" s="186" t="str">
        <f t="shared" si="5"/>
        <v>111M</v>
      </c>
      <c r="C120" s="218">
        <f t="shared" ca="1" si="7"/>
        <v>9.3506849315068497</v>
      </c>
      <c r="D120" s="171">
        <f ca="1">IF(NOT($C$6),"",IF(GetConvertDate(CDSRollDate,B120)&lt;Parameter_Date,0,GetGetDefaultprob($I$6,B120)))</f>
        <v>7.3976970538319975E-2</v>
      </c>
      <c r="E120" s="180">
        <f t="shared" ca="1" si="6"/>
        <v>1.0159363868425758E-2</v>
      </c>
      <c r="F120" s="166"/>
      <c r="G120" s="167"/>
    </row>
    <row r="121" spans="2:7" x14ac:dyDescent="0.3">
      <c r="B121" s="186" t="str">
        <f t="shared" si="5"/>
        <v>112M</v>
      </c>
      <c r="C121" s="218">
        <f t="shared" ca="1" si="7"/>
        <v>9.4328767123287669</v>
      </c>
      <c r="D121" s="171">
        <f ca="1">IF(NOT($C$6),"",IF(GetConvertDate(CDSRollDate,B121)&lt;Parameter_Date,0,GetGetDefaultprob($I$6,B121)))</f>
        <v>7.4749892031341303E-2</v>
      </c>
      <c r="E121" s="180">
        <f t="shared" ca="1" si="6"/>
        <v>1.0159363868426663E-2</v>
      </c>
      <c r="F121" s="166"/>
      <c r="G121" s="167"/>
    </row>
    <row r="122" spans="2:7" x14ac:dyDescent="0.3">
      <c r="B122" s="186" t="str">
        <f t="shared" si="5"/>
        <v>113M</v>
      </c>
      <c r="C122" s="218">
        <f t="shared" ca="1" si="7"/>
        <v>9.5178082191780824</v>
      </c>
      <c r="D122" s="171">
        <f ca="1">IF(NOT($C$6),"",IF(GetConvertDate(CDSRollDate,B122)&lt;Parameter_Date,0,GetGetDefaultprob($I$6,B122)))</f>
        <v>7.554789983279131E-2</v>
      </c>
      <c r="E122" s="180">
        <f t="shared" ca="1" si="6"/>
        <v>1.015936386842445E-2</v>
      </c>
      <c r="F122" s="166"/>
      <c r="G122" s="167"/>
    </row>
    <row r="123" spans="2:7" x14ac:dyDescent="0.3">
      <c r="B123" s="186" t="str">
        <f t="shared" si="5"/>
        <v>114M</v>
      </c>
      <c r="C123" s="218">
        <f t="shared" ca="1" si="7"/>
        <v>9.6</v>
      </c>
      <c r="D123" s="171">
        <f ca="1">IF(NOT($C$6),"",IF(GetConvertDate(CDSRollDate,B123)&lt;Parameter_Date,0,GetGetDefaultprob($I$6,B123)))</f>
        <v>7.6319510121904077E-2</v>
      </c>
      <c r="E123" s="180">
        <f t="shared" ca="1" si="6"/>
        <v>1.0159363868426663E-2</v>
      </c>
      <c r="F123" s="166"/>
      <c r="G123" s="167"/>
    </row>
    <row r="124" spans="2:7" x14ac:dyDescent="0.3">
      <c r="B124" s="186" t="str">
        <f t="shared" si="5"/>
        <v>115M</v>
      </c>
      <c r="C124" s="218">
        <f t="shared" ca="1" si="7"/>
        <v>9.6849315068493151</v>
      </c>
      <c r="D124" s="171">
        <f ca="1">IF(NOT($C$6),"",IF(GetConvertDate(CDSRollDate,B124)&lt;Parameter_Date,0,GetGetDefaultprob($I$6,B124)))</f>
        <v>7.7116164162386314E-2</v>
      </c>
      <c r="E124" s="180">
        <f t="shared" ca="1" si="6"/>
        <v>1.015936386842445E-2</v>
      </c>
      <c r="F124" s="166"/>
      <c r="G124" s="167"/>
    </row>
    <row r="125" spans="2:7" x14ac:dyDescent="0.3">
      <c r="B125" s="186" t="str">
        <f t="shared" si="5"/>
        <v>116M</v>
      </c>
      <c r="C125" s="218">
        <f t="shared" ca="1" si="7"/>
        <v>9.7698630136986306</v>
      </c>
      <c r="D125" s="171">
        <f ca="1">IF(NOT($C$6),"",IF(GetConvertDate(CDSRollDate,B125)&lt;Parameter_Date,0,GetGetDefaultprob($I$6,B125)))</f>
        <v>7.7912131106337879E-2</v>
      </c>
      <c r="E125" s="180">
        <f t="shared" ca="1" si="6"/>
        <v>1.0159363868427067E-2</v>
      </c>
      <c r="F125" s="166"/>
      <c r="G125" s="167"/>
    </row>
    <row r="126" spans="2:7" x14ac:dyDescent="0.3">
      <c r="B126" s="186" t="str">
        <f t="shared" si="5"/>
        <v>117M</v>
      </c>
      <c r="C126" s="218">
        <f t="shared" ca="1" si="7"/>
        <v>9.8465753424657532</v>
      </c>
      <c r="D126" s="171">
        <f ca="1">IF(NOT($C$6),"",IF(GetConvertDate(CDSRollDate,B126)&lt;Parameter_Date,0,GetGetDefaultprob($I$6,B126)))</f>
        <v>7.8630478910008406E-2</v>
      </c>
      <c r="E126" s="180">
        <f t="shared" ca="1" si="6"/>
        <v>1.0159363868424457E-2</v>
      </c>
      <c r="F126" s="166"/>
      <c r="G126" s="167"/>
    </row>
    <row r="127" spans="2:7" x14ac:dyDescent="0.3">
      <c r="B127" s="186" t="str">
        <f t="shared" si="5"/>
        <v>118M</v>
      </c>
      <c r="C127" s="218">
        <f t="shared" ca="1" si="7"/>
        <v>9.9315068493150687</v>
      </c>
      <c r="D127" s="171" t="e">
        <f ca="1">IF(NOT($C$6),"",IF(GetConvertDate(CDSRollDate,B127)&lt;Parameter_Date,0,GetGetDefaultprob($I$6,B127)))</f>
        <v>#VALUE!</v>
      </c>
      <c r="E127" s="180" t="e">
        <f t="shared" ca="1" si="6"/>
        <v>#VALUE!</v>
      </c>
      <c r="F127" s="166"/>
      <c r="G127" s="167"/>
    </row>
    <row r="128" spans="2:7" x14ac:dyDescent="0.3">
      <c r="B128" s="186" t="str">
        <f t="shared" si="5"/>
        <v>119M</v>
      </c>
      <c r="C128" s="218">
        <f t="shared" ca="1" si="7"/>
        <v>10.013698630136986</v>
      </c>
      <c r="D128" s="171" t="e">
        <f ca="1">IF(NOT($C$6),"",IF(GetConvertDate(CDSRollDate,B128)&lt;Parameter_Date,0,GetGetDefaultprob($I$6,B128)))</f>
        <v>#VALUE!</v>
      </c>
      <c r="E128" s="180" t="e">
        <f t="shared" ca="1" si="6"/>
        <v>#VALUE!</v>
      </c>
      <c r="F128" s="166"/>
      <c r="G128" s="167"/>
    </row>
    <row r="129" spans="2:7" ht="15" thickBot="1" x14ac:dyDescent="0.35">
      <c r="B129" s="187" t="str">
        <f t="shared" si="5"/>
        <v>120M</v>
      </c>
      <c r="C129" s="219">
        <f t="shared" ca="1" si="7"/>
        <v>10.098630136986301</v>
      </c>
      <c r="D129" s="181" t="e">
        <f ca="1">IF(NOT($C$6),"",IF(GetConvertDate(CDSRollDate,B129)&lt;Parameter_Date,0,GetGetDefaultprob($I$6,B129)))</f>
        <v>#VALUE!</v>
      </c>
      <c r="E129" s="220" t="e">
        <f t="shared" ca="1" si="6"/>
        <v>#VALUE!</v>
      </c>
      <c r="F129" s="166"/>
      <c r="G129" s="167"/>
    </row>
    <row r="130" spans="2:7" x14ac:dyDescent="0.3">
      <c r="B130" s="17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I338"/>
  <sheetViews>
    <sheetView showGridLines="0" topLeftCell="A9" zoomScale="80" workbookViewId="0">
      <selection activeCell="I28" sqref="I28:K37"/>
    </sheetView>
  </sheetViews>
  <sheetFormatPr baseColWidth="10" defaultColWidth="11.44140625" defaultRowHeight="10.199999999999999" x14ac:dyDescent="0.2"/>
  <cols>
    <col min="1" max="1" width="3.109375" style="232" customWidth="1"/>
    <col min="2" max="2" width="17.21875" style="232" customWidth="1"/>
    <col min="3" max="3" width="20" style="233" customWidth="1"/>
    <col min="4" max="4" width="10.44140625" style="233" bestFit="1" customWidth="1"/>
    <col min="5" max="5" width="10" style="233" bestFit="1" customWidth="1"/>
    <col min="6" max="6" width="9.109375" style="233" customWidth="1"/>
    <col min="7" max="7" width="1.109375" style="233" customWidth="1"/>
    <col min="8" max="8" width="11.5546875" style="233" customWidth="1"/>
    <col min="9" max="9" width="7.109375" style="232" customWidth="1"/>
    <col min="10" max="10" width="8.88671875" style="232" customWidth="1"/>
    <col min="11" max="11" width="16.5546875" style="232" bestFit="1" customWidth="1"/>
    <col min="12" max="12" width="16.77734375" style="232" bestFit="1" customWidth="1"/>
    <col min="13" max="13" width="9.109375" style="232" customWidth="1"/>
    <col min="14" max="14" width="28.5546875" style="232" bestFit="1" customWidth="1"/>
    <col min="15" max="15" width="2.21875" style="232" customWidth="1"/>
    <col min="16" max="16" width="10.77734375" style="232" customWidth="1"/>
    <col min="17" max="20" width="8.77734375" style="232" customWidth="1"/>
    <col min="21" max="21" width="13.109375" style="232" bestFit="1" customWidth="1"/>
    <col min="22" max="23" width="11.44140625" style="232" customWidth="1"/>
    <col min="24" max="24" width="13.109375" style="232" customWidth="1"/>
    <col min="25" max="16384" width="11.44140625" style="232"/>
  </cols>
  <sheetData>
    <row r="4" spans="1:9" ht="10.8" thickBot="1" x14ac:dyDescent="0.25"/>
    <row r="5" spans="1:9" ht="10.8" thickBot="1" x14ac:dyDescent="0.25">
      <c r="H5" s="287" t="s">
        <v>423</v>
      </c>
      <c r="I5" s="234" t="b">
        <v>1</v>
      </c>
    </row>
    <row r="6" spans="1:9" ht="10.8" thickBot="1" x14ac:dyDescent="0.25">
      <c r="B6" s="288" t="s">
        <v>432</v>
      </c>
      <c r="C6" s="235" t="s">
        <v>57</v>
      </c>
    </row>
    <row r="7" spans="1:9" customFormat="1" ht="14.4" x14ac:dyDescent="0.3">
      <c r="A7" s="232"/>
      <c r="B7" s="288" t="s">
        <v>457</v>
      </c>
      <c r="C7" s="236">
        <f>GetConvertDate(CDSRollDate,C6)</f>
        <v>45463</v>
      </c>
      <c r="D7" s="233"/>
      <c r="E7" s="237"/>
      <c r="F7" s="233"/>
      <c r="G7" s="233"/>
    </row>
    <row r="8" spans="1:9" customFormat="1" ht="14.4" x14ac:dyDescent="0.3">
      <c r="A8" s="232"/>
      <c r="B8" s="289" t="s">
        <v>82</v>
      </c>
      <c r="C8" s="238" t="s">
        <v>66</v>
      </c>
      <c r="D8" s="233"/>
      <c r="E8" s="233"/>
      <c r="F8" s="233"/>
      <c r="G8" s="233"/>
    </row>
    <row r="9" spans="1:9" customFormat="1" ht="14.4" x14ac:dyDescent="0.3">
      <c r="A9" s="232"/>
      <c r="B9" s="289" t="s">
        <v>437</v>
      </c>
      <c r="C9" s="239">
        <v>-0.05</v>
      </c>
      <c r="D9" s="233"/>
      <c r="E9" s="233"/>
      <c r="F9" s="233"/>
      <c r="G9" s="233"/>
    </row>
    <row r="10" spans="1:9" customFormat="1" ht="15" thickBot="1" x14ac:dyDescent="0.35">
      <c r="A10" s="232"/>
      <c r="B10" s="290" t="s">
        <v>439</v>
      </c>
      <c r="C10" s="240">
        <v>0.1</v>
      </c>
      <c r="D10" s="233"/>
      <c r="E10" s="232"/>
      <c r="F10" s="233"/>
      <c r="G10" s="233"/>
    </row>
    <row r="11" spans="1:9" customFormat="1" ht="15" thickBot="1" x14ac:dyDescent="0.35">
      <c r="A11" s="232"/>
      <c r="B11" s="232"/>
      <c r="C11" s="232"/>
      <c r="D11" s="233"/>
      <c r="E11" s="233"/>
      <c r="F11" s="233"/>
      <c r="G11" s="233"/>
    </row>
    <row r="12" spans="1:9" customFormat="1" ht="14.4" x14ac:dyDescent="0.3">
      <c r="A12" s="232"/>
      <c r="B12" s="288" t="s">
        <v>434</v>
      </c>
      <c r="C12" s="241">
        <v>0.05</v>
      </c>
      <c r="D12" s="233"/>
      <c r="E12" s="233"/>
      <c r="F12" s="233"/>
      <c r="G12" s="233"/>
    </row>
    <row r="13" spans="1:9" customFormat="1" ht="14.4" x14ac:dyDescent="0.3">
      <c r="A13" s="232"/>
      <c r="B13" s="289" t="s">
        <v>458</v>
      </c>
      <c r="C13" s="238" t="s">
        <v>459</v>
      </c>
      <c r="D13" s="233"/>
      <c r="E13" s="233"/>
      <c r="F13" s="233"/>
      <c r="G13" s="233"/>
    </row>
    <row r="14" spans="1:9" customFormat="1" ht="14.4" x14ac:dyDescent="0.3">
      <c r="A14" s="232"/>
      <c r="B14" s="289" t="s">
        <v>461</v>
      </c>
      <c r="C14" s="238" t="s">
        <v>445</v>
      </c>
      <c r="D14" s="233"/>
      <c r="E14" s="233"/>
      <c r="F14" s="233"/>
      <c r="G14" s="233"/>
    </row>
    <row r="15" spans="1:9" customFormat="1" ht="15" thickBot="1" x14ac:dyDescent="0.35">
      <c r="A15" s="232"/>
      <c r="B15" s="290" t="s">
        <v>462</v>
      </c>
      <c r="C15" s="242"/>
      <c r="D15" s="233"/>
      <c r="E15" s="233"/>
      <c r="F15" s="233"/>
      <c r="G15" s="233"/>
    </row>
    <row r="16" spans="1:9" customFormat="1" ht="15" thickBot="1" x14ac:dyDescent="0.35">
      <c r="A16" s="232"/>
      <c r="B16" s="232"/>
      <c r="C16" s="233"/>
      <c r="D16" s="233"/>
      <c r="E16" s="233"/>
      <c r="F16" s="233"/>
      <c r="G16" s="233"/>
    </row>
    <row r="17" spans="1:7" customFormat="1" ht="14.4" x14ac:dyDescent="0.3">
      <c r="A17" s="232"/>
      <c r="B17" s="288" t="s">
        <v>463</v>
      </c>
      <c r="C17" s="243">
        <f>COUNTA(C39:C338)</f>
        <v>100</v>
      </c>
      <c r="D17" s="233"/>
      <c r="E17" s="232"/>
      <c r="F17" s="233"/>
      <c r="G17" s="233"/>
    </row>
    <row r="18" spans="1:7" customFormat="1" ht="14.4" x14ac:dyDescent="0.3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</row>
    <row r="19" spans="1:7" customFormat="1" ht="14.4" x14ac:dyDescent="0.3">
      <c r="A19" s="232"/>
      <c r="B19" s="289" t="s">
        <v>465</v>
      </c>
      <c r="C19" s="246">
        <v>0</v>
      </c>
      <c r="D19" s="247"/>
      <c r="E19" s="233"/>
      <c r="F19" s="233"/>
      <c r="G19" s="248"/>
    </row>
    <row r="20" spans="1:7" customFormat="1" ht="14.4" x14ac:dyDescent="0.3">
      <c r="A20" s="232"/>
      <c r="B20" s="289" t="s">
        <v>466</v>
      </c>
      <c r="C20" s="246">
        <v>3</v>
      </c>
      <c r="D20" s="247"/>
      <c r="E20" s="233"/>
      <c r="F20" s="233"/>
      <c r="G20" s="248"/>
    </row>
    <row r="21" spans="1:7" customFormat="1" ht="14.4" x14ac:dyDescent="0.3">
      <c r="A21" s="232"/>
      <c r="B21" s="289" t="s">
        <v>467</v>
      </c>
      <c r="C21" s="249">
        <v>0.4</v>
      </c>
      <c r="D21" s="233"/>
      <c r="E21" s="233"/>
      <c r="F21" s="233"/>
      <c r="G21" s="250"/>
    </row>
    <row r="22" spans="1:7" customFormat="1" ht="15" thickBot="1" x14ac:dyDescent="0.35">
      <c r="A22" s="232"/>
      <c r="B22" s="290" t="s">
        <v>468</v>
      </c>
      <c r="C22" s="251">
        <v>0.5</v>
      </c>
      <c r="D22" s="233"/>
      <c r="E22" s="233"/>
      <c r="F22" s="233"/>
      <c r="G22" s="250"/>
    </row>
    <row r="23" spans="1:7" customFormat="1" ht="15" thickBot="1" x14ac:dyDescent="0.35">
      <c r="A23" s="232"/>
      <c r="B23" s="232"/>
      <c r="C23" s="233"/>
      <c r="D23" s="233"/>
      <c r="E23" s="233"/>
      <c r="F23" s="233"/>
      <c r="G23" s="233"/>
    </row>
    <row r="24" spans="1:7" customFormat="1" ht="14.4" x14ac:dyDescent="0.3">
      <c r="A24" s="252"/>
      <c r="B24" s="291" t="s">
        <v>447</v>
      </c>
      <c r="C24" s="253" t="b">
        <v>1</v>
      </c>
      <c r="D24" s="233"/>
      <c r="E24" s="233"/>
      <c r="F24" s="233"/>
      <c r="G24" s="233"/>
    </row>
    <row r="25" spans="1:7" customFormat="1" ht="15" thickBot="1" x14ac:dyDescent="0.35">
      <c r="A25" s="252"/>
      <c r="B25" s="290" t="s">
        <v>448</v>
      </c>
      <c r="C25" s="254" t="b">
        <v>1</v>
      </c>
      <c r="D25" s="233"/>
      <c r="E25" s="233"/>
      <c r="F25" s="233"/>
      <c r="G25" s="233"/>
    </row>
    <row r="26" spans="1:7" customFormat="1" ht="15" thickBot="1" x14ac:dyDescent="0.35">
      <c r="A26" s="232"/>
      <c r="B26" s="232"/>
      <c r="C26" s="233"/>
      <c r="D26" s="233"/>
      <c r="E26" s="233"/>
      <c r="F26" s="233"/>
      <c r="G26" s="233"/>
    </row>
    <row r="27" spans="1:7" customFormat="1" ht="15" thickBot="1" x14ac:dyDescent="0.35">
      <c r="A27" s="232"/>
      <c r="B27" s="288" t="s">
        <v>449</v>
      </c>
      <c r="C27" s="243" t="b">
        <v>1</v>
      </c>
      <c r="D27" s="233"/>
      <c r="E27" s="233"/>
      <c r="F27" s="233"/>
      <c r="G27" s="233"/>
    </row>
    <row r="28" spans="1:7" customFormat="1" ht="15" thickBot="1" x14ac:dyDescent="0.35">
      <c r="A28" s="232"/>
      <c r="B28" s="292" t="s">
        <v>450</v>
      </c>
      <c r="C28" s="255"/>
      <c r="D28" s="233"/>
      <c r="E28" s="233"/>
      <c r="F28" s="233"/>
      <c r="G28" s="233"/>
    </row>
    <row r="29" spans="1:7" customFormat="1" ht="14.4" x14ac:dyDescent="0.3">
      <c r="A29" s="232"/>
      <c r="B29" s="289" t="s">
        <v>469</v>
      </c>
      <c r="C29" s="256"/>
      <c r="D29" s="233"/>
      <c r="E29" s="233"/>
      <c r="F29" s="233"/>
      <c r="G29" s="233"/>
    </row>
    <row r="30" spans="1:7" customFormat="1" ht="14.4" x14ac:dyDescent="0.3">
      <c r="A30" s="232"/>
      <c r="B30" s="289" t="s">
        <v>447</v>
      </c>
      <c r="C30" s="257" t="b">
        <v>1</v>
      </c>
      <c r="D30" s="233"/>
      <c r="E30" s="233"/>
      <c r="F30" s="233"/>
      <c r="G30" s="233"/>
    </row>
    <row r="31" spans="1:7" customFormat="1" ht="15" thickBot="1" x14ac:dyDescent="0.35">
      <c r="A31" s="232"/>
      <c r="B31" s="290" t="s">
        <v>448</v>
      </c>
      <c r="C31" s="254" t="b">
        <v>1</v>
      </c>
      <c r="D31" s="233"/>
      <c r="E31" s="233"/>
      <c r="F31" s="233"/>
      <c r="G31" s="233"/>
    </row>
    <row r="32" spans="1:7" customFormat="1" ht="15" thickBot="1" x14ac:dyDescent="0.35">
      <c r="A32" s="232"/>
      <c r="B32" s="232"/>
      <c r="C32" s="233"/>
      <c r="D32" s="233"/>
      <c r="E32" s="233"/>
      <c r="F32" s="233"/>
      <c r="G32" s="233"/>
    </row>
    <row r="33" spans="1:7" customFormat="1" ht="14.4" x14ac:dyDescent="0.3">
      <c r="A33" s="232"/>
      <c r="B33" s="288" t="s">
        <v>451</v>
      </c>
      <c r="C33" s="258" t="s">
        <v>452</v>
      </c>
      <c r="D33" s="259"/>
      <c r="E33" s="259"/>
      <c r="F33" s="259"/>
      <c r="G33" s="233"/>
    </row>
    <row r="34" spans="1:7" customFormat="1" ht="14.4" x14ac:dyDescent="0.3">
      <c r="A34" s="232"/>
      <c r="B34" s="289" t="s">
        <v>470</v>
      </c>
      <c r="C34" s="260">
        <v>0.01</v>
      </c>
      <c r="D34" s="259"/>
      <c r="E34" s="259"/>
      <c r="F34" s="259"/>
      <c r="G34" s="233"/>
    </row>
    <row r="35" spans="1:7" customFormat="1" ht="14.4" x14ac:dyDescent="0.3">
      <c r="A35" s="232"/>
      <c r="B35" s="289" t="s">
        <v>471</v>
      </c>
      <c r="C35" s="260">
        <v>1</v>
      </c>
      <c r="D35" s="233"/>
      <c r="E35" s="233"/>
      <c r="F35" s="233"/>
      <c r="G35" s="233"/>
    </row>
    <row r="36" spans="1:7" customFormat="1" ht="15" thickBot="1" x14ac:dyDescent="0.35">
      <c r="A36" s="232"/>
      <c r="B36" s="290" t="s">
        <v>472</v>
      </c>
      <c r="C36" s="261"/>
      <c r="D36" s="233"/>
      <c r="E36" s="233"/>
      <c r="F36" s="233"/>
      <c r="G36" s="233"/>
    </row>
    <row r="37" spans="1:7" customFormat="1" ht="15" thickBot="1" x14ac:dyDescent="0.35">
      <c r="A37" s="232"/>
      <c r="B37" s="232"/>
      <c r="C37" s="233"/>
      <c r="D37" s="233"/>
      <c r="E37" s="233"/>
      <c r="F37" s="233"/>
      <c r="G37" s="233"/>
    </row>
    <row r="38" spans="1:7" customFormat="1" ht="15" thickBot="1" x14ac:dyDescent="0.35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33"/>
    </row>
    <row r="39" spans="1:7" customFormat="1" ht="14.4" x14ac:dyDescent="0.3">
      <c r="A39" s="232"/>
      <c r="B39" s="294">
        <v>1</v>
      </c>
      <c r="C39" s="263" t="s">
        <v>86</v>
      </c>
      <c r="D39" s="264">
        <v>1</v>
      </c>
      <c r="E39" s="256"/>
      <c r="F39" s="239"/>
      <c r="G39" s="233"/>
    </row>
    <row r="40" spans="1:7" customFormat="1" ht="14.4" x14ac:dyDescent="0.3">
      <c r="A40" s="232"/>
      <c r="B40" s="295">
        <v>2</v>
      </c>
      <c r="C40" s="265" t="s">
        <v>88</v>
      </c>
      <c r="D40" s="266">
        <v>1</v>
      </c>
      <c r="E40" s="256"/>
      <c r="F40" s="239"/>
      <c r="G40" s="233"/>
    </row>
    <row r="41" spans="1:7" customFormat="1" ht="12.75" customHeight="1" x14ac:dyDescent="0.3">
      <c r="A41" s="232"/>
      <c r="B41" s="295">
        <v>3</v>
      </c>
      <c r="C41" s="265" t="s">
        <v>89</v>
      </c>
      <c r="D41" s="266">
        <v>1</v>
      </c>
      <c r="E41" s="256"/>
      <c r="F41" s="239"/>
      <c r="G41" s="233"/>
    </row>
    <row r="42" spans="1:7" customFormat="1" ht="14.4" x14ac:dyDescent="0.3">
      <c r="A42" s="232"/>
      <c r="B42" s="295">
        <v>4</v>
      </c>
      <c r="C42" s="265" t="s">
        <v>90</v>
      </c>
      <c r="D42" s="266">
        <v>1</v>
      </c>
      <c r="E42" s="256"/>
      <c r="F42" s="239"/>
      <c r="G42" s="233"/>
    </row>
    <row r="43" spans="1:7" customFormat="1" ht="14.4" x14ac:dyDescent="0.3">
      <c r="A43" s="232"/>
      <c r="B43" s="295">
        <v>5</v>
      </c>
      <c r="C43" s="265" t="s">
        <v>93</v>
      </c>
      <c r="D43" s="266">
        <v>1</v>
      </c>
      <c r="E43" s="256"/>
      <c r="F43" s="239"/>
      <c r="G43" s="233"/>
    </row>
    <row r="44" spans="1:7" customFormat="1" ht="14.4" x14ac:dyDescent="0.3">
      <c r="A44" s="232"/>
      <c r="B44" s="295">
        <v>6</v>
      </c>
      <c r="C44" s="265" t="s">
        <v>94</v>
      </c>
      <c r="D44" s="266">
        <v>1</v>
      </c>
      <c r="E44" s="256"/>
      <c r="F44" s="239"/>
      <c r="G44" s="233"/>
    </row>
    <row r="45" spans="1:7" customFormat="1" ht="14.4" x14ac:dyDescent="0.3">
      <c r="A45" s="232"/>
      <c r="B45" s="295">
        <v>7</v>
      </c>
      <c r="C45" s="265" t="s">
        <v>95</v>
      </c>
      <c r="D45" s="266">
        <v>1</v>
      </c>
      <c r="E45" s="256"/>
      <c r="F45" s="239"/>
      <c r="G45" s="233"/>
    </row>
    <row r="46" spans="1:7" customFormat="1" ht="14.4" x14ac:dyDescent="0.3">
      <c r="A46" s="232"/>
      <c r="B46" s="295">
        <v>8</v>
      </c>
      <c r="C46" s="265" t="s">
        <v>96</v>
      </c>
      <c r="D46" s="266">
        <v>1</v>
      </c>
      <c r="E46" s="256"/>
      <c r="F46" s="239"/>
      <c r="G46" s="233"/>
    </row>
    <row r="47" spans="1:7" customFormat="1" ht="14.4" x14ac:dyDescent="0.3">
      <c r="A47" s="232"/>
      <c r="B47" s="295">
        <v>9</v>
      </c>
      <c r="C47" s="265" t="s">
        <v>97</v>
      </c>
      <c r="D47" s="266">
        <v>1</v>
      </c>
      <c r="E47" s="256"/>
      <c r="F47" s="239"/>
      <c r="G47" s="233"/>
    </row>
    <row r="48" spans="1:7" customFormat="1" ht="14.4" x14ac:dyDescent="0.3">
      <c r="A48" s="232"/>
      <c r="B48" s="295">
        <v>10</v>
      </c>
      <c r="C48" s="265" t="s">
        <v>98</v>
      </c>
      <c r="D48" s="266">
        <v>1</v>
      </c>
      <c r="E48" s="256"/>
      <c r="F48" s="239"/>
      <c r="G48" s="233"/>
    </row>
    <row r="49" spans="1:7" customFormat="1" ht="14.4" x14ac:dyDescent="0.3">
      <c r="A49" s="232"/>
      <c r="B49" s="295">
        <v>11</v>
      </c>
      <c r="C49" s="265" t="s">
        <v>99</v>
      </c>
      <c r="D49" s="266">
        <v>1</v>
      </c>
      <c r="E49" s="256"/>
      <c r="F49" s="239"/>
      <c r="G49" s="233"/>
    </row>
    <row r="50" spans="1:7" customFormat="1" ht="14.4" x14ac:dyDescent="0.3">
      <c r="A50" s="232"/>
      <c r="B50" s="295">
        <v>12</v>
      </c>
      <c r="C50" s="265" t="s">
        <v>100</v>
      </c>
      <c r="D50" s="266">
        <v>1</v>
      </c>
      <c r="E50" s="256"/>
      <c r="F50" s="239"/>
      <c r="G50" s="233"/>
    </row>
    <row r="51" spans="1:7" customFormat="1" ht="14.4" x14ac:dyDescent="0.3">
      <c r="A51" s="232"/>
      <c r="B51" s="295">
        <v>13</v>
      </c>
      <c r="C51" s="265" t="s">
        <v>101</v>
      </c>
      <c r="D51" s="266">
        <v>1</v>
      </c>
      <c r="E51" s="256"/>
      <c r="F51" s="239"/>
      <c r="G51" s="233"/>
    </row>
    <row r="52" spans="1:7" customFormat="1" ht="14.4" x14ac:dyDescent="0.3">
      <c r="A52" s="232"/>
      <c r="B52" s="295">
        <v>14</v>
      </c>
      <c r="C52" s="265" t="s">
        <v>102</v>
      </c>
      <c r="D52" s="266">
        <v>1</v>
      </c>
      <c r="E52" s="256"/>
      <c r="F52" s="239"/>
      <c r="G52" s="233"/>
    </row>
    <row r="53" spans="1:7" customFormat="1" ht="14.4" x14ac:dyDescent="0.3">
      <c r="A53" s="232"/>
      <c r="B53" s="295">
        <v>15</v>
      </c>
      <c r="C53" s="265" t="s">
        <v>103</v>
      </c>
      <c r="D53" s="266">
        <v>1</v>
      </c>
      <c r="E53" s="256"/>
      <c r="F53" s="239"/>
      <c r="G53" s="233"/>
    </row>
    <row r="54" spans="1:7" customFormat="1" ht="14.4" x14ac:dyDescent="0.3">
      <c r="A54" s="232"/>
      <c r="B54" s="295">
        <v>16</v>
      </c>
      <c r="C54" s="265" t="s">
        <v>104</v>
      </c>
      <c r="D54" s="266">
        <v>1</v>
      </c>
      <c r="E54" s="256"/>
      <c r="F54" s="239"/>
      <c r="G54" s="233"/>
    </row>
    <row r="55" spans="1:7" customFormat="1" ht="14.4" x14ac:dyDescent="0.3">
      <c r="A55" s="232"/>
      <c r="B55" s="295">
        <v>17</v>
      </c>
      <c r="C55" s="265" t="s">
        <v>105</v>
      </c>
      <c r="D55" s="266">
        <v>1</v>
      </c>
      <c r="E55" s="256"/>
      <c r="F55" s="239"/>
      <c r="G55" s="233"/>
    </row>
    <row r="56" spans="1:7" customFormat="1" ht="14.4" x14ac:dyDescent="0.3">
      <c r="A56" s="232"/>
      <c r="B56" s="295">
        <v>18</v>
      </c>
      <c r="C56" s="265" t="s">
        <v>106</v>
      </c>
      <c r="D56" s="266">
        <v>1</v>
      </c>
      <c r="E56" s="256"/>
      <c r="F56" s="239"/>
      <c r="G56" s="233"/>
    </row>
    <row r="57" spans="1:7" customFormat="1" ht="14.4" x14ac:dyDescent="0.3">
      <c r="A57" s="232"/>
      <c r="B57" s="295">
        <v>19</v>
      </c>
      <c r="C57" s="265" t="s">
        <v>107</v>
      </c>
      <c r="D57" s="266">
        <v>1</v>
      </c>
      <c r="E57" s="256"/>
      <c r="F57" s="239"/>
      <c r="G57" s="233"/>
    </row>
    <row r="58" spans="1:7" customFormat="1" ht="14.4" x14ac:dyDescent="0.3">
      <c r="A58" s="232"/>
      <c r="B58" s="295">
        <v>20</v>
      </c>
      <c r="C58" s="265" t="s">
        <v>108</v>
      </c>
      <c r="D58" s="266">
        <v>1</v>
      </c>
      <c r="E58" s="256"/>
      <c r="F58" s="239"/>
      <c r="G58" s="233"/>
    </row>
    <row r="59" spans="1:7" customFormat="1" ht="14.4" x14ac:dyDescent="0.3">
      <c r="A59" s="232"/>
      <c r="B59" s="295">
        <v>21</v>
      </c>
      <c r="C59" s="265" t="s">
        <v>109</v>
      </c>
      <c r="D59" s="266">
        <v>1</v>
      </c>
      <c r="E59" s="256"/>
      <c r="F59" s="239"/>
      <c r="G59" s="233"/>
    </row>
    <row r="60" spans="1:7" customFormat="1" ht="14.4" x14ac:dyDescent="0.3">
      <c r="A60" s="232"/>
      <c r="B60" s="295">
        <v>22</v>
      </c>
      <c r="C60" s="265" t="s">
        <v>110</v>
      </c>
      <c r="D60" s="266">
        <v>1</v>
      </c>
      <c r="E60" s="256"/>
      <c r="F60" s="239"/>
      <c r="G60" s="233"/>
    </row>
    <row r="61" spans="1:7" customFormat="1" ht="14.4" x14ac:dyDescent="0.3">
      <c r="A61" s="232"/>
      <c r="B61" s="295">
        <v>23</v>
      </c>
      <c r="C61" s="265" t="s">
        <v>111</v>
      </c>
      <c r="D61" s="266">
        <v>1</v>
      </c>
      <c r="E61" s="256"/>
      <c r="F61" s="239"/>
      <c r="G61" s="233"/>
    </row>
    <row r="62" spans="1:7" customFormat="1" ht="14.4" x14ac:dyDescent="0.3">
      <c r="A62" s="232"/>
      <c r="B62" s="295">
        <v>24</v>
      </c>
      <c r="C62" s="265" t="s">
        <v>112</v>
      </c>
      <c r="D62" s="266">
        <v>1</v>
      </c>
      <c r="E62" s="256"/>
      <c r="F62" s="239"/>
      <c r="G62" s="233"/>
    </row>
    <row r="63" spans="1:7" customFormat="1" ht="14.4" x14ac:dyDescent="0.3">
      <c r="A63" s="232"/>
      <c r="B63" s="295">
        <v>25</v>
      </c>
      <c r="C63" s="265" t="s">
        <v>113</v>
      </c>
      <c r="D63" s="266">
        <v>1</v>
      </c>
      <c r="E63" s="256"/>
      <c r="F63" s="239"/>
      <c r="G63" s="233"/>
    </row>
    <row r="64" spans="1:7" customFormat="1" ht="14.4" x14ac:dyDescent="0.3">
      <c r="A64" s="232"/>
      <c r="B64" s="295">
        <v>26</v>
      </c>
      <c r="C64" s="265" t="s">
        <v>114</v>
      </c>
      <c r="D64" s="266">
        <v>1</v>
      </c>
      <c r="E64" s="256"/>
      <c r="F64" s="239"/>
      <c r="G64" s="233"/>
    </row>
    <row r="65" spans="1:7" customFormat="1" ht="14.4" x14ac:dyDescent="0.3">
      <c r="A65" s="232"/>
      <c r="B65" s="295">
        <v>27</v>
      </c>
      <c r="C65" s="265" t="s">
        <v>115</v>
      </c>
      <c r="D65" s="266">
        <v>1</v>
      </c>
      <c r="E65" s="256"/>
      <c r="F65" s="239"/>
      <c r="G65" s="233"/>
    </row>
    <row r="66" spans="1:7" customFormat="1" ht="14.4" x14ac:dyDescent="0.3">
      <c r="A66" s="232"/>
      <c r="B66" s="295">
        <v>28</v>
      </c>
      <c r="C66" s="265" t="s">
        <v>116</v>
      </c>
      <c r="D66" s="266">
        <v>1</v>
      </c>
      <c r="E66" s="256"/>
      <c r="F66" s="239"/>
      <c r="G66" s="233"/>
    </row>
    <row r="67" spans="1:7" customFormat="1" ht="14.4" x14ac:dyDescent="0.3">
      <c r="A67" s="232"/>
      <c r="B67" s="295">
        <v>29</v>
      </c>
      <c r="C67" s="265" t="s">
        <v>117</v>
      </c>
      <c r="D67" s="266">
        <v>1</v>
      </c>
      <c r="E67" s="256"/>
      <c r="F67" s="239"/>
      <c r="G67" s="233"/>
    </row>
    <row r="68" spans="1:7" customFormat="1" ht="14.4" x14ac:dyDescent="0.3">
      <c r="A68" s="232"/>
      <c r="B68" s="295">
        <v>30</v>
      </c>
      <c r="C68" s="265" t="s">
        <v>118</v>
      </c>
      <c r="D68" s="266">
        <v>1</v>
      </c>
      <c r="E68" s="256"/>
      <c r="F68" s="239"/>
      <c r="G68" s="233"/>
    </row>
    <row r="69" spans="1:7" customFormat="1" ht="14.4" x14ac:dyDescent="0.3">
      <c r="A69" s="232"/>
      <c r="B69" s="295">
        <v>31</v>
      </c>
      <c r="C69" s="265" t="s">
        <v>119</v>
      </c>
      <c r="D69" s="266">
        <v>1</v>
      </c>
      <c r="E69" s="256"/>
      <c r="F69" s="239"/>
      <c r="G69" s="233"/>
    </row>
    <row r="70" spans="1:7" customFormat="1" ht="14.4" x14ac:dyDescent="0.3">
      <c r="A70" s="232"/>
      <c r="B70" s="295">
        <v>32</v>
      </c>
      <c r="C70" s="265" t="s">
        <v>120</v>
      </c>
      <c r="D70" s="266">
        <v>1</v>
      </c>
      <c r="E70" s="256"/>
      <c r="F70" s="239"/>
      <c r="G70" s="233"/>
    </row>
    <row r="71" spans="1:7" customFormat="1" ht="14.4" x14ac:dyDescent="0.3">
      <c r="A71" s="232"/>
      <c r="B71" s="295">
        <v>33</v>
      </c>
      <c r="C71" s="265" t="s">
        <v>121</v>
      </c>
      <c r="D71" s="266">
        <v>1</v>
      </c>
      <c r="E71" s="256"/>
      <c r="F71" s="239"/>
      <c r="G71" s="233"/>
    </row>
    <row r="72" spans="1:7" customFormat="1" ht="14.4" x14ac:dyDescent="0.3">
      <c r="A72" s="232"/>
      <c r="B72" s="295">
        <v>34</v>
      </c>
      <c r="C72" s="265" t="s">
        <v>122</v>
      </c>
      <c r="D72" s="266">
        <v>1</v>
      </c>
      <c r="E72" s="256"/>
      <c r="F72" s="239"/>
      <c r="G72" s="233"/>
    </row>
    <row r="73" spans="1:7" customFormat="1" ht="14.4" x14ac:dyDescent="0.3">
      <c r="A73" s="232"/>
      <c r="B73" s="295">
        <v>35</v>
      </c>
      <c r="C73" s="265" t="s">
        <v>123</v>
      </c>
      <c r="D73" s="266">
        <v>1</v>
      </c>
      <c r="E73" s="256"/>
      <c r="F73" s="239"/>
      <c r="G73" s="233"/>
    </row>
    <row r="74" spans="1:7" customFormat="1" ht="14.4" x14ac:dyDescent="0.3">
      <c r="A74" s="232"/>
      <c r="B74" s="295">
        <v>36</v>
      </c>
      <c r="C74" s="265" t="s">
        <v>124</v>
      </c>
      <c r="D74" s="266">
        <v>1</v>
      </c>
      <c r="E74" s="256"/>
      <c r="F74" s="239"/>
      <c r="G74" s="233"/>
    </row>
    <row r="75" spans="1:7" customFormat="1" ht="14.4" x14ac:dyDescent="0.3">
      <c r="A75" s="232"/>
      <c r="B75" s="295">
        <v>37</v>
      </c>
      <c r="C75" s="265" t="s">
        <v>125</v>
      </c>
      <c r="D75" s="266">
        <v>1</v>
      </c>
      <c r="E75" s="256"/>
      <c r="F75" s="239"/>
      <c r="G75" s="233"/>
    </row>
    <row r="76" spans="1:7" customFormat="1" ht="14.4" x14ac:dyDescent="0.3">
      <c r="A76" s="232"/>
      <c r="B76" s="295">
        <v>38</v>
      </c>
      <c r="C76" s="265" t="s">
        <v>126</v>
      </c>
      <c r="D76" s="266">
        <v>1</v>
      </c>
      <c r="E76" s="256"/>
      <c r="F76" s="239"/>
      <c r="G76" s="233"/>
    </row>
    <row r="77" spans="1:7" customFormat="1" ht="14.4" x14ac:dyDescent="0.3">
      <c r="A77" s="232"/>
      <c r="B77" s="295">
        <v>39</v>
      </c>
      <c r="C77" s="265" t="s">
        <v>127</v>
      </c>
      <c r="D77" s="266">
        <v>1</v>
      </c>
      <c r="E77" s="256"/>
      <c r="F77" s="239"/>
      <c r="G77" s="233"/>
    </row>
    <row r="78" spans="1:7" customFormat="1" ht="14.4" x14ac:dyDescent="0.3">
      <c r="A78" s="232"/>
      <c r="B78" s="295">
        <v>40</v>
      </c>
      <c r="C78" s="265" t="s">
        <v>128</v>
      </c>
      <c r="D78" s="266">
        <v>1</v>
      </c>
      <c r="E78" s="256"/>
      <c r="F78" s="239"/>
      <c r="G78" s="233"/>
    </row>
    <row r="79" spans="1:7" customFormat="1" ht="14.4" x14ac:dyDescent="0.3">
      <c r="A79" s="232"/>
      <c r="B79" s="295">
        <v>41</v>
      </c>
      <c r="C79" s="265" t="s">
        <v>129</v>
      </c>
      <c r="D79" s="266">
        <v>1</v>
      </c>
      <c r="E79" s="256"/>
      <c r="F79" s="239"/>
      <c r="G79" s="233"/>
    </row>
    <row r="80" spans="1:7" customFormat="1" ht="14.4" x14ac:dyDescent="0.3">
      <c r="A80" s="232"/>
      <c r="B80" s="295">
        <v>42</v>
      </c>
      <c r="C80" s="265" t="s">
        <v>130</v>
      </c>
      <c r="D80" s="266">
        <v>1</v>
      </c>
      <c r="E80" s="256"/>
      <c r="F80" s="239"/>
      <c r="G80" s="233"/>
    </row>
    <row r="81" spans="1:7" customFormat="1" ht="14.4" x14ac:dyDescent="0.3">
      <c r="A81" s="232"/>
      <c r="B81" s="295">
        <v>43</v>
      </c>
      <c r="C81" s="265" t="s">
        <v>131</v>
      </c>
      <c r="D81" s="266">
        <v>1</v>
      </c>
      <c r="E81" s="256"/>
      <c r="F81" s="239"/>
      <c r="G81" s="233"/>
    </row>
    <row r="82" spans="1:7" customFormat="1" ht="14.4" x14ac:dyDescent="0.3">
      <c r="A82" s="232"/>
      <c r="B82" s="295">
        <v>44</v>
      </c>
      <c r="C82" s="265" t="s">
        <v>132</v>
      </c>
      <c r="D82" s="266">
        <v>1</v>
      </c>
      <c r="E82" s="256"/>
      <c r="F82" s="239"/>
      <c r="G82" s="233"/>
    </row>
    <row r="83" spans="1:7" customFormat="1" ht="14.4" x14ac:dyDescent="0.3">
      <c r="A83" s="232"/>
      <c r="B83" s="295">
        <v>45</v>
      </c>
      <c r="C83" s="265" t="s">
        <v>133</v>
      </c>
      <c r="D83" s="266">
        <v>1</v>
      </c>
      <c r="E83" s="256"/>
      <c r="F83" s="239"/>
      <c r="G83" s="233"/>
    </row>
    <row r="84" spans="1:7" customFormat="1" ht="14.4" x14ac:dyDescent="0.3">
      <c r="A84" s="232"/>
      <c r="B84" s="295">
        <v>46</v>
      </c>
      <c r="C84" s="265" t="s">
        <v>134</v>
      </c>
      <c r="D84" s="266">
        <v>1</v>
      </c>
      <c r="E84" s="256"/>
      <c r="F84" s="239"/>
      <c r="G84" s="233"/>
    </row>
    <row r="85" spans="1:7" customFormat="1" ht="14.4" x14ac:dyDescent="0.3">
      <c r="A85" s="232"/>
      <c r="B85" s="295">
        <v>47</v>
      </c>
      <c r="C85" s="265" t="s">
        <v>135</v>
      </c>
      <c r="D85" s="266">
        <v>1</v>
      </c>
      <c r="E85" s="256"/>
      <c r="F85" s="239"/>
      <c r="G85" s="233"/>
    </row>
    <row r="86" spans="1:7" customFormat="1" ht="14.4" x14ac:dyDescent="0.3">
      <c r="A86" s="232"/>
      <c r="B86" s="295">
        <v>48</v>
      </c>
      <c r="C86" s="265" t="s">
        <v>136</v>
      </c>
      <c r="D86" s="266">
        <v>1</v>
      </c>
      <c r="E86" s="256"/>
      <c r="F86" s="239"/>
      <c r="G86" s="233"/>
    </row>
    <row r="87" spans="1:7" customFormat="1" ht="14.4" x14ac:dyDescent="0.3">
      <c r="A87" s="232"/>
      <c r="B87" s="295">
        <v>49</v>
      </c>
      <c r="C87" s="265" t="s">
        <v>137</v>
      </c>
      <c r="D87" s="266">
        <v>1</v>
      </c>
      <c r="E87" s="256"/>
      <c r="F87" s="239"/>
      <c r="G87" s="233"/>
    </row>
    <row r="88" spans="1:7" customFormat="1" ht="14.4" x14ac:dyDescent="0.3">
      <c r="A88" s="232"/>
      <c r="B88" s="295">
        <v>50</v>
      </c>
      <c r="C88" s="265" t="s">
        <v>138</v>
      </c>
      <c r="D88" s="266">
        <v>1</v>
      </c>
      <c r="E88" s="256"/>
      <c r="F88" s="239"/>
      <c r="G88" s="233"/>
    </row>
    <row r="89" spans="1:7" customFormat="1" ht="14.4" x14ac:dyDescent="0.3">
      <c r="A89" s="232"/>
      <c r="B89" s="295">
        <v>51</v>
      </c>
      <c r="C89" s="265" t="s">
        <v>139</v>
      </c>
      <c r="D89" s="266">
        <v>1</v>
      </c>
      <c r="E89" s="256"/>
      <c r="F89" s="239"/>
      <c r="G89" s="233"/>
    </row>
    <row r="90" spans="1:7" customFormat="1" ht="14.4" x14ac:dyDescent="0.3">
      <c r="A90" s="232"/>
      <c r="B90" s="295">
        <v>52</v>
      </c>
      <c r="C90" s="265" t="s">
        <v>140</v>
      </c>
      <c r="D90" s="266">
        <v>1</v>
      </c>
      <c r="E90" s="256"/>
      <c r="F90" s="239"/>
      <c r="G90" s="233"/>
    </row>
    <row r="91" spans="1:7" customFormat="1" ht="14.4" x14ac:dyDescent="0.3">
      <c r="A91" s="232"/>
      <c r="B91" s="295">
        <v>53</v>
      </c>
      <c r="C91" s="265" t="s">
        <v>141</v>
      </c>
      <c r="D91" s="266">
        <v>1</v>
      </c>
      <c r="E91" s="256"/>
      <c r="F91" s="239"/>
      <c r="G91" s="233"/>
    </row>
    <row r="92" spans="1:7" customFormat="1" ht="14.4" x14ac:dyDescent="0.3">
      <c r="A92" s="232"/>
      <c r="B92" s="295">
        <v>54</v>
      </c>
      <c r="C92" s="265" t="s">
        <v>142</v>
      </c>
      <c r="D92" s="266">
        <v>1</v>
      </c>
      <c r="E92" s="256"/>
      <c r="F92" s="239"/>
      <c r="G92" s="233"/>
    </row>
    <row r="93" spans="1:7" customFormat="1" ht="14.4" x14ac:dyDescent="0.3">
      <c r="A93" s="232"/>
      <c r="B93" s="295">
        <v>55</v>
      </c>
      <c r="C93" s="265" t="s">
        <v>143</v>
      </c>
      <c r="D93" s="266">
        <v>1</v>
      </c>
      <c r="E93" s="256"/>
      <c r="F93" s="239"/>
      <c r="G93" s="233"/>
    </row>
    <row r="94" spans="1:7" customFormat="1" ht="14.4" x14ac:dyDescent="0.3">
      <c r="A94" s="232"/>
      <c r="B94" s="295">
        <v>56</v>
      </c>
      <c r="C94" s="265" t="s">
        <v>144</v>
      </c>
      <c r="D94" s="266">
        <v>1</v>
      </c>
      <c r="E94" s="256"/>
      <c r="F94" s="239"/>
      <c r="G94" s="233"/>
    </row>
    <row r="95" spans="1:7" customFormat="1" ht="14.4" x14ac:dyDescent="0.3">
      <c r="A95" s="232"/>
      <c r="B95" s="295">
        <v>57</v>
      </c>
      <c r="C95" s="265" t="s">
        <v>145</v>
      </c>
      <c r="D95" s="266">
        <v>1</v>
      </c>
      <c r="E95" s="256"/>
      <c r="F95" s="239"/>
      <c r="G95" s="233"/>
    </row>
    <row r="96" spans="1:7" customFormat="1" ht="14.4" x14ac:dyDescent="0.3">
      <c r="A96" s="232"/>
      <c r="B96" s="295">
        <v>58</v>
      </c>
      <c r="C96" s="265" t="s">
        <v>146</v>
      </c>
      <c r="D96" s="266">
        <v>1</v>
      </c>
      <c r="E96" s="256"/>
      <c r="F96" s="239"/>
      <c r="G96" s="233"/>
    </row>
    <row r="97" spans="1:7" customFormat="1" ht="14.4" x14ac:dyDescent="0.3">
      <c r="A97" s="232"/>
      <c r="B97" s="295">
        <v>59</v>
      </c>
      <c r="C97" s="265" t="s">
        <v>147</v>
      </c>
      <c r="D97" s="266">
        <v>1</v>
      </c>
      <c r="E97" s="256"/>
      <c r="F97" s="239"/>
      <c r="G97" s="233"/>
    </row>
    <row r="98" spans="1:7" customFormat="1" ht="14.4" x14ac:dyDescent="0.3">
      <c r="A98" s="232"/>
      <c r="B98" s="295">
        <v>60</v>
      </c>
      <c r="C98" s="265" t="s">
        <v>148</v>
      </c>
      <c r="D98" s="266">
        <v>1</v>
      </c>
      <c r="E98" s="256"/>
      <c r="F98" s="239"/>
      <c r="G98" s="233"/>
    </row>
    <row r="99" spans="1:7" customFormat="1" ht="14.4" x14ac:dyDescent="0.3">
      <c r="A99" s="232"/>
      <c r="B99" s="295">
        <v>61</v>
      </c>
      <c r="C99" s="265" t="s">
        <v>149</v>
      </c>
      <c r="D99" s="266">
        <v>1</v>
      </c>
      <c r="E99" s="256"/>
      <c r="F99" s="239"/>
      <c r="G99" s="233"/>
    </row>
    <row r="100" spans="1:7" customFormat="1" ht="14.4" x14ac:dyDescent="0.3">
      <c r="A100" s="232"/>
      <c r="B100" s="295">
        <v>62</v>
      </c>
      <c r="C100" s="265" t="s">
        <v>150</v>
      </c>
      <c r="D100" s="266">
        <v>1</v>
      </c>
      <c r="E100" s="256"/>
      <c r="F100" s="239"/>
      <c r="G100" s="233"/>
    </row>
    <row r="101" spans="1:7" customFormat="1" ht="14.4" x14ac:dyDescent="0.3">
      <c r="A101" s="232"/>
      <c r="B101" s="295">
        <v>63</v>
      </c>
      <c r="C101" s="265" t="s">
        <v>151</v>
      </c>
      <c r="D101" s="266">
        <v>1</v>
      </c>
      <c r="E101" s="256"/>
      <c r="F101" s="239"/>
      <c r="G101" s="233"/>
    </row>
    <row r="102" spans="1:7" customFormat="1" ht="14.4" x14ac:dyDescent="0.3">
      <c r="A102" s="232"/>
      <c r="B102" s="295">
        <v>64</v>
      </c>
      <c r="C102" s="265" t="s">
        <v>152</v>
      </c>
      <c r="D102" s="266">
        <v>1</v>
      </c>
      <c r="E102" s="256"/>
      <c r="F102" s="239"/>
      <c r="G102" s="233"/>
    </row>
    <row r="103" spans="1:7" customFormat="1" ht="14.4" x14ac:dyDescent="0.3">
      <c r="A103" s="232"/>
      <c r="B103" s="295">
        <v>65</v>
      </c>
      <c r="C103" s="265" t="s">
        <v>153</v>
      </c>
      <c r="D103" s="266">
        <v>1</v>
      </c>
      <c r="E103" s="256"/>
      <c r="F103" s="239"/>
      <c r="G103" s="233"/>
    </row>
    <row r="104" spans="1:7" customFormat="1" ht="14.4" x14ac:dyDescent="0.3">
      <c r="A104" s="232"/>
      <c r="B104" s="295">
        <v>66</v>
      </c>
      <c r="C104" s="265" t="s">
        <v>154</v>
      </c>
      <c r="D104" s="266">
        <v>1</v>
      </c>
      <c r="E104" s="256"/>
      <c r="F104" s="239"/>
      <c r="G104" s="233"/>
    </row>
    <row r="105" spans="1:7" customFormat="1" ht="14.4" x14ac:dyDescent="0.3">
      <c r="A105" s="232"/>
      <c r="B105" s="295">
        <v>67</v>
      </c>
      <c r="C105" s="265" t="s">
        <v>155</v>
      </c>
      <c r="D105" s="266">
        <v>1</v>
      </c>
      <c r="E105" s="256"/>
      <c r="F105" s="239"/>
      <c r="G105" s="233"/>
    </row>
    <row r="106" spans="1:7" customFormat="1" ht="14.4" x14ac:dyDescent="0.3">
      <c r="A106" s="232"/>
      <c r="B106" s="295">
        <v>68</v>
      </c>
      <c r="C106" s="265" t="s">
        <v>156</v>
      </c>
      <c r="D106" s="266">
        <v>1</v>
      </c>
      <c r="E106" s="256"/>
      <c r="F106" s="239"/>
      <c r="G106" s="233"/>
    </row>
    <row r="107" spans="1:7" customFormat="1" ht="14.4" x14ac:dyDescent="0.3">
      <c r="A107" s="232"/>
      <c r="B107" s="295">
        <v>69</v>
      </c>
      <c r="C107" s="265" t="s">
        <v>157</v>
      </c>
      <c r="D107" s="266">
        <v>1</v>
      </c>
      <c r="E107" s="256"/>
      <c r="F107" s="239"/>
      <c r="G107" s="233"/>
    </row>
    <row r="108" spans="1:7" customFormat="1" ht="14.4" x14ac:dyDescent="0.3">
      <c r="A108" s="232"/>
      <c r="B108" s="295">
        <v>70</v>
      </c>
      <c r="C108" s="265" t="s">
        <v>158</v>
      </c>
      <c r="D108" s="266">
        <v>1</v>
      </c>
      <c r="E108" s="256"/>
      <c r="F108" s="239"/>
      <c r="G108" s="233"/>
    </row>
    <row r="109" spans="1:7" customFormat="1" ht="14.4" x14ac:dyDescent="0.3">
      <c r="A109" s="232"/>
      <c r="B109" s="295">
        <v>71</v>
      </c>
      <c r="C109" s="265" t="s">
        <v>159</v>
      </c>
      <c r="D109" s="266">
        <v>1</v>
      </c>
      <c r="E109" s="256"/>
      <c r="F109" s="239"/>
      <c r="G109" s="233"/>
    </row>
    <row r="110" spans="1:7" customFormat="1" ht="14.4" x14ac:dyDescent="0.3">
      <c r="A110" s="232"/>
      <c r="B110" s="295">
        <v>72</v>
      </c>
      <c r="C110" s="265" t="s">
        <v>160</v>
      </c>
      <c r="D110" s="266">
        <v>1</v>
      </c>
      <c r="E110" s="256"/>
      <c r="F110" s="239"/>
      <c r="G110" s="233"/>
    </row>
    <row r="111" spans="1:7" customFormat="1" ht="14.4" x14ac:dyDescent="0.3">
      <c r="A111" s="232"/>
      <c r="B111" s="295">
        <v>73</v>
      </c>
      <c r="C111" s="265" t="s">
        <v>161</v>
      </c>
      <c r="D111" s="266">
        <v>1</v>
      </c>
      <c r="E111" s="256"/>
      <c r="F111" s="239"/>
      <c r="G111" s="233"/>
    </row>
    <row r="112" spans="1:7" customFormat="1" ht="14.4" x14ac:dyDescent="0.3">
      <c r="A112" s="232"/>
      <c r="B112" s="295">
        <v>74</v>
      </c>
      <c r="C112" s="265" t="s">
        <v>162</v>
      </c>
      <c r="D112" s="266">
        <v>1</v>
      </c>
      <c r="E112" s="256"/>
      <c r="F112" s="239"/>
      <c r="G112" s="233"/>
    </row>
    <row r="113" spans="1:7" customFormat="1" ht="14.4" x14ac:dyDescent="0.3">
      <c r="A113" s="232"/>
      <c r="B113" s="295">
        <v>75</v>
      </c>
      <c r="C113" s="265" t="s">
        <v>163</v>
      </c>
      <c r="D113" s="266">
        <v>1</v>
      </c>
      <c r="E113" s="256"/>
      <c r="F113" s="239"/>
      <c r="G113" s="233"/>
    </row>
    <row r="114" spans="1:7" customFormat="1" ht="14.4" x14ac:dyDescent="0.3">
      <c r="A114" s="232"/>
      <c r="B114" s="295">
        <v>76</v>
      </c>
      <c r="C114" s="265" t="s">
        <v>164</v>
      </c>
      <c r="D114" s="266">
        <v>1</v>
      </c>
      <c r="E114" s="256"/>
      <c r="F114" s="239"/>
      <c r="G114" s="233"/>
    </row>
    <row r="115" spans="1:7" customFormat="1" ht="14.4" x14ac:dyDescent="0.3">
      <c r="A115" s="232"/>
      <c r="B115" s="295">
        <v>77</v>
      </c>
      <c r="C115" s="265" t="s">
        <v>165</v>
      </c>
      <c r="D115" s="266">
        <v>1</v>
      </c>
      <c r="E115" s="256"/>
      <c r="F115" s="239"/>
      <c r="G115" s="233"/>
    </row>
    <row r="116" spans="1:7" customFormat="1" ht="14.4" x14ac:dyDescent="0.3">
      <c r="A116" s="232"/>
      <c r="B116" s="295">
        <v>78</v>
      </c>
      <c r="C116" s="265" t="s">
        <v>166</v>
      </c>
      <c r="D116" s="266">
        <v>1</v>
      </c>
      <c r="E116" s="256"/>
      <c r="F116" s="239"/>
      <c r="G116" s="233"/>
    </row>
    <row r="117" spans="1:7" customFormat="1" ht="14.4" x14ac:dyDescent="0.3">
      <c r="A117" s="232"/>
      <c r="B117" s="295">
        <v>79</v>
      </c>
      <c r="C117" s="265" t="s">
        <v>167</v>
      </c>
      <c r="D117" s="266">
        <v>1</v>
      </c>
      <c r="E117" s="256"/>
      <c r="F117" s="239"/>
      <c r="G117" s="233"/>
    </row>
    <row r="118" spans="1:7" customFormat="1" ht="14.4" x14ac:dyDescent="0.3">
      <c r="A118" s="232"/>
      <c r="B118" s="295">
        <v>80</v>
      </c>
      <c r="C118" s="265" t="s">
        <v>168</v>
      </c>
      <c r="D118" s="266">
        <v>1</v>
      </c>
      <c r="E118" s="256"/>
      <c r="F118" s="239"/>
      <c r="G118" s="233"/>
    </row>
    <row r="119" spans="1:7" customFormat="1" ht="14.4" x14ac:dyDescent="0.3">
      <c r="A119" s="232"/>
      <c r="B119" s="295">
        <v>81</v>
      </c>
      <c r="C119" s="265" t="s">
        <v>169</v>
      </c>
      <c r="D119" s="266">
        <v>1</v>
      </c>
      <c r="E119" s="256"/>
      <c r="F119" s="239"/>
      <c r="G119" s="233"/>
    </row>
    <row r="120" spans="1:7" customFormat="1" ht="14.4" x14ac:dyDescent="0.3">
      <c r="A120" s="232"/>
      <c r="B120" s="295">
        <v>82</v>
      </c>
      <c r="C120" s="265" t="s">
        <v>170</v>
      </c>
      <c r="D120" s="266">
        <v>1</v>
      </c>
      <c r="E120" s="256"/>
      <c r="F120" s="239"/>
      <c r="G120" s="233"/>
    </row>
    <row r="121" spans="1:7" customFormat="1" ht="14.4" x14ac:dyDescent="0.3">
      <c r="A121" s="232"/>
      <c r="B121" s="295">
        <v>83</v>
      </c>
      <c r="C121" s="265" t="s">
        <v>171</v>
      </c>
      <c r="D121" s="266">
        <v>1</v>
      </c>
      <c r="E121" s="256"/>
      <c r="F121" s="239"/>
      <c r="G121" s="233"/>
    </row>
    <row r="122" spans="1:7" customFormat="1" ht="14.4" x14ac:dyDescent="0.3">
      <c r="A122" s="232"/>
      <c r="B122" s="295">
        <v>84</v>
      </c>
      <c r="C122" s="265" t="s">
        <v>172</v>
      </c>
      <c r="D122" s="266">
        <v>1</v>
      </c>
      <c r="E122" s="256"/>
      <c r="F122" s="239"/>
      <c r="G122" s="233"/>
    </row>
    <row r="123" spans="1:7" customFormat="1" ht="14.4" x14ac:dyDescent="0.3">
      <c r="A123" s="232"/>
      <c r="B123" s="295">
        <v>85</v>
      </c>
      <c r="C123" s="265" t="s">
        <v>173</v>
      </c>
      <c r="D123" s="266">
        <v>1</v>
      </c>
      <c r="E123" s="256"/>
      <c r="F123" s="239"/>
      <c r="G123" s="233"/>
    </row>
    <row r="124" spans="1:7" customFormat="1" ht="14.4" x14ac:dyDescent="0.3">
      <c r="A124" s="232"/>
      <c r="B124" s="295">
        <v>86</v>
      </c>
      <c r="C124" s="265" t="s">
        <v>174</v>
      </c>
      <c r="D124" s="266">
        <v>1</v>
      </c>
      <c r="E124" s="256"/>
      <c r="F124" s="239"/>
      <c r="G124" s="233"/>
    </row>
    <row r="125" spans="1:7" customFormat="1" ht="14.4" x14ac:dyDescent="0.3">
      <c r="A125" s="232"/>
      <c r="B125" s="295">
        <v>87</v>
      </c>
      <c r="C125" s="265" t="s">
        <v>175</v>
      </c>
      <c r="D125" s="266">
        <v>1</v>
      </c>
      <c r="E125" s="256"/>
      <c r="F125" s="239"/>
      <c r="G125" s="233"/>
    </row>
    <row r="126" spans="1:7" customFormat="1" ht="14.4" x14ac:dyDescent="0.3">
      <c r="A126" s="232"/>
      <c r="B126" s="295">
        <v>88</v>
      </c>
      <c r="C126" s="265" t="s">
        <v>176</v>
      </c>
      <c r="D126" s="266">
        <v>1</v>
      </c>
      <c r="E126" s="256"/>
      <c r="F126" s="239"/>
      <c r="G126" s="233"/>
    </row>
    <row r="127" spans="1:7" customFormat="1" ht="14.4" x14ac:dyDescent="0.3">
      <c r="A127" s="232"/>
      <c r="B127" s="295">
        <v>89</v>
      </c>
      <c r="C127" s="265" t="s">
        <v>177</v>
      </c>
      <c r="D127" s="266">
        <v>1</v>
      </c>
      <c r="E127" s="256"/>
      <c r="F127" s="239"/>
      <c r="G127" s="233"/>
    </row>
    <row r="128" spans="1:7" customFormat="1" ht="14.4" x14ac:dyDescent="0.3">
      <c r="A128" s="232"/>
      <c r="B128" s="295">
        <v>90</v>
      </c>
      <c r="C128" s="265" t="s">
        <v>178</v>
      </c>
      <c r="D128" s="266">
        <v>1</v>
      </c>
      <c r="E128" s="256"/>
      <c r="F128" s="239"/>
      <c r="G128" s="233"/>
    </row>
    <row r="129" spans="1:7" customFormat="1" ht="14.4" x14ac:dyDescent="0.3">
      <c r="A129" s="232"/>
      <c r="B129" s="295">
        <v>91</v>
      </c>
      <c r="C129" s="265" t="s">
        <v>179</v>
      </c>
      <c r="D129" s="266">
        <v>1</v>
      </c>
      <c r="E129" s="256"/>
      <c r="F129" s="239"/>
      <c r="G129" s="233"/>
    </row>
    <row r="130" spans="1:7" customFormat="1" ht="14.4" x14ac:dyDescent="0.3">
      <c r="A130" s="232"/>
      <c r="B130" s="295">
        <v>92</v>
      </c>
      <c r="C130" s="265" t="s">
        <v>180</v>
      </c>
      <c r="D130" s="266">
        <v>1</v>
      </c>
      <c r="E130" s="256"/>
      <c r="F130" s="239"/>
      <c r="G130" s="233"/>
    </row>
    <row r="131" spans="1:7" customFormat="1" ht="14.4" x14ac:dyDescent="0.3">
      <c r="A131" s="232"/>
      <c r="B131" s="295">
        <v>93</v>
      </c>
      <c r="C131" s="265" t="s">
        <v>181</v>
      </c>
      <c r="D131" s="266">
        <v>1</v>
      </c>
      <c r="E131" s="256"/>
      <c r="F131" s="239"/>
      <c r="G131" s="233"/>
    </row>
    <row r="132" spans="1:7" customFormat="1" ht="14.4" x14ac:dyDescent="0.3">
      <c r="A132" s="232"/>
      <c r="B132" s="295">
        <v>94</v>
      </c>
      <c r="C132" s="265" t="s">
        <v>182</v>
      </c>
      <c r="D132" s="266">
        <v>1</v>
      </c>
      <c r="E132" s="256"/>
      <c r="F132" s="239"/>
      <c r="G132" s="233"/>
    </row>
    <row r="133" spans="1:7" customFormat="1" ht="14.4" x14ac:dyDescent="0.3">
      <c r="A133" s="232"/>
      <c r="B133" s="295">
        <v>95</v>
      </c>
      <c r="C133" s="265" t="s">
        <v>183</v>
      </c>
      <c r="D133" s="266">
        <v>1</v>
      </c>
      <c r="E133" s="256"/>
      <c r="F133" s="239"/>
      <c r="G133" s="233"/>
    </row>
    <row r="134" spans="1:7" customFormat="1" ht="14.4" x14ac:dyDescent="0.3">
      <c r="A134" s="232"/>
      <c r="B134" s="295">
        <v>96</v>
      </c>
      <c r="C134" s="265" t="s">
        <v>184</v>
      </c>
      <c r="D134" s="266">
        <v>1</v>
      </c>
      <c r="E134" s="256"/>
      <c r="F134" s="239"/>
      <c r="G134" s="233"/>
    </row>
    <row r="135" spans="1:7" customFormat="1" ht="14.4" x14ac:dyDescent="0.3">
      <c r="A135" s="232"/>
      <c r="B135" s="295">
        <v>97</v>
      </c>
      <c r="C135" s="265" t="s">
        <v>185</v>
      </c>
      <c r="D135" s="266">
        <v>1</v>
      </c>
      <c r="E135" s="256"/>
      <c r="F135" s="239"/>
      <c r="G135" s="233"/>
    </row>
    <row r="136" spans="1:7" customFormat="1" ht="14.4" x14ac:dyDescent="0.3">
      <c r="A136" s="232"/>
      <c r="B136" s="295">
        <v>98</v>
      </c>
      <c r="C136" s="265" t="s">
        <v>186</v>
      </c>
      <c r="D136" s="266">
        <v>1</v>
      </c>
      <c r="E136" s="256"/>
      <c r="F136" s="239"/>
      <c r="G136" s="233"/>
    </row>
    <row r="137" spans="1:7" customFormat="1" ht="14.4" x14ac:dyDescent="0.3">
      <c r="A137" s="232"/>
      <c r="B137" s="295">
        <v>99</v>
      </c>
      <c r="C137" s="265" t="s">
        <v>187</v>
      </c>
      <c r="D137" s="266">
        <v>1</v>
      </c>
      <c r="E137" s="256"/>
      <c r="F137" s="239"/>
      <c r="G137" s="233"/>
    </row>
    <row r="138" spans="1:7" customFormat="1" ht="14.4" x14ac:dyDescent="0.3">
      <c r="A138" s="232"/>
      <c r="B138" s="295">
        <v>100</v>
      </c>
      <c r="C138" s="265" t="s">
        <v>188</v>
      </c>
      <c r="D138" s="266">
        <v>1</v>
      </c>
      <c r="E138" s="256"/>
      <c r="F138" s="239"/>
      <c r="G138" s="233"/>
    </row>
    <row r="139" spans="1:7" customFormat="1" ht="14.4" x14ac:dyDescent="0.3">
      <c r="A139" s="232"/>
    </row>
    <row r="140" spans="1:7" customFormat="1" ht="14.4" x14ac:dyDescent="0.3">
      <c r="A140" s="232"/>
    </row>
    <row r="141" spans="1:7" customFormat="1" ht="14.4" x14ac:dyDescent="0.3">
      <c r="A141" s="232"/>
    </row>
    <row r="142" spans="1:7" customFormat="1" ht="14.4" x14ac:dyDescent="0.3">
      <c r="A142" s="232"/>
    </row>
    <row r="143" spans="1:7" customFormat="1" ht="14.4" x14ac:dyDescent="0.3">
      <c r="A143" s="232"/>
    </row>
    <row r="144" spans="1:7" customFormat="1" ht="14.4" x14ac:dyDescent="0.3">
      <c r="A144" s="232"/>
    </row>
    <row r="145" spans="1:1" customFormat="1" ht="14.4" x14ac:dyDescent="0.3">
      <c r="A145" s="232"/>
    </row>
    <row r="146" spans="1:1" customFormat="1" ht="14.4" x14ac:dyDescent="0.3">
      <c r="A146" s="232"/>
    </row>
    <row r="147" spans="1:1" customFormat="1" ht="14.4" x14ac:dyDescent="0.3">
      <c r="A147" s="232"/>
    </row>
    <row r="148" spans="1:1" customFormat="1" ht="14.4" x14ac:dyDescent="0.3">
      <c r="A148" s="232"/>
    </row>
    <row r="149" spans="1:1" customFormat="1" ht="14.4" x14ac:dyDescent="0.3">
      <c r="A149" s="232"/>
    </row>
    <row r="150" spans="1:1" customFormat="1" ht="14.4" x14ac:dyDescent="0.3">
      <c r="A150" s="232"/>
    </row>
    <row r="151" spans="1:1" customFormat="1" ht="14.4" x14ac:dyDescent="0.3">
      <c r="A151" s="232"/>
    </row>
    <row r="152" spans="1:1" customFormat="1" ht="14.4" x14ac:dyDescent="0.3">
      <c r="A152" s="232"/>
    </row>
    <row r="153" spans="1:1" customFormat="1" ht="14.4" x14ac:dyDescent="0.3">
      <c r="A153" s="232"/>
    </row>
    <row r="154" spans="1:1" customFormat="1" ht="14.4" x14ac:dyDescent="0.3">
      <c r="A154" s="232"/>
    </row>
    <row r="155" spans="1:1" customFormat="1" ht="14.4" x14ac:dyDescent="0.3">
      <c r="A155" s="232"/>
    </row>
    <row r="156" spans="1:1" customFormat="1" ht="14.4" x14ac:dyDescent="0.3">
      <c r="A156" s="232"/>
    </row>
    <row r="157" spans="1:1" customFormat="1" ht="14.4" x14ac:dyDescent="0.3">
      <c r="A157" s="232"/>
    </row>
    <row r="158" spans="1:1" customFormat="1" ht="14.4" x14ac:dyDescent="0.3">
      <c r="A158" s="232"/>
    </row>
    <row r="159" spans="1:1" customFormat="1" ht="14.4" x14ac:dyDescent="0.3">
      <c r="A159" s="232"/>
    </row>
    <row r="160" spans="1:1" customFormat="1" ht="14.4" x14ac:dyDescent="0.3">
      <c r="A160" s="232"/>
    </row>
    <row r="161" spans="1:1" customFormat="1" ht="14.4" x14ac:dyDescent="0.3">
      <c r="A161" s="232"/>
    </row>
    <row r="162" spans="1:1" customFormat="1" ht="14.4" x14ac:dyDescent="0.3">
      <c r="A162" s="232"/>
    </row>
    <row r="163" spans="1:1" customFormat="1" ht="14.4" x14ac:dyDescent="0.3">
      <c r="A163" s="232"/>
    </row>
    <row r="164" spans="1:1" customFormat="1" ht="14.4" x14ac:dyDescent="0.3">
      <c r="A164" s="232"/>
    </row>
    <row r="165" spans="1:1" customFormat="1" ht="14.4" x14ac:dyDescent="0.3">
      <c r="A165" s="232"/>
    </row>
    <row r="166" spans="1:1" customFormat="1" ht="14.4" x14ac:dyDescent="0.3">
      <c r="A166" s="232"/>
    </row>
    <row r="167" spans="1:1" customFormat="1" ht="14.4" x14ac:dyDescent="0.3">
      <c r="A167" s="232"/>
    </row>
    <row r="168" spans="1:1" customFormat="1" ht="14.4" x14ac:dyDescent="0.3">
      <c r="A168" s="232"/>
    </row>
    <row r="169" spans="1:1" customFormat="1" ht="14.4" x14ac:dyDescent="0.3">
      <c r="A169" s="232"/>
    </row>
    <row r="170" spans="1:1" customFormat="1" ht="14.4" x14ac:dyDescent="0.3">
      <c r="A170" s="232"/>
    </row>
    <row r="171" spans="1:1" customFormat="1" ht="14.4" x14ac:dyDescent="0.3">
      <c r="A171" s="232"/>
    </row>
    <row r="172" spans="1:1" customFormat="1" ht="14.4" x14ac:dyDescent="0.3">
      <c r="A172" s="232"/>
    </row>
    <row r="173" spans="1:1" customFormat="1" ht="14.4" x14ac:dyDescent="0.3">
      <c r="A173" s="232"/>
    </row>
    <row r="174" spans="1:1" customFormat="1" ht="14.4" x14ac:dyDescent="0.3">
      <c r="A174" s="232"/>
    </row>
    <row r="175" spans="1:1" customFormat="1" ht="14.4" x14ac:dyDescent="0.3">
      <c r="A175" s="232"/>
    </row>
    <row r="176" spans="1:1" customFormat="1" ht="14.4" x14ac:dyDescent="0.3">
      <c r="A176" s="232"/>
    </row>
    <row r="177" spans="1:1" customFormat="1" ht="14.4" x14ac:dyDescent="0.3">
      <c r="A177" s="232"/>
    </row>
    <row r="178" spans="1:1" customFormat="1" ht="14.4" x14ac:dyDescent="0.3">
      <c r="A178" s="232"/>
    </row>
    <row r="179" spans="1:1" customFormat="1" ht="14.4" x14ac:dyDescent="0.3">
      <c r="A179" s="232"/>
    </row>
    <row r="180" spans="1:1" customFormat="1" ht="14.4" x14ac:dyDescent="0.3">
      <c r="A180" s="232"/>
    </row>
    <row r="181" spans="1:1" customFormat="1" ht="14.4" x14ac:dyDescent="0.3">
      <c r="A181" s="232"/>
    </row>
    <row r="182" spans="1:1" customFormat="1" ht="14.4" x14ac:dyDescent="0.3">
      <c r="A182" s="232"/>
    </row>
    <row r="183" spans="1:1" customFormat="1" ht="14.4" x14ac:dyDescent="0.3">
      <c r="A183" s="232"/>
    </row>
    <row r="184" spans="1:1" customFormat="1" ht="14.4" x14ac:dyDescent="0.3">
      <c r="A184" s="232"/>
    </row>
    <row r="185" spans="1:1" customFormat="1" ht="14.4" x14ac:dyDescent="0.3">
      <c r="A185" s="232"/>
    </row>
    <row r="186" spans="1:1" customFormat="1" ht="14.4" x14ac:dyDescent="0.3">
      <c r="A186" s="232"/>
    </row>
    <row r="187" spans="1:1" customFormat="1" ht="14.4" x14ac:dyDescent="0.3">
      <c r="A187" s="232"/>
    </row>
    <row r="188" spans="1:1" customFormat="1" ht="14.4" x14ac:dyDescent="0.3">
      <c r="A188" s="232"/>
    </row>
    <row r="189" spans="1:1" customFormat="1" ht="14.4" x14ac:dyDescent="0.3">
      <c r="A189" s="232"/>
    </row>
    <row r="190" spans="1:1" customFormat="1" ht="14.4" x14ac:dyDescent="0.3">
      <c r="A190" s="232"/>
    </row>
    <row r="191" spans="1:1" customFormat="1" ht="14.4" x14ac:dyDescent="0.3">
      <c r="A191" s="232"/>
    </row>
    <row r="192" spans="1:1" customFormat="1" ht="14.4" x14ac:dyDescent="0.3">
      <c r="A192" s="232"/>
    </row>
    <row r="193" spans="1:1" customFormat="1" ht="14.4" x14ac:dyDescent="0.3">
      <c r="A193" s="232"/>
    </row>
    <row r="194" spans="1:1" customFormat="1" ht="14.4" x14ac:dyDescent="0.3">
      <c r="A194" s="232"/>
    </row>
    <row r="195" spans="1:1" customFormat="1" ht="14.4" x14ac:dyDescent="0.3">
      <c r="A195" s="232"/>
    </row>
    <row r="196" spans="1:1" customFormat="1" ht="14.4" x14ac:dyDescent="0.3">
      <c r="A196" s="232"/>
    </row>
    <row r="197" spans="1:1" customFormat="1" ht="14.4" x14ac:dyDescent="0.3">
      <c r="A197" s="232"/>
    </row>
    <row r="198" spans="1:1" customFormat="1" ht="14.4" x14ac:dyDescent="0.3">
      <c r="A198" s="232"/>
    </row>
    <row r="199" spans="1:1" customFormat="1" ht="14.4" x14ac:dyDescent="0.3">
      <c r="A199" s="232"/>
    </row>
    <row r="200" spans="1:1" customFormat="1" ht="14.4" x14ac:dyDescent="0.3">
      <c r="A200" s="232"/>
    </row>
    <row r="201" spans="1:1" customFormat="1" ht="14.4" x14ac:dyDescent="0.3">
      <c r="A201" s="232"/>
    </row>
    <row r="202" spans="1:1" customFormat="1" ht="14.4" x14ac:dyDescent="0.3">
      <c r="A202" s="232"/>
    </row>
    <row r="203" spans="1:1" customFormat="1" ht="14.4" x14ac:dyDescent="0.3">
      <c r="A203" s="232"/>
    </row>
    <row r="204" spans="1:1" customFormat="1" ht="14.4" x14ac:dyDescent="0.3">
      <c r="A204" s="232"/>
    </row>
    <row r="205" spans="1:1" customFormat="1" ht="14.4" x14ac:dyDescent="0.3">
      <c r="A205" s="232"/>
    </row>
    <row r="206" spans="1:1" customFormat="1" ht="14.4" x14ac:dyDescent="0.3">
      <c r="A206" s="232"/>
    </row>
    <row r="207" spans="1:1" customFormat="1" ht="14.4" x14ac:dyDescent="0.3">
      <c r="A207" s="232"/>
    </row>
    <row r="208" spans="1:1" customFormat="1" ht="14.4" x14ac:dyDescent="0.3">
      <c r="A208" s="232"/>
    </row>
    <row r="209" spans="1:1" customFormat="1" ht="14.4" x14ac:dyDescent="0.3">
      <c r="A209" s="232"/>
    </row>
    <row r="210" spans="1:1" customFormat="1" ht="14.4" x14ac:dyDescent="0.3">
      <c r="A210" s="232"/>
    </row>
    <row r="211" spans="1:1" customFormat="1" ht="14.4" x14ac:dyDescent="0.3">
      <c r="A211" s="232"/>
    </row>
    <row r="212" spans="1:1" customFormat="1" ht="14.4" x14ac:dyDescent="0.3">
      <c r="A212" s="232"/>
    </row>
    <row r="213" spans="1:1" customFormat="1" ht="14.4" x14ac:dyDescent="0.3">
      <c r="A213" s="232"/>
    </row>
    <row r="214" spans="1:1" customFormat="1" ht="14.4" x14ac:dyDescent="0.3">
      <c r="A214" s="232"/>
    </row>
    <row r="215" spans="1:1" customFormat="1" ht="14.4" x14ac:dyDescent="0.3">
      <c r="A215" s="232"/>
    </row>
    <row r="216" spans="1:1" customFormat="1" ht="14.4" x14ac:dyDescent="0.3">
      <c r="A216" s="232"/>
    </row>
    <row r="217" spans="1:1" customFormat="1" ht="14.4" x14ac:dyDescent="0.3">
      <c r="A217" s="232"/>
    </row>
    <row r="218" spans="1:1" customFormat="1" ht="14.4" x14ac:dyDescent="0.3">
      <c r="A218" s="232"/>
    </row>
    <row r="219" spans="1:1" customFormat="1" ht="14.4" x14ac:dyDescent="0.3">
      <c r="A219" s="232"/>
    </row>
    <row r="220" spans="1:1" customFormat="1" ht="14.4" x14ac:dyDescent="0.3">
      <c r="A220" s="232"/>
    </row>
    <row r="221" spans="1:1" customFormat="1" ht="14.4" x14ac:dyDescent="0.3">
      <c r="A221" s="232"/>
    </row>
    <row r="222" spans="1:1" customFormat="1" ht="14.4" x14ac:dyDescent="0.3">
      <c r="A222" s="232"/>
    </row>
    <row r="223" spans="1:1" customFormat="1" ht="14.4" x14ac:dyDescent="0.3">
      <c r="A223" s="232"/>
    </row>
    <row r="224" spans="1:1" customFormat="1" ht="14.4" x14ac:dyDescent="0.3">
      <c r="A224" s="232"/>
    </row>
    <row r="225" spans="1:1" customFormat="1" ht="14.4" x14ac:dyDescent="0.3">
      <c r="A225" s="232"/>
    </row>
    <row r="226" spans="1:1" customFormat="1" ht="14.4" x14ac:dyDescent="0.3">
      <c r="A226" s="232"/>
    </row>
    <row r="227" spans="1:1" customFormat="1" ht="14.4" x14ac:dyDescent="0.3">
      <c r="A227" s="232"/>
    </row>
    <row r="228" spans="1:1" customFormat="1" ht="14.4" x14ac:dyDescent="0.3">
      <c r="A228" s="232"/>
    </row>
    <row r="229" spans="1:1" customFormat="1" ht="14.4" x14ac:dyDescent="0.3">
      <c r="A229" s="232"/>
    </row>
    <row r="230" spans="1:1" customFormat="1" ht="14.4" x14ac:dyDescent="0.3">
      <c r="A230" s="232"/>
    </row>
    <row r="231" spans="1:1" customFormat="1" ht="14.4" x14ac:dyDescent="0.3">
      <c r="A231" s="232"/>
    </row>
    <row r="232" spans="1:1" customFormat="1" ht="14.4" x14ac:dyDescent="0.3">
      <c r="A232" s="232"/>
    </row>
    <row r="233" spans="1:1" customFormat="1" ht="14.4" x14ac:dyDescent="0.3">
      <c r="A233" s="232"/>
    </row>
    <row r="234" spans="1:1" customFormat="1" ht="14.4" x14ac:dyDescent="0.3">
      <c r="A234" s="232"/>
    </row>
    <row r="235" spans="1:1" customFormat="1" ht="14.4" x14ac:dyDescent="0.3">
      <c r="A235" s="232"/>
    </row>
    <row r="236" spans="1:1" customFormat="1" ht="14.4" x14ac:dyDescent="0.3">
      <c r="A236" s="232"/>
    </row>
    <row r="237" spans="1:1" customFormat="1" ht="14.4" x14ac:dyDescent="0.3">
      <c r="A237" s="232"/>
    </row>
    <row r="238" spans="1:1" customFormat="1" ht="14.4" x14ac:dyDescent="0.3">
      <c r="A238" s="232"/>
    </row>
    <row r="239" spans="1:1" customFormat="1" ht="14.4" x14ac:dyDescent="0.3">
      <c r="A239" s="232"/>
    </row>
    <row r="240" spans="1:1" customFormat="1" ht="14.4" x14ac:dyDescent="0.3">
      <c r="A240" s="232"/>
    </row>
    <row r="241" spans="1:1" customFormat="1" ht="14.4" x14ac:dyDescent="0.3">
      <c r="A241" s="232"/>
    </row>
    <row r="242" spans="1:1" customFormat="1" ht="14.4" x14ac:dyDescent="0.3">
      <c r="A242" s="232"/>
    </row>
    <row r="243" spans="1:1" customFormat="1" ht="14.4" x14ac:dyDescent="0.3">
      <c r="A243" s="232"/>
    </row>
    <row r="244" spans="1:1" customFormat="1" ht="14.4" x14ac:dyDescent="0.3">
      <c r="A244" s="232"/>
    </row>
    <row r="245" spans="1:1" customFormat="1" ht="14.4" x14ac:dyDescent="0.3">
      <c r="A245" s="232"/>
    </row>
    <row r="246" spans="1:1" customFormat="1" ht="14.4" x14ac:dyDescent="0.3">
      <c r="A246" s="232"/>
    </row>
    <row r="247" spans="1:1" customFormat="1" ht="14.4" x14ac:dyDescent="0.3">
      <c r="A247" s="232"/>
    </row>
    <row r="248" spans="1:1" customFormat="1" ht="14.4" x14ac:dyDescent="0.3">
      <c r="A248" s="232"/>
    </row>
    <row r="249" spans="1:1" customFormat="1" ht="14.4" x14ac:dyDescent="0.3">
      <c r="A249" s="232"/>
    </row>
    <row r="250" spans="1:1" customFormat="1" ht="14.4" x14ac:dyDescent="0.3">
      <c r="A250" s="232"/>
    </row>
    <row r="251" spans="1:1" customFormat="1" ht="14.4" x14ac:dyDescent="0.3">
      <c r="A251" s="232"/>
    </row>
    <row r="252" spans="1:1" customFormat="1" ht="14.4" x14ac:dyDescent="0.3">
      <c r="A252" s="232"/>
    </row>
    <row r="253" spans="1:1" customFormat="1" ht="14.4" x14ac:dyDescent="0.3">
      <c r="A253" s="232"/>
    </row>
    <row r="254" spans="1:1" customFormat="1" ht="14.4" x14ac:dyDescent="0.3">
      <c r="A254" s="232"/>
    </row>
    <row r="255" spans="1:1" customFormat="1" ht="14.4" x14ac:dyDescent="0.3">
      <c r="A255" s="232"/>
    </row>
    <row r="256" spans="1:1" customFormat="1" ht="14.4" x14ac:dyDescent="0.3">
      <c r="A256" s="232"/>
    </row>
    <row r="257" spans="1:1" customFormat="1" ht="14.4" x14ac:dyDescent="0.3">
      <c r="A257" s="232"/>
    </row>
    <row r="258" spans="1:1" customFormat="1" ht="14.4" x14ac:dyDescent="0.3">
      <c r="A258" s="232"/>
    </row>
    <row r="259" spans="1:1" customFormat="1" ht="14.4" x14ac:dyDescent="0.3">
      <c r="A259" s="232"/>
    </row>
    <row r="260" spans="1:1" customFormat="1" ht="14.4" x14ac:dyDescent="0.3">
      <c r="A260" s="232"/>
    </row>
    <row r="261" spans="1:1" customFormat="1" ht="14.4" x14ac:dyDescent="0.3">
      <c r="A261" s="232"/>
    </row>
    <row r="262" spans="1:1" customFormat="1" ht="14.4" x14ac:dyDescent="0.3">
      <c r="A262" s="232"/>
    </row>
    <row r="263" spans="1:1" customFormat="1" ht="14.4" x14ac:dyDescent="0.3">
      <c r="A263" s="232"/>
    </row>
    <row r="264" spans="1:1" customFormat="1" ht="14.4" x14ac:dyDescent="0.3">
      <c r="A264" s="232"/>
    </row>
    <row r="265" spans="1:1" customFormat="1" ht="14.4" x14ac:dyDescent="0.3">
      <c r="A265" s="232"/>
    </row>
    <row r="266" spans="1:1" customFormat="1" ht="14.4" x14ac:dyDescent="0.3">
      <c r="A266" s="232"/>
    </row>
    <row r="267" spans="1:1" customFormat="1" ht="14.4" x14ac:dyDescent="0.3">
      <c r="A267" s="232"/>
    </row>
    <row r="268" spans="1:1" customFormat="1" ht="14.4" x14ac:dyDescent="0.3">
      <c r="A268" s="232"/>
    </row>
    <row r="269" spans="1:1" customFormat="1" ht="14.4" x14ac:dyDescent="0.3">
      <c r="A269" s="232"/>
    </row>
    <row r="270" spans="1:1" customFormat="1" ht="14.4" x14ac:dyDescent="0.3">
      <c r="A270" s="232"/>
    </row>
    <row r="271" spans="1:1" customFormat="1" ht="14.4" x14ac:dyDescent="0.3">
      <c r="A271" s="232"/>
    </row>
    <row r="272" spans="1:1" customFormat="1" ht="14.4" x14ac:dyDescent="0.3">
      <c r="A272" s="232"/>
    </row>
    <row r="273" spans="1:1" customFormat="1" ht="14.4" x14ac:dyDescent="0.3">
      <c r="A273" s="232"/>
    </row>
    <row r="274" spans="1:1" customFormat="1" ht="14.4" x14ac:dyDescent="0.3">
      <c r="A274" s="232"/>
    </row>
    <row r="275" spans="1:1" customFormat="1" ht="14.4" x14ac:dyDescent="0.3">
      <c r="A275" s="232"/>
    </row>
    <row r="276" spans="1:1" customFormat="1" ht="14.4" x14ac:dyDescent="0.3">
      <c r="A276" s="232"/>
    </row>
    <row r="277" spans="1:1" customFormat="1" ht="14.4" x14ac:dyDescent="0.3">
      <c r="A277" s="232"/>
    </row>
    <row r="278" spans="1:1" customFormat="1" ht="14.4" x14ac:dyDescent="0.3">
      <c r="A278" s="232"/>
    </row>
    <row r="279" spans="1:1" customFormat="1" ht="14.4" x14ac:dyDescent="0.3">
      <c r="A279" s="232"/>
    </row>
    <row r="280" spans="1:1" customFormat="1" ht="14.4" x14ac:dyDescent="0.3">
      <c r="A280" s="232"/>
    </row>
    <row r="281" spans="1:1" customFormat="1" ht="14.4" x14ac:dyDescent="0.3">
      <c r="A281" s="232"/>
    </row>
    <row r="282" spans="1:1" customFormat="1" ht="14.4" x14ac:dyDescent="0.3">
      <c r="A282" s="232"/>
    </row>
    <row r="283" spans="1:1" customFormat="1" ht="14.4" x14ac:dyDescent="0.3">
      <c r="A283" s="232"/>
    </row>
    <row r="284" spans="1:1" customFormat="1" ht="14.4" x14ac:dyDescent="0.3">
      <c r="A284" s="232"/>
    </row>
    <row r="285" spans="1:1" customFormat="1" ht="14.4" x14ac:dyDescent="0.3">
      <c r="A285" s="232"/>
    </row>
    <row r="286" spans="1:1" customFormat="1" ht="14.4" x14ac:dyDescent="0.3">
      <c r="A286" s="232"/>
    </row>
    <row r="287" spans="1:1" customFormat="1" ht="14.4" x14ac:dyDescent="0.3">
      <c r="A287" s="232"/>
    </row>
    <row r="288" spans="1:1" customFormat="1" ht="14.4" x14ac:dyDescent="0.3">
      <c r="A288" s="232"/>
    </row>
    <row r="289" spans="1:1" customFormat="1" ht="14.4" x14ac:dyDescent="0.3">
      <c r="A289" s="232"/>
    </row>
    <row r="290" spans="1:1" customFormat="1" ht="14.4" x14ac:dyDescent="0.3">
      <c r="A290" s="232"/>
    </row>
    <row r="291" spans="1:1" customFormat="1" ht="14.4" x14ac:dyDescent="0.3">
      <c r="A291" s="232"/>
    </row>
    <row r="292" spans="1:1" customFormat="1" ht="14.4" x14ac:dyDescent="0.3">
      <c r="A292" s="232"/>
    </row>
    <row r="293" spans="1:1" customFormat="1" ht="14.4" x14ac:dyDescent="0.3">
      <c r="A293" s="232"/>
    </row>
    <row r="294" spans="1:1" customFormat="1" ht="14.4" x14ac:dyDescent="0.3">
      <c r="A294" s="232"/>
    </row>
    <row r="295" spans="1:1" customFormat="1" ht="14.4" x14ac:dyDescent="0.3">
      <c r="A295" s="232"/>
    </row>
    <row r="296" spans="1:1" customFormat="1" ht="14.4" x14ac:dyDescent="0.3">
      <c r="A296" s="232"/>
    </row>
    <row r="297" spans="1:1" customFormat="1" ht="14.4" x14ac:dyDescent="0.3">
      <c r="A297" s="232"/>
    </row>
    <row r="298" spans="1:1" customFormat="1" ht="14.4" x14ac:dyDescent="0.3">
      <c r="A298" s="232"/>
    </row>
    <row r="299" spans="1:1" customFormat="1" ht="14.4" x14ac:dyDescent="0.3">
      <c r="A299" s="232"/>
    </row>
    <row r="300" spans="1:1" customFormat="1" ht="14.4" x14ac:dyDescent="0.3">
      <c r="A300" s="232"/>
    </row>
    <row r="301" spans="1:1" customFormat="1" ht="14.4" x14ac:dyDescent="0.3">
      <c r="A301" s="232"/>
    </row>
    <row r="302" spans="1:1" customFormat="1" ht="14.4" x14ac:dyDescent="0.3">
      <c r="A302" s="232"/>
    </row>
    <row r="303" spans="1:1" customFormat="1" ht="14.4" x14ac:dyDescent="0.3">
      <c r="A303" s="232"/>
    </row>
    <row r="304" spans="1:1" customFormat="1" ht="14.4" x14ac:dyDescent="0.3">
      <c r="A304" s="232"/>
    </row>
    <row r="305" spans="1:1" customFormat="1" ht="14.4" x14ac:dyDescent="0.3">
      <c r="A305" s="232"/>
    </row>
    <row r="306" spans="1:1" customFormat="1" ht="14.4" x14ac:dyDescent="0.3">
      <c r="A306" s="232"/>
    </row>
    <row r="307" spans="1:1" customFormat="1" ht="14.4" x14ac:dyDescent="0.3">
      <c r="A307" s="232"/>
    </row>
    <row r="308" spans="1:1" customFormat="1" ht="14.4" x14ac:dyDescent="0.3">
      <c r="A308" s="232"/>
    </row>
    <row r="309" spans="1:1" customFormat="1" ht="14.4" x14ac:dyDescent="0.3">
      <c r="A309" s="232"/>
    </row>
    <row r="310" spans="1:1" customFormat="1" ht="14.4" x14ac:dyDescent="0.3">
      <c r="A310" s="232"/>
    </row>
    <row r="311" spans="1:1" customFormat="1" ht="14.4" x14ac:dyDescent="0.3">
      <c r="A311" s="232"/>
    </row>
    <row r="312" spans="1:1" customFormat="1" ht="14.4" x14ac:dyDescent="0.3">
      <c r="A312" s="232"/>
    </row>
    <row r="313" spans="1:1" customFormat="1" ht="14.4" x14ac:dyDescent="0.3">
      <c r="A313" s="232"/>
    </row>
    <row r="314" spans="1:1" customFormat="1" ht="14.4" x14ac:dyDescent="0.3">
      <c r="A314" s="232"/>
    </row>
    <row r="315" spans="1:1" customFormat="1" ht="14.4" x14ac:dyDescent="0.3">
      <c r="A315" s="232"/>
    </row>
    <row r="316" spans="1:1" customFormat="1" ht="14.4" x14ac:dyDescent="0.3">
      <c r="A316" s="232"/>
    </row>
    <row r="317" spans="1:1" customFormat="1" ht="14.4" x14ac:dyDescent="0.3">
      <c r="A317" s="232"/>
    </row>
    <row r="318" spans="1:1" customFormat="1" ht="14.4" x14ac:dyDescent="0.3">
      <c r="A318" s="232"/>
    </row>
    <row r="319" spans="1:1" customFormat="1" ht="14.4" x14ac:dyDescent="0.3">
      <c r="A319" s="232"/>
    </row>
    <row r="320" spans="1:1" customFormat="1" ht="14.4" x14ac:dyDescent="0.3">
      <c r="A320" s="232"/>
    </row>
    <row r="321" spans="1:1" customFormat="1" ht="14.4" x14ac:dyDescent="0.3">
      <c r="A321" s="232"/>
    </row>
    <row r="322" spans="1:1" customFormat="1" ht="14.4" x14ac:dyDescent="0.3">
      <c r="A322" s="232"/>
    </row>
    <row r="323" spans="1:1" customFormat="1" ht="14.4" x14ac:dyDescent="0.3">
      <c r="A323" s="232"/>
    </row>
    <row r="324" spans="1:1" customFormat="1" ht="14.4" x14ac:dyDescent="0.3">
      <c r="A324" s="232"/>
    </row>
    <row r="325" spans="1:1" customFormat="1" ht="14.4" x14ac:dyDescent="0.3">
      <c r="A325" s="232"/>
    </row>
    <row r="326" spans="1:1" customFormat="1" ht="14.4" x14ac:dyDescent="0.3">
      <c r="A326" s="232"/>
    </row>
    <row r="327" spans="1:1" customFormat="1" ht="14.4" x14ac:dyDescent="0.3">
      <c r="A327" s="232"/>
    </row>
    <row r="328" spans="1:1" customFormat="1" ht="14.4" x14ac:dyDescent="0.3">
      <c r="A328" s="232"/>
    </row>
    <row r="329" spans="1:1" customFormat="1" ht="14.4" x14ac:dyDescent="0.3">
      <c r="A329" s="232"/>
    </row>
    <row r="330" spans="1:1" customFormat="1" ht="14.4" x14ac:dyDescent="0.3">
      <c r="A330" s="232"/>
    </row>
    <row r="331" spans="1:1" customFormat="1" ht="14.4" x14ac:dyDescent="0.3">
      <c r="A331" s="232"/>
    </row>
    <row r="332" spans="1:1" customFormat="1" ht="14.4" x14ac:dyDescent="0.3">
      <c r="A332" s="232"/>
    </row>
    <row r="333" spans="1:1" customFormat="1" ht="14.4" x14ac:dyDescent="0.3">
      <c r="A333" s="232"/>
    </row>
    <row r="334" spans="1:1" customFormat="1" ht="14.4" x14ac:dyDescent="0.3">
      <c r="A334" s="232"/>
    </row>
    <row r="335" spans="1:1" customFormat="1" ht="14.4" x14ac:dyDescent="0.3">
      <c r="A335" s="232"/>
    </row>
    <row r="336" spans="1:1" customFormat="1" ht="14.4" x14ac:dyDescent="0.3">
      <c r="A336" s="232"/>
    </row>
    <row r="337" spans="1:1" customFormat="1" ht="14.4" x14ac:dyDescent="0.3">
      <c r="A337" s="232"/>
    </row>
    <row r="338" spans="1:1" customFormat="1" ht="14.4" x14ac:dyDescent="0.3">
      <c r="A338" s="232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workbookViewId="0">
      <selection activeCell="I19" sqref="I19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2024-05-17T13:32:42Z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