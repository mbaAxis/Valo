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77" documentId="13_ncr:1_{29F01FE1-7CA5-4A66-BB25-676376358AF1}" xr6:coauthVersionLast="47" xr6:coauthVersionMax="47" xr10:uidLastSave="{001E484C-440F-432F-8CB1-7C00B200C4A9}"/>
  <bookViews>
    <workbookView xWindow="2868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1" i="8"/>
  <c r="C9" i="8"/>
  <c r="F10" i="8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<sst xmlns="http://schemas.openxmlformats.org/spreadsheetml/2006/main" count="2153" uniqueCount="508">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</sst>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3</xdr:row>
          <xdr:rowOff>19050</xdr:rowOff>
        </xdr:from>
        <xdr:to>
          <xdr:col>5</xdr:col>
          <xdr:colOff>31750</xdr:colOff>
          <xdr:row>5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158750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6350</xdr:colOff>
          <xdr:row>13</xdr:row>
          <xdr:rowOff>101600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158750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120650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baseColWidth="10"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2" t="s">
        <v>21</v>
      </c>
      <c r="D5" s="473"/>
      <c r="F5" s="470" t="s">
        <v>23</v>
      </c>
      <c r="G5" s="471"/>
      <c r="I5" s="470" t="s">
        <v>22</v>
      </c>
      <c r="J5" s="471"/>
      <c r="R5" s="472" t="s">
        <v>39</v>
      </c>
      <c r="S5" s="473"/>
      <c r="U5" s="470" t="s">
        <v>40</v>
      </c>
      <c r="V5" s="471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2" t="s">
        <v>21</v>
      </c>
      <c r="C20" s="474"/>
      <c r="D20" s="474"/>
      <c r="E20" s="474"/>
      <c r="F20" s="474"/>
      <c r="G20" s="474"/>
      <c r="H20" s="474"/>
      <c r="I20" s="474"/>
      <c r="J20" s="473"/>
      <c r="L20" s="472" t="s">
        <v>23</v>
      </c>
      <c r="M20" s="473"/>
      <c r="O20" s="472" t="s">
        <v>22</v>
      </c>
      <c r="P20" s="473"/>
      <c r="R20" s="475" t="s">
        <v>39</v>
      </c>
      <c r="S20" s="476"/>
      <c r="T20" s="476"/>
      <c r="U20" s="476"/>
      <c r="V20" s="476"/>
      <c r="W20" s="476"/>
      <c r="X20" s="477"/>
      <c r="Z20" s="470" t="s">
        <v>40</v>
      </c>
      <c r="AA20" s="471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787400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1" t="s">
        <v>72</v>
      </c>
      <c r="H2" s="482"/>
      <c r="I2" s="482"/>
      <c r="J2" s="146" t="b">
        <v>1</v>
      </c>
    </row>
    <row r="3" spans="1:50" ht="15" thickBot="1">
      <c r="J3" s="99"/>
    </row>
    <row r="4" spans="1:50" ht="15" thickBot="1">
      <c r="G4" s="481" t="s">
        <v>73</v>
      </c>
      <c r="H4" s="482"/>
      <c r="I4" s="483"/>
      <c r="J4" s="141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7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9.5140361915533322E-3</v>
      </c>
      <c r="AA12" s="134">
        <f ca="1"/>
        <v>1.7008117741425965E-2</v>
      </c>
      <c r="AB12" s="134">
        <f ca="1"/>
        <v>0</v>
      </c>
      <c r="AC12" s="134">
        <f ca="1"/>
        <v>3.526623121642869E-2</v>
      </c>
      <c r="AD12" s="134">
        <f ca="1"/>
        <v>5.3650073136257359E-2</v>
      </c>
      <c r="AE12" s="135">
        <f ca="1"/>
        <v>8.2539908181731292E-2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1.2620921837996235E-2</v>
      </c>
      <c r="AB13" s="163">
        <f ca="1"/>
        <v>0</v>
      </c>
      <c r="AC13" s="163">
        <f ca="1"/>
        <v>3.228003007274638E-2</v>
      </c>
      <c r="AD13" s="163">
        <f ca="1"/>
        <v>5.3346109383021423E-2</v>
      </c>
      <c r="AE13" s="139">
        <f ca="1"/>
        <v>9.3275358315910384E-2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1.4757174569141163E-2</v>
      </c>
      <c r="AB14" s="163">
        <f ca="1"/>
        <v>0</v>
      </c>
      <c r="AC14" s="163">
        <f ca="1"/>
        <v>3.5688900295944626E-2</v>
      </c>
      <c r="AD14" s="163">
        <f ca="1"/>
        <v>6.3152175872552063E-2</v>
      </c>
      <c r="AE14" s="139">
        <f ca="1"/>
        <v>0.10831624191330014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8.8159682599380229E-3</v>
      </c>
      <c r="AA15" s="163">
        <f ca="1"/>
        <v>1.5714629918365697E-2</v>
      </c>
      <c r="AB15" s="163">
        <f ca="1"/>
        <v>0</v>
      </c>
      <c r="AC15" s="163">
        <f ca="1"/>
        <v>3.3627746009531112E-2</v>
      </c>
      <c r="AD15" s="163">
        <f ca="1"/>
        <v>5.2181044173536084E-2</v>
      </c>
      <c r="AE15" s="139">
        <f ca="1"/>
        <v>7.931268654602297E-2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2.2804654612499142E-2</v>
      </c>
      <c r="AD16" s="163">
        <f ca="1"/>
        <v>4.0483442705105843E-2</v>
      </c>
      <c r="AE16" s="139">
        <f ca="1"/>
        <v>6.988644529294985E-2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8.1488244900428386E-3</v>
      </c>
      <c r="AA17" s="163">
        <f ca="1"/>
        <v>1.3658793519955026E-2</v>
      </c>
      <c r="AB17" s="163">
        <f ca="1"/>
        <v>0</v>
      </c>
      <c r="AC17" s="163">
        <f ca="1"/>
        <v>2.8437990102705313E-2</v>
      </c>
      <c r="AD17" s="163">
        <f ca="1"/>
        <v>4.4756931561250601E-2</v>
      </c>
      <c r="AE17" s="139">
        <f ca="1"/>
        <v>7.162155385367408E-2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8.8612962547089946E-3</v>
      </c>
      <c r="AA18" s="163">
        <f ca="1"/>
        <v>1.8937870982067007E-2</v>
      </c>
      <c r="AB18" s="163">
        <f ca="1"/>
        <v>0</v>
      </c>
      <c r="AC18" s="163">
        <f ca="1"/>
        <v>5.0405172520039843E-2</v>
      </c>
      <c r="AD18" s="163">
        <f ca="1"/>
        <v>8.5430430250713174E-2</v>
      </c>
      <c r="AE18" s="139">
        <f ca="1"/>
        <v>0.1455801080242648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9.5552823179290147E-3</v>
      </c>
      <c r="AA19" s="163">
        <f ca="1"/>
        <v>1.7803613101275872E-2</v>
      </c>
      <c r="AB19" s="163">
        <f ca="1"/>
        <v>0</v>
      </c>
      <c r="AC19" s="163">
        <f ca="1"/>
        <v>4.5989028459221815E-2</v>
      </c>
      <c r="AD19" s="163">
        <f ca="1"/>
        <v>8.0838069211302654E-2</v>
      </c>
      <c r="AE19" s="139">
        <f ca="1"/>
        <v>0.13573522975307417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2.0960880751007105E-2</v>
      </c>
      <c r="AD20" s="163">
        <f ca="1"/>
        <v>3.5388651685261063E-2</v>
      </c>
      <c r="AE20" s="139">
        <f ca="1"/>
        <v>6.6885530927914716E-2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1.2643347817584027E-2</v>
      </c>
      <c r="AB21" s="163">
        <f ca="1"/>
        <v>0</v>
      </c>
      <c r="AC21" s="163">
        <f ca="1"/>
        <v>2.7681789591056272E-2</v>
      </c>
      <c r="AD21" s="163">
        <f ca="1"/>
        <v>4.3430244532435824E-2</v>
      </c>
      <c r="AE21" s="139">
        <f ca="1"/>
        <v>6.8219917770306782E-2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8.3245908185343165E-3</v>
      </c>
      <c r="AA22" s="163">
        <f ca="1"/>
        <v>1.4293840110061184E-2</v>
      </c>
      <c r="AB22" s="163">
        <f ca="1"/>
        <v>0</v>
      </c>
      <c r="AC22" s="163">
        <f ca="1"/>
        <v>3.0177458854162564E-2</v>
      </c>
      <c r="AD22" s="163">
        <f ca="1"/>
        <v>4.7374495807809947E-2</v>
      </c>
      <c r="AE22" s="139">
        <f ca="1"/>
        <v>7.4823426305504204E-2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3.9457545446772713E-3</v>
      </c>
      <c r="Z23" s="163">
        <f ca="1"/>
        <v>1.1341409804023983E-2</v>
      </c>
      <c r="AA23" s="163">
        <f ca="1"/>
        <v>1.9772622653773997E-2</v>
      </c>
      <c r="AB23" s="163">
        <f ca="1"/>
        <v>0</v>
      </c>
      <c r="AC23" s="163">
        <f ca="1"/>
        <v>3.94367459098659E-2</v>
      </c>
      <c r="AD23" s="163">
        <f ca="1"/>
        <v>6.1273057645962137E-2</v>
      </c>
      <c r="AE23" s="139">
        <f ca="1"/>
        <v>9.4823379175043909E-2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4.5073802577851874E-3</v>
      </c>
      <c r="Z24" s="163">
        <f ca="1"/>
        <v>1.1199454112028717E-2</v>
      </c>
      <c r="AA24" s="163">
        <f ca="1"/>
        <v>1.8076409676023975E-2</v>
      </c>
      <c r="AB24" s="163">
        <f ca="1"/>
        <v>0</v>
      </c>
      <c r="AC24" s="163">
        <f ca="1"/>
        <v>3.5059170846102772E-2</v>
      </c>
      <c r="AD24" s="163">
        <f ca="1"/>
        <v>5.3443155897097361E-2</v>
      </c>
      <c r="AE24" s="139">
        <f ca="1"/>
        <v>8.6155998381144294E-2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3.0700830979575766E-2</v>
      </c>
      <c r="AE25" s="139">
        <f ca="1"/>
        <v>5.6512406049909703E-2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2.9745095750370876E-2</v>
      </c>
      <c r="AD26" s="163">
        <f ca="1"/>
        <v>5.119926226893956E-2</v>
      </c>
      <c r="AE26" s="139">
        <f ca="1"/>
        <v>9.2196981559303115E-2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2.2801957900857261E-2</v>
      </c>
      <c r="AD27" s="163">
        <f ca="1"/>
        <v>4.1790930106758273E-2</v>
      </c>
      <c r="AE27" s="139">
        <f ca="1"/>
        <v>7.7431231752891794E-2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9.6382317434767772E-3</v>
      </c>
      <c r="AA28" s="163">
        <f ca="1"/>
        <v>1.5620136285570796E-2</v>
      </c>
      <c r="AB28" s="163">
        <f ca="1"/>
        <v>0</v>
      </c>
      <c r="AC28" s="163">
        <f ca="1"/>
        <v>2.9098007181744379E-2</v>
      </c>
      <c r="AD28" s="163">
        <f ca="1"/>
        <v>4.4683094310168148E-2</v>
      </c>
      <c r="AE28" s="139">
        <f ca="1"/>
        <v>7.1252147469429539E-2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2.7995260767537111E-2</v>
      </c>
      <c r="AD29" s="163">
        <f ca="1"/>
        <v>4.8836914418983191E-2</v>
      </c>
      <c r="AE29" s="139">
        <f ca="1"/>
        <v>9.4732765185422063E-2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2.3639113715906324E-2</v>
      </c>
      <c r="AD30" s="163">
        <f ca="1"/>
        <v>4.0319038262909168E-2</v>
      </c>
      <c r="AE30" s="139">
        <f ca="1"/>
        <v>6.3914210309528263E-2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1.1583783795048208E-2</v>
      </c>
      <c r="AB31" s="163">
        <f ca="1"/>
        <v>0</v>
      </c>
      <c r="AC31" s="163">
        <f ca="1"/>
        <v>2.6939772523619343E-2</v>
      </c>
      <c r="AD31" s="163">
        <f ca="1"/>
        <v>4.486021689608366E-2</v>
      </c>
      <c r="AE31" s="139">
        <f ca="1"/>
        <v>6.6380417581850759E-2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7.7578558947739573E-3</v>
      </c>
      <c r="AA32" s="163">
        <f ca="1"/>
        <v>1.626785687651755E-2</v>
      </c>
      <c r="AB32" s="163">
        <f ca="1"/>
        <v>0</v>
      </c>
      <c r="AC32" s="163">
        <f ca="1"/>
        <v>3.4558321694456273E-2</v>
      </c>
      <c r="AD32" s="163">
        <f ca="1"/>
        <v>5.653149197302676E-2</v>
      </c>
      <c r="AE32" s="139">
        <f ca="1"/>
        <v>9.9623004295444573E-2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8.4977694605756771E-3</v>
      </c>
      <c r="AA33" s="163">
        <f ca="1"/>
        <v>1.4640606280093893E-2</v>
      </c>
      <c r="AB33" s="163">
        <f ca="1"/>
        <v>0</v>
      </c>
      <c r="AC33" s="163">
        <f ca="1"/>
        <v>2.9277244488666088E-2</v>
      </c>
      <c r="AD33" s="163">
        <f ca="1"/>
        <v>4.5514188717610704E-2</v>
      </c>
      <c r="AE33" s="139">
        <f ca="1"/>
        <v>6.941439947897321E-2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1.3182212759591971E-2</v>
      </c>
      <c r="AB34" s="163">
        <f ca="1"/>
        <v>0</v>
      </c>
      <c r="AC34" s="163">
        <f ca="1"/>
        <v>3.226147846112859E-2</v>
      </c>
      <c r="AD34" s="163">
        <f ca="1"/>
        <v>5.7227697518720366E-2</v>
      </c>
      <c r="AE34" s="139">
        <f ca="1"/>
        <v>0.10223024488307586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1.0246965467613167E-2</v>
      </c>
      <c r="AA35" s="163">
        <f ca="1"/>
        <v>1.882018939552732E-2</v>
      </c>
      <c r="AB35" s="163">
        <f ca="1"/>
        <v>0</v>
      </c>
      <c r="AC35" s="163">
        <f ca="1"/>
        <v>4.0480843151931123E-2</v>
      </c>
      <c r="AD35" s="163">
        <f ca="1"/>
        <v>6.3262816360325713E-2</v>
      </c>
      <c r="AE35" s="139">
        <f ca="1"/>
        <v>9.7441855442318981E-2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2.0948893178057038E-2</v>
      </c>
      <c r="AD36" s="163">
        <f ca="1"/>
        <v>3.668904685599772E-2</v>
      </c>
      <c r="AE36" s="139">
        <f ca="1"/>
        <v>6.6693858736039946E-2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4.2279565176266409E-3</v>
      </c>
      <c r="Z37" s="163">
        <f ca="1"/>
        <v>1.2014040569567341E-2</v>
      </c>
      <c r="AA37" s="163">
        <f ca="1"/>
        <v>2.4081860226773943E-2</v>
      </c>
      <c r="AB37" s="163">
        <f ca="1"/>
        <v>0</v>
      </c>
      <c r="AC37" s="163">
        <f ca="1"/>
        <v>5.9501363785020467E-2</v>
      </c>
      <c r="AD37" s="163">
        <f ca="1"/>
        <v>0.10143059530485676</v>
      </c>
      <c r="AE37" s="139">
        <f ca="1"/>
        <v>0.17040622357537616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2.0938486875177853E-2</v>
      </c>
      <c r="AD38" s="163">
        <f ca="1"/>
        <v>3.4053139613530292E-2</v>
      </c>
      <c r="AE38" s="139">
        <f ca="1"/>
        <v>5.927627817202008E-2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8.4965078246311831E-3</v>
      </c>
      <c r="AA39" s="163">
        <f ca="1"/>
        <v>1.8410289418521852E-2</v>
      </c>
      <c r="AB39" s="163">
        <f ca="1"/>
        <v>0</v>
      </c>
      <c r="AC39" s="163">
        <f ca="1"/>
        <v>4.5124883235137858E-2</v>
      </c>
      <c r="AD39" s="163">
        <f ca="1"/>
        <v>7.9685520263707121E-2</v>
      </c>
      <c r="AE39" s="139">
        <f ca="1"/>
        <v>0.13045595859677583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4.1637689259397259E-3</v>
      </c>
      <c r="Z40" s="163">
        <f ca="1"/>
        <v>1.0594171977781897E-2</v>
      </c>
      <c r="AA40" s="163">
        <f ca="1"/>
        <v>1.8646350220538843E-2</v>
      </c>
      <c r="AB40" s="163">
        <f ca="1"/>
        <v>0</v>
      </c>
      <c r="AC40" s="163">
        <f ca="1"/>
        <v>3.7737384312409472E-2</v>
      </c>
      <c r="AD40" s="163">
        <f ca="1"/>
        <v>5.7678739160192949E-2</v>
      </c>
      <c r="AE40" s="139">
        <f ca="1"/>
        <v>8.7122994061685777E-2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2.5337086180233226E-2</v>
      </c>
      <c r="AD41" s="163">
        <f ca="1"/>
        <v>4.5254326033951853E-2</v>
      </c>
      <c r="AE41" s="139">
        <f ca="1"/>
        <v>7.8345098322941009E-2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1.2756057377566243E-2</v>
      </c>
      <c r="AA42" s="163">
        <f ca="1"/>
        <v>2.1926637633035595E-2</v>
      </c>
      <c r="AB42" s="163">
        <f ca="1"/>
        <v>0</v>
      </c>
      <c r="AC42" s="163">
        <f ca="1"/>
        <v>5.1677580492891395E-2</v>
      </c>
      <c r="AD42" s="163">
        <f ca="1"/>
        <v>8.7263805972428221E-2</v>
      </c>
      <c r="AE42" s="139">
        <f ca="1"/>
        <v>0.14445593735916751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1.1991391316695688E-2</v>
      </c>
      <c r="AB43" s="163">
        <f ca="1"/>
        <v>0</v>
      </c>
      <c r="AC43" s="163">
        <f ca="1"/>
        <v>2.6942028844444188E-2</v>
      </c>
      <c r="AD43" s="163">
        <f ca="1"/>
        <v>4.2903011746825648E-2</v>
      </c>
      <c r="AE43" s="139">
        <f ca="1"/>
        <v>6.6651862128627393E-2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1.036639974007858E-2</v>
      </c>
      <c r="AA44" s="163">
        <f ca="1"/>
        <v>1.8881022327888908E-2</v>
      </c>
      <c r="AB44" s="163">
        <f ca="1"/>
        <v>0</v>
      </c>
      <c r="AC44" s="163">
        <f ca="1"/>
        <v>4.2272014928860568E-2</v>
      </c>
      <c r="AD44" s="163">
        <f ca="1"/>
        <v>6.435982315762534E-2</v>
      </c>
      <c r="AE44" s="139">
        <f ca="1"/>
        <v>9.7063283978247816E-2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1.2555976401141922E-2</v>
      </c>
      <c r="AB45" s="163">
        <f ca="1"/>
        <v>0</v>
      </c>
      <c r="AC45" s="163">
        <f ca="1"/>
        <v>2.4103496988141515E-2</v>
      </c>
      <c r="AD45" s="163">
        <f ca="1"/>
        <v>4.1090578315597037E-2</v>
      </c>
      <c r="AE45" s="139">
        <f ca="1"/>
        <v>7.2862959353061085E-2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2.4425412477675046E-2</v>
      </c>
      <c r="AD46" s="163">
        <f ca="1"/>
        <v>4.2724577199832137E-2</v>
      </c>
      <c r="AE46" s="139">
        <f ca="1"/>
        <v>7.301022124527512E-2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3.9614644705753266E-3</v>
      </c>
      <c r="Z47" s="163">
        <f ca="1"/>
        <v>1.0245908877189569E-2</v>
      </c>
      <c r="AA47" s="163">
        <f ca="1"/>
        <v>1.7490078445532409E-2</v>
      </c>
      <c r="AB47" s="163">
        <f ca="1"/>
        <v>0</v>
      </c>
      <c r="AC47" s="163">
        <f ca="1"/>
        <v>3.6064427985862957E-2</v>
      </c>
      <c r="AD47" s="163">
        <f ca="1"/>
        <v>5.6048494879166633E-2</v>
      </c>
      <c r="AE47" s="139">
        <f ca="1"/>
        <v>8.580059280055885E-2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2.1893146456519963E-2</v>
      </c>
      <c r="AD48" s="163">
        <f ca="1"/>
        <v>3.9259244407893523E-2</v>
      </c>
      <c r="AE48" s="139">
        <f ca="1"/>
        <v>7.2088765337818161E-2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1.5207479468169027E-2</v>
      </c>
      <c r="AB49" s="163">
        <f ca="1"/>
        <v>0</v>
      </c>
      <c r="AC49" s="163">
        <f ca="1"/>
        <v>3.4658226133389425E-2</v>
      </c>
      <c r="AD49" s="163">
        <f ca="1"/>
        <v>5.6632317045390845E-2</v>
      </c>
      <c r="AE49" s="139">
        <f ca="1"/>
        <v>9.782132473428895E-2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2.6240905469327669E-2</v>
      </c>
      <c r="AD50" s="163">
        <f ca="1"/>
        <v>4.5160594831692324E-2</v>
      </c>
      <c r="AE50" s="139">
        <f ca="1"/>
        <v>7.8250779524413061E-2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4.5907165081674473E-3</v>
      </c>
      <c r="Z51" s="163">
        <f ca="1"/>
        <v>1.3776715905169046E-2</v>
      </c>
      <c r="AA51" s="163">
        <f ca="1"/>
        <v>2.8789627763404435E-2</v>
      </c>
      <c r="AB51" s="163">
        <f ca="1"/>
        <v>0</v>
      </c>
      <c r="AC51" s="163">
        <f ca="1"/>
        <v>6.9576782675992099E-2</v>
      </c>
      <c r="AD51" s="163">
        <f ca="1"/>
        <v>0.11476658560309405</v>
      </c>
      <c r="AE51" s="139">
        <f ca="1"/>
        <v>0.18612312873155101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2.5371373316465662E-2</v>
      </c>
      <c r="AD52" s="163">
        <f ca="1"/>
        <v>4.3981682085471707E-2</v>
      </c>
      <c r="AE52" s="139">
        <f ca="1"/>
        <v>7.8562623141590127E-2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2.5418957336353021E-2</v>
      </c>
      <c r="AD53" s="163">
        <f ca="1"/>
        <v>4.5337615654432728E-2</v>
      </c>
      <c r="AE53" s="139">
        <f ca="1"/>
        <v>8.0354761836199273E-2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1.9241810615342581E-2</v>
      </c>
      <c r="AD54" s="163">
        <f ca="1"/>
        <v>3.0408757791083207E-2</v>
      </c>
      <c r="AE54" s="139">
        <f ca="1"/>
        <v>5.2319091015224473E-2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1.3671435165386492E-2</v>
      </c>
      <c r="AB55" s="163">
        <f ca="1"/>
        <v>0</v>
      </c>
      <c r="AC55" s="163">
        <f ca="1"/>
        <v>3.0369151900231373E-2</v>
      </c>
      <c r="AD55" s="163">
        <f ca="1"/>
        <v>5.2124941595980689E-2</v>
      </c>
      <c r="AE55" s="139">
        <f ca="1"/>
        <v>8.7804273404029076E-2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7.784502464497467E-3</v>
      </c>
      <c r="AA56" s="163">
        <f ca="1"/>
        <v>1.4678160285602204E-2</v>
      </c>
      <c r="AB56" s="163">
        <f ca="1"/>
        <v>0</v>
      </c>
      <c r="AC56" s="163">
        <f ca="1"/>
        <v>3.2013643240463407E-2</v>
      </c>
      <c r="AD56" s="163">
        <f ca="1"/>
        <v>5.437670946136075E-2</v>
      </c>
      <c r="AE56" s="139">
        <f ca="1"/>
        <v>9.0908292282234293E-2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1.2143087899326499E-2</v>
      </c>
      <c r="AB57" s="163">
        <f ca="1"/>
        <v>0</v>
      </c>
      <c r="AC57" s="163">
        <f ca="1"/>
        <v>3.1484928929359612E-2</v>
      </c>
      <c r="AD57" s="163">
        <f ca="1"/>
        <v>5.3548805807474786E-2</v>
      </c>
      <c r="AE57" s="139">
        <f ca="1"/>
        <v>9.3479790450315403E-2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1.0253057894043183E-2</v>
      </c>
      <c r="AA58" s="163">
        <f ca="1"/>
        <v>1.8826398147786638E-2</v>
      </c>
      <c r="AB58" s="163">
        <f ca="1"/>
        <v>0</v>
      </c>
      <c r="AC58" s="163">
        <f ca="1"/>
        <v>3.959264007051333E-2</v>
      </c>
      <c r="AD58" s="163">
        <f ca="1"/>
        <v>6.3367605022959128E-2</v>
      </c>
      <c r="AE58" s="139">
        <f ca="1"/>
        <v>0.10704325908235135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8.5019014816990479E-3</v>
      </c>
      <c r="AA59" s="163">
        <f ca="1"/>
        <v>1.57226915635158E-2</v>
      </c>
      <c r="AB59" s="163">
        <f ca="1"/>
        <v>0</v>
      </c>
      <c r="AC59" s="163">
        <f ca="1"/>
        <v>3.3694966448006403E-2</v>
      </c>
      <c r="AD59" s="163">
        <f ca="1"/>
        <v>5.5365333693876306E-2</v>
      </c>
      <c r="AE59" s="139">
        <f ca="1"/>
        <v>9.6134287779375827E-2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1.9954763748117776E-2</v>
      </c>
      <c r="AD60" s="163">
        <f ca="1"/>
        <v>3.2752682064517868E-2</v>
      </c>
      <c r="AE60" s="139">
        <f ca="1"/>
        <v>5.7522247018874539E-2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2.1655446306062531E-2</v>
      </c>
      <c r="AD61" s="163">
        <f ca="1"/>
        <v>3.5084621480773071E-2</v>
      </c>
      <c r="AE61" s="139">
        <f ca="1"/>
        <v>6.2698953130966295E-2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2.4516947273586553E-2</v>
      </c>
      <c r="AD62" s="163">
        <f ca="1"/>
        <v>4.1508528724158889E-2</v>
      </c>
      <c r="AE62" s="139">
        <f ca="1"/>
        <v>7.1353008964483711E-2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1.2086060006952892E-2</v>
      </c>
      <c r="AB63" s="163">
        <f ca="1"/>
        <v>0</v>
      </c>
      <c r="AC63" s="163">
        <f ca="1"/>
        <v>2.692047126817243E-2</v>
      </c>
      <c r="AD63" s="163">
        <f ca="1"/>
        <v>4.4840742473030271E-2</v>
      </c>
      <c r="AE63" s="139">
        <f ca="1"/>
        <v>8.1776115666166604E-2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2.1023668491753522E-2</v>
      </c>
      <c r="AD64" s="163">
        <f ca="1"/>
        <v>3.6764756685121802E-2</v>
      </c>
      <c r="AE64" s="139">
        <f ca="1"/>
        <v>6.0949612012509924E-2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3.0548384831843411E-2</v>
      </c>
      <c r="AE65" s="139">
        <f ca="1"/>
        <v>5.2459302508502503E-2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1.923679422195379E-2</v>
      </c>
      <c r="AD66" s="163">
        <f ca="1"/>
        <v>3.1718955798110349E-2</v>
      </c>
      <c r="AE66" s="139">
        <f ca="1"/>
        <v>5.4087294066372027E-2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1.3134478550999806E-2</v>
      </c>
      <c r="AB67" s="163">
        <f ca="1"/>
        <v>0</v>
      </c>
      <c r="AC67" s="163">
        <f ca="1"/>
        <v>2.7651383479970648E-2</v>
      </c>
      <c r="AD67" s="163">
        <f ca="1"/>
        <v>4.3791359545798159E-2</v>
      </c>
      <c r="AE67" s="139">
        <f ca="1"/>
        <v>7.0064575174012433E-2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9.1787709275703566E-3</v>
      </c>
      <c r="AA68" s="163">
        <f ca="1"/>
        <v>1.9954376370468041E-2</v>
      </c>
      <c r="AB68" s="163">
        <f ca="1"/>
        <v>0</v>
      </c>
      <c r="AC68" s="163">
        <f ca="1"/>
        <v>4.8493119467035162E-2</v>
      </c>
      <c r="AD68" s="163">
        <f ca="1"/>
        <v>8.4201391809671122E-2</v>
      </c>
      <c r="AE68" s="139">
        <f ca="1"/>
        <v>0.14211240058746299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4.0210912663573017E-3</v>
      </c>
      <c r="Z69" s="163">
        <f ca="1"/>
        <v>1.0569646240843555E-2</v>
      </c>
      <c r="AA69" s="163">
        <f ca="1"/>
        <v>2.360260702184136E-2</v>
      </c>
      <c r="AB69" s="163">
        <f ca="1"/>
        <v>0</v>
      </c>
      <c r="AC69" s="163">
        <f ca="1"/>
        <v>5.2523378989652092E-2</v>
      </c>
      <c r="AD69" s="163">
        <f ca="1"/>
        <v>9.092458180643237E-2</v>
      </c>
      <c r="AE69" s="139">
        <f ca="1"/>
        <v>0.15663964229745753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1.2122068953851484E-2</v>
      </c>
      <c r="AB70" s="163">
        <f ca="1"/>
        <v>0</v>
      </c>
      <c r="AC70" s="163">
        <f ca="1"/>
        <v>3.1463134664273973E-2</v>
      </c>
      <c r="AD70" s="163">
        <f ca="1"/>
        <v>5.6128592687886392E-2</v>
      </c>
      <c r="AE70" s="139">
        <f ca="1"/>
        <v>9.8810637014060343E-2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7.4448397129669441E-3</v>
      </c>
      <c r="AA71" s="163">
        <f ca="1"/>
        <v>1.2842436361634735E-2</v>
      </c>
      <c r="AB71" s="163">
        <f ca="1"/>
        <v>0</v>
      </c>
      <c r="AC71" s="163">
        <f ca="1"/>
        <v>2.674761465780795E-2</v>
      </c>
      <c r="AD71" s="163">
        <f ca="1"/>
        <v>4.2446472303162452E-2</v>
      </c>
      <c r="AE71" s="139">
        <f ca="1"/>
        <v>6.8424392374233922E-2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8.8692770572835755E-3</v>
      </c>
      <c r="AA72" s="163">
        <f ca="1"/>
        <v>1.7330859268279486E-2</v>
      </c>
      <c r="AB72" s="163">
        <f ca="1"/>
        <v>0</v>
      </c>
      <c r="AC72" s="163">
        <f ca="1"/>
        <v>4.1630343869951347E-2</v>
      </c>
      <c r="AD72" s="163">
        <f ca="1"/>
        <v>6.8584307485430762E-2</v>
      </c>
      <c r="AE72" s="139">
        <f ca="1"/>
        <v>0.12331228078826717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2.1941721608961906E-2</v>
      </c>
      <c r="AD73" s="163">
        <f ca="1"/>
        <v>4.0619680589123686E-2</v>
      </c>
      <c r="AE73" s="139">
        <f ca="1"/>
        <v>7.38912912566696E-2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1.4176402432365176E-2</v>
      </c>
      <c r="AB74" s="163">
        <f ca="1"/>
        <v>0</v>
      </c>
      <c r="AC74" s="163">
        <f ca="1"/>
        <v>3.0293521519785704E-2</v>
      </c>
      <c r="AD74" s="163">
        <f ca="1"/>
        <v>5.0746701431856556E-2</v>
      </c>
      <c r="AE74" s="139">
        <f ca="1"/>
        <v>8.5996980253332911E-2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4.6568453186325298E-2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7.70497342110954E-3</v>
      </c>
      <c r="AA76" s="163">
        <f ca="1"/>
        <v>1.3541181279816628E-2</v>
      </c>
      <c r="AB76" s="163">
        <f ca="1"/>
        <v>0</v>
      </c>
      <c r="AC76" s="163">
        <f ca="1"/>
        <v>2.6693212312850378E-2</v>
      </c>
      <c r="AD76" s="163">
        <f ca="1"/>
        <v>4.1346940851276104E-2</v>
      </c>
      <c r="AE76" s="139">
        <f ca="1"/>
        <v>6.4650713991924014E-2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2.4911409926279271E-3</v>
      </c>
      <c r="Y77" s="163">
        <f ca="1"/>
        <v>6.040062506543542E-3</v>
      </c>
      <c r="Z77" s="163">
        <f ca="1"/>
        <v>1.7604922468755113E-2</v>
      </c>
      <c r="AA77" s="163">
        <f ca="1"/>
        <v>3.5429040378911814E-2</v>
      </c>
      <c r="AB77" s="163">
        <f ca="1"/>
        <v>0</v>
      </c>
      <c r="AC77" s="163">
        <f ca="1"/>
        <v>8.8800114247309048E-2</v>
      </c>
      <c r="AD77" s="163">
        <f ca="1"/>
        <v>0.14494176753284738</v>
      </c>
      <c r="AE77" s="139">
        <f ca="1"/>
        <v>0.23042779402653379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7.8043902712783275E-3</v>
      </c>
      <c r="AA78" s="163">
        <f ca="1"/>
        <v>1.5237573236051682E-2</v>
      </c>
      <c r="AB78" s="163">
        <f ca="1"/>
        <v>0</v>
      </c>
      <c r="AC78" s="163">
        <f ca="1"/>
        <v>3.5586955309388379E-2</v>
      </c>
      <c r="AD78" s="163">
        <f ca="1"/>
        <v>5.9160456051175703E-2</v>
      </c>
      <c r="AE78" s="139">
        <f ca="1"/>
        <v>0.10688299640953058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8.1318419563518596E-3</v>
      </c>
      <c r="AA79" s="163">
        <f ca="1"/>
        <v>1.7882666907035105E-2</v>
      </c>
      <c r="AB79" s="163">
        <f ca="1"/>
        <v>0</v>
      </c>
      <c r="AC79" s="163">
        <f ca="1"/>
        <v>4.5178694104437533E-2</v>
      </c>
      <c r="AD79" s="163">
        <f ca="1"/>
        <v>7.7169850009215724E-2</v>
      </c>
      <c r="AE79" s="139">
        <f ca="1"/>
        <v>0.13090141913835507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2.4518575456956238E-2</v>
      </c>
      <c r="AD80" s="163">
        <f ca="1"/>
        <v>4.4127508120962666E-2</v>
      </c>
      <c r="AE80" s="139">
        <f ca="1"/>
        <v>8.063645459845814E-2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1.5824867593897229E-2</v>
      </c>
      <c r="AB81" s="163">
        <f ca="1"/>
        <v>0</v>
      </c>
      <c r="AC81" s="163">
        <f ca="1"/>
        <v>3.8287146846782028E-2</v>
      </c>
      <c r="AD81" s="163">
        <f ca="1"/>
        <v>6.664259152078067E-2</v>
      </c>
      <c r="AE81" s="139">
        <f ca="1"/>
        <v>0.12058214994205596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2.5346031436877081E-2</v>
      </c>
      <c r="AD82" s="163">
        <f ca="1"/>
        <v>4.3955983884221395E-2</v>
      </c>
      <c r="AE82" s="139">
        <f ca="1"/>
        <v>7.6609609356282804E-2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1.3640803850882843E-2</v>
      </c>
      <c r="AB83" s="163">
        <f ca="1"/>
        <v>0</v>
      </c>
      <c r="AC83" s="163">
        <f ca="1"/>
        <v>3.5732359785558776E-2</v>
      </c>
      <c r="AD83" s="163">
        <f ca="1"/>
        <v>6.3196567874292398E-2</v>
      </c>
      <c r="AE83" s="139">
        <f ca="1"/>
        <v>0.10836095240053045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1.212475244515987E-2</v>
      </c>
      <c r="AB84" s="163">
        <f ca="1"/>
        <v>0</v>
      </c>
      <c r="AC84" s="163">
        <f ca="1"/>
        <v>2.7861722179564508E-2</v>
      </c>
      <c r="AD84" s="163">
        <f ca="1"/>
        <v>5.0005380138988587E-2</v>
      </c>
      <c r="AE84" s="139">
        <f ca="1"/>
        <v>9.0578908538960445E-2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1.3643378003846185E-2</v>
      </c>
      <c r="AB85" s="163">
        <f ca="1"/>
        <v>0</v>
      </c>
      <c r="AC85" s="163">
        <f ca="1"/>
        <v>3.5735061646205102E-2</v>
      </c>
      <c r="AD85" s="163">
        <f ca="1"/>
        <v>6.1903472408999294E-2</v>
      </c>
      <c r="AE85" s="139">
        <f ca="1"/>
        <v>9.7156817459760458E-2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4.0009474652695776E-3</v>
      </c>
      <c r="Z86" s="163">
        <f ca="1"/>
        <v>9.9610526033078184E-3</v>
      </c>
      <c r="AA86" s="163">
        <f ca="1"/>
        <v>1.664436612581266E-2</v>
      </c>
      <c r="AB86" s="163">
        <f ca="1"/>
        <v>0</v>
      </c>
      <c r="AC86" s="163">
        <f ca="1"/>
        <v>3.2557960548884379E-2</v>
      </c>
      <c r="AD86" s="163">
        <f ca="1"/>
        <v>4.9375814683822572E-2</v>
      </c>
      <c r="AE86" s="139">
        <f ca="1"/>
        <v>7.5784605354155654E-2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7.5115669791229189E-3</v>
      </c>
      <c r="AA87" s="163">
        <f ca="1"/>
        <v>1.2941960482985237E-2</v>
      </c>
      <c r="AB87" s="163">
        <f ca="1"/>
        <v>0</v>
      </c>
      <c r="AC87" s="163">
        <f ca="1"/>
        <v>2.582975641446883E-2</v>
      </c>
      <c r="AD87" s="163">
        <f ca="1"/>
        <v>4.0694501328985111E-2</v>
      </c>
      <c r="AE87" s="139">
        <f ca="1"/>
        <v>6.4888983843611525E-2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1.155028171453476E-2</v>
      </c>
      <c r="AB88" s="163">
        <f ca="1"/>
        <v>0</v>
      </c>
      <c r="AC88" s="163">
        <f ca="1"/>
        <v>2.9669321929155834E-2</v>
      </c>
      <c r="AD88" s="163">
        <f ca="1"/>
        <v>4.981923227620888E-2</v>
      </c>
      <c r="AE88" s="139">
        <f ca="1"/>
        <v>8.4640969606676442E-2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9.8750436992842694E-3</v>
      </c>
      <c r="AA89" s="163">
        <f ca="1"/>
        <v>2.0974132898267439E-2</v>
      </c>
      <c r="AB89" s="163">
        <f ca="1"/>
        <v>0</v>
      </c>
      <c r="AC89" s="163">
        <f ca="1"/>
        <v>5.278202029609036E-2</v>
      </c>
      <c r="AD89" s="163">
        <f ca="1"/>
        <v>8.7378666140882855E-2</v>
      </c>
      <c r="AE89" s="139">
        <f ca="1"/>
        <v>0.14827941921507659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1.2135348938622892E-2</v>
      </c>
      <c r="AB90" s="163">
        <f ca="1"/>
        <v>0</v>
      </c>
      <c r="AC90" s="163">
        <f ca="1"/>
        <v>3.057628001021484E-2</v>
      </c>
      <c r="AD90" s="163">
        <f ca="1"/>
        <v>5.2335069123714772E-2</v>
      </c>
      <c r="AE90" s="139">
        <f ca="1"/>
        <v>9.7575946682394665E-2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1.2612851444421591E-2</v>
      </c>
      <c r="AB91" s="163">
        <f ca="1"/>
        <v>0</v>
      </c>
      <c r="AC91" s="163">
        <f ca="1"/>
        <v>3.3171346677535074E-2</v>
      </c>
      <c r="AD91" s="163">
        <f ca="1"/>
        <v>5.3241357727593419E-2</v>
      </c>
      <c r="AE91" s="139">
        <f ca="1"/>
        <v>9.5079259493254464E-2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2.4507520041183506E-2</v>
      </c>
      <c r="AD92" s="163">
        <f ca="1"/>
        <v>4.411626043707384E-2</v>
      </c>
      <c r="AE92" s="139">
        <f ca="1"/>
        <v>8.2550455228127428E-2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4.5988277403967714E-3</v>
      </c>
      <c r="Z93" s="163">
        <f ca="1"/>
        <v>1.271440848215466E-2</v>
      </c>
      <c r="AA93" s="163">
        <f ca="1"/>
        <v>2.403088985693913E-2</v>
      </c>
      <c r="AB93" s="163">
        <f ca="1"/>
        <v>0</v>
      </c>
      <c r="AC93" s="163">
        <f ca="1"/>
        <v>5.944771900661816E-2</v>
      </c>
      <c r="AD93" s="163">
        <f ca="1"/>
        <v>9.8835946194081425E-2</v>
      </c>
      <c r="AE93" s="139">
        <f ca="1"/>
        <v>0.16709510812794981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1.6876219698448547E-2</v>
      </c>
      <c r="AB94" s="163">
        <f ca="1"/>
        <v>0</v>
      </c>
      <c r="AC94" s="163">
        <f ca="1"/>
        <v>4.2654899842685001E-2</v>
      </c>
      <c r="AD94" s="163">
        <f ca="1"/>
        <v>7.248477843808776E-2</v>
      </c>
      <c r="AE94" s="139">
        <f ca="1"/>
        <v>0.12652297239741761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2.7112036924124894E-2</v>
      </c>
      <c r="AD95" s="163">
        <f ca="1"/>
        <v>4.7646271940779195E-2</v>
      </c>
      <c r="AE95" s="139">
        <f ca="1"/>
        <v>8.9286735673365536E-2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1.2597318026792537E-2</v>
      </c>
      <c r="AB96" s="163">
        <f ca="1"/>
        <v>0</v>
      </c>
      <c r="AC96" s="163">
        <f ca="1"/>
        <v>3.3155173895557888E-2</v>
      </c>
      <c r="AD96" s="163">
        <f ca="1"/>
        <v>5.3225062055603845E-2</v>
      </c>
      <c r="AE96" s="139">
        <f ca="1"/>
        <v>9.3153292408339361E-2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9.9091084459467238E-3</v>
      </c>
      <c r="AA97" s="163">
        <f ca="1"/>
        <v>1.8858138180175676E-2</v>
      </c>
      <c r="AB97" s="163">
        <f ca="1"/>
        <v>0</v>
      </c>
      <c r="AC97" s="163">
        <f ca="1"/>
        <v>4.2308050923934415E-2</v>
      </c>
      <c r="AD97" s="163">
        <f ca="1"/>
        <v>6.9554970129763971E-2</v>
      </c>
      <c r="AE97" s="139">
        <f ca="1"/>
        <v>0.11715165363777846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1.930687256364072E-2</v>
      </c>
      <c r="AD98" s="163">
        <f ca="1"/>
        <v>3.4419059868956881E-2</v>
      </c>
      <c r="AE98" s="139">
        <f ca="1"/>
        <v>6.1588505624515122E-2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4.8194974659373502E-3</v>
      </c>
      <c r="Z99" s="163">
        <f ca="1"/>
        <v>1.172048119350777E-2</v>
      </c>
      <c r="AA99" s="163">
        <f ca="1"/>
        <v>1.8895037907204815E-2</v>
      </c>
      <c r="AB99" s="163">
        <f ca="1"/>
        <v>0</v>
      </c>
      <c r="AC99" s="163">
        <f ca="1"/>
        <v>3.6742702870547039E-2</v>
      </c>
      <c r="AD99" s="163">
        <f ca="1"/>
        <v>5.5734304493471165E-2</v>
      </c>
      <c r="AE99" s="139">
        <f ca="1"/>
        <v>8.5489821613291772E-2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1.9201359890192338E-2</v>
      </c>
      <c r="AD100" s="163">
        <f ca="1"/>
        <v>3.1683291581673823E-2</v>
      </c>
      <c r="AE100" s="139">
        <f ca="1"/>
        <v>5.4051494189295668E-2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8.4939476270234904E-3</v>
      </c>
      <c r="AA101" s="163">
        <f ca="1"/>
        <v>1.8407627331521237E-2</v>
      </c>
      <c r="AB101" s="163">
        <f ca="1"/>
        <v>0</v>
      </c>
      <c r="AC101" s="163">
        <f ca="1"/>
        <v>4.6908167725039474E-2</v>
      </c>
      <c r="AD101" s="163">
        <f ca="1"/>
        <v>8.0762698896566176E-2</v>
      </c>
      <c r="AE101" s="139">
        <f ca="1"/>
        <v>0.14125547794938198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3.1917610258787144E-2</v>
      </c>
      <c r="AE102" s="139">
        <f ca="1"/>
        <v>6.0129594628681615E-2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3.1875779138499927E-2</v>
      </c>
      <c r="AE103" s="139">
        <f ca="1"/>
        <v>5.0344398760096443E-2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2.6123919462055167E-2</v>
      </c>
      <c r="AD104" s="163">
        <f ca="1"/>
        <v>4.5042026230909471E-2</v>
      </c>
      <c r="AE104" s="139">
        <f ca="1"/>
        <v>8.005618615406962E-2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1.930687256364072E-2</v>
      </c>
      <c r="AD105" s="163">
        <f ca="1"/>
        <v>3.4419059868956881E-2</v>
      </c>
      <c r="AE105" s="139">
        <f ca="1"/>
        <v>6.1588505624515122E-2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1.4216276671096484E-2</v>
      </c>
      <c r="AB106" s="163">
        <f ca="1"/>
        <v>0</v>
      </c>
      <c r="AC106" s="163">
        <f ca="1"/>
        <v>3.8421643977257003E-2</v>
      </c>
      <c r="AD106" s="163">
        <f ca="1"/>
        <v>6.6779769087463969E-2</v>
      </c>
      <c r="AE106" s="139">
        <f ca="1"/>
        <v>0.11127656130433838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2.3664607972273988E-2</v>
      </c>
      <c r="AD107" s="163">
        <f ca="1"/>
        <v>4.2963952749846657E-2</v>
      </c>
      <c r="AE107" s="139">
        <f ca="1"/>
        <v>7.9039292000376293E-2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1.5791381217983957E-2</v>
      </c>
      <c r="AB108" s="163">
        <f ca="1"/>
        <v>0</v>
      </c>
      <c r="AC108" s="163">
        <f ca="1"/>
        <v>4.3627027837984222E-2</v>
      </c>
      <c r="AD108" s="163">
        <f ca="1"/>
        <v>7.3751511220839783E-2</v>
      </c>
      <c r="AE108" s="139">
        <f ca="1"/>
        <v>0.12442879407621332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2.2657191418825273E-2</v>
      </c>
      <c r="AD109" s="163">
        <f ca="1"/>
        <v>3.6401758521324989E-2</v>
      </c>
      <c r="AE109" s="139">
        <f ca="1"/>
        <v>6.0586083047821648E-2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1.262378218128013E-2</v>
      </c>
      <c r="AB110" s="163">
        <f ca="1"/>
        <v>0</v>
      </c>
      <c r="AC110" s="163">
        <f ca="1"/>
        <v>3.7676466638174588E-2</v>
      </c>
      <c r="AD110" s="163">
        <f ca="1"/>
        <v>6.5740395562753129E-2</v>
      </c>
      <c r="AE110" s="139">
        <f ca="1"/>
        <v>0.11361497862575198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8.7980786629345831E-3</v>
      </c>
      <c r="AA111" s="163">
        <f ca="1"/>
        <v>1.4565268486078642E-2</v>
      </c>
      <c r="AB111" s="163">
        <f ca="1"/>
        <v>0</v>
      </c>
      <c r="AC111" s="163">
        <f ca="1"/>
        <v>2.9201116600020782E-2</v>
      </c>
      <c r="AD111" s="163">
        <f ca="1"/>
        <v>4.478625190235519E-2</v>
      </c>
      <c r="AE111" s="139">
        <f ca="1"/>
        <v>7.1354901184893627E-2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9.2137832408625275E-3</v>
      </c>
      <c r="AA112" s="163">
        <f ca="1"/>
        <v>1.9452618944688416E-2</v>
      </c>
      <c r="AB112" s="163">
        <f ca="1"/>
        <v>0</v>
      </c>
      <c r="AC112" s="163">
        <f ca="1"/>
        <v>4.9465566556484375E-2</v>
      </c>
      <c r="AD112" s="163">
        <f ca="1"/>
        <v>8.5462143255212841E-2</v>
      </c>
      <c r="AE112" s="139">
        <f ca="1"/>
        <v>0.14746919295187044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1.1325507595835616E-2</v>
      </c>
      <c r="AA113" s="163">
        <f ca="1"/>
        <v>2.1997692566229299E-2</v>
      </c>
      <c r="AB113" s="163">
        <f ca="1"/>
        <v>0</v>
      </c>
      <c r="AC113" s="163">
        <f ca="1"/>
        <v>4.4645259469755283E-2</v>
      </c>
      <c r="AD113" s="163">
        <f ca="1"/>
        <v>7.4056618803192698E-2</v>
      </c>
      <c r="AE113" s="139">
        <f ca="1"/>
        <v>0.13261515638527666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4.0184164452926607E-3</v>
      </c>
      <c r="Z114" s="163">
        <f ca="1"/>
        <v>8.4215895309914801E-3</v>
      </c>
      <c r="AA114" s="163">
        <f ca="1"/>
        <v>1.4563687643507794E-2</v>
      </c>
      <c r="AB114" s="163">
        <f ca="1"/>
        <v>0</v>
      </c>
      <c r="AC114" s="163">
        <f ca="1"/>
        <v>3.3693504596691404E-2</v>
      </c>
      <c r="AD114" s="163">
        <f ca="1"/>
        <v>5.6661850558856641E-2</v>
      </c>
      <c r="AE114" s="139">
        <f ca="1"/>
        <v>9.9754645084270344E-2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2.7095751052570227E-2</v>
      </c>
      <c r="AD115" s="163">
        <f ca="1"/>
        <v>4.6323949055236735E-2</v>
      </c>
      <c r="AE115" s="139">
        <f ca="1"/>
        <v>8.7535778088934091E-2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1.1510940805851577E-2</v>
      </c>
      <c r="AB116" s="163">
        <f ca="1"/>
        <v>0</v>
      </c>
      <c r="AC116" s="163">
        <f ca="1"/>
        <v>2.9628659594064244E-2</v>
      </c>
      <c r="AD116" s="163">
        <f ca="1"/>
        <v>5.1081102183393678E-2</v>
      </c>
      <c r="AE116" s="139">
        <f ca="1"/>
        <v>9.2077268668991241E-2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2.6277242684172752E-2</v>
      </c>
      <c r="AD117" s="163">
        <f ca="1"/>
        <v>4.3890153433121748E-2</v>
      </c>
      <c r="AE117" s="139">
        <f ca="1"/>
        <v>8.4244307173243049E-2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2.1026349265264144E-2</v>
      </c>
      <c r="AD118" s="163">
        <f ca="1"/>
        <v>3.545472138598782E-2</v>
      </c>
      <c r="AE118" s="139">
        <f ca="1"/>
        <v>6.3072210168319875E-2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1.3162336378691464E-2</v>
      </c>
      <c r="AB119" s="163">
        <f ca="1"/>
        <v>0</v>
      </c>
      <c r="AC119" s="163">
        <f ca="1"/>
        <v>3.4039785271223977E-2</v>
      </c>
      <c r="AD119" s="163">
        <f ca="1"/>
        <v>6.0906867069560944E-2</v>
      </c>
      <c r="AE119" s="139">
        <f ca="1"/>
        <v>0.1128400097830794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8.6847753821581719E-3</v>
      </c>
      <c r="AA120" s="163">
        <f ca="1"/>
        <v>1.5787586137353982E-2</v>
      </c>
      <c r="AB120" s="163">
        <f ca="1"/>
        <v>0</v>
      </c>
      <c r="AC120" s="163">
        <f ca="1"/>
        <v>3.543822682888953E-2</v>
      </c>
      <c r="AD120" s="163">
        <f ca="1"/>
        <v>5.3821946925467379E-2</v>
      </c>
      <c r="AE120" s="139">
        <f ca="1"/>
        <v>8.0796889941006422E-2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1.0246965467613167E-2</v>
      </c>
      <c r="AA121" s="163">
        <f ca="1"/>
        <v>1.882018939552732E-2</v>
      </c>
      <c r="AB121" s="163">
        <f ca="1"/>
        <v>0</v>
      </c>
      <c r="AC121" s="163">
        <f ca="1"/>
        <v>4.0480843151931123E-2</v>
      </c>
      <c r="AD121" s="163">
        <f ca="1"/>
        <v>6.3262816360325713E-2</v>
      </c>
      <c r="AE121" s="139">
        <f ca="1"/>
        <v>9.7441855442318981E-2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2.8368355949676904E-2</v>
      </c>
      <c r="AE122" s="139">
        <f ca="1"/>
        <v>5.1315729532850907E-2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1.418424931014528E-2</v>
      </c>
      <c r="AB123" s="163">
        <f ca="1"/>
        <v>0</v>
      </c>
      <c r="AC123" s="163">
        <f ca="1"/>
        <v>3.3898660911353851E-2</v>
      </c>
      <c r="AD123" s="163">
        <f ca="1"/>
        <v>5.6869583803202839E-2</v>
      </c>
      <c r="AE123" s="139">
        <f ca="1"/>
        <v>9.6154903789345991E-2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2.7957919866556047E-2</v>
      </c>
      <c r="AD124" s="163">
        <f ca="1"/>
        <v>4.8798979100195816E-2</v>
      </c>
      <c r="AE124" s="139">
        <f ca="1"/>
        <v>8.3190537230178996E-2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2.1925324814300318E-3</v>
      </c>
      <c r="Y125" s="163">
        <f ca="1"/>
        <v>4.010393289848091E-3</v>
      </c>
      <c r="Z125" s="163">
        <f ca="1"/>
        <v>1.3772298107779579E-2</v>
      </c>
      <c r="AA125" s="163">
        <f ca="1"/>
        <v>3.787353762815493E-2</v>
      </c>
      <c r="AB125" s="163">
        <f ca="1"/>
        <v>0</v>
      </c>
      <c r="AC125" s="163">
        <f ca="1"/>
        <v>8.2828479657775955E-2</v>
      </c>
      <c r="AD125" s="163">
        <f ca="1"/>
        <v>0.13595143534377874</v>
      </c>
      <c r="AE125" s="139">
        <f ca="1"/>
        <v>0.21539866172637523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1.1677319125500185E-2</v>
      </c>
      <c r="AA126" s="163">
        <f ca="1"/>
        <v>2.3584738927073579E-2</v>
      </c>
      <c r="AB126" s="163">
        <f ca="1"/>
        <v>0</v>
      </c>
      <c r="AC126" s="163">
        <f ca="1"/>
        <v>5.603885178129997E-2</v>
      </c>
      <c r="AD126" s="163">
        <f ca="1"/>
        <v>9.6859145317988782E-2</v>
      </c>
      <c r="AE126" s="139">
        <f ca="1"/>
        <v>0.15703960684523799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2.0133477905737274E-2</v>
      </c>
      <c r="AD127" s="163">
        <f ca="1"/>
        <v>3.2932502559526733E-2</v>
      </c>
      <c r="AE127" s="139">
        <f ca="1"/>
        <v>5.5757043832137421E-2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1.3656913355759803E-2</v>
      </c>
      <c r="AB128" s="163">
        <f ca="1"/>
        <v>0</v>
      </c>
      <c r="AC128" s="163">
        <f ca="1"/>
        <v>3.395210182191144E-2</v>
      </c>
      <c r="AD128" s="163">
        <f ca="1"/>
        <v>5.6923698767908038E-2</v>
      </c>
      <c r="AE128" s="139">
        <f ca="1"/>
        <v>9.8114685044856653E-2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8.8343781721317294E-3</v>
      </c>
      <c r="AA129" s="163">
        <f ca="1"/>
        <v>1.6756665058535791E-2</v>
      </c>
      <c r="AB129" s="163">
        <f ca="1"/>
        <v>0</v>
      </c>
      <c r="AC129" s="163">
        <f ca="1"/>
        <v>4.610564996943034E-2</v>
      </c>
      <c r="AD129" s="163">
        <f ca="1"/>
        <v>7.7102497979609219E-2</v>
      </c>
      <c r="AE129" s="139">
        <f ca="1"/>
        <v>0.12333855215619671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1.3152955109980269E-2</v>
      </c>
      <c r="AB130" s="163">
        <f ca="1"/>
        <v>0</v>
      </c>
      <c r="AC130" s="163">
        <f ca="1"/>
        <v>3.4030048715216199E-2</v>
      </c>
      <c r="AD130" s="163">
        <f ca="1"/>
        <v>5.9599292849552676E-2</v>
      </c>
      <c r="AE130" s="139">
        <f ca="1"/>
        <v>0.10542860585723701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1.4153222754163863E-2</v>
      </c>
      <c r="AB131" s="163">
        <f ca="1"/>
        <v>0</v>
      </c>
      <c r="AC131" s="163">
        <f ca="1"/>
        <v>3.3866695873372432E-2</v>
      </c>
      <c r="AD131" s="163">
        <f ca="1"/>
        <v>5.8135264191929714E-2</v>
      </c>
      <c r="AE131" s="139">
        <f ca="1"/>
        <v>9.9744235113975899E-2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1.3115911432529104E-2</v>
      </c>
      <c r="AB132" s="163">
        <f ca="1"/>
        <v>0</v>
      </c>
      <c r="AC132" s="163">
        <f ca="1"/>
        <v>3.3991562851130475E-2</v>
      </c>
      <c r="AD132" s="163">
        <f ca="1"/>
        <v>5.5664784912033638E-2</v>
      </c>
      <c r="AE132" s="139">
        <f ca="1"/>
        <v>9.4529034564037939E-2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2.4480836323006239E-2</v>
      </c>
      <c r="AD133" s="163">
        <f ca="1"/>
        <v>3.885309605326881E-2</v>
      </c>
      <c r="AE133" s="139">
        <f ca="1"/>
        <v>6.9743984138375681E-2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2.6272086353460677E-2</v>
      </c>
      <c r="AD134" s="163">
        <f ca="1"/>
        <v>4.3884935759974208E-2</v>
      </c>
      <c r="AE134" s="139">
        <f ca="1"/>
        <v>8.0390634916203796E-2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1.3684841058316577E-2</v>
      </c>
      <c r="AB135" s="163">
        <f ca="1"/>
        <v>0</v>
      </c>
      <c r="AC135" s="163">
        <f ca="1"/>
        <v>3.4879773680039472E-2</v>
      </c>
      <c r="AD135" s="163">
        <f ca="1"/>
        <v>5.9451658682848851E-2</v>
      </c>
      <c r="AE135" s="139">
        <f ca="1"/>
        <v>0.11097355044380119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7.6529382748756758E-3</v>
      </c>
      <c r="AA136" s="163">
        <f ca="1"/>
        <v>1.3526502616052039E-2</v>
      </c>
      <c r="AB136" s="163">
        <f ca="1"/>
        <v>0</v>
      </c>
      <c r="AC136" s="163">
        <f ca="1"/>
        <v>2.8479949995780185E-2</v>
      </c>
      <c r="AD136" s="163">
        <f ca="1"/>
        <v>4.4668588148517374E-2</v>
      </c>
      <c r="AE136" s="139">
        <f ca="1"/>
        <v>6.9754549605058891E-2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2.4891482326676928E-2</v>
      </c>
      <c r="AD137" s="163">
        <f ca="1"/>
        <v>3.8555620693550785E-2</v>
      </c>
      <c r="AE137" s="139">
        <f ca="1"/>
        <v>6.4761008750436666E-2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1.4297769345603228E-2</v>
      </c>
      <c r="AB138" s="163">
        <f ca="1"/>
        <v>0</v>
      </c>
      <c r="AC138" s="163">
        <f ca="1"/>
        <v>3.43585572919618E-2</v>
      </c>
      <c r="AD138" s="163">
        <f ca="1"/>
        <v>5.9143134303328959E-2</v>
      </c>
      <c r="AE138" s="139">
        <f ca="1"/>
        <v>9.9821544953937247E-2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3.9936415851451468E-3</v>
      </c>
      <c r="Z139" s="163">
        <f ca="1"/>
        <v>1.1116577744650802E-2</v>
      </c>
      <c r="AA139" s="163">
        <f ca="1"/>
        <v>1.8966507480070782E-2</v>
      </c>
      <c r="AB139" s="163">
        <f ca="1"/>
        <v>0</v>
      </c>
      <c r="AC139" s="163">
        <f ca="1"/>
        <v>3.7465100665089901E-2</v>
      </c>
      <c r="AD139" s="163">
        <f ca="1"/>
        <v>5.6335480033279484E-2</v>
      </c>
      <c r="AE139" s="139">
        <f ca="1"/>
        <v>8.5820835666251316E-2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1.9800773947639794E-2</v>
      </c>
      <c r="AD140" s="163">
        <f ca="1"/>
        <v>3.1748123020688412E-2</v>
      </c>
      <c r="AE140" s="139">
        <f ca="1"/>
        <v>6.3639891018810957E-2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1.4686505007753148E-2</v>
      </c>
      <c r="AB141" s="163">
        <f ca="1"/>
        <v>0</v>
      </c>
      <c r="AC141" s="163">
        <f ca="1"/>
        <v>3.4825579021635855E-2</v>
      </c>
      <c r="AD141" s="163">
        <f ca="1"/>
        <v>5.7256112584095131E-2</v>
      </c>
      <c r="AE141" s="139">
        <f ca="1"/>
        <v>0.10022577323271431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2.1702897557883238E-2</v>
      </c>
      <c r="AD142" s="163">
        <f ca="1"/>
        <v>3.3483289497797109E-2</v>
      </c>
      <c r="AE142" s="139">
        <f ca="1"/>
        <v>5.7612968418868094E-2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1.2541419074127425E-2</v>
      </c>
      <c r="AB143" s="163">
        <f ca="1"/>
        <v>0</v>
      </c>
      <c r="AC143" s="163">
        <f ca="1"/>
        <v>3.0236901878025524E-2</v>
      </c>
      <c r="AD143" s="163">
        <f ca="1"/>
        <v>5.4410446607383922E-2</v>
      </c>
      <c r="AE143" s="139">
        <f ca="1"/>
        <v>9.4605891866512803E-2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1.3203620538845162E-2</v>
      </c>
      <c r="AB144" s="163">
        <f ca="1"/>
        <v>0</v>
      </c>
      <c r="AC144" s="163">
        <f ca="1"/>
        <v>3.1464193060403822E-2</v>
      </c>
      <c r="AD144" s="163">
        <f ca="1"/>
        <v>4.5053339877386356E-2</v>
      </c>
      <c r="AE144" s="139">
        <f ca="1"/>
        <v>6.6753872812843729E-2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2.3090089497787014E-2</v>
      </c>
      <c r="AD145" s="163">
        <f ca="1"/>
        <v>4.375704611032627E-2</v>
      </c>
      <c r="AE145" s="139">
        <f ca="1"/>
        <v>7.6629643326463381E-2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1.673683088849387E-2</v>
      </c>
      <c r="AB146" s="163">
        <f ca="1"/>
        <v>0</v>
      </c>
      <c r="AC146" s="163">
        <f ca="1"/>
        <v>3.4558455749266748E-2</v>
      </c>
      <c r="AD146" s="163">
        <f ca="1"/>
        <v>5.9379161592117202E-2</v>
      </c>
      <c r="AE146" s="139">
        <f ca="1"/>
        <v>0.1083896260929047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1.54360891852795E-2</v>
      </c>
      <c r="AB147" s="163">
        <f ca="1"/>
        <v>0</v>
      </c>
      <c r="AC147" s="163">
        <f ca="1"/>
        <v>3.8648360158315853E-2</v>
      </c>
      <c r="AD147" s="163">
        <f ca="1"/>
        <v>6.7434479060067054E-2</v>
      </c>
      <c r="AE147" s="139">
        <f ca="1"/>
        <v>0.12680656535560964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3.1425434050318501E-2</v>
      </c>
      <c r="AD148" s="163">
        <f ca="1"/>
        <v>5.9311547165006751E-2</v>
      </c>
      <c r="AE148" s="139">
        <f ca="1"/>
        <v>0.11437296629646065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3.0999549064383181E-2</v>
      </c>
      <c r="AD149" s="163">
        <f ca="1"/>
        <v>5.4467002891492755E-2</v>
      </c>
      <c r="AE149" s="139">
        <f ca="1"/>
        <v>0.1040305145046676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2.857247107722527E-2</v>
      </c>
      <c r="AE150" s="139">
        <f ca="1"/>
        <v>5.480306267304802E-2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5.6898610753498557E-3</v>
      </c>
      <c r="Z151" s="163">
        <f ca="1"/>
        <v>0</v>
      </c>
      <c r="AA151" s="163">
        <f ca="1"/>
        <v>4.8991347942485386E-2</v>
      </c>
      <c r="AB151" s="163">
        <f ca="1"/>
        <v>0</v>
      </c>
      <c r="AC151" s="163">
        <f ca="1"/>
        <v>0.12842313333734456</v>
      </c>
      <c r="AD151" s="163">
        <f ca="1"/>
        <v>0.19948955121540168</v>
      </c>
      <c r="AE151" s="139">
        <f ca="1"/>
        <v>0.30448042373804451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1.9109011613180238E-2</v>
      </c>
      <c r="AD153" s="163">
        <f ca="1"/>
        <v>3.2992953246461898E-2</v>
      </c>
      <c r="AE153" s="139">
        <f ca="1"/>
        <v>5.6072820459958761E-2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2.2309797090679373E-2</v>
      </c>
      <c r="AD154" s="163">
        <f ca="1"/>
        <v>4.3755725387379041E-2</v>
      </c>
      <c r="AE154" s="139">
        <f ca="1"/>
        <v>8.5007239076859253E-2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3.4712474166064933E-2</v>
      </c>
      <c r="AE155" s="139">
        <f ca="1"/>
        <v>6.0401935062422529E-2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8.4146581944462007E-3</v>
      </c>
      <c r="Z156" s="163">
        <f ca="1"/>
        <v>0</v>
      </c>
      <c r="AA156" s="163">
        <f ca="1"/>
        <v>2.9081608315220775E-2</v>
      </c>
      <c r="AB156" s="163">
        <f ca="1"/>
        <v>0</v>
      </c>
      <c r="AC156" s="163">
        <f ca="1"/>
        <v>5.9718395479682496E-2</v>
      </c>
      <c r="AD156" s="163">
        <f ca="1"/>
        <v>8.1712909610534901E-2</v>
      </c>
      <c r="AE156" s="139">
        <f ca="1"/>
        <v>0.11373847511365476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2.3981788156545947E-2</v>
      </c>
      <c r="AD157" s="163">
        <f ca="1"/>
        <v>4.5493040122939088E-2</v>
      </c>
      <c r="AE157" s="139">
        <f ca="1"/>
        <v>8.2673274320024581E-2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1.1968370691444186E-2</v>
      </c>
      <c r="AB158" s="163">
        <f ca="1"/>
        <v>0</v>
      </c>
      <c r="AC158" s="163">
        <f ca="1"/>
        <v>3.0778513429751797E-2</v>
      </c>
      <c r="AD158" s="163">
        <f ca="1"/>
        <v>5.3978476965577338E-2</v>
      </c>
      <c r="AE158" s="139">
        <f ca="1"/>
        <v>9.1376334482759503E-2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2.3604486985600137E-2</v>
      </c>
      <c r="AD159" s="163">
        <f ca="1"/>
        <v>4.1240271260652106E-2</v>
      </c>
      <c r="AE159" s="139">
        <f ca="1"/>
        <v>6.9594917237116305E-2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2.1738304877117032E-2</v>
      </c>
      <c r="AB160" s="163">
        <f ca="1"/>
        <v>0</v>
      </c>
      <c r="AC160" s="163">
        <f ca="1"/>
        <v>4.9995087525113058E-2</v>
      </c>
      <c r="AD160" s="163">
        <f ca="1"/>
        <v>9.0878885472874704E-2</v>
      </c>
      <c r="AE160" s="139">
        <f ca="1"/>
        <v>0.1614180187900236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6.1357638474459852E-2</v>
      </c>
      <c r="Z161" s="163">
        <f ca="1"/>
        <v>0</v>
      </c>
      <c r="AA161" s="163">
        <f ca="1"/>
        <v>0.16180172822185779</v>
      </c>
      <c r="AB161" s="163">
        <f ca="1"/>
        <v>0</v>
      </c>
      <c r="AC161" s="163">
        <f ca="1"/>
        <v>0.22278673114940162</v>
      </c>
      <c r="AD161" s="163">
        <f ca="1"/>
        <v>0.27647013106967355</v>
      </c>
      <c r="AE161" s="139">
        <f ca="1"/>
        <v>0.35752357945133972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1.6476225215439566E-2</v>
      </c>
      <c r="AB162" s="163">
        <f ca="1"/>
        <v>0</v>
      </c>
      <c r="AC162" s="163">
        <f ca="1"/>
        <v>4.3291801702015631E-2</v>
      </c>
      <c r="AD162" s="163">
        <f ca="1"/>
        <v>8.0370159429357546E-2</v>
      </c>
      <c r="AE162" s="139">
        <f ca="1"/>
        <v>0.1513207870385016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2.1873326498921819E-2</v>
      </c>
      <c r="AD163" s="163">
        <f ca="1"/>
        <v>3.3494093404664138E-2</v>
      </c>
      <c r="AE163" s="139">
        <f ca="1"/>
        <v>5.9161604265737244E-2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1.4117649547769284E-2</v>
      </c>
      <c r="AB164" s="163">
        <f ca="1"/>
        <v>0</v>
      </c>
      <c r="AC164" s="163">
        <f ca="1"/>
        <v>3.3498634583840392E-2</v>
      </c>
      <c r="AD164" s="163">
        <f ca="1"/>
        <v>5.9822500359822728E-2</v>
      </c>
      <c r="AE164" s="139">
        <f ca="1"/>
        <v>0.10243236950479484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1.9424882686212452E-2</v>
      </c>
      <c r="AD165" s="163">
        <f ca="1"/>
        <v>3.5723989573513859E-2</v>
      </c>
      <c r="AE165" s="139">
        <f ca="1"/>
        <v>7.2742761101840525E-2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5.3984508258735575E-2</v>
      </c>
      <c r="Z166" s="163">
        <f ca="1"/>
        <v>0</v>
      </c>
      <c r="AA166" s="163">
        <f ca="1"/>
        <v>0.10618237116951168</v>
      </c>
      <c r="AB166" s="163">
        <f ca="1"/>
        <v>0</v>
      </c>
      <c r="AC166" s="163">
        <f ca="1"/>
        <v>0.14081079528870344</v>
      </c>
      <c r="AD166" s="163">
        <f ca="1"/>
        <v>0.1734368699737403</v>
      </c>
      <c r="AE166" s="139">
        <f ca="1"/>
        <v>0.22447350881971517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1.3797586628266689E-2</v>
      </c>
      <c r="AB167" s="163">
        <f ca="1"/>
        <v>0</v>
      </c>
      <c r="AC167" s="163">
        <f ca="1"/>
        <v>3.1456741252342546E-2</v>
      </c>
      <c r="AD167" s="163">
        <f ca="1"/>
        <v>5.7172543019049615E-2</v>
      </c>
      <c r="AE167" s="139">
        <f ca="1"/>
        <v>0.10557726177200455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1.2431002294970739E-2</v>
      </c>
      <c r="AB168" s="163">
        <f ca="1"/>
        <v>0</v>
      </c>
      <c r="AC168" s="163">
        <f ca="1"/>
        <v>3.0761912325184548E-2</v>
      </c>
      <c r="AD168" s="163">
        <f ca="1"/>
        <v>6.1448310172314891E-2</v>
      </c>
      <c r="AE168" s="139">
        <f ca="1"/>
        <v>0.11420952445308574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2.0694505809140451E-2</v>
      </c>
      <c r="AD169" s="163">
        <f ca="1"/>
        <v>3.7914180671365205E-2</v>
      </c>
      <c r="AE169" s="139">
        <f ca="1"/>
        <v>6.599038355870801E-2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1.1110170393083263E-2</v>
      </c>
      <c r="AB170" s="163">
        <f ca="1"/>
        <v>0</v>
      </c>
      <c r="AC170" s="163">
        <f ca="1"/>
        <v>2.2148087947991946E-2</v>
      </c>
      <c r="AD170" s="163">
        <f ca="1"/>
        <v>3.5090693032638565E-2</v>
      </c>
      <c r="AE170" s="139">
        <f ca="1"/>
        <v>6.478648169775747E-2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1.6733498014835924E-2</v>
      </c>
      <c r="AB171" s="163">
        <f ca="1"/>
        <v>0</v>
      </c>
      <c r="AC171" s="163">
        <f ca="1"/>
        <v>4.3280113374603135E-2</v>
      </c>
      <c r="AD171" s="163">
        <f ca="1"/>
        <v>7.4199385678274776E-2</v>
      </c>
      <c r="AE171" s="139">
        <f ca="1"/>
        <v>0.12257192688032958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0.14496593075348918</v>
      </c>
      <c r="Z172" s="163">
        <f ca="1"/>
        <v>0</v>
      </c>
      <c r="AA172" s="163">
        <f ca="1"/>
        <v>0.22857807782221029</v>
      </c>
      <c r="AB172" s="163">
        <f ca="1"/>
        <v>0</v>
      </c>
      <c r="AC172" s="163">
        <f ca="1"/>
        <v>0.26413026756472069</v>
      </c>
      <c r="AD172" s="163">
        <f ca="1"/>
        <v>0.28954638891619433</v>
      </c>
      <c r="AE172" s="139">
        <f ca="1"/>
        <v>0.34495873101404018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1.7221300518633575E-2</v>
      </c>
      <c r="AB173" s="163">
        <f ca="1"/>
        <v>0</v>
      </c>
      <c r="AC173" s="163">
        <f ca="1"/>
        <v>4.0623879619495429E-2</v>
      </c>
      <c r="AD173" s="163">
        <f ca="1"/>
        <v>7.2655662523480879E-2</v>
      </c>
      <c r="AE173" s="139">
        <f ca="1"/>
        <v>0.12815363475410346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1.5412222898813721E-2</v>
      </c>
      <c r="AB174" s="163">
        <f ca="1"/>
        <v>0</v>
      </c>
      <c r="AC174" s="163">
        <f ca="1"/>
        <v>4.1657834421497952E-2</v>
      </c>
      <c r="AD174" s="163">
        <f ca="1"/>
        <v>7.7958501820174053E-2</v>
      </c>
      <c r="AE174" s="139">
        <f ca="1"/>
        <v>0.13084058134415755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1.1812880869554454E-2</v>
      </c>
      <c r="AB175" s="163">
        <f ca="1"/>
        <v>0</v>
      </c>
      <c r="AC175" s="163">
        <f ca="1"/>
        <v>2.6483172481632344E-2</v>
      </c>
      <c r="AD175" s="163">
        <f ca="1"/>
        <v>4.827379897591666E-2</v>
      </c>
      <c r="AE175" s="139">
        <f ca="1"/>
        <v>8.9600921928675747E-2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1.5960615114387733E-2</v>
      </c>
      <c r="AB176" s="163">
        <f ca="1"/>
        <v>0</v>
      </c>
      <c r="AC176" s="163">
        <f ca="1"/>
        <v>4.0678039960752921E-2</v>
      </c>
      <c r="AD176" s="163">
        <f ca="1"/>
        <v>6.9401737726716983E-2</v>
      </c>
      <c r="AE176" s="139">
        <f ca="1"/>
        <v>0.13006006403425807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2.3617122635927523E-2</v>
      </c>
      <c r="AD177" s="163">
        <f ca="1"/>
        <v>4.1253077310903552E-2</v>
      </c>
      <c r="AE177" s="139">
        <f ca="1"/>
        <v>6.9607772522852551E-2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1.9783675729456718E-2</v>
      </c>
      <c r="AD178" s="163">
        <f ca="1"/>
        <v>3.5979745551545816E-2</v>
      </c>
      <c r="AE178" s="139">
        <f ca="1"/>
        <v>6.6180756940094509E-2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1.2016183838810868E-2</v>
      </c>
      <c r="AB179" s="163">
        <f ca="1"/>
        <v>0</v>
      </c>
      <c r="AC179" s="163">
        <f ca="1"/>
        <v>2.9002408498916998E-2</v>
      </c>
      <c r="AD179" s="163">
        <f ca="1"/>
        <v>5.3475477020267004E-2</v>
      </c>
      <c r="AE179" s="139">
        <f ca="1"/>
        <v>9.1847203186144366E-2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1.3076816532322066E-2</v>
      </c>
      <c r="AB180" s="163">
        <f ca="1"/>
        <v>0</v>
      </c>
      <c r="AC180" s="163">
        <f ca="1"/>
        <v>2.7246040797072268E-2</v>
      </c>
      <c r="AD180" s="163">
        <f ca="1"/>
        <v>4.8843334816846218E-2</v>
      </c>
      <c r="AE180" s="139">
        <f ca="1"/>
        <v>8.7749753661413354E-2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2.9976836749131541E-2</v>
      </c>
      <c r="AD181" s="163">
        <f ca="1"/>
        <v>5.5522368810812628E-2</v>
      </c>
      <c r="AE181" s="139">
        <f ca="1"/>
        <v>9.4354456050871005E-2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1.856305856451701E-2</v>
      </c>
      <c r="AD182" s="163">
        <f ca="1"/>
        <v>3.5186085247067567E-2</v>
      </c>
      <c r="AE182" s="139">
        <f ca="1"/>
        <v>6.6252678456734992E-2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1.3668778617700883E-2</v>
      </c>
      <c r="AB183" s="163">
        <f ca="1"/>
        <v>0</v>
      </c>
      <c r="AC183" s="163">
        <f ca="1"/>
        <v>2.8865703702577239E-2</v>
      </c>
      <c r="AD183" s="163">
        <f ca="1"/>
        <v>5.2900547170179113E-2</v>
      </c>
      <c r="AE183" s="139">
        <f ca="1"/>
        <v>9.1224593076258409E-2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2.3134399120133375E-2</v>
      </c>
      <c r="AB184" s="163">
        <f ca="1"/>
        <v>0</v>
      </c>
      <c r="AC184" s="163">
        <f ca="1"/>
        <v>6.4804645847897913E-2</v>
      </c>
      <c r="AD184" s="163">
        <f ca="1"/>
        <v>0.11654253867845843</v>
      </c>
      <c r="AE184" s="139">
        <f ca="1"/>
        <v>0.21814500966723493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2.163587793598476E-2</v>
      </c>
      <c r="AD185" s="163">
        <f ca="1"/>
        <v>3.3440419250982845E-2</v>
      </c>
      <c r="AE185" s="139">
        <f ca="1"/>
        <v>5.5120389365540867E-2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6.6341776497349514E-3</v>
      </c>
      <c r="Z186" s="163">
        <f ca="1"/>
        <v>0</v>
      </c>
      <c r="AA186" s="163">
        <f ca="1"/>
        <v>3.3716325225467081E-2</v>
      </c>
      <c r="AB186" s="163">
        <f ca="1"/>
        <v>0</v>
      </c>
      <c r="AC186" s="163">
        <f ca="1"/>
        <v>9.162329899443078E-2</v>
      </c>
      <c r="AD186" s="163">
        <f ca="1"/>
        <v>0.14522219640199052</v>
      </c>
      <c r="AE186" s="139">
        <f ca="1"/>
        <v>0.23463532907436491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2.3456536671127903E-2</v>
      </c>
      <c r="AD187" s="163">
        <f ca="1"/>
        <v>3.4436402525491627E-2</v>
      </c>
      <c r="AE187" s="139">
        <f ca="1"/>
        <v>5.6395191795920119E-2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1.6395562448158985E-2</v>
      </c>
      <c r="AB188" s="163">
        <f ca="1"/>
        <v>0</v>
      </c>
      <c r="AC188" s="163">
        <f ca="1"/>
        <v>4.2849109504540461E-2</v>
      </c>
      <c r="AD188" s="163">
        <f ca="1"/>
        <v>7.156338153409969E-2</v>
      </c>
      <c r="AE188" s="139">
        <f ca="1"/>
        <v>0.11809255007092301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5.0129801543200569E-3</v>
      </c>
      <c r="Z189" s="163">
        <f ca="1"/>
        <v>0</v>
      </c>
      <c r="AA189" s="163">
        <f ca="1"/>
        <v>2.5714201525192548E-2</v>
      </c>
      <c r="AB189" s="163">
        <f ca="1"/>
        <v>0</v>
      </c>
      <c r="AC189" s="163">
        <f ca="1"/>
        <v>6.3462435769516379E-2</v>
      </c>
      <c r="AD189" s="163">
        <f ca="1"/>
        <v>0.10096428625719001</v>
      </c>
      <c r="AE189" s="139">
        <f ca="1"/>
        <v>0.15920370423260655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2.3458394858656528E-2</v>
      </c>
      <c r="AB190" s="163">
        <f ca="1"/>
        <v>0</v>
      </c>
      <c r="AC190" s="163">
        <f ca="1"/>
        <v>5.965330088937093E-2</v>
      </c>
      <c r="AD190" s="163">
        <f ca="1"/>
        <v>9.8653001072775304E-2</v>
      </c>
      <c r="AE190" s="139">
        <f ca="1"/>
        <v>0.1690822273998478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1.4328503372099122E-2</v>
      </c>
      <c r="AB191" s="163">
        <f ca="1"/>
        <v>0</v>
      </c>
      <c r="AC191" s="163">
        <f ca="1"/>
        <v>2.9081227202395143E-2</v>
      </c>
      <c r="AD191" s="163">
        <f ca="1"/>
        <v>4.0667811900610085E-2</v>
      </c>
      <c r="AE191" s="139">
        <f ca="1"/>
        <v>5.9974276550001648E-2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2.4870888874896524E-2</v>
      </c>
      <c r="AD192" s="163">
        <f ca="1"/>
        <v>4.4770557870539629E-2</v>
      </c>
      <c r="AE192" s="139">
        <f ca="1"/>
        <v>8.2924354048939275E-2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1.9049466063048581E-2</v>
      </c>
      <c r="AD193" s="163">
        <f ca="1"/>
        <v>3.7116222322416847E-2</v>
      </c>
      <c r="AE193" s="139">
        <f ca="1"/>
        <v>7.2657891163940835E-2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1.9003408692888746E-2</v>
      </c>
      <c r="AD194" s="163">
        <f ca="1"/>
        <v>3.5351405334219099E-2</v>
      </c>
      <c r="AE194" s="139">
        <f ca="1"/>
        <v>6.4939153677430972E-2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2.6172167033330918E-2</v>
      </c>
      <c r="AD195" s="163">
        <f ca="1"/>
        <v>3.9400348316325107E-2</v>
      </c>
      <c r="AE195" s="139">
        <f ca="1"/>
        <v>6.7578155526781147E-2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1.8922955279791376E-2</v>
      </c>
      <c r="AD196" s="163">
        <f ca="1"/>
        <v>3.5056683752313744E-2</v>
      </c>
      <c r="AE196" s="139">
        <f ca="1"/>
        <v>6.419427788535359E-2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4.1986594330496452E-3</v>
      </c>
      <c r="Z197" s="163">
        <f ca="1"/>
        <v>0</v>
      </c>
      <c r="AA197" s="163">
        <f ca="1"/>
        <v>2.0402271038666431E-2</v>
      </c>
      <c r="AB197" s="163">
        <f ca="1"/>
        <v>0</v>
      </c>
      <c r="AC197" s="163">
        <f ca="1"/>
        <v>4.6113680963023596E-2</v>
      </c>
      <c r="AD197" s="163">
        <f ca="1"/>
        <v>7.3719347808435365E-2</v>
      </c>
      <c r="AE197" s="139">
        <f ca="1"/>
        <v>0.12419746846158219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1.9376568006848283E-2</v>
      </c>
      <c r="AD198" s="163">
        <f ca="1"/>
        <v>3.5674997879455606E-2</v>
      </c>
      <c r="AE198" s="139">
        <f ca="1"/>
        <v>6.69387743199652E-2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3.2943298576894042E-2</v>
      </c>
      <c r="AE199" s="139">
        <f ca="1"/>
        <v>6.0113761791093734E-2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2.2362956258816569E-2</v>
      </c>
      <c r="AD200" s="163">
        <f ca="1"/>
        <v>3.8457567032973317E-2</v>
      </c>
      <c r="AE200" s="139">
        <f ca="1"/>
        <v>6.7785342728959974E-2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5.0221055709870344E-3</v>
      </c>
      <c r="Z201" s="163">
        <f ca="1"/>
        <v>0</v>
      </c>
      <c r="AA201" s="163">
        <f ca="1"/>
        <v>3.6253275314029776E-2</v>
      </c>
      <c r="AB201" s="163">
        <f ca="1"/>
        <v>0</v>
      </c>
      <c r="AC201" s="163">
        <f ca="1"/>
        <v>9.1455713170480402E-2</v>
      </c>
      <c r="AD201" s="163">
        <f ca="1"/>
        <v>0.14428852834003936</v>
      </c>
      <c r="AE201" s="139">
        <f ca="1"/>
        <v>0.24596395497543644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1.6862455408628629E-2</v>
      </c>
      <c r="AB202" s="163">
        <f ca="1"/>
        <v>0</v>
      </c>
      <c r="AC202" s="163">
        <f ca="1"/>
        <v>3.6200339577745599E-2</v>
      </c>
      <c r="AD202" s="163">
        <f ca="1"/>
        <v>5.4768285520616744E-2</v>
      </c>
      <c r="AE202" s="139">
        <f ca="1"/>
        <v>8.2048960055306597E-2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3.4353829915637291E-2</v>
      </c>
      <c r="AD203" s="163">
        <f ca="1"/>
        <v>6.6077057196164635E-2</v>
      </c>
      <c r="AE203" s="139">
        <f ca="1"/>
        <v>0.11481448424921759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8.3380984289483817E-2</v>
      </c>
      <c r="Z204" s="163">
        <f ca="1"/>
        <v>0</v>
      </c>
      <c r="AA204" s="163">
        <f ca="1"/>
        <v>0.18947634233311139</v>
      </c>
      <c r="AB204" s="163">
        <f ca="1"/>
        <v>0</v>
      </c>
      <c r="AC204" s="163">
        <f ca="1"/>
        <v>0.24535726011642578</v>
      </c>
      <c r="AD204" s="163">
        <f ca="1"/>
        <v>0.29295351886562226</v>
      </c>
      <c r="AE204" s="139">
        <f ca="1"/>
        <v>0.34639820661366616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5.3213733052001055E-3</v>
      </c>
      <c r="Z205" s="163">
        <f ca="1"/>
        <v>0</v>
      </c>
      <c r="AA205" s="163">
        <f ca="1"/>
        <v>2.8473111369778925E-2</v>
      </c>
      <c r="AB205" s="163">
        <f ca="1"/>
        <v>0</v>
      </c>
      <c r="AC205" s="163">
        <f ca="1"/>
        <v>7.6942259402957291E-2</v>
      </c>
      <c r="AD205" s="163">
        <f ca="1"/>
        <v>0.12627263840650726</v>
      </c>
      <c r="AE205" s="139">
        <f ca="1"/>
        <v>0.2132844786666942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1.2314099534780576E-2</v>
      </c>
      <c r="Z206" s="163">
        <f ca="1"/>
        <v>0</v>
      </c>
      <c r="AA206" s="163">
        <f ca="1"/>
        <v>6.1751630073626829E-2</v>
      </c>
      <c r="AB206" s="163">
        <f ca="1"/>
        <v>0</v>
      </c>
      <c r="AC206" s="163">
        <f ca="1"/>
        <v>0.14743128803444971</v>
      </c>
      <c r="AD206" s="163">
        <f ca="1"/>
        <v>0.22198775785082225</v>
      </c>
      <c r="AE206" s="139">
        <f ca="1"/>
        <v>0.33894921982641713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2.3134814427562267E-2</v>
      </c>
      <c r="AD207" s="163">
        <f ca="1"/>
        <v>4.3351766825136528E-2</v>
      </c>
      <c r="AE207" s="139">
        <f ca="1"/>
        <v>7.9293797382433917E-2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2.695998613999917E-2</v>
      </c>
      <c r="AD208" s="163">
        <f ca="1"/>
        <v>4.9814288099388815E-2</v>
      </c>
      <c r="AE208" s="139">
        <f ca="1"/>
        <v>9.156513533911026E-2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6.9533784260709108E-2</v>
      </c>
      <c r="Z209" s="163">
        <f ca="1"/>
        <v>0</v>
      </c>
      <c r="AA209" s="163">
        <f ca="1"/>
        <v>0.18528073318829286</v>
      </c>
      <c r="AB209" s="163">
        <f ca="1"/>
        <v>0</v>
      </c>
      <c r="AC209" s="163">
        <f ca="1"/>
        <v>0.24997291598626648</v>
      </c>
      <c r="AD209" s="163">
        <f ca="1"/>
        <v>0.30609692027794055</v>
      </c>
      <c r="AE209" s="139">
        <f ca="1"/>
        <v>0.38057338082295777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7.976203167441076E-3</v>
      </c>
      <c r="Z210" s="163">
        <f ca="1"/>
        <v>0</v>
      </c>
      <c r="AA210" s="163">
        <f ca="1"/>
        <v>3.9593493281446235E-2</v>
      </c>
      <c r="AB210" s="163">
        <f ca="1"/>
        <v>0</v>
      </c>
      <c r="AC210" s="163">
        <f ca="1"/>
        <v>0.10203859580443886</v>
      </c>
      <c r="AD210" s="163">
        <f ca="1"/>
        <v>0.16426223783974259</v>
      </c>
      <c r="AE210" s="139">
        <f ca="1"/>
        <v>0.27327304512402073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6.7926920122127754E-3</v>
      </c>
      <c r="Z211" s="163">
        <f ca="1"/>
        <v>0</v>
      </c>
      <c r="AA211" s="163">
        <f ca="1"/>
        <v>4.093950341003838E-2</v>
      </c>
      <c r="AB211" s="163">
        <f ca="1"/>
        <v>0</v>
      </c>
      <c r="AC211" s="163">
        <f ca="1"/>
        <v>0.10324197998476381</v>
      </c>
      <c r="AD211" s="163">
        <f ca="1"/>
        <v>0.15871996737749827</v>
      </c>
      <c r="AE211" s="139">
        <f ca="1"/>
        <v>0.25419472744372273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3.1567532269629828E-2</v>
      </c>
      <c r="AE212" s="139">
        <f ca="1"/>
        <v>6.6136547730773487E-2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2.8038147489184984E-2</v>
      </c>
      <c r="AE213" s="139">
        <f ca="1"/>
        <v>5.0578411196187556E-2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1.2694599815470275E-2</v>
      </c>
      <c r="AB214" s="163">
        <f ca="1"/>
        <v>0</v>
      </c>
      <c r="AC214" s="163">
        <f ca="1"/>
        <v>3.6852028215217936E-2</v>
      </c>
      <c r="AD214" s="163">
        <f ca="1"/>
        <v>7.2182163723100823E-2</v>
      </c>
      <c r="AE214" s="139">
        <f ca="1"/>
        <v>0.12232190506577167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1.3811983119288773E-2</v>
      </c>
      <c r="AB215" s="163">
        <f ca="1"/>
        <v>0</v>
      </c>
      <c r="AC215" s="163">
        <f ca="1"/>
        <v>4.0951651409010692E-2</v>
      </c>
      <c r="AD215" s="163">
        <f ca="1"/>
        <v>7.1263406974178545E-2</v>
      </c>
      <c r="AE215" s="139">
        <f ca="1"/>
        <v>0.1424761821081153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5.3659984703522512E-2</v>
      </c>
      <c r="Z216" s="163">
        <f ca="1"/>
        <v>0</v>
      </c>
      <c r="AA216" s="163">
        <f ca="1"/>
        <v>0.13452120306644844</v>
      </c>
      <c r="AB216" s="163">
        <f ca="1"/>
        <v>0</v>
      </c>
      <c r="AC216" s="163">
        <f ca="1"/>
        <v>0.19034909807672229</v>
      </c>
      <c r="AD216" s="163">
        <f ca="1"/>
        <v>0.2149531807250894</v>
      </c>
      <c r="AE216" s="139">
        <f ca="1"/>
        <v>0.24534697724093435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2.2108958436727777E-2</v>
      </c>
      <c r="AD217" s="163">
        <f ca="1"/>
        <v>4.0431871053841939E-2</v>
      </c>
      <c r="AE217" s="139">
        <f ca="1"/>
        <v>7.2205377657469927E-2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2.2789843241933117E-2</v>
      </c>
      <c r="AD218" s="163">
        <f ca="1"/>
        <v>4.2633754631415832E-2</v>
      </c>
      <c r="AE218" s="139">
        <f ca="1"/>
        <v>7.6061839313548707E-2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5.3834054608700166E-3</v>
      </c>
      <c r="Z219" s="163">
        <f ca="1"/>
        <v>0</v>
      </c>
      <c r="AA219" s="163">
        <f ca="1"/>
        <v>2.1474470963559256E-2</v>
      </c>
      <c r="AB219" s="163">
        <f ca="1"/>
        <v>0</v>
      </c>
      <c r="AC219" s="163">
        <f ca="1"/>
        <v>6.0516274410879367E-2</v>
      </c>
      <c r="AD219" s="163">
        <f ca="1"/>
        <v>0.10074550648154246</v>
      </c>
      <c r="AE219" s="139">
        <f ca="1"/>
        <v>0.17021156833884243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1.1788593042153739E-2</v>
      </c>
      <c r="AB220" s="163">
        <f ca="1"/>
        <v>0</v>
      </c>
      <c r="AC220" s="163">
        <f ca="1"/>
        <v>2.9877621342166871E-2</v>
      </c>
      <c r="AD220" s="163">
        <f ca="1"/>
        <v>4.3410528250169333E-2</v>
      </c>
      <c r="AE220" s="139">
        <f ca="1"/>
        <v>7.0928708801642926E-2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1.3051465410570673E-2</v>
      </c>
      <c r="AB221" s="163">
        <f ca="1"/>
        <v>0</v>
      </c>
      <c r="AC221" s="163">
        <f ca="1"/>
        <v>3.4157288370437633E-2</v>
      </c>
      <c r="AD221" s="163">
        <f ca="1"/>
        <v>6.3483317451780819E-2</v>
      </c>
      <c r="AE221" s="139">
        <f ca="1"/>
        <v>0.12712499297534152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1.1853862089954315E-2</v>
      </c>
      <c r="AB222" s="163">
        <f ca="1"/>
        <v>0</v>
      </c>
      <c r="AC222" s="163">
        <f ca="1"/>
        <v>2.5100180218644241E-2</v>
      </c>
      <c r="AD222" s="163">
        <f ca="1"/>
        <v>4.5730756508965964E-2</v>
      </c>
      <c r="AE222" s="139">
        <f ca="1"/>
        <v>8.233423424099906E-2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2.4918820971126188E-2</v>
      </c>
      <c r="AD223" s="163">
        <f ca="1"/>
        <v>4.3493250504071712E-2</v>
      </c>
      <c r="AE223" s="139">
        <f ca="1"/>
        <v>8.0228564517207057E-2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2.413971594173081E-2</v>
      </c>
      <c r="AD224" s="163">
        <f ca="1"/>
        <v>4.8490972645036545E-2</v>
      </c>
      <c r="AE224" s="139">
        <f ca="1"/>
        <v>9.1784758569639968E-2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1.2840500555533985E-2</v>
      </c>
      <c r="AB225" s="163">
        <f ca="1"/>
        <v>0</v>
      </c>
      <c r="AC225" s="163">
        <f ca="1"/>
        <v>2.8979639957562031E-2</v>
      </c>
      <c r="AD225" s="163">
        <f ca="1"/>
        <v>5.2792300067716846E-2</v>
      </c>
      <c r="AE225" s="139">
        <f ca="1"/>
        <v>9.155400884606324E-2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2.3264449638460305E-2</v>
      </c>
      <c r="AD226" s="163">
        <f ca="1"/>
        <v>3.7426959012823113E-2</v>
      </c>
      <c r="AE226" s="139">
        <f ca="1"/>
        <v>7.2675440781882039E-2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1.8724496824361281E-2</v>
      </c>
      <c r="AD227" s="163">
        <f ca="1"/>
        <v>3.4070500312835872E-2</v>
      </c>
      <c r="AE227" s="139">
        <f ca="1"/>
        <v>6.5663981087961898E-2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2.4145034178292168E-2</v>
      </c>
      <c r="AD228" s="163">
        <f ca="1"/>
        <v>4.7860283200490406E-2</v>
      </c>
      <c r="AE228" s="139">
        <f ca="1"/>
        <v>8.7155319291358224E-2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1.2063530857970517E-2</v>
      </c>
      <c r="AB229" s="163">
        <f ca="1"/>
        <v>0</v>
      </c>
      <c r="AC229" s="163">
        <f ca="1"/>
        <v>2.6736595190184675E-2</v>
      </c>
      <c r="AD229" s="163">
        <f ca="1"/>
        <v>4.9559969177537355E-2</v>
      </c>
      <c r="AE229" s="139">
        <f ca="1"/>
        <v>9.3455342054677537E-2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1.1207463715194432E-2</v>
      </c>
      <c r="AB230" s="163">
        <f ca="1"/>
        <v>0</v>
      </c>
      <c r="AC230" s="163">
        <f ca="1"/>
        <v>2.7352495934297227E-2</v>
      </c>
      <c r="AD230" s="163">
        <f ca="1"/>
        <v>4.9427447003569935E-2</v>
      </c>
      <c r="AE230" s="139">
        <f ca="1"/>
        <v>8.8154390404665661E-2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6.7115828284074364E-2</v>
      </c>
      <c r="Z231" s="163">
        <f ca="1"/>
        <v>0</v>
      </c>
      <c r="AA231" s="163">
        <f ca="1"/>
        <v>0.17555374694781722</v>
      </c>
      <c r="AB231" s="163">
        <f ca="1"/>
        <v>0</v>
      </c>
      <c r="AC231" s="163">
        <f ca="1"/>
        <v>0.23677581308681472</v>
      </c>
      <c r="AD231" s="163">
        <f ca="1"/>
        <v>0.28495499593754303</v>
      </c>
      <c r="AE231" s="139">
        <f ca="1"/>
        <v>0.36251772905807067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1.1993825967085758E-2</v>
      </c>
      <c r="AB232" s="163">
        <f ca="1"/>
        <v>0</v>
      </c>
      <c r="AC232" s="163">
        <f ca="1"/>
        <v>3.946219147153962E-2</v>
      </c>
      <c r="AD232" s="163">
        <f ca="1"/>
        <v>7.0022583990121512E-2</v>
      </c>
      <c r="AE232" s="139">
        <f ca="1"/>
        <v>0.12132526695062107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0.21034011961719656</v>
      </c>
      <c r="Z233" s="163">
        <f ca="1"/>
        <v>0</v>
      </c>
      <c r="AA233" s="163">
        <f ca="1"/>
        <v>0.35949000060762537</v>
      </c>
      <c r="AB233" s="163">
        <f ca="1"/>
        <v>0</v>
      </c>
      <c r="AC233" s="163">
        <f ca="1"/>
        <v>0.38846971228943594</v>
      </c>
      <c r="AD233" s="163">
        <f ca="1"/>
        <v>0.46101211684443799</v>
      </c>
      <c r="AE233" s="139">
        <f ca="1"/>
        <v>0.54066320630674314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1.8653920719505002E-2</v>
      </c>
      <c r="AD234" s="163">
        <f ca="1"/>
        <v>3.5278376786024745E-2</v>
      </c>
      <c r="AE234" s="139">
        <f ca="1"/>
        <v>6.7299835185027135E-2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1.1407883629221627E-2</v>
      </c>
      <c r="AB235" s="163">
        <f ca="1"/>
        <v>0</v>
      </c>
      <c r="AC235" s="163">
        <f ca="1"/>
        <v>2.4300764691803201E-2</v>
      </c>
      <c r="AD235" s="163">
        <f ca="1"/>
        <v>4.5600195716022029E-2</v>
      </c>
      <c r="AE235" s="139">
        <f ca="1"/>
        <v>8.4267267038615423E-2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1.7847434156107678E-2</v>
      </c>
      <c r="AB236" s="163">
        <f ca="1"/>
        <v>0</v>
      </c>
      <c r="AC236" s="163">
        <f ca="1"/>
        <v>4.095489966022392E-2</v>
      </c>
      <c r="AD236" s="163">
        <f ca="1"/>
        <v>7.5241081696849621E-2</v>
      </c>
      <c r="AE236" s="139">
        <f ca="1"/>
        <v>0.13100362640399077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2.7814549731725591E-2</v>
      </c>
      <c r="AD237" s="163">
        <f ca="1"/>
        <v>4.7113816394415253E-2</v>
      </c>
      <c r="AE237" s="139">
        <f ca="1"/>
        <v>9.7760072929361508E-2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2.3974680549188387E-2</v>
      </c>
      <c r="AD238" s="163">
        <f ca="1"/>
        <v>4.4080335624791522E-2</v>
      </c>
      <c r="AE238" s="139">
        <f ca="1"/>
        <v>7.9637486466389906E-2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1.1176495308683365E-2</v>
      </c>
      <c r="AB239" s="163">
        <f ca="1"/>
        <v>0</v>
      </c>
      <c r="AC239" s="163">
        <f ca="1"/>
        <v>2.2597982026356767E-2</v>
      </c>
      <c r="AD239" s="163">
        <f ca="1"/>
        <v>4.3937514279692946E-2</v>
      </c>
      <c r="AE239" s="139">
        <f ca="1"/>
        <v>8.0087699611686713E-2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1.1203421533688807E-2</v>
      </c>
      <c r="AB240" s="163">
        <f ca="1"/>
        <v>0</v>
      </c>
      <c r="AC240" s="163">
        <f ca="1"/>
        <v>2.823037805647155E-2</v>
      </c>
      <c r="AD240" s="163">
        <f ca="1"/>
        <v>5.0586419585661013E-2</v>
      </c>
      <c r="AE240" s="139">
        <f ca="1"/>
        <v>8.971881020376915E-2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1.3345179468913781E-2</v>
      </c>
      <c r="AB241" s="163">
        <f ca="1"/>
        <v>0</v>
      </c>
      <c r="AC241" s="163">
        <f ca="1"/>
        <v>2.4931918976978329E-2</v>
      </c>
      <c r="AD241" s="163">
        <f ca="1"/>
        <v>4.2182376971521718E-2</v>
      </c>
      <c r="AE241" s="139">
        <f ca="1"/>
        <v>6.6634488286067106E-2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3.9721390964033709E-3</v>
      </c>
      <c r="Z242" s="163">
        <f ca="1"/>
        <v>0</v>
      </c>
      <c r="AA242" s="163">
        <f ca="1"/>
        <v>1.8790254783813576E-2</v>
      </c>
      <c r="AB242" s="163">
        <f ca="1"/>
        <v>0</v>
      </c>
      <c r="AC242" s="163">
        <f ca="1"/>
        <v>4.5461589926102941E-2</v>
      </c>
      <c r="AD242" s="163">
        <f ca="1"/>
        <v>7.4482454722157754E-2</v>
      </c>
      <c r="AE242" s="139">
        <f ca="1"/>
        <v>0.12011845984369851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1.5737976634174866E-2</v>
      </c>
      <c r="AB243" s="163">
        <f ca="1"/>
        <v>0</v>
      </c>
      <c r="AC243" s="163">
        <f ca="1"/>
        <v>3.7364028679816363E-2</v>
      </c>
      <c r="AD243" s="163">
        <f ca="1"/>
        <v>6.5733459604527367E-2</v>
      </c>
      <c r="AE243" s="139">
        <f ca="1"/>
        <v>0.11520491765018948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4.7483070123810478E-3</v>
      </c>
      <c r="Z244" s="163">
        <f ca="1"/>
        <v>0</v>
      </c>
      <c r="AA244" s="163">
        <f ca="1"/>
        <v>3.2851021424388005E-2</v>
      </c>
      <c r="AB244" s="163">
        <f ca="1"/>
        <v>0</v>
      </c>
      <c r="AC244" s="163">
        <f ca="1"/>
        <v>7.1990442899692142E-2</v>
      </c>
      <c r="AD244" s="163">
        <f ca="1"/>
        <v>0.11874327607418145</v>
      </c>
      <c r="AE244" s="139">
        <f ca="1"/>
        <v>0.20443204408008453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5.8941128863556624E-3</v>
      </c>
      <c r="Z245" s="163">
        <f ca="1"/>
        <v>0</v>
      </c>
      <c r="AA245" s="163">
        <f ca="1"/>
        <v>3.7259583037895005E-2</v>
      </c>
      <c r="AB245" s="163">
        <f ca="1"/>
        <v>0</v>
      </c>
      <c r="AC245" s="163">
        <f ca="1"/>
        <v>9.9385171125960459E-2</v>
      </c>
      <c r="AD245" s="163">
        <f ca="1"/>
        <v>0.15673831068677446</v>
      </c>
      <c r="AE245" s="139">
        <f ca="1"/>
        <v>0.25026476124959973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2.3358380427887071E-2</v>
      </c>
      <c r="AD246" s="163">
        <f ca="1"/>
        <v>4.2291542027396267E-2</v>
      </c>
      <c r="AE246" s="139">
        <f ca="1"/>
        <v>7.8780799898704457E-2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1.2699833305912067E-2</v>
      </c>
      <c r="AB247" s="163">
        <f ca="1"/>
        <v>0</v>
      </c>
      <c r="AC247" s="163">
        <f ca="1"/>
        <v>2.4184162147819599E-2</v>
      </c>
      <c r="AD247" s="163">
        <f ca="1"/>
        <v>4.4845523114310781E-2</v>
      </c>
      <c r="AE247" s="139">
        <f ca="1"/>
        <v>8.7101444080858514E-2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4.3741429939001097E-2</v>
      </c>
      <c r="Z248" s="163">
        <f ca="1"/>
        <v>0</v>
      </c>
      <c r="AA248" s="163">
        <f ca="1"/>
        <v>0.11814795047049609</v>
      </c>
      <c r="AB248" s="163">
        <f ca="1"/>
        <v>0</v>
      </c>
      <c r="AC248" s="163">
        <f ca="1"/>
        <v>0.16877444982252365</v>
      </c>
      <c r="AD248" s="163">
        <f ca="1"/>
        <v>0.21730944513332562</v>
      </c>
      <c r="AE248" s="139">
        <f ca="1"/>
        <v>0.28102322260259316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1.2750653362823772E-2</v>
      </c>
      <c r="AB249" s="163">
        <f ca="1"/>
        <v>0</v>
      </c>
      <c r="AC249" s="163">
        <f ca="1"/>
        <v>2.4465140123457019E-2</v>
      </c>
      <c r="AD249" s="163">
        <f ca="1"/>
        <v>4.4345012825856789E-2</v>
      </c>
      <c r="AE249" s="139">
        <f ca="1"/>
        <v>7.5769454175497297E-2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2.4128385366415039E-2</v>
      </c>
      <c r="AD250" s="163">
        <f ca="1"/>
        <v>4.6159714624841364E-2</v>
      </c>
      <c r="AE250" s="139">
        <f ca="1"/>
        <v>8.8195132577704838E-2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2.4950601244808746E-2</v>
      </c>
      <c r="AB251" s="163">
        <f ca="1"/>
        <v>0</v>
      </c>
      <c r="AC251" s="163">
        <f ca="1"/>
        <v>5.8532839524293334E-2</v>
      </c>
      <c r="AD251" s="163">
        <f ca="1"/>
        <v>0.10161480881914065</v>
      </c>
      <c r="AE251" s="139">
        <f ca="1"/>
        <v>0.16821660688099616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1.5624352797104279E-2</v>
      </c>
      <c r="AB252" s="163">
        <f ca="1"/>
        <v>0</v>
      </c>
      <c r="AC252" s="163">
        <f ca="1"/>
        <v>3.3908890561698879E-2</v>
      </c>
      <c r="AD252" s="163">
        <f ca="1"/>
        <v>5.7048995184617479E-2</v>
      </c>
      <c r="AE252" s="139">
        <f ca="1"/>
        <v>9.94092516910835E-2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3.8632746882682922E-2</v>
      </c>
      <c r="AE253" s="139">
        <f ca="1"/>
        <v>6.3093107151057426E-2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1.9866604223652939E-2</v>
      </c>
      <c r="AD254" s="163">
        <f ca="1"/>
        <v>3.6955601375521341E-2</v>
      </c>
      <c r="AE254" s="139">
        <f ca="1"/>
        <v>6.0999599576546992E-2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2.1104462483002573E-2</v>
      </c>
      <c r="AD255" s="163">
        <f ca="1"/>
        <v>4.0574567071399947E-2</v>
      </c>
      <c r="AE255" s="139">
        <f ca="1"/>
        <v>8.21269284551156E-2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3.7753100150841989E-2</v>
      </c>
      <c r="Z256" s="163">
        <f ca="1"/>
        <v>0</v>
      </c>
      <c r="AA256" s="163">
        <f ca="1"/>
        <v>9.4188671917379674E-2</v>
      </c>
      <c r="AB256" s="163">
        <f ca="1"/>
        <v>0</v>
      </c>
      <c r="AC256" s="163">
        <f ca="1"/>
        <v>0.12517265147809065</v>
      </c>
      <c r="AD256" s="163">
        <f ca="1"/>
        <v>0.16371763583318877</v>
      </c>
      <c r="AE256" s="139">
        <f ca="1"/>
        <v>0.21027142116233033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1.3745788679409787E-2</v>
      </c>
      <c r="AB257" s="163">
        <f ca="1"/>
        <v>0</v>
      </c>
      <c r="AC257" s="163">
        <f ca="1"/>
        <v>2.9634604635105477E-2</v>
      </c>
      <c r="AD257" s="163">
        <f ca="1"/>
        <v>4.2057593308195251E-2</v>
      </c>
      <c r="AE257" s="139">
        <f ca="1"/>
        <v>6.090271350320875E-2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5.372458888195486E-3</v>
      </c>
      <c r="Z258" s="163">
        <f ca="1"/>
        <v>0</v>
      </c>
      <c r="AA258" s="163">
        <f ca="1"/>
        <v>2.3224575722690877E-2</v>
      </c>
      <c r="AB258" s="163">
        <f ca="1"/>
        <v>0</v>
      </c>
      <c r="AC258" s="163">
        <f ca="1"/>
        <v>6.2018666953658097E-2</v>
      </c>
      <c r="AD258" s="163">
        <f ca="1"/>
        <v>0.10303767371037786</v>
      </c>
      <c r="AE258" s="139">
        <f ca="1"/>
        <v>0.17372818572647186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1.3868761933307217E-2</v>
      </c>
      <c r="AB259" s="163">
        <f ca="1"/>
        <v>0</v>
      </c>
      <c r="AC259" s="163">
        <f ca="1"/>
        <v>4.097469436676815E-2</v>
      </c>
      <c r="AD259" s="163">
        <f ca="1"/>
        <v>6.9846967258752723E-2</v>
      </c>
      <c r="AE259" s="139">
        <f ca="1"/>
        <v>0.11509123696443135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3.3069152961430093E-2</v>
      </c>
      <c r="AE260" s="139">
        <f ca="1"/>
        <v>6.1626320951239988E-2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4.8322798352570251E-3</v>
      </c>
      <c r="Z261" s="163">
        <f ca="1"/>
        <v>0</v>
      </c>
      <c r="AA261" s="163">
        <f ca="1"/>
        <v>2.0524345404000832E-2</v>
      </c>
      <c r="AB261" s="163">
        <f ca="1"/>
        <v>0</v>
      </c>
      <c r="AC261" s="163">
        <f ca="1"/>
        <v>4.3451068554656302E-2</v>
      </c>
      <c r="AD261" s="163">
        <f ca="1"/>
        <v>6.7271165093437668E-2</v>
      </c>
      <c r="AE261" s="139">
        <f ca="1"/>
        <v>0.10869023775336295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4.5286743818485409E-2</v>
      </c>
      <c r="Z262" s="163">
        <f ca="1"/>
        <v>0</v>
      </c>
      <c r="AA262" s="163">
        <f ca="1"/>
        <v>0.12214123699770663</v>
      </c>
      <c r="AB262" s="163">
        <f ca="1"/>
        <v>0</v>
      </c>
      <c r="AC262" s="163">
        <f ca="1"/>
        <v>0.17426323130234811</v>
      </c>
      <c r="AD262" s="163">
        <f ca="1"/>
        <v>0.22411625958367987</v>
      </c>
      <c r="AE262" s="139">
        <f ca="1"/>
        <v>0.28939832129335052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8.2582190545451573E-3</v>
      </c>
      <c r="Z263" s="163">
        <f ca="1"/>
        <v>0</v>
      </c>
      <c r="AA263" s="163">
        <f ca="1"/>
        <v>4.0988029756331423E-2</v>
      </c>
      <c r="AB263" s="163">
        <f ca="1"/>
        <v>0</v>
      </c>
      <c r="AC263" s="163">
        <f ca="1"/>
        <v>0.1055628073089574</v>
      </c>
      <c r="AD263" s="163">
        <f ca="1"/>
        <v>0.16978207320817895</v>
      </c>
      <c r="AE263" s="139">
        <f ca="1"/>
        <v>0.28199405667460109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2.2920785959124057E-3</v>
      </c>
      <c r="Y264" s="163">
        <f ca="1"/>
        <v>5.4900074609994798E-3</v>
      </c>
      <c r="Z264" s="163">
        <f ca="1"/>
        <v>1.72765273694101E-2</v>
      </c>
      <c r="AA264" s="163">
        <f ca="1"/>
        <v>3.6544221846006031E-2</v>
      </c>
      <c r="AB264" s="163">
        <f ca="1"/>
        <v>6.7855673502437708E-2</v>
      </c>
      <c r="AC264" s="163">
        <f ca="1"/>
        <v>0.10370620030273792</v>
      </c>
      <c r="AD264" s="163">
        <f ca="1"/>
        <v>0.17750778939769096</v>
      </c>
      <c r="AE264" s="139">
        <f ca="1"/>
        <v>0.27793180109633164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5.4723090885714365E-3</v>
      </c>
      <c r="Y265" s="163">
        <f ca="1"/>
        <v>1.0020724200858533E-2</v>
      </c>
      <c r="Z265" s="163">
        <f ca="1"/>
        <v>2.8673484977647101E-2</v>
      </c>
      <c r="AA265" s="163">
        <f ca="1"/>
        <v>5.0956037245961872E-2</v>
      </c>
      <c r="AB265" s="163">
        <f ca="1"/>
        <v>0</v>
      </c>
      <c r="AC265" s="163">
        <f ca="1"/>
        <v>0.10531994491041108</v>
      </c>
      <c r="AD265" s="163">
        <f ca="1"/>
        <v>0.17047732929969406</v>
      </c>
      <c r="AE265" s="139">
        <f ca="1"/>
        <v>0.25128606209419968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7.0331487738792831E-3</v>
      </c>
      <c r="Z266" s="163">
        <f ca="1"/>
        <v>0</v>
      </c>
      <c r="AA266" s="163">
        <f ca="1"/>
        <v>4.2383784896835253E-2</v>
      </c>
      <c r="AB266" s="163">
        <f ca="1"/>
        <v>0</v>
      </c>
      <c r="AC266" s="163">
        <f ca="1"/>
        <v>0.10680407110783741</v>
      </c>
      <c r="AD266" s="163">
        <f ca="1"/>
        <v>0.16404686218791209</v>
      </c>
      <c r="AE266" s="139">
        <f ca="1"/>
        <v>0.26233680262110937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5.1881736760214237E-3</v>
      </c>
      <c r="Z267" s="163">
        <f ca="1"/>
        <v>0</v>
      </c>
      <c r="AA267" s="163">
        <f ca="1"/>
        <v>2.6618021451887852E-2</v>
      </c>
      <c r="AB267" s="163">
        <f ca="1"/>
        <v>0</v>
      </c>
      <c r="AC267" s="163">
        <f ca="1"/>
        <v>6.5677003335591344E-2</v>
      </c>
      <c r="AD267" s="163">
        <f ca="1"/>
        <v>0.1044310219790312</v>
      </c>
      <c r="AE267" s="139">
        <f ca="1"/>
        <v>0.16453274627770498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2.2483452814783589E-2</v>
      </c>
      <c r="AB268" s="163">
        <f ca="1"/>
        <v>0</v>
      </c>
      <c r="AC268" s="163">
        <f ca="1"/>
        <v>5.1761180516626482E-2</v>
      </c>
      <c r="AD268" s="163">
        <f ca="1"/>
        <v>9.4015719792987507E-2</v>
      </c>
      <c r="AE268" s="139">
        <f ca="1"/>
        <v>0.16684746721174037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9.2137832408625275E-3</v>
      </c>
      <c r="AA269" s="163">
        <f ca="1"/>
        <v>1.9452618944688416E-2</v>
      </c>
      <c r="AB269" s="163">
        <f ca="1"/>
        <v>0</v>
      </c>
      <c r="AC269" s="163">
        <f ca="1"/>
        <v>4.9465566556484375E-2</v>
      </c>
      <c r="AD269" s="163">
        <f ca="1"/>
        <v>8.5462143255212841E-2</v>
      </c>
      <c r="AE269" s="139">
        <f ca="1"/>
        <v>0.14746919295187044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5.4253662178604944E-3</v>
      </c>
      <c r="Z270" s="163">
        <f ca="1"/>
        <v>0</v>
      </c>
      <c r="AA270" s="163">
        <f ca="1"/>
        <v>5.8950194274896228E-2</v>
      </c>
      <c r="AB270" s="163">
        <f ca="1"/>
        <v>0</v>
      </c>
      <c r="AC270" s="163">
        <f ca="1"/>
        <v>9.6021707297539005E-2</v>
      </c>
      <c r="AD270" s="163">
        <f ca="1"/>
        <v>0.12386920115017952</v>
      </c>
      <c r="AE270" s="139">
        <f ca="1"/>
        <v>0.16555267785701344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2.29949935032151E-2</v>
      </c>
      <c r="AB271" s="163">
        <f ca="1"/>
        <v>0</v>
      </c>
      <c r="AC271" s="163">
        <f ca="1"/>
        <v>6.2710064988332204E-2</v>
      </c>
      <c r="AD271" s="163">
        <f ca="1"/>
        <v>9.6605903523528047E-2</v>
      </c>
      <c r="AE271" s="139">
        <f ca="1"/>
        <v>0.1557536738177363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1.872827159820889E-2</v>
      </c>
      <c r="AB272" s="163">
        <f ca="1"/>
        <v>0</v>
      </c>
      <c r="AC272" s="163">
        <f ca="1"/>
        <v>4.401965246475581E-2</v>
      </c>
      <c r="AD272" s="163">
        <f ca="1"/>
        <v>8.3728885735219638E-2</v>
      </c>
      <c r="AE272" s="139">
        <f ca="1"/>
        <v>0.15138057988412956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4.1584740656777086E-3</v>
      </c>
      <c r="Z273" s="163">
        <f ca="1"/>
        <v>0</v>
      </c>
      <c r="AA273" s="163">
        <f ca="1"/>
        <v>2.1232936743135533E-2</v>
      </c>
      <c r="AB273" s="163">
        <f ca="1"/>
        <v>0</v>
      </c>
      <c r="AC273" s="163">
        <f ca="1"/>
        <v>4.8158603982649817E-2</v>
      </c>
      <c r="AD273" s="163">
        <f ca="1"/>
        <v>7.3313448559735428E-2</v>
      </c>
      <c r="AE273" s="139">
        <f ca="1"/>
        <v>0.11994035482606147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8.8343781721317294E-3</v>
      </c>
      <c r="AA274" s="163">
        <f ca="1"/>
        <v>1.6756665058535791E-2</v>
      </c>
      <c r="AB274" s="163">
        <f ca="1"/>
        <v>0</v>
      </c>
      <c r="AC274" s="163">
        <f ca="1"/>
        <v>4.610564996943034E-2</v>
      </c>
      <c r="AD274" s="163">
        <f ca="1"/>
        <v>7.7102497979609219E-2</v>
      </c>
      <c r="AE274" s="139">
        <f ca="1"/>
        <v>0.12333855215619671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6.9790237131154287E-3</v>
      </c>
      <c r="Z275" s="163">
        <f ca="1"/>
        <v>0</v>
      </c>
      <c r="AA275" s="163">
        <f ca="1"/>
        <v>3.9150630958499799E-2</v>
      </c>
      <c r="AB275" s="163">
        <f ca="1"/>
        <v>0</v>
      </c>
      <c r="AC275" s="163">
        <f ca="1"/>
        <v>0.12862873577375644</v>
      </c>
      <c r="AD275" s="163">
        <f ca="1"/>
        <v>0.19919254973887068</v>
      </c>
      <c r="AE275" s="139">
        <f ca="1"/>
        <v>0.29639672966893071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1.8630703092628709E-2</v>
      </c>
      <c r="Y276" s="163">
        <f ca="1"/>
        <v>3.3967538397276731E-2</v>
      </c>
      <c r="Z276" s="163">
        <f ca="1"/>
        <v>5.8900813938911112E-2</v>
      </c>
      <c r="AA276" s="163">
        <f ca="1"/>
        <v>8.2066105571278469E-2</v>
      </c>
      <c r="AB276" s="163">
        <f ca="1"/>
        <v>0</v>
      </c>
      <c r="AC276" s="163">
        <f ca="1"/>
        <v>0.11940804113619552</v>
      </c>
      <c r="AD276" s="163">
        <f ca="1"/>
        <v>0.16294639453472426</v>
      </c>
      <c r="AE276" s="139">
        <f ca="1"/>
        <v>0.22432092204277654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8.6423893500766624E-3</v>
      </c>
      <c r="Y277" s="163">
        <f ca="1"/>
        <v>1.5814292753324688E-2</v>
      </c>
      <c r="Z277" s="163">
        <f ca="1"/>
        <v>3.007869659996476E-2</v>
      </c>
      <c r="AA277" s="163">
        <f ca="1"/>
        <v>4.5633998738019099E-2</v>
      </c>
      <c r="AB277" s="163">
        <f ca="1"/>
        <v>0</v>
      </c>
      <c r="AC277" s="163">
        <f ca="1"/>
        <v>7.9389108186451174E-2</v>
      </c>
      <c r="AD277" s="163">
        <f ca="1"/>
        <v>0.10858669465253434</v>
      </c>
      <c r="AE277" s="139">
        <f ca="1"/>
        <v>0.15073404796902956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5.0020295447822383E-3</v>
      </c>
      <c r="Z278" s="163">
        <f ca="1"/>
        <v>0</v>
      </c>
      <c r="AA278" s="163">
        <f ca="1"/>
        <v>2.1243575831727868E-2</v>
      </c>
      <c r="AB278" s="163">
        <f ca="1"/>
        <v>0</v>
      </c>
      <c r="AC278" s="163">
        <f ca="1"/>
        <v>4.4965402521472408E-2</v>
      </c>
      <c r="AD278" s="163">
        <f ca="1"/>
        <v>6.9604342983839884E-2</v>
      </c>
      <c r="AE278" s="139">
        <f ca="1"/>
        <v>0.1123880411650362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1.0253057894043183E-2</v>
      </c>
      <c r="AA279" s="163">
        <f ca="1"/>
        <v>1.8826398147786638E-2</v>
      </c>
      <c r="AB279" s="163">
        <f ca="1"/>
        <v>0</v>
      </c>
      <c r="AC279" s="163">
        <f ca="1"/>
        <v>3.959264007051333E-2</v>
      </c>
      <c r="AD279" s="163">
        <f ca="1"/>
        <v>6.3367605022959128E-2</v>
      </c>
      <c r="AE279" s="139">
        <f ca="1"/>
        <v>0.10704325908235135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1.4153222754163863E-2</v>
      </c>
      <c r="AB280" s="163">
        <f ca="1"/>
        <v>0</v>
      </c>
      <c r="AC280" s="163">
        <f ca="1"/>
        <v>3.3866695873372432E-2</v>
      </c>
      <c r="AD280" s="163">
        <f ca="1"/>
        <v>5.8135264191929714E-2</v>
      </c>
      <c r="AE280" s="139">
        <f ca="1"/>
        <v>9.9744235113975899E-2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1.5207479468169027E-2</v>
      </c>
      <c r="AB281" s="163">
        <f ca="1"/>
        <v>0</v>
      </c>
      <c r="AC281" s="163">
        <f ca="1"/>
        <v>3.4658226133389425E-2</v>
      </c>
      <c r="AD281" s="163">
        <f ca="1"/>
        <v>5.6632317045390845E-2</v>
      </c>
      <c r="AE281" s="139">
        <f ca="1"/>
        <v>9.782132473428895E-2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1.238044587049536E-2</v>
      </c>
      <c r="AB282" s="163">
        <f ca="1"/>
        <v>0</v>
      </c>
      <c r="AC282" s="163">
        <f ca="1"/>
        <v>3.1849641495380054E-2</v>
      </c>
      <c r="AD282" s="163">
        <f ca="1"/>
        <v>5.5860434840594664E-2</v>
      </c>
      <c r="AE282" s="139">
        <f ca="1"/>
        <v>9.4504696088143603E-2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1.3115911432529104E-2</v>
      </c>
      <c r="AB283" s="163">
        <f ca="1"/>
        <v>0</v>
      </c>
      <c r="AC283" s="163">
        <f ca="1"/>
        <v>3.3991562851130475E-2</v>
      </c>
      <c r="AD283" s="163">
        <f ca="1"/>
        <v>5.5664784912033638E-2</v>
      </c>
      <c r="AE283" s="139">
        <f ca="1"/>
        <v>9.4529034564037939E-2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9.4645607336041326E-3</v>
      </c>
      <c r="AB284" s="163">
        <f ca="1"/>
        <v>1.5208966364113508E-2</v>
      </c>
      <c r="AC284" s="163">
        <f ca="1"/>
        <v>2.2300359788123059E-2</v>
      </c>
      <c r="AD284" s="163">
        <f ca="1"/>
        <v>4.1603035800821697E-2</v>
      </c>
      <c r="AE284" s="139">
        <f ca="1"/>
        <v>7.2618462284459562E-2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1.2421145202808348E-2</v>
      </c>
      <c r="AB285" s="163">
        <f ca="1"/>
        <v>0</v>
      </c>
      <c r="AC285" s="163">
        <f ca="1"/>
        <v>2.914060323041634E-2</v>
      </c>
      <c r="AD285" s="163">
        <f ca="1"/>
        <v>5.295231067651951E-2</v>
      </c>
      <c r="AE285" s="139">
        <f ca="1"/>
        <v>9.3653678274341345E-2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2.8015481724813829E-2</v>
      </c>
      <c r="AD286" s="163">
        <f ca="1"/>
        <v>5.0162090501604806E-2</v>
      </c>
      <c r="AE286" s="139">
        <f ca="1"/>
        <v>8.8821386704805994E-2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2.6299715526027057E-2</v>
      </c>
      <c r="AD287" s="163">
        <f ca="1"/>
        <v>4.9139400416935874E-2</v>
      </c>
      <c r="AE287" s="139">
        <f ca="1"/>
        <v>8.7373396815618398E-2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2.9776067981397425E-2</v>
      </c>
      <c r="AD288" s="163">
        <f ca="1"/>
        <v>4.9927232056189874E-2</v>
      </c>
      <c r="AE288" s="139">
        <f ca="1"/>
        <v>8.6667343647653605E-2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2.4980598852864189E-2</v>
      </c>
      <c r="AD289" s="163">
        <f ca="1"/>
        <v>4.9519815898973696E-2</v>
      </c>
      <c r="AE289" s="139">
        <f ca="1"/>
        <v>9.0161607203386951E-2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2.6240905469327669E-2</v>
      </c>
      <c r="AD290" s="163">
        <f ca="1"/>
        <v>4.5160594831692324E-2</v>
      </c>
      <c r="AE290" s="139">
        <f ca="1"/>
        <v>7.8250779524413061E-2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2.5371373316465662E-2</v>
      </c>
      <c r="AD291" s="163">
        <f ca="1"/>
        <v>4.3981682085471707E-2</v>
      </c>
      <c r="AE291" s="139">
        <f ca="1"/>
        <v>7.8562623141590127E-2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5.5880827647889375E-2</v>
      </c>
      <c r="Z292" s="163">
        <f ca="1"/>
        <v>0</v>
      </c>
      <c r="AA292" s="163">
        <f ca="1"/>
        <v>0.10976664317524787</v>
      </c>
      <c r="AB292" s="163">
        <f ca="1"/>
        <v>0</v>
      </c>
      <c r="AC292" s="163">
        <f ca="1"/>
        <v>0.1454228900600375</v>
      </c>
      <c r="AD292" s="163">
        <f ca="1"/>
        <v>0.17897433653405015</v>
      </c>
      <c r="AE292" s="139">
        <f ca="1"/>
        <v>0.23136713709073509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4.6285517079027727E-3</v>
      </c>
      <c r="Y293" s="163">
        <f ca="1"/>
        <v>1.0562839514160816E-2</v>
      </c>
      <c r="Z293" s="163">
        <f ca="1"/>
        <v>2.814832231800668E-2</v>
      </c>
      <c r="AA293" s="163">
        <f ca="1"/>
        <v>5.1098501292872966E-2</v>
      </c>
      <c r="AB293" s="163">
        <f ca="1"/>
        <v>0</v>
      </c>
      <c r="AC293" s="163">
        <f ca="1"/>
        <v>0.10534794838885708</v>
      </c>
      <c r="AD293" s="163">
        <f ca="1"/>
        <v>0.14853914718285344</v>
      </c>
      <c r="AE293" s="139">
        <f ca="1"/>
        <v>0.21176099180833208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3.3302164984000404E-3</v>
      </c>
      <c r="Z294" s="163">
        <f ca="1"/>
        <v>1.0481190374145299E-2</v>
      </c>
      <c r="AA294" s="163">
        <f ca="1"/>
        <v>2.1400739274418989E-2</v>
      </c>
      <c r="AB294" s="163">
        <f ca="1"/>
        <v>0</v>
      </c>
      <c r="AC294" s="163">
        <f ca="1"/>
        <v>4.7183353216976087E-2</v>
      </c>
      <c r="AD294" s="163">
        <f ca="1"/>
        <v>7.2275921997210557E-2</v>
      </c>
      <c r="AE294" s="139">
        <f ca="1"/>
        <v>0.10661849595479855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1.4553990202404998E-2</v>
      </c>
      <c r="AB295" s="163">
        <f ca="1"/>
        <v>0</v>
      </c>
      <c r="AC295" s="163">
        <f ca="1"/>
        <v>3.565844548663788E-2</v>
      </c>
      <c r="AD295" s="163">
        <f ca="1"/>
        <v>6.0658982578288945E-2</v>
      </c>
      <c r="AE295" s="139">
        <f ca="1"/>
        <v>0.11035167078663777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1.3285451130952364E-2</v>
      </c>
      <c r="AB296" s="163">
        <f ca="1"/>
        <v>0</v>
      </c>
      <c r="AC296" s="163">
        <f ca="1"/>
        <v>2.9986230439295603E-2</v>
      </c>
      <c r="AD296" s="163">
        <f ca="1"/>
        <v>5.4628964836562988E-2</v>
      </c>
      <c r="AE296" s="139">
        <f ca="1"/>
        <v>9.472736140274185E-2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1.155865286261426E-2</v>
      </c>
      <c r="AB297" s="163">
        <f ca="1"/>
        <v>0</v>
      </c>
      <c r="AC297" s="163">
        <f ca="1"/>
        <v>2.3379728168314351E-2</v>
      </c>
      <c r="AD297" s="163">
        <f ca="1"/>
        <v>4.5463992800217401E-2</v>
      </c>
      <c r="AE297" s="139">
        <f ca="1"/>
        <v>8.2849094841691451E-2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2.6984572038756816E-2</v>
      </c>
      <c r="AD298" s="163">
        <f ca="1"/>
        <v>5.0298822278356026E-2</v>
      </c>
      <c r="AE298" s="139">
        <f ca="1"/>
        <v>9.919620078351421E-2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2.6984572038756816E-2</v>
      </c>
      <c r="AD299" s="163">
        <f ca="1"/>
        <v>5.0298822278356026E-2</v>
      </c>
      <c r="AE299" s="139">
        <f ca="1"/>
        <v>9.919620078351421E-2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2.3938333686611135E-2</v>
      </c>
      <c r="AD300" s="163">
        <f ca="1"/>
        <v>4.4853837705620903E-2</v>
      </c>
      <c r="AE300" s="139">
        <f ca="1"/>
        <v>8.2023307899545039E-2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2.3091260990364293E-2</v>
      </c>
      <c r="AD301" s="163">
        <f ca="1"/>
        <v>4.398995748992296E-2</v>
      </c>
      <c r="AE301" s="139">
        <f ca="1"/>
        <v>7.8218479116512252E-2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2.6281272042375403E-2</v>
      </c>
      <c r="AD302" s="163">
        <f ca="1"/>
        <v>4.3894225038375589E-2</v>
      </c>
      <c r="AE302" s="139">
        <f ca="1"/>
        <v>8.040007409816019E-2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2.4417813494068019E-2</v>
      </c>
      <c r="AD303" s="163">
        <f ca="1"/>
        <v>4.2663991022778958E-2</v>
      </c>
      <c r="AE303" s="139">
        <f ca="1"/>
        <v>7.1975642420099795E-2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2.3733113029913766E-2</v>
      </c>
      <c r="AD304" s="163">
        <f ca="1"/>
        <v>4.1724136050441119E-2</v>
      </c>
      <c r="AE304" s="139">
        <f ca="1"/>
        <v>7.1569807076026781E-2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2.1941721608961906E-2</v>
      </c>
      <c r="AD305" s="163">
        <f ca="1"/>
        <v>4.0619680589123686E-2</v>
      </c>
      <c r="AE305" s="139">
        <f ca="1"/>
        <v>7.38912912566696E-2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3.9967796920000187E-2</v>
      </c>
      <c r="AE306" s="139">
        <f ca="1"/>
        <v>6.526996283753983E-2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2.2657191418825273E-2</v>
      </c>
      <c r="AD307" s="163">
        <f ca="1"/>
        <v>3.6401758521324989E-2</v>
      </c>
      <c r="AE307" s="139">
        <f ca="1"/>
        <v>6.0586083047821648E-2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2.0948893178057038E-2</v>
      </c>
      <c r="AD308" s="163">
        <f ca="1"/>
        <v>3.668904685599772E-2</v>
      </c>
      <c r="AE308" s="139">
        <f ca="1"/>
        <v>6.6693858736039946E-2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1.9265335573838915E-2</v>
      </c>
      <c r="AD309" s="163">
        <f ca="1"/>
        <v>3.5690910031199063E-2</v>
      </c>
      <c r="AE309" s="139">
        <f ca="1"/>
        <v>6.1367811557444973E-2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2.0938486875177853E-2</v>
      </c>
      <c r="AD310" s="163">
        <f ca="1"/>
        <v>3.4053139613530292E-2</v>
      </c>
      <c r="AE310" s="139">
        <f ca="1"/>
        <v>5.927627817202008E-2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1.930687256364072E-2</v>
      </c>
      <c r="AD311" s="163">
        <f ca="1"/>
        <v>3.4419059868956881E-2</v>
      </c>
      <c r="AE311" s="139">
        <f ca="1"/>
        <v>6.1588505624515122E-2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9.5915810484865638E-3</v>
      </c>
      <c r="Y312" s="163">
        <f ca="1"/>
        <v>1.7545947278608365E-2</v>
      </c>
      <c r="Z312" s="163">
        <f ca="1"/>
        <v>3.2324590229869665E-2</v>
      </c>
      <c r="AA312" s="163">
        <f ca="1"/>
        <v>4.6432663469540447E-2</v>
      </c>
      <c r="AB312" s="163">
        <f ca="1"/>
        <v>0</v>
      </c>
      <c r="AC312" s="163">
        <f ca="1"/>
        <v>7.1183219430701716E-2</v>
      </c>
      <c r="AD312" s="163">
        <f ca="1"/>
        <v>9.7901555261036721E-2</v>
      </c>
      <c r="AE312" s="139">
        <f ca="1"/>
        <v>0.13661698105728515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1.7569012819128593E-3</v>
      </c>
      <c r="Y313" s="163">
        <f ca="1"/>
        <v>4.2580118341448703E-3</v>
      </c>
      <c r="Z313" s="163">
        <f ca="1"/>
        <v>1.2169496202838803E-2</v>
      </c>
      <c r="AA313" s="163">
        <f ca="1"/>
        <v>2.2264481688398896E-2</v>
      </c>
      <c r="AB313" s="163">
        <f ca="1"/>
        <v>0</v>
      </c>
      <c r="AC313" s="163">
        <f ca="1"/>
        <v>4.895997615527492E-2</v>
      </c>
      <c r="AD313" s="163">
        <f ca="1"/>
        <v>7.3748342985312298E-2</v>
      </c>
      <c r="AE313" s="139">
        <f ca="1"/>
        <v>0.11225352641792774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1.872827159820889E-2</v>
      </c>
      <c r="AB314" s="163">
        <f ca="1"/>
        <v>0</v>
      </c>
      <c r="AC314" s="163">
        <f ca="1"/>
        <v>3.9528639712653524E-2</v>
      </c>
      <c r="AD314" s="163">
        <f ca="1"/>
        <v>6.7343967713812125E-2</v>
      </c>
      <c r="AE314" s="139">
        <f ca="1"/>
        <v>0.11267773540781101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1.1421870594294004E-2</v>
      </c>
      <c r="AB315" s="163">
        <f ca="1"/>
        <v>1.8326896144971627E-2</v>
      </c>
      <c r="AC315" s="163">
        <f ca="1"/>
        <v>2.6837418667130852E-2</v>
      </c>
      <c r="AD315" s="163">
        <f ca="1"/>
        <v>5.0738101584200557E-2</v>
      </c>
      <c r="AE315" s="139">
        <f ca="1"/>
        <v>8.7982656509006163E-2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3.0513276662984534E-3</v>
      </c>
      <c r="Z316" s="163">
        <f ca="1"/>
        <v>8.5320936551742665E-3</v>
      </c>
      <c r="AA316" s="163">
        <f ca="1"/>
        <v>1.5777004426338004E-2</v>
      </c>
      <c r="AB316" s="163">
        <f ca="1"/>
        <v>0</v>
      </c>
      <c r="AC316" s="163">
        <f ca="1"/>
        <v>3.3661817621356227E-2</v>
      </c>
      <c r="AD316" s="163">
        <f ca="1"/>
        <v>5.325437168385394E-2</v>
      </c>
      <c r="AE316" s="139">
        <f ca="1"/>
        <v>8.3969446354870692E-2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3.062678476910774E-3</v>
      </c>
      <c r="Z317" s="163">
        <f ca="1"/>
        <v>8.072585649740005E-3</v>
      </c>
      <c r="AA317" s="163">
        <f ca="1"/>
        <v>1.4866472113135187E-2</v>
      </c>
      <c r="AB317" s="163">
        <f ca="1"/>
        <v>0</v>
      </c>
      <c r="AC317" s="163">
        <f ca="1"/>
        <v>3.3078069465197757E-2</v>
      </c>
      <c r="AD317" s="163">
        <f ca="1"/>
        <v>5.2247436708376949E-2</v>
      </c>
      <c r="AE317" s="139">
        <f ca="1"/>
        <v>8.1423403872628031E-2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1.3666333974435285E-2</v>
      </c>
      <c r="AB318" s="163">
        <f ca="1"/>
        <v>0</v>
      </c>
      <c r="AC318" s="163">
        <f ca="1"/>
        <v>3.2562878627373948E-2</v>
      </c>
      <c r="AD318" s="163">
        <f ca="1"/>
        <v>4.6613549792661857E-2</v>
      </c>
      <c r="AE318" s="139">
        <f ca="1"/>
        <v>6.9044708091184681E-2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6.8733742204147852E-3</v>
      </c>
      <c r="AA319" s="163">
        <f ca="1"/>
        <v>1.2143398753015622E-2</v>
      </c>
      <c r="AB319" s="163">
        <f ca="1"/>
        <v>0</v>
      </c>
      <c r="AC319" s="163">
        <f ca="1"/>
        <v>2.4594287369473777E-2</v>
      </c>
      <c r="AD319" s="163">
        <f ca="1"/>
        <v>3.5868785255172342E-2</v>
      </c>
      <c r="AE319" s="139">
        <f ca="1"/>
        <v>5.1827430459709278E-2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4.6149491643395546E-2</v>
      </c>
      <c r="AE320" s="139">
        <f ca="1"/>
        <v>8.9304730131437471E-2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1.2643347817584027E-2</v>
      </c>
      <c r="AB321" s="163">
        <f ca="1"/>
        <v>0</v>
      </c>
      <c r="AC321" s="163">
        <f ca="1"/>
        <v>2.7681789591056272E-2</v>
      </c>
      <c r="AD321" s="163">
        <f ca="1"/>
        <v>4.3430244532435824E-2</v>
      </c>
      <c r="AE321" s="139">
        <f ca="1"/>
        <v>6.8219917770306782E-2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2.3639113715906324E-2</v>
      </c>
      <c r="AD322" s="163">
        <f ca="1"/>
        <v>4.0319038262909168E-2</v>
      </c>
      <c r="AE322" s="139">
        <f ca="1"/>
        <v>6.3914210309528263E-2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1.9345306999180467E-2</v>
      </c>
      <c r="AD323" s="163">
        <f ca="1"/>
        <v>3.855687370065497E-2</v>
      </c>
      <c r="AE323" s="139">
        <f ca="1"/>
        <v>7.5315071152317392E-2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2.1023668491753522E-2</v>
      </c>
      <c r="AD324" s="163">
        <f ca="1"/>
        <v>3.6764756685121802E-2</v>
      </c>
      <c r="AE324" s="139">
        <f ca="1"/>
        <v>6.0949612012509924E-2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1.9764501813486102E-2</v>
      </c>
      <c r="AD325" s="163">
        <f ca="1"/>
        <v>3.4125078431814893E-2</v>
      </c>
      <c r="AE325" s="139">
        <f ca="1"/>
        <v>5.8005932126614201E-2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5.1746709986508765E-3</v>
      </c>
      <c r="Y326" s="163">
        <f ca="1"/>
        <v>9.4759407696161091E-3</v>
      </c>
      <c r="Z326" s="163">
        <f ca="1"/>
        <v>1.8098501086159069E-2</v>
      </c>
      <c r="AA326" s="163">
        <f ca="1"/>
        <v>2.9138011250321005E-2</v>
      </c>
      <c r="AB326" s="163">
        <f ca="1"/>
        <v>0</v>
      </c>
      <c r="AC326" s="163">
        <f ca="1"/>
        <v>5.1265248673293518E-2</v>
      </c>
      <c r="AD326" s="163">
        <f ca="1"/>
        <v>7.3227469687650815E-2</v>
      </c>
      <c r="AE326" s="139">
        <f ca="1"/>
        <v>0.10394857171152683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1.331986411467756E-2</v>
      </c>
      <c r="AB327" s="163">
        <f ca="1"/>
        <v>0</v>
      </c>
      <c r="AC327" s="163">
        <f ca="1"/>
        <v>4.385490404865422E-2</v>
      </c>
      <c r="AD327" s="163">
        <f ca="1"/>
        <v>6.9414931280642245E-2</v>
      </c>
      <c r="AE327" s="139">
        <f ca="1"/>
        <v>0.11017393906788786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5.6130272741879983E-3</v>
      </c>
      <c r="AA328" s="163">
        <f ca="1"/>
        <v>1.2304048854776317E-2</v>
      </c>
      <c r="AB328" s="163">
        <f ca="1"/>
        <v>0</v>
      </c>
      <c r="AC328" s="163">
        <f ca="1"/>
        <v>3.213184843563921E-2</v>
      </c>
      <c r="AD328" s="163">
        <f ca="1"/>
        <v>5.084455842099922E-2</v>
      </c>
      <c r="AE328" s="139">
        <f ca="1"/>
        <v>8.0823138615957912E-2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7.1273982193574836E-3</v>
      </c>
      <c r="AA329" s="163">
        <f ca="1"/>
        <v>1.3276948098854269E-2</v>
      </c>
      <c r="AB329" s="163">
        <f ca="1"/>
        <v>0</v>
      </c>
      <c r="AC329" s="163">
        <f ca="1"/>
        <v>3.0575659990083603E-2</v>
      </c>
      <c r="AD329" s="163">
        <f ca="1"/>
        <v>4.9022639077614283E-2</v>
      </c>
      <c r="AE329" s="139">
        <f ca="1"/>
        <v>7.6685873027931728E-2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7.0866707134495943E-3</v>
      </c>
      <c r="AA330" s="163">
        <f ca="1"/>
        <v>1.3899665881247247E-2</v>
      </c>
      <c r="AB330" s="163">
        <f ca="1"/>
        <v>0</v>
      </c>
      <c r="AC330" s="163">
        <f ca="1"/>
        <v>3.189579769495543E-2</v>
      </c>
      <c r="AD330" s="163">
        <f ca="1"/>
        <v>5.1290483782288288E-2</v>
      </c>
      <c r="AE330" s="139">
        <f ca="1"/>
        <v>8.0490927424524239E-2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7.133557339740304E-3</v>
      </c>
      <c r="AA331" s="163">
        <f ca="1"/>
        <v>1.3566431864200035E-2</v>
      </c>
      <c r="AB331" s="163">
        <f ca="1"/>
        <v>0</v>
      </c>
      <c r="AC331" s="163">
        <f ca="1"/>
        <v>3.1910372299619572E-2</v>
      </c>
      <c r="AD331" s="163">
        <f ca="1"/>
        <v>5.1402743952595475E-2</v>
      </c>
      <c r="AE331" s="139">
        <f ca="1"/>
        <v>8.0491800291856319E-2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6.8219625495865577E-3</v>
      </c>
      <c r="AA332" s="163">
        <f ca="1"/>
        <v>1.3350178349911479E-2</v>
      </c>
      <c r="AB332" s="163">
        <f ca="1"/>
        <v>0</v>
      </c>
      <c r="AC332" s="163">
        <f ca="1"/>
        <v>3.1281166427014062E-2</v>
      </c>
      <c r="AD332" s="163">
        <f ca="1"/>
        <v>4.9958475826479831E-2</v>
      </c>
      <c r="AE332" s="139">
        <f ca="1"/>
        <v>7.7949320254831034E-2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1.0246965467613167E-2</v>
      </c>
      <c r="AA333" s="163">
        <f ca="1"/>
        <v>1.882018939552732E-2</v>
      </c>
      <c r="AB333" s="163">
        <f ca="1"/>
        <v>0</v>
      </c>
      <c r="AC333" s="163">
        <f ca="1"/>
        <v>4.0480843151931123E-2</v>
      </c>
      <c r="AD333" s="163">
        <f ca="1"/>
        <v>6.3262816360325713E-2</v>
      </c>
      <c r="AE333" s="139">
        <f ca="1"/>
        <v>9.7441855442318981E-2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6.1770980532525055E-3</v>
      </c>
      <c r="AA334" s="163">
        <f ca="1"/>
        <v>1.1369663516587303E-2</v>
      </c>
      <c r="AB334" s="163">
        <f ca="1"/>
        <v>0</v>
      </c>
      <c r="AC334" s="163">
        <f ca="1"/>
        <v>3.081434959886975E-2</v>
      </c>
      <c r="AD334" s="163">
        <f ca="1"/>
        <v>4.5583367994324497E-2</v>
      </c>
      <c r="AE334" s="139">
        <f ca="1"/>
        <v>7.1867474446855484E-2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1.7452397203122527E-2</v>
      </c>
      <c r="AB335" s="163">
        <f ca="1"/>
        <v>0</v>
      </c>
      <c r="AC335" s="163">
        <f ca="1"/>
        <v>3.7465621264850202E-2</v>
      </c>
      <c r="AD335" s="163">
        <f ca="1"/>
        <v>5.666896778133057E-2</v>
      </c>
      <c r="AE335" s="139">
        <f ca="1"/>
        <v>8.482491624587718E-2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8.3492667513329621E-3</v>
      </c>
      <c r="AB336" s="163">
        <f ca="1"/>
        <v>0</v>
      </c>
      <c r="AC336" s="163">
        <f ca="1"/>
        <v>2.485341999313373E-2</v>
      </c>
      <c r="AD336" s="163">
        <f ca="1"/>
        <v>3.9209819496294429E-2</v>
      </c>
      <c r="AE336" s="139">
        <f ca="1"/>
        <v>6.2660593722787317E-2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9.0818763854764173E-3</v>
      </c>
      <c r="AB337" s="163">
        <f ca="1"/>
        <v>0</v>
      </c>
      <c r="AC337" s="163">
        <f ca="1"/>
        <v>2.2285864420232726E-2</v>
      </c>
      <c r="AD337" s="163">
        <f ca="1"/>
        <v>3.6529452863097278E-2</v>
      </c>
      <c r="AE337" s="139">
        <f ca="1"/>
        <v>5.974328315793076E-2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1.9848495814106415E-2</v>
      </c>
      <c r="AB338" s="163">
        <f ca="1"/>
        <v>0</v>
      </c>
      <c r="AC338" s="163">
        <f ca="1"/>
        <v>3.7706485381016508E-2</v>
      </c>
      <c r="AD338" s="163">
        <f ca="1"/>
        <v>5.2464982650913261E-2</v>
      </c>
      <c r="AE338" s="139">
        <f ca="1"/>
        <v>7.4433846511272717E-2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1.0305009021456368E-2</v>
      </c>
      <c r="AB339" s="163">
        <f ca="1"/>
        <v>0</v>
      </c>
      <c r="AC339" s="163">
        <f ca="1"/>
        <v>2.3836226960806783E-2</v>
      </c>
      <c r="AD339" s="163">
        <f ca="1"/>
        <v>3.2760790733897593E-2</v>
      </c>
      <c r="AE339" s="139">
        <f ca="1"/>
        <v>5.1994207092566858E-2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1.8151435170310259E-2</v>
      </c>
      <c r="AD340" s="163">
        <f ca="1"/>
        <v>3.2833692089929256E-2</v>
      </c>
      <c r="AE340" s="139">
        <f ca="1"/>
        <v>5.8223225459689609E-2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2.3663017112081519E-2</v>
      </c>
      <c r="AD341" s="163">
        <f ca="1"/>
        <v>4.1653012231579245E-2</v>
      </c>
      <c r="AE341" s="139">
        <f ca="1"/>
        <v>7.3430338661679584E-2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1.2563404344919871E-2</v>
      </c>
      <c r="AB342" s="163">
        <f ca="1"/>
        <v>0</v>
      </c>
      <c r="AC342" s="163">
        <f ca="1"/>
        <v>2.5013259792995512E-2</v>
      </c>
      <c r="AD342" s="163">
        <f ca="1"/>
        <v>3.9696815218021486E-2</v>
      </c>
      <c r="AE342" s="139">
        <f ca="1"/>
        <v>6.5228739431429705E-2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1.2914839494722496E-2</v>
      </c>
      <c r="AB343" s="163">
        <f ca="1"/>
        <v>0</v>
      </c>
      <c r="AC343" s="163">
        <f ca="1"/>
        <v>3.3662117994242347E-2</v>
      </c>
      <c r="AD343" s="163">
        <f ca="1"/>
        <v>6.4403011515326236E-2</v>
      </c>
      <c r="AE343" s="139">
        <f ca="1"/>
        <v>8.8606393074069478E-2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4.0676571480778856E-3</v>
      </c>
      <c r="Z344" s="163">
        <f ca="1"/>
        <v>0</v>
      </c>
      <c r="AA344" s="163">
        <f ca="1"/>
        <v>1.837882664711854E-2</v>
      </c>
      <c r="AB344" s="163">
        <f ca="1"/>
        <v>0</v>
      </c>
      <c r="AC344" s="163">
        <f ca="1"/>
        <v>3.8985020812760784E-2</v>
      </c>
      <c r="AD344" s="163">
        <f ca="1"/>
        <v>5.7541043846429885E-2</v>
      </c>
      <c r="AE344" s="139">
        <f ca="1"/>
        <v>9.2291067812273031E-2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7.7541074714476688E-3</v>
      </c>
      <c r="AA345" s="163">
        <f ca="1"/>
        <v>1.5723172040994715E-2</v>
      </c>
      <c r="AB345" s="163">
        <f ca="1"/>
        <v>0</v>
      </c>
      <c r="AC345" s="163">
        <f ca="1"/>
        <v>3.6432889190453288E-2</v>
      </c>
      <c r="AD345" s="163">
        <f ca="1"/>
        <v>5.6839213891024976E-2</v>
      </c>
      <c r="AE345" s="139">
        <f ca="1"/>
        <v>8.4942026703050955E-2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3.1326465447073515E-3</v>
      </c>
      <c r="Z346" s="163">
        <f ca="1"/>
        <v>8.473179601035663E-3</v>
      </c>
      <c r="AA346" s="163">
        <f ca="1"/>
        <v>1.6016737771848755E-2</v>
      </c>
      <c r="AB346" s="163">
        <f ca="1"/>
        <v>0</v>
      </c>
      <c r="AC346" s="163">
        <f ca="1"/>
        <v>3.498712370674073E-2</v>
      </c>
      <c r="AD346" s="163">
        <f ca="1"/>
        <v>5.3867703964369573E-2</v>
      </c>
      <c r="AE346" s="139">
        <f ca="1"/>
        <v>8.0824084226146731E-2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3.0093834699563837E-3</v>
      </c>
      <c r="Z347" s="163">
        <f ca="1"/>
        <v>8.3454772045297165E-3</v>
      </c>
      <c r="AA347" s="163">
        <f ca="1"/>
        <v>1.5706671101598957E-2</v>
      </c>
      <c r="AB347" s="163">
        <f ca="1"/>
        <v>0</v>
      </c>
      <c r="AC347" s="163">
        <f ca="1"/>
        <v>3.5025264911777598E-2</v>
      </c>
      <c r="AD347" s="163">
        <f ca="1"/>
        <v>5.4879387656398548E-2</v>
      </c>
      <c r="AE347" s="139">
        <f ca="1"/>
        <v>8.5028579700298312E-2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4.7410046961384733E-3</v>
      </c>
      <c r="Z348" s="163">
        <f ca="1"/>
        <v>0</v>
      </c>
      <c r="AA348" s="163">
        <f ca="1"/>
        <v>1.9704084454349902E-2</v>
      </c>
      <c r="AB348" s="163">
        <f ca="1"/>
        <v>0</v>
      </c>
      <c r="AC348" s="163">
        <f ca="1"/>
        <v>4.382335779230917E-2</v>
      </c>
      <c r="AD348" s="163">
        <f ca="1"/>
        <v>7.049976385336687E-2</v>
      </c>
      <c r="AE348" s="139">
        <f ca="1"/>
        <v>0.12089657351307259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7.3418344215072651E-3</v>
      </c>
      <c r="AA349" s="163">
        <f ca="1"/>
        <v>1.3913434105322198E-2</v>
      </c>
      <c r="AB349" s="163">
        <f ca="1"/>
        <v>0</v>
      </c>
      <c r="AC349" s="163">
        <f ca="1"/>
        <v>3.1865390857068188E-2</v>
      </c>
      <c r="AD349" s="163">
        <f ca="1"/>
        <v>5.0576787959548564E-2</v>
      </c>
      <c r="AE349" s="139">
        <f ca="1"/>
        <v>7.9117859694320058E-2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7.3134447282865445E-3</v>
      </c>
      <c r="AA350" s="163">
        <f ca="1"/>
        <v>1.3832275605382582E-2</v>
      </c>
      <c r="AB350" s="163">
        <f ca="1"/>
        <v>0</v>
      </c>
      <c r="AC350" s="163">
        <f ca="1"/>
        <v>3.0521862091484553E-2</v>
      </c>
      <c r="AD350" s="163">
        <f ca="1"/>
        <v>4.8187052982309408E-2</v>
      </c>
      <c r="AE350" s="139">
        <f ca="1"/>
        <v>7.5299819280433944E-2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3.9614644705753266E-3</v>
      </c>
      <c r="Z351" s="163">
        <f ca="1"/>
        <v>1.0245908877189569E-2</v>
      </c>
      <c r="AA351" s="163">
        <f ca="1"/>
        <v>1.7490078445532409E-2</v>
      </c>
      <c r="AB351" s="163">
        <f ca="1"/>
        <v>0</v>
      </c>
      <c r="AC351" s="163">
        <f ca="1"/>
        <v>3.6064427985862957E-2</v>
      </c>
      <c r="AD351" s="163">
        <f ca="1"/>
        <v>5.6048494879166633E-2</v>
      </c>
      <c r="AE351" s="139">
        <f ca="1"/>
        <v>8.580059280055885E-2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4.1957261556332393E-3</v>
      </c>
      <c r="Z352" s="163">
        <f ca="1"/>
        <v>1.1678697267398119E-2</v>
      </c>
      <c r="AA352" s="163">
        <f ca="1"/>
        <v>1.994954140733296E-2</v>
      </c>
      <c r="AB352" s="163">
        <f ca="1"/>
        <v>0</v>
      </c>
      <c r="AC352" s="163">
        <f ca="1"/>
        <v>3.9406472642003698E-2</v>
      </c>
      <c r="AD352" s="163">
        <f ca="1"/>
        <v>5.9233327305617034E-2</v>
      </c>
      <c r="AE352" s="139">
        <f ca="1"/>
        <v>8.9985079918530331E-2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7.5849409740034179E-3</v>
      </c>
      <c r="AA353" s="163">
        <f ca="1"/>
        <v>1.4989408919950598E-2</v>
      </c>
      <c r="AB353" s="163">
        <f ca="1"/>
        <v>0</v>
      </c>
      <c r="AC353" s="163">
        <f ca="1"/>
        <v>3.826148119557693E-2</v>
      </c>
      <c r="AD353" s="163">
        <f ca="1"/>
        <v>6.1441035128080634E-2</v>
      </c>
      <c r="AE353" s="139">
        <f ca="1"/>
        <v>9.2893192368845967E-2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4.8194974659373502E-3</v>
      </c>
      <c r="Z354" s="163">
        <f ca="1"/>
        <v>1.172048119350777E-2</v>
      </c>
      <c r="AA354" s="163">
        <f ca="1"/>
        <v>1.8895037907204815E-2</v>
      </c>
      <c r="AB354" s="163">
        <f ca="1"/>
        <v>0</v>
      </c>
      <c r="AC354" s="163">
        <f ca="1"/>
        <v>3.6742702870547039E-2</v>
      </c>
      <c r="AD354" s="163">
        <f ca="1"/>
        <v>5.5734304493471165E-2</v>
      </c>
      <c r="AE354" s="139">
        <f ca="1"/>
        <v>8.5489821613291772E-2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7.4307257335518573E-3</v>
      </c>
      <c r="AA355" s="163">
        <f ca="1"/>
        <v>1.3799000249824389E-2</v>
      </c>
      <c r="AB355" s="163">
        <f ca="1"/>
        <v>0</v>
      </c>
      <c r="AC355" s="163">
        <f ca="1"/>
        <v>3.2061897454909616E-2</v>
      </c>
      <c r="AD355" s="163">
        <f ca="1"/>
        <v>5.1174930338279911E-2</v>
      </c>
      <c r="AE355" s="139">
        <f ca="1"/>
        <v>7.9933609228008851E-2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6.0672701194900425E-3</v>
      </c>
      <c r="AA356" s="163">
        <f ca="1"/>
        <v>1.1116541161651394E-2</v>
      </c>
      <c r="AB356" s="163">
        <f ca="1"/>
        <v>0</v>
      </c>
      <c r="AC356" s="163">
        <f ca="1"/>
        <v>2.3369513743996539E-2</v>
      </c>
      <c r="AD356" s="163">
        <f ca="1"/>
        <v>3.7099844477386679E-2</v>
      </c>
      <c r="AE356" s="139">
        <f ca="1"/>
        <v>6.0652545393524493E-2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4.0014822472422829E-3</v>
      </c>
      <c r="Z357" s="163">
        <f ca="1"/>
        <v>1.014033147201765E-2</v>
      </c>
      <c r="AA357" s="163">
        <f ca="1"/>
        <v>1.7873611442950743E-2</v>
      </c>
      <c r="AB357" s="163">
        <f ca="1"/>
        <v>0</v>
      </c>
      <c r="AC357" s="163">
        <f ca="1"/>
        <v>3.5146452860513655E-2</v>
      </c>
      <c r="AD357" s="163">
        <f ca="1"/>
        <v>5.4178830059065985E-2</v>
      </c>
      <c r="AE357" s="139">
        <f ca="1"/>
        <v>8.6150883126535183E-2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7.0144703321560753E-3</v>
      </c>
      <c r="AA358" s="163">
        <f ca="1"/>
        <v>1.3559783679599979E-2</v>
      </c>
      <c r="AB358" s="163">
        <f ca="1"/>
        <v>0</v>
      </c>
      <c r="AC358" s="163">
        <f ca="1"/>
        <v>3.1903552301984828E-2</v>
      </c>
      <c r="AD358" s="163">
        <f ca="1"/>
        <v>5.0615143403626717E-2</v>
      </c>
      <c r="AE358" s="139">
        <f ca="1"/>
        <v>7.7716638176230757E-2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9.3517753699858819E-3</v>
      </c>
      <c r="AB359" s="163">
        <f ca="1"/>
        <v>0</v>
      </c>
      <c r="AC359" s="163">
        <f ca="1"/>
        <v>2.4231883842183222E-2</v>
      </c>
      <c r="AD359" s="163">
        <f ca="1"/>
        <v>4.3057490392400588E-2</v>
      </c>
      <c r="AE359" s="139">
        <f ca="1"/>
        <v>7.3842062998323299E-2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6.6338700347560842E-2</v>
      </c>
      <c r="Z360" s="163">
        <f ca="1"/>
        <v>0</v>
      </c>
      <c r="AA360" s="163">
        <f ca="1"/>
        <v>0.15120423764939006</v>
      </c>
      <c r="AB360" s="163">
        <f ca="1"/>
        <v>0</v>
      </c>
      <c r="AC360" s="163">
        <f ca="1"/>
        <v>0.20817762544881113</v>
      </c>
      <c r="AD360" s="163">
        <f ca="1"/>
        <v>0.23716066161247684</v>
      </c>
      <c r="AE360" s="139">
        <f ca="1"/>
        <v>0.27210157797331913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1.4824887833724487E-2</v>
      </c>
      <c r="AB361" s="163">
        <f ca="1"/>
        <v>0</v>
      </c>
      <c r="AC361" s="163">
        <f ca="1"/>
        <v>3.0092577084411154E-2</v>
      </c>
      <c r="AD361" s="163">
        <f ca="1"/>
        <v>4.2076484180519458E-2</v>
      </c>
      <c r="AE361" s="139">
        <f ca="1"/>
        <v>6.2028177679398055E-2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3" zoomScale="134" zoomScaleNormal="175" workbookViewId="0">
      <selection activeCell="F14" sqref="F14"/>
    </sheetView>
  </sheetViews>
  <sheetFormatPr baseColWidth="10"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3" t="s">
        <v>456</v>
      </c>
      <c r="D3" s="494"/>
      <c r="E3" s="495"/>
    </row>
    <row r="4" spans="2:11">
      <c r="C4" s="496"/>
      <c r="D4" s="497"/>
      <c r="E4" s="498"/>
    </row>
    <row r="5" spans="2:11" ht="15" thickBot="1">
      <c r="C5" s="499"/>
      <c r="D5" s="500"/>
      <c r="E5" s="501"/>
    </row>
    <row r="6" spans="2:11" ht="15" thickBot="1"/>
    <row r="7" spans="2:11" ht="16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" thickBot="1">
      <c r="B11" s="208" t="s">
        <v>434</v>
      </c>
      <c r="C11" s="195"/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" thickBot="1">
      <c r="B13" s="209" t="s">
        <v>496</v>
      </c>
      <c r="C13" s="75">
        <v>1</v>
      </c>
      <c r="D13" s="79"/>
      <c r="E13" s="79"/>
      <c r="F13" s="79"/>
      <c r="G13" s="226"/>
      <c r="H13" s="79"/>
      <c r="I13" s="79"/>
      <c r="J13" s="79"/>
      <c r="K13" s="79"/>
    </row>
    <row r="14" spans="2:11" ht="1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 cm="1">
        <f t="array" aca="1" ref="F15:K22" ca="1">IF(NOT($F$9),"",GetCDS(C9,C10,C11,C12,C13,C19,C20,C21,C15,C16,C17,C23,C24,C26,C28:C30,C32))</f>
        <v>0</v>
      </c>
      <c r="G15" s="272" t="str">
        <f ca="1"/>
        <v>0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0,018150640499075</v>
      </c>
      <c r="G16" s="274" t="str">
        <f ca="1"/>
        <v>0,018150640499075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" thickBot="1">
      <c r="B17" s="209" t="s">
        <v>439</v>
      </c>
      <c r="C17" s="196">
        <v>0</v>
      </c>
      <c r="E17" s="229" t="s">
        <v>438</v>
      </c>
      <c r="F17" s="284" t="str">
        <f ca="1"/>
        <v>0,018150640499075</v>
      </c>
      <c r="G17" s="274" t="str">
        <f ca="1"/>
        <v>0,018150640499075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" thickBot="1">
      <c r="B18" s="202"/>
      <c r="C18" s="79"/>
      <c r="E18" s="229" t="s">
        <v>440</v>
      </c>
      <c r="F18" s="284" t="str">
        <f ca="1"/>
        <v>0,00415464586288723</v>
      </c>
      <c r="G18" s="274" t="str">
        <f ca="1"/>
        <v>0,00415464586288723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4,36875755433494</v>
      </c>
      <c r="G19" s="276" t="str">
        <f ca="1"/>
        <v>4,36875755433494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" thickBot="1">
      <c r="B20" s="208" t="s">
        <v>444</v>
      </c>
      <c r="C20" s="69" t="s">
        <v>445</v>
      </c>
      <c r="E20" s="229" t="s">
        <v>443</v>
      </c>
      <c r="F20" s="285" t="str">
        <f ca="1"/>
        <v>00:00:00.0101987</v>
      </c>
      <c r="G20" s="278" t="str">
        <f ca="1"/>
        <v>00:00:00.0101987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" thickBot="1">
      <c r="B22" s="202"/>
      <c r="C22" s="79"/>
      <c r="E22" s="231"/>
      <c r="F22" s="279" t="str">
        <f ca="1"/>
        <v>0,000451771761934664</v>
      </c>
      <c r="G22" s="279" t="str">
        <f ca="1"/>
        <v>0,000451771761934664</v>
      </c>
      <c r="H22" s="280" t="str">
        <f ca="1"/>
        <v>1</v>
      </c>
      <c r="I22" s="279" t="str">
        <f ca="1"/>
        <v>1</v>
      </c>
      <c r="J22" s="279" t="str">
        <f ca="1"/>
        <v>-0,018150640499075</v>
      </c>
      <c r="K22" s="280" t="str">
        <f ca="1"/>
        <v>ABNAMRO_MMR.EUR.SU</v>
      </c>
    </row>
    <row r="23" spans="2:11">
      <c r="B23" s="210" t="s">
        <v>447</v>
      </c>
      <c r="C23" s="197" t="b">
        <v>1</v>
      </c>
    </row>
    <row r="24" spans="2:11" ht="15" thickBot="1">
      <c r="B24" s="209" t="s">
        <v>448</v>
      </c>
      <c r="C24" s="198" t="b">
        <v>1</v>
      </c>
    </row>
    <row r="25" spans="2:11" ht="15" thickBot="1">
      <c r="B25" s="203"/>
      <c r="C25" s="85"/>
      <c r="D25" s="199"/>
      <c r="H25" s="282"/>
    </row>
    <row r="26" spans="2:11" ht="15" thickBot="1">
      <c r="B26" s="180" t="s">
        <v>449</v>
      </c>
      <c r="C26" s="197" t="b">
        <v>1</v>
      </c>
      <c r="D26" s="85"/>
    </row>
    <row r="27" spans="2:11" ht="15" thickBot="1">
      <c r="B27" s="205" t="s">
        <v>450</v>
      </c>
      <c r="C27" s="219"/>
      <c r="D27" s="85"/>
    </row>
    <row r="28" spans="2:11">
      <c r="B28" s="205" t="s">
        <v>434</v>
      </c>
      <c r="C28" s="227"/>
      <c r="D28" s="85"/>
    </row>
    <row r="29" spans="2:11">
      <c r="B29" s="205" t="s">
        <v>447</v>
      </c>
      <c r="C29" s="200" t="b">
        <v>1</v>
      </c>
      <c r="D29" s="85"/>
    </row>
    <row r="30" spans="2:11" ht="15" thickBot="1">
      <c r="B30" s="206" t="s">
        <v>448</v>
      </c>
      <c r="C30" s="201" t="b">
        <v>1</v>
      </c>
      <c r="D30" s="85"/>
    </row>
    <row r="31" spans="2:11" ht="15" thickBot="1">
      <c r="B31" s="204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6350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baseColWidth="10" defaultColWidth="11.453125" defaultRowHeight="14.5"/>
  <sheetData>
    <row r="2" spans="2:11">
      <c r="J2" s="283"/>
      <c r="K2" s="176"/>
    </row>
    <row r="3" spans="2:11">
      <c r="J3" s="283"/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502">
        <v>1</v>
      </c>
      <c r="J6" s="503"/>
      <c r="K6" s="504"/>
    </row>
    <row r="7" spans="2:11" ht="15" thickBot="1">
      <c r="D7" s="170"/>
      <c r="H7" s="182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8.0983434351630912E-2</v>
      </c>
      <c r="E129" s="218">
        <f t="shared" ca="1" si="6"/>
        <v>1.0158293403183621E-2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158750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abSelected="1" zoomScaleNormal="100" workbookViewId="0">
      <selection activeCell="I8" sqref="I8"/>
    </sheetView>
  </sheetViews>
  <sheetFormatPr baseColWidth="10" defaultColWidth="11.453125" defaultRowHeight="10"/>
  <cols>
    <col min="1" max="1" width="3.1796875" style="232" customWidth="1"/>
    <col min="2" max="2" width="17.1796875" style="232" customWidth="1"/>
    <col min="3" max="3" width="20" style="233" customWidth="1"/>
    <col min="4" max="4" width="10.453125" style="233" bestFit="1" customWidth="1"/>
    <col min="5" max="5" width="10" style="233" bestFit="1" customWidth="1"/>
    <col min="6" max="6" width="7.453125" style="233" customWidth="1"/>
    <col min="7" max="7" width="9.7265625" style="233" customWidth="1"/>
    <col min="8" max="8" width="11.26953125" style="233" customWidth="1"/>
    <col min="9" max="13" width="24.1796875" style="232" customWidth="1"/>
    <col min="14" max="14" width="36.7265625" style="232" customWidth="1"/>
    <col min="15" max="15" width="4.1796875" style="232" customWidth="1"/>
    <col min="16" max="16" width="25.1796875" style="232" customWidth="1"/>
    <col min="17" max="17" width="23.54296875" style="232" customWidth="1"/>
    <col min="18" max="18" width="23.1796875" style="232" customWidth="1"/>
    <col min="19" max="19" width="24.54296875" style="232" customWidth="1"/>
    <col min="20" max="20" width="22.1796875" style="232" customWidth="1"/>
    <col min="21" max="21" width="13.1796875" style="232" bestFit="1" customWidth="1"/>
    <col min="22" max="23" width="11.453125" style="232" customWidth="1"/>
    <col min="24" max="24" width="13.1796875" style="232" customWidth="1"/>
    <col min="25" max="16384" width="11.453125" style="232"/>
  </cols>
  <sheetData>
    <row r="4" spans="1:26" ht="10.5" thickBot="1"/>
    <row r="5" spans="1:26" ht="11" thickBot="1">
      <c r="H5" s="287" t="s">
        <v>423</v>
      </c>
      <c r="I5" s="234" t="b">
        <v>1</v>
      </c>
    </row>
    <row r="6" spans="1:26" ht="11" thickBot="1">
      <c r="B6" s="288" t="s">
        <v>432</v>
      </c>
      <c r="C6" s="235" t="s">
        <v>57</v>
      </c>
    </row>
    <row r="7" spans="1:26" customFormat="1" ht="1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4.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-0.19382642265833722</v>
      </c>
      <c r="W11" s="79"/>
      <c r="X11" s="442" t="s">
        <v>507</v>
      </c>
      <c r="Y11" s="467">
        <f ca="1">SUM(Y15:Y314)</f>
        <v>-1.0265553087788468E-2</v>
      </c>
      <c r="Z11" s="79"/>
    </row>
    <row r="12" spans="1:26" customFormat="1" ht="14.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-0.13435031392961352</v>
      </c>
      <c r="W12" s="79"/>
      <c r="X12" s="442" t="s">
        <v>498</v>
      </c>
      <c r="Y12" s="443">
        <f ca="1">$J$8+Y11</f>
        <v>4.9210555640935232E-2</v>
      </c>
      <c r="Z12" s="79"/>
    </row>
    <row r="13" spans="1:26" customFormat="1" ht="1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00:00:00.5251474</v>
      </c>
      <c r="J13" s="425" t="str">
        <f ca="1"/>
        <v>00:00:00.5251474</v>
      </c>
      <c r="K13" s="433" t="str">
        <f ca="1"/>
        <v>Leverage=</v>
      </c>
      <c r="L13" s="434" t="str">
        <f ca="1"/>
        <v>11,8204177537573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11,8204177537573</v>
      </c>
      <c r="R13" s="445"/>
      <c r="S13" s="79"/>
      <c r="T13" s="79"/>
      <c r="U13" s="446" t="s">
        <v>500</v>
      </c>
      <c r="V13" s="447">
        <f ca="1">V12*(C20-C21)</f>
        <v>-0.34931081621699517</v>
      </c>
      <c r="W13" s="79"/>
      <c r="X13" s="442" t="s">
        <v>500</v>
      </c>
      <c r="Y13" s="448">
        <f ca="1">Y12*(C20-C21)</f>
        <v>0.1279474446664316</v>
      </c>
      <c r="Z13" s="79"/>
    </row>
    <row r="14" spans="1:26" customFormat="1" ht="1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0,000175498368075</v>
      </c>
      <c r="J15" s="424" t="str">
        <f ca="1"/>
        <v>0,000461610250444573</v>
      </c>
      <c r="K15" s="436" t="str">
        <f ca="1"/>
        <v>0,380187328825517</v>
      </c>
      <c r="L15" s="436" t="str">
        <f ca="1"/>
        <v>0,380187328825517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0.11820417753757299</v>
      </c>
      <c r="V15" s="460">
        <f ca="1">IF($Q$12,IF(U15="","",U15*($V$10-S15)*T15),"")</f>
        <v>-2.1454815319733225E-3</v>
      </c>
      <c r="W15" s="459">
        <f ca="1">IF($Q$12,IF(OR(P15="",L15=""),"",L15/($C$20-$C$19)),"")</f>
        <v>0.12672910960850567</v>
      </c>
      <c r="X15" s="461">
        <f ca="1">IF($Q$12,IF(S15="","",S15*$Y$10),"")</f>
        <v>3.9469135697428681E-3</v>
      </c>
      <c r="Y15" s="460">
        <f ca="1">IF($Q$12,IF(W15="","",W15*(X15-S15)*T15),"")</f>
        <v>-1.150107254635929E-4</v>
      </c>
      <c r="Z15" s="136">
        <f ca="1">W15-U15</f>
        <v>8.5249320709326754E-3</v>
      </c>
    </row>
    <row r="16" spans="1:26" customFormat="1" ht="1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0,000166657508796141</v>
      </c>
      <c r="J16" s="424" t="str">
        <f ca="1"/>
        <v>0,000463480905137716</v>
      </c>
      <c r="K16" s="436" t="str">
        <f ca="1"/>
        <v>0,359577939347084</v>
      </c>
      <c r="L16" s="436" t="str">
        <f ca="1"/>
        <v>0,359577939347084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0.11820417753757299</v>
      </c>
      <c r="V16" s="460">
        <f t="shared" ref="V16:V79" ca="1" si="0">IF($Q$12,IF(U16="","",U16*($V$10-S16)*T16),"")</f>
        <v>-1.9364581090337233E-3</v>
      </c>
      <c r="W16" s="459">
        <f t="shared" ref="W16:W79" ca="1" si="1">IF($Q$12,IF(OR(P16="",L16=""),"",L16/($C$20-$C$19)),"")</f>
        <v>0.11985931311569466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-9.8178653098923623E-5</v>
      </c>
      <c r="Z16" s="79"/>
    </row>
    <row r="17" spans="1:26" customFormat="1" ht="14.5">
      <c r="A17" s="232"/>
      <c r="B17" s="288" t="s">
        <v>463</v>
      </c>
      <c r="C17" s="243">
        <f ca="1"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0,000174149451802386</v>
      </c>
      <c r="J17" s="424" t="str">
        <f ca="1"/>
        <v>0,000461872591437487</v>
      </c>
      <c r="K17" s="436" t="str">
        <f ca="1"/>
        <v>0,377050846988734</v>
      </c>
      <c r="L17" s="436" t="str">
        <f ca="1"/>
        <v>0,377050846988734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0.11820417753757299</v>
      </c>
      <c r="V17" s="460">
        <f t="shared" ca="1" si="0"/>
        <v>-2.1487627746889985E-3</v>
      </c>
      <c r="W17" s="459">
        <f t="shared" ca="1" si="1"/>
        <v>0.12568361566291134</v>
      </c>
      <c r="X17" s="461">
        <f t="shared" ca="1" si="2"/>
        <v>3.946740290690769E-3</v>
      </c>
      <c r="Y17" s="460">
        <f t="shared" ca="1" si="3"/>
        <v>-1.1423634948897618E-4</v>
      </c>
      <c r="Z17" s="79"/>
    </row>
    <row r="18" spans="1:26" customFormat="1" ht="14.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0,00017170898592902</v>
      </c>
      <c r="J18" s="424" t="str">
        <f ca="1"/>
        <v>0,000462458334997827</v>
      </c>
      <c r="K18" s="436" t="str">
        <f ca="1"/>
        <v>0,371296121043698</v>
      </c>
      <c r="L18" s="436" t="str">
        <f ca="1"/>
        <v>0,371296121043698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0.11820417753757299</v>
      </c>
      <c r="V18" s="460">
        <f t="shared" ca="1" si="0"/>
        <v>-2.0400207528077276E-3</v>
      </c>
      <c r="W18" s="459">
        <f t="shared" ca="1" si="1"/>
        <v>0.12376537368123268</v>
      </c>
      <c r="X18" s="461">
        <f t="shared" ca="1" si="2"/>
        <v>3.7497245944589168E-3</v>
      </c>
      <c r="Y18" s="460">
        <f t="shared" ca="1" si="3"/>
        <v>-1.067999186020571E-4</v>
      </c>
      <c r="Z18" s="79"/>
    </row>
    <row r="19" spans="1:26" customFormat="1" ht="14.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0,00014207183675543</v>
      </c>
      <c r="J19" s="424" t="str">
        <f ca="1"/>
        <v>0,000467939035231105</v>
      </c>
      <c r="K19" s="436" t="str">
        <f ca="1"/>
        <v>0,303611851243109</v>
      </c>
      <c r="L19" s="436" t="str">
        <f ca="1"/>
        <v>0,303611851243109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0.11820417753757299</v>
      </c>
      <c r="V19" s="460">
        <f t="shared" ca="1" si="0"/>
        <v>-1.3494020271239634E-3</v>
      </c>
      <c r="W19" s="459">
        <f t="shared" ca="1" si="1"/>
        <v>0.10120395041436968</v>
      </c>
      <c r="X19" s="461">
        <f t="shared" ca="1" si="2"/>
        <v>2.4676128376656123E-3</v>
      </c>
      <c r="Y19" s="460">
        <f t="shared" ca="1" si="3"/>
        <v>-5.7766492981474513E-5</v>
      </c>
      <c r="Z19" s="79"/>
    </row>
    <row r="20" spans="1:26" customFormat="1" ht="14.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0,000160066652125579</v>
      </c>
      <c r="J20" s="424" t="str">
        <f ca="1"/>
        <v>0,000464829475855686</v>
      </c>
      <c r="K20" s="436" t="str">
        <f ca="1"/>
        <v>0,344355641024956</v>
      </c>
      <c r="L20" s="436" t="str">
        <f ca="1"/>
        <v>0,344355641024956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0.11820417753757299</v>
      </c>
      <c r="V20" s="460">
        <f t="shared" ca="1" si="0"/>
        <v>-1.7208653673679766E-3</v>
      </c>
      <c r="W20" s="459">
        <f t="shared" ca="1" si="1"/>
        <v>0.11478521367498534</v>
      </c>
      <c r="X20" s="461">
        <f t="shared" ca="1" si="2"/>
        <v>3.1581349839525075E-3</v>
      </c>
      <c r="Y20" s="460">
        <f t="shared" ca="1" si="3"/>
        <v>-8.3554533779665914E-5</v>
      </c>
      <c r="Z20" s="79"/>
    </row>
    <row r="21" spans="1:26" customFormat="1" ht="14.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0,000195627172128554</v>
      </c>
      <c r="J21" s="424" t="str">
        <f ca="1"/>
        <v>0,000444043000849135</v>
      </c>
      <c r="K21" s="436" t="str">
        <f ca="1"/>
        <v>0,440559071428803</v>
      </c>
      <c r="L21" s="436" t="str">
        <f ca="1"/>
        <v>0,440559071428803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0.11820417753757299</v>
      </c>
      <c r="V21" s="460">
        <f t="shared" ca="1" si="0"/>
        <v>-3.0485700789953398E-3</v>
      </c>
      <c r="W21" s="459">
        <f t="shared" ca="1" si="1"/>
        <v>0.146853023809601</v>
      </c>
      <c r="X21" s="461">
        <f t="shared" ca="1" si="2"/>
        <v>5.621757517848637E-3</v>
      </c>
      <c r="Y21" s="460">
        <f t="shared" ca="1" si="3"/>
        <v>-1.8937221328477804E-4</v>
      </c>
      <c r="Z21" s="79"/>
    </row>
    <row r="22" spans="1:26" customFormat="1" ht="1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0,000193331763626614</v>
      </c>
      <c r="J22" s="424" t="str">
        <f ca="1"/>
        <v>0,000456342396202617</v>
      </c>
      <c r="K22" s="436" t="str">
        <f ca="1"/>
        <v>0,42365505645628</v>
      </c>
      <c r="L22" s="436" t="str">
        <f ca="1"/>
        <v>0,42365505645628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0.11820417753757299</v>
      </c>
      <c r="V22" s="460">
        <f t="shared" ca="1" si="0"/>
        <v>-2.7836364689407373E-3</v>
      </c>
      <c r="W22" s="459">
        <f t="shared" ca="1" si="1"/>
        <v>0.14121835215209333</v>
      </c>
      <c r="X22" s="461">
        <f t="shared" ca="1" si="2"/>
        <v>5.1293355986811269E-3</v>
      </c>
      <c r="Y22" s="460">
        <f t="shared" ca="1" si="3"/>
        <v>-1.6628031399707938E-4</v>
      </c>
      <c r="Z22" s="79"/>
    </row>
    <row r="23" spans="1:26" customFormat="1" ht="1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0,000137410456078402</v>
      </c>
      <c r="J23" s="424" t="str">
        <f ca="1"/>
        <v>0,000468659993897739</v>
      </c>
      <c r="K23" s="436" t="str">
        <f ca="1"/>
        <v>0,293198604249512</v>
      </c>
      <c r="L23" s="436" t="str">
        <f ca="1"/>
        <v>0,293198604249512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0.11820417753757299</v>
      </c>
      <c r="V23" s="460">
        <f t="shared" ca="1" si="0"/>
        <v>-1.2416814993321886E-3</v>
      </c>
      <c r="W23" s="459">
        <f t="shared" ca="1" si="1"/>
        <v>9.7732868083170665E-2</v>
      </c>
      <c r="X23" s="461">
        <f t="shared" ca="1" si="2"/>
        <v>2.2703257927492795E-3</v>
      </c>
      <c r="Y23" s="460">
        <f t="shared" ca="1" si="3"/>
        <v>-5.1331981958493969E-5</v>
      </c>
      <c r="Z23" s="79"/>
    </row>
    <row r="24" spans="1:26" customFormat="1" ht="14.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0,00015760786946708</v>
      </c>
      <c r="J24" s="424" t="str">
        <f ca="1"/>
        <v>0,000465314259825897</v>
      </c>
      <c r="K24" s="436" t="str">
        <f ca="1"/>
        <v>0,338712743353386</v>
      </c>
      <c r="L24" s="436" t="str">
        <f ca="1"/>
        <v>0,338712743353386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0.11820417753757299</v>
      </c>
      <c r="V24" s="460">
        <f t="shared" ca="1" si="0"/>
        <v>-1.6682532723656331E-3</v>
      </c>
      <c r="W24" s="459">
        <f t="shared" ca="1" si="1"/>
        <v>0.11290424778446201</v>
      </c>
      <c r="X24" s="461">
        <f t="shared" ca="1" si="2"/>
        <v>3.0594829246182583E-3</v>
      </c>
      <c r="Y24" s="460">
        <f t="shared" ca="1" si="3"/>
        <v>-7.9672683636979836E-5</v>
      </c>
      <c r="Z24" s="79"/>
    </row>
    <row r="25" spans="1:26" customFormat="1" ht="1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0,000164090315543853</v>
      </c>
      <c r="J25" s="424" t="str">
        <f ca="1"/>
        <v>0,000464054844647875</v>
      </c>
      <c r="K25" s="436" t="str">
        <f ca="1"/>
        <v>0,353601125893567</v>
      </c>
      <c r="L25" s="436" t="str">
        <f ca="1"/>
        <v>0,353601125893567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0.11820417753757299</v>
      </c>
      <c r="V25" s="460">
        <f t="shared" ca="1" si="0"/>
        <v>-1.8274233388296916E-3</v>
      </c>
      <c r="W25" s="459">
        <f t="shared" ca="1" si="1"/>
        <v>0.11786704196452234</v>
      </c>
      <c r="X25" s="461">
        <f t="shared" ca="1" si="2"/>
        <v>3.3553485292904719E-3</v>
      </c>
      <c r="Y25" s="460">
        <f t="shared" ca="1" si="3"/>
        <v>-9.1110563032478618E-5</v>
      </c>
      <c r="Z25" s="79"/>
    </row>
    <row r="26" spans="1:26" customFormat="1" ht="1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0,000184117524080917</v>
      </c>
      <c r="J26" s="424" t="str">
        <f ca="1"/>
        <v>0,000459539195010297</v>
      </c>
      <c r="K26" s="436" t="str">
        <f ca="1"/>
        <v>0,400656845118057</v>
      </c>
      <c r="L26" s="436" t="str">
        <f ca="1"/>
        <v>0,400656845118057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0.11820417753757299</v>
      </c>
      <c r="V26" s="460">
        <f t="shared" ca="1" si="0"/>
        <v>-2.4090581755076353E-3</v>
      </c>
      <c r="W26" s="459">
        <f t="shared" ca="1" si="1"/>
        <v>0.13355228170601899</v>
      </c>
      <c r="X26" s="461">
        <f t="shared" ca="1" si="2"/>
        <v>4.4397790191737941E-3</v>
      </c>
      <c r="Y26" s="460">
        <f t="shared" ca="1" si="3"/>
        <v>-1.3609299722055758E-4</v>
      </c>
      <c r="Z26" s="79"/>
    </row>
    <row r="27" spans="1:26" customFormat="1" ht="1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0,000175925372762476</v>
      </c>
      <c r="J27" s="424" t="str">
        <f ca="1"/>
        <v>0,000461453974287876</v>
      </c>
      <c r="K27" s="436" t="str">
        <f ca="1"/>
        <v>0,381241429405754</v>
      </c>
      <c r="L27" s="436" t="str">
        <f ca="1"/>
        <v>0,381241429405754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0.11820417753757299</v>
      </c>
      <c r="V27" s="460">
        <f t="shared" ca="1" si="0"/>
        <v>-2.1438753249886202E-3</v>
      </c>
      <c r="W27" s="459">
        <f t="shared" ca="1" si="1"/>
        <v>0.12708047646858467</v>
      </c>
      <c r="X27" s="461">
        <f t="shared" ca="1" si="2"/>
        <v>3.94700663493579E-3</v>
      </c>
      <c r="Y27" s="460">
        <f t="shared" ca="1" si="3"/>
        <v>-1.152432610523409E-4</v>
      </c>
      <c r="Z27" s="79"/>
    </row>
    <row r="28" spans="1:26" customFormat="1" ht="1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0,000470203044178207</v>
      </c>
      <c r="K28" s="436" t="str">
        <f ca="1"/>
        <v>0,267577487150914</v>
      </c>
      <c r="L28" s="436" t="str">
        <f ca="1"/>
        <v>0,267577487150914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0.11820417753757299</v>
      </c>
      <c r="V28" s="460">
        <f t="shared" ca="1" si="0"/>
        <v>-1.02719429112214E-3</v>
      </c>
      <c r="W28" s="459">
        <f t="shared" ca="1" si="1"/>
        <v>8.919249571697134E-2</v>
      </c>
      <c r="X28" s="461">
        <f t="shared" ca="1" si="2"/>
        <v>1.8756650844314346E-3</v>
      </c>
      <c r="Y28" s="460">
        <f t="shared" ca="1" si="3"/>
        <v>-3.8754138948383075E-5</v>
      </c>
      <c r="Z28" s="79"/>
    </row>
    <row r="29" spans="1:26" customFormat="1" ht="14.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0,000160312103939631</v>
      </c>
      <c r="J29" s="424" t="str">
        <f ca="1"/>
        <v>0,000464722977185291</v>
      </c>
      <c r="K29" s="436" t="str">
        <f ca="1"/>
        <v>0,344962723622147</v>
      </c>
      <c r="L29" s="436" t="str">
        <f ca="1"/>
        <v>0,344962723622147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0.11820417753757299</v>
      </c>
      <c r="V29" s="460">
        <f t="shared" ca="1" si="0"/>
        <v>-1.7770324169835113E-3</v>
      </c>
      <c r="W29" s="459">
        <f t="shared" ca="1" si="1"/>
        <v>0.11498757454071568</v>
      </c>
      <c r="X29" s="461">
        <f t="shared" ca="1" si="2"/>
        <v>3.256612500950782E-3</v>
      </c>
      <c r="Y29" s="460">
        <f t="shared" ca="1" si="3"/>
        <v>-8.6433767302432343E-5</v>
      </c>
      <c r="Z29" s="79"/>
    </row>
    <row r="30" spans="1:26" customFormat="1" ht="14.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0,000142104809452892</v>
      </c>
      <c r="J30" s="424" t="str">
        <f ca="1"/>
        <v>0,000467934477022331</v>
      </c>
      <c r="K30" s="436" t="str">
        <f ca="1"/>
        <v>0,303685273111668</v>
      </c>
      <c r="L30" s="436" t="str">
        <f ca="1"/>
        <v>0,303685273111668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0.11820417753757299</v>
      </c>
      <c r="V30" s="460">
        <f t="shared" ca="1" si="0"/>
        <v>-1.3493891754475967E-3</v>
      </c>
      <c r="W30" s="459">
        <f t="shared" ca="1" si="1"/>
        <v>0.101228424370556</v>
      </c>
      <c r="X30" s="461">
        <f t="shared" ca="1" si="2"/>
        <v>2.4676141410156331E-3</v>
      </c>
      <c r="Y30" s="460">
        <f t="shared" ca="1" si="3"/>
        <v>-5.777991224118315E-5</v>
      </c>
      <c r="Z30" s="79"/>
    </row>
    <row r="31" spans="1:26" customFormat="1" ht="1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0,000162657975922165</v>
      </c>
      <c r="J31" s="424" t="str">
        <f ca="1"/>
        <v>0,000464300650614288</v>
      </c>
      <c r="K31" s="436" t="str">
        <f ca="1"/>
        <v>0,35032898555486</v>
      </c>
      <c r="L31" s="436" t="str">
        <f ca="1"/>
        <v>0,35032898555486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0.11820417753757299</v>
      </c>
      <c r="V31" s="460">
        <f t="shared" ca="1" si="0"/>
        <v>-1.7727747790320086E-3</v>
      </c>
      <c r="W31" s="459">
        <f t="shared" ca="1" si="1"/>
        <v>0.11677632851828666</v>
      </c>
      <c r="X31" s="461">
        <f t="shared" ca="1" si="2"/>
        <v>3.2568089999312675E-3</v>
      </c>
      <c r="Y31" s="460">
        <f t="shared" ca="1" si="3"/>
        <v>-8.7568026062095393E-5</v>
      </c>
      <c r="Z31" s="79"/>
    </row>
    <row r="32" spans="1:26" customFormat="1" ht="1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0,000156235002766314</v>
      </c>
      <c r="J32" s="424" t="str">
        <f ca="1"/>
        <v>0,000465534014236049</v>
      </c>
      <c r="K32" s="436" t="str">
        <f ca="1"/>
        <v>0,335603839866994</v>
      </c>
      <c r="L32" s="436" t="str">
        <f ca="1"/>
        <v>0,335603839866994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0.11820417753757299</v>
      </c>
      <c r="V32" s="460">
        <f t="shared" ca="1" si="0"/>
        <v>-1.6702047859779392E-3</v>
      </c>
      <c r="W32" s="459">
        <f t="shared" ca="1" si="1"/>
        <v>0.11186794662233134</v>
      </c>
      <c r="X32" s="461">
        <f t="shared" ca="1" si="2"/>
        <v>3.0593962841025221E-3</v>
      </c>
      <c r="Y32" s="460">
        <f t="shared" ca="1" si="3"/>
        <v>-7.9033746411691813E-5</v>
      </c>
      <c r="Z32" s="79"/>
    </row>
    <row r="33" spans="1:26" customFormat="1" ht="14.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0,000144823966645524</v>
      </c>
      <c r="J33" s="424" t="str">
        <f ca="1"/>
        <v>0,000467510441603548</v>
      </c>
      <c r="K33" s="436" t="str">
        <f ca="1"/>
        <v>0,309776967010152</v>
      </c>
      <c r="L33" s="436" t="str">
        <f ca="1"/>
        <v>0,309776967010152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0.11820417753757299</v>
      </c>
      <c r="V33" s="460">
        <f t="shared" ca="1" si="0"/>
        <v>-1.4027801669702789E-3</v>
      </c>
      <c r="W33" s="459">
        <f t="shared" ca="1" si="1"/>
        <v>0.103258989003384</v>
      </c>
      <c r="X33" s="461">
        <f t="shared" ca="1" si="2"/>
        <v>2.566262743823921E-3</v>
      </c>
      <c r="Y33" s="460">
        <f t="shared" ca="1" si="3"/>
        <v>-6.127095710695447E-5</v>
      </c>
      <c r="Z33" s="79"/>
    </row>
    <row r="34" spans="1:26" customFormat="1" ht="14.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0,000154947153624629</v>
      </c>
      <c r="J34" s="424" t="str">
        <f ca="1"/>
        <v>0,000465817613932323</v>
      </c>
      <c r="K34" s="436" t="str">
        <f ca="1"/>
        <v>0,332634810256747</v>
      </c>
      <c r="L34" s="436" t="str">
        <f ca="1"/>
        <v>0,332634810256747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0.11820417753757299</v>
      </c>
      <c r="V34" s="460">
        <f t="shared" ca="1" si="0"/>
        <v>-1.6156549556411203E-3</v>
      </c>
      <c r="W34" s="459">
        <f t="shared" ca="1" si="1"/>
        <v>0.11087827008558233</v>
      </c>
      <c r="X34" s="461">
        <f t="shared" ca="1" si="2"/>
        <v>2.9608236402012813E-3</v>
      </c>
      <c r="Y34" s="460">
        <f t="shared" ca="1" si="3"/>
        <v>-7.57760978793423E-5</v>
      </c>
      <c r="Z34" s="79"/>
    </row>
    <row r="35" spans="1:26" customFormat="1" ht="14.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0,000173310728749043</v>
      </c>
      <c r="J35" s="424" t="str">
        <f ca="1"/>
        <v>0,000462189086656408</v>
      </c>
      <c r="K35" s="436" t="str">
        <f ca="1"/>
        <v>0,37497797709335</v>
      </c>
      <c r="L35" s="436" t="str">
        <f ca="1"/>
        <v>0,37497797709335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0.11820417753757299</v>
      </c>
      <c r="V35" s="460">
        <f t="shared" ca="1" si="0"/>
        <v>-2.0936096105803794E-3</v>
      </c>
      <c r="W35" s="459">
        <f t="shared" ca="1" si="1"/>
        <v>0.12499265903111667</v>
      </c>
      <c r="X35" s="461">
        <f t="shared" ca="1" si="2"/>
        <v>3.8482544541691152E-3</v>
      </c>
      <c r="Y35" s="460">
        <f t="shared" ca="1" si="3"/>
        <v>-1.1069229432113852E-4</v>
      </c>
      <c r="Z35" s="79"/>
    </row>
    <row r="36" spans="1:26" customFormat="1" ht="1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0,000162160409454648</v>
      </c>
      <c r="J36" s="424" t="str">
        <f ca="1"/>
        <v>0,000464474993307869</v>
      </c>
      <c r="K36" s="436" t="str">
        <f ca="1"/>
        <v>0,349126243158505</v>
      </c>
      <c r="L36" s="436" t="str">
        <f ca="1"/>
        <v>0,349126243158505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0.11820417753757299</v>
      </c>
      <c r="V36" s="460">
        <f t="shared" ca="1" si="0"/>
        <v>-1.7739473176587362E-3</v>
      </c>
      <c r="W36" s="459">
        <f t="shared" ca="1" si="1"/>
        <v>0.11637541438616833</v>
      </c>
      <c r="X36" s="461">
        <f t="shared" ca="1" si="2"/>
        <v>3.2567426129439607E-3</v>
      </c>
      <c r="Y36" s="460">
        <f t="shared" ca="1" si="3"/>
        <v>-8.7325109184972026E-5</v>
      </c>
      <c r="Z36" s="79"/>
    </row>
    <row r="37" spans="1:26" customFormat="1" ht="1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0,000166626470125819</v>
      </c>
      <c r="J37" s="424" t="str">
        <f ca="1"/>
        <v>0,000463542169151197</v>
      </c>
      <c r="K37" s="436" t="str">
        <f ca="1"/>
        <v>0,359463456002143</v>
      </c>
      <c r="L37" s="436" t="str">
        <f ca="1"/>
        <v>0,359463456002143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0.11820417753757299</v>
      </c>
      <c r="V37" s="460">
        <f t="shared" ca="1" si="0"/>
        <v>-1.9363160245111531E-3</v>
      </c>
      <c r="W37" s="459">
        <f t="shared" ca="1" si="1"/>
        <v>0.11982115200071435</v>
      </c>
      <c r="X37" s="461">
        <f t="shared" ca="1" si="2"/>
        <v>3.5524082823593104E-3</v>
      </c>
      <c r="Y37" s="460">
        <f t="shared" ca="1" si="3"/>
        <v>-9.8140193319572636E-5</v>
      </c>
      <c r="Z37" s="79"/>
    </row>
    <row r="38" spans="1:26" customFormat="1" ht="1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62" t="s">
        <v>434</v>
      </c>
      <c r="H38" s="405">
        <v>24</v>
      </c>
      <c r="I38" s="424" t="str">
        <f ca="1"/>
        <v>0,000185311174960767</v>
      </c>
      <c r="J38" s="424" t="str">
        <f ca="1"/>
        <v>0,000459160228982347</v>
      </c>
      <c r="K38" s="436" t="str">
        <f ca="1"/>
        <v>0,403587164706052</v>
      </c>
      <c r="L38" s="436" t="str">
        <f ca="1"/>
        <v>0,403587164706052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0.11820417753757299</v>
      </c>
      <c r="V38" s="460">
        <f t="shared" ca="1" si="0"/>
        <v>-2.4635193961013674E-3</v>
      </c>
      <c r="W38" s="459">
        <f t="shared" ca="1" si="1"/>
        <v>0.13452905490201733</v>
      </c>
      <c r="X38" s="461">
        <f t="shared" ca="1" si="2"/>
        <v>4.5382536246755386E-3</v>
      </c>
      <c r="Y38" s="460">
        <f t="shared" ca="1" si="3"/>
        <v>-1.4018748871416159E-4</v>
      </c>
      <c r="Z38" s="79"/>
    </row>
    <row r="39" spans="1:26" customFormat="1" ht="14.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469">
        <v>100</v>
      </c>
      <c r="H39" s="405">
        <v>25</v>
      </c>
      <c r="I39" s="424" t="str">
        <f ca="1"/>
        <v>0,000137583341741365</v>
      </c>
      <c r="J39" s="424" t="str">
        <f ca="1"/>
        <v>0,000468638985574884</v>
      </c>
      <c r="K39" s="436" t="str">
        <f ca="1"/>
        <v>0,293580657982584</v>
      </c>
      <c r="L39" s="436" t="str">
        <f ca="1"/>
        <v>0,293580657982584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0.11820417753757299</v>
      </c>
      <c r="V39" s="460">
        <f t="shared" ca="1" si="0"/>
        <v>-1.2416265208581511E-3</v>
      </c>
      <c r="W39" s="459">
        <f t="shared" ca="1" si="1"/>
        <v>9.7860219327527989E-2</v>
      </c>
      <c r="X39" s="461">
        <f t="shared" ca="1" si="2"/>
        <v>2.2703297905708577E-3</v>
      </c>
      <c r="Y39" s="460">
        <f t="shared" ca="1" si="3"/>
        <v>-5.1396594513519483E-5</v>
      </c>
      <c r="Z39" s="79"/>
    </row>
    <row r="40" spans="1:26" customFormat="1" ht="14.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469">
        <v>100</v>
      </c>
      <c r="H40" s="405">
        <v>26</v>
      </c>
      <c r="I40" s="424" t="str">
        <f ca="1"/>
        <v>0,000209703474282152</v>
      </c>
      <c r="J40" s="424" t="str">
        <f ca="1"/>
        <v>0,000440033565782389</v>
      </c>
      <c r="K40" s="436" t="str">
        <f ca="1"/>
        <v>0,476562450206031</v>
      </c>
      <c r="L40" s="436" t="str">
        <f ca="1"/>
        <v>0,476562450206031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0.11820417753757299</v>
      </c>
      <c r="V40" s="460">
        <f t="shared" ca="1" si="0"/>
        <v>-3.6221001612949505E-3</v>
      </c>
      <c r="W40" s="459">
        <f t="shared" ca="1" si="1"/>
        <v>0.15885415006867701</v>
      </c>
      <c r="X40" s="461">
        <f t="shared" ca="1" si="2"/>
        <v>6.7050351622610941E-3</v>
      </c>
      <c r="Y40" s="460">
        <f t="shared" ca="1" si="3"/>
        <v>-2.4338633987924503E-4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469">
        <v>100</v>
      </c>
      <c r="H41" s="405">
        <v>27</v>
      </c>
      <c r="I41" s="424" t="str">
        <f ca="1"/>
        <v>0,000137642002713534</v>
      </c>
      <c r="J41" s="424" t="str">
        <f ca="1"/>
        <v>0,000468620176750394</v>
      </c>
      <c r="K41" s="436" t="str">
        <f ca="1"/>
        <v>0,293717619390613</v>
      </c>
      <c r="L41" s="436" t="str">
        <f ca="1"/>
        <v>0,293717619390613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0.11820417753757299</v>
      </c>
      <c r="V41" s="460">
        <f t="shared" ca="1" si="0"/>
        <v>-1.2415779648606668E-3</v>
      </c>
      <c r="W41" s="459">
        <f t="shared" ca="1" si="1"/>
        <v>9.7905873130204338E-2</v>
      </c>
      <c r="X41" s="461">
        <f t="shared" ca="1" si="2"/>
        <v>2.270335691125338E-3</v>
      </c>
      <c r="Y41" s="460">
        <f t="shared" ca="1" si="3"/>
        <v>-5.1418561188443217E-5</v>
      </c>
      <c r="Z41" s="79"/>
    </row>
    <row r="42" spans="1:26" customFormat="1" ht="14.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469">
        <v>100</v>
      </c>
      <c r="H42" s="405">
        <v>28</v>
      </c>
      <c r="I42" s="424" t="str">
        <f ca="1"/>
        <v>0,000191902830703805</v>
      </c>
      <c r="J42" s="424" t="str">
        <f ca="1"/>
        <v>0,000457019187027238</v>
      </c>
      <c r="K42" s="436" t="str">
        <f ca="1"/>
        <v>0,419901037311083</v>
      </c>
      <c r="L42" s="436" t="str">
        <f ca="1"/>
        <v>0,419901037311083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0.11820417753757299</v>
      </c>
      <c r="V42" s="460">
        <f t="shared" ca="1" si="0"/>
        <v>-2.7307941585595361E-3</v>
      </c>
      <c r="W42" s="459">
        <f t="shared" ca="1" si="1"/>
        <v>0.13996701243702767</v>
      </c>
      <c r="X42" s="461">
        <f t="shared" ca="1" si="2"/>
        <v>5.0307629020791772E-3</v>
      </c>
      <c r="Y42" s="460">
        <f t="shared" ca="1" si="3"/>
        <v>-1.6167833824340532E-4</v>
      </c>
      <c r="Z42" s="79"/>
    </row>
    <row r="43" spans="1:26" customFormat="1" ht="14.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469">
        <v>100</v>
      </c>
      <c r="H43" s="405">
        <v>29</v>
      </c>
      <c r="I43" s="424" t="str">
        <f ca="1"/>
        <v>0,000180828351117324</v>
      </c>
      <c r="J43" s="424" t="str">
        <f ca="1"/>
        <v>0,000460318584072099</v>
      </c>
      <c r="K43" s="436" t="str">
        <f ca="1"/>
        <v>0,392833045143798</v>
      </c>
      <c r="L43" s="436" t="str">
        <f ca="1"/>
        <v>0,392833045143798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0.11820417753757299</v>
      </c>
      <c r="V43" s="460">
        <f t="shared" ca="1" si="0"/>
        <v>-2.3034871336234659E-3</v>
      </c>
      <c r="W43" s="459">
        <f t="shared" ca="1" si="1"/>
        <v>0.13094434838126601</v>
      </c>
      <c r="X43" s="461">
        <f t="shared" ca="1" si="2"/>
        <v>4.2426690976376533E-3</v>
      </c>
      <c r="Y43" s="460">
        <f t="shared" ca="1" si="3"/>
        <v>-1.2758797023949435E-4</v>
      </c>
      <c r="Z43" s="79"/>
    </row>
    <row r="44" spans="1:26" customFormat="1" ht="14.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469">
        <v>100</v>
      </c>
      <c r="H44" s="405">
        <v>30</v>
      </c>
      <c r="I44" s="424" t="str">
        <f ca="1"/>
        <v>0,000149629374817972</v>
      </c>
      <c r="J44" s="424" t="str">
        <f ca="1"/>
        <v>0,000466775847007771</v>
      </c>
      <c r="K44" s="436" t="str">
        <f ca="1"/>
        <v>0,320559377219621</v>
      </c>
      <c r="L44" s="436" t="str">
        <f ca="1"/>
        <v>0,320559377219621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0.11820417753757299</v>
      </c>
      <c r="V44" s="460">
        <f t="shared" ca="1" si="0"/>
        <v>-1.5095689909885245E-3</v>
      </c>
      <c r="W44" s="459">
        <f t="shared" ca="1" si="1"/>
        <v>0.10685312573987367</v>
      </c>
      <c r="X44" s="461">
        <f t="shared" ca="1" si="2"/>
        <v>2.7635223231889838E-3</v>
      </c>
      <c r="Y44" s="460">
        <f t="shared" ca="1" si="3"/>
        <v>-6.8230314937828206E-5</v>
      </c>
      <c r="Z44" s="79"/>
    </row>
    <row r="45" spans="1:26" customFormat="1" ht="14.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469">
        <v>100</v>
      </c>
      <c r="H45" s="405">
        <v>31</v>
      </c>
      <c r="I45" s="424" t="str">
        <f ca="1"/>
        <v>0,000199316181814235</v>
      </c>
      <c r="J45" s="424" t="str">
        <f ca="1"/>
        <v>0,000443374548695452</v>
      </c>
      <c r="K45" s="436" t="str">
        <f ca="1"/>
        <v>0,44954357980332</v>
      </c>
      <c r="L45" s="436" t="str">
        <f ca="1"/>
        <v>0,44954357980332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0.11820417753757299</v>
      </c>
      <c r="V45" s="460">
        <f t="shared" ca="1" si="0"/>
        <v>-3.1490113634895902E-3</v>
      </c>
      <c r="W45" s="459">
        <f t="shared" ca="1" si="1"/>
        <v>0.14984785993444</v>
      </c>
      <c r="X45" s="461">
        <f t="shared" ca="1" si="2"/>
        <v>5.8189609205980515E-3</v>
      </c>
      <c r="Y45" s="460">
        <f t="shared" ca="1" si="3"/>
        <v>-1.9960065014544722E-4</v>
      </c>
      <c r="Z45" s="79"/>
    </row>
    <row r="46" spans="1:26" customFormat="1" ht="14.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469">
        <v>100</v>
      </c>
      <c r="H46" s="405">
        <v>32</v>
      </c>
      <c r="I46" s="424" t="str">
        <f ca="1"/>
        <v>0,000154799050046895</v>
      </c>
      <c r="J46" s="424" t="str">
        <f ca="1"/>
        <v>0,000465870615106859</v>
      </c>
      <c r="K46" s="436" t="str">
        <f ca="1"/>
        <v>0,332279059951845</v>
      </c>
      <c r="L46" s="436" t="str">
        <f ca="1"/>
        <v>0,332279059951845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0.11820417753757299</v>
      </c>
      <c r="V46" s="460">
        <f t="shared" ca="1" si="0"/>
        <v>-1.615661403447822E-3</v>
      </c>
      <c r="W46" s="459">
        <f t="shared" ca="1" si="1"/>
        <v>0.11075968665061499</v>
      </c>
      <c r="X46" s="461">
        <f t="shared" ca="1" si="2"/>
        <v>2.9608125340120279E-3</v>
      </c>
      <c r="Y46" s="460">
        <f t="shared" ca="1" si="3"/>
        <v>-7.5695358026788649E-5</v>
      </c>
      <c r="Z46" s="79"/>
    </row>
    <row r="47" spans="1:26" customFormat="1" ht="14.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469">
        <v>100</v>
      </c>
      <c r="H47" s="405">
        <v>33</v>
      </c>
      <c r="I47" s="424" t="str">
        <f ca="1"/>
        <v>0,000188198555640984</v>
      </c>
      <c r="J47" s="424" t="str">
        <f ca="1"/>
        <v>0,000458286977044493</v>
      </c>
      <c r="K47" s="436" t="str">
        <f ca="1"/>
        <v>0,410656564702498</v>
      </c>
      <c r="L47" s="436" t="str">
        <f ca="1"/>
        <v>0,410656564702498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0.11820417753757299</v>
      </c>
      <c r="V47" s="460">
        <f t="shared" ca="1" si="0"/>
        <v>-2.5698317737730516E-3</v>
      </c>
      <c r="W47" s="459">
        <f t="shared" ca="1" si="1"/>
        <v>0.13688552156749934</v>
      </c>
      <c r="X47" s="461">
        <f t="shared" ca="1" si="2"/>
        <v>4.735312079993381E-3</v>
      </c>
      <c r="Y47" s="460">
        <f t="shared" ca="1" si="3"/>
        <v>-1.4879878614350989E-4</v>
      </c>
      <c r="Z47" s="79"/>
    </row>
    <row r="48" spans="1:26" customFormat="1" ht="14.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469">
        <v>100</v>
      </c>
      <c r="H48" s="405">
        <v>34</v>
      </c>
      <c r="I48" s="424" t="str">
        <f ca="1"/>
        <v>0,000149070993965151</v>
      </c>
      <c r="J48" s="424" t="str">
        <f ca="1"/>
        <v>0,000466800577152152</v>
      </c>
      <c r="K48" s="436" t="str">
        <f ca="1"/>
        <v>0,319346207484576</v>
      </c>
      <c r="L48" s="436" t="str">
        <f ca="1"/>
        <v>0,319346207484576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0.11820417753757299</v>
      </c>
      <c r="V48" s="460">
        <f t="shared" ca="1" si="0"/>
        <v>-1.4540813808075225E-3</v>
      </c>
      <c r="W48" s="459">
        <f t="shared" ca="1" si="1"/>
        <v>0.10644873582819199</v>
      </c>
      <c r="X48" s="461">
        <f t="shared" ca="1" si="2"/>
        <v>2.6649923857662958E-3</v>
      </c>
      <c r="Y48" s="460">
        <f t="shared" ca="1" si="3"/>
        <v>-6.5473627075943107E-5</v>
      </c>
      <c r="Z48" s="79"/>
    </row>
    <row r="49" spans="1:26" customFormat="1" ht="14.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469">
        <v>100</v>
      </c>
      <c r="H49" s="405">
        <v>35</v>
      </c>
      <c r="I49" s="424" t="str">
        <f ca="1"/>
        <v>0,000147652734492576</v>
      </c>
      <c r="J49" s="424" t="str">
        <f ca="1"/>
        <v>0,000467065600447778</v>
      </c>
      <c r="K49" s="436" t="str">
        <f ca="1"/>
        <v>0,316128471784307</v>
      </c>
      <c r="L49" s="436" t="str">
        <f ca="1"/>
        <v>0,316128471784307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0.11820417753757299</v>
      </c>
      <c r="V49" s="460">
        <f t="shared" ca="1" si="0"/>
        <v>-1.4558486019618825E-3</v>
      </c>
      <c r="W49" s="459">
        <f t="shared" ca="1" si="1"/>
        <v>0.10537615726143566</v>
      </c>
      <c r="X49" s="461">
        <f t="shared" ca="1" si="2"/>
        <v>2.6649161319549091E-3</v>
      </c>
      <c r="Y49" s="460">
        <f t="shared" ca="1" si="3"/>
        <v>-6.4892685869927342E-5</v>
      </c>
      <c r="Z49" s="79"/>
    </row>
    <row r="50" spans="1:26" customFormat="1" ht="14.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469">
        <v>100</v>
      </c>
      <c r="H50" s="405">
        <v>36</v>
      </c>
      <c r="I50" s="424" t="str">
        <f ca="1"/>
        <v>0,00017735884904011</v>
      </c>
      <c r="J50" s="424" t="str">
        <f ca="1"/>
        <v>0,000461131175820134</v>
      </c>
      <c r="K50" s="436" t="str">
        <f ca="1"/>
        <v>0,384616912367013</v>
      </c>
      <c r="L50" s="436" t="str">
        <f ca="1"/>
        <v>0,384616912367013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0.11820417753757299</v>
      </c>
      <c r="V50" s="460">
        <f t="shared" ca="1" si="0"/>
        <v>-2.1979929398793928E-3</v>
      </c>
      <c r="W50" s="459">
        <f t="shared" ca="1" si="1"/>
        <v>0.12820563745567101</v>
      </c>
      <c r="X50" s="461">
        <f t="shared" ca="1" si="2"/>
        <v>4.0455238502709141E-3</v>
      </c>
      <c r="Y50" s="460">
        <f t="shared" ca="1" si="3"/>
        <v>-1.1919844621850599E-4</v>
      </c>
      <c r="Z50" s="79"/>
    </row>
    <row r="51" spans="1:26" customFormat="1" ht="14.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469">
        <v>100</v>
      </c>
      <c r="H51" s="405">
        <v>37</v>
      </c>
      <c r="I51" s="424" t="str">
        <f ca="1"/>
        <v>0,000139805082089106</v>
      </c>
      <c r="J51" s="424" t="str">
        <f ca="1"/>
        <v>0,000468293809030432</v>
      </c>
      <c r="K51" s="436" t="str">
        <f ca="1"/>
        <v>0,298541384475191</v>
      </c>
      <c r="L51" s="436" t="str">
        <f ca="1"/>
        <v>0,298541384475191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0.11820417753757299</v>
      </c>
      <c r="V51" s="460">
        <f t="shared" ca="1" si="0"/>
        <v>-1.2955999158200152E-3</v>
      </c>
      <c r="W51" s="459">
        <f t="shared" ca="1" si="1"/>
        <v>9.9513794825063673E-2</v>
      </c>
      <c r="X51" s="461">
        <f t="shared" ca="1" si="2"/>
        <v>2.368973443439362E-3</v>
      </c>
      <c r="Y51" s="460">
        <f t="shared" ca="1" si="3"/>
        <v>-5.4537016746849123E-5</v>
      </c>
      <c r="Z51" s="79"/>
    </row>
    <row r="52" spans="1:26" customFormat="1" ht="14.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469">
        <v>100</v>
      </c>
      <c r="H52" s="405">
        <v>38</v>
      </c>
      <c r="I52" s="424" t="str">
        <f ca="1"/>
        <v>0,000173024704382941</v>
      </c>
      <c r="J52" s="424" t="str">
        <f ca="1"/>
        <v>0,000462172505852796</v>
      </c>
      <c r="K52" s="436" t="str">
        <f ca="1"/>
        <v>0,374372560444022</v>
      </c>
      <c r="L52" s="436" t="str">
        <f ca="1"/>
        <v>0,374372560444022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0.11820417753757299</v>
      </c>
      <c r="V52" s="460">
        <f t="shared" ca="1" si="0"/>
        <v>-2.094377956092608E-3</v>
      </c>
      <c r="W52" s="459">
        <f t="shared" ca="1" si="1"/>
        <v>0.12479085348134067</v>
      </c>
      <c r="X52" s="461">
        <f t="shared" ca="1" si="2"/>
        <v>3.8482338189701304E-3</v>
      </c>
      <c r="Y52" s="460">
        <f t="shared" ca="1" si="3"/>
        <v>-1.1055413526743838E-4</v>
      </c>
      <c r="Z52" s="79"/>
    </row>
    <row r="53" spans="1:26" customFormat="1" ht="14.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469">
        <v>100</v>
      </c>
      <c r="H53" s="405">
        <v>39</v>
      </c>
      <c r="I53" s="424" t="str">
        <f ca="1"/>
        <v>0,000151925357948835</v>
      </c>
      <c r="J53" s="424" t="str">
        <f ca="1"/>
        <v>0,000466325322860759</v>
      </c>
      <c r="K53" s="436" t="str">
        <f ca="1"/>
        <v>0,325792639818101</v>
      </c>
      <c r="L53" s="436" t="str">
        <f ca="1"/>
        <v>0,325792639818101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0.11820417753757299</v>
      </c>
      <c r="V53" s="460">
        <f t="shared" ca="1" si="0"/>
        <v>-1.5632464998163416E-3</v>
      </c>
      <c r="W53" s="459">
        <f t="shared" ca="1" si="1"/>
        <v>0.10859754660603367</v>
      </c>
      <c r="X53" s="461">
        <f t="shared" ca="1" si="2"/>
        <v>2.862159347619363E-3</v>
      </c>
      <c r="Y53" s="460">
        <f t="shared" ca="1" si="3"/>
        <v>-7.180995551809587E-5</v>
      </c>
      <c r="Z53" s="79"/>
    </row>
    <row r="54" spans="1:26" customFormat="1" ht="14.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469">
        <v>100</v>
      </c>
      <c r="H54" s="405">
        <v>40</v>
      </c>
      <c r="I54" s="424" t="str">
        <f ca="1"/>
        <v>0,000222235852580854</v>
      </c>
      <c r="J54" s="424" t="str">
        <f ca="1"/>
        <v>0,000435651423484308</v>
      </c>
      <c r="K54" s="436" t="str">
        <f ca="1"/>
        <v>0,51012309521091</v>
      </c>
      <c r="L54" s="436" t="str">
        <f ca="1"/>
        <v>0,51012309521091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0.11820417753757299</v>
      </c>
      <c r="V54" s="460">
        <f t="shared" ca="1" si="0"/>
        <v>-4.2457163356365577E-3</v>
      </c>
      <c r="W54" s="459">
        <f t="shared" ca="1" si="1"/>
        <v>0.17004103173697002</v>
      </c>
      <c r="X54" s="461">
        <f t="shared" ca="1" si="2"/>
        <v>7.8860282464199797E-3</v>
      </c>
      <c r="Y54" s="460">
        <f t="shared" ca="1" si="3"/>
        <v>-3.0538091005483526E-4</v>
      </c>
      <c r="Z54" s="79"/>
    </row>
    <row r="55" spans="1:26" customFormat="1" ht="14.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469">
        <v>100</v>
      </c>
      <c r="H55" s="405">
        <v>41</v>
      </c>
      <c r="I55" s="424" t="str">
        <f ca="1"/>
        <v>0,000149537389320952</v>
      </c>
      <c r="J55" s="424" t="str">
        <f ca="1"/>
        <v>0,000466766208281313</v>
      </c>
      <c r="K55" s="436" t="str">
        <f ca="1"/>
        <v>0,320368927030013</v>
      </c>
      <c r="L55" s="436" t="str">
        <f ca="1"/>
        <v>0,320368927030013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0.11820417753757299</v>
      </c>
      <c r="V55" s="460">
        <f t="shared" ca="1" si="0"/>
        <v>-1.5097693871649687E-3</v>
      </c>
      <c r="W55" s="459">
        <f t="shared" ca="1" si="1"/>
        <v>0.10678964234333767</v>
      </c>
      <c r="X55" s="461">
        <f t="shared" ca="1" si="2"/>
        <v>2.7635229107295842E-3</v>
      </c>
      <c r="Y55" s="460">
        <f t="shared" ca="1" si="3"/>
        <v>-6.8198830293040417E-5</v>
      </c>
      <c r="Z55" s="79"/>
    </row>
    <row r="56" spans="1:26" customFormat="1" ht="14.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469">
        <v>100</v>
      </c>
      <c r="H56" s="405">
        <v>42</v>
      </c>
      <c r="I56" s="424" t="str">
        <f ca="1"/>
        <v>0,000149322209789626</v>
      </c>
      <c r="J56" s="424" t="str">
        <f ca="1"/>
        <v>0,000466777014005862</v>
      </c>
      <c r="K56" s="436" t="str">
        <f ca="1"/>
        <v>0,319900520610792</v>
      </c>
      <c r="L56" s="436" t="str">
        <f ca="1"/>
        <v>0,319900520610792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0.11820417753757299</v>
      </c>
      <c r="V56" s="460">
        <f t="shared" ca="1" si="0"/>
        <v>-1.5100436506169338E-3</v>
      </c>
      <c r="W56" s="459">
        <f t="shared" ca="1" si="1"/>
        <v>0.106633506870264</v>
      </c>
      <c r="X56" s="461">
        <f t="shared" ca="1" si="2"/>
        <v>2.7635157367081119E-3</v>
      </c>
      <c r="Y56" s="460">
        <f t="shared" ca="1" si="3"/>
        <v>-6.8111488674449104E-5</v>
      </c>
      <c r="Z56" s="79"/>
    </row>
    <row r="57" spans="1:26" customFormat="1" ht="14.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469">
        <v>100</v>
      </c>
      <c r="H57" s="405">
        <v>43</v>
      </c>
      <c r="I57" s="424" t="str">
        <f ca="1"/>
        <v>0,00013189965588909</v>
      </c>
      <c r="J57" s="424" t="str">
        <f ca="1"/>
        <v>0,00046941776982533</v>
      </c>
      <c r="K57" s="436" t="str">
        <f ca="1"/>
        <v>0,280985647258666</v>
      </c>
      <c r="L57" s="436" t="str">
        <f ca="1"/>
        <v>0,280985647258666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0.11820417753757299</v>
      </c>
      <c r="V57" s="460">
        <f t="shared" ca="1" si="0"/>
        <v>-1.1344777220201527E-3</v>
      </c>
      <c r="W57" s="459">
        <f t="shared" ca="1" si="1"/>
        <v>9.3661882419555323E-2</v>
      </c>
      <c r="X57" s="461">
        <f t="shared" ca="1" si="2"/>
        <v>2.0730082169792339E-3</v>
      </c>
      <c r="Y57" s="460">
        <f t="shared" ca="1" si="3"/>
        <v>-4.4946515944278247E-5</v>
      </c>
      <c r="Z57" s="79"/>
    </row>
    <row r="58" spans="1:26" customFormat="1" ht="14.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469">
        <v>100</v>
      </c>
      <c r="H58" s="405">
        <v>44</v>
      </c>
      <c r="I58" s="424" t="str">
        <f ca="1"/>
        <v>0,000163379935456875</v>
      </c>
      <c r="J58" s="424" t="str">
        <f ca="1"/>
        <v>0,000464272833544646</v>
      </c>
      <c r="K58" s="436" t="str">
        <f ca="1"/>
        <v>0,351905008547445</v>
      </c>
      <c r="L58" s="436" t="str">
        <f ca="1"/>
        <v>0,351905008547445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0.11820417753757299</v>
      </c>
      <c r="V58" s="460">
        <f t="shared" ca="1" si="0"/>
        <v>-1.8287052198920984E-3</v>
      </c>
      <c r="W58" s="459">
        <f t="shared" ca="1" si="1"/>
        <v>0.117301669515815</v>
      </c>
      <c r="X58" s="461">
        <f t="shared" ca="1" si="2"/>
        <v>3.3552647577435096E-3</v>
      </c>
      <c r="Y58" s="460">
        <f t="shared" ca="1" si="3"/>
        <v>-9.0737137982049474E-5</v>
      </c>
      <c r="Z58" s="79"/>
    </row>
    <row r="59" spans="1:26" customFormat="1" ht="14.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469">
        <v>100</v>
      </c>
      <c r="H59" s="405">
        <v>45</v>
      </c>
      <c r="I59" s="424" t="str">
        <f ca="1"/>
        <v>0,000167602907505837</v>
      </c>
      <c r="J59" s="424" t="str">
        <f ca="1"/>
        <v>0,000463385118506101</v>
      </c>
      <c r="K59" s="436" t="str">
        <f ca="1"/>
        <v>0,361692468774502</v>
      </c>
      <c r="L59" s="436" t="str">
        <f ca="1"/>
        <v>0,361692468774502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0.11820417753757299</v>
      </c>
      <c r="V59" s="460">
        <f t="shared" ca="1" si="0"/>
        <v>-1.934554493681245E-3</v>
      </c>
      <c r="W59" s="459">
        <f t="shared" ca="1" si="1"/>
        <v>0.12056415625816734</v>
      </c>
      <c r="X59" s="461">
        <f t="shared" ca="1" si="2"/>
        <v>3.5524942811222399E-3</v>
      </c>
      <c r="Y59" s="460">
        <f t="shared" ca="1" si="3"/>
        <v>-9.865892015194962E-5</v>
      </c>
      <c r="Z59" s="79"/>
    </row>
    <row r="60" spans="1:26" customFormat="1" ht="14.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469">
        <v>100</v>
      </c>
      <c r="H60" s="405">
        <v>46</v>
      </c>
      <c r="I60" s="424" t="str">
        <f ca="1"/>
        <v>0,000164278697966136</v>
      </c>
      <c r="J60" s="424" t="str">
        <f ca="1"/>
        <v>0,000463979397783197</v>
      </c>
      <c r="K60" s="436" t="str">
        <f ca="1"/>
        <v>0,3540646389711</v>
      </c>
      <c r="L60" s="436" t="str">
        <f ca="1"/>
        <v>0,3540646389711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0.11820417753757299</v>
      </c>
      <c r="V60" s="460">
        <f t="shared" ca="1" si="0"/>
        <v>-1.8836906934939432E-3</v>
      </c>
      <c r="W60" s="459">
        <f t="shared" ca="1" si="1"/>
        <v>0.1180215463237</v>
      </c>
      <c r="X60" s="461">
        <f t="shared" ca="1" si="2"/>
        <v>3.4537923013663627E-3</v>
      </c>
      <c r="Y60" s="460">
        <f t="shared" ca="1" si="3"/>
        <v>-9.4039014979420616E-5</v>
      </c>
      <c r="Z60" s="79"/>
    </row>
    <row r="61" spans="1:26" customFormat="1" ht="14.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469">
        <v>100</v>
      </c>
      <c r="H61" s="405">
        <v>47</v>
      </c>
      <c r="I61" s="424" t="str">
        <f ca="1"/>
        <v>0,000183795823230759</v>
      </c>
      <c r="J61" s="424" t="str">
        <f ca="1"/>
        <v>0,000459602944289406</v>
      </c>
      <c r="K61" s="436" t="str">
        <f ca="1"/>
        <v>0,399901318114762</v>
      </c>
      <c r="L61" s="436" t="str">
        <f ca="1"/>
        <v>0,399901318114762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0.11820417753757299</v>
      </c>
      <c r="V61" s="460">
        <f t="shared" ca="1" si="0"/>
        <v>-2.4104032544690454E-3</v>
      </c>
      <c r="W61" s="459">
        <f t="shared" ca="1" si="1"/>
        <v>0.13330043937158734</v>
      </c>
      <c r="X61" s="461">
        <f t="shared" ca="1" si="2"/>
        <v>4.4397112058501232E-3</v>
      </c>
      <c r="Y61" s="460">
        <f t="shared" ca="1" si="3"/>
        <v>-1.3591220698663342E-4</v>
      </c>
      <c r="Z61" s="79"/>
    </row>
    <row r="62" spans="1:26" customFormat="1" ht="14.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469">
        <v>100</v>
      </c>
      <c r="H62" s="405">
        <v>48</v>
      </c>
      <c r="I62" s="424" t="str">
        <f ca="1"/>
        <v>0,000171483807607608</v>
      </c>
      <c r="J62" s="424" t="str">
        <f ca="1"/>
        <v>0,000462561636531629</v>
      </c>
      <c r="K62" s="436" t="str">
        <f ca="1"/>
        <v>0,370726394202132</v>
      </c>
      <c r="L62" s="436" t="str">
        <f ca="1"/>
        <v>0,370726394202132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0.11820417753757299</v>
      </c>
      <c r="V62" s="460">
        <f t="shared" ca="1" si="0"/>
        <v>-2.0405105271341954E-3</v>
      </c>
      <c r="W62" s="459">
        <f t="shared" ca="1" si="1"/>
        <v>0.123575464734044</v>
      </c>
      <c r="X62" s="461">
        <f t="shared" ca="1" si="2"/>
        <v>3.7496865912844345E-3</v>
      </c>
      <c r="Y62" s="460">
        <f t="shared" ca="1" si="3"/>
        <v>-1.0666164341153064E-4</v>
      </c>
      <c r="Z62" s="79"/>
    </row>
    <row r="63" spans="1:26" customFormat="1" ht="14.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469">
        <v>100</v>
      </c>
      <c r="H63" s="405">
        <v>49</v>
      </c>
      <c r="I63" s="424" t="str">
        <f ca="1"/>
        <v>0,000135678214993585</v>
      </c>
      <c r="J63" s="424" t="str">
        <f ca="1"/>
        <v>0,000468875532426774</v>
      </c>
      <c r="K63" s="436" t="str">
        <f ca="1"/>
        <v>0,289369364810637</v>
      </c>
      <c r="L63" s="436" t="str">
        <f ca="1"/>
        <v>0,289369364810637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0.11820417753757299</v>
      </c>
      <c r="V63" s="460">
        <f t="shared" ca="1" si="0"/>
        <v>-1.1874291048587814E-3</v>
      </c>
      <c r="W63" s="459">
        <f t="shared" ca="1" si="1"/>
        <v>9.6456454936879002E-2</v>
      </c>
      <c r="X63" s="461">
        <f t="shared" ca="1" si="2"/>
        <v>2.171700899288411E-3</v>
      </c>
      <c r="Y63" s="460">
        <f t="shared" ca="1" si="3"/>
        <v>-4.8448034718207314E-5</v>
      </c>
      <c r="Z63" s="79"/>
    </row>
    <row r="64" spans="1:26" customFormat="1" ht="14.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469">
        <v>100</v>
      </c>
      <c r="H64" s="405">
        <v>50</v>
      </c>
      <c r="I64" s="424" t="str">
        <f ca="1"/>
        <v>0,000141173746498224</v>
      </c>
      <c r="J64" s="424" t="str">
        <f ca="1"/>
        <v>0,000468042719854817</v>
      </c>
      <c r="K64" s="436" t="str">
        <f ca="1"/>
        <v>0,301625771557808</v>
      </c>
      <c r="L64" s="436" t="str">
        <f ca="1"/>
        <v>0,301625771557808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0.11820417753757299</v>
      </c>
      <c r="V64" s="460">
        <f t="shared" ca="1" si="0"/>
        <v>-1.2944272014901198E-3</v>
      </c>
      <c r="W64" s="459">
        <f t="shared" ca="1" si="1"/>
        <v>0.10054192385260267</v>
      </c>
      <c r="X64" s="461">
        <f t="shared" ca="1" si="2"/>
        <v>2.3690311902503504E-3</v>
      </c>
      <c r="Y64" s="460">
        <f t="shared" ca="1" si="3"/>
        <v>-5.505059289617274E-5</v>
      </c>
      <c r="Z64" s="79"/>
    </row>
    <row r="65" spans="1:26" customFormat="1" ht="14.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469">
        <v>100</v>
      </c>
      <c r="H65" s="405">
        <v>51</v>
      </c>
      <c r="I65" s="424" t="str">
        <f ca="1"/>
        <v>0,000147087100416043</v>
      </c>
      <c r="J65" s="424" t="str">
        <f ca="1"/>
        <v>0,000467158772893319</v>
      </c>
      <c r="K65" s="436" t="str">
        <f ca="1"/>
        <v>0,314854625345186</v>
      </c>
      <c r="L65" s="436" t="str">
        <f ca="1"/>
        <v>0,314854625345186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0.11820417753757299</v>
      </c>
      <c r="V65" s="460">
        <f t="shared" ca="1" si="0"/>
        <v>-1.456352948495709E-3</v>
      </c>
      <c r="W65" s="459">
        <f t="shared" ca="1" si="1"/>
        <v>0.10495154178172866</v>
      </c>
      <c r="X65" s="461">
        <f t="shared" ca="1" si="2"/>
        <v>2.6648915911772369E-3</v>
      </c>
      <c r="Y65" s="460">
        <f t="shared" ca="1" si="3"/>
        <v>-6.4653589453048932E-5</v>
      </c>
      <c r="Z65" s="79"/>
    </row>
    <row r="66" spans="1:26" customFormat="1" ht="14.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469">
        <v>100</v>
      </c>
      <c r="H66" s="405">
        <v>52</v>
      </c>
      <c r="I66" s="424" t="str">
        <f ca="1"/>
        <v>0,000155000585775334</v>
      </c>
      <c r="J66" s="424" t="str">
        <f ca="1"/>
        <v>0,000465848829800457</v>
      </c>
      <c r="K66" s="436" t="str">
        <f ca="1"/>
        <v>0,332727219346515</v>
      </c>
      <c r="L66" s="436" t="str">
        <f ca="1"/>
        <v>0,332727219346515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0.11820417753757299</v>
      </c>
      <c r="V66" s="460">
        <f t="shared" ca="1" si="0"/>
        <v>-1.6155374015530146E-3</v>
      </c>
      <c r="W66" s="459">
        <f t="shared" ca="1" si="1"/>
        <v>0.11090907311550501</v>
      </c>
      <c r="X66" s="461">
        <f t="shared" ca="1" si="2"/>
        <v>2.9608170552466225E-3</v>
      </c>
      <c r="Y66" s="460">
        <f t="shared" ca="1" si="3"/>
        <v>-7.5791634239289932E-5</v>
      </c>
      <c r="Z66" s="79"/>
    </row>
    <row r="67" spans="1:26" customFormat="1" ht="14.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469">
        <v>100</v>
      </c>
      <c r="H67" s="405">
        <v>53</v>
      </c>
      <c r="I67" s="424" t="str">
        <f ca="1"/>
        <v>0,00013697835338149</v>
      </c>
      <c r="J67" s="424" t="str">
        <f ca="1"/>
        <v>0,000468716665500352</v>
      </c>
      <c r="K67" s="436" t="str">
        <f ca="1"/>
        <v>0,292241269542372</v>
      </c>
      <c r="L67" s="436" t="str">
        <f ca="1"/>
        <v>0,292241269542372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0.11820417753757299</v>
      </c>
      <c r="V67" s="460">
        <f t="shared" ca="1" si="0"/>
        <v>-1.2419810601094373E-3</v>
      </c>
      <c r="W67" s="459">
        <f t="shared" ca="1" si="1"/>
        <v>9.7413756514123997E-2</v>
      </c>
      <c r="X67" s="461">
        <f t="shared" ca="1" si="2"/>
        <v>2.2703142337067773E-3</v>
      </c>
      <c r="Y67" s="460">
        <f t="shared" ca="1" si="3"/>
        <v>-5.117671942947928E-5</v>
      </c>
      <c r="Z67" s="79"/>
    </row>
    <row r="68" spans="1:26" customFormat="1" ht="14.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469">
        <v>100</v>
      </c>
      <c r="H68" s="405">
        <v>54</v>
      </c>
      <c r="I68" s="424" t="str">
        <f ca="1"/>
        <v>0,000128912093483224</v>
      </c>
      <c r="J68" s="424" t="str">
        <f ca="1"/>
        <v>0,000469798800861466</v>
      </c>
      <c r="K68" s="436" t="str">
        <f ca="1"/>
        <v>0,274398515379007</v>
      </c>
      <c r="L68" s="436" t="str">
        <f ca="1"/>
        <v>0,274398515379007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0.11820417753757299</v>
      </c>
      <c r="V68" s="460">
        <f t="shared" ca="1" si="0"/>
        <v>-1.0808291945828036E-3</v>
      </c>
      <c r="W68" s="459">
        <f t="shared" ca="1" si="1"/>
        <v>9.1466171793002329E-2</v>
      </c>
      <c r="X68" s="461">
        <f t="shared" ca="1" si="2"/>
        <v>1.974342614012697E-3</v>
      </c>
      <c r="Y68" s="460">
        <f t="shared" ca="1" si="3"/>
        <v>-4.1817180598028865E-5</v>
      </c>
      <c r="Z68" s="79"/>
    </row>
    <row r="69" spans="1:26" customFormat="1" ht="14.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469">
        <v>100</v>
      </c>
      <c r="H69" s="405">
        <v>55</v>
      </c>
      <c r="I69" s="424" t="str">
        <f ca="1"/>
        <v>0,000131822351459232</v>
      </c>
      <c r="J69" s="424" t="str">
        <f ca="1"/>
        <v>0,000469408067167273</v>
      </c>
      <c r="K69" s="436" t="str">
        <f ca="1"/>
        <v>0,280826770308268</v>
      </c>
      <c r="L69" s="436" t="str">
        <f ca="1"/>
        <v>0,280826770308268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0.11820417753757299</v>
      </c>
      <c r="V69" s="460">
        <f t="shared" ca="1" si="0"/>
        <v>-1.1344549945733991E-3</v>
      </c>
      <c r="W69" s="459">
        <f t="shared" ca="1" si="1"/>
        <v>9.3608923436089342E-2</v>
      </c>
      <c r="X69" s="461">
        <f t="shared" ca="1" si="2"/>
        <v>2.0730114932653618E-3</v>
      </c>
      <c r="Y69" s="460">
        <f t="shared" ca="1" si="3"/>
        <v>-4.4920202035564653E-5</v>
      </c>
      <c r="Z69" s="79"/>
    </row>
    <row r="70" spans="1:26" customFormat="1" ht="14.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469">
        <v>100</v>
      </c>
      <c r="H70" s="405">
        <v>56</v>
      </c>
      <c r="I70" s="424" t="str">
        <f ca="1"/>
        <v>0,000157695452321227</v>
      </c>
      <c r="J70" s="424" t="str">
        <f ca="1"/>
        <v>0,000465323385893698</v>
      </c>
      <c r="K70" s="436" t="str">
        <f ca="1"/>
        <v>0,338894319739288</v>
      </c>
      <c r="L70" s="436" t="str">
        <f ca="1"/>
        <v>0,338894319739288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0.11820417753757299</v>
      </c>
      <c r="V70" s="460">
        <f t="shared" ca="1" si="0"/>
        <v>-1.6680578769362601E-3</v>
      </c>
      <c r="W70" s="459">
        <f t="shared" ca="1" si="1"/>
        <v>0.11296477324642934</v>
      </c>
      <c r="X70" s="461">
        <f t="shared" ca="1" si="2"/>
        <v>3.0594851223022593E-3</v>
      </c>
      <c r="Y70" s="460">
        <f t="shared" ca="1" si="3"/>
        <v>-7.9706057668786439E-5</v>
      </c>
      <c r="Z70" s="79"/>
    </row>
    <row r="71" spans="1:26" customFormat="1" ht="14.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469">
        <v>100</v>
      </c>
      <c r="H71" s="405">
        <v>57</v>
      </c>
      <c r="I71" s="424" t="str">
        <f ca="1"/>
        <v>0,000197661036152108</v>
      </c>
      <c r="J71" s="424" t="str">
        <f ca="1"/>
        <v>0,000455156732521971</v>
      </c>
      <c r="K71" s="436" t="str">
        <f ca="1"/>
        <v>0,434270267863316</v>
      </c>
      <c r="L71" s="436" t="str">
        <f ca="1"/>
        <v>0,434270267863316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0.11820417753757299</v>
      </c>
      <c r="V71" s="460">
        <f t="shared" ca="1" si="0"/>
        <v>-2.9410215570720715E-3</v>
      </c>
      <c r="W71" s="459">
        <f t="shared" ca="1" si="1"/>
        <v>0.14475675595443868</v>
      </c>
      <c r="X71" s="461">
        <f t="shared" ca="1" si="2"/>
        <v>5.4248358513194362E-3</v>
      </c>
      <c r="Y71" s="460">
        <f t="shared" ca="1" si="3"/>
        <v>-1.8008362676458727E-4</v>
      </c>
      <c r="Z71" s="79"/>
    </row>
    <row r="72" spans="1:26" customFormat="1" ht="14.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469">
        <v>100</v>
      </c>
      <c r="H72" s="405">
        <v>58</v>
      </c>
      <c r="I72" s="424" t="str">
        <f ca="1"/>
        <v>0,00020468391945716</v>
      </c>
      <c r="J72" s="424" t="str">
        <f ca="1"/>
        <v>0,000453032875264569</v>
      </c>
      <c r="K72" s="436" t="str">
        <f ca="1"/>
        <v>0,451808093038779</v>
      </c>
      <c r="L72" s="436" t="str">
        <f ca="1"/>
        <v>0,451808093038779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0.11820417753757299</v>
      </c>
      <c r="V72" s="460">
        <f t="shared" ca="1" si="0"/>
        <v>-3.2011683175980576E-3</v>
      </c>
      <c r="W72" s="459">
        <f t="shared" ca="1" si="1"/>
        <v>0.150602697679593</v>
      </c>
      <c r="X72" s="461">
        <f t="shared" ca="1" si="2"/>
        <v>5.9173649641498741E-3</v>
      </c>
      <c r="Y72" s="460">
        <f t="shared" ca="1" si="3"/>
        <v>-2.0392874194461843E-4</v>
      </c>
      <c r="Z72" s="79"/>
    </row>
    <row r="73" spans="1:26" customFormat="1" ht="14.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469">
        <v>100</v>
      </c>
      <c r="H73" s="405">
        <v>59</v>
      </c>
      <c r="I73" s="424" t="str">
        <f ca="1"/>
        <v>0,000164400956539778</v>
      </c>
      <c r="J73" s="424" t="str">
        <f ca="1"/>
        <v>0,000463942055511032</v>
      </c>
      <c r="K73" s="436" t="str">
        <f ca="1"/>
        <v>0,354356658524286</v>
      </c>
      <c r="L73" s="436" t="str">
        <f ca="1"/>
        <v>0,354356658524286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0.11820417753757299</v>
      </c>
      <c r="V73" s="460">
        <f t="shared" ca="1" si="0"/>
        <v>-1.8835404700586992E-3</v>
      </c>
      <c r="W73" s="459">
        <f t="shared" ca="1" si="1"/>
        <v>0.118118886174762</v>
      </c>
      <c r="X73" s="461">
        <f t="shared" ca="1" si="2"/>
        <v>3.4538049963784329E-3</v>
      </c>
      <c r="Y73" s="460">
        <f t="shared" ca="1" si="3"/>
        <v>-9.4109069164540404E-5</v>
      </c>
      <c r="Z73" s="79"/>
    </row>
    <row r="74" spans="1:26" customFormat="1" ht="14.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469">
        <v>100</v>
      </c>
      <c r="H74" s="405">
        <v>60</v>
      </c>
      <c r="I74" s="424" t="str">
        <f ca="1"/>
        <v>0,000155691796906599</v>
      </c>
      <c r="J74" s="424" t="str">
        <f ca="1"/>
        <v>0,000465655731962511</v>
      </c>
      <c r="K74" s="436" t="str">
        <f ca="1"/>
        <v>0,334349576779468</v>
      </c>
      <c r="L74" s="436" t="str">
        <f ca="1"/>
        <v>0,334349576779468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0.11820417753757299</v>
      </c>
      <c r="V74" s="460">
        <f t="shared" ca="1" si="0"/>
        <v>-1.6144975349108124E-3</v>
      </c>
      <c r="W74" s="459">
        <f t="shared" ca="1" si="1"/>
        <v>0.11144985892648934</v>
      </c>
      <c r="X74" s="461">
        <f t="shared" ca="1" si="2"/>
        <v>2.9608816083194628E-3</v>
      </c>
      <c r="Y74" s="460">
        <f t="shared" ca="1" si="3"/>
        <v>-7.6112167205672518E-5</v>
      </c>
      <c r="Z74" s="79"/>
    </row>
    <row r="75" spans="1:26" customFormat="1" ht="14.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469">
        <v>100</v>
      </c>
      <c r="H75" s="405">
        <v>61</v>
      </c>
      <c r="I75" s="424" t="str">
        <f ca="1"/>
        <v>0,000186064685261056</v>
      </c>
      <c r="J75" s="424" t="str">
        <f ca="1"/>
        <v>0,000458778251915827</v>
      </c>
      <c r="K75" s="436" t="str">
        <f ca="1"/>
        <v>0,405565617995322</v>
      </c>
      <c r="L75" s="436" t="str">
        <f ca="1"/>
        <v>0,405565617995322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0.11820417753757299</v>
      </c>
      <c r="V75" s="460">
        <f t="shared" ca="1" si="0"/>
        <v>-2.518952560905759E-3</v>
      </c>
      <c r="W75" s="459">
        <f t="shared" ca="1" si="1"/>
        <v>0.13518853933177399</v>
      </c>
      <c r="X75" s="461">
        <f t="shared" ca="1" si="2"/>
        <v>4.6366787698773814E-3</v>
      </c>
      <c r="Y75" s="460">
        <f t="shared" ca="1" si="3"/>
        <v>-1.4404462027014123E-4</v>
      </c>
      <c r="Z75" s="79"/>
    </row>
    <row r="76" spans="1:26" customFormat="1" ht="14.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469">
        <v>100</v>
      </c>
      <c r="H76" s="405">
        <v>62</v>
      </c>
      <c r="I76" s="424" t="str">
        <f ca="1"/>
        <v>0,000139487141422179</v>
      </c>
      <c r="J76" s="424" t="str">
        <f ca="1"/>
        <v>0,000468317077468163</v>
      </c>
      <c r="K76" s="436" t="str">
        <f ca="1"/>
        <v>0,297847650946834</v>
      </c>
      <c r="L76" s="436" t="str">
        <f ca="1"/>
        <v>0,297847650946834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0.11820417753757299</v>
      </c>
      <c r="V76" s="460">
        <f t="shared" ca="1" si="0"/>
        <v>-1.2958418861493328E-3</v>
      </c>
      <c r="W76" s="459">
        <f t="shared" ca="1" si="1"/>
        <v>9.928255031561134E-2</v>
      </c>
      <c r="X76" s="461">
        <f t="shared" ca="1" si="2"/>
        <v>2.3689689426727454E-3</v>
      </c>
      <c r="Y76" s="460">
        <f t="shared" ca="1" si="3"/>
        <v>-5.4420448558936655E-5</v>
      </c>
      <c r="Z76" s="79"/>
    </row>
    <row r="77" spans="1:26" customFormat="1" ht="14.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469">
        <v>100</v>
      </c>
      <c r="H77" s="405">
        <v>63</v>
      </c>
      <c r="I77" s="424" t="str">
        <f ca="1"/>
        <v>0,000163644096144755</v>
      </c>
      <c r="J77" s="424" t="str">
        <f ca="1"/>
        <v>0,000464221584425711</v>
      </c>
      <c r="K77" s="436" t="str">
        <f ca="1"/>
        <v>0,35251289822553</v>
      </c>
      <c r="L77" s="436" t="str">
        <f ca="1"/>
        <v>0,35251289822553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0.11820417753757299</v>
      </c>
      <c r="V77" s="460">
        <f t="shared" ca="1" si="0"/>
        <v>-1.8281937246665675E-3</v>
      </c>
      <c r="W77" s="459">
        <f t="shared" ca="1" si="1"/>
        <v>0.11750429940851</v>
      </c>
      <c r="X77" s="461">
        <f t="shared" ca="1" si="2"/>
        <v>3.355290938064926E-3</v>
      </c>
      <c r="Y77" s="460">
        <f t="shared" ca="1" si="3"/>
        <v>-9.0868456291105131E-5</v>
      </c>
      <c r="Z77" s="79"/>
    </row>
    <row r="78" spans="1:26" customFormat="1" ht="14.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469">
        <v>100</v>
      </c>
      <c r="H78" s="405">
        <v>64</v>
      </c>
      <c r="I78" s="424" t="str">
        <f ca="1"/>
        <v>0,000105602128335591</v>
      </c>
      <c r="J78" s="424" t="str">
        <f ca="1"/>
        <v>0,000472369330694297</v>
      </c>
      <c r="K78" s="436" t="str">
        <f ca="1"/>
        <v>0,22355839271016</v>
      </c>
      <c r="L78" s="436" t="str">
        <f ca="1"/>
        <v>0,22355839271016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0.11820417753757299</v>
      </c>
      <c r="V78" s="460">
        <f t="shared" ca="1" si="0"/>
        <v>-7.0397667742116944E-4</v>
      </c>
      <c r="W78" s="459">
        <f t="shared" ca="1" si="1"/>
        <v>7.4519464236719998E-2</v>
      </c>
      <c r="X78" s="461">
        <f t="shared" ca="1" si="2"/>
        <v>1.2835428461564565E-3</v>
      </c>
      <c r="Y78" s="460">
        <f t="shared" ca="1" si="3"/>
        <v>-2.2190402204649918E-5</v>
      </c>
      <c r="Z78" s="79"/>
    </row>
    <row r="79" spans="1:26" customFormat="1" ht="14.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469">
        <v>100</v>
      </c>
      <c r="H79" s="405">
        <v>65</v>
      </c>
      <c r="I79" s="424" t="str">
        <f ca="1"/>
        <v>0,000155854828525181</v>
      </c>
      <c r="J79" s="424" t="str">
        <f ca="1"/>
        <v>0,000465642834392093</v>
      </c>
      <c r="K79" s="436" t="str">
        <f ca="1"/>
        <v>0,334708959343598</v>
      </c>
      <c r="L79" s="436" t="str">
        <f ca="1"/>
        <v>0,334708959343598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0.11820417753757299</v>
      </c>
      <c r="V79" s="460">
        <f t="shared" ca="1" si="0"/>
        <v>-1.6141637263195105E-3</v>
      </c>
      <c r="W79" s="459">
        <f t="shared" ca="1" si="1"/>
        <v>0.11156965311453267</v>
      </c>
      <c r="X79" s="461">
        <f t="shared" ca="1" si="2"/>
        <v>2.9608900770114899E-3</v>
      </c>
      <c r="Y79" s="460">
        <f t="shared" ca="1" si="3"/>
        <v>-7.6178224309493751E-5</v>
      </c>
      <c r="Z79" s="79"/>
    </row>
    <row r="80" spans="1:26" customFormat="1" ht="14.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469">
        <v>100</v>
      </c>
      <c r="H80" s="405">
        <v>66</v>
      </c>
      <c r="I80" s="424" t="str">
        <f ca="1"/>
        <v>0,000249964983564621</v>
      </c>
      <c r="J80" s="424" t="str">
        <f ca="1"/>
        <v>0,00044356976784189</v>
      </c>
      <c r="K80" s="436" t="str">
        <f ca="1"/>
        <v>0,56353025315675</v>
      </c>
      <c r="L80" s="436" t="str">
        <f ca="1"/>
        <v>0,56353025315675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0.11820417753757299</v>
      </c>
      <c r="V80" s="460">
        <f t="shared" ref="V80:V143" ca="1" si="6">IF($Q$12,IF(U80="","",U80*($V$10-S80)*T80),"")</f>
        <v>-5.4285691177189538E-3</v>
      </c>
      <c r="W80" s="459">
        <f t="shared" ref="W80:W143" ca="1" si="7">IF($Q$12,IF(OR(P80="",L80=""),"",L80/($C$20-$C$19)),"")</f>
        <v>0.18784341771891666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-4.3133880613972385E-4</v>
      </c>
      <c r="Z80" s="79"/>
    </row>
    <row r="81" spans="1:26" customFormat="1" ht="14.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469">
        <v>100</v>
      </c>
      <c r="H81" s="405">
        <v>67</v>
      </c>
      <c r="I81" s="424" t="str">
        <f ca="1"/>
        <v>0,000174526077428116</v>
      </c>
      <c r="J81" s="424" t="str">
        <f ca="1"/>
        <v>0,000461803608746246</v>
      </c>
      <c r="K81" s="436" t="str">
        <f ca="1"/>
        <v>0,377922723258786</v>
      </c>
      <c r="L81" s="436" t="str">
        <f ca="1"/>
        <v>0,377922723258786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0.11820417753757299</v>
      </c>
      <c r="V81" s="460">
        <f t="shared" ca="1" si="6"/>
        <v>-2.1479695639125356E-3</v>
      </c>
      <c r="W81" s="459">
        <f t="shared" ca="1" si="7"/>
        <v>0.12597424108626201</v>
      </c>
      <c r="X81" s="461">
        <f t="shared" ca="1" si="8"/>
        <v>3.9467856910058042E-3</v>
      </c>
      <c r="Y81" s="460">
        <f t="shared" ca="1" si="9"/>
        <v>-1.1445823714828519E-4</v>
      </c>
      <c r="Z81" s="79"/>
    </row>
    <row r="82" spans="1:26" customFormat="1" ht="14.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469">
        <v>100</v>
      </c>
      <c r="H82" s="405">
        <v>68</v>
      </c>
      <c r="I82" s="424" t="str">
        <f ca="1"/>
        <v>0,00019175848104529</v>
      </c>
      <c r="J82" s="424" t="str">
        <f ca="1"/>
        <v>0,000456966694376798</v>
      </c>
      <c r="K82" s="436" t="str">
        <f ca="1"/>
        <v>0,419633385550792</v>
      </c>
      <c r="L82" s="436" t="str">
        <f ca="1"/>
        <v>0,419633385550792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0.11820417753757299</v>
      </c>
      <c r="V82" s="460">
        <f t="shared" ca="1" si="6"/>
        <v>-2.7313164438259145E-3</v>
      </c>
      <c r="W82" s="459">
        <f t="shared" ca="1" si="7"/>
        <v>0.13987779518359733</v>
      </c>
      <c r="X82" s="461">
        <f t="shared" ca="1" si="8"/>
        <v>5.0307504603997596E-3</v>
      </c>
      <c r="Y82" s="460">
        <f t="shared" ca="1" si="9"/>
        <v>-1.6160618434557132E-4</v>
      </c>
      <c r="Z82" s="79"/>
    </row>
    <row r="83" spans="1:26" customFormat="1" ht="14.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469">
        <v>100</v>
      </c>
      <c r="H83" s="405">
        <v>69</v>
      </c>
      <c r="I83" s="424" t="str">
        <f ca="1"/>
        <v>0,00014688393655462</v>
      </c>
      <c r="J83" s="424" t="str">
        <f ca="1"/>
        <v>0,000467230258994956</v>
      </c>
      <c r="K83" s="436" t="str">
        <f ca="1"/>
        <v>0,314371626680552</v>
      </c>
      <c r="L83" s="436" t="str">
        <f ca="1"/>
        <v>0,314371626680552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0.11820417753757299</v>
      </c>
      <c r="V83" s="460">
        <f t="shared" ca="1" si="6"/>
        <v>-1.4563558008939771E-3</v>
      </c>
      <c r="W83" s="459">
        <f t="shared" ca="1" si="7"/>
        <v>0.10479054222685068</v>
      </c>
      <c r="X83" s="461">
        <f t="shared" ca="1" si="8"/>
        <v>2.6648740569009057E-3</v>
      </c>
      <c r="Y83" s="460">
        <f t="shared" ca="1" si="9"/>
        <v>-6.4554534886209617E-5</v>
      </c>
      <c r="Z83" s="79"/>
    </row>
    <row r="84" spans="1:26" customFormat="1" ht="14.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469">
        <v>100</v>
      </c>
      <c r="H84" s="405">
        <v>70</v>
      </c>
      <c r="I84" s="424" t="str">
        <f ca="1"/>
        <v>0,000179290420858647</v>
      </c>
      <c r="J84" s="424" t="str">
        <f ca="1"/>
        <v>0,000460625629059765</v>
      </c>
      <c r="K84" s="436" t="str">
        <f ca="1"/>
        <v>0,389232403816993</v>
      </c>
      <c r="L84" s="436" t="str">
        <f ca="1"/>
        <v>0,389232403816993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0.11820417753757299</v>
      </c>
      <c r="V84" s="460">
        <f t="shared" ca="1" si="6"/>
        <v>-2.3080282597569318E-3</v>
      </c>
      <c r="W84" s="459">
        <f t="shared" ca="1" si="7"/>
        <v>0.12974413460566434</v>
      </c>
      <c r="X84" s="461">
        <f t="shared" ca="1" si="8"/>
        <v>4.2424226422726917E-3</v>
      </c>
      <c r="Y84" s="460">
        <f t="shared" ca="1" si="9"/>
        <v>-1.2666774366430278E-4</v>
      </c>
      <c r="Z84" s="79"/>
    </row>
    <row r="85" spans="1:26" customFormat="1" ht="14.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469">
        <v>100</v>
      </c>
      <c r="H85" s="405">
        <v>71</v>
      </c>
      <c r="I85" s="424" t="str">
        <f ca="1"/>
        <v>0,000149714438654503</v>
      </c>
      <c r="J85" s="424" t="str">
        <f ca="1"/>
        <v>0,000466721261020898</v>
      </c>
      <c r="K85" s="436" t="str">
        <f ca="1"/>
        <v>0,320779126982602</v>
      </c>
      <c r="L85" s="436" t="str">
        <f ca="1"/>
        <v>0,320779126982602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0.11820417753757299</v>
      </c>
      <c r="V85" s="460">
        <f t="shared" ca="1" si="6"/>
        <v>-1.5096251790818567E-3</v>
      </c>
      <c r="W85" s="459">
        <f t="shared" ca="1" si="7"/>
        <v>0.10692637566086734</v>
      </c>
      <c r="X85" s="461">
        <f t="shared" ca="1" si="8"/>
        <v>2.7635335394358227E-3</v>
      </c>
      <c r="Y85" s="460">
        <f t="shared" ca="1" si="9"/>
        <v>-6.8279629522527519E-5</v>
      </c>
      <c r="Z85" s="79"/>
    </row>
    <row r="86" spans="1:26" customFormat="1" ht="14.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469">
        <v>100</v>
      </c>
      <c r="H86" s="405">
        <v>72</v>
      </c>
      <c r="I86" s="424" t="str">
        <f ca="1"/>
        <v>0,000174084033217725</v>
      </c>
      <c r="J86" s="424" t="str">
        <f ca="1"/>
        <v>0,000461734110795886</v>
      </c>
      <c r="K86" s="436" t="str">
        <f ca="1"/>
        <v>0,377022249704832</v>
      </c>
      <c r="L86" s="436" t="str">
        <f ca="1"/>
        <v>0,377022249704832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0.11820417753757299</v>
      </c>
      <c r="V86" s="460">
        <f t="shared" ca="1" si="6"/>
        <v>-2.1491170658854931E-3</v>
      </c>
      <c r="W86" s="459">
        <f t="shared" ca="1" si="7"/>
        <v>0.125674083234944</v>
      </c>
      <c r="X86" s="461">
        <f t="shared" ca="1" si="8"/>
        <v>3.9467612016408672E-3</v>
      </c>
      <c r="Y86" s="460">
        <f t="shared" ca="1" si="9"/>
        <v>-1.1424651930507322E-4</v>
      </c>
      <c r="Z86" s="79"/>
    </row>
    <row r="87" spans="1:26" customFormat="1" ht="14.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469">
        <v>100</v>
      </c>
      <c r="H87" s="405">
        <v>73</v>
      </c>
      <c r="I87" s="424" t="str">
        <f ca="1"/>
        <v>0,000156700707546253</v>
      </c>
      <c r="J87" s="424" t="str">
        <f ca="1"/>
        <v>0,000465537190417552</v>
      </c>
      <c r="K87" s="436" t="str">
        <f ca="1"/>
        <v>0,336601910162546</v>
      </c>
      <c r="L87" s="436" t="str">
        <f ca="1"/>
        <v>0,336601910162546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0.11820417753757299</v>
      </c>
      <c r="V87" s="460">
        <f t="shared" ca="1" si="6"/>
        <v>-1.6693587436025267E-3</v>
      </c>
      <c r="W87" s="459">
        <f t="shared" ca="1" si="7"/>
        <v>0.11220063672084866</v>
      </c>
      <c r="X87" s="461">
        <f t="shared" ca="1" si="8"/>
        <v>3.0594093980645071E-3</v>
      </c>
      <c r="Y87" s="460">
        <f t="shared" ca="1" si="9"/>
        <v>-7.9228635505789317E-5</v>
      </c>
      <c r="Z87" s="79"/>
    </row>
    <row r="88" spans="1:26" customFormat="1" ht="14.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469">
        <v>100</v>
      </c>
      <c r="H88" s="405">
        <v>74</v>
      </c>
      <c r="I88" s="424" t="str">
        <f ca="1"/>
        <v>0,000174085841709482</v>
      </c>
      <c r="J88" s="424" t="str">
        <f ca="1"/>
        <v>0,000461739372287343</v>
      </c>
      <c r="K88" s="436" t="str">
        <f ca="1"/>
        <v>0,377021870253567</v>
      </c>
      <c r="L88" s="436" t="str">
        <f ca="1"/>
        <v>0,377021870253567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0.11820417753757299</v>
      </c>
      <c r="V88" s="460">
        <f t="shared" ca="1" si="6"/>
        <v>-2.1491424725225551E-3</v>
      </c>
      <c r="W88" s="459">
        <f t="shared" ca="1" si="7"/>
        <v>0.125673956751189</v>
      </c>
      <c r="X88" s="461">
        <f t="shared" ca="1" si="8"/>
        <v>3.946761899992119E-3</v>
      </c>
      <c r="Y88" s="460">
        <f t="shared" ca="1" si="9"/>
        <v>-1.142477549315424E-4</v>
      </c>
      <c r="Z88" s="79"/>
    </row>
    <row r="89" spans="1:26" customFormat="1" ht="14.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469">
        <v>100</v>
      </c>
      <c r="H89" s="405">
        <v>75</v>
      </c>
      <c r="I89" s="424" t="str">
        <f ca="1"/>
        <v>0,000170359799759878</v>
      </c>
      <c r="J89" s="424" t="str">
        <f ca="1"/>
        <v>0,000462717551948311</v>
      </c>
      <c r="K89" s="436" t="str">
        <f ca="1"/>
        <v>0,368172331139296</v>
      </c>
      <c r="L89" s="436" t="str">
        <f ca="1"/>
        <v>0,368172331139296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0.11820417753757299</v>
      </c>
      <c r="V89" s="460">
        <f t="shared" ca="1" si="6"/>
        <v>-1.9854110142290492E-3</v>
      </c>
      <c r="W89" s="459">
        <f t="shared" ca="1" si="7"/>
        <v>0.12272411037976533</v>
      </c>
      <c r="X89" s="461">
        <f t="shared" ca="1" si="8"/>
        <v>3.6512167873886951E-3</v>
      </c>
      <c r="Y89" s="460">
        <f t="shared" ca="1" si="9"/>
        <v>-1.030664928834674E-4</v>
      </c>
      <c r="Z89" s="79"/>
    </row>
    <row r="90" spans="1:26" customFormat="1" ht="14.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469">
        <v>100</v>
      </c>
      <c r="H90" s="405">
        <v>76</v>
      </c>
      <c r="I90" s="424" t="str">
        <f ca="1"/>
        <v>0,000153664609377091</v>
      </c>
      <c r="J90" s="424" t="str">
        <f ca="1"/>
        <v>0,000466002512254975</v>
      </c>
      <c r="K90" s="436" t="str">
        <f ca="1"/>
        <v>0,329750602917378</v>
      </c>
      <c r="L90" s="436" t="str">
        <f ca="1"/>
        <v>0,329750602917378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0.11820417753757299</v>
      </c>
      <c r="V90" s="460">
        <f t="shared" ca="1" si="6"/>
        <v>-1.5608347334400076E-3</v>
      </c>
      <c r="W90" s="459">
        <f t="shared" ca="1" si="7"/>
        <v>0.109916867639126</v>
      </c>
      <c r="X90" s="461">
        <f t="shared" ca="1" si="8"/>
        <v>2.8622687553698837E-3</v>
      </c>
      <c r="Y90" s="460">
        <f t="shared" ca="1" si="9"/>
        <v>-7.2570220603050345E-5</v>
      </c>
      <c r="Z90" s="79"/>
    </row>
    <row r="91" spans="1:26" customFormat="1" ht="14.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469">
        <v>100</v>
      </c>
      <c r="H91" s="405">
        <v>77</v>
      </c>
      <c r="I91" s="424" t="str">
        <f ca="1"/>
        <v>0,000160755172827942</v>
      </c>
      <c r="J91" s="424" t="str">
        <f ca="1"/>
        <v>0,000464681522693744</v>
      </c>
      <c r="K91" s="436" t="str">
        <f ca="1"/>
        <v>0,345946987295835</v>
      </c>
      <c r="L91" s="436" t="str">
        <f ca="1"/>
        <v>0,345946987295835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0.11820417753757299</v>
      </c>
      <c r="V91" s="460">
        <f t="shared" ca="1" si="6"/>
        <v>-1.7765359517257541E-3</v>
      </c>
      <c r="W91" s="459">
        <f t="shared" ca="1" si="7"/>
        <v>0.11531566243194501</v>
      </c>
      <c r="X91" s="461">
        <f t="shared" ca="1" si="8"/>
        <v>3.2566342671617224E-3</v>
      </c>
      <c r="Y91" s="460">
        <f t="shared" ca="1" si="9"/>
        <v>-8.665616747864203E-5</v>
      </c>
      <c r="Z91" s="79"/>
    </row>
    <row r="92" spans="1:26" customFormat="1" ht="14.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469">
        <v>100</v>
      </c>
      <c r="H92" s="405">
        <v>78</v>
      </c>
      <c r="I92" s="424" t="str">
        <f ca="1"/>
        <v>0,000200051542028956</v>
      </c>
      <c r="J92" s="424" t="str">
        <f ca="1"/>
        <v>0,000442963012142024</v>
      </c>
      <c r="K92" s="436" t="str">
        <f ca="1"/>
        <v>0,451621324005299</v>
      </c>
      <c r="L92" s="436" t="str">
        <f ca="1"/>
        <v>0,451621324005299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0.11820417753757299</v>
      </c>
      <c r="V92" s="460">
        <f t="shared" ca="1" si="6"/>
        <v>-3.2042461846074903E-3</v>
      </c>
      <c r="W92" s="459">
        <f t="shared" ca="1" si="7"/>
        <v>0.15054044133509967</v>
      </c>
      <c r="X92" s="461">
        <f t="shared" ca="1" si="8"/>
        <v>5.9173010342376178E-3</v>
      </c>
      <c r="Y92" s="460">
        <f t="shared" ca="1" si="9"/>
        <v>-2.0404043445240892E-4</v>
      </c>
      <c r="Z92" s="79"/>
    </row>
    <row r="93" spans="1:26" customFormat="1" ht="14.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469">
        <v>100</v>
      </c>
      <c r="H93" s="405">
        <v>79</v>
      </c>
      <c r="I93" s="424" t="str">
        <f ca="1"/>
        <v>0,000162429927014851</v>
      </c>
      <c r="J93" s="424" t="str">
        <f ca="1"/>
        <v>0,000464374655549693</v>
      </c>
      <c r="K93" s="436" t="str">
        <f ca="1"/>
        <v>0,349782067289134</v>
      </c>
      <c r="L93" s="436" t="str">
        <f ca="1"/>
        <v>0,349782067289134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0.11820417753757299</v>
      </c>
      <c r="V93" s="460">
        <f t="shared" ca="1" si="6"/>
        <v>-1.8301080293502696E-3</v>
      </c>
      <c r="W93" s="459">
        <f t="shared" ca="1" si="7"/>
        <v>0.11659402242971134</v>
      </c>
      <c r="X93" s="461">
        <f t="shared" ca="1" si="8"/>
        <v>3.3552077986276716E-3</v>
      </c>
      <c r="Y93" s="460">
        <f t="shared" ca="1" si="9"/>
        <v>-9.0258932073290839E-5</v>
      </c>
      <c r="Z93" s="79"/>
    </row>
    <row r="94" spans="1:26" customFormat="1" ht="14.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469">
        <v>100</v>
      </c>
      <c r="H94" s="405">
        <v>80</v>
      </c>
      <c r="I94" s="424" t="str">
        <f ca="1"/>
        <v>0,0001684718839434</v>
      </c>
      <c r="J94" s="424" t="str">
        <f ca="1"/>
        <v>0,000463047424462777</v>
      </c>
      <c r="K94" s="436" t="str">
        <f ca="1"/>
        <v>0,363832892794641</v>
      </c>
      <c r="L94" s="436" t="str">
        <f ca="1"/>
        <v>0,363832892794641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0.11820417753757299</v>
      </c>
      <c r="V94" s="460">
        <f t="shared" ca="1" si="6"/>
        <v>-1.9898750847211748E-3</v>
      </c>
      <c r="W94" s="459">
        <f t="shared" ca="1" si="7"/>
        <v>0.12127763093154699</v>
      </c>
      <c r="X94" s="461">
        <f t="shared" ca="1" si="8"/>
        <v>3.6510059848204289E-3</v>
      </c>
      <c r="Y94" s="460">
        <f t="shared" ca="1" si="9"/>
        <v>-1.0208071370742638E-4</v>
      </c>
      <c r="Z94" s="79"/>
    </row>
    <row r="95" spans="1:26" customFormat="1" ht="14.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469">
        <v>100</v>
      </c>
      <c r="H95" s="405">
        <v>81</v>
      </c>
      <c r="I95" s="424" t="str">
        <f ca="1"/>
        <v>0,000147194675919971</v>
      </c>
      <c r="J95" s="424" t="str">
        <f ca="1"/>
        <v>0,000467142425822518</v>
      </c>
      <c r="K95" s="436" t="str">
        <f ca="1"/>
        <v>0,315095927458952</v>
      </c>
      <c r="L95" s="436" t="str">
        <f ca="1"/>
        <v>0,315095927458952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0.11820417753757299</v>
      </c>
      <c r="V95" s="460">
        <f t="shared" ca="1" si="6"/>
        <v>-1.4563024580133445E-3</v>
      </c>
      <c r="W95" s="459">
        <f t="shared" ca="1" si="7"/>
        <v>0.10503197581965067</v>
      </c>
      <c r="X95" s="461">
        <f t="shared" ca="1" si="8"/>
        <v>2.6648950742233979E-3</v>
      </c>
      <c r="Y95" s="460">
        <f t="shared" ca="1" si="9"/>
        <v>-6.4700896255352446E-5</v>
      </c>
      <c r="Z95" s="79"/>
    </row>
    <row r="96" spans="1:26" customFormat="1" ht="14.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469">
        <v>100</v>
      </c>
      <c r="H96" s="405">
        <v>82</v>
      </c>
      <c r="I96" s="424" t="str">
        <f ca="1"/>
        <v>0,000209823143431165</v>
      </c>
      <c r="J96" s="424" t="str">
        <f ca="1"/>
        <v>0,000440042974937734</v>
      </c>
      <c r="K96" s="436" t="str">
        <f ca="1"/>
        <v>0,476824208955625</v>
      </c>
      <c r="L96" s="436" t="str">
        <f ca="1"/>
        <v>0,476824208955625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0.11820417753757299</v>
      </c>
      <c r="V96" s="460">
        <f t="shared" ca="1" si="6"/>
        <v>-3.621458417280639E-3</v>
      </c>
      <c r="W96" s="459">
        <f t="shared" ca="1" si="7"/>
        <v>0.15894140298520834</v>
      </c>
      <c r="X96" s="461">
        <f t="shared" ca="1" si="8"/>
        <v>6.7050941057625628E-3</v>
      </c>
      <c r="Y96" s="460">
        <f t="shared" ca="1" si="9"/>
        <v>-2.4347687775764691E-4</v>
      </c>
      <c r="Z96" s="79"/>
    </row>
    <row r="97" spans="1:26" customFormat="1" ht="14.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469">
        <v>100</v>
      </c>
      <c r="H97" s="405">
        <v>83</v>
      </c>
      <c r="I97" s="424" t="str">
        <f ca="1"/>
        <v>0,0001870578606884</v>
      </c>
      <c r="J97" s="424" t="str">
        <f ca="1"/>
        <v>0,000458394260522913</v>
      </c>
      <c r="K97" s="436" t="str">
        <f ca="1"/>
        <v>0,408071995655037</v>
      </c>
      <c r="L97" s="436" t="str">
        <f ca="1"/>
        <v>0,408071995655037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0.11820417753757299</v>
      </c>
      <c r="V97" s="460">
        <f t="shared" ca="1" si="6"/>
        <v>-2.5733171005738885E-3</v>
      </c>
      <c r="W97" s="459">
        <f t="shared" ca="1" si="7"/>
        <v>0.13602399855167899</v>
      </c>
      <c r="X97" s="461">
        <f t="shared" ca="1" si="8"/>
        <v>4.7351341671399419E-3</v>
      </c>
      <c r="Y97" s="460">
        <f t="shared" ca="1" si="9"/>
        <v>-1.4806282182802322E-4</v>
      </c>
      <c r="Z97" s="79"/>
    </row>
    <row r="98" spans="1:26" customFormat="1" ht="14.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469">
        <v>100</v>
      </c>
      <c r="H98" s="405">
        <v>84</v>
      </c>
      <c r="I98" s="424" t="str">
        <f ca="1"/>
        <v>0,000154021725489106</v>
      </c>
      <c r="J98" s="424" t="str">
        <f ca="1"/>
        <v>0,000465959291399568</v>
      </c>
      <c r="K98" s="436" t="str">
        <f ca="1"/>
        <v>0,330547600041373</v>
      </c>
      <c r="L98" s="436" t="str">
        <f ca="1"/>
        <v>0,330547600041373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0.11820417753757299</v>
      </c>
      <c r="V98" s="460">
        <f t="shared" ca="1" si="6"/>
        <v>-1.616696654130259E-3</v>
      </c>
      <c r="W98" s="459">
        <f t="shared" ca="1" si="7"/>
        <v>0.11018253334712434</v>
      </c>
      <c r="X98" s="461">
        <f t="shared" ca="1" si="8"/>
        <v>2.9607767410726998E-3</v>
      </c>
      <c r="Y98" s="460">
        <f t="shared" ca="1" si="9"/>
        <v>-7.5349169850308378E-5</v>
      </c>
      <c r="Z98" s="79"/>
    </row>
    <row r="99" spans="1:26" customFormat="1" ht="14.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469">
        <v>100</v>
      </c>
      <c r="H99" s="405">
        <v>85</v>
      </c>
      <c r="I99" s="424" t="str">
        <f ca="1"/>
        <v>0,000168529874822499</v>
      </c>
      <c r="J99" s="424" t="str">
        <f ca="1"/>
        <v>0,000463019417921049</v>
      </c>
      <c r="K99" s="436" t="str">
        <f ca="1"/>
        <v>0,363980144891538</v>
      </c>
      <c r="L99" s="436" t="str">
        <f ca="1"/>
        <v>0,363980144891538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0.11820417753757299</v>
      </c>
      <c r="V99" s="460">
        <f t="shared" ca="1" si="6"/>
        <v>-1.9897566774733852E-3</v>
      </c>
      <c r="W99" s="459">
        <f t="shared" ca="1" si="7"/>
        <v>0.12132671496384601</v>
      </c>
      <c r="X99" s="461">
        <f t="shared" ca="1" si="8"/>
        <v>3.651019653058868E-3</v>
      </c>
      <c r="Y99" s="460">
        <f t="shared" ca="1" si="9"/>
        <v>-1.0211595151892457E-4</v>
      </c>
      <c r="Z99" s="79"/>
    </row>
    <row r="100" spans="1:26" customFormat="1" ht="14.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469">
        <v>100</v>
      </c>
      <c r="H100" s="405">
        <v>86</v>
      </c>
      <c r="I100" s="424" t="str">
        <f ca="1"/>
        <v>0,000188101392364337</v>
      </c>
      <c r="J100" s="424" t="str">
        <f ca="1"/>
        <v>0,000458333100958523</v>
      </c>
      <c r="K100" s="436" t="str">
        <f ca="1"/>
        <v>0,410403245960102</v>
      </c>
      <c r="L100" s="436" t="str">
        <f ca="1"/>
        <v>0,410403245960102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0.11820417753757299</v>
      </c>
      <c r="V100" s="460">
        <f t="shared" ca="1" si="6"/>
        <v>-2.5701547126900461E-3</v>
      </c>
      <c r="W100" s="459">
        <f t="shared" ca="1" si="7"/>
        <v>0.13680108198670068</v>
      </c>
      <c r="X100" s="461">
        <f t="shared" ca="1" si="8"/>
        <v>4.7352853834422299E-3</v>
      </c>
      <c r="Y100" s="460">
        <f t="shared" ca="1" si="9"/>
        <v>-1.4872568503657824E-4</v>
      </c>
      <c r="Z100" s="79"/>
    </row>
    <row r="101" spans="1:26" customFormat="1" ht="14.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469">
        <v>100</v>
      </c>
      <c r="H101" s="405">
        <v>87</v>
      </c>
      <c r="I101" s="424" t="str">
        <f ca="1"/>
        <v>0,000131371584939277</v>
      </c>
      <c r="J101" s="424" t="str">
        <f ca="1"/>
        <v>0,000469482730917324</v>
      </c>
      <c r="K101" s="436" t="str">
        <f ca="1"/>
        <v>0,279821974884123</v>
      </c>
      <c r="L101" s="436" t="str">
        <f ca="1"/>
        <v>0,279821974884123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0.11820417753757299</v>
      </c>
      <c r="V101" s="460">
        <f t="shared" ca="1" si="6"/>
        <v>-1.1347624540443372E-3</v>
      </c>
      <c r="W101" s="459">
        <f t="shared" ca="1" si="7"/>
        <v>9.3273991628041009E-2</v>
      </c>
      <c r="X101" s="461">
        <f t="shared" ca="1" si="8"/>
        <v>2.0729968646265124E-3</v>
      </c>
      <c r="Y101" s="460">
        <f t="shared" ca="1" si="9"/>
        <v>-4.4771608687308336E-5</v>
      </c>
      <c r="Z101" s="79"/>
    </row>
    <row r="102" spans="1:26" customFormat="1" ht="14.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469">
        <v>100</v>
      </c>
      <c r="H102" s="405">
        <v>88</v>
      </c>
      <c r="I102" s="424" t="str">
        <f ca="1"/>
        <v>0,000179408605688746</v>
      </c>
      <c r="J102" s="424" t="str">
        <f ca="1"/>
        <v>0,000460615461872908</v>
      </c>
      <c r="K102" s="436" t="str">
        <f ca="1"/>
        <v>0,389497575611667</v>
      </c>
      <c r="L102" s="436" t="str">
        <f ca="1"/>
        <v>0,389497575611667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0.11820417753757299</v>
      </c>
      <c r="V102" s="460">
        <f t="shared" ca="1" si="6"/>
        <v>-2.2494723926321813E-3</v>
      </c>
      <c r="W102" s="459">
        <f t="shared" ca="1" si="7"/>
        <v>0.12983252520388899</v>
      </c>
      <c r="X102" s="461">
        <f t="shared" ca="1" si="8"/>
        <v>4.1441709058080657E-3</v>
      </c>
      <c r="Y102" s="460">
        <f t="shared" ca="1" si="9"/>
        <v>-1.2353822309665681E-4</v>
      </c>
      <c r="Z102" s="79"/>
    </row>
    <row r="103" spans="1:26" customFormat="1" ht="14.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469">
        <v>100</v>
      </c>
      <c r="H103" s="405">
        <v>89</v>
      </c>
      <c r="I103" s="424" t="str">
        <f ca="1"/>
        <v>0,000132260302725462</v>
      </c>
      <c r="J103" s="424" t="str">
        <f ca="1"/>
        <v>0,000469344357184815</v>
      </c>
      <c r="K103" s="436" t="str">
        <f ca="1"/>
        <v>0,281798003322711</v>
      </c>
      <c r="L103" s="436" t="str">
        <f ca="1"/>
        <v>0,281798003322711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0.11820417753757299</v>
      </c>
      <c r="V103" s="460">
        <f t="shared" ca="1" si="6"/>
        <v>-1.1343029784142481E-3</v>
      </c>
      <c r="W103" s="459">
        <f t="shared" ca="1" si="7"/>
        <v>9.3932667774236991E-2</v>
      </c>
      <c r="X103" s="461">
        <f t="shared" ca="1" si="8"/>
        <v>2.0730232055039899E-3</v>
      </c>
      <c r="Y103" s="460">
        <f t="shared" ca="1" si="9"/>
        <v>-4.5069517442750856E-5</v>
      </c>
      <c r="Z103" s="79"/>
    </row>
    <row r="104" spans="1:26" customFormat="1" ht="14.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469">
        <v>100</v>
      </c>
      <c r="H104" s="405">
        <v>90</v>
      </c>
      <c r="I104" s="424" t="str">
        <f ca="1"/>
        <v>0,000194524924332029</v>
      </c>
      <c r="J104" s="424" t="str">
        <f ca="1"/>
        <v>0,000456029402459578</v>
      </c>
      <c r="K104" s="436" t="str">
        <f ca="1"/>
        <v>0,426562242002086</v>
      </c>
      <c r="L104" s="436" t="str">
        <f ca="1"/>
        <v>0,426562242002086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0.11820417753757299</v>
      </c>
      <c r="V104" s="460">
        <f t="shared" ca="1" si="6"/>
        <v>-2.8369501036109093E-3</v>
      </c>
      <c r="W104" s="459">
        <f t="shared" ca="1" si="7"/>
        <v>0.14218741400069532</v>
      </c>
      <c r="X104" s="461">
        <f t="shared" ca="1" si="8"/>
        <v>5.2277765450674321E-3</v>
      </c>
      <c r="Y104" s="460">
        <f t="shared" ca="1" si="9"/>
        <v>-1.7062789458232978E-4</v>
      </c>
      <c r="Z104" s="79"/>
    </row>
    <row r="105" spans="1:26" customFormat="1" ht="14.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469">
        <v>100</v>
      </c>
      <c r="H105" s="405">
        <v>91</v>
      </c>
      <c r="I105" s="424" t="str">
        <f ca="1"/>
        <v>0,000128574963075212</v>
      </c>
      <c r="J105" s="424" t="str">
        <f ca="1"/>
        <v>0,000469844509130766</v>
      </c>
      <c r="K105" s="436" t="str">
        <f ca="1"/>
        <v>0,27365428471875</v>
      </c>
      <c r="L105" s="436" t="str">
        <f ca="1"/>
        <v>0,27365428471875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0.11820417753757299</v>
      </c>
      <c r="V105" s="460">
        <f t="shared" ca="1" si="6"/>
        <v>-1.0810526002768585E-3</v>
      </c>
      <c r="W105" s="459">
        <f t="shared" ca="1" si="7"/>
        <v>9.1218094906249991E-2</v>
      </c>
      <c r="X105" s="461">
        <f t="shared" ca="1" si="8"/>
        <v>1.9743353027626793E-3</v>
      </c>
      <c r="Y105" s="460">
        <f t="shared" ca="1" si="9"/>
        <v>-4.1712383075191119E-5</v>
      </c>
      <c r="Z105" s="79"/>
    </row>
    <row r="106" spans="1:26" customFormat="1" ht="14.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469">
        <v>100</v>
      </c>
      <c r="H106" s="405">
        <v>92</v>
      </c>
      <c r="I106" s="424" t="str">
        <f ca="1"/>
        <v>0,000128843224672371</v>
      </c>
      <c r="J106" s="424" t="str">
        <f ca="1"/>
        <v>0,000469820419882572</v>
      </c>
      <c r="K106" s="436" t="str">
        <f ca="1"/>
        <v>0,274239303401445</v>
      </c>
      <c r="L106" s="436" t="str">
        <f ca="1"/>
        <v>0,274239303401445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0.11820417753757299</v>
      </c>
      <c r="V106" s="460">
        <f t="shared" ca="1" si="6"/>
        <v>-1.0808782115789108E-3</v>
      </c>
      <c r="W106" s="459">
        <f t="shared" ca="1" si="7"/>
        <v>9.1413101133814997E-2</v>
      </c>
      <c r="X106" s="461">
        <f t="shared" ca="1" si="8"/>
        <v>1.9743382370211908E-3</v>
      </c>
      <c r="Y106" s="460">
        <f t="shared" ca="1" si="9"/>
        <v>-4.1794812724361266E-5</v>
      </c>
      <c r="Z106" s="79"/>
    </row>
    <row r="107" spans="1:26" customFormat="1" ht="14.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469">
        <v>100</v>
      </c>
      <c r="H107" s="405">
        <v>93</v>
      </c>
      <c r="I107" s="424" t="str">
        <f ca="1"/>
        <v>0,000152413445389365</v>
      </c>
      <c r="J107" s="424" t="str">
        <f ca="1"/>
        <v>0,000466266777897986</v>
      </c>
      <c r="K107" s="436" t="str">
        <f ca="1"/>
        <v>0,326880345360379</v>
      </c>
      <c r="L107" s="436" t="str">
        <f ca="1"/>
        <v>0,326880345360379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0.11820417753757299</v>
      </c>
      <c r="V107" s="460">
        <f t="shared" ca="1" si="6"/>
        <v>-1.562552077715568E-3</v>
      </c>
      <c r="W107" s="459">
        <f t="shared" ca="1" si="7"/>
        <v>0.10896011512012634</v>
      </c>
      <c r="X107" s="461">
        <f t="shared" ca="1" si="8"/>
        <v>2.8621813120715631E-3</v>
      </c>
      <c r="Y107" s="460">
        <f t="shared" ca="1" si="9"/>
        <v>-7.2017697604199476E-5</v>
      </c>
      <c r="Z107" s="79"/>
    </row>
    <row r="108" spans="1:26" customFormat="1" ht="14.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469">
        <v>100</v>
      </c>
      <c r="H108" s="405">
        <v>94</v>
      </c>
      <c r="I108" s="424" t="str">
        <f ca="1"/>
        <v>0,000131371584939277</v>
      </c>
      <c r="J108" s="424" t="str">
        <f ca="1"/>
        <v>0,000469482730917324</v>
      </c>
      <c r="K108" s="436" t="str">
        <f ca="1"/>
        <v>0,279821974884123</v>
      </c>
      <c r="L108" s="436" t="str">
        <f ca="1"/>
        <v>0,279821974884123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0.11820417753757299</v>
      </c>
      <c r="V108" s="460">
        <f t="shared" ca="1" si="6"/>
        <v>-1.1347624540443372E-3</v>
      </c>
      <c r="W108" s="459">
        <f t="shared" ca="1" si="7"/>
        <v>9.3273991628041009E-2</v>
      </c>
      <c r="X108" s="461">
        <f t="shared" ca="1" si="8"/>
        <v>2.0729968646265124E-3</v>
      </c>
      <c r="Y108" s="460">
        <f t="shared" ca="1" si="9"/>
        <v>-4.4771608687308336E-5</v>
      </c>
      <c r="Z108" s="79"/>
    </row>
    <row r="109" spans="1:26" customFormat="1" ht="14.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469">
        <v>100</v>
      </c>
      <c r="H109" s="405">
        <v>95</v>
      </c>
      <c r="I109" s="424" t="str">
        <f ca="1"/>
        <v>0,000178844357746377</v>
      </c>
      <c r="J109" s="424" t="str">
        <f ca="1"/>
        <v>0,000460499152385582</v>
      </c>
      <c r="K109" s="436" t="str">
        <f ca="1"/>
        <v>0,388370655667631</v>
      </c>
      <c r="L109" s="436" t="str">
        <f ca="1"/>
        <v>0,388370655667631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0.11820417753757299</v>
      </c>
      <c r="V109" s="460">
        <f t="shared" ca="1" si="6"/>
        <v>-2.3091607074730578E-3</v>
      </c>
      <c r="W109" s="459">
        <f t="shared" ca="1" si="7"/>
        <v>0.12945688522254367</v>
      </c>
      <c r="X109" s="461">
        <f t="shared" ca="1" si="8"/>
        <v>4.2424129882175183E-3</v>
      </c>
      <c r="Y109" s="460">
        <f t="shared" ca="1" si="9"/>
        <v>-1.2644931799162782E-4</v>
      </c>
      <c r="Z109" s="79"/>
    </row>
    <row r="110" spans="1:26" customFormat="1" ht="14.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469">
        <v>100</v>
      </c>
      <c r="H110" s="405">
        <v>96</v>
      </c>
      <c r="I110" s="424" t="str">
        <f ca="1"/>
        <v>0,000144494340267643</v>
      </c>
      <c r="J110" s="424" t="str">
        <f ca="1"/>
        <v>0,000467554986347908</v>
      </c>
      <c r="K110" s="436" t="str">
        <f ca="1"/>
        <v>0,309042453800556</v>
      </c>
      <c r="L110" s="436" t="str">
        <f ca="1"/>
        <v>0,309042453800556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0.11820417753757299</v>
      </c>
      <c r="V110" s="460">
        <f t="shared" ca="1" si="6"/>
        <v>-1.4029128159756901E-3</v>
      </c>
      <c r="W110" s="459">
        <f t="shared" ca="1" si="7"/>
        <v>0.103014151266852</v>
      </c>
      <c r="X110" s="461">
        <f t="shared" ca="1" si="8"/>
        <v>2.5662541697353313E-3</v>
      </c>
      <c r="Y110" s="460">
        <f t="shared" ca="1" si="9"/>
        <v>-6.1131457470353545E-5</v>
      </c>
      <c r="Z110" s="79"/>
    </row>
    <row r="111" spans="1:26" customFormat="1" ht="14.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469">
        <v>100</v>
      </c>
      <c r="H111" s="405">
        <v>97</v>
      </c>
      <c r="I111" s="424" t="str">
        <f ca="1"/>
        <v>0,000188247204780878</v>
      </c>
      <c r="J111" s="424" t="str">
        <f ca="1"/>
        <v>0,000457763193871473</v>
      </c>
      <c r="K111" s="436" t="str">
        <f ca="1"/>
        <v>0,411232723165883</v>
      </c>
      <c r="L111" s="436" t="str">
        <f ca="1"/>
        <v>0,411232723165883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0.11820417753757299</v>
      </c>
      <c r="V111" s="460">
        <f t="shared" ca="1" si="6"/>
        <v>-2.6272450724420821E-3</v>
      </c>
      <c r="W111" s="459">
        <f t="shared" ca="1" si="7"/>
        <v>0.13707757438862767</v>
      </c>
      <c r="X111" s="461">
        <f t="shared" ca="1" si="8"/>
        <v>4.8336626151140221E-3</v>
      </c>
      <c r="Y111" s="460">
        <f t="shared" ca="1" si="9"/>
        <v>-1.5233657107438571E-4</v>
      </c>
      <c r="Z111" s="79"/>
    </row>
    <row r="112" spans="1:26" customFormat="1" ht="14.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469">
        <v>100</v>
      </c>
      <c r="H112" s="405">
        <v>98</v>
      </c>
      <c r="I112" s="424" t="str">
        <f ca="1"/>
        <v>0,000142969045394192</v>
      </c>
      <c r="J112" s="424" t="str">
        <f ca="1"/>
        <v>0,000467803549316388</v>
      </c>
      <c r="K112" s="436" t="str">
        <f ca="1"/>
        <v>0,30561770128319</v>
      </c>
      <c r="L112" s="436" t="str">
        <f ca="1"/>
        <v>0,30561770128319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0.11820417753757299</v>
      </c>
      <c r="V112" s="460">
        <f t="shared" ca="1" si="6"/>
        <v>-1.3486429238813537E-3</v>
      </c>
      <c r="W112" s="459">
        <f t="shared" ca="1" si="7"/>
        <v>0.10187256709439667</v>
      </c>
      <c r="X112" s="461">
        <f t="shared" ca="1" si="8"/>
        <v>2.4676454841910797E-3</v>
      </c>
      <c r="Y112" s="460">
        <f t="shared" ca="1" si="9"/>
        <v>-5.811542350346096E-5</v>
      </c>
      <c r="Z112" s="79"/>
    </row>
    <row r="113" spans="1:26" customFormat="1" ht="14.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469">
        <v>100</v>
      </c>
      <c r="H113" s="405">
        <v>99</v>
      </c>
      <c r="I113" s="424" t="str">
        <f ca="1"/>
        <v>0,000176693656952853</v>
      </c>
      <c r="J113" s="424" t="str">
        <f ca="1"/>
        <v>0,000460844889047949</v>
      </c>
      <c r="K113" s="436" t="str">
        <f ca="1"/>
        <v>0,383412426072211</v>
      </c>
      <c r="L113" s="436" t="str">
        <f ca="1"/>
        <v>0,383412426072211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0.11820417753757299</v>
      </c>
      <c r="V113" s="460">
        <f t="shared" ca="1" si="6"/>
        <v>-2.2570715633748149E-3</v>
      </c>
      <c r="W113" s="459">
        <f t="shared" ca="1" si="7"/>
        <v>0.12780414202407034</v>
      </c>
      <c r="X113" s="461">
        <f t="shared" ca="1" si="8"/>
        <v>4.1438412783486867E-3</v>
      </c>
      <c r="Y113" s="460">
        <f t="shared" ca="1" si="9"/>
        <v>-1.2201899317490428E-4</v>
      </c>
      <c r="Z113" s="79"/>
    </row>
    <row r="114" spans="1:26" customFormat="1" ht="14.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469">
        <v>100</v>
      </c>
      <c r="H114" s="405">
        <v>100</v>
      </c>
      <c r="I114" s="424" t="str">
        <f ca="1"/>
        <v>0,000162387195769509</v>
      </c>
      <c r="J114" s="424" t="str">
        <f ca="1"/>
        <v>0,000464345999176698</v>
      </c>
      <c r="K114" s="436" t="str">
        <f ca="1"/>
        <v>0,349711628952176</v>
      </c>
      <c r="L114" s="436" t="str">
        <f ca="1"/>
        <v>0,349711628952176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0.11820417753757299</v>
      </c>
      <c r="V114" s="460">
        <f t="shared" ca="1" si="6"/>
        <v>-1.7734607083709254E-3</v>
      </c>
      <c r="W114" s="459">
        <f t="shared" ca="1" si="7"/>
        <v>0.11657054298405867</v>
      </c>
      <c r="X114" s="461">
        <f t="shared" ca="1" si="8"/>
        <v>3.2567822610880927E-3</v>
      </c>
      <c r="Y114" s="460">
        <f t="shared" ca="1" si="9"/>
        <v>-8.7447534445209867E-5</v>
      </c>
      <c r="Z114" s="79"/>
    </row>
    <row r="115" spans="1:26" customFormat="1" ht="14.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469">
        <v>100</v>
      </c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4.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469">
        <v>100</v>
      </c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4.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469">
        <v>100</v>
      </c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4.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469">
        <v>100</v>
      </c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4.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469">
        <v>100</v>
      </c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4.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469">
        <v>100</v>
      </c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4.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469">
        <v>100</v>
      </c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4.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469">
        <v>100</v>
      </c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4.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469">
        <v>100</v>
      </c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4.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469">
        <v>100</v>
      </c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4.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469">
        <v>100</v>
      </c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4.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469">
        <v>100</v>
      </c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4.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469">
        <v>100</v>
      </c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4.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469">
        <v>100</v>
      </c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4.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469">
        <v>100</v>
      </c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4.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469">
        <v>100</v>
      </c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4.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469">
        <v>100</v>
      </c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4.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469">
        <v>100</v>
      </c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4.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469">
        <v>100</v>
      </c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4.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469">
        <v>100</v>
      </c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4.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469">
        <v>100</v>
      </c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4.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469">
        <v>100</v>
      </c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4.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469">
        <v>100</v>
      </c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4.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469">
        <v>100</v>
      </c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4.5">
      <c r="A139" s="232"/>
      <c r="B139" s="295">
        <v>101</v>
      </c>
      <c r="C139" s="265"/>
      <c r="D139" s="266"/>
      <c r="E139" s="256"/>
      <c r="F139" s="239"/>
      <c r="G139" s="246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4.5">
      <c r="A140" s="232"/>
      <c r="B140" s="295">
        <v>102</v>
      </c>
      <c r="C140" s="265"/>
      <c r="D140" s="266"/>
      <c r="E140" s="256"/>
      <c r="F140" s="239"/>
      <c r="G140" s="246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4.5">
      <c r="A141" s="232"/>
      <c r="B141" s="295">
        <v>103</v>
      </c>
      <c r="C141" s="265"/>
      <c r="D141" s="266"/>
      <c r="E141" s="256"/>
      <c r="F141" s="239"/>
      <c r="G141" s="246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4.5">
      <c r="A142" s="232"/>
      <c r="B142" s="295">
        <v>104</v>
      </c>
      <c r="C142" s="265"/>
      <c r="D142" s="266"/>
      <c r="E142" s="256"/>
      <c r="F142" s="239"/>
      <c r="G142" s="246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4.5">
      <c r="A143" s="232"/>
      <c r="B143" s="295">
        <v>105</v>
      </c>
      <c r="C143" s="265"/>
      <c r="D143" s="266"/>
      <c r="E143" s="256"/>
      <c r="F143" s="239"/>
      <c r="G143" s="246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4.5">
      <c r="A144" s="232"/>
      <c r="B144" s="295">
        <v>106</v>
      </c>
      <c r="C144" s="265"/>
      <c r="D144" s="266"/>
      <c r="E144" s="256"/>
      <c r="F144" s="239"/>
      <c r="G144" s="246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4.5">
      <c r="A145" s="232"/>
      <c r="B145" s="295">
        <v>107</v>
      </c>
      <c r="C145" s="265"/>
      <c r="D145" s="266"/>
      <c r="E145" s="256"/>
      <c r="F145" s="239"/>
      <c r="G145" s="246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4.5">
      <c r="A146" s="232"/>
      <c r="B146" s="295">
        <v>108</v>
      </c>
      <c r="C146" s="265"/>
      <c r="D146" s="266"/>
      <c r="E146" s="256"/>
      <c r="F146" s="239"/>
      <c r="G146" s="246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4.5">
      <c r="A147" s="232"/>
      <c r="B147" s="295">
        <v>109</v>
      </c>
      <c r="C147" s="265"/>
      <c r="D147" s="266"/>
      <c r="E147" s="256"/>
      <c r="F147" s="239"/>
      <c r="G147" s="246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4.5">
      <c r="A148" s="232"/>
      <c r="B148" s="295">
        <v>110</v>
      </c>
      <c r="C148" s="265"/>
      <c r="D148" s="266"/>
      <c r="E148" s="256"/>
      <c r="F148" s="239"/>
      <c r="G148" s="246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4.5">
      <c r="A149" s="232"/>
      <c r="B149" s="295">
        <v>111</v>
      </c>
      <c r="C149" s="265"/>
      <c r="D149" s="266"/>
      <c r="E149" s="256"/>
      <c r="F149" s="239"/>
      <c r="G149" s="246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4.5">
      <c r="A150" s="232"/>
      <c r="B150" s="295">
        <v>112</v>
      </c>
      <c r="C150" s="265"/>
      <c r="D150" s="266"/>
      <c r="E150" s="256"/>
      <c r="F150" s="239"/>
      <c r="G150" s="246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4.5">
      <c r="A151" s="232"/>
      <c r="B151" s="295">
        <v>113</v>
      </c>
      <c r="C151" s="265"/>
      <c r="D151" s="266"/>
      <c r="E151" s="256"/>
      <c r="F151" s="239"/>
      <c r="G151" s="246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4.5">
      <c r="A152" s="232"/>
      <c r="B152" s="295">
        <v>114</v>
      </c>
      <c r="C152" s="265"/>
      <c r="D152" s="266"/>
      <c r="E152" s="256"/>
      <c r="F152" s="239"/>
      <c r="G152" s="246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4.5">
      <c r="A153" s="232"/>
      <c r="B153" s="295">
        <v>115</v>
      </c>
      <c r="C153" s="265"/>
      <c r="D153" s="266"/>
      <c r="E153" s="256"/>
      <c r="F153" s="239"/>
      <c r="G153" s="246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4.5">
      <c r="A154" s="232"/>
      <c r="B154" s="295">
        <v>116</v>
      </c>
      <c r="C154" s="265"/>
      <c r="D154" s="266"/>
      <c r="E154" s="256"/>
      <c r="F154" s="239"/>
      <c r="G154" s="246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4.5">
      <c r="A155" s="232"/>
      <c r="B155" s="295">
        <v>117</v>
      </c>
      <c r="C155" s="265"/>
      <c r="D155" s="266"/>
      <c r="E155" s="256"/>
      <c r="F155" s="239"/>
      <c r="G155" s="246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4.5">
      <c r="A156" s="232"/>
      <c r="B156" s="295">
        <v>118</v>
      </c>
      <c r="C156" s="265"/>
      <c r="D156" s="266"/>
      <c r="E156" s="256"/>
      <c r="F156" s="239"/>
      <c r="G156" s="246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4.5">
      <c r="A157" s="232"/>
      <c r="B157" s="295">
        <v>119</v>
      </c>
      <c r="C157" s="265"/>
      <c r="D157" s="266"/>
      <c r="E157" s="256"/>
      <c r="F157" s="239"/>
      <c r="G157" s="246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4.5">
      <c r="A158" s="232"/>
      <c r="B158" s="295">
        <v>120</v>
      </c>
      <c r="C158" s="265"/>
      <c r="D158" s="266"/>
      <c r="E158" s="256"/>
      <c r="F158" s="239"/>
      <c r="G158" s="246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4.5">
      <c r="A159" s="232"/>
      <c r="B159" s="295">
        <v>121</v>
      </c>
      <c r="C159" s="265"/>
      <c r="D159" s="266"/>
      <c r="E159" s="256"/>
      <c r="F159" s="239"/>
      <c r="G159" s="246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4.5">
      <c r="A160" s="232"/>
      <c r="B160" s="295">
        <v>122</v>
      </c>
      <c r="C160" s="265"/>
      <c r="D160" s="266"/>
      <c r="E160" s="256"/>
      <c r="F160" s="239"/>
      <c r="G160" s="246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4.5">
      <c r="A161" s="232"/>
      <c r="B161" s="295">
        <v>123</v>
      </c>
      <c r="C161" s="265"/>
      <c r="D161" s="266"/>
      <c r="E161" s="256"/>
      <c r="F161" s="239"/>
      <c r="G161" s="246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4.5">
      <c r="A162" s="232"/>
      <c r="B162" s="295">
        <v>124</v>
      </c>
      <c r="C162" s="265"/>
      <c r="D162" s="266"/>
      <c r="E162" s="256"/>
      <c r="F162" s="239"/>
      <c r="G162" s="246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4.5">
      <c r="A163" s="232"/>
      <c r="B163" s="295">
        <v>125</v>
      </c>
      <c r="C163" s="265"/>
      <c r="D163" s="266"/>
      <c r="E163" s="256"/>
      <c r="F163" s="239"/>
      <c r="G163" s="246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4.5">
      <c r="A164" s="232"/>
      <c r="B164" s="295">
        <v>126</v>
      </c>
      <c r="C164" s="265"/>
      <c r="D164" s="266"/>
      <c r="E164" s="256"/>
      <c r="F164" s="239"/>
      <c r="G164" s="246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4.5">
      <c r="A165" s="232"/>
      <c r="B165" s="295">
        <v>127</v>
      </c>
      <c r="C165" s="265"/>
      <c r="D165" s="266"/>
      <c r="E165" s="256"/>
      <c r="F165" s="239"/>
      <c r="G165" s="246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4.5">
      <c r="A166" s="232"/>
      <c r="B166" s="295">
        <v>128</v>
      </c>
      <c r="C166" s="265"/>
      <c r="D166" s="266"/>
      <c r="E166" s="256"/>
      <c r="F166" s="239"/>
      <c r="G166" s="246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4.5">
      <c r="A167" s="232"/>
      <c r="B167" s="295">
        <v>129</v>
      </c>
      <c r="C167" s="265"/>
      <c r="D167" s="266"/>
      <c r="E167" s="256"/>
      <c r="F167" s="239"/>
      <c r="G167" s="246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4.5">
      <c r="A168" s="232"/>
      <c r="B168" s="295">
        <v>130</v>
      </c>
      <c r="C168" s="265"/>
      <c r="D168" s="266"/>
      <c r="E168" s="256"/>
      <c r="F168" s="239"/>
      <c r="G168" s="246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4.5">
      <c r="A169" s="232"/>
      <c r="B169" s="295">
        <v>131</v>
      </c>
      <c r="C169" s="265"/>
      <c r="D169" s="266"/>
      <c r="E169" s="256"/>
      <c r="F169" s="239"/>
      <c r="G169" s="246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4.5">
      <c r="A170" s="232"/>
      <c r="B170" s="295">
        <v>132</v>
      </c>
      <c r="C170" s="265"/>
      <c r="D170" s="266"/>
      <c r="E170" s="256"/>
      <c r="F170" s="239"/>
      <c r="G170" s="246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4.5">
      <c r="A171" s="232"/>
      <c r="B171" s="295">
        <v>133</v>
      </c>
      <c r="C171" s="265"/>
      <c r="D171" s="266"/>
      <c r="E171" s="256"/>
      <c r="F171" s="239"/>
      <c r="G171" s="246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4.5">
      <c r="A172" s="232"/>
      <c r="B172" s="295">
        <v>134</v>
      </c>
      <c r="C172" s="265"/>
      <c r="D172" s="266"/>
      <c r="E172" s="256"/>
      <c r="F172" s="239"/>
      <c r="G172" s="246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4.5">
      <c r="A173" s="232"/>
      <c r="B173" s="295">
        <v>135</v>
      </c>
      <c r="C173" s="265"/>
      <c r="D173" s="266"/>
      <c r="E173" s="256"/>
      <c r="F173" s="239"/>
      <c r="G173" s="246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4.5">
      <c r="A174" s="232"/>
      <c r="B174" s="295">
        <v>136</v>
      </c>
      <c r="C174" s="265"/>
      <c r="D174" s="266"/>
      <c r="E174" s="256"/>
      <c r="F174" s="239"/>
      <c r="G174" s="246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4.5">
      <c r="A175" s="232"/>
      <c r="B175" s="295">
        <v>137</v>
      </c>
      <c r="C175" s="265"/>
      <c r="D175" s="266"/>
      <c r="E175" s="256"/>
      <c r="F175" s="239"/>
      <c r="G175" s="246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4.5">
      <c r="A176" s="232"/>
      <c r="B176" s="295">
        <v>138</v>
      </c>
      <c r="C176" s="265"/>
      <c r="D176" s="266"/>
      <c r="E176" s="256"/>
      <c r="F176" s="239"/>
      <c r="G176" s="246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4.5">
      <c r="A177" s="232"/>
      <c r="B177" s="295">
        <v>139</v>
      </c>
      <c r="C177" s="265"/>
      <c r="D177" s="266"/>
      <c r="E177" s="256"/>
      <c r="F177" s="239"/>
      <c r="G177" s="246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4.5">
      <c r="A178" s="232"/>
      <c r="B178" s="295">
        <v>140</v>
      </c>
      <c r="C178" s="265"/>
      <c r="D178" s="266"/>
      <c r="E178" s="256"/>
      <c r="F178" s="239"/>
      <c r="G178" s="246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4.5">
      <c r="A179" s="232"/>
      <c r="B179" s="295">
        <v>141</v>
      </c>
      <c r="C179" s="265"/>
      <c r="D179" s="266"/>
      <c r="E179" s="256"/>
      <c r="F179" s="239"/>
      <c r="G179" s="246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4.5">
      <c r="A180" s="232"/>
      <c r="B180" s="295">
        <v>142</v>
      </c>
      <c r="C180" s="265"/>
      <c r="D180" s="266"/>
      <c r="E180" s="256"/>
      <c r="F180" s="239"/>
      <c r="G180" s="246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4.5">
      <c r="A181" s="232"/>
      <c r="B181" s="295">
        <v>143</v>
      </c>
      <c r="C181" s="265"/>
      <c r="D181" s="266"/>
      <c r="E181" s="256"/>
      <c r="F181" s="239"/>
      <c r="G181" s="246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4.5">
      <c r="A182" s="232"/>
      <c r="B182" s="295">
        <v>144</v>
      </c>
      <c r="C182" s="265"/>
      <c r="D182" s="266"/>
      <c r="E182" s="256"/>
      <c r="F182" s="239"/>
      <c r="G182" s="246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4.5">
      <c r="A183" s="232"/>
      <c r="B183" s="295">
        <v>145</v>
      </c>
      <c r="C183" s="265"/>
      <c r="D183" s="266"/>
      <c r="E183" s="256"/>
      <c r="F183" s="239"/>
      <c r="G183" s="246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4.5">
      <c r="A184" s="232"/>
      <c r="B184" s="295">
        <v>146</v>
      </c>
      <c r="C184" s="265"/>
      <c r="D184" s="266"/>
      <c r="E184" s="256"/>
      <c r="F184" s="239"/>
      <c r="G184" s="246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4.5">
      <c r="A185" s="232"/>
      <c r="B185" s="295">
        <v>147</v>
      </c>
      <c r="C185" s="265"/>
      <c r="D185" s="266"/>
      <c r="E185" s="256"/>
      <c r="F185" s="239"/>
      <c r="G185" s="246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4.5">
      <c r="A186" s="232"/>
      <c r="B186" s="295">
        <v>148</v>
      </c>
      <c r="C186" s="265"/>
      <c r="D186" s="266"/>
      <c r="E186" s="256"/>
      <c r="F186" s="239"/>
      <c r="G186" s="246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4.5">
      <c r="A187" s="232"/>
      <c r="B187" s="295">
        <v>149</v>
      </c>
      <c r="C187" s="265"/>
      <c r="D187" s="266"/>
      <c r="E187" s="256"/>
      <c r="F187" s="239"/>
      <c r="G187" s="246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4.5">
      <c r="A188" s="232"/>
      <c r="B188" s="295">
        <v>150</v>
      </c>
      <c r="C188" s="265"/>
      <c r="D188" s="266"/>
      <c r="E188" s="256"/>
      <c r="F188" s="239"/>
      <c r="G188" s="246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4.5">
      <c r="A189" s="232"/>
      <c r="B189" s="295">
        <v>151</v>
      </c>
      <c r="C189" s="265"/>
      <c r="D189" s="266"/>
      <c r="E189" s="256"/>
      <c r="F189" s="239"/>
      <c r="G189" s="246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4.5">
      <c r="A190" s="232"/>
      <c r="B190" s="295">
        <v>152</v>
      </c>
      <c r="C190" s="265"/>
      <c r="D190" s="266"/>
      <c r="E190" s="256"/>
      <c r="F190" s="239"/>
      <c r="G190" s="246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4.5">
      <c r="A191" s="232"/>
      <c r="B191" s="295">
        <v>153</v>
      </c>
      <c r="C191" s="265"/>
      <c r="D191" s="266"/>
      <c r="E191" s="256"/>
      <c r="F191" s="239"/>
      <c r="G191" s="246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4.5">
      <c r="A192" s="232"/>
      <c r="B192" s="295">
        <v>154</v>
      </c>
      <c r="C192" s="265"/>
      <c r="D192" s="266"/>
      <c r="E192" s="256"/>
      <c r="F192" s="239"/>
      <c r="G192" s="246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4.5">
      <c r="A193" s="232"/>
      <c r="B193" s="295">
        <v>155</v>
      </c>
      <c r="C193" s="265"/>
      <c r="D193" s="266"/>
      <c r="E193" s="256"/>
      <c r="F193" s="239"/>
      <c r="G193" s="246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4.5">
      <c r="A194" s="232"/>
      <c r="B194" s="295">
        <v>156</v>
      </c>
      <c r="C194" s="265"/>
      <c r="D194" s="266"/>
      <c r="E194" s="256"/>
      <c r="F194" s="239"/>
      <c r="G194" s="246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4.5">
      <c r="A195" s="232"/>
      <c r="B195" s="295">
        <v>157</v>
      </c>
      <c r="C195" s="265"/>
      <c r="D195" s="266"/>
      <c r="E195" s="256"/>
      <c r="F195" s="239"/>
      <c r="G195" s="246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4.5">
      <c r="A196" s="232"/>
      <c r="B196" s="295">
        <v>158</v>
      </c>
      <c r="C196" s="265"/>
      <c r="D196" s="266"/>
      <c r="E196" s="256"/>
      <c r="F196" s="239"/>
      <c r="G196" s="246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4.5">
      <c r="A197" s="232"/>
      <c r="B197" s="295">
        <v>159</v>
      </c>
      <c r="C197" s="265"/>
      <c r="D197" s="266"/>
      <c r="E197" s="256"/>
      <c r="F197" s="239"/>
      <c r="G197" s="246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4.5">
      <c r="A198" s="232"/>
      <c r="B198" s="295">
        <v>160</v>
      </c>
      <c r="C198" s="265"/>
      <c r="D198" s="266"/>
      <c r="E198" s="256"/>
      <c r="F198" s="239"/>
      <c r="G198" s="246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4.5">
      <c r="A199" s="232"/>
      <c r="B199" s="295">
        <v>161</v>
      </c>
      <c r="C199" s="265"/>
      <c r="D199" s="266"/>
      <c r="E199" s="256"/>
      <c r="F199" s="239"/>
      <c r="G199" s="246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4.5">
      <c r="A200" s="232"/>
      <c r="B200" s="295">
        <v>162</v>
      </c>
      <c r="C200" s="265"/>
      <c r="D200" s="266"/>
      <c r="E200" s="256"/>
      <c r="F200" s="239"/>
      <c r="G200" s="246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4.5">
      <c r="A201" s="232"/>
      <c r="B201" s="295">
        <v>163</v>
      </c>
      <c r="C201" s="265"/>
      <c r="D201" s="266"/>
      <c r="E201" s="256"/>
      <c r="F201" s="239"/>
      <c r="G201" s="246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4.5">
      <c r="A202" s="232"/>
      <c r="B202" s="295">
        <v>164</v>
      </c>
      <c r="C202" s="265"/>
      <c r="D202" s="266"/>
      <c r="E202" s="256"/>
      <c r="F202" s="239"/>
      <c r="G202" s="246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4.5">
      <c r="A203" s="232"/>
      <c r="B203" s="295">
        <v>165</v>
      </c>
      <c r="C203" s="265"/>
      <c r="D203" s="266"/>
      <c r="E203" s="256"/>
      <c r="F203" s="239"/>
      <c r="G203" s="246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4.5">
      <c r="A204" s="232"/>
      <c r="B204" s="295">
        <v>166</v>
      </c>
      <c r="C204" s="265"/>
      <c r="D204" s="266"/>
      <c r="E204" s="256"/>
      <c r="F204" s="239"/>
      <c r="G204" s="246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4.5">
      <c r="A205" s="232"/>
      <c r="B205" s="295">
        <v>167</v>
      </c>
      <c r="C205" s="265"/>
      <c r="D205" s="266"/>
      <c r="E205" s="256"/>
      <c r="F205" s="239"/>
      <c r="G205" s="246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4.5">
      <c r="A206" s="232"/>
      <c r="B206" s="295">
        <v>168</v>
      </c>
      <c r="C206" s="265"/>
      <c r="D206" s="266"/>
      <c r="E206" s="256"/>
      <c r="F206" s="239"/>
      <c r="G206" s="246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4.5">
      <c r="A207" s="232"/>
      <c r="B207" s="295">
        <v>169</v>
      </c>
      <c r="C207" s="265"/>
      <c r="D207" s="266"/>
      <c r="E207" s="256"/>
      <c r="F207" s="239"/>
      <c r="G207" s="246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4.5">
      <c r="A208" s="232"/>
      <c r="B208" s="295">
        <v>170</v>
      </c>
      <c r="C208" s="265"/>
      <c r="D208" s="266"/>
      <c r="E208" s="256"/>
      <c r="F208" s="239"/>
      <c r="G208" s="246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4.5">
      <c r="A209" s="232"/>
      <c r="B209" s="295">
        <v>171</v>
      </c>
      <c r="C209" s="265"/>
      <c r="D209" s="266"/>
      <c r="E209" s="256"/>
      <c r="F209" s="239"/>
      <c r="G209" s="246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4.5">
      <c r="A210" s="232"/>
      <c r="B210" s="295">
        <v>172</v>
      </c>
      <c r="C210" s="265"/>
      <c r="D210" s="266"/>
      <c r="E210" s="256"/>
      <c r="F210" s="239"/>
      <c r="G210" s="246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4.5">
      <c r="A211" s="232"/>
      <c r="B211" s="295">
        <v>173</v>
      </c>
      <c r="C211" s="265"/>
      <c r="D211" s="266"/>
      <c r="E211" s="256"/>
      <c r="F211" s="239"/>
      <c r="G211" s="246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4.5">
      <c r="A212" s="232"/>
      <c r="B212" s="295">
        <v>174</v>
      </c>
      <c r="C212" s="265"/>
      <c r="D212" s="266"/>
      <c r="E212" s="256"/>
      <c r="F212" s="239"/>
      <c r="G212" s="246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4.5">
      <c r="A213" s="232"/>
      <c r="B213" s="295">
        <v>175</v>
      </c>
      <c r="C213" s="265"/>
      <c r="D213" s="266"/>
      <c r="E213" s="256"/>
      <c r="F213" s="239"/>
      <c r="G213" s="246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4.5">
      <c r="A214" s="232"/>
      <c r="B214" s="295">
        <v>176</v>
      </c>
      <c r="C214" s="265"/>
      <c r="D214" s="266"/>
      <c r="E214" s="256"/>
      <c r="F214" s="239"/>
      <c r="G214" s="246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4.5">
      <c r="A215" s="232"/>
      <c r="B215" s="295">
        <v>177</v>
      </c>
      <c r="C215" s="265"/>
      <c r="D215" s="266"/>
      <c r="E215" s="256"/>
      <c r="F215" s="239"/>
      <c r="G215" s="246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4.5">
      <c r="A216" s="232"/>
      <c r="B216" s="295">
        <v>178</v>
      </c>
      <c r="C216" s="265"/>
      <c r="D216" s="266"/>
      <c r="E216" s="256"/>
      <c r="F216" s="239"/>
      <c r="G216" s="246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4.5">
      <c r="A217" s="232"/>
      <c r="B217" s="295">
        <v>179</v>
      </c>
      <c r="C217" s="265"/>
      <c r="D217" s="266"/>
      <c r="E217" s="256"/>
      <c r="F217" s="239"/>
      <c r="G217" s="246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4.5">
      <c r="A218" s="232"/>
      <c r="B218" s="295">
        <v>180</v>
      </c>
      <c r="C218" s="265"/>
      <c r="D218" s="266"/>
      <c r="E218" s="256"/>
      <c r="F218" s="239"/>
      <c r="G218" s="246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4.5">
      <c r="A219" s="232"/>
      <c r="B219" s="295">
        <v>181</v>
      </c>
      <c r="C219" s="265"/>
      <c r="D219" s="266"/>
      <c r="E219" s="256"/>
      <c r="F219" s="239"/>
      <c r="G219" s="246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4.5">
      <c r="A220" s="232"/>
      <c r="B220" s="295">
        <v>182</v>
      </c>
      <c r="C220" s="265"/>
      <c r="D220" s="266"/>
      <c r="E220" s="256"/>
      <c r="F220" s="239"/>
      <c r="G220" s="246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4.5">
      <c r="A221" s="232"/>
      <c r="B221" s="295">
        <v>183</v>
      </c>
      <c r="C221" s="265"/>
      <c r="D221" s="266"/>
      <c r="E221" s="256"/>
      <c r="F221" s="239"/>
      <c r="G221" s="246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4.5">
      <c r="A222" s="232"/>
      <c r="B222" s="295">
        <v>184</v>
      </c>
      <c r="C222" s="265"/>
      <c r="D222" s="266"/>
      <c r="E222" s="256"/>
      <c r="F222" s="239"/>
      <c r="G222" s="246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4.5">
      <c r="A223" s="232"/>
      <c r="B223" s="295">
        <v>185</v>
      </c>
      <c r="C223" s="265"/>
      <c r="D223" s="266"/>
      <c r="E223" s="256"/>
      <c r="F223" s="239"/>
      <c r="G223" s="246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4.5">
      <c r="A224" s="232"/>
      <c r="B224" s="295">
        <v>186</v>
      </c>
      <c r="C224" s="265"/>
      <c r="D224" s="266"/>
      <c r="E224" s="256"/>
      <c r="F224" s="239"/>
      <c r="G224" s="246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4.5">
      <c r="A225" s="232"/>
      <c r="B225" s="295">
        <v>187</v>
      </c>
      <c r="C225" s="265"/>
      <c r="D225" s="266"/>
      <c r="E225" s="256"/>
      <c r="F225" s="239"/>
      <c r="G225" s="246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4.5">
      <c r="A226" s="232"/>
      <c r="B226" s="295">
        <v>188</v>
      </c>
      <c r="C226" s="265"/>
      <c r="D226" s="266"/>
      <c r="E226" s="256"/>
      <c r="F226" s="239"/>
      <c r="G226" s="246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4.5">
      <c r="A227" s="232"/>
      <c r="B227" s="295">
        <v>189</v>
      </c>
      <c r="C227" s="265"/>
      <c r="D227" s="266"/>
      <c r="E227" s="256"/>
      <c r="F227" s="239"/>
      <c r="G227" s="246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4.5">
      <c r="A228" s="232"/>
      <c r="B228" s="295">
        <v>190</v>
      </c>
      <c r="C228" s="265"/>
      <c r="D228" s="266"/>
      <c r="E228" s="256"/>
      <c r="F228" s="239"/>
      <c r="G228" s="246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4.5">
      <c r="A229" s="232"/>
      <c r="B229" s="295">
        <v>191</v>
      </c>
      <c r="C229" s="265"/>
      <c r="D229" s="266"/>
      <c r="E229" s="256"/>
      <c r="F229" s="239"/>
      <c r="G229" s="246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4.5">
      <c r="A230" s="232"/>
      <c r="B230" s="295">
        <v>192</v>
      </c>
      <c r="C230" s="265"/>
      <c r="D230" s="266"/>
      <c r="E230" s="256"/>
      <c r="F230" s="239"/>
      <c r="G230" s="246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4.5">
      <c r="A231" s="232"/>
      <c r="B231" s="295">
        <v>193</v>
      </c>
      <c r="C231" s="265"/>
      <c r="D231" s="266"/>
      <c r="E231" s="256"/>
      <c r="F231" s="239"/>
      <c r="G231" s="246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4.5">
      <c r="A232" s="232"/>
      <c r="B232" s="295">
        <v>194</v>
      </c>
      <c r="C232" s="265"/>
      <c r="D232" s="266"/>
      <c r="E232" s="256"/>
      <c r="F232" s="239"/>
      <c r="G232" s="246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4.5">
      <c r="A233" s="232"/>
      <c r="B233" s="295">
        <v>195</v>
      </c>
      <c r="C233" s="265"/>
      <c r="D233" s="266"/>
      <c r="E233" s="256"/>
      <c r="F233" s="239"/>
      <c r="G233" s="246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4.5">
      <c r="A234" s="232"/>
      <c r="B234" s="295">
        <v>196</v>
      </c>
      <c r="C234" s="265"/>
      <c r="D234" s="266"/>
      <c r="E234" s="256"/>
      <c r="F234" s="239"/>
      <c r="G234" s="246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4.5">
      <c r="A235" s="232"/>
      <c r="B235" s="295">
        <v>197</v>
      </c>
      <c r="C235" s="265"/>
      <c r="D235" s="266"/>
      <c r="E235" s="256"/>
      <c r="F235" s="239"/>
      <c r="G235" s="246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4.5">
      <c r="A236" s="232"/>
      <c r="B236" s="295">
        <v>198</v>
      </c>
      <c r="C236" s="265"/>
      <c r="D236" s="266"/>
      <c r="E236" s="256"/>
      <c r="F236" s="239"/>
      <c r="G236" s="246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4.5">
      <c r="A237" s="232"/>
      <c r="B237" s="295">
        <v>199</v>
      </c>
      <c r="C237" s="265"/>
      <c r="D237" s="266"/>
      <c r="E237" s="256"/>
      <c r="F237" s="239"/>
      <c r="G237" s="246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4.5">
      <c r="A238" s="232"/>
      <c r="B238" s="295">
        <v>200</v>
      </c>
      <c r="C238" s="265"/>
      <c r="D238" s="266"/>
      <c r="E238" s="256"/>
      <c r="F238" s="239"/>
      <c r="G238" s="246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4.5">
      <c r="A239" s="232"/>
      <c r="B239" s="295">
        <v>201</v>
      </c>
      <c r="C239" s="265"/>
      <c r="D239" s="266"/>
      <c r="E239" s="256"/>
      <c r="F239" s="239"/>
      <c r="G239" s="246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4.5">
      <c r="A240" s="232"/>
      <c r="B240" s="295">
        <v>202</v>
      </c>
      <c r="C240" s="265"/>
      <c r="D240" s="266"/>
      <c r="E240" s="256"/>
      <c r="F240" s="239"/>
      <c r="G240" s="246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4.5">
      <c r="A241" s="232"/>
      <c r="B241" s="295">
        <v>203</v>
      </c>
      <c r="C241" s="265"/>
      <c r="D241" s="266"/>
      <c r="E241" s="256"/>
      <c r="F241" s="239"/>
      <c r="G241" s="246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4.5">
      <c r="A242" s="232"/>
      <c r="B242" s="295">
        <v>204</v>
      </c>
      <c r="C242" s="265"/>
      <c r="D242" s="266"/>
      <c r="E242" s="256"/>
      <c r="F242" s="239"/>
      <c r="G242" s="246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4.5">
      <c r="A243" s="232"/>
      <c r="B243" s="295">
        <v>205</v>
      </c>
      <c r="C243" s="265"/>
      <c r="D243" s="266"/>
      <c r="E243" s="256"/>
      <c r="F243" s="239"/>
      <c r="G243" s="246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4.5">
      <c r="A244" s="232"/>
      <c r="B244" s="295">
        <v>206</v>
      </c>
      <c r="C244" s="265"/>
      <c r="D244" s="266"/>
      <c r="E244" s="256"/>
      <c r="F244" s="239"/>
      <c r="G244" s="246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4.5">
      <c r="A245" s="232"/>
      <c r="B245" s="295">
        <v>207</v>
      </c>
      <c r="C245" s="265"/>
      <c r="D245" s="266"/>
      <c r="E245" s="256"/>
      <c r="F245" s="239"/>
      <c r="G245" s="246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4.5">
      <c r="A246" s="232"/>
      <c r="B246" s="295">
        <v>208</v>
      </c>
      <c r="C246" s="265"/>
      <c r="D246" s="266"/>
      <c r="E246" s="256"/>
      <c r="F246" s="239"/>
      <c r="G246" s="246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4.5">
      <c r="A247" s="232"/>
      <c r="B247" s="295">
        <v>209</v>
      </c>
      <c r="C247" s="265"/>
      <c r="D247" s="266"/>
      <c r="E247" s="256"/>
      <c r="F247" s="239"/>
      <c r="G247" s="246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4.5">
      <c r="A248" s="232"/>
      <c r="B248" s="295">
        <v>210</v>
      </c>
      <c r="C248" s="265"/>
      <c r="D248" s="266"/>
      <c r="E248" s="256"/>
      <c r="F248" s="239"/>
      <c r="G248" s="246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4.5">
      <c r="A249" s="232"/>
      <c r="B249" s="295">
        <v>211</v>
      </c>
      <c r="C249" s="265"/>
      <c r="D249" s="266"/>
      <c r="E249" s="256"/>
      <c r="F249" s="239"/>
      <c r="G249" s="246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4.5">
      <c r="A250" s="232"/>
      <c r="B250" s="295">
        <v>212</v>
      </c>
      <c r="C250" s="265"/>
      <c r="D250" s="266"/>
      <c r="E250" s="256"/>
      <c r="F250" s="239"/>
      <c r="G250" s="246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4.5">
      <c r="A251" s="232"/>
      <c r="B251" s="295">
        <v>213</v>
      </c>
      <c r="C251" s="265"/>
      <c r="D251" s="266"/>
      <c r="E251" s="256"/>
      <c r="F251" s="239"/>
      <c r="G251" s="246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4.5">
      <c r="A252" s="232"/>
      <c r="B252" s="295">
        <v>214</v>
      </c>
      <c r="C252" s="265"/>
      <c r="D252" s="266"/>
      <c r="E252" s="256"/>
      <c r="F252" s="239"/>
      <c r="G252" s="246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4.5">
      <c r="A253" s="232"/>
      <c r="B253" s="295">
        <v>215</v>
      </c>
      <c r="C253" s="265"/>
      <c r="D253" s="266"/>
      <c r="E253" s="256"/>
      <c r="F253" s="239"/>
      <c r="G253" s="246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4.5">
      <c r="A254" s="232"/>
      <c r="B254" s="295">
        <v>216</v>
      </c>
      <c r="C254" s="265"/>
      <c r="D254" s="266"/>
      <c r="E254" s="256"/>
      <c r="F254" s="239"/>
      <c r="G254" s="246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4.5">
      <c r="A255" s="232"/>
      <c r="B255" s="295">
        <v>217</v>
      </c>
      <c r="C255" s="265"/>
      <c r="D255" s="266"/>
      <c r="E255" s="256"/>
      <c r="F255" s="239"/>
      <c r="G255" s="246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4.5">
      <c r="A256" s="232"/>
      <c r="B256" s="295">
        <v>218</v>
      </c>
      <c r="C256" s="265"/>
      <c r="D256" s="266"/>
      <c r="E256" s="256"/>
      <c r="F256" s="239"/>
      <c r="G256" s="246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4.5">
      <c r="A257" s="232"/>
      <c r="B257" s="295">
        <v>219</v>
      </c>
      <c r="C257" s="265"/>
      <c r="D257" s="266"/>
      <c r="E257" s="256"/>
      <c r="F257" s="239"/>
      <c r="G257" s="246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4.5">
      <c r="A258" s="232"/>
      <c r="B258" s="295">
        <v>220</v>
      </c>
      <c r="C258" s="265"/>
      <c r="D258" s="266"/>
      <c r="E258" s="256"/>
      <c r="F258" s="239"/>
      <c r="G258" s="246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4.5">
      <c r="A259" s="232"/>
      <c r="B259" s="295">
        <v>221</v>
      </c>
      <c r="C259" s="265"/>
      <c r="D259" s="266"/>
      <c r="E259" s="256"/>
      <c r="F259" s="239"/>
      <c r="G259" s="246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4.5">
      <c r="A260" s="232"/>
      <c r="B260" s="295">
        <v>222</v>
      </c>
      <c r="C260" s="265"/>
      <c r="D260" s="266"/>
      <c r="E260" s="256"/>
      <c r="F260" s="239"/>
      <c r="G260" s="246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4.5">
      <c r="A261" s="232"/>
      <c r="B261" s="295">
        <v>223</v>
      </c>
      <c r="C261" s="265"/>
      <c r="D261" s="266"/>
      <c r="E261" s="256"/>
      <c r="F261" s="239"/>
      <c r="G261" s="246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4.5">
      <c r="A262" s="232"/>
      <c r="B262" s="295">
        <v>224</v>
      </c>
      <c r="C262" s="265"/>
      <c r="D262" s="266"/>
      <c r="E262" s="256"/>
      <c r="F262" s="239"/>
      <c r="G262" s="246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4.5">
      <c r="A263" s="232"/>
      <c r="B263" s="295">
        <v>225</v>
      </c>
      <c r="C263" s="265"/>
      <c r="D263" s="266"/>
      <c r="E263" s="256"/>
      <c r="F263" s="239"/>
      <c r="G263" s="246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4.5">
      <c r="A264" s="232"/>
      <c r="B264" s="295">
        <v>226</v>
      </c>
      <c r="C264" s="265"/>
      <c r="D264" s="266"/>
      <c r="E264" s="256"/>
      <c r="F264" s="239"/>
      <c r="G264" s="246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4.5">
      <c r="A265" s="232"/>
      <c r="B265" s="295">
        <v>227</v>
      </c>
      <c r="C265" s="265"/>
      <c r="D265" s="266"/>
      <c r="E265" s="256"/>
      <c r="F265" s="239"/>
      <c r="G265" s="246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4.5">
      <c r="A266" s="232"/>
      <c r="B266" s="295">
        <v>228</v>
      </c>
      <c r="C266" s="265"/>
      <c r="D266" s="266"/>
      <c r="E266" s="256"/>
      <c r="F266" s="239"/>
      <c r="G266" s="246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4.5">
      <c r="A267" s="232"/>
      <c r="B267" s="295">
        <v>229</v>
      </c>
      <c r="C267" s="265"/>
      <c r="D267" s="266"/>
      <c r="E267" s="256"/>
      <c r="F267" s="239"/>
      <c r="G267" s="246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4.5">
      <c r="A268" s="232"/>
      <c r="B268" s="295">
        <v>230</v>
      </c>
      <c r="C268" s="265"/>
      <c r="D268" s="266"/>
      <c r="E268" s="256"/>
      <c r="F268" s="239"/>
      <c r="G268" s="246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4.5">
      <c r="A269" s="232"/>
      <c r="B269" s="295">
        <v>231</v>
      </c>
      <c r="C269" s="265"/>
      <c r="D269" s="266"/>
      <c r="E269" s="256"/>
      <c r="F269" s="239"/>
      <c r="G269" s="246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4.5">
      <c r="A270" s="232"/>
      <c r="B270" s="295">
        <v>232</v>
      </c>
      <c r="C270" s="265"/>
      <c r="D270" s="266"/>
      <c r="E270" s="256"/>
      <c r="F270" s="239"/>
      <c r="G270" s="246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4.5">
      <c r="A271" s="232"/>
      <c r="B271" s="295">
        <v>233</v>
      </c>
      <c r="C271" s="265"/>
      <c r="D271" s="266"/>
      <c r="E271" s="256"/>
      <c r="F271" s="239"/>
      <c r="G271" s="246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4.5">
      <c r="A272" s="232"/>
      <c r="B272" s="295">
        <v>234</v>
      </c>
      <c r="C272" s="265"/>
      <c r="D272" s="266"/>
      <c r="E272" s="256"/>
      <c r="F272" s="239"/>
      <c r="G272" s="246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4.5">
      <c r="A273" s="232"/>
      <c r="B273" s="295">
        <v>235</v>
      </c>
      <c r="C273" s="265"/>
      <c r="D273" s="266"/>
      <c r="E273" s="256"/>
      <c r="F273" s="239"/>
      <c r="G273" s="246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4.5">
      <c r="A274" s="232"/>
      <c r="B274" s="295">
        <v>236</v>
      </c>
      <c r="C274" s="265"/>
      <c r="D274" s="266"/>
      <c r="E274" s="256"/>
      <c r="F274" s="239"/>
      <c r="G274" s="246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4.5">
      <c r="A275" s="232"/>
      <c r="B275" s="295">
        <v>237</v>
      </c>
      <c r="C275" s="265"/>
      <c r="D275" s="266"/>
      <c r="E275" s="256"/>
      <c r="F275" s="239"/>
      <c r="G275" s="246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4.5">
      <c r="A276" s="232"/>
      <c r="B276" s="295">
        <v>238</v>
      </c>
      <c r="C276" s="265"/>
      <c r="D276" s="266"/>
      <c r="E276" s="256"/>
      <c r="F276" s="239"/>
      <c r="G276" s="246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4.5">
      <c r="A277" s="232"/>
      <c r="B277" s="295">
        <v>239</v>
      </c>
      <c r="C277" s="265"/>
      <c r="D277" s="266"/>
      <c r="E277" s="256"/>
      <c r="F277" s="239"/>
      <c r="G277" s="246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4.5">
      <c r="A278" s="232"/>
      <c r="B278" s="295">
        <v>240</v>
      </c>
      <c r="C278" s="265"/>
      <c r="D278" s="266"/>
      <c r="E278" s="256"/>
      <c r="F278" s="239"/>
      <c r="G278" s="246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4.5">
      <c r="A279" s="232"/>
      <c r="B279" s="295">
        <v>241</v>
      </c>
      <c r="C279" s="265"/>
      <c r="D279" s="266"/>
      <c r="E279" s="256"/>
      <c r="F279" s="239"/>
      <c r="G279" s="246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4.5">
      <c r="A280" s="232"/>
      <c r="B280" s="295">
        <v>242</v>
      </c>
      <c r="C280" s="265"/>
      <c r="D280" s="266"/>
      <c r="E280" s="256"/>
      <c r="F280" s="239"/>
      <c r="G280" s="246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4.5">
      <c r="A281" s="232"/>
      <c r="B281" s="295">
        <v>243</v>
      </c>
      <c r="C281" s="265"/>
      <c r="D281" s="266"/>
      <c r="E281" s="256"/>
      <c r="F281" s="239"/>
      <c r="G281" s="246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4.5">
      <c r="A282" s="232"/>
      <c r="B282" s="295">
        <v>244</v>
      </c>
      <c r="C282" s="265"/>
      <c r="D282" s="266"/>
      <c r="E282" s="256"/>
      <c r="F282" s="239"/>
      <c r="G282" s="246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4.5">
      <c r="A283" s="232"/>
      <c r="B283" s="295">
        <v>245</v>
      </c>
      <c r="C283" s="265"/>
      <c r="D283" s="266"/>
      <c r="E283" s="256"/>
      <c r="F283" s="239"/>
      <c r="G283" s="246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4.5">
      <c r="A284" s="232"/>
      <c r="B284" s="295">
        <v>246</v>
      </c>
      <c r="C284" s="265"/>
      <c r="D284" s="266"/>
      <c r="E284" s="256"/>
      <c r="F284" s="239"/>
      <c r="G284" s="246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4.5">
      <c r="A285" s="232"/>
      <c r="B285" s="295">
        <v>247</v>
      </c>
      <c r="C285" s="265"/>
      <c r="D285" s="266"/>
      <c r="E285" s="256"/>
      <c r="F285" s="239"/>
      <c r="G285" s="246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4.5">
      <c r="A286" s="232"/>
      <c r="B286" s="295">
        <v>248</v>
      </c>
      <c r="C286" s="265"/>
      <c r="D286" s="266"/>
      <c r="E286" s="256"/>
      <c r="F286" s="239"/>
      <c r="G286" s="246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4.5">
      <c r="A287" s="232"/>
      <c r="B287" s="295">
        <v>249</v>
      </c>
      <c r="C287" s="265"/>
      <c r="D287" s="266"/>
      <c r="E287" s="256"/>
      <c r="F287" s="239"/>
      <c r="G287" s="246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4.5">
      <c r="A288" s="232"/>
      <c r="B288" s="295">
        <v>250</v>
      </c>
      <c r="C288" s="265"/>
      <c r="D288" s="266"/>
      <c r="E288" s="256"/>
      <c r="F288" s="239"/>
      <c r="G288" s="246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4.5">
      <c r="A289" s="232"/>
      <c r="B289" s="295">
        <v>251</v>
      </c>
      <c r="C289" s="265"/>
      <c r="D289" s="266"/>
      <c r="E289" s="256"/>
      <c r="F289" s="239"/>
      <c r="G289" s="246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4.5">
      <c r="A290" s="232"/>
      <c r="B290" s="295">
        <v>252</v>
      </c>
      <c r="C290" s="265"/>
      <c r="D290" s="266"/>
      <c r="E290" s="256"/>
      <c r="F290" s="239"/>
      <c r="G290" s="246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4.5">
      <c r="A291" s="232"/>
      <c r="B291" s="295">
        <v>253</v>
      </c>
      <c r="C291" s="265"/>
      <c r="D291" s="266"/>
      <c r="E291" s="256"/>
      <c r="F291" s="239"/>
      <c r="G291" s="246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4.5">
      <c r="A292" s="232"/>
      <c r="B292" s="295">
        <v>254</v>
      </c>
      <c r="C292" s="265"/>
      <c r="D292" s="266"/>
      <c r="E292" s="256"/>
      <c r="F292" s="239"/>
      <c r="G292" s="246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4.5">
      <c r="A293" s="232"/>
      <c r="B293" s="295">
        <v>255</v>
      </c>
      <c r="C293" s="265"/>
      <c r="D293" s="266"/>
      <c r="E293" s="256"/>
      <c r="F293" s="239"/>
      <c r="G293" s="246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4.5">
      <c r="A294" s="232"/>
      <c r="B294" s="295">
        <v>256</v>
      </c>
      <c r="C294" s="265"/>
      <c r="D294" s="266"/>
      <c r="E294" s="256"/>
      <c r="F294" s="239"/>
      <c r="G294" s="246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4.5">
      <c r="A295" s="232"/>
      <c r="B295" s="295">
        <v>257</v>
      </c>
      <c r="C295" s="265"/>
      <c r="D295" s="266"/>
      <c r="E295" s="256"/>
      <c r="F295" s="239"/>
      <c r="G295" s="246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4.5">
      <c r="A296" s="232"/>
      <c r="B296" s="295">
        <v>258</v>
      </c>
      <c r="C296" s="265"/>
      <c r="D296" s="266"/>
      <c r="E296" s="256"/>
      <c r="F296" s="239"/>
      <c r="G296" s="246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4.5">
      <c r="A297" s="232"/>
      <c r="B297" s="295">
        <v>259</v>
      </c>
      <c r="C297" s="265"/>
      <c r="D297" s="266"/>
      <c r="E297" s="256"/>
      <c r="F297" s="239"/>
      <c r="G297" s="246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4.5">
      <c r="A298" s="232"/>
      <c r="B298" s="295">
        <v>260</v>
      </c>
      <c r="C298" s="265"/>
      <c r="D298" s="266"/>
      <c r="E298" s="256"/>
      <c r="F298" s="239"/>
      <c r="G298" s="246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4.5">
      <c r="A299" s="232"/>
      <c r="B299" s="295">
        <v>261</v>
      </c>
      <c r="C299" s="265"/>
      <c r="D299" s="266"/>
      <c r="E299" s="256"/>
      <c r="F299" s="239"/>
      <c r="G299" s="246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4.5">
      <c r="A300" s="232"/>
      <c r="B300" s="295">
        <v>262</v>
      </c>
      <c r="C300" s="265"/>
      <c r="D300" s="266"/>
      <c r="E300" s="256"/>
      <c r="F300" s="239"/>
      <c r="G300" s="246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4.5">
      <c r="A301" s="232"/>
      <c r="B301" s="295">
        <v>263</v>
      </c>
      <c r="C301" s="265"/>
      <c r="D301" s="266"/>
      <c r="E301" s="256"/>
      <c r="F301" s="239"/>
      <c r="G301" s="246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4.5">
      <c r="A302" s="232"/>
      <c r="B302" s="295">
        <v>264</v>
      </c>
      <c r="C302" s="265"/>
      <c r="D302" s="266"/>
      <c r="E302" s="256"/>
      <c r="F302" s="239"/>
      <c r="G302" s="246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4.5">
      <c r="A303" s="232"/>
      <c r="B303" s="295">
        <v>265</v>
      </c>
      <c r="C303" s="265"/>
      <c r="D303" s="266"/>
      <c r="E303" s="256"/>
      <c r="F303" s="239"/>
      <c r="G303" s="246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4.5">
      <c r="A304" s="232"/>
      <c r="B304" s="295">
        <v>266</v>
      </c>
      <c r="C304" s="265"/>
      <c r="D304" s="266"/>
      <c r="E304" s="256"/>
      <c r="F304" s="239"/>
      <c r="G304" s="246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4.5">
      <c r="A305" s="232"/>
      <c r="B305" s="295">
        <v>267</v>
      </c>
      <c r="C305" s="265"/>
      <c r="D305" s="266"/>
      <c r="E305" s="256"/>
      <c r="F305" s="239"/>
      <c r="G305" s="246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4.5">
      <c r="A306" s="232"/>
      <c r="B306" s="295">
        <v>268</v>
      </c>
      <c r="C306" s="265"/>
      <c r="D306" s="266"/>
      <c r="E306" s="256"/>
      <c r="F306" s="239"/>
      <c r="G306" s="246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4.5">
      <c r="A307" s="232"/>
      <c r="B307" s="295">
        <v>269</v>
      </c>
      <c r="C307" s="265"/>
      <c r="D307" s="266"/>
      <c r="E307" s="256"/>
      <c r="F307" s="239"/>
      <c r="G307" s="246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4.5">
      <c r="A308" s="232"/>
      <c r="B308" s="295">
        <v>270</v>
      </c>
      <c r="C308" s="265"/>
      <c r="D308" s="266"/>
      <c r="E308" s="256"/>
      <c r="F308" s="239"/>
      <c r="G308" s="246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4.5">
      <c r="A309" s="232"/>
      <c r="B309" s="295">
        <v>271</v>
      </c>
      <c r="C309" s="265"/>
      <c r="D309" s="266"/>
      <c r="E309" s="256"/>
      <c r="F309" s="239"/>
      <c r="G309" s="246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4.5">
      <c r="A310" s="232"/>
      <c r="B310" s="295">
        <v>272</v>
      </c>
      <c r="C310" s="265"/>
      <c r="D310" s="266"/>
      <c r="E310" s="256"/>
      <c r="F310" s="239"/>
      <c r="G310" s="246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4.5">
      <c r="A311" s="232"/>
      <c r="B311" s="295">
        <v>273</v>
      </c>
      <c r="C311" s="265"/>
      <c r="D311" s="266"/>
      <c r="E311" s="256"/>
      <c r="F311" s="239"/>
      <c r="G311" s="246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4.5">
      <c r="A312" s="232"/>
      <c r="B312" s="295">
        <v>274</v>
      </c>
      <c r="C312" s="265"/>
      <c r="D312" s="266"/>
      <c r="E312" s="256"/>
      <c r="F312" s="239"/>
      <c r="G312" s="246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4.5">
      <c r="A313" s="232"/>
      <c r="B313" s="295">
        <v>275</v>
      </c>
      <c r="C313" s="265"/>
      <c r="D313" s="266"/>
      <c r="E313" s="256"/>
      <c r="F313" s="239"/>
      <c r="G313" s="246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" thickBot="1">
      <c r="A314" s="232"/>
      <c r="B314" s="295">
        <v>276</v>
      </c>
      <c r="C314" s="265"/>
      <c r="D314" s="266"/>
      <c r="E314" s="256"/>
      <c r="F314" s="239"/>
      <c r="G314" s="246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4.5">
      <c r="A315" s="232"/>
      <c r="B315" s="295">
        <v>277</v>
      </c>
      <c r="C315" s="265"/>
      <c r="D315" s="266"/>
      <c r="E315" s="256"/>
      <c r="F315" s="239"/>
      <c r="G315" s="246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2"/>
      <c r="B316" s="295">
        <v>278</v>
      </c>
      <c r="C316" s="265"/>
      <c r="D316" s="266"/>
      <c r="E316" s="256"/>
      <c r="F316" s="239"/>
      <c r="G316" s="24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2"/>
      <c r="B317" s="295">
        <v>279</v>
      </c>
      <c r="C317" s="265"/>
      <c r="D317" s="266"/>
      <c r="E317" s="256"/>
      <c r="F317" s="239"/>
      <c r="G317" s="246"/>
    </row>
    <row r="318" spans="1:26" customFormat="1" ht="14.5">
      <c r="A318" s="232"/>
      <c r="B318" s="295">
        <v>280</v>
      </c>
      <c r="C318" s="265"/>
      <c r="D318" s="266"/>
      <c r="E318" s="256"/>
      <c r="F318" s="239"/>
      <c r="G318" s="246"/>
    </row>
    <row r="319" spans="1:26" customFormat="1" ht="14.5">
      <c r="A319" s="232"/>
      <c r="B319" s="295">
        <v>281</v>
      </c>
      <c r="C319" s="265"/>
      <c r="D319" s="266"/>
      <c r="E319" s="256"/>
      <c r="F319" s="239"/>
      <c r="G319" s="246"/>
    </row>
    <row r="320" spans="1:26" customFormat="1" ht="14.5">
      <c r="A320" s="232"/>
      <c r="B320" s="295">
        <v>282</v>
      </c>
      <c r="C320" s="265"/>
      <c r="D320" s="266"/>
      <c r="E320" s="256"/>
      <c r="F320" s="239"/>
      <c r="G320" s="246"/>
    </row>
    <row r="321" spans="1:7" customFormat="1" ht="14.5">
      <c r="A321" s="232"/>
      <c r="B321" s="295">
        <v>283</v>
      </c>
      <c r="C321" s="265"/>
      <c r="D321" s="266"/>
      <c r="E321" s="256"/>
      <c r="F321" s="239"/>
      <c r="G321" s="246"/>
    </row>
    <row r="322" spans="1:7" customFormat="1" ht="14.5">
      <c r="A322" s="232"/>
      <c r="B322" s="295">
        <v>284</v>
      </c>
      <c r="C322" s="265"/>
      <c r="D322" s="266"/>
      <c r="E322" s="256"/>
      <c r="F322" s="239"/>
      <c r="G322" s="246"/>
    </row>
    <row r="323" spans="1:7" customFormat="1" ht="14.5">
      <c r="A323" s="232"/>
      <c r="B323" s="295">
        <v>285</v>
      </c>
      <c r="C323" s="265"/>
      <c r="D323" s="266"/>
      <c r="E323" s="256"/>
      <c r="F323" s="239"/>
      <c r="G323" s="246"/>
    </row>
    <row r="324" spans="1:7" customFormat="1" ht="14.5">
      <c r="A324" s="232"/>
      <c r="B324" s="295">
        <v>286</v>
      </c>
      <c r="C324" s="265"/>
      <c r="D324" s="266"/>
      <c r="E324" s="256"/>
      <c r="F324" s="239"/>
      <c r="G324" s="246"/>
    </row>
    <row r="325" spans="1:7" customFormat="1" ht="14.5">
      <c r="A325" s="232"/>
      <c r="B325" s="295">
        <v>287</v>
      </c>
      <c r="C325" s="265"/>
      <c r="D325" s="266"/>
      <c r="E325" s="256"/>
      <c r="F325" s="239"/>
      <c r="G325" s="246"/>
    </row>
    <row r="326" spans="1:7" customFormat="1" ht="14.5">
      <c r="A326" s="232"/>
      <c r="B326" s="295">
        <v>288</v>
      </c>
      <c r="C326" s="265"/>
      <c r="D326" s="266"/>
      <c r="E326" s="256"/>
      <c r="F326" s="239"/>
      <c r="G326" s="246"/>
    </row>
    <row r="327" spans="1:7" customFormat="1" ht="14.5">
      <c r="A327" s="232"/>
      <c r="B327" s="295">
        <v>289</v>
      </c>
      <c r="C327" s="265"/>
      <c r="D327" s="266"/>
      <c r="E327" s="256"/>
      <c r="F327" s="239"/>
      <c r="G327" s="246"/>
    </row>
    <row r="328" spans="1:7" customFormat="1" ht="14.5">
      <c r="A328" s="232"/>
      <c r="B328" s="295">
        <v>290</v>
      </c>
      <c r="C328" s="265"/>
      <c r="D328" s="266"/>
      <c r="E328" s="256"/>
      <c r="F328" s="239"/>
      <c r="G328" s="246"/>
    </row>
    <row r="329" spans="1:7" customFormat="1" ht="14.5">
      <c r="A329" s="232"/>
      <c r="B329" s="295">
        <v>291</v>
      </c>
      <c r="C329" s="265"/>
      <c r="D329" s="266"/>
      <c r="E329" s="256"/>
      <c r="F329" s="239"/>
      <c r="G329" s="246"/>
    </row>
    <row r="330" spans="1:7" customFormat="1" ht="14.5">
      <c r="A330" s="232"/>
      <c r="B330" s="295">
        <v>292</v>
      </c>
      <c r="C330" s="265"/>
      <c r="D330" s="266"/>
      <c r="E330" s="256"/>
      <c r="F330" s="239"/>
      <c r="G330" s="246"/>
    </row>
    <row r="331" spans="1:7" customFormat="1" ht="14.5">
      <c r="A331" s="232"/>
      <c r="B331" s="295">
        <v>293</v>
      </c>
      <c r="C331" s="265"/>
      <c r="D331" s="266"/>
      <c r="E331" s="256"/>
      <c r="F331" s="239"/>
      <c r="G331" s="246"/>
    </row>
    <row r="332" spans="1:7" customFormat="1" ht="14.5">
      <c r="A332" s="232"/>
      <c r="B332" s="295">
        <v>294</v>
      </c>
      <c r="C332" s="265"/>
      <c r="D332" s="266"/>
      <c r="E332" s="256"/>
      <c r="F332" s="239"/>
      <c r="G332" s="246"/>
    </row>
    <row r="333" spans="1:7" customFormat="1" ht="14.5">
      <c r="A333" s="232"/>
      <c r="B333" s="295">
        <v>295</v>
      </c>
      <c r="C333" s="265"/>
      <c r="D333" s="266"/>
      <c r="E333" s="256"/>
      <c r="F333" s="239"/>
      <c r="G333" s="246"/>
    </row>
    <row r="334" spans="1:7" customFormat="1" ht="14.5">
      <c r="A334" s="232"/>
      <c r="B334" s="295">
        <v>296</v>
      </c>
      <c r="C334" s="265"/>
      <c r="D334" s="266"/>
      <c r="E334" s="256"/>
      <c r="F334" s="239"/>
      <c r="G334" s="246"/>
    </row>
    <row r="335" spans="1:7" customFormat="1" ht="14.5">
      <c r="A335" s="232"/>
      <c r="B335" s="295">
        <v>297</v>
      </c>
      <c r="C335" s="265"/>
      <c r="D335" s="266"/>
      <c r="E335" s="256"/>
      <c r="F335" s="239"/>
      <c r="G335" s="246"/>
    </row>
    <row r="336" spans="1:7" customFormat="1" ht="14.5">
      <c r="A336" s="232"/>
      <c r="B336" s="295">
        <v>298</v>
      </c>
      <c r="C336" s="265"/>
      <c r="D336" s="266"/>
      <c r="E336" s="256"/>
      <c r="F336" s="239"/>
      <c r="G336" s="246"/>
    </row>
    <row r="337" spans="1:7" customFormat="1" ht="14.5">
      <c r="A337" s="232"/>
      <c r="B337" s="295">
        <v>299</v>
      </c>
      <c r="C337" s="265"/>
      <c r="D337" s="266"/>
      <c r="E337" s="256"/>
      <c r="F337" s="239"/>
      <c r="G337" s="246"/>
    </row>
    <row r="338" spans="1:7" customFormat="1" ht="14.5">
      <c r="A338" s="232"/>
      <c r="B338" s="295">
        <v>300</v>
      </c>
      <c r="C338" s="265"/>
      <c r="D338" s="266"/>
      <c r="E338" s="256"/>
      <c r="F338" s="239"/>
      <c r="G338" s="24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baseColWidth="10" defaultColWidth="9.1796875" defaultRowHeight="10"/>
  <cols>
    <col min="1" max="1" width="2.81640625" style="300" customWidth="1"/>
    <col min="2" max="2" width="17" style="300" bestFit="1" customWidth="1"/>
    <col min="3" max="3" width="26.54296875" style="300" bestFit="1" customWidth="1"/>
    <col min="4" max="4" width="10.54296875" style="301" customWidth="1"/>
    <col min="5" max="14" width="9.81640625" style="301" customWidth="1"/>
    <col min="15" max="31" width="9.1796875" style="79"/>
    <col min="32" max="16384" width="9.179687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0.5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 ht="10.5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 ht="10.5">
      <c r="B6" s="304" t="s">
        <v>475</v>
      </c>
      <c r="C6" s="305">
        <v>5000</v>
      </c>
      <c r="D6" s="300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1" thickBot="1">
      <c r="B7" s="306" t="s">
        <v>476</v>
      </c>
      <c r="C7" s="307" t="b">
        <v>0</v>
      </c>
      <c r="D7" s="300"/>
      <c r="E7" s="300"/>
      <c r="H7" s="308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300"/>
      <c r="Z7" s="300"/>
      <c r="AA7" s="300"/>
      <c r="AB7" s="300"/>
      <c r="AC7" s="300"/>
      <c r="AD7" s="300"/>
      <c r="AE7" s="300"/>
    </row>
    <row r="8" spans="1:228" ht="11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1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1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 ht="10.5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 ht="10.5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1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1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 ht="10.5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 ht="10.5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1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1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1" thickBot="1">
      <c r="B19" s="314" t="s">
        <v>480</v>
      </c>
      <c r="C19" s="326"/>
      <c r="D19" s="327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1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 ht="10.5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1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1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1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1" thickBot="1">
      <c r="B25" s="302" t="s">
        <v>485</v>
      </c>
      <c r="C25" s="357">
        <v>8.3836702003960026E-2</v>
      </c>
      <c r="D25" s="358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1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 ht="10.5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 ht="10.5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 ht="10.5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 ht="10.5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 ht="10.5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 ht="10.5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1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0.5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1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1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1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1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1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1"/>
      <c r="Q41" s="511"/>
      <c r="R41" s="511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1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1" thickBot="1">
      <c r="C44" s="351"/>
      <c r="D44" s="401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1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4.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4.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4.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4.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4.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4.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4.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4.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4.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4.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4.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4.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4.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4.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4.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4.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4.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4.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4.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4.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4.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4.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4.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4.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4.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4.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4.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4.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4.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4.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4.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4.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4.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4.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4.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4.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4.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4.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4.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4.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4.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4.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4.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4.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4.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4.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4.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4.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4.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4.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4.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4.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4.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4.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4.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4.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4.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4.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4.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4.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4.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4.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4.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4.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4.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4.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4.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4.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4.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4.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4.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4.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4.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4.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4.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4.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4.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4.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4.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4.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4.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4.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4.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4.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4.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4.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4.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4.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4.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4.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4.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4.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4.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4.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4.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4.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4.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4.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4.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4.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4.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4.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4.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4.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4.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4.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4.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4.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4.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4.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4.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4.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4.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4.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4.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4.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4.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4.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4.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4.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4.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4.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4.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4.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4.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4.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4.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4.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4.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4.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4.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4.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4.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4.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4.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4.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4.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4.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4.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4.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4.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4.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4.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4.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4.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4.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4.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4.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4.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4.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4.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4.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4.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4.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4.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4.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4.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4.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4.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4.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4.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4.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4.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4.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4.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4.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4.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4.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4.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4.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4.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4.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4.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4.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4.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4.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4.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4.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4.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4.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4.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4.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4.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4.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4.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4.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4.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4.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4.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4.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4.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4.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4.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4.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4.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4.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4.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4.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4.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4.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4.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4.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4.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4.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4.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4.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4.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4.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4.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4.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4.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4.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4.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4.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4.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4.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4.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4.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4.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4.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4.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4.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4.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4.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4.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4.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4.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4.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4.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4.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4.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4.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4.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4.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4.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4.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4.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4.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4.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4.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4.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4.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4.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4.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4.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4.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4.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4.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4.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4.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4.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4.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4.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4.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4.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4.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4.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4.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4.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4.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4.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4.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4.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4.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4.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4.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4.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4.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4.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4.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4.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4.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4.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4.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4.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4.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4.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4.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4.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4.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4.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4.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4.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4.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4.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4.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4.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4.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4.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4.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4.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4.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4.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4.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4.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4.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4.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4.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4.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2024-05-28T10:02:58Z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