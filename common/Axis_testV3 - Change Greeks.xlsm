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AC8F7941-C4AA-4661-9C35-B95E95882577}" xr6:coauthVersionLast="47" xr6:coauthVersionMax="47" xr10:uidLastSave="{00000000-0000-0000-0000-000000000000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C7" i="4"/>
  <c r="E7" i="3"/>
  <c r="F15" i="8" a="1"/>
  <c r="F15" i="8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<sst xmlns="http://schemas.openxmlformats.org/spreadsheetml/2006/main" count="2154" uniqueCount="509">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</sst>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4" t="s">
        <v>21</v>
      </c>
      <c r="D5" s="475"/>
      <c r="F5" s="476" t="s">
        <v>23</v>
      </c>
      <c r="G5" s="477"/>
      <c r="I5" s="476" t="s">
        <v>22</v>
      </c>
      <c r="J5" s="477"/>
      <c r="R5" s="474" t="s">
        <v>39</v>
      </c>
      <c r="S5" s="475"/>
      <c r="U5" s="476" t="s">
        <v>40</v>
      </c>
      <c r="V5" s="477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4" t="s">
        <v>21</v>
      </c>
      <c r="C20" s="478"/>
      <c r="D20" s="478"/>
      <c r="E20" s="478"/>
      <c r="F20" s="478"/>
      <c r="G20" s="478"/>
      <c r="H20" s="478"/>
      <c r="I20" s="478"/>
      <c r="J20" s="475"/>
      <c r="L20" s="474" t="s">
        <v>23</v>
      </c>
      <c r="M20" s="475"/>
      <c r="O20" s="474" t="s">
        <v>22</v>
      </c>
      <c r="P20" s="475"/>
      <c r="R20" s="479" t="s">
        <v>39</v>
      </c>
      <c r="S20" s="480"/>
      <c r="T20" s="480"/>
      <c r="U20" s="480"/>
      <c r="V20" s="480"/>
      <c r="W20" s="480"/>
      <c r="X20" s="481"/>
      <c r="Z20" s="476" t="s">
        <v>40</v>
      </c>
      <c r="AA20" s="477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C8" sqref="C8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85" t="s">
        <v>48</v>
      </c>
      <c r="G7" s="486"/>
      <c r="H7" s="486"/>
      <c r="I7" s="486"/>
      <c r="J7" s="486"/>
      <c r="K7" s="486"/>
      <c r="L7" s="486"/>
      <c r="M7" s="486"/>
      <c r="N7" s="486"/>
      <c r="O7" s="486"/>
      <c r="P7" s="486"/>
      <c r="Q7" s="487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2" t="s">
        <v>68</v>
      </c>
      <c r="G13" s="483"/>
      <c r="H13" s="483"/>
      <c r="I13" s="483"/>
      <c r="J13" s="483"/>
      <c r="K13" s="483"/>
      <c r="L13" s="483"/>
      <c r="M13" s="483"/>
      <c r="N13" s="483"/>
      <c r="O13" s="483"/>
      <c r="P13" s="483"/>
      <c r="Q13" s="48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M7" sqref="M7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5" t="s">
        <v>72</v>
      </c>
      <c r="H2" s="486"/>
      <c r="I2" s="486"/>
      <c r="J2" s="145" t="b">
        <v>1</v>
      </c>
    </row>
    <row r="3" spans="1:50" ht="15.75" thickBot="1">
      <c r="J3" s="99"/>
    </row>
    <row r="4" spans="1:50" ht="15.75" thickBot="1">
      <c r="G4" s="485" t="s">
        <v>73</v>
      </c>
      <c r="H4" s="486"/>
      <c r="I4" s="487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1" t="b">
        <v>1</v>
      </c>
      <c r="D6" s="492"/>
      <c r="E6" s="85"/>
      <c r="F6" s="85"/>
      <c r="G6" s="485" t="s">
        <v>74</v>
      </c>
      <c r="H6" s="486"/>
      <c r="I6" s="487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3">
        <f ca="1">GetCDSRefDate(Parameter_Date,C6)</f>
        <v>45463</v>
      </c>
      <c r="D7" s="494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5" t="s">
        <v>76</v>
      </c>
      <c r="F9" s="486"/>
      <c r="G9" s="486"/>
      <c r="H9" s="486"/>
      <c r="I9" s="486"/>
      <c r="J9" s="486"/>
      <c r="K9" s="486"/>
      <c r="L9" s="486"/>
      <c r="M9" s="487"/>
      <c r="N9" s="488" t="s">
        <v>77</v>
      </c>
      <c r="O9" s="489"/>
      <c r="P9" s="489"/>
      <c r="Q9" s="489"/>
      <c r="R9" s="489"/>
      <c r="S9" s="489"/>
      <c r="T9" s="489"/>
      <c r="U9" s="489"/>
      <c r="V9" s="490"/>
      <c r="W9" s="488" t="s">
        <v>78</v>
      </c>
      <c r="X9" s="489"/>
      <c r="Y9" s="489"/>
      <c r="Z9" s="489"/>
      <c r="AA9" s="489"/>
      <c r="AB9" s="489"/>
      <c r="AC9" s="489"/>
      <c r="AD9" s="489"/>
      <c r="AE9" s="490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7" t="s">
        <v>456</v>
      </c>
      <c r="D3" s="498"/>
      <c r="E3" s="499"/>
    </row>
    <row r="4" spans="2:11">
      <c r="C4" s="500"/>
      <c r="D4" s="501"/>
      <c r="E4" s="502"/>
    </row>
    <row r="5" spans="2:11" ht="15.75" thickBot="1">
      <c r="C5" s="503"/>
      <c r="D5" s="504"/>
      <c r="E5" s="505"/>
    </row>
    <row r="6" spans="2:11" ht="15.75" thickBot="1"/>
    <row r="7" spans="2:11" ht="16.5" thickBot="1">
      <c r="B7" s="495" t="s">
        <v>454</v>
      </c>
      <c r="C7" s="496"/>
      <c r="D7" s="79"/>
      <c r="E7" s="495" t="s">
        <v>455</v>
      </c>
      <c r="F7" s="496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.7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518" t="str">
        <f ca="1"/>
        <v>0</v>
      </c>
      <c r="J15" s="266" t="str">
        <f ca="1"/>
        <v>0</v>
      </c>
      <c r="K15" s="262" t="str">
        <f ca="1"/>
        <v/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519" t="str">
        <f ca="1"/>
        <v>0</v>
      </c>
      <c r="J16" s="267" t="str">
        <f ca="1"/>
        <v>0</v>
      </c>
      <c r="K16" s="263" t="str">
        <f ca="1"/>
        <v/>
      </c>
    </row>
    <row r="17" spans="2:11" ht="15.7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519" t="str">
        <f ca="1"/>
        <v>0</v>
      </c>
      <c r="J17" s="267" t="str">
        <f ca="1"/>
        <v>0</v>
      </c>
      <c r="K17" s="263" t="str">
        <f ca="1"/>
        <v/>
      </c>
    </row>
    <row r="18" spans="2:11" ht="15.7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519" t="str">
        <f ca="1"/>
        <v>0</v>
      </c>
      <c r="J18" s="267" t="str">
        <f ca="1"/>
        <v>0</v>
      </c>
      <c r="K18" s="263" t="str">
        <f ca="1"/>
        <v/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520" t="str">
        <f ca="1"/>
        <v>0</v>
      </c>
      <c r="J19" s="268" t="str">
        <f ca="1"/>
        <v>0</v>
      </c>
      <c r="K19" s="263" t="str">
        <f ca="1"/>
        <v/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5" t="str">
        <f ca="1"/>
        <v>00:00:00.0070061</v>
      </c>
      <c r="G20" s="269" t="str">
        <f ca="1"/>
        <v>00:00:00.0070061</v>
      </c>
      <c r="H20" s="263" t="str">
        <f ca="1"/>
        <v>0</v>
      </c>
      <c r="I20" s="521" t="str">
        <f ca="1"/>
        <v>0</v>
      </c>
      <c r="J20" s="269" t="str">
        <f ca="1"/>
        <v>0</v>
      </c>
      <c r="K20" s="263" t="str">
        <f ca="1"/>
        <v/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73"/>
      <c r="K2" s="175"/>
    </row>
    <row r="3" spans="2:11">
      <c r="J3" s="273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6">
        <v>1</v>
      </c>
      <c r="J6" s="507"/>
      <c r="K6" s="508"/>
    </row>
    <row r="7" spans="2:11" ht="15.75" thickBot="1">
      <c r="D7" s="169"/>
      <c r="H7" s="181" t="s">
        <v>425</v>
      </c>
      <c r="I7" s="509" t="str" cm="1">
        <f t="array" aca="1" ref="I7" ca="1">GetGetCDSName(I6)</f>
        <v>ABNAMRO_MMR.EUR.SU</v>
      </c>
      <c r="J7" s="510"/>
      <c r="K7" s="511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T15" sqref="T15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5.140625" style="231" hidden="1" customWidth="1"/>
    <col min="16" max="16" width="25.7109375" style="231" hidden="1" customWidth="1"/>
    <col min="17" max="17" width="29.140625" style="231" hidden="1" customWidth="1"/>
    <col min="18" max="18" width="26.42578125" style="231" hidden="1" customWidth="1"/>
    <col min="19" max="19" width="9.28515625" style="231" customWidth="1"/>
    <col min="20" max="20" width="25.140625" style="231" customWidth="1"/>
    <col min="21" max="21" width="23.5703125" style="231" customWidth="1"/>
    <col min="22" max="22" width="23.140625" style="231" customWidth="1"/>
    <col min="23" max="23" width="24.5703125" style="231" customWidth="1"/>
    <col min="24" max="24" width="22.140625" style="231" customWidth="1"/>
    <col min="25" max="25" width="13.140625" style="231" customWidth="1"/>
    <col min="26" max="26" width="11.42578125" style="231" customWidth="1"/>
    <col min="27" max="27" width="13.5703125" style="231" customWidth="1"/>
    <col min="28" max="28" width="13.140625" style="231" customWidth="1"/>
    <col min="29" max="35" width="11.42578125" style="231"/>
    <col min="36" max="37" width="11.42578125" style="231" customWidth="1"/>
    <col min="38" max="16384" width="11.42578125" style="231"/>
  </cols>
  <sheetData>
    <row r="1" spans="1:30">
      <c r="S1" s="232"/>
    </row>
    <row r="2" spans="1:30">
      <c r="S2" s="232"/>
    </row>
    <row r="3" spans="1:30">
      <c r="S3" s="232"/>
    </row>
    <row r="4" spans="1:30" ht="12" thickBot="1">
      <c r="S4" s="232"/>
    </row>
    <row r="5" spans="1:30" ht="12" thickBot="1">
      <c r="H5" s="277" t="s">
        <v>423</v>
      </c>
      <c r="I5" s="140" t="b">
        <v>1</v>
      </c>
      <c r="K5" s="277" t="s">
        <v>508</v>
      </c>
      <c r="L5" s="140" t="b">
        <v>0</v>
      </c>
      <c r="S5" s="232"/>
    </row>
    <row r="6" spans="1:30" ht="12" thickBot="1">
      <c r="B6" s="278" t="s">
        <v>432</v>
      </c>
      <c r="C6" s="233" t="s">
        <v>57</v>
      </c>
      <c r="S6" s="232"/>
    </row>
    <row r="7" spans="1:30" customFormat="1" ht="15.7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N114" ca="1">IF(NOT($I$5),"",GETCDO(C6,C19:C20,C21:C22,G39:G338,C8,C17,C39:C338,D39:D338,C12,C13,C14,C15,C9,C10,E39:E338,F39:F338,C24,C25,C27,L5,C29:C31,C36,C33,,C34))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65" t="str">
        <f ca="1"/>
        <v>0</v>
      </c>
      <c r="O8" s="417"/>
      <c r="P8" s="417"/>
      <c r="Q8" s="417"/>
      <c r="R8" s="465"/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466" t="str">
        <f ca="1"/>
        <v>0</v>
      </c>
      <c r="O9" s="340"/>
      <c r="P9" s="340"/>
      <c r="Q9" s="340"/>
      <c r="R9" s="466"/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466" t="str">
        <f ca="1"/>
        <v>0</v>
      </c>
      <c r="O10" s="340"/>
      <c r="P10" s="340"/>
      <c r="Q10" s="340"/>
      <c r="R10" s="466"/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.7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466" t="str">
        <f ca="1"/>
        <v>0</v>
      </c>
      <c r="O11" s="340"/>
      <c r="P11" s="340"/>
      <c r="Q11" s="340"/>
      <c r="R11" s="466"/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466" t="str">
        <f ca="1"/>
        <v>0</v>
      </c>
      <c r="O12" s="340"/>
      <c r="P12" s="340"/>
      <c r="Q12" s="340"/>
      <c r="R12" s="466"/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.7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00:00:01.1358335</v>
      </c>
      <c r="J13" s="413" t="str">
        <f ca="1"/>
        <v>00:00:01.1358335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466" t="str">
        <f ca="1"/>
        <v>0</v>
      </c>
      <c r="O13" s="340"/>
      <c r="P13" s="472"/>
      <c r="Q13" s="471"/>
      <c r="R13" s="466"/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.7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467" t="str">
        <f ca="1"/>
        <v>Name</v>
      </c>
      <c r="O14" s="414"/>
      <c r="P14" s="414"/>
      <c r="Q14" s="414"/>
      <c r="R14" s="467"/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.7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468" t="str">
        <f ca="1"/>
        <v>ABNAMRO_MMR.EUR.SU</v>
      </c>
      <c r="O15" s="421"/>
      <c r="P15" s="421"/>
      <c r="Q15" s="421"/>
      <c r="R15" s="468"/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.7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468" t="str">
        <f ca="1"/>
        <v>ACCOR_MMR.EUR.SU</v>
      </c>
      <c r="O16" s="421"/>
      <c r="P16" s="421"/>
      <c r="Q16" s="421"/>
      <c r="R16" s="468"/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468" t="str">
        <f ca="1"/>
        <v>ADECCO_MMR.EUR.SU</v>
      </c>
      <c r="O17" s="421"/>
      <c r="P17" s="421"/>
      <c r="Q17" s="421"/>
      <c r="R17" s="468"/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468" t="str">
        <f ca="1"/>
        <v>AEGON_MMR.EUR.SU</v>
      </c>
      <c r="O18" s="421"/>
      <c r="P18" s="421"/>
      <c r="Q18" s="421"/>
      <c r="R18" s="468"/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468" t="str">
        <f ca="1"/>
        <v>AKZONOBEL_MMR.EUR.SU</v>
      </c>
      <c r="O19" s="421"/>
      <c r="P19" s="421"/>
      <c r="Q19" s="421"/>
      <c r="R19" s="468"/>
      <c r="S19" s="459"/>
      <c r="T19" s="522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468" t="str">
        <f ca="1"/>
        <v>ALLIANZ_MMR.EUR.SU</v>
      </c>
      <c r="O20" s="421"/>
      <c r="P20" s="421"/>
      <c r="Q20" s="421"/>
      <c r="R20" s="468"/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468" t="str">
        <f ca="1"/>
        <v>ALTADIS_MMR.EUR.SU</v>
      </c>
      <c r="O21" s="421"/>
      <c r="P21" s="421"/>
      <c r="Q21" s="421"/>
      <c r="R21" s="468"/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.7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468" t="str">
        <f ca="1"/>
        <v>ARCELORFINANCESCA_MMR.EUR.SU</v>
      </c>
      <c r="O22" s="421"/>
      <c r="P22" s="421"/>
      <c r="Q22" s="421"/>
      <c r="R22" s="468"/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.7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468" t="str">
        <f ca="1"/>
        <v>AUCHAN_MMR.EUR.SU</v>
      </c>
      <c r="O23" s="421"/>
      <c r="P23" s="421"/>
      <c r="Q23" s="421"/>
      <c r="R23" s="468"/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468" t="str">
        <f ca="1"/>
        <v>AVIVA_MMR.EUR.SU</v>
      </c>
      <c r="O24" s="421"/>
      <c r="P24" s="421"/>
      <c r="Q24" s="421"/>
      <c r="R24" s="468"/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.7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468" t="str">
        <f ca="1"/>
        <v>AXA_MMR.EUR.SU</v>
      </c>
      <c r="O25" s="421"/>
      <c r="P25" s="421"/>
      <c r="Q25" s="421"/>
      <c r="R25" s="468"/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.7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468" t="str">
        <f ca="1"/>
        <v>BANCOESPIRITOSANTO_MMR.EUR.SU</v>
      </c>
      <c r="O26" s="421"/>
      <c r="P26" s="421"/>
      <c r="Q26" s="421"/>
      <c r="R26" s="468"/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.7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468" t="str">
        <f ca="1"/>
        <v>BARCLAYS_MMR.EUR.SU</v>
      </c>
      <c r="O27" s="421"/>
      <c r="P27" s="421"/>
      <c r="Q27" s="421"/>
      <c r="R27" s="468"/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.7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468" t="str">
        <f ca="1"/>
        <v>BASF_MMR.EUR.SU</v>
      </c>
      <c r="O28" s="421"/>
      <c r="P28" s="421"/>
      <c r="Q28" s="421"/>
      <c r="R28" s="468"/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.7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468" t="str">
        <f ca="1"/>
        <v>BAT_MMR.EUR.SU</v>
      </c>
      <c r="O29" s="421"/>
      <c r="P29" s="421"/>
      <c r="Q29" s="421"/>
      <c r="R29" s="468"/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468" t="str">
        <f ca="1"/>
        <v>BAYER_MMR.EUR.SU</v>
      </c>
      <c r="O30" s="421"/>
      <c r="P30" s="421"/>
      <c r="Q30" s="421"/>
      <c r="R30" s="468"/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.7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468" t="str">
        <f ca="1"/>
        <v>BBVA_MMR.EUR.SU</v>
      </c>
      <c r="O31" s="421"/>
      <c r="P31" s="421"/>
      <c r="Q31" s="421"/>
      <c r="R31" s="468"/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.7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468" t="str">
        <f ca="1"/>
        <v>BERTELSMANNAG_MMR.EUR.SU</v>
      </c>
      <c r="O32" s="421"/>
      <c r="P32" s="421"/>
      <c r="Q32" s="421"/>
      <c r="R32" s="468"/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468" t="str">
        <f ca="1"/>
        <v>BMW_MMR.EUR.SU</v>
      </c>
      <c r="O33" s="421"/>
      <c r="P33" s="421"/>
      <c r="Q33" s="421"/>
      <c r="R33" s="468"/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468" t="str">
        <f ca="1"/>
        <v>BNPPARIBAS_MMR.EUR.SU</v>
      </c>
      <c r="O34" s="421"/>
      <c r="P34" s="421"/>
      <c r="Q34" s="421"/>
      <c r="R34" s="468"/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468" t="str">
        <f ca="1"/>
        <v>BRITISHTELECOM_MMR.EUR.SU</v>
      </c>
      <c r="O35" s="421"/>
      <c r="P35" s="421"/>
      <c r="Q35" s="421"/>
      <c r="R35" s="468"/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.7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468" t="str">
        <f ca="1"/>
        <v>BSCH_MMR.EUR.SU</v>
      </c>
      <c r="O36" s="421"/>
      <c r="P36" s="421"/>
      <c r="Q36" s="421"/>
      <c r="R36" s="468"/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.7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468" t="str">
        <f ca="1"/>
        <v>CADBURYSCHWEPPES_MMR.EUR.SU</v>
      </c>
      <c r="O37" s="421"/>
      <c r="P37" s="421"/>
      <c r="Q37" s="421"/>
      <c r="R37" s="468"/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.7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468" t="str">
        <f ca="1"/>
        <v>CAPITALIA_MMR.EUR.SU</v>
      </c>
      <c r="O38" s="421"/>
      <c r="P38" s="421"/>
      <c r="Q38" s="421"/>
      <c r="R38" s="468"/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468" t="str">
        <f ca="1"/>
        <v>CARREFOUR_MMR.EUR.SU</v>
      </c>
      <c r="O39" s="421"/>
      <c r="P39" s="421"/>
      <c r="Q39" s="421"/>
      <c r="R39" s="468"/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468" t="str">
        <f ca="1"/>
        <v>CASINOGUICHARD_MMR.EUR.SU</v>
      </c>
      <c r="O40" s="421"/>
      <c r="P40" s="421"/>
      <c r="Q40" s="421"/>
      <c r="R40" s="468"/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468" t="str">
        <f ca="1"/>
        <v>CENTRICA_MMR.EUR.SU</v>
      </c>
      <c r="O41" s="421"/>
      <c r="P41" s="421"/>
      <c r="Q41" s="421"/>
      <c r="R41" s="468"/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468" t="str">
        <f ca="1"/>
        <v>CIBASC_MMR.EUR.SU</v>
      </c>
      <c r="O42" s="421"/>
      <c r="P42" s="421"/>
      <c r="Q42" s="421"/>
      <c r="R42" s="468"/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468" t="str">
        <f ca="1"/>
        <v>COMMERZBANK_MMR.EUR.SU</v>
      </c>
      <c r="O43" s="421"/>
      <c r="P43" s="421"/>
      <c r="Q43" s="421"/>
      <c r="R43" s="468"/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468" t="str">
        <f ca="1"/>
        <v>COMPASS_MMR.EUR.SU</v>
      </c>
      <c r="O44" s="421"/>
      <c r="P44" s="421"/>
      <c r="Q44" s="421"/>
      <c r="R44" s="468"/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468" t="str">
        <f ca="1"/>
        <v>CONTINENTAL_MMR.EUR.SU</v>
      </c>
      <c r="O45" s="421"/>
      <c r="P45" s="421"/>
      <c r="Q45" s="421"/>
      <c r="R45" s="468"/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468" t="str">
        <f ca="1"/>
        <v>CREDITAGRICOLE_MMR.EUR.SU</v>
      </c>
      <c r="O46" s="421"/>
      <c r="P46" s="421"/>
      <c r="Q46" s="421"/>
      <c r="R46" s="468"/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468" t="str">
        <f ca="1"/>
        <v>CREDITSUISSEGROUP_MMR.EUR.SU</v>
      </c>
      <c r="O47" s="421"/>
      <c r="P47" s="421"/>
      <c r="Q47" s="421"/>
      <c r="R47" s="468"/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468" t="str">
        <f ca="1"/>
        <v>DAIMLERCHRYSLER_MMR.EUR.SU</v>
      </c>
      <c r="O48" s="421"/>
      <c r="P48" s="421"/>
      <c r="Q48" s="421"/>
      <c r="R48" s="468"/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468" t="str">
        <f ca="1"/>
        <v>DANONE_MMR.EUR.SU</v>
      </c>
      <c r="O49" s="421"/>
      <c r="P49" s="421"/>
      <c r="Q49" s="421"/>
      <c r="R49" s="468"/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468" t="str">
        <f ca="1"/>
        <v>DEUTSCHEBANK_MMR.EUR.SU</v>
      </c>
      <c r="O50" s="421"/>
      <c r="P50" s="421"/>
      <c r="Q50" s="421"/>
      <c r="R50" s="468"/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468" t="str">
        <f ca="1"/>
        <v>DEUTSCHEPOSTAG_MMR.EUR.SU</v>
      </c>
      <c r="O51" s="421"/>
      <c r="P51" s="421"/>
      <c r="Q51" s="421"/>
      <c r="R51" s="468"/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468" t="str">
        <f ca="1"/>
        <v>DEUTSCHETELEKOM_MMR.EUR.SU</v>
      </c>
      <c r="O52" s="421"/>
      <c r="P52" s="421"/>
      <c r="Q52" s="421"/>
      <c r="R52" s="468"/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468" t="str">
        <f ca="1"/>
        <v>DIAGEO_MMR.EUR.SU</v>
      </c>
      <c r="O53" s="421"/>
      <c r="P53" s="421"/>
      <c r="Q53" s="421"/>
      <c r="R53" s="468"/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468" t="str">
        <f ca="1"/>
        <v>DIXONSGROUPPLC_MMR.EUR.SU</v>
      </c>
      <c r="O54" s="421"/>
      <c r="P54" s="421"/>
      <c r="Q54" s="421"/>
      <c r="R54" s="468"/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468" t="str">
        <f ca="1"/>
        <v>DSM_MMR.EUR.SU</v>
      </c>
      <c r="O55" s="421"/>
      <c r="P55" s="421"/>
      <c r="Q55" s="421"/>
      <c r="R55" s="468"/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468" t="str">
        <f ca="1"/>
        <v>EADS_MMR.EUR.SU</v>
      </c>
      <c r="O56" s="421"/>
      <c r="P56" s="421"/>
      <c r="Q56" s="421"/>
      <c r="R56" s="468"/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468" t="str">
        <f ca="1"/>
        <v>EDF_MMR.EUR.SU</v>
      </c>
      <c r="O57" s="421"/>
      <c r="P57" s="421"/>
      <c r="Q57" s="421"/>
      <c r="R57" s="468"/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468" t="str">
        <f ca="1"/>
        <v>EDISON_MMR.EUR.SU</v>
      </c>
      <c r="O58" s="421"/>
      <c r="P58" s="421"/>
      <c r="Q58" s="421"/>
      <c r="R58" s="468"/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468" t="str">
        <f ca="1"/>
        <v>ELECTRICITEDEPORTUGAL_MMR.EUR.SU</v>
      </c>
      <c r="O59" s="421"/>
      <c r="P59" s="421"/>
      <c r="Q59" s="421"/>
      <c r="R59" s="468"/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468" t="str">
        <f ca="1"/>
        <v>ELECTROLUX_MMR.EUR.SU</v>
      </c>
      <c r="O60" s="421"/>
      <c r="P60" s="421"/>
      <c r="Q60" s="421"/>
      <c r="R60" s="468"/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468" t="str">
        <f ca="1"/>
        <v>ENDESA_MMR.EUR.SU</v>
      </c>
      <c r="O61" s="421"/>
      <c r="P61" s="421"/>
      <c r="Q61" s="421"/>
      <c r="R61" s="468"/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468" t="str">
        <f ca="1"/>
        <v>ENEL_MMR.EUR.SU</v>
      </c>
      <c r="O62" s="421"/>
      <c r="P62" s="421"/>
      <c r="Q62" s="421"/>
      <c r="R62" s="468"/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468" t="str">
        <f ca="1"/>
        <v>ENERGIEBADENWUERTTEMBERG_MMR.EUR.SU</v>
      </c>
      <c r="O63" s="421"/>
      <c r="P63" s="421"/>
      <c r="Q63" s="421"/>
      <c r="R63" s="468"/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468" t="str">
        <f ca="1"/>
        <v>EON_MMR.EUR.SU</v>
      </c>
      <c r="O64" s="421"/>
      <c r="P64" s="421"/>
      <c r="Q64" s="421"/>
      <c r="R64" s="468"/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468" t="str">
        <f ca="1"/>
        <v>FORTUMOYJ_MMR.EUR.SU</v>
      </c>
      <c r="O65" s="421"/>
      <c r="P65" s="421"/>
      <c r="Q65" s="421"/>
      <c r="R65" s="468"/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468" t="str">
        <f ca="1"/>
        <v>FRANCETELECOM_MMR.EUR.SU</v>
      </c>
      <c r="O66" s="421"/>
      <c r="P66" s="421"/>
      <c r="Q66" s="421"/>
      <c r="R66" s="468"/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468" t="str">
        <f ca="1"/>
        <v>GALLAHERGROUPPLC_MMR.EUR.SU</v>
      </c>
      <c r="O67" s="421"/>
      <c r="P67" s="421"/>
      <c r="Q67" s="421"/>
      <c r="R67" s="468"/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468" t="str">
        <f ca="1"/>
        <v>GASNATURALSDGSA_MMR.EUR.SU</v>
      </c>
      <c r="O68" s="421"/>
      <c r="P68" s="421"/>
      <c r="Q68" s="421"/>
      <c r="R68" s="468"/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468" t="str">
        <f ca="1"/>
        <v>GAZDEFRANCE_MMR.EUR.SU</v>
      </c>
      <c r="O69" s="421"/>
      <c r="P69" s="421"/>
      <c r="Q69" s="421"/>
      <c r="R69" s="468"/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468" t="str">
        <f ca="1"/>
        <v>GENERALI_MMR.EUR.SU</v>
      </c>
      <c r="O70" s="421"/>
      <c r="P70" s="421"/>
      <c r="Q70" s="421"/>
      <c r="R70" s="468"/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468" t="str">
        <f ca="1"/>
        <v>GKN HOLDINGS  PLC_MMR.EUR.SU</v>
      </c>
      <c r="O71" s="421"/>
      <c r="P71" s="421"/>
      <c r="Q71" s="421"/>
      <c r="R71" s="468"/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468" t="str">
        <f ca="1"/>
        <v>GLENCOREINTAG_MMR.EUR.SU</v>
      </c>
      <c r="O72" s="421"/>
      <c r="P72" s="421"/>
      <c r="Q72" s="421"/>
      <c r="R72" s="468"/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468" t="str">
        <f ca="1"/>
        <v>GREATUNIVERSALSTORES_MMR.EUR.SU</v>
      </c>
      <c r="O73" s="421"/>
      <c r="P73" s="421"/>
      <c r="Q73" s="421"/>
      <c r="R73" s="468"/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468" t="str">
        <f ca="1"/>
        <v>HANNOVERRUECK_MMR.EUR.SU</v>
      </c>
      <c r="O74" s="421"/>
      <c r="P74" s="421"/>
      <c r="Q74" s="421"/>
      <c r="R74" s="468"/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468" t="str">
        <f ca="1"/>
        <v>HELLENIC TELCOM_MMR.EUR.SU</v>
      </c>
      <c r="O75" s="421"/>
      <c r="P75" s="421"/>
      <c r="Q75" s="421"/>
      <c r="R75" s="468"/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468" t="str">
        <f ca="1"/>
        <v>HENKELKG_MMR.EUR.SU</v>
      </c>
      <c r="O76" s="421"/>
      <c r="P76" s="421"/>
      <c r="Q76" s="421"/>
      <c r="R76" s="468"/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468" t="str">
        <f ca="1"/>
        <v>IBERDROLA_MMR.EUR.SU</v>
      </c>
      <c r="O77" s="421"/>
      <c r="P77" s="421"/>
      <c r="Q77" s="421"/>
      <c r="R77" s="468"/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468" t="str">
        <f ca="1"/>
        <v>ICI_MMR.EUR.SU</v>
      </c>
      <c r="O78" s="421"/>
      <c r="P78" s="421"/>
      <c r="Q78" s="421"/>
      <c r="R78" s="468"/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468" t="str">
        <f ca="1"/>
        <v>INTESA_MMR.EUR.SU</v>
      </c>
      <c r="O79" s="421"/>
      <c r="P79" s="421"/>
      <c r="Q79" s="421"/>
      <c r="R79" s="468"/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468" t="str">
        <f ca="1"/>
        <v>KINGFISHER_MMR.EUR.SU</v>
      </c>
      <c r="O80" s="421"/>
      <c r="P80" s="421"/>
      <c r="Q80" s="421"/>
      <c r="R80" s="468"/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468" t="str">
        <f ca="1"/>
        <v>KPN_MMR.EUR.SU</v>
      </c>
      <c r="O81" s="421"/>
      <c r="P81" s="421"/>
      <c r="Q81" s="421"/>
      <c r="R81" s="468"/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468" t="str">
        <f ca="1"/>
        <v>LAFARGE_MMR.EUR.SU</v>
      </c>
      <c r="O82" s="421"/>
      <c r="P82" s="421"/>
      <c r="Q82" s="421"/>
      <c r="R82" s="468"/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468" t="str">
        <f ca="1"/>
        <v>LINDE_MMR.EUR.SU</v>
      </c>
      <c r="O83" s="421"/>
      <c r="P83" s="421"/>
      <c r="Q83" s="421"/>
      <c r="R83" s="468"/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468" t="str">
        <f ca="1"/>
        <v>LUFTHANSA_MMR.EUR.SU</v>
      </c>
      <c r="O84" s="421"/>
      <c r="P84" s="421"/>
      <c r="Q84" s="421"/>
      <c r="R84" s="468"/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468" t="str">
        <f ca="1"/>
        <v>LVMH_MMR.EUR.SU</v>
      </c>
      <c r="O85" s="421"/>
      <c r="P85" s="421"/>
      <c r="Q85" s="421"/>
      <c r="R85" s="468"/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468" t="str">
        <f ca="1"/>
        <v>MARKSANDSPENCERPLC_MMR.EUR.SU</v>
      </c>
      <c r="O86" s="421"/>
      <c r="P86" s="421"/>
      <c r="Q86" s="421"/>
      <c r="R86" s="468"/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468" t="str">
        <f ca="1"/>
        <v>METRO_MMR.EUR.SU</v>
      </c>
      <c r="O87" s="421"/>
      <c r="P87" s="421"/>
      <c r="Q87" s="421"/>
      <c r="R87" s="468"/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468" t="str">
        <f ca="1"/>
        <v>MICHELIN_MMR.EUR.SU</v>
      </c>
      <c r="O88" s="421"/>
      <c r="P88" s="421"/>
      <c r="Q88" s="421"/>
      <c r="R88" s="468"/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468" t="str">
        <f ca="1"/>
        <v>MONTEDEIPASCHI_MMR.EUR.SU</v>
      </c>
      <c r="O89" s="421"/>
      <c r="P89" s="421"/>
      <c r="Q89" s="421"/>
      <c r="R89" s="468"/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468" t="str">
        <f ca="1"/>
        <v>MUNICHRE_MMR.EUR.SU</v>
      </c>
      <c r="O90" s="421"/>
      <c r="P90" s="421"/>
      <c r="Q90" s="421"/>
      <c r="R90" s="468"/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468" t="str">
        <f ca="1"/>
        <v>NATIONALGRIDTRANSCOPLC_MMR.EUR.SU</v>
      </c>
      <c r="O91" s="421"/>
      <c r="P91" s="421"/>
      <c r="Q91" s="421"/>
      <c r="R91" s="468"/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468" t="str">
        <f ca="1"/>
        <v>NEXTPLC_MMR.EUR.SU</v>
      </c>
      <c r="O92" s="421"/>
      <c r="P92" s="421"/>
      <c r="Q92" s="421"/>
      <c r="R92" s="468"/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468" t="str">
        <f ca="1"/>
        <v>PEARSON_MMR.EUR.SU</v>
      </c>
      <c r="O93" s="421"/>
      <c r="P93" s="421"/>
      <c r="Q93" s="421"/>
      <c r="R93" s="468"/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468" t="str">
        <f ca="1"/>
        <v>PEUGEOT_MMR.EUR.SU</v>
      </c>
      <c r="O94" s="421"/>
      <c r="P94" s="421"/>
      <c r="Q94" s="421"/>
      <c r="R94" s="468"/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468" t="str">
        <f ca="1"/>
        <v>PHILIPSELEC_MMR.EUR.SU</v>
      </c>
      <c r="O95" s="421"/>
      <c r="P95" s="421"/>
      <c r="Q95" s="421"/>
      <c r="R95" s="468"/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468" t="str">
        <f ca="1"/>
        <v>PINAULTPRINTEMPS_MMR.EUR.SU</v>
      </c>
      <c r="O96" s="421"/>
      <c r="P96" s="421"/>
      <c r="Q96" s="421"/>
      <c r="R96" s="468"/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468" t="str">
        <f ca="1"/>
        <v>PORTUGALTELECOM_MMR.EUR.SU</v>
      </c>
      <c r="O97" s="421"/>
      <c r="P97" s="421"/>
      <c r="Q97" s="421"/>
      <c r="R97" s="468"/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468" t="str">
        <f ca="1"/>
        <v>REEDELSEVIER_MMR.EUR.SU</v>
      </c>
      <c r="O98" s="421"/>
      <c r="P98" s="421"/>
      <c r="Q98" s="421"/>
      <c r="R98" s="468"/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468" t="str">
        <f ca="1"/>
        <v>RENAULT_MMR.EUR.SU</v>
      </c>
      <c r="O99" s="421"/>
      <c r="P99" s="421"/>
      <c r="Q99" s="421"/>
      <c r="R99" s="468"/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468" t="str">
        <f ca="1"/>
        <v>REPSOL_MMR.EUR.SU</v>
      </c>
      <c r="O100" s="421"/>
      <c r="P100" s="421"/>
      <c r="Q100" s="421"/>
      <c r="R100" s="468"/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468" t="str">
        <f ca="1"/>
        <v>REUTERS_MMR.EUR.SU</v>
      </c>
      <c r="O101" s="421"/>
      <c r="P101" s="421"/>
      <c r="Q101" s="421"/>
      <c r="R101" s="468"/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468" t="str">
        <f ca="1"/>
        <v>ROYALBANKSCOTLAND_MMR.EUR.SU</v>
      </c>
      <c r="O102" s="421"/>
      <c r="P102" s="421"/>
      <c r="Q102" s="421"/>
      <c r="R102" s="468"/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468" t="str">
        <f ca="1"/>
        <v>RWE_MMR.EUR.SU</v>
      </c>
      <c r="O103" s="421"/>
      <c r="P103" s="421"/>
      <c r="Q103" s="421"/>
      <c r="R103" s="468"/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468" t="str">
        <f ca="1"/>
        <v>SAFEWAYPLC_MMR.EUR.SU</v>
      </c>
      <c r="O104" s="421"/>
      <c r="P104" s="421"/>
      <c r="Q104" s="421"/>
      <c r="R104" s="468"/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468" t="str">
        <f ca="1"/>
        <v>SANOFIAVENTIS_MMR.EUR.SU</v>
      </c>
      <c r="O105" s="421"/>
      <c r="P105" s="421"/>
      <c r="Q105" s="421"/>
      <c r="R105" s="468"/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468" t="str">
        <f ca="1"/>
        <v>SIEMENS_MMR.EUR.SU</v>
      </c>
      <c r="O106" s="421"/>
      <c r="P106" s="421"/>
      <c r="Q106" s="421"/>
      <c r="R106" s="468"/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468" t="str">
        <f ca="1"/>
        <v>SODEXHOALLIANCE_MMR.EUR.SU</v>
      </c>
      <c r="O107" s="421"/>
      <c r="P107" s="421"/>
      <c r="Q107" s="421"/>
      <c r="R107" s="468"/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468" t="str">
        <f ca="1"/>
        <v>SOLVAY_MMR.EUR.SU</v>
      </c>
      <c r="O108" s="421"/>
      <c r="P108" s="421"/>
      <c r="Q108" s="421"/>
      <c r="R108" s="468"/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468" t="str">
        <f ca="1"/>
        <v>STGOBAIN_MMR.EUR.SU</v>
      </c>
      <c r="O109" s="421"/>
      <c r="P109" s="421"/>
      <c r="Q109" s="421"/>
      <c r="R109" s="468"/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468" t="str">
        <f ca="1"/>
        <v>STMICRO_MMR.EUR.SU</v>
      </c>
      <c r="O110" s="421"/>
      <c r="P110" s="421"/>
      <c r="Q110" s="421"/>
      <c r="R110" s="468"/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468" t="str">
        <f ca="1"/>
        <v>SUEDZUCKERAG_MMR.EUR.SU</v>
      </c>
      <c r="O111" s="421"/>
      <c r="P111" s="421"/>
      <c r="Q111" s="421"/>
      <c r="R111" s="468"/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468" t="str">
        <f ca="1"/>
        <v>SUEZLYONNAISE_MMR.EUR.SU</v>
      </c>
      <c r="O112" s="421"/>
      <c r="P112" s="421"/>
      <c r="Q112" s="421"/>
      <c r="R112" s="468"/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468" t="str">
        <f ca="1"/>
        <v>SVENSKACELLULOSAAB_MMR.EUR.SU</v>
      </c>
      <c r="O113" s="421"/>
      <c r="P113" s="421"/>
      <c r="Q113" s="421"/>
      <c r="R113" s="468"/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468" t="str">
        <f ca="1"/>
        <v>SWISSRE_MMR.EUR.SU</v>
      </c>
      <c r="O114" s="421"/>
      <c r="P114" s="421"/>
      <c r="Q114" s="421"/>
      <c r="R114" s="468"/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468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468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468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468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468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468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468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468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468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468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468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468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468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468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468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468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468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468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468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468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468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468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468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468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468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469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469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469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469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469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469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469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469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469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469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469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469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469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469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469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469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469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469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469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469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469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469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469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468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468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468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468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468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468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468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468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468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468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468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468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468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468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468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468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468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468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468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468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468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468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468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468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468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468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468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468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468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468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468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468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468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468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468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468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468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468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468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468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468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468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468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468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468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468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468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468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468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468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468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468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468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468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468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468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468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468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468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468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468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468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468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468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468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468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468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468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468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468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468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468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468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468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468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468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468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468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468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468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468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468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468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468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468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468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468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468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468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468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468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468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468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468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468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468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468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468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468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468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468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468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468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468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468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468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468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468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468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468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468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468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468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468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468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468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468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468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468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468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468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468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468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468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468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468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468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468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468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468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468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468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468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468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468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468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468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468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468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468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468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468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468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468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468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468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468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468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468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468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468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.7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4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9" customWidth="1"/>
    <col min="2" max="2" width="17" style="289" bestFit="1" customWidth="1"/>
    <col min="3" max="3" width="26.5703125" style="289" bestFit="1" customWidth="1"/>
    <col min="4" max="4" width="10.5703125" style="290" customWidth="1"/>
    <col min="5" max="14" width="9.85546875" style="290" customWidth="1"/>
    <col min="15" max="31" width="9.140625" style="79"/>
    <col min="32" max="16384" width="9.14062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2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>
      <c r="B6" s="293" t="s">
        <v>475</v>
      </c>
      <c r="C6" s="294">
        <v>5000</v>
      </c>
      <c r="D6" s="289"/>
      <c r="E6" s="515"/>
      <c r="F6" s="515"/>
      <c r="G6" s="515"/>
      <c r="H6" s="515"/>
      <c r="I6" s="515"/>
      <c r="J6" s="515"/>
      <c r="K6" s="515"/>
      <c r="L6" s="515"/>
      <c r="M6" s="515"/>
      <c r="N6" s="515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2" thickBot="1">
      <c r="B7" s="295" t="s">
        <v>476</v>
      </c>
      <c r="C7" s="296" t="b">
        <v>0</v>
      </c>
      <c r="D7" s="289"/>
      <c r="E7" s="289"/>
      <c r="H7" s="297"/>
      <c r="O7" s="515"/>
      <c r="P7" s="515"/>
      <c r="Q7" s="515"/>
      <c r="R7" s="515"/>
      <c r="S7" s="515"/>
      <c r="T7" s="515"/>
      <c r="U7" s="515"/>
      <c r="V7" s="515"/>
      <c r="W7" s="515"/>
      <c r="X7" s="515"/>
      <c r="Y7" s="289"/>
      <c r="Z7" s="289"/>
      <c r="AA7" s="289"/>
      <c r="AB7" s="289"/>
      <c r="AC7" s="289"/>
      <c r="AD7" s="289"/>
      <c r="AE7" s="289"/>
    </row>
    <row r="8" spans="1:228" ht="12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2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2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2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2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2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2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2" thickBot="1">
      <c r="B19" s="303" t="s">
        <v>480</v>
      </c>
      <c r="C19" s="315"/>
      <c r="D19" s="316"/>
      <c r="E19" s="516" t="s">
        <v>481</v>
      </c>
      <c r="F19" s="516"/>
      <c r="G19" s="516"/>
      <c r="H19" s="516"/>
      <c r="I19" s="516"/>
      <c r="J19" s="516"/>
      <c r="K19" s="516"/>
      <c r="L19" s="516"/>
      <c r="M19" s="516"/>
      <c r="N19" s="517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2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2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2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2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2" thickBot="1">
      <c r="B25" s="291" t="s">
        <v>485</v>
      </c>
      <c r="C25" s="346">
        <v>8.3836702003960026E-2</v>
      </c>
      <c r="D25" s="347"/>
      <c r="E25" s="514" t="s">
        <v>486</v>
      </c>
      <c r="F25" s="514"/>
      <c r="G25" s="514"/>
      <c r="H25" s="514"/>
      <c r="I25" s="514"/>
      <c r="J25" s="514"/>
      <c r="K25" s="514"/>
      <c r="L25" s="514"/>
      <c r="M25" s="514"/>
      <c r="N25" s="513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2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2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2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2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2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2" t="s">
        <v>480</v>
      </c>
      <c r="D37" s="513"/>
      <c r="E37" s="514" t="s">
        <v>489</v>
      </c>
      <c r="F37" s="514"/>
      <c r="G37" s="514"/>
      <c r="H37" s="514"/>
      <c r="I37" s="514"/>
      <c r="J37" s="514"/>
      <c r="K37" s="514"/>
      <c r="L37" s="514"/>
      <c r="M37" s="514"/>
      <c r="N37" s="513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2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2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2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15"/>
      <c r="Q41" s="515"/>
      <c r="R41" s="515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2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2" thickBot="1">
      <c r="C44" s="340"/>
      <c r="D44" s="390"/>
      <c r="E44" s="512" t="s">
        <v>493</v>
      </c>
      <c r="F44" s="514"/>
      <c r="G44" s="514"/>
      <c r="H44" s="514"/>
      <c r="I44" s="514"/>
      <c r="J44" s="514"/>
      <c r="K44" s="514"/>
      <c r="L44" s="514"/>
      <c r="M44" s="514"/>
      <c r="N44" s="513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2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.7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2024-06-02T15:49:22Z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