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128" documentId="13_ncr:1_{29F01FE1-7CA5-4A66-BB25-676376358AF1}" xr6:coauthVersionLast="47" xr6:coauthVersionMax="47" xr10:uidLastSave="{C7A09A61-95DB-4E0A-9BF6-92C45BCF5EAD}"/>
  <bookViews>
    <workbookView xWindow="-110" yWindow="-110" windowWidth="19420" windowHeight="12220" firstSheet="1" activeTab="3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6" l="1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C7" i="11" a="1"/>
  <c r="C7" i="11"/>
  <c r="C17" i="11"/>
  <c r="I8" i="11" a="1"/>
  <c r="I8" i="11"/>
  <c r="V10" i="11"/>
  <c r="P15" i="11" a="1"/>
  <c r="P15" i="11"/>
  <c r="Q13" i="11"/>
  <c r="C18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P314" i="11" a="1"/>
  <c r="P314" i="11"/>
  <c r="U314" i="11"/>
  <c r="V314" i="11"/>
  <c r="V11" i="11"/>
  <c r="W15" i="11"/>
  <c r="X15" i="11"/>
  <c r="Y15" i="11"/>
  <c r="W16" i="11"/>
  <c r="X16" i="11"/>
  <c r="Y16" i="11"/>
  <c r="W17" i="11"/>
  <c r="X17" i="11"/>
  <c r="Y17" i="11"/>
  <c r="W18" i="11"/>
  <c r="X18" i="11"/>
  <c r="Y18" i="11"/>
  <c r="W19" i="11"/>
  <c r="X19" i="11"/>
  <c r="Y19" i="11"/>
  <c r="W20" i="11"/>
  <c r="X20" i="11"/>
  <c r="Y20" i="11"/>
  <c r="W21" i="11"/>
  <c r="X21" i="11"/>
  <c r="Y21" i="11"/>
  <c r="W22" i="11"/>
  <c r="X22" i="11"/>
  <c r="Y22" i="11"/>
  <c r="W23" i="11"/>
  <c r="X23" i="11"/>
  <c r="Y23" i="11"/>
  <c r="W24" i="11"/>
  <c r="X24" i="11"/>
  <c r="Y24" i="11"/>
  <c r="W25" i="11"/>
  <c r="X25" i="11"/>
  <c r="Y25" i="11"/>
  <c r="W26" i="11"/>
  <c r="X26" i="11"/>
  <c r="Y26" i="11"/>
  <c r="W27" i="11"/>
  <c r="X27" i="11"/>
  <c r="Y27" i="11"/>
  <c r="W28" i="11"/>
  <c r="X28" i="11"/>
  <c r="Y28" i="11"/>
  <c r="W29" i="11"/>
  <c r="X29" i="11"/>
  <c r="Y29" i="11"/>
  <c r="W30" i="11"/>
  <c r="X30" i="11"/>
  <c r="Y30" i="11"/>
  <c r="W31" i="11"/>
  <c r="X31" i="11"/>
  <c r="Y31" i="11"/>
  <c r="W32" i="11"/>
  <c r="X32" i="11"/>
  <c r="Y32" i="11"/>
  <c r="W33" i="11"/>
  <c r="X33" i="11"/>
  <c r="Y33" i="11"/>
  <c r="W34" i="11"/>
  <c r="X34" i="11"/>
  <c r="Y34" i="11"/>
  <c r="W35" i="11"/>
  <c r="X35" i="11"/>
  <c r="Y35" i="11"/>
  <c r="W36" i="11"/>
  <c r="X36" i="11"/>
  <c r="Y36" i="11"/>
  <c r="W37" i="11"/>
  <c r="X37" i="11"/>
  <c r="Y37" i="11"/>
  <c r="W38" i="11"/>
  <c r="X38" i="11"/>
  <c r="Y38" i="11"/>
  <c r="W39" i="11"/>
  <c r="X39" i="11"/>
  <c r="Y39" i="11"/>
  <c r="W40" i="11"/>
  <c r="X40" i="11"/>
  <c r="Y40" i="11"/>
  <c r="W41" i="11"/>
  <c r="X41" i="11"/>
  <c r="Y41" i="11"/>
  <c r="W42" i="11"/>
  <c r="X42" i="11"/>
  <c r="Y42" i="11"/>
  <c r="W43" i="11"/>
  <c r="X43" i="11"/>
  <c r="Y43" i="11"/>
  <c r="W44" i="11"/>
  <c r="X44" i="11"/>
  <c r="Y44" i="11"/>
  <c r="W45" i="11"/>
  <c r="X45" i="11"/>
  <c r="Y45" i="11"/>
  <c r="W46" i="11"/>
  <c r="X46" i="11"/>
  <c r="Y46" i="11"/>
  <c r="W47" i="11"/>
  <c r="X47" i="11"/>
  <c r="Y47" i="11"/>
  <c r="W48" i="11"/>
  <c r="X48" i="11"/>
  <c r="Y48" i="11"/>
  <c r="W49" i="11"/>
  <c r="X49" i="11"/>
  <c r="Y49" i="11"/>
  <c r="W50" i="11"/>
  <c r="X50" i="11"/>
  <c r="Y50" i="11"/>
  <c r="W51" i="11"/>
  <c r="X51" i="11"/>
  <c r="Y51" i="11"/>
  <c r="W52" i="11"/>
  <c r="X52" i="11"/>
  <c r="Y52" i="11"/>
  <c r="W53" i="11"/>
  <c r="X53" i="11"/>
  <c r="Y53" i="11"/>
  <c r="W54" i="11"/>
  <c r="X54" i="11"/>
  <c r="Y54" i="11"/>
  <c r="W55" i="11"/>
  <c r="X55" i="11"/>
  <c r="Y55" i="11"/>
  <c r="W56" i="11"/>
  <c r="X56" i="11"/>
  <c r="Y56" i="11"/>
  <c r="W57" i="11"/>
  <c r="X57" i="11"/>
  <c r="Y57" i="11"/>
  <c r="W58" i="11"/>
  <c r="X58" i="11"/>
  <c r="Y58" i="11"/>
  <c r="W59" i="11"/>
  <c r="X59" i="11"/>
  <c r="Y59" i="11"/>
  <c r="W60" i="11"/>
  <c r="X60" i="11"/>
  <c r="Y60" i="11"/>
  <c r="W61" i="11"/>
  <c r="X61" i="11"/>
  <c r="Y61" i="11"/>
  <c r="W62" i="11"/>
  <c r="X62" i="11"/>
  <c r="Y62" i="11"/>
  <c r="W63" i="11"/>
  <c r="X63" i="11"/>
  <c r="Y63" i="11"/>
  <c r="W64" i="11"/>
  <c r="X64" i="11"/>
  <c r="Y64" i="11"/>
  <c r="W65" i="11"/>
  <c r="X65" i="11"/>
  <c r="Y65" i="11"/>
  <c r="W66" i="11"/>
  <c r="X66" i="11"/>
  <c r="Y66" i="11"/>
  <c r="W67" i="11"/>
  <c r="X67" i="11"/>
  <c r="Y67" i="11"/>
  <c r="W68" i="11"/>
  <c r="X68" i="11"/>
  <c r="Y68" i="11"/>
  <c r="W69" i="11"/>
  <c r="X69" i="11"/>
  <c r="Y69" i="11"/>
  <c r="W70" i="11"/>
  <c r="X70" i="11"/>
  <c r="Y70" i="11"/>
  <c r="W71" i="11"/>
  <c r="X71" i="11"/>
  <c r="Y71" i="11"/>
  <c r="W72" i="11"/>
  <c r="X72" i="11"/>
  <c r="Y72" i="11"/>
  <c r="W73" i="11"/>
  <c r="X73" i="11"/>
  <c r="Y73" i="11"/>
  <c r="W74" i="11"/>
  <c r="X74" i="11"/>
  <c r="Y74" i="11"/>
  <c r="W75" i="11"/>
  <c r="X75" i="11"/>
  <c r="Y75" i="11"/>
  <c r="W76" i="11"/>
  <c r="X76" i="11"/>
  <c r="Y76" i="11"/>
  <c r="W77" i="11"/>
  <c r="X77" i="11"/>
  <c r="Y77" i="11"/>
  <c r="W78" i="11"/>
  <c r="X78" i="11"/>
  <c r="Y78" i="11"/>
  <c r="W79" i="11"/>
  <c r="X79" i="11"/>
  <c r="Y79" i="11"/>
  <c r="W80" i="11"/>
  <c r="X80" i="11"/>
  <c r="Y80" i="11"/>
  <c r="W81" i="11"/>
  <c r="X81" i="11"/>
  <c r="Y81" i="11"/>
  <c r="W82" i="11"/>
  <c r="X82" i="11"/>
  <c r="Y82" i="11"/>
  <c r="W83" i="11"/>
  <c r="X83" i="11"/>
  <c r="Y83" i="11"/>
  <c r="W84" i="11"/>
  <c r="X84" i="11"/>
  <c r="Y84" i="11"/>
  <c r="W85" i="11"/>
  <c r="X85" i="11"/>
  <c r="Y85" i="11"/>
  <c r="W86" i="11"/>
  <c r="X86" i="11"/>
  <c r="Y86" i="11"/>
  <c r="W87" i="11"/>
  <c r="X87" i="11"/>
  <c r="Y87" i="11"/>
  <c r="W88" i="11"/>
  <c r="X88" i="11"/>
  <c r="Y88" i="11"/>
  <c r="W89" i="11"/>
  <c r="X89" i="11"/>
  <c r="Y89" i="11"/>
  <c r="W90" i="11"/>
  <c r="X90" i="11"/>
  <c r="Y90" i="11"/>
  <c r="W91" i="11"/>
  <c r="X91" i="11"/>
  <c r="Y91" i="11"/>
  <c r="W92" i="11"/>
  <c r="X92" i="11"/>
  <c r="Y92" i="11"/>
  <c r="W93" i="11"/>
  <c r="X93" i="11"/>
  <c r="Y93" i="11"/>
  <c r="W94" i="11"/>
  <c r="X94" i="11"/>
  <c r="Y94" i="11"/>
  <c r="W95" i="11"/>
  <c r="X95" i="11"/>
  <c r="Y95" i="11"/>
  <c r="W96" i="11"/>
  <c r="X96" i="11"/>
  <c r="Y96" i="11"/>
  <c r="W97" i="11"/>
  <c r="X97" i="11"/>
  <c r="Y97" i="11"/>
  <c r="W98" i="11"/>
  <c r="X98" i="11"/>
  <c r="Y98" i="11"/>
  <c r="W99" i="11"/>
  <c r="X99" i="11"/>
  <c r="Y99" i="11"/>
  <c r="W100" i="11"/>
  <c r="X100" i="11"/>
  <c r="Y100" i="11"/>
  <c r="W101" i="11"/>
  <c r="X101" i="11"/>
  <c r="Y101" i="11"/>
  <c r="W102" i="11"/>
  <c r="X102" i="11"/>
  <c r="Y102" i="11"/>
  <c r="W103" i="11"/>
  <c r="X103" i="11"/>
  <c r="Y103" i="11"/>
  <c r="W104" i="11"/>
  <c r="X104" i="11"/>
  <c r="Y104" i="11"/>
  <c r="W105" i="11"/>
  <c r="X105" i="11"/>
  <c r="Y105" i="11"/>
  <c r="W106" i="11"/>
  <c r="X106" i="11"/>
  <c r="Y106" i="11"/>
  <c r="W107" i="11"/>
  <c r="X107" i="11"/>
  <c r="Y107" i="11"/>
  <c r="W108" i="11"/>
  <c r="X108" i="11"/>
  <c r="Y108" i="11"/>
  <c r="W109" i="11"/>
  <c r="X109" i="11"/>
  <c r="Y109" i="11"/>
  <c r="W110" i="11"/>
  <c r="X110" i="11"/>
  <c r="Y110" i="11"/>
  <c r="W111" i="11"/>
  <c r="X111" i="11"/>
  <c r="Y111" i="11"/>
  <c r="W112" i="11"/>
  <c r="X112" i="11"/>
  <c r="Y112" i="11"/>
  <c r="W113" i="11"/>
  <c r="X113" i="11"/>
  <c r="Y113" i="11"/>
  <c r="W114" i="11"/>
  <c r="X114" i="11"/>
  <c r="Y114" i="11"/>
  <c r="W115" i="11"/>
  <c r="Y115" i="11"/>
  <c r="W116" i="11"/>
  <c r="Y116" i="11"/>
  <c r="W117" i="11"/>
  <c r="Y117" i="11"/>
  <c r="W118" i="11"/>
  <c r="Y118" i="11"/>
  <c r="W119" i="11"/>
  <c r="Y119" i="11"/>
  <c r="W120" i="11"/>
  <c r="Y120" i="11"/>
  <c r="W121" i="11"/>
  <c r="Y121" i="11"/>
  <c r="W122" i="11"/>
  <c r="Y122" i="11"/>
  <c r="W123" i="11"/>
  <c r="Y123" i="11"/>
  <c r="W124" i="11"/>
  <c r="Y124" i="11"/>
  <c r="W125" i="11"/>
  <c r="Y125" i="11"/>
  <c r="W126" i="11"/>
  <c r="Y126" i="11"/>
  <c r="W127" i="11"/>
  <c r="Y127" i="11"/>
  <c r="W128" i="11"/>
  <c r="Y128" i="11"/>
  <c r="W129" i="11"/>
  <c r="Y129" i="11"/>
  <c r="W130" i="11"/>
  <c r="Y130" i="11"/>
  <c r="W131" i="11"/>
  <c r="Y131" i="11"/>
  <c r="W132" i="11"/>
  <c r="Y132" i="11"/>
  <c r="W133" i="11"/>
  <c r="Y133" i="11"/>
  <c r="W134" i="11"/>
  <c r="Y134" i="11"/>
  <c r="W135" i="11"/>
  <c r="Y135" i="11"/>
  <c r="W136" i="11"/>
  <c r="Y136" i="11"/>
  <c r="W137" i="11"/>
  <c r="Y137" i="11"/>
  <c r="W138" i="11"/>
  <c r="Y138" i="11"/>
  <c r="W139" i="11"/>
  <c r="Y139" i="11"/>
  <c r="W140" i="11"/>
  <c r="Y140" i="11"/>
  <c r="W141" i="11"/>
  <c r="Y141" i="11"/>
  <c r="W142" i="11"/>
  <c r="Y142" i="11"/>
  <c r="W143" i="11"/>
  <c r="Y143" i="11"/>
  <c r="W144" i="11"/>
  <c r="Y144" i="11"/>
  <c r="W145" i="11"/>
  <c r="Y145" i="11"/>
  <c r="W146" i="11"/>
  <c r="Y146" i="11"/>
  <c r="W147" i="11"/>
  <c r="Y147" i="11"/>
  <c r="W148" i="11"/>
  <c r="Y148" i="11"/>
  <c r="W149" i="11"/>
  <c r="Y149" i="11"/>
  <c r="W150" i="11"/>
  <c r="Y150" i="11"/>
  <c r="W151" i="11"/>
  <c r="Y151" i="11"/>
  <c r="W152" i="11"/>
  <c r="Y152" i="11"/>
  <c r="W153" i="11"/>
  <c r="Y153" i="11"/>
  <c r="W154" i="11"/>
  <c r="Y154" i="11"/>
  <c r="W155" i="11"/>
  <c r="Y155" i="11"/>
  <c r="W156" i="11"/>
  <c r="Y156" i="11"/>
  <c r="W157" i="11"/>
  <c r="Y157" i="11"/>
  <c r="W158" i="11"/>
  <c r="Y158" i="11"/>
  <c r="W159" i="11"/>
  <c r="Y159" i="11"/>
  <c r="W160" i="11"/>
  <c r="Y160" i="11"/>
  <c r="W161" i="11"/>
  <c r="Y161" i="11"/>
  <c r="W162" i="11"/>
  <c r="Y162" i="11"/>
  <c r="W163" i="11"/>
  <c r="Y163" i="11"/>
  <c r="W164" i="11"/>
  <c r="Y164" i="11"/>
  <c r="W165" i="11"/>
  <c r="Y165" i="11"/>
  <c r="W166" i="11"/>
  <c r="Y166" i="11"/>
  <c r="W167" i="11"/>
  <c r="Y167" i="11"/>
  <c r="W168" i="11"/>
  <c r="Y168" i="11"/>
  <c r="W169" i="11"/>
  <c r="Y169" i="11"/>
  <c r="W170" i="11"/>
  <c r="Y170" i="11"/>
  <c r="W171" i="11"/>
  <c r="Y171" i="11"/>
  <c r="W172" i="11"/>
  <c r="Y172" i="11"/>
  <c r="W173" i="11"/>
  <c r="Y173" i="11"/>
  <c r="W174" i="11"/>
  <c r="Y174" i="11"/>
  <c r="W175" i="11"/>
  <c r="Y175" i="11"/>
  <c r="W176" i="11"/>
  <c r="Y176" i="11"/>
  <c r="W177" i="11"/>
  <c r="Y177" i="11"/>
  <c r="W178" i="11"/>
  <c r="Y178" i="11"/>
  <c r="W179" i="11"/>
  <c r="Y179" i="11"/>
  <c r="W180" i="11"/>
  <c r="Y180" i="11"/>
  <c r="W181" i="11"/>
  <c r="Y181" i="11"/>
  <c r="W182" i="11"/>
  <c r="Y182" i="11"/>
  <c r="W183" i="11"/>
  <c r="Y183" i="11"/>
  <c r="W184" i="11"/>
  <c r="Y184" i="11"/>
  <c r="W185" i="11"/>
  <c r="Y185" i="11"/>
  <c r="W186" i="11"/>
  <c r="Y186" i="11"/>
  <c r="W187" i="11"/>
  <c r="Y187" i="11"/>
  <c r="W188" i="11"/>
  <c r="Y188" i="11"/>
  <c r="W189" i="11"/>
  <c r="Y189" i="11"/>
  <c r="W190" i="11"/>
  <c r="Y190" i="11"/>
  <c r="W191" i="11"/>
  <c r="Y191" i="11"/>
  <c r="W192" i="11"/>
  <c r="Y192" i="11"/>
  <c r="W193" i="11"/>
  <c r="Y193" i="11"/>
  <c r="W194" i="11"/>
  <c r="Y194" i="11"/>
  <c r="W195" i="11"/>
  <c r="Y195" i="11"/>
  <c r="W196" i="11"/>
  <c r="Y196" i="11"/>
  <c r="W197" i="11"/>
  <c r="Y197" i="11"/>
  <c r="W198" i="11"/>
  <c r="Y198" i="11"/>
  <c r="W199" i="11"/>
  <c r="Y199" i="11"/>
  <c r="W200" i="11"/>
  <c r="Y200" i="11"/>
  <c r="W201" i="11"/>
  <c r="Y201" i="11"/>
  <c r="W202" i="11"/>
  <c r="Y202" i="11"/>
  <c r="W203" i="11"/>
  <c r="Y203" i="11"/>
  <c r="W204" i="11"/>
  <c r="Y204" i="11"/>
  <c r="W205" i="11"/>
  <c r="Y205" i="11"/>
  <c r="W206" i="11"/>
  <c r="Y206" i="11"/>
  <c r="W207" i="11"/>
  <c r="Y207" i="11"/>
  <c r="W208" i="11"/>
  <c r="Y208" i="11"/>
  <c r="W209" i="11"/>
  <c r="Y209" i="11"/>
  <c r="W210" i="11"/>
  <c r="Y210" i="11"/>
  <c r="W211" i="11"/>
  <c r="Y211" i="11"/>
  <c r="W212" i="11"/>
  <c r="Y212" i="11"/>
  <c r="W213" i="11"/>
  <c r="Y213" i="11"/>
  <c r="W214" i="11"/>
  <c r="Y214" i="11"/>
  <c r="W215" i="11"/>
  <c r="Y215" i="11"/>
  <c r="W216" i="11"/>
  <c r="Y216" i="11"/>
  <c r="W217" i="11"/>
  <c r="Y217" i="11"/>
  <c r="W218" i="11"/>
  <c r="Y218" i="11"/>
  <c r="W219" i="11"/>
  <c r="Y219" i="11"/>
  <c r="W220" i="11"/>
  <c r="Y220" i="11"/>
  <c r="W221" i="11"/>
  <c r="Y221" i="11"/>
  <c r="W222" i="11"/>
  <c r="Y222" i="11"/>
  <c r="W223" i="11"/>
  <c r="Y223" i="11"/>
  <c r="W224" i="11"/>
  <c r="Y224" i="11"/>
  <c r="W225" i="11"/>
  <c r="Y225" i="11"/>
  <c r="W226" i="11"/>
  <c r="Y226" i="11"/>
  <c r="W227" i="11"/>
  <c r="Y227" i="11"/>
  <c r="W228" i="11"/>
  <c r="Y228" i="11"/>
  <c r="W229" i="11"/>
  <c r="Y229" i="11"/>
  <c r="W230" i="11"/>
  <c r="Y230" i="11"/>
  <c r="W231" i="11"/>
  <c r="Y231" i="11"/>
  <c r="W232" i="11"/>
  <c r="Y232" i="11"/>
  <c r="W233" i="11"/>
  <c r="Y233" i="11"/>
  <c r="W234" i="11"/>
  <c r="Y234" i="11"/>
  <c r="W235" i="11"/>
  <c r="Y235" i="11"/>
  <c r="W236" i="11"/>
  <c r="Y236" i="11"/>
  <c r="W237" i="11"/>
  <c r="Y237" i="11"/>
  <c r="W238" i="11"/>
  <c r="Y238" i="11"/>
  <c r="W239" i="11"/>
  <c r="Y239" i="11"/>
  <c r="W240" i="11"/>
  <c r="Y240" i="11"/>
  <c r="W241" i="11"/>
  <c r="Y241" i="11"/>
  <c r="W242" i="11"/>
  <c r="Y242" i="11"/>
  <c r="W243" i="11"/>
  <c r="Y243" i="11"/>
  <c r="W244" i="11"/>
  <c r="Y244" i="11"/>
  <c r="W245" i="11"/>
  <c r="Y245" i="11"/>
  <c r="W246" i="11"/>
  <c r="Y246" i="11"/>
  <c r="W247" i="11"/>
  <c r="Y247" i="11"/>
  <c r="W248" i="11"/>
  <c r="Y248" i="11"/>
  <c r="W249" i="11"/>
  <c r="Y249" i="11"/>
  <c r="W250" i="11"/>
  <c r="Y250" i="11"/>
  <c r="W251" i="11"/>
  <c r="Y251" i="11"/>
  <c r="W252" i="11"/>
  <c r="Y252" i="11"/>
  <c r="W253" i="11"/>
  <c r="Y253" i="11"/>
  <c r="W254" i="11"/>
  <c r="Y254" i="11"/>
  <c r="W255" i="11"/>
  <c r="Y255" i="11"/>
  <c r="W256" i="11"/>
  <c r="Y256" i="11"/>
  <c r="W257" i="11"/>
  <c r="Y257" i="11"/>
  <c r="W258" i="11"/>
  <c r="Y258" i="11"/>
  <c r="W259" i="11"/>
  <c r="Y259" i="11"/>
  <c r="W260" i="11"/>
  <c r="Y260" i="11"/>
  <c r="W261" i="11"/>
  <c r="Y261" i="11"/>
  <c r="W262" i="11"/>
  <c r="Y262" i="11"/>
  <c r="W263" i="11"/>
  <c r="Y263" i="11"/>
  <c r="W264" i="11"/>
  <c r="Y264" i="11"/>
  <c r="W265" i="11"/>
  <c r="Y265" i="11"/>
  <c r="W266" i="11"/>
  <c r="Y266" i="11"/>
  <c r="W267" i="11"/>
  <c r="Y267" i="11"/>
  <c r="W268" i="11"/>
  <c r="Y268" i="11"/>
  <c r="W269" i="11"/>
  <c r="Y269" i="11"/>
  <c r="W270" i="11"/>
  <c r="Y270" i="11"/>
  <c r="W271" i="11"/>
  <c r="Y271" i="11"/>
  <c r="W272" i="11"/>
  <c r="Y272" i="11"/>
  <c r="W273" i="11"/>
  <c r="Y273" i="11"/>
  <c r="W274" i="11"/>
  <c r="Y274" i="11"/>
  <c r="W275" i="11"/>
  <c r="Y275" i="11"/>
  <c r="W276" i="11"/>
  <c r="Y276" i="11"/>
  <c r="W277" i="11"/>
  <c r="Y277" i="11"/>
  <c r="W278" i="11"/>
  <c r="Y278" i="11"/>
  <c r="W279" i="11"/>
  <c r="Y279" i="11"/>
  <c r="W280" i="11"/>
  <c r="Y280" i="11"/>
  <c r="W281" i="11"/>
  <c r="Y281" i="11"/>
  <c r="W282" i="11"/>
  <c r="Y282" i="11"/>
  <c r="W283" i="11"/>
  <c r="Y283" i="11"/>
  <c r="W284" i="11"/>
  <c r="Y284" i="11"/>
  <c r="W285" i="11"/>
  <c r="Y285" i="11"/>
  <c r="W286" i="11"/>
  <c r="Y286" i="11"/>
  <c r="W287" i="11"/>
  <c r="Y287" i="11"/>
  <c r="W288" i="11"/>
  <c r="Y288" i="11"/>
  <c r="W289" i="11"/>
  <c r="Y289" i="11"/>
  <c r="W290" i="11"/>
  <c r="Y290" i="11"/>
  <c r="W291" i="11"/>
  <c r="Y291" i="11"/>
  <c r="W292" i="11"/>
  <c r="Y292" i="11"/>
  <c r="W293" i="11"/>
  <c r="Y293" i="11"/>
  <c r="W294" i="11"/>
  <c r="Y294" i="11"/>
  <c r="W295" i="11"/>
  <c r="Y295" i="11"/>
  <c r="W296" i="11"/>
  <c r="Y296" i="11"/>
  <c r="W297" i="11"/>
  <c r="Y297" i="11"/>
  <c r="W298" i="11"/>
  <c r="Y298" i="11"/>
  <c r="W299" i="11"/>
  <c r="Y299" i="11"/>
  <c r="W300" i="11"/>
  <c r="Y300" i="11"/>
  <c r="W301" i="11"/>
  <c r="Y301" i="11"/>
  <c r="W302" i="11"/>
  <c r="Y302" i="11"/>
  <c r="W303" i="11"/>
  <c r="Y303" i="11"/>
  <c r="W304" i="11"/>
  <c r="Y304" i="11"/>
  <c r="W305" i="11"/>
  <c r="Y305" i="11"/>
  <c r="W306" i="11"/>
  <c r="Y306" i="11"/>
  <c r="W307" i="11"/>
  <c r="Y307" i="11"/>
  <c r="W308" i="11"/>
  <c r="Y308" i="11"/>
  <c r="W309" i="11"/>
  <c r="Y309" i="11"/>
  <c r="W310" i="11"/>
  <c r="Y310" i="11"/>
  <c r="W311" i="11"/>
  <c r="Y311" i="11"/>
  <c r="W312" i="11"/>
  <c r="Y312" i="11"/>
  <c r="W313" i="11"/>
  <c r="Y313" i="11"/>
  <c r="Y11" i="11"/>
  <c r="V12" i="11"/>
  <c r="Y12" i="11"/>
  <c r="V13" i="11"/>
  <c r="Y13" i="11"/>
  <c r="Z15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O314" i="11"/>
  <c r="F15" i="8" a="1"/>
  <c r="F15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F11" i="8"/>
  <c r="C9" i="8"/>
  <c r="F10" i="8"/>
  <c r="I7" i="7" a="1"/>
  <c r="I7" i="7"/>
  <c r="E7" i="3" l="1"/>
  <c r="C7" i="4" l="1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M25" i="2" l="1" a="1"/>
  <c r="J7" i="2" a="1"/>
  <c r="G9" i="2" a="1"/>
  <c r="M24" i="2" a="1"/>
  <c r="G7" i="2" a="1"/>
  <c r="P22" i="2" a="1"/>
  <c r="M22" i="2" a="1"/>
  <c r="M27" i="2" a="1"/>
  <c r="M26" i="2" a="1"/>
  <c r="M26" i="2" l="1"/>
  <c r="M27" i="2"/>
  <c r="M22" i="2"/>
  <c r="P22" i="2"/>
  <c r="G7" i="2"/>
  <c r="M24" i="2"/>
  <c r="G9" i="2"/>
  <c r="J7" i="2"/>
  <c r="M25" i="2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<sst xmlns="http://schemas.openxmlformats.org/spreadsheetml/2006/main" count="2153" uniqueCount="508">
  <si>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</si>
  <si>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</si>
  <si>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</si>
  <si>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</si>
  <si>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</si>
  <si>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</si>
  <si>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</si>
  <si>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</si>
  <si>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</si>
  <si>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</si>
  <si>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</si>
  <si>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</si>
  <si>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</si>
  <si>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</si>
  <si>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</si>
  <si>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</si>
  <si>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</si>
  <si>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</si>
  <si>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</si>
  <si>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</si>
  <si>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</si>
  <si>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</si>
  <si>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</si>
  <si>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</si>
  <si>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</si>
  <si>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</si>
  <si>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</si>
  <si>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</si>
  <si>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</si>
  <si>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</si>
  <si>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</si>
  <si>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</si>
  <si>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</si>
  <si>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</si>
  <si>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</si>
  <si>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</si>
  <si>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</si>
  <si>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</si>
  <si>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</si>
  <si>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</si>
  <si>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</si>
  <si>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</si>
  <si>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</si>
  <si>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</si>
  <si>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</si>
  <si>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</si>
  <si>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</si>
  <si>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</si>
  <si>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</si>
  <si>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</si>
  <si>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</si>
  <si>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</si>
  <si>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</si>
  <si>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</si>
  <si>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</si>
  <si>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</si>
  <si>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</si>
  <si>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</si>
  <si>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</si>
  <si>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</si>
  <si>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</si>
  <si>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</si>
  <si>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</si>
  <si>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</si>
  <si>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</si>
  <si>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</si>
  <si>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</si>
  <si>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</si>
  <si>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</si>
  <si>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</si>
  <si>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</si>
  <si>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</si>
  <si>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</si>
  <si>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</si>
  <si>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</si>
  <si>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</si>
  <si>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</si>
  <si>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</si>
  <si>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</si>
  <si>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</si>
  <si>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</si>
  <si>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</si>
  <si>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</si>
  <si>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</si>
  <si>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</si>
  <si>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</si>
  <si>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</si>
  <si>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</si>
  <si>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</si>
  <si>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</si>
  <si>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</si>
  <si>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</si>
  <si>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</si>
  <si>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</si>
  <si>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</si>
  <si>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</si>
  <si>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</si>
  <si>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</si>
  <si>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</si>
  <si>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</si>
  <si>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</si>
  <si>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</si>
  <si>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</si>
  <si>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</si>
  <si>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</si>
  <si>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</si>
  <si>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</si>
  <si>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</si>
  <si>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</si>
  <si>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</si>
  <si>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</si>
  <si>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</si>
  <si>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</si>
  <si>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</si>
  <si>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</si>
  <si>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</si>
  <si>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</si>
  <si>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</si>
  <si>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</si>
  <si>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</si>
  <si>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</si>
  <si>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</si>
  <si>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</si>
  <si>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</si>
  <si>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</si>
  <si>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</si>
  <si>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</si>
  <si>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</si>
  <si>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</si>
  <si>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</si>
  <si>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</si>
  <si>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</si>
  <si>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</si>
  <si>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</si>
  <si>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</si>
  <si>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</si>
  <si>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</si>
  <si>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</si>
  <si>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</si>
  <si>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</si>
  <si>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</si>
  <si>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</si>
  <si>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</si>
  <si>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</si>
  <si>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</si>
  <si>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</si>
  <si>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</si>
  <si>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</si>
  <si>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</si>
  <si>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</si>
  <si>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</si>
  <si>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</si>
  <si>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</si>
  <si>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</si>
  <si>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</si>
  <si>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</si>
  <si>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</si>
  <si>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</si>
  <si>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</si>
  <si>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</si>
  <si>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</si>
  <si>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</si>
  <si>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</si>
  <si>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</si>
  <si>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</si>
  <si>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</si>
  <si>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</si>
  <si>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</si>
  <si>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</si>
  <si>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</si>
  <si>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</si>
  <si>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</si>
  <si>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</si>
  <si>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</si>
  <si>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</si>
  <si>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</si>
  <si>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</si>
  <si>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</si>
  <si>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</si>
  <si>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</si>
  <si>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</si>
  <si>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</si>
  <si>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</si>
  <si>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</si>
  <si>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</si>
  <si>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</si>
  <si>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</si>
  <si>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</si>
  <si>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</si>
  <si>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</si>
  <si>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</si>
  <si>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</si>
  <si>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</si>
  <si>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</si>
  <si>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</si>
  <si>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</si>
  <si>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</si>
  <si>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</si>
  <si>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</si>
  <si>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</si>
  <si>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</si>
  <si>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</si>
  <si>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</si>
  <si>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</si>
  <si>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</si>
  <si>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</si>
  <si>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</si>
  <si>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</si>
  <si>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</si>
  <si>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</si>
  <si>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</si>
  <si>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</si>
  <si>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</si>
  <si>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</si>
  <si>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</si>
  <si>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</si>
  <si>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</si>
  <si>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</si>
  <si>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</si>
  <si>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</si>
  <si>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</si>
  <si>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</si>
  <si>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</si>
  <si>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</si>
  <si>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</si>
  <si>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</si>
  <si>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</si>
  <si>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</si>
  <si>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</si>
  <si>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</si>
  <si>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</si>
  <si>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</si>
  <si>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</si>
  <si>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</si>
  <si>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</si>
  <si>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</si>
  <si>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</si>
  <si>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</si>
  <si>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</si>
  <si>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</si>
  <si>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</si>
  <si>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</si>
  <si>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</si>
  <si>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</si>
  <si>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</si>
  <si>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</si>
  <si>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</si>
  <si>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</si>
  <si>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</si>
  <si>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</si>
  <si>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</si>
  <si>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</si>
  <si>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</si>
  <si>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</si>
  <si>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</si>
  <si>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</si>
  <si>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</si>
  <si>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</si>
  <si>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</si>
  <si>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</si>
  <si>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</si>
  <si>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</si>
  <si>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</si>
  <si>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</si>
  <si>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</si>
  <si>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</si>
  <si>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</si>
  <si>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</si>
  <si>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</si>
  <si>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</si>
  <si>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</si>
  <si>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</si>
  <si>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</si>
  <si>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</si>
  <si>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</si>
  <si>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</si>
  <si>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</si>
  <si>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</si>
  <si>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</si>
  <si>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</si>
  <si>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</si>
  <si>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</si>
  <si>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</si>
  <si>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</si>
  <si>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</si>
  <si>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</si>
  <si>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</si>
  <si>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</si>
  <si>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</si>
  <si>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</si>
  <si>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</si>
  <si>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</si>
  <si>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</si>
  <si>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</si>
  <si>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</si>
  <si>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</si>
  <si>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</si>
  <si>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</si>
  <si>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</si>
  <si>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</si>
  <si>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</si>
  <si>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</si>
  <si>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</si>
  <si>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</si>
  <si>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</si>
  <si>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</si>
  <si>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</si>
  <si>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</si>
  <si>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</si>
  <si>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</si>
  <si>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</si>
  <si>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</si>
  <si>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</si>
  <si>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</si>
  <si>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</si>
  <si>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</si>
  <si>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</si>
  <si>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</si>
  <si>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</si>
  <si>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</si>
  <si>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</si>
  <si>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</si>
  <si>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</si>
  <si>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</si>
  <si>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</si>
  <si>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</si>
  <si>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</si>
  <si>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</si>
  <si>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</si>
  <si>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</si>
  <si>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</si>
  <si>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</si>
  <si>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</si>
  <si>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</si>
  <si>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</si>
  <si>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</si>
  <si>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</si>
  <si>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</si>
  <si>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</si>
  <si>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</si>
  <si>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</si>
  <si>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</si>
  <si>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</si>
  <si>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</si>
  <si>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</si>
  <si>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</si>
  <si>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</si>
  <si>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</si>
  <si>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</si>
  <si>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</si>
  <si>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</si>
  <si>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</si>
  <si>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</si>
  <si>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</si>
  <si>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</si>
  <si>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</si>
  <si>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</si>
  <si>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</si>
  <si>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</si>
  <si>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</si>
  <si>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</si>
  <si>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</si>
  <si>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</si>
  <si>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</si>
  <si>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</si>
  <si>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</si>
  <si>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</si>
  <si>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</si>
  <si>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</si>
  <si>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</si>
  <si>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</si>
  <si>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</si>
  <si>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</si>
  <si>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</si>
  <si>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</si>
  <si>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</si>
  <si>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</si>
  <si>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</si>
  <si>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</si>
  <si>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</si>
  <si>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</si>
  <si>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</si>
  <si>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</si>
  <si>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</si>
  <si>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</si>
  <si>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</si>
  <si>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</si>
  <si>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</si>
  <si>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</si>
  <si>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</si>
  <si>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</si>
  <si>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</si>
  <si>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</si>
  <si>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</si>
  <si>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</si>
  <si>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</si>
  <si>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</si>
  <si>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</si>
  <si>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</si>
  <si>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</si>
  <si>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</si>
  <si>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</si>
  <si>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</si>
  <si>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</si>
  <si>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</si>
  <si>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</si>
  <si>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</si>
  <si>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</si>
  <si>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</si>
  <si>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</si>
  <si>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</si>
  <si>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</si>
  <si>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</si>
  <si>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</si>
  <si>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</si>
  <si>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</si>
  <si>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</si>
  <si>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</si>
  <si>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</si>
  <si>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</si>
  <si>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</si>
  <si>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</si>
  <si>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</si>
  <si>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</si>
  <si>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</si>
  <si>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</si>
  <si>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</si>
  <si>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</si>
  <si>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</si>
  <si>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</si>
  <si>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</si>
  <si>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</si>
  <si>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</si>
  <si>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</si>
  <si>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</si>
  <si>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</si>
  <si>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</si>
  <si>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</si>
  <si>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</si>
  <si>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</si>
  <si>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</si>
  <si>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</si>
  <si>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</si>
  <si>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</si>
  <si>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</si>
  <si>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</si>
  <si>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</si>
  <si>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</si>
  <si>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</si>
  <si>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</si>
  <si>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</si>
  <si>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</si>
  <si>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</si>
  <si>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</si>
  <si>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</si>
  <si>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</si>
  <si>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</si>
  <si>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</si>
  <si>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</si>
  <si>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</si>
  <si>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</si>
  <si>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</si>
  <si>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</si>
  <si>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</si>
  <si>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</si>
  <si>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</si>
  <si>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</si>
  <si>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</si>
  <si>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</si>
  <si>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</si>
  <si>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</si>
  <si>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</si>
  <si>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</si>
  <si>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</si>
  <si>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</si>
  <si>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</si>
  <si>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</si>
  <si>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</si>
  <si>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</si>
  <si>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</si>
  <si>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</si>
  <si>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</si>
  <si>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</si>
  <si>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</si>
  <si>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</si>
  <si>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</si>
  <si>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</si>
  <si>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</si>
  <si>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</si>
  <si>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</si>
  <si>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</si>
  <si>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</si>
  <si>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</si>
  <si>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</si>
  <si>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</si>
  <si>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</si>
  <si>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</si>
  <si>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</si>
  <si>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</si>
  <si>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</si>
  <si>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</si>
  <si>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</si>
  <si>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from Index</t>
  </si>
  <si>
    <t>Delta PV</t>
  </si>
  <si>
    <t>Delta Single Name</t>
  </si>
  <si>
    <t>Spread Deltta</t>
  </si>
  <si>
    <t>Spread Mult.</t>
  </si>
  <si>
    <t>Delta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</si>
</sst>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5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0" fillId="0" borderId="0" xfId="0" applyNumberFormat="1"/>
  </cellXfs>
  <cellStyles count="7">
    <cellStyle name="Lien hypertexte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4"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2.2319585960524635E-3</c:v>
                </c:pt>
                <c:pt idx="1">
                  <c:v>2.2319585960516638E-3</c:v>
                </c:pt>
                <c:pt idx="2">
                  <c:v>2.23195859605297E-3</c:v>
                </c:pt>
                <c:pt idx="3">
                  <c:v>2.2319585960533838E-3</c:v>
                </c:pt>
                <c:pt idx="4">
                  <c:v>2.2319585960516638E-3</c:v>
                </c:pt>
                <c:pt idx="5">
                  <c:v>2.2319585960520324E-3</c:v>
                </c:pt>
                <c:pt idx="6">
                  <c:v>4.73167589247945E-3</c:v>
                </c:pt>
                <c:pt idx="7">
                  <c:v>4.73167589247945E-3</c:v>
                </c:pt>
                <c:pt idx="8">
                  <c:v>4.7316758924795324E-3</c:v>
                </c:pt>
                <c:pt idx="9">
                  <c:v>4.7316758924781429E-3</c:v>
                </c:pt>
                <c:pt idx="10">
                  <c:v>4.7316758924806565E-3</c:v>
                </c:pt>
                <c:pt idx="11">
                  <c:v>4.7316758924781429E-3</c:v>
                </c:pt>
                <c:pt idx="12">
                  <c:v>5.5212840404597532E-3</c:v>
                </c:pt>
                <c:pt idx="13">
                  <c:v>5.5212840404622113E-3</c:v>
                </c:pt>
                <c:pt idx="14">
                  <c:v>5.5212840404595953E-3</c:v>
                </c:pt>
                <c:pt idx="15">
                  <c:v>5.5212840404597384E-3</c:v>
                </c:pt>
                <c:pt idx="16">
                  <c:v>5.5212840404609033E-3</c:v>
                </c:pt>
                <c:pt idx="17">
                  <c:v>5.5212840404611045E-3</c:v>
                </c:pt>
                <c:pt idx="18">
                  <c:v>5.5212840404608885E-3</c:v>
                </c:pt>
                <c:pt idx="19">
                  <c:v>5.5212840404595953E-3</c:v>
                </c:pt>
                <c:pt idx="20">
                  <c:v>5.5212840404594678E-3</c:v>
                </c:pt>
                <c:pt idx="21">
                  <c:v>5.5212840404609033E-3</c:v>
                </c:pt>
                <c:pt idx="22">
                  <c:v>5.5212840404611045E-3</c:v>
                </c:pt>
                <c:pt idx="23">
                  <c:v>5.5212840404595953E-3</c:v>
                </c:pt>
                <c:pt idx="24">
                  <c:v>7.4265147716911176E-3</c:v>
                </c:pt>
                <c:pt idx="25">
                  <c:v>7.426514771692168E-3</c:v>
                </c:pt>
                <c:pt idx="26">
                  <c:v>7.4265147716908592E-3</c:v>
                </c:pt>
                <c:pt idx="27">
                  <c:v>7.4265147716911575E-3</c:v>
                </c:pt>
                <c:pt idx="28">
                  <c:v>7.426514771692168E-3</c:v>
                </c:pt>
                <c:pt idx="29">
                  <c:v>7.4265147716911575E-3</c:v>
                </c:pt>
                <c:pt idx="30">
                  <c:v>7.4265147716908592E-3</c:v>
                </c:pt>
                <c:pt idx="31">
                  <c:v>7.426514771692168E-3</c:v>
                </c:pt>
                <c:pt idx="32">
                  <c:v>7.4265147716913952E-3</c:v>
                </c:pt>
                <c:pt idx="33">
                  <c:v>7.4265147716908592E-3</c:v>
                </c:pt>
                <c:pt idx="34">
                  <c:v>7.426514771692508E-3</c:v>
                </c:pt>
                <c:pt idx="35">
                  <c:v>7.4265147716908592E-3</c:v>
                </c:pt>
                <c:pt idx="36">
                  <c:v>9.1938572467715265E-3</c:v>
                </c:pt>
                <c:pt idx="37">
                  <c:v>9.1938572467706314E-3</c:v>
                </c:pt>
                <c:pt idx="38">
                  <c:v>9.1938572467706314E-3</c:v>
                </c:pt>
                <c:pt idx="39">
                  <c:v>9.1938572467715769E-3</c:v>
                </c:pt>
                <c:pt idx="40">
                  <c:v>9.1938572467719411E-3</c:v>
                </c:pt>
                <c:pt idx="41">
                  <c:v>9.1938572467702238E-3</c:v>
                </c:pt>
                <c:pt idx="42">
                  <c:v>9.1938572467719411E-3</c:v>
                </c:pt>
                <c:pt idx="43">
                  <c:v>9.1938572467719411E-3</c:v>
                </c:pt>
                <c:pt idx="44">
                  <c:v>9.1938572467707112E-3</c:v>
                </c:pt>
                <c:pt idx="45">
                  <c:v>9.1938572467719411E-3</c:v>
                </c:pt>
                <c:pt idx="46">
                  <c:v>9.1938572467701752E-3</c:v>
                </c:pt>
                <c:pt idx="47">
                  <c:v>9.1938572467732977E-3</c:v>
                </c:pt>
                <c:pt idx="48">
                  <c:v>9.1938572467701752E-3</c:v>
                </c:pt>
                <c:pt idx="49">
                  <c:v>9.19385724677068E-3</c:v>
                </c:pt>
                <c:pt idx="50">
                  <c:v>9.1938572467718926E-3</c:v>
                </c:pt>
                <c:pt idx="51">
                  <c:v>9.1938572467716254E-3</c:v>
                </c:pt>
                <c:pt idx="52">
                  <c:v>9.1938572467705846E-3</c:v>
                </c:pt>
                <c:pt idx="53">
                  <c:v>9.1938572467715265E-3</c:v>
                </c:pt>
                <c:pt idx="54">
                  <c:v>9.19385724677068E-3</c:v>
                </c:pt>
                <c:pt idx="55">
                  <c:v>9.1938572467705846E-3</c:v>
                </c:pt>
                <c:pt idx="56">
                  <c:v>9.1938572467707216E-3</c:v>
                </c:pt>
                <c:pt idx="57">
                  <c:v>9.1938572467718926E-3</c:v>
                </c:pt>
                <c:pt idx="58">
                  <c:v>9.1938572467715265E-3</c:v>
                </c:pt>
                <c:pt idx="59">
                  <c:v>9.19385724677068E-3</c:v>
                </c:pt>
                <c:pt idx="60">
                  <c:v>9.4507082520838351E-3</c:v>
                </c:pt>
                <c:pt idx="61">
                  <c:v>9.450708252083757E-3</c:v>
                </c:pt>
                <c:pt idx="62">
                  <c:v>9.4507082520836581E-3</c:v>
                </c:pt>
                <c:pt idx="63">
                  <c:v>9.4507082520852888E-3</c:v>
                </c:pt>
                <c:pt idx="64">
                  <c:v>9.4507082520836581E-3</c:v>
                </c:pt>
                <c:pt idx="65">
                  <c:v>9.4507082520838351E-3</c:v>
                </c:pt>
                <c:pt idx="66">
                  <c:v>9.450708252085065E-3</c:v>
                </c:pt>
                <c:pt idx="67">
                  <c:v>9.4507082520849661E-3</c:v>
                </c:pt>
                <c:pt idx="68">
                  <c:v>9.4507082520838195E-3</c:v>
                </c:pt>
                <c:pt idx="69">
                  <c:v>9.4507082520849661E-3</c:v>
                </c:pt>
                <c:pt idx="70">
                  <c:v>9.4507082520838351E-3</c:v>
                </c:pt>
                <c:pt idx="71">
                  <c:v>9.450708252083757E-3</c:v>
                </c:pt>
                <c:pt idx="72">
                  <c:v>9.4507082520838351E-3</c:v>
                </c:pt>
                <c:pt idx="73">
                  <c:v>9.450708252085065E-3</c:v>
                </c:pt>
                <c:pt idx="74">
                  <c:v>9.4507082520823502E-3</c:v>
                </c:pt>
                <c:pt idx="75">
                  <c:v>9.4507082520839357E-3</c:v>
                </c:pt>
                <c:pt idx="76">
                  <c:v>9.4507082520836581E-3</c:v>
                </c:pt>
                <c:pt idx="77">
                  <c:v>9.4507082520838351E-3</c:v>
                </c:pt>
                <c:pt idx="78">
                  <c:v>9.450708252085065E-3</c:v>
                </c:pt>
                <c:pt idx="79">
                  <c:v>9.4507082520836581E-3</c:v>
                </c:pt>
                <c:pt idx="80">
                  <c:v>9.450708252082371E-3</c:v>
                </c:pt>
                <c:pt idx="81">
                  <c:v>9.4507082520836581E-3</c:v>
                </c:pt>
                <c:pt idx="82">
                  <c:v>9.4507082520851864E-3</c:v>
                </c:pt>
                <c:pt idx="83">
                  <c:v>9.450708252082449E-3</c:v>
                </c:pt>
                <c:pt idx="84">
                  <c:v>1.0158293403183022E-2</c:v>
                </c:pt>
                <c:pt idx="85">
                  <c:v>1.0158293403183727E-2</c:v>
                </c:pt>
                <c:pt idx="86">
                  <c:v>1.0158293403183621E-2</c:v>
                </c:pt>
                <c:pt idx="87">
                  <c:v>1.0158293403183132E-2</c:v>
                </c:pt>
                <c:pt idx="88">
                  <c:v>1.0158293403182313E-2</c:v>
                </c:pt>
                <c:pt idx="89">
                  <c:v>1.0158293403184375E-2</c:v>
                </c:pt>
                <c:pt idx="90">
                  <c:v>1.0158293403183727E-2</c:v>
                </c:pt>
                <c:pt idx="91">
                  <c:v>1.0158293403182313E-2</c:v>
                </c:pt>
                <c:pt idx="92">
                  <c:v>1.0158293403184061E-2</c:v>
                </c:pt>
                <c:pt idx="93">
                  <c:v>1.0158293403183621E-2</c:v>
                </c:pt>
                <c:pt idx="94">
                  <c:v>1.0158293403183132E-2</c:v>
                </c:pt>
                <c:pt idx="95">
                  <c:v>1.0158293403183621E-2</c:v>
                </c:pt>
                <c:pt idx="96">
                  <c:v>1.0158293403183132E-2</c:v>
                </c:pt>
                <c:pt idx="97">
                  <c:v>1.0158293403183621E-2</c:v>
                </c:pt>
                <c:pt idx="98">
                  <c:v>1.0158293403183621E-2</c:v>
                </c:pt>
                <c:pt idx="99">
                  <c:v>1.0158293403183132E-2</c:v>
                </c:pt>
                <c:pt idx="100">
                  <c:v>1.0158293403182313E-2</c:v>
                </c:pt>
                <c:pt idx="101">
                  <c:v>1.0158293403183132E-2</c:v>
                </c:pt>
                <c:pt idx="102">
                  <c:v>1.0158293403183621E-2</c:v>
                </c:pt>
                <c:pt idx="103">
                  <c:v>1.0158293403183621E-2</c:v>
                </c:pt>
                <c:pt idx="104">
                  <c:v>1.0158293403183792E-2</c:v>
                </c:pt>
                <c:pt idx="105">
                  <c:v>1.0158293403183621E-2</c:v>
                </c:pt>
                <c:pt idx="106">
                  <c:v>1.015829340318178E-2</c:v>
                </c:pt>
                <c:pt idx="107">
                  <c:v>1.0158293403183621E-2</c:v>
                </c:pt>
                <c:pt idx="108">
                  <c:v>1.0158293403183132E-2</c:v>
                </c:pt>
                <c:pt idx="109">
                  <c:v>1.0158293403183621E-2</c:v>
                </c:pt>
                <c:pt idx="110">
                  <c:v>1.0158293403183621E-2</c:v>
                </c:pt>
                <c:pt idx="111">
                  <c:v>1.0158293403184485E-2</c:v>
                </c:pt>
                <c:pt idx="112">
                  <c:v>1.0158293403182313E-2</c:v>
                </c:pt>
                <c:pt idx="113">
                  <c:v>1.0158293403183132E-2</c:v>
                </c:pt>
                <c:pt idx="114">
                  <c:v>1.0158293403183621E-2</c:v>
                </c:pt>
                <c:pt idx="115">
                  <c:v>1.0158293403183621E-2</c:v>
                </c:pt>
                <c:pt idx="116">
                  <c:v>1.0158293403183792E-2</c:v>
                </c:pt>
                <c:pt idx="117">
                  <c:v>1.0158293403183621E-2</c:v>
                </c:pt>
                <c:pt idx="118">
                  <c:v>1.0158293403183132E-2</c:v>
                </c:pt>
                <c:pt idx="119">
                  <c:v>1.0158293403183621E-2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787400</xdr:colOff>
          <xdr:row>3</xdr:row>
          <xdr:rowOff>19050</xdr:rowOff>
        </xdr:from>
        <xdr:to>
          <xdr:col>5</xdr:col>
          <xdr:colOff>31750</xdr:colOff>
          <xdr:row>5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158750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6350</xdr:colOff>
          <xdr:row>13</xdr:row>
          <xdr:rowOff>101600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158750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50800</xdr:rowOff>
        </xdr:from>
        <xdr:to>
          <xdr:col>9</xdr:col>
          <xdr:colOff>0</xdr:colOff>
          <xdr:row>6</xdr:row>
          <xdr:rowOff>120650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23" sqref="E23"/>
    </sheetView>
  </sheetViews>
  <sheetFormatPr baseColWidth="10" defaultColWidth="11.453125" defaultRowHeight="14.5"/>
  <cols>
    <col min="2" max="2" width="15.54296875" bestFit="1" customWidth="1"/>
    <col min="3" max="3" width="4.453125" customWidth="1"/>
    <col min="4" max="4" width="14.1796875" bestFit="1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" thickBot="1">
      <c r="B11" s="144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baseColWidth="10"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72" t="s">
        <v>21</v>
      </c>
      <c r="D5" s="473"/>
      <c r="F5" s="470" t="s">
        <v>23</v>
      </c>
      <c r="G5" s="471"/>
      <c r="I5" s="470" t="s">
        <v>22</v>
      </c>
      <c r="J5" s="471"/>
      <c r="R5" s="472" t="s">
        <v>39</v>
      </c>
      <c r="S5" s="473"/>
      <c r="U5" s="470" t="s">
        <v>40</v>
      </c>
      <c r="V5" s="471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72" t="s">
        <v>21</v>
      </c>
      <c r="C20" s="474"/>
      <c r="D20" s="474"/>
      <c r="E20" s="474"/>
      <c r="F20" s="474"/>
      <c r="G20" s="474"/>
      <c r="H20" s="474"/>
      <c r="I20" s="474"/>
      <c r="J20" s="473"/>
      <c r="L20" s="472" t="s">
        <v>23</v>
      </c>
      <c r="M20" s="473"/>
      <c r="O20" s="472" t="s">
        <v>22</v>
      </c>
      <c r="P20" s="473"/>
      <c r="R20" s="475" t="s">
        <v>39</v>
      </c>
      <c r="S20" s="476"/>
      <c r="T20" s="476"/>
      <c r="U20" s="476"/>
      <c r="V20" s="476"/>
      <c r="W20" s="476"/>
      <c r="X20" s="477"/>
      <c r="Z20" s="470" t="s">
        <v>40</v>
      </c>
      <c r="AA20" s="471"/>
    </row>
    <row r="21" spans="2:27" ht="1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baseColWidth="10" defaultColWidth="11.453125" defaultRowHeight="14.5"/>
  <cols>
    <col min="2" max="2" width="11.81640625" bestFit="1" customWidth="1"/>
    <col min="6" max="7" width="20.453125" bestFit="1" customWidth="1"/>
    <col min="17" max="17" width="35.17968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45418</v>
      </c>
      <c r="D7" s="110"/>
      <c r="E7" s="111"/>
      <c r="F7" s="481" t="s">
        <v>48</v>
      </c>
      <c r="G7" s="482"/>
      <c r="H7" s="482"/>
      <c r="I7" s="482"/>
      <c r="J7" s="482"/>
      <c r="K7" s="482"/>
      <c r="L7" s="482"/>
      <c r="M7" s="482"/>
      <c r="N7" s="482"/>
      <c r="O7" s="482"/>
      <c r="P7" s="482"/>
      <c r="Q7" s="483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78" t="s">
        <v>68</v>
      </c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80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787400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abSelected="1" zoomScale="107" workbookViewId="0">
      <selection activeCell="F12" sqref="F12"/>
    </sheetView>
  </sheetViews>
  <sheetFormatPr baseColWidth="10" defaultColWidth="11.453125" defaultRowHeight="14.5"/>
  <cols>
    <col min="2" max="2" width="30.453125" bestFit="1" customWidth="1"/>
    <col min="14" max="16" width="15.1796875" bestFit="1" customWidth="1"/>
    <col min="17" max="17" width="13.81640625" customWidth="1"/>
    <col min="18" max="31" width="15.17968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81" t="s">
        <v>72</v>
      </c>
      <c r="H2" s="482"/>
      <c r="I2" s="482"/>
      <c r="J2" s="146" t="b">
        <v>1</v>
      </c>
    </row>
    <row r="3" spans="1:50" ht="15" thickBot="1">
      <c r="J3" s="99"/>
    </row>
    <row r="4" spans="1:50" ht="15" thickBot="1">
      <c r="G4" s="481" t="s">
        <v>73</v>
      </c>
      <c r="H4" s="482"/>
      <c r="I4" s="483"/>
      <c r="J4" s="141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7" t="s">
        <v>70</v>
      </c>
      <c r="C6" s="487" t="b">
        <v>1</v>
      </c>
      <c r="D6" s="488"/>
      <c r="E6" s="85"/>
      <c r="F6" s="85"/>
      <c r="G6" s="481" t="s">
        <v>74</v>
      </c>
      <c r="H6" s="482"/>
      <c r="I6" s="483"/>
      <c r="J6" s="141" t="s">
        <v>422</v>
      </c>
      <c r="K6" s="85"/>
      <c r="L6" s="93"/>
      <c r="M6" s="85"/>
      <c r="N6" s="296"/>
      <c r="O6" s="296"/>
      <c r="P6" s="296"/>
      <c r="Q6" s="296"/>
      <c r="R6" s="296"/>
      <c r="S6" s="296"/>
      <c r="T6" s="296"/>
      <c r="U6" s="296"/>
      <c r="V6" s="296"/>
      <c r="W6" s="296"/>
      <c r="X6" s="296"/>
    </row>
    <row r="7" spans="1:50" s="79" customFormat="1" ht="13.5" customHeight="1" thickBot="1">
      <c r="B7" s="148" t="s">
        <v>71</v>
      </c>
      <c r="C7" s="489">
        <f ca="1">GetCDSRefDate(Parameter_Date,C6)</f>
        <v>45463</v>
      </c>
      <c r="D7" s="490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81" t="s">
        <v>76</v>
      </c>
      <c r="F9" s="482"/>
      <c r="G9" s="482"/>
      <c r="H9" s="482"/>
      <c r="I9" s="482"/>
      <c r="J9" s="482"/>
      <c r="K9" s="482"/>
      <c r="L9" s="482"/>
      <c r="M9" s="483"/>
      <c r="N9" s="484" t="s">
        <v>77</v>
      </c>
      <c r="O9" s="485"/>
      <c r="P9" s="485"/>
      <c r="Q9" s="485"/>
      <c r="R9" s="485"/>
      <c r="S9" s="485"/>
      <c r="T9" s="485"/>
      <c r="U9" s="485"/>
      <c r="V9" s="486"/>
      <c r="W9" s="484" t="s">
        <v>78</v>
      </c>
      <c r="X9" s="485"/>
      <c r="Y9" s="485"/>
      <c r="Z9" s="485"/>
      <c r="AA9" s="485"/>
      <c r="AB9" s="485"/>
      <c r="AC9" s="485"/>
      <c r="AD9" s="485"/>
      <c r="AE9" s="486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2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9.5140361915533322E-3</v>
      </c>
      <c r="AA12" s="134">
        <f ca="1"/>
        <v>1.7008117741425965E-2</v>
      </c>
      <c r="AB12" s="134">
        <f ca="1"/>
        <v>0</v>
      </c>
      <c r="AC12" s="134">
        <f ca="1"/>
        <v>3.526623121642869E-2</v>
      </c>
      <c r="AD12" s="134">
        <f ca="1"/>
        <v>5.3650073136257359E-2</v>
      </c>
      <c r="AE12" s="135">
        <f ca="1"/>
        <v>8.2539908181731292E-2</v>
      </c>
      <c r="AG12" s="224"/>
      <c r="AH12" s="223"/>
      <c r="AI12" s="225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1.2620921837996235E-2</v>
      </c>
      <c r="AB13" s="163">
        <f ca="1"/>
        <v>0</v>
      </c>
      <c r="AC13" s="163">
        <f ca="1"/>
        <v>3.228003007274638E-2</v>
      </c>
      <c r="AD13" s="163">
        <f ca="1"/>
        <v>5.3346109383021423E-2</v>
      </c>
      <c r="AE13" s="139">
        <f ca="1"/>
        <v>9.3275358315910384E-2</v>
      </c>
      <c r="AG13" s="225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1.4757174569141163E-2</v>
      </c>
      <c r="AB14" s="163">
        <f ca="1"/>
        <v>0</v>
      </c>
      <c r="AC14" s="163">
        <f ca="1"/>
        <v>3.5688900295944626E-2</v>
      </c>
      <c r="AD14" s="163">
        <f ca="1"/>
        <v>6.3152175872552063E-2</v>
      </c>
      <c r="AE14" s="139">
        <f ca="1"/>
        <v>0.10831624191330014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8.8159682599380229E-3</v>
      </c>
      <c r="AA15" s="163">
        <f ca="1"/>
        <v>1.5714629918365697E-2</v>
      </c>
      <c r="AB15" s="163">
        <f ca="1"/>
        <v>0</v>
      </c>
      <c r="AC15" s="163">
        <f ca="1"/>
        <v>3.3627746009531112E-2</v>
      </c>
      <c r="AD15" s="163">
        <f ca="1"/>
        <v>5.2181044173536084E-2</v>
      </c>
      <c r="AE15" s="139">
        <f ca="1"/>
        <v>7.931268654602297E-2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2.2804654612499142E-2</v>
      </c>
      <c r="AD16" s="163">
        <f ca="1"/>
        <v>4.0483442705105843E-2</v>
      </c>
      <c r="AE16" s="139">
        <f ca="1"/>
        <v>6.988644529294985E-2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8.1488244900428386E-3</v>
      </c>
      <c r="AA17" s="163">
        <f ca="1"/>
        <v>1.3658793519955026E-2</v>
      </c>
      <c r="AB17" s="163">
        <f ca="1"/>
        <v>0</v>
      </c>
      <c r="AC17" s="163">
        <f ca="1"/>
        <v>2.8437990102705313E-2</v>
      </c>
      <c r="AD17" s="163">
        <f ca="1"/>
        <v>4.4756931561250601E-2</v>
      </c>
      <c r="AE17" s="139">
        <f ca="1"/>
        <v>7.162155385367408E-2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8.8612962547089946E-3</v>
      </c>
      <c r="AA18" s="163">
        <f ca="1"/>
        <v>1.8937870982067007E-2</v>
      </c>
      <c r="AB18" s="163">
        <f ca="1"/>
        <v>0</v>
      </c>
      <c r="AC18" s="163">
        <f ca="1"/>
        <v>5.0405172520039843E-2</v>
      </c>
      <c r="AD18" s="163">
        <f ca="1"/>
        <v>8.5430430250713174E-2</v>
      </c>
      <c r="AE18" s="139">
        <f ca="1"/>
        <v>0.1455801080242648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9.5552823179290147E-3</v>
      </c>
      <c r="AA19" s="163">
        <f ca="1"/>
        <v>1.7803613101275872E-2</v>
      </c>
      <c r="AB19" s="163">
        <f ca="1"/>
        <v>0</v>
      </c>
      <c r="AC19" s="163">
        <f ca="1"/>
        <v>4.5989028459221815E-2</v>
      </c>
      <c r="AD19" s="163">
        <f ca="1"/>
        <v>8.0838069211302654E-2</v>
      </c>
      <c r="AE19" s="139">
        <f ca="1"/>
        <v>0.13573522975307417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2.0960880751007105E-2</v>
      </c>
      <c r="AD20" s="163">
        <f ca="1"/>
        <v>3.5388651685261063E-2</v>
      </c>
      <c r="AE20" s="139">
        <f ca="1"/>
        <v>6.6885530927914716E-2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1.2643347817584027E-2</v>
      </c>
      <c r="AB21" s="163">
        <f ca="1"/>
        <v>0</v>
      </c>
      <c r="AC21" s="163">
        <f ca="1"/>
        <v>2.7681789591056272E-2</v>
      </c>
      <c r="AD21" s="163">
        <f ca="1"/>
        <v>4.3430244532435824E-2</v>
      </c>
      <c r="AE21" s="139">
        <f ca="1"/>
        <v>6.8219917770306782E-2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8.3245908185343165E-3</v>
      </c>
      <c r="AA22" s="163">
        <f ca="1"/>
        <v>1.4293840110061184E-2</v>
      </c>
      <c r="AB22" s="163">
        <f ca="1"/>
        <v>0</v>
      </c>
      <c r="AC22" s="163">
        <f ca="1"/>
        <v>3.0177458854162564E-2</v>
      </c>
      <c r="AD22" s="163">
        <f ca="1"/>
        <v>4.7374495807809947E-2</v>
      </c>
      <c r="AE22" s="139">
        <f ca="1"/>
        <v>7.4823426305504204E-2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3.9457545446772713E-3</v>
      </c>
      <c r="Z23" s="163">
        <f ca="1"/>
        <v>1.1341409804023983E-2</v>
      </c>
      <c r="AA23" s="163">
        <f ca="1"/>
        <v>1.9772622653773997E-2</v>
      </c>
      <c r="AB23" s="163">
        <f ca="1"/>
        <v>0</v>
      </c>
      <c r="AC23" s="163">
        <f ca="1"/>
        <v>3.94367459098659E-2</v>
      </c>
      <c r="AD23" s="163">
        <f ca="1"/>
        <v>6.1273057645962137E-2</v>
      </c>
      <c r="AE23" s="139">
        <f ca="1"/>
        <v>9.4823379175043909E-2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4.5073802577851874E-3</v>
      </c>
      <c r="Z24" s="163">
        <f ca="1"/>
        <v>1.1199454112028717E-2</v>
      </c>
      <c r="AA24" s="163">
        <f ca="1"/>
        <v>1.8076409676023975E-2</v>
      </c>
      <c r="AB24" s="163">
        <f ca="1"/>
        <v>0</v>
      </c>
      <c r="AC24" s="163">
        <f ca="1"/>
        <v>3.5059170846102772E-2</v>
      </c>
      <c r="AD24" s="163">
        <f ca="1"/>
        <v>5.3443155897097361E-2</v>
      </c>
      <c r="AE24" s="139">
        <f ca="1"/>
        <v>8.6155998381144294E-2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3.0700830979575766E-2</v>
      </c>
      <c r="AE25" s="139">
        <f ca="1"/>
        <v>5.6512406049909703E-2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2.9745095750370876E-2</v>
      </c>
      <c r="AD26" s="163">
        <f ca="1"/>
        <v>5.119926226893956E-2</v>
      </c>
      <c r="AE26" s="139">
        <f ca="1"/>
        <v>9.2196981559303115E-2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2.2801957900857261E-2</v>
      </c>
      <c r="AD27" s="163">
        <f ca="1"/>
        <v>4.1790930106758273E-2</v>
      </c>
      <c r="AE27" s="139">
        <f ca="1"/>
        <v>7.7431231752891794E-2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9.6382317434767772E-3</v>
      </c>
      <c r="AA28" s="163">
        <f ca="1"/>
        <v>1.5620136285570796E-2</v>
      </c>
      <c r="AB28" s="163">
        <f ca="1"/>
        <v>0</v>
      </c>
      <c r="AC28" s="163">
        <f ca="1"/>
        <v>2.9098007181744379E-2</v>
      </c>
      <c r="AD28" s="163">
        <f ca="1"/>
        <v>4.4683094310168148E-2</v>
      </c>
      <c r="AE28" s="139">
        <f ca="1"/>
        <v>7.1252147469429539E-2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2.7995260767537111E-2</v>
      </c>
      <c r="AD29" s="163">
        <f ca="1"/>
        <v>4.8836914418983191E-2</v>
      </c>
      <c r="AE29" s="139">
        <f ca="1"/>
        <v>9.4732765185422063E-2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2.3639113715906324E-2</v>
      </c>
      <c r="AD30" s="163">
        <f ca="1"/>
        <v>4.0319038262909168E-2</v>
      </c>
      <c r="AE30" s="139">
        <f ca="1"/>
        <v>6.3914210309528263E-2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1.1583783795048208E-2</v>
      </c>
      <c r="AB31" s="163">
        <f ca="1"/>
        <v>0</v>
      </c>
      <c r="AC31" s="163">
        <f ca="1"/>
        <v>2.6939772523619343E-2</v>
      </c>
      <c r="AD31" s="163">
        <f ca="1"/>
        <v>4.486021689608366E-2</v>
      </c>
      <c r="AE31" s="139">
        <f ca="1"/>
        <v>6.6380417581850759E-2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7.7578558947739573E-3</v>
      </c>
      <c r="AA32" s="163">
        <f ca="1"/>
        <v>1.626785687651755E-2</v>
      </c>
      <c r="AB32" s="163">
        <f ca="1"/>
        <v>0</v>
      </c>
      <c r="AC32" s="163">
        <f ca="1"/>
        <v>3.4558321694456273E-2</v>
      </c>
      <c r="AD32" s="163">
        <f ca="1"/>
        <v>5.653149197302676E-2</v>
      </c>
      <c r="AE32" s="139">
        <f ca="1"/>
        <v>9.9623004295444573E-2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8.4977694605756771E-3</v>
      </c>
      <c r="AA33" s="163">
        <f ca="1"/>
        <v>1.4640606280093893E-2</v>
      </c>
      <c r="AB33" s="163">
        <f ca="1"/>
        <v>0</v>
      </c>
      <c r="AC33" s="163">
        <f ca="1"/>
        <v>2.9277244488666088E-2</v>
      </c>
      <c r="AD33" s="163">
        <f ca="1"/>
        <v>4.5514188717610704E-2</v>
      </c>
      <c r="AE33" s="139">
        <f ca="1"/>
        <v>6.941439947897321E-2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1.3182212759591971E-2</v>
      </c>
      <c r="AB34" s="163">
        <f ca="1"/>
        <v>0</v>
      </c>
      <c r="AC34" s="163">
        <f ca="1"/>
        <v>3.226147846112859E-2</v>
      </c>
      <c r="AD34" s="163">
        <f ca="1"/>
        <v>5.7227697518720366E-2</v>
      </c>
      <c r="AE34" s="139">
        <f ca="1"/>
        <v>0.10223024488307586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1.0246965467613167E-2</v>
      </c>
      <c r="AA35" s="163">
        <f ca="1"/>
        <v>1.882018939552732E-2</v>
      </c>
      <c r="AB35" s="163">
        <f ca="1"/>
        <v>0</v>
      </c>
      <c r="AC35" s="163">
        <f ca="1"/>
        <v>4.0480843151931123E-2</v>
      </c>
      <c r="AD35" s="163">
        <f ca="1"/>
        <v>6.3262816360325713E-2</v>
      </c>
      <c r="AE35" s="139">
        <f ca="1"/>
        <v>9.7441855442318981E-2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2.0948893178057038E-2</v>
      </c>
      <c r="AD36" s="163">
        <f ca="1"/>
        <v>3.668904685599772E-2</v>
      </c>
      <c r="AE36" s="139">
        <f ca="1"/>
        <v>6.6693858736039946E-2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4.2279565176266409E-3</v>
      </c>
      <c r="Z37" s="163">
        <f ca="1"/>
        <v>1.2014040569567341E-2</v>
      </c>
      <c r="AA37" s="163">
        <f ca="1"/>
        <v>2.4081860226773943E-2</v>
      </c>
      <c r="AB37" s="163">
        <f ca="1"/>
        <v>0</v>
      </c>
      <c r="AC37" s="163">
        <f ca="1"/>
        <v>5.9501363785020467E-2</v>
      </c>
      <c r="AD37" s="163">
        <f ca="1"/>
        <v>0.10143059530485676</v>
      </c>
      <c r="AE37" s="139">
        <f ca="1"/>
        <v>0.17040622357537616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2.0938486875177853E-2</v>
      </c>
      <c r="AD38" s="163">
        <f ca="1"/>
        <v>3.4053139613530292E-2</v>
      </c>
      <c r="AE38" s="139">
        <f ca="1"/>
        <v>5.927627817202008E-2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8.4965078246311831E-3</v>
      </c>
      <c r="AA39" s="163">
        <f ca="1"/>
        <v>1.8410289418521852E-2</v>
      </c>
      <c r="AB39" s="163">
        <f ca="1"/>
        <v>0</v>
      </c>
      <c r="AC39" s="163">
        <f ca="1"/>
        <v>4.5124883235137858E-2</v>
      </c>
      <c r="AD39" s="163">
        <f ca="1"/>
        <v>7.9685520263707121E-2</v>
      </c>
      <c r="AE39" s="139">
        <f ca="1"/>
        <v>0.13045595859677583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4.1637689259397259E-3</v>
      </c>
      <c r="Z40" s="163">
        <f ca="1"/>
        <v>1.0594171977781897E-2</v>
      </c>
      <c r="AA40" s="163">
        <f ca="1"/>
        <v>1.8646350220538843E-2</v>
      </c>
      <c r="AB40" s="163">
        <f ca="1"/>
        <v>0</v>
      </c>
      <c r="AC40" s="163">
        <f ca="1"/>
        <v>3.7737384312409472E-2</v>
      </c>
      <c r="AD40" s="163">
        <f ca="1"/>
        <v>5.7678739160192949E-2</v>
      </c>
      <c r="AE40" s="139">
        <f ca="1"/>
        <v>8.7122994061685777E-2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2.5337086180233226E-2</v>
      </c>
      <c r="AD41" s="163">
        <f ca="1"/>
        <v>4.5254326033951853E-2</v>
      </c>
      <c r="AE41" s="139">
        <f ca="1"/>
        <v>7.8345098322941009E-2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1.2756057377566243E-2</v>
      </c>
      <c r="AA42" s="163">
        <f ca="1"/>
        <v>2.1926637633035595E-2</v>
      </c>
      <c r="AB42" s="163">
        <f ca="1"/>
        <v>0</v>
      </c>
      <c r="AC42" s="163">
        <f ca="1"/>
        <v>5.1677580492891395E-2</v>
      </c>
      <c r="AD42" s="163">
        <f ca="1"/>
        <v>8.7263805972428221E-2</v>
      </c>
      <c r="AE42" s="139">
        <f ca="1"/>
        <v>0.14445593735916751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1.1991391316695688E-2</v>
      </c>
      <c r="AB43" s="163">
        <f ca="1"/>
        <v>0</v>
      </c>
      <c r="AC43" s="163">
        <f ca="1"/>
        <v>2.6942028844444188E-2</v>
      </c>
      <c r="AD43" s="163">
        <f ca="1"/>
        <v>4.2903011746825648E-2</v>
      </c>
      <c r="AE43" s="139">
        <f ca="1"/>
        <v>6.6651862128627393E-2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1.036639974007858E-2</v>
      </c>
      <c r="AA44" s="163">
        <f ca="1"/>
        <v>1.8881022327888908E-2</v>
      </c>
      <c r="AB44" s="163">
        <f ca="1"/>
        <v>0</v>
      </c>
      <c r="AC44" s="163">
        <f ca="1"/>
        <v>4.2272014928860568E-2</v>
      </c>
      <c r="AD44" s="163">
        <f ca="1"/>
        <v>6.435982315762534E-2</v>
      </c>
      <c r="AE44" s="139">
        <f ca="1"/>
        <v>9.7063283978247816E-2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1.2555976401141922E-2</v>
      </c>
      <c r="AB45" s="163">
        <f ca="1"/>
        <v>0</v>
      </c>
      <c r="AC45" s="163">
        <f ca="1"/>
        <v>2.4103496988141515E-2</v>
      </c>
      <c r="AD45" s="163">
        <f ca="1"/>
        <v>4.1090578315597037E-2</v>
      </c>
      <c r="AE45" s="139">
        <f ca="1"/>
        <v>7.2862959353061085E-2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2.4425412477675046E-2</v>
      </c>
      <c r="AD46" s="163">
        <f ca="1"/>
        <v>4.2724577199832137E-2</v>
      </c>
      <c r="AE46" s="139">
        <f ca="1"/>
        <v>7.301022124527512E-2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3.9614644705753266E-3</v>
      </c>
      <c r="Z47" s="163">
        <f ca="1"/>
        <v>1.0245908877189569E-2</v>
      </c>
      <c r="AA47" s="163">
        <f ca="1"/>
        <v>1.7490078445532409E-2</v>
      </c>
      <c r="AB47" s="163">
        <f ca="1"/>
        <v>0</v>
      </c>
      <c r="AC47" s="163">
        <f ca="1"/>
        <v>3.6064427985862957E-2</v>
      </c>
      <c r="AD47" s="163">
        <f ca="1"/>
        <v>5.6048494879166633E-2</v>
      </c>
      <c r="AE47" s="139">
        <f ca="1"/>
        <v>8.580059280055885E-2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2.1893146456519963E-2</v>
      </c>
      <c r="AD48" s="163">
        <f ca="1"/>
        <v>3.9259244407893523E-2</v>
      </c>
      <c r="AE48" s="139">
        <f ca="1"/>
        <v>7.2088765337818161E-2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1.5207479468169027E-2</v>
      </c>
      <c r="AB49" s="163">
        <f ca="1"/>
        <v>0</v>
      </c>
      <c r="AC49" s="163">
        <f ca="1"/>
        <v>3.4658226133389425E-2</v>
      </c>
      <c r="AD49" s="163">
        <f ca="1"/>
        <v>5.6632317045390845E-2</v>
      </c>
      <c r="AE49" s="139">
        <f ca="1"/>
        <v>9.782132473428895E-2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2.6240905469327669E-2</v>
      </c>
      <c r="AD50" s="163">
        <f ca="1"/>
        <v>4.5160594831692324E-2</v>
      </c>
      <c r="AE50" s="139">
        <f ca="1"/>
        <v>7.8250779524413061E-2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4.5907165081674473E-3</v>
      </c>
      <c r="Z51" s="163">
        <f ca="1"/>
        <v>1.3776715905169046E-2</v>
      </c>
      <c r="AA51" s="163">
        <f ca="1"/>
        <v>2.8789627763404435E-2</v>
      </c>
      <c r="AB51" s="163">
        <f ca="1"/>
        <v>0</v>
      </c>
      <c r="AC51" s="163">
        <f ca="1"/>
        <v>6.9576782675992099E-2</v>
      </c>
      <c r="AD51" s="163">
        <f ca="1"/>
        <v>0.11476658560309405</v>
      </c>
      <c r="AE51" s="139">
        <f ca="1"/>
        <v>0.18612312873155101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2.5371373316465662E-2</v>
      </c>
      <c r="AD52" s="163">
        <f ca="1"/>
        <v>4.3981682085471707E-2</v>
      </c>
      <c r="AE52" s="139">
        <f ca="1"/>
        <v>7.8562623141590127E-2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2.5418957336353021E-2</v>
      </c>
      <c r="AD53" s="163">
        <f ca="1"/>
        <v>4.5337615654432728E-2</v>
      </c>
      <c r="AE53" s="139">
        <f ca="1"/>
        <v>8.0354761836199273E-2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1.9241810615342581E-2</v>
      </c>
      <c r="AD54" s="163">
        <f ca="1"/>
        <v>3.0408757791083207E-2</v>
      </c>
      <c r="AE54" s="139">
        <f ca="1"/>
        <v>5.2319091015224473E-2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1.3671435165386492E-2</v>
      </c>
      <c r="AB55" s="163">
        <f ca="1"/>
        <v>0</v>
      </c>
      <c r="AC55" s="163">
        <f ca="1"/>
        <v>3.0369151900231373E-2</v>
      </c>
      <c r="AD55" s="163">
        <f ca="1"/>
        <v>5.2124941595980689E-2</v>
      </c>
      <c r="AE55" s="139">
        <f ca="1"/>
        <v>8.7804273404029076E-2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7.784502464497467E-3</v>
      </c>
      <c r="AA56" s="163">
        <f ca="1"/>
        <v>1.4678160285602204E-2</v>
      </c>
      <c r="AB56" s="163">
        <f ca="1"/>
        <v>0</v>
      </c>
      <c r="AC56" s="163">
        <f ca="1"/>
        <v>3.2013643240463407E-2</v>
      </c>
      <c r="AD56" s="163">
        <f ca="1"/>
        <v>5.437670946136075E-2</v>
      </c>
      <c r="AE56" s="139">
        <f ca="1"/>
        <v>9.0908292282234293E-2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1.2143087899326499E-2</v>
      </c>
      <c r="AB57" s="163">
        <f ca="1"/>
        <v>0</v>
      </c>
      <c r="AC57" s="163">
        <f ca="1"/>
        <v>3.1484928929359612E-2</v>
      </c>
      <c r="AD57" s="163">
        <f ca="1"/>
        <v>5.3548805807474786E-2</v>
      </c>
      <c r="AE57" s="139">
        <f ca="1"/>
        <v>9.3479790450315403E-2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1.0253057894043183E-2</v>
      </c>
      <c r="AA58" s="163">
        <f ca="1"/>
        <v>1.8826398147786638E-2</v>
      </c>
      <c r="AB58" s="163">
        <f ca="1"/>
        <v>0</v>
      </c>
      <c r="AC58" s="163">
        <f ca="1"/>
        <v>3.959264007051333E-2</v>
      </c>
      <c r="AD58" s="163">
        <f ca="1"/>
        <v>6.3367605022959128E-2</v>
      </c>
      <c r="AE58" s="139">
        <f ca="1"/>
        <v>0.10704325908235135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8.5019014816990479E-3</v>
      </c>
      <c r="AA59" s="163">
        <f ca="1"/>
        <v>1.57226915635158E-2</v>
      </c>
      <c r="AB59" s="163">
        <f ca="1"/>
        <v>0</v>
      </c>
      <c r="AC59" s="163">
        <f ca="1"/>
        <v>3.3694966448006403E-2</v>
      </c>
      <c r="AD59" s="163">
        <f ca="1"/>
        <v>5.5365333693876306E-2</v>
      </c>
      <c r="AE59" s="139">
        <f ca="1"/>
        <v>9.6134287779375827E-2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1.9954763748117776E-2</v>
      </c>
      <c r="AD60" s="163">
        <f ca="1"/>
        <v>3.2752682064517868E-2</v>
      </c>
      <c r="AE60" s="139">
        <f ca="1"/>
        <v>5.7522247018874539E-2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2.1655446306062531E-2</v>
      </c>
      <c r="AD61" s="163">
        <f ca="1"/>
        <v>3.5084621480773071E-2</v>
      </c>
      <c r="AE61" s="139">
        <f ca="1"/>
        <v>6.2698953130966295E-2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2.4516947273586553E-2</v>
      </c>
      <c r="AD62" s="163">
        <f ca="1"/>
        <v>4.1508528724158889E-2</v>
      </c>
      <c r="AE62" s="139">
        <f ca="1"/>
        <v>7.1353008964483711E-2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1.2086060006952892E-2</v>
      </c>
      <c r="AB63" s="163">
        <f ca="1"/>
        <v>0</v>
      </c>
      <c r="AC63" s="163">
        <f ca="1"/>
        <v>2.692047126817243E-2</v>
      </c>
      <c r="AD63" s="163">
        <f ca="1"/>
        <v>4.4840742473030271E-2</v>
      </c>
      <c r="AE63" s="139">
        <f ca="1"/>
        <v>8.1776115666166604E-2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2.1023668491753522E-2</v>
      </c>
      <c r="AD64" s="163">
        <f ca="1"/>
        <v>3.6764756685121802E-2</v>
      </c>
      <c r="AE64" s="139">
        <f ca="1"/>
        <v>6.0949612012509924E-2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3.0548384831843411E-2</v>
      </c>
      <c r="AE65" s="139">
        <f ca="1"/>
        <v>5.2459302508502503E-2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1.923679422195379E-2</v>
      </c>
      <c r="AD66" s="163">
        <f ca="1"/>
        <v>3.1718955798110349E-2</v>
      </c>
      <c r="AE66" s="139">
        <f ca="1"/>
        <v>5.4087294066372027E-2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1.3134478550999806E-2</v>
      </c>
      <c r="AB67" s="163">
        <f ca="1"/>
        <v>0</v>
      </c>
      <c r="AC67" s="163">
        <f ca="1"/>
        <v>2.7651383479970648E-2</v>
      </c>
      <c r="AD67" s="163">
        <f ca="1"/>
        <v>4.3791359545798159E-2</v>
      </c>
      <c r="AE67" s="139">
        <f ca="1"/>
        <v>7.0064575174012433E-2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9.1787709275703566E-3</v>
      </c>
      <c r="AA68" s="163">
        <f ca="1"/>
        <v>1.9954376370468041E-2</v>
      </c>
      <c r="AB68" s="163">
        <f ca="1"/>
        <v>0</v>
      </c>
      <c r="AC68" s="163">
        <f ca="1"/>
        <v>4.8493119467035162E-2</v>
      </c>
      <c r="AD68" s="163">
        <f ca="1"/>
        <v>8.4201391809671122E-2</v>
      </c>
      <c r="AE68" s="139">
        <f ca="1"/>
        <v>0.14211240058746299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4.0210912663573017E-3</v>
      </c>
      <c r="Z69" s="163">
        <f ca="1"/>
        <v>1.0569646240843555E-2</v>
      </c>
      <c r="AA69" s="163">
        <f ca="1"/>
        <v>2.360260702184136E-2</v>
      </c>
      <c r="AB69" s="163">
        <f ca="1"/>
        <v>0</v>
      </c>
      <c r="AC69" s="163">
        <f ca="1"/>
        <v>5.2523378989652092E-2</v>
      </c>
      <c r="AD69" s="163">
        <f ca="1"/>
        <v>9.092458180643237E-2</v>
      </c>
      <c r="AE69" s="139">
        <f ca="1"/>
        <v>0.15663964229745753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1.2122068953851484E-2</v>
      </c>
      <c r="AB70" s="163">
        <f ca="1"/>
        <v>0</v>
      </c>
      <c r="AC70" s="163">
        <f ca="1"/>
        <v>3.1463134664273973E-2</v>
      </c>
      <c r="AD70" s="163">
        <f ca="1"/>
        <v>5.6128592687886392E-2</v>
      </c>
      <c r="AE70" s="139">
        <f ca="1"/>
        <v>9.8810637014060343E-2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7.4448397129669441E-3</v>
      </c>
      <c r="AA71" s="163">
        <f ca="1"/>
        <v>1.2842436361634735E-2</v>
      </c>
      <c r="AB71" s="163">
        <f ca="1"/>
        <v>0</v>
      </c>
      <c r="AC71" s="163">
        <f ca="1"/>
        <v>2.674761465780795E-2</v>
      </c>
      <c r="AD71" s="163">
        <f ca="1"/>
        <v>4.2446472303162452E-2</v>
      </c>
      <c r="AE71" s="139">
        <f ca="1"/>
        <v>6.8424392374233922E-2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8.8692770572835755E-3</v>
      </c>
      <c r="AA72" s="163">
        <f ca="1"/>
        <v>1.7330859268279486E-2</v>
      </c>
      <c r="AB72" s="163">
        <f ca="1"/>
        <v>0</v>
      </c>
      <c r="AC72" s="163">
        <f ca="1"/>
        <v>4.1630343869951347E-2</v>
      </c>
      <c r="AD72" s="163">
        <f ca="1"/>
        <v>6.8584307485430762E-2</v>
      </c>
      <c r="AE72" s="139">
        <f ca="1"/>
        <v>0.12331228078826717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2.1941721608961906E-2</v>
      </c>
      <c r="AD73" s="163">
        <f ca="1"/>
        <v>4.0619680589123686E-2</v>
      </c>
      <c r="AE73" s="139">
        <f ca="1"/>
        <v>7.38912912566696E-2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1.4176402432365176E-2</v>
      </c>
      <c r="AB74" s="163">
        <f ca="1"/>
        <v>0</v>
      </c>
      <c r="AC74" s="163">
        <f ca="1"/>
        <v>3.0293521519785704E-2</v>
      </c>
      <c r="AD74" s="163">
        <f ca="1"/>
        <v>5.0746701431856556E-2</v>
      </c>
      <c r="AE74" s="139">
        <f ca="1"/>
        <v>8.5996980253332911E-2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4.6568453186325298E-2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7.70497342110954E-3</v>
      </c>
      <c r="AA76" s="163">
        <f ca="1"/>
        <v>1.3541181279816628E-2</v>
      </c>
      <c r="AB76" s="163">
        <f ca="1"/>
        <v>0</v>
      </c>
      <c r="AC76" s="163">
        <f ca="1"/>
        <v>2.6693212312850378E-2</v>
      </c>
      <c r="AD76" s="163">
        <f ca="1"/>
        <v>4.1346940851276104E-2</v>
      </c>
      <c r="AE76" s="139">
        <f ca="1"/>
        <v>6.4650713991924014E-2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2.4911409926279271E-3</v>
      </c>
      <c r="Y77" s="163">
        <f ca="1"/>
        <v>6.040062506543542E-3</v>
      </c>
      <c r="Z77" s="163">
        <f ca="1"/>
        <v>1.7604922468755113E-2</v>
      </c>
      <c r="AA77" s="163">
        <f ca="1"/>
        <v>3.5429040378911814E-2</v>
      </c>
      <c r="AB77" s="163">
        <f ca="1"/>
        <v>0</v>
      </c>
      <c r="AC77" s="163">
        <f ca="1"/>
        <v>8.8800114247309048E-2</v>
      </c>
      <c r="AD77" s="163">
        <f ca="1"/>
        <v>0.14494176753284738</v>
      </c>
      <c r="AE77" s="139">
        <f ca="1"/>
        <v>0.23042779402653379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7.8043902712783275E-3</v>
      </c>
      <c r="AA78" s="163">
        <f ca="1"/>
        <v>1.5237573236051682E-2</v>
      </c>
      <c r="AB78" s="163">
        <f ca="1"/>
        <v>0</v>
      </c>
      <c r="AC78" s="163">
        <f ca="1"/>
        <v>3.5586955309388379E-2</v>
      </c>
      <c r="AD78" s="163">
        <f ca="1"/>
        <v>5.9160456051175703E-2</v>
      </c>
      <c r="AE78" s="139">
        <f ca="1"/>
        <v>0.10688299640953058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8.1318419563518596E-3</v>
      </c>
      <c r="AA79" s="163">
        <f ca="1"/>
        <v>1.7882666907035105E-2</v>
      </c>
      <c r="AB79" s="163">
        <f ca="1"/>
        <v>0</v>
      </c>
      <c r="AC79" s="163">
        <f ca="1"/>
        <v>4.5178694104437533E-2</v>
      </c>
      <c r="AD79" s="163">
        <f ca="1"/>
        <v>7.7169850009215724E-2</v>
      </c>
      <c r="AE79" s="139">
        <f ca="1"/>
        <v>0.13090141913835507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2.4518575456956238E-2</v>
      </c>
      <c r="AD80" s="163">
        <f ca="1"/>
        <v>4.4127508120962666E-2</v>
      </c>
      <c r="AE80" s="139">
        <f ca="1"/>
        <v>8.063645459845814E-2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1.5824867593897229E-2</v>
      </c>
      <c r="AB81" s="163">
        <f ca="1"/>
        <v>0</v>
      </c>
      <c r="AC81" s="163">
        <f ca="1"/>
        <v>3.8287146846782028E-2</v>
      </c>
      <c r="AD81" s="163">
        <f ca="1"/>
        <v>6.664259152078067E-2</v>
      </c>
      <c r="AE81" s="139">
        <f ca="1"/>
        <v>0.12058214994205596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2.5346031436877081E-2</v>
      </c>
      <c r="AD82" s="163">
        <f ca="1"/>
        <v>4.3955983884221395E-2</v>
      </c>
      <c r="AE82" s="139">
        <f ca="1"/>
        <v>7.6609609356282804E-2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1.3640803850882843E-2</v>
      </c>
      <c r="AB83" s="163">
        <f ca="1"/>
        <v>0</v>
      </c>
      <c r="AC83" s="163">
        <f ca="1"/>
        <v>3.5732359785558776E-2</v>
      </c>
      <c r="AD83" s="163">
        <f ca="1"/>
        <v>6.3196567874292398E-2</v>
      </c>
      <c r="AE83" s="139">
        <f ca="1"/>
        <v>0.10836095240053045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1.212475244515987E-2</v>
      </c>
      <c r="AB84" s="163">
        <f ca="1"/>
        <v>0</v>
      </c>
      <c r="AC84" s="163">
        <f ca="1"/>
        <v>2.7861722179564508E-2</v>
      </c>
      <c r="AD84" s="163">
        <f ca="1"/>
        <v>5.0005380138988587E-2</v>
      </c>
      <c r="AE84" s="139">
        <f ca="1"/>
        <v>9.0578908538960445E-2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1.3643378003846185E-2</v>
      </c>
      <c r="AB85" s="163">
        <f ca="1"/>
        <v>0</v>
      </c>
      <c r="AC85" s="163">
        <f ca="1"/>
        <v>3.5735061646205102E-2</v>
      </c>
      <c r="AD85" s="163">
        <f ca="1"/>
        <v>6.1903472408999294E-2</v>
      </c>
      <c r="AE85" s="139">
        <f ca="1"/>
        <v>9.7156817459760458E-2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4.0009474652695776E-3</v>
      </c>
      <c r="Z86" s="163">
        <f ca="1"/>
        <v>9.9610526033078184E-3</v>
      </c>
      <c r="AA86" s="163">
        <f ca="1"/>
        <v>1.664436612581266E-2</v>
      </c>
      <c r="AB86" s="163">
        <f ca="1"/>
        <v>0</v>
      </c>
      <c r="AC86" s="163">
        <f ca="1"/>
        <v>3.2557960548884379E-2</v>
      </c>
      <c r="AD86" s="163">
        <f ca="1"/>
        <v>4.9375814683822572E-2</v>
      </c>
      <c r="AE86" s="139">
        <f ca="1"/>
        <v>7.5784605354155654E-2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7.5115669791229189E-3</v>
      </c>
      <c r="AA87" s="163">
        <f ca="1"/>
        <v>1.2941960482985237E-2</v>
      </c>
      <c r="AB87" s="163">
        <f ca="1"/>
        <v>0</v>
      </c>
      <c r="AC87" s="163">
        <f ca="1"/>
        <v>2.582975641446883E-2</v>
      </c>
      <c r="AD87" s="163">
        <f ca="1"/>
        <v>4.0694501328985111E-2</v>
      </c>
      <c r="AE87" s="139">
        <f ca="1"/>
        <v>6.4888983843611525E-2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1.155028171453476E-2</v>
      </c>
      <c r="AB88" s="163">
        <f ca="1"/>
        <v>0</v>
      </c>
      <c r="AC88" s="163">
        <f ca="1"/>
        <v>2.9669321929155834E-2</v>
      </c>
      <c r="AD88" s="163">
        <f ca="1"/>
        <v>4.981923227620888E-2</v>
      </c>
      <c r="AE88" s="139">
        <f ca="1"/>
        <v>8.4640969606676442E-2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9.8750436992842694E-3</v>
      </c>
      <c r="AA89" s="163">
        <f ca="1"/>
        <v>2.0974132898267439E-2</v>
      </c>
      <c r="AB89" s="163">
        <f ca="1"/>
        <v>0</v>
      </c>
      <c r="AC89" s="163">
        <f ca="1"/>
        <v>5.278202029609036E-2</v>
      </c>
      <c r="AD89" s="163">
        <f ca="1"/>
        <v>8.7378666140882855E-2</v>
      </c>
      <c r="AE89" s="139">
        <f ca="1"/>
        <v>0.14827941921507659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1.2135348938622892E-2</v>
      </c>
      <c r="AB90" s="163">
        <f ca="1"/>
        <v>0</v>
      </c>
      <c r="AC90" s="163">
        <f ca="1"/>
        <v>3.057628001021484E-2</v>
      </c>
      <c r="AD90" s="163">
        <f ca="1"/>
        <v>5.2335069123714772E-2</v>
      </c>
      <c r="AE90" s="139">
        <f ca="1"/>
        <v>9.7575946682394665E-2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1.2612851444421591E-2</v>
      </c>
      <c r="AB91" s="163">
        <f ca="1"/>
        <v>0</v>
      </c>
      <c r="AC91" s="163">
        <f ca="1"/>
        <v>3.3171346677535074E-2</v>
      </c>
      <c r="AD91" s="163">
        <f ca="1"/>
        <v>5.3241357727593419E-2</v>
      </c>
      <c r="AE91" s="139">
        <f ca="1"/>
        <v>9.5079259493254464E-2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2.4507520041183506E-2</v>
      </c>
      <c r="AD92" s="163">
        <f ca="1"/>
        <v>4.411626043707384E-2</v>
      </c>
      <c r="AE92" s="139">
        <f ca="1"/>
        <v>8.2550455228127428E-2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4.5988277403967714E-3</v>
      </c>
      <c r="Z93" s="163">
        <f ca="1"/>
        <v>1.271440848215466E-2</v>
      </c>
      <c r="AA93" s="163">
        <f ca="1"/>
        <v>2.403088985693913E-2</v>
      </c>
      <c r="AB93" s="163">
        <f ca="1"/>
        <v>0</v>
      </c>
      <c r="AC93" s="163">
        <f ca="1"/>
        <v>5.944771900661816E-2</v>
      </c>
      <c r="AD93" s="163">
        <f ca="1"/>
        <v>9.8835946194081425E-2</v>
      </c>
      <c r="AE93" s="139">
        <f ca="1"/>
        <v>0.16709510812794981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1.6876219698448547E-2</v>
      </c>
      <c r="AB94" s="163">
        <f ca="1"/>
        <v>0</v>
      </c>
      <c r="AC94" s="163">
        <f ca="1"/>
        <v>4.2654899842685001E-2</v>
      </c>
      <c r="AD94" s="163">
        <f ca="1"/>
        <v>7.248477843808776E-2</v>
      </c>
      <c r="AE94" s="139">
        <f ca="1"/>
        <v>0.12652297239741761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2.7112036924124894E-2</v>
      </c>
      <c r="AD95" s="163">
        <f ca="1"/>
        <v>4.7646271940779195E-2</v>
      </c>
      <c r="AE95" s="139">
        <f ca="1"/>
        <v>8.9286735673365536E-2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1.2597318026792537E-2</v>
      </c>
      <c r="AB96" s="163">
        <f ca="1"/>
        <v>0</v>
      </c>
      <c r="AC96" s="163">
        <f ca="1"/>
        <v>3.3155173895557888E-2</v>
      </c>
      <c r="AD96" s="163">
        <f ca="1"/>
        <v>5.3225062055603845E-2</v>
      </c>
      <c r="AE96" s="139">
        <f ca="1"/>
        <v>9.3153292408339361E-2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9.9091084459467238E-3</v>
      </c>
      <c r="AA97" s="163">
        <f ca="1"/>
        <v>1.8858138180175676E-2</v>
      </c>
      <c r="AB97" s="163">
        <f ca="1"/>
        <v>0</v>
      </c>
      <c r="AC97" s="163">
        <f ca="1"/>
        <v>4.2308050923934415E-2</v>
      </c>
      <c r="AD97" s="163">
        <f ca="1"/>
        <v>6.9554970129763971E-2</v>
      </c>
      <c r="AE97" s="139">
        <f ca="1"/>
        <v>0.11715165363777846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1.930687256364072E-2</v>
      </c>
      <c r="AD98" s="163">
        <f ca="1"/>
        <v>3.4419059868956881E-2</v>
      </c>
      <c r="AE98" s="139">
        <f ca="1"/>
        <v>6.1588505624515122E-2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4.8194974659373502E-3</v>
      </c>
      <c r="Z99" s="163">
        <f ca="1"/>
        <v>1.172048119350777E-2</v>
      </c>
      <c r="AA99" s="163">
        <f ca="1"/>
        <v>1.8895037907204815E-2</v>
      </c>
      <c r="AB99" s="163">
        <f ca="1"/>
        <v>0</v>
      </c>
      <c r="AC99" s="163">
        <f ca="1"/>
        <v>3.6742702870547039E-2</v>
      </c>
      <c r="AD99" s="163">
        <f ca="1"/>
        <v>5.5734304493471165E-2</v>
      </c>
      <c r="AE99" s="139">
        <f ca="1"/>
        <v>8.5489821613291772E-2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1.9201359890192338E-2</v>
      </c>
      <c r="AD100" s="163">
        <f ca="1"/>
        <v>3.1683291581673823E-2</v>
      </c>
      <c r="AE100" s="139">
        <f ca="1"/>
        <v>5.4051494189295668E-2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8.4939476270234904E-3</v>
      </c>
      <c r="AA101" s="163">
        <f ca="1"/>
        <v>1.8407627331521237E-2</v>
      </c>
      <c r="AB101" s="163">
        <f ca="1"/>
        <v>0</v>
      </c>
      <c r="AC101" s="163">
        <f ca="1"/>
        <v>4.6908167725039474E-2</v>
      </c>
      <c r="AD101" s="163">
        <f ca="1"/>
        <v>8.0762698896566176E-2</v>
      </c>
      <c r="AE101" s="139">
        <f ca="1"/>
        <v>0.14125547794938198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3.1917610258787144E-2</v>
      </c>
      <c r="AE102" s="139">
        <f ca="1"/>
        <v>6.0129594628681615E-2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3.1875779138499927E-2</v>
      </c>
      <c r="AE103" s="139">
        <f ca="1"/>
        <v>5.0344398760096443E-2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2.6123919462055167E-2</v>
      </c>
      <c r="AD104" s="163">
        <f ca="1"/>
        <v>4.5042026230909471E-2</v>
      </c>
      <c r="AE104" s="139">
        <f ca="1"/>
        <v>8.005618615406962E-2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1.930687256364072E-2</v>
      </c>
      <c r="AD105" s="163">
        <f ca="1"/>
        <v>3.4419059868956881E-2</v>
      </c>
      <c r="AE105" s="139">
        <f ca="1"/>
        <v>6.1588505624515122E-2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1.4216276671096484E-2</v>
      </c>
      <c r="AB106" s="163">
        <f ca="1"/>
        <v>0</v>
      </c>
      <c r="AC106" s="163">
        <f ca="1"/>
        <v>3.8421643977257003E-2</v>
      </c>
      <c r="AD106" s="163">
        <f ca="1"/>
        <v>6.6779769087463969E-2</v>
      </c>
      <c r="AE106" s="139">
        <f ca="1"/>
        <v>0.11127656130433838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2.3664607972273988E-2</v>
      </c>
      <c r="AD107" s="163">
        <f ca="1"/>
        <v>4.2963952749846657E-2</v>
      </c>
      <c r="AE107" s="139">
        <f ca="1"/>
        <v>7.9039292000376293E-2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1.5791381217983957E-2</v>
      </c>
      <c r="AB108" s="163">
        <f ca="1"/>
        <v>0</v>
      </c>
      <c r="AC108" s="163">
        <f ca="1"/>
        <v>4.3627027837984222E-2</v>
      </c>
      <c r="AD108" s="163">
        <f ca="1"/>
        <v>7.3751511220839783E-2</v>
      </c>
      <c r="AE108" s="139">
        <f ca="1"/>
        <v>0.12442879407621332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2.2657191418825273E-2</v>
      </c>
      <c r="AD109" s="163">
        <f ca="1"/>
        <v>3.6401758521324989E-2</v>
      </c>
      <c r="AE109" s="139">
        <f ca="1"/>
        <v>6.0586083047821648E-2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1.262378218128013E-2</v>
      </c>
      <c r="AB110" s="163">
        <f ca="1"/>
        <v>0</v>
      </c>
      <c r="AC110" s="163">
        <f ca="1"/>
        <v>3.7676466638174588E-2</v>
      </c>
      <c r="AD110" s="163">
        <f ca="1"/>
        <v>6.5740395562753129E-2</v>
      </c>
      <c r="AE110" s="139">
        <f ca="1"/>
        <v>0.11361497862575198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8.7980786629345831E-3</v>
      </c>
      <c r="AA111" s="163">
        <f ca="1"/>
        <v>1.4565268486078642E-2</v>
      </c>
      <c r="AB111" s="163">
        <f ca="1"/>
        <v>0</v>
      </c>
      <c r="AC111" s="163">
        <f ca="1"/>
        <v>2.9201116600020782E-2</v>
      </c>
      <c r="AD111" s="163">
        <f ca="1"/>
        <v>4.478625190235519E-2</v>
      </c>
      <c r="AE111" s="139">
        <f ca="1"/>
        <v>7.1354901184893627E-2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9.2137832408625275E-3</v>
      </c>
      <c r="AA112" s="163">
        <f ca="1"/>
        <v>1.9452618944688416E-2</v>
      </c>
      <c r="AB112" s="163">
        <f ca="1"/>
        <v>0</v>
      </c>
      <c r="AC112" s="163">
        <f ca="1"/>
        <v>4.9465566556484375E-2</v>
      </c>
      <c r="AD112" s="163">
        <f ca="1"/>
        <v>8.5462143255212841E-2</v>
      </c>
      <c r="AE112" s="139">
        <f ca="1"/>
        <v>0.14746919295187044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1.1325507595835616E-2</v>
      </c>
      <c r="AA113" s="163">
        <f ca="1"/>
        <v>2.1997692566229299E-2</v>
      </c>
      <c r="AB113" s="163">
        <f ca="1"/>
        <v>0</v>
      </c>
      <c r="AC113" s="163">
        <f ca="1"/>
        <v>4.4645259469755283E-2</v>
      </c>
      <c r="AD113" s="163">
        <f ca="1"/>
        <v>7.4056618803192698E-2</v>
      </c>
      <c r="AE113" s="139">
        <f ca="1"/>
        <v>0.13261515638527666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4.0184164452926607E-3</v>
      </c>
      <c r="Z114" s="163">
        <f ca="1"/>
        <v>8.4215895309914801E-3</v>
      </c>
      <c r="AA114" s="163">
        <f ca="1"/>
        <v>1.4563687643507794E-2</v>
      </c>
      <c r="AB114" s="163">
        <f ca="1"/>
        <v>0</v>
      </c>
      <c r="AC114" s="163">
        <f ca="1"/>
        <v>3.3693504596691404E-2</v>
      </c>
      <c r="AD114" s="163">
        <f ca="1"/>
        <v>5.6661850558856641E-2</v>
      </c>
      <c r="AE114" s="139">
        <f ca="1"/>
        <v>9.9754645084270344E-2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2.7095751052570227E-2</v>
      </c>
      <c r="AD115" s="163">
        <f ca="1"/>
        <v>4.6323949055236735E-2</v>
      </c>
      <c r="AE115" s="139">
        <f ca="1"/>
        <v>8.7535778088934091E-2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1.1510940805851577E-2</v>
      </c>
      <c r="AB116" s="163">
        <f ca="1"/>
        <v>0</v>
      </c>
      <c r="AC116" s="163">
        <f ca="1"/>
        <v>2.9628659594064244E-2</v>
      </c>
      <c r="AD116" s="163">
        <f ca="1"/>
        <v>5.1081102183393678E-2</v>
      </c>
      <c r="AE116" s="139">
        <f ca="1"/>
        <v>9.2077268668991241E-2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2.6277242684172752E-2</v>
      </c>
      <c r="AD117" s="163">
        <f ca="1"/>
        <v>4.3890153433121748E-2</v>
      </c>
      <c r="AE117" s="139">
        <f ca="1"/>
        <v>8.4244307173243049E-2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2.1026349265264144E-2</v>
      </c>
      <c r="AD118" s="163">
        <f ca="1"/>
        <v>3.545472138598782E-2</v>
      </c>
      <c r="AE118" s="139">
        <f ca="1"/>
        <v>6.3072210168319875E-2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1.3162336378691464E-2</v>
      </c>
      <c r="AB119" s="163">
        <f ca="1"/>
        <v>0</v>
      </c>
      <c r="AC119" s="163">
        <f ca="1"/>
        <v>3.4039785271223977E-2</v>
      </c>
      <c r="AD119" s="163">
        <f ca="1"/>
        <v>6.0906867069560944E-2</v>
      </c>
      <c r="AE119" s="139">
        <f ca="1"/>
        <v>0.1128400097830794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8.6847753821581719E-3</v>
      </c>
      <c r="AA120" s="163">
        <f ca="1"/>
        <v>1.5787586137353982E-2</v>
      </c>
      <c r="AB120" s="163">
        <f ca="1"/>
        <v>0</v>
      </c>
      <c r="AC120" s="163">
        <f ca="1"/>
        <v>3.543822682888953E-2</v>
      </c>
      <c r="AD120" s="163">
        <f ca="1"/>
        <v>5.3821946925467379E-2</v>
      </c>
      <c r="AE120" s="139">
        <f ca="1"/>
        <v>8.0796889941006422E-2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1.0246965467613167E-2</v>
      </c>
      <c r="AA121" s="163">
        <f ca="1"/>
        <v>1.882018939552732E-2</v>
      </c>
      <c r="AB121" s="163">
        <f ca="1"/>
        <v>0</v>
      </c>
      <c r="AC121" s="163">
        <f ca="1"/>
        <v>4.0480843151931123E-2</v>
      </c>
      <c r="AD121" s="163">
        <f ca="1"/>
        <v>6.3262816360325713E-2</v>
      </c>
      <c r="AE121" s="139">
        <f ca="1"/>
        <v>9.7441855442318981E-2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2.8368355949676904E-2</v>
      </c>
      <c r="AE122" s="139">
        <f ca="1"/>
        <v>5.1315729532850907E-2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1.418424931014528E-2</v>
      </c>
      <c r="AB123" s="163">
        <f ca="1"/>
        <v>0</v>
      </c>
      <c r="AC123" s="163">
        <f ca="1"/>
        <v>3.3898660911353851E-2</v>
      </c>
      <c r="AD123" s="163">
        <f ca="1"/>
        <v>5.6869583803202839E-2</v>
      </c>
      <c r="AE123" s="139">
        <f ca="1"/>
        <v>9.6154903789345991E-2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2.7957919866556047E-2</v>
      </c>
      <c r="AD124" s="163">
        <f ca="1"/>
        <v>4.8798979100195816E-2</v>
      </c>
      <c r="AE124" s="139">
        <f ca="1"/>
        <v>8.3190537230178996E-2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2.1925324814300318E-3</v>
      </c>
      <c r="Y125" s="163">
        <f ca="1"/>
        <v>4.010393289848091E-3</v>
      </c>
      <c r="Z125" s="163">
        <f ca="1"/>
        <v>1.3772298107779579E-2</v>
      </c>
      <c r="AA125" s="163">
        <f ca="1"/>
        <v>3.787353762815493E-2</v>
      </c>
      <c r="AB125" s="163">
        <f ca="1"/>
        <v>0</v>
      </c>
      <c r="AC125" s="163">
        <f ca="1"/>
        <v>8.2828479657775955E-2</v>
      </c>
      <c r="AD125" s="163">
        <f ca="1"/>
        <v>0.13595143534377874</v>
      </c>
      <c r="AE125" s="139">
        <f ca="1"/>
        <v>0.21539866172637523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1.1677319125500185E-2</v>
      </c>
      <c r="AA126" s="163">
        <f ca="1"/>
        <v>2.3584738927073579E-2</v>
      </c>
      <c r="AB126" s="163">
        <f ca="1"/>
        <v>0</v>
      </c>
      <c r="AC126" s="163">
        <f ca="1"/>
        <v>5.603885178129997E-2</v>
      </c>
      <c r="AD126" s="163">
        <f ca="1"/>
        <v>9.6859145317988782E-2</v>
      </c>
      <c r="AE126" s="139">
        <f ca="1"/>
        <v>0.15703960684523799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2.0133477905737274E-2</v>
      </c>
      <c r="AD127" s="163">
        <f ca="1"/>
        <v>3.2932502559526733E-2</v>
      </c>
      <c r="AE127" s="139">
        <f ca="1"/>
        <v>5.5757043832137421E-2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1.3656913355759803E-2</v>
      </c>
      <c r="AB128" s="163">
        <f ca="1"/>
        <v>0</v>
      </c>
      <c r="AC128" s="163">
        <f ca="1"/>
        <v>3.395210182191144E-2</v>
      </c>
      <c r="AD128" s="163">
        <f ca="1"/>
        <v>5.6923698767908038E-2</v>
      </c>
      <c r="AE128" s="139">
        <f ca="1"/>
        <v>9.8114685044856653E-2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8.8343781721317294E-3</v>
      </c>
      <c r="AA129" s="163">
        <f ca="1"/>
        <v>1.6756665058535791E-2</v>
      </c>
      <c r="AB129" s="163">
        <f ca="1"/>
        <v>0</v>
      </c>
      <c r="AC129" s="163">
        <f ca="1"/>
        <v>4.610564996943034E-2</v>
      </c>
      <c r="AD129" s="163">
        <f ca="1"/>
        <v>7.7102497979609219E-2</v>
      </c>
      <c r="AE129" s="139">
        <f ca="1"/>
        <v>0.12333855215619671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1.3152955109980269E-2</v>
      </c>
      <c r="AB130" s="163">
        <f ca="1"/>
        <v>0</v>
      </c>
      <c r="AC130" s="163">
        <f ca="1"/>
        <v>3.4030048715216199E-2</v>
      </c>
      <c r="AD130" s="163">
        <f ca="1"/>
        <v>5.9599292849552676E-2</v>
      </c>
      <c r="AE130" s="139">
        <f ca="1"/>
        <v>0.10542860585723701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1.4153222754163863E-2</v>
      </c>
      <c r="AB131" s="163">
        <f ca="1"/>
        <v>0</v>
      </c>
      <c r="AC131" s="163">
        <f ca="1"/>
        <v>3.3866695873372432E-2</v>
      </c>
      <c r="AD131" s="163">
        <f ca="1"/>
        <v>5.8135264191929714E-2</v>
      </c>
      <c r="AE131" s="139">
        <f ca="1"/>
        <v>9.9744235113975899E-2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1.3115911432529104E-2</v>
      </c>
      <c r="AB132" s="163">
        <f ca="1"/>
        <v>0</v>
      </c>
      <c r="AC132" s="163">
        <f ca="1"/>
        <v>3.3991562851130475E-2</v>
      </c>
      <c r="AD132" s="163">
        <f ca="1"/>
        <v>5.5664784912033638E-2</v>
      </c>
      <c r="AE132" s="139">
        <f ca="1"/>
        <v>9.4529034564037939E-2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2.4480836323006239E-2</v>
      </c>
      <c r="AD133" s="163">
        <f ca="1"/>
        <v>3.885309605326881E-2</v>
      </c>
      <c r="AE133" s="139">
        <f ca="1"/>
        <v>6.9743984138375681E-2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2.6272086353460677E-2</v>
      </c>
      <c r="AD134" s="163">
        <f ca="1"/>
        <v>4.3884935759974208E-2</v>
      </c>
      <c r="AE134" s="139">
        <f ca="1"/>
        <v>8.0390634916203796E-2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1.3684841058316577E-2</v>
      </c>
      <c r="AB135" s="163">
        <f ca="1"/>
        <v>0</v>
      </c>
      <c r="AC135" s="163">
        <f ca="1"/>
        <v>3.4879773680039472E-2</v>
      </c>
      <c r="AD135" s="163">
        <f ca="1"/>
        <v>5.9451658682848851E-2</v>
      </c>
      <c r="AE135" s="139">
        <f ca="1"/>
        <v>0.11097355044380119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7.6529382748756758E-3</v>
      </c>
      <c r="AA136" s="163">
        <f ca="1"/>
        <v>1.3526502616052039E-2</v>
      </c>
      <c r="AB136" s="163">
        <f ca="1"/>
        <v>0</v>
      </c>
      <c r="AC136" s="163">
        <f ca="1"/>
        <v>2.8479949995780185E-2</v>
      </c>
      <c r="AD136" s="163">
        <f ca="1"/>
        <v>4.4668588148517374E-2</v>
      </c>
      <c r="AE136" s="139">
        <f ca="1"/>
        <v>6.9754549605058891E-2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2.4891482326676928E-2</v>
      </c>
      <c r="AD137" s="163">
        <f ca="1"/>
        <v>3.8555620693550785E-2</v>
      </c>
      <c r="AE137" s="139">
        <f ca="1"/>
        <v>6.4761008750436666E-2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1.4297769345603228E-2</v>
      </c>
      <c r="AB138" s="163">
        <f ca="1"/>
        <v>0</v>
      </c>
      <c r="AC138" s="163">
        <f ca="1"/>
        <v>3.43585572919618E-2</v>
      </c>
      <c r="AD138" s="163">
        <f ca="1"/>
        <v>5.9143134303328959E-2</v>
      </c>
      <c r="AE138" s="139">
        <f ca="1"/>
        <v>9.9821544953937247E-2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3.9936415851451468E-3</v>
      </c>
      <c r="Z139" s="163">
        <f ca="1"/>
        <v>1.1116577744650802E-2</v>
      </c>
      <c r="AA139" s="163">
        <f ca="1"/>
        <v>1.8966507480070782E-2</v>
      </c>
      <c r="AB139" s="163">
        <f ca="1"/>
        <v>0</v>
      </c>
      <c r="AC139" s="163">
        <f ca="1"/>
        <v>3.7465100665089901E-2</v>
      </c>
      <c r="AD139" s="163">
        <f ca="1"/>
        <v>5.6335480033279484E-2</v>
      </c>
      <c r="AE139" s="139">
        <f ca="1"/>
        <v>8.5820835666251316E-2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1.9800773947639794E-2</v>
      </c>
      <c r="AD140" s="163">
        <f ca="1"/>
        <v>3.1748123020688412E-2</v>
      </c>
      <c r="AE140" s="139">
        <f ca="1"/>
        <v>6.3639891018810957E-2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1.4686505007753148E-2</v>
      </c>
      <c r="AB141" s="163">
        <f ca="1"/>
        <v>0</v>
      </c>
      <c r="AC141" s="163">
        <f ca="1"/>
        <v>3.4825579021635855E-2</v>
      </c>
      <c r="AD141" s="163">
        <f ca="1"/>
        <v>5.7256112584095131E-2</v>
      </c>
      <c r="AE141" s="139">
        <f ca="1"/>
        <v>0.10022577323271431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2.1702897557883238E-2</v>
      </c>
      <c r="AD142" s="163">
        <f ca="1"/>
        <v>3.3483289497797109E-2</v>
      </c>
      <c r="AE142" s="139">
        <f ca="1"/>
        <v>5.7612968418868094E-2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1.2541419074127425E-2</v>
      </c>
      <c r="AB143" s="163">
        <f ca="1"/>
        <v>0</v>
      </c>
      <c r="AC143" s="163">
        <f ca="1"/>
        <v>3.0236901878025524E-2</v>
      </c>
      <c r="AD143" s="163">
        <f ca="1"/>
        <v>5.4410446607383922E-2</v>
      </c>
      <c r="AE143" s="139">
        <f ca="1"/>
        <v>9.4605891866512803E-2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1.3203620538845162E-2</v>
      </c>
      <c r="AB144" s="163">
        <f ca="1"/>
        <v>0</v>
      </c>
      <c r="AC144" s="163">
        <f ca="1"/>
        <v>3.1464193060403822E-2</v>
      </c>
      <c r="AD144" s="163">
        <f ca="1"/>
        <v>4.5053339877386356E-2</v>
      </c>
      <c r="AE144" s="139">
        <f ca="1"/>
        <v>6.6753872812843729E-2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2.3090089497787014E-2</v>
      </c>
      <c r="AD145" s="163">
        <f ca="1"/>
        <v>4.375704611032627E-2</v>
      </c>
      <c r="AE145" s="139">
        <f ca="1"/>
        <v>7.6629643326463381E-2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1.673683088849387E-2</v>
      </c>
      <c r="AB146" s="163">
        <f ca="1"/>
        <v>0</v>
      </c>
      <c r="AC146" s="163">
        <f ca="1"/>
        <v>3.4558455749266748E-2</v>
      </c>
      <c r="AD146" s="163">
        <f ca="1"/>
        <v>5.9379161592117202E-2</v>
      </c>
      <c r="AE146" s="139">
        <f ca="1"/>
        <v>0.1083896260929047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1.54360891852795E-2</v>
      </c>
      <c r="AB147" s="163">
        <f ca="1"/>
        <v>0</v>
      </c>
      <c r="AC147" s="163">
        <f ca="1"/>
        <v>3.8648360158315853E-2</v>
      </c>
      <c r="AD147" s="163">
        <f ca="1"/>
        <v>6.7434479060067054E-2</v>
      </c>
      <c r="AE147" s="139">
        <f ca="1"/>
        <v>0.12680656535560964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3.1425434050318501E-2</v>
      </c>
      <c r="AD148" s="163">
        <f ca="1"/>
        <v>5.9311547165006751E-2</v>
      </c>
      <c r="AE148" s="139">
        <f ca="1"/>
        <v>0.11437296629646065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3.0999549064383181E-2</v>
      </c>
      <c r="AD149" s="163">
        <f ca="1"/>
        <v>5.4467002891492755E-2</v>
      </c>
      <c r="AE149" s="139">
        <f ca="1"/>
        <v>0.1040305145046676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2.857247107722527E-2</v>
      </c>
      <c r="AE150" s="139">
        <f ca="1"/>
        <v>5.480306267304802E-2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5.6898610753498557E-3</v>
      </c>
      <c r="Z151" s="163">
        <f ca="1"/>
        <v>0</v>
      </c>
      <c r="AA151" s="163">
        <f ca="1"/>
        <v>4.8991347942485386E-2</v>
      </c>
      <c r="AB151" s="163">
        <f ca="1"/>
        <v>0</v>
      </c>
      <c r="AC151" s="163">
        <f ca="1"/>
        <v>0.12842313333734456</v>
      </c>
      <c r="AD151" s="163">
        <f ca="1"/>
        <v>0.19948955121540168</v>
      </c>
      <c r="AE151" s="139">
        <f ca="1"/>
        <v>0.30448042373804451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1.9109011613180238E-2</v>
      </c>
      <c r="AD153" s="163">
        <f ca="1"/>
        <v>3.2992953246461898E-2</v>
      </c>
      <c r="AE153" s="139">
        <f ca="1"/>
        <v>5.6072820459958761E-2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2.2309797090679373E-2</v>
      </c>
      <c r="AD154" s="163">
        <f ca="1"/>
        <v>4.3755725387379041E-2</v>
      </c>
      <c r="AE154" s="139">
        <f ca="1"/>
        <v>8.5007239076859253E-2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3.4712474166064933E-2</v>
      </c>
      <c r="AE155" s="139">
        <f ca="1"/>
        <v>6.0401935062422529E-2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8.4146581944462007E-3</v>
      </c>
      <c r="Z156" s="163">
        <f ca="1"/>
        <v>0</v>
      </c>
      <c r="AA156" s="163">
        <f ca="1"/>
        <v>2.9081608315220775E-2</v>
      </c>
      <c r="AB156" s="163">
        <f ca="1"/>
        <v>0</v>
      </c>
      <c r="AC156" s="163">
        <f ca="1"/>
        <v>5.9718395479682496E-2</v>
      </c>
      <c r="AD156" s="163">
        <f ca="1"/>
        <v>8.1712909610534901E-2</v>
      </c>
      <c r="AE156" s="139">
        <f ca="1"/>
        <v>0.11373847511365476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2.3981788156545947E-2</v>
      </c>
      <c r="AD157" s="163">
        <f ca="1"/>
        <v>4.5493040122939088E-2</v>
      </c>
      <c r="AE157" s="139">
        <f ca="1"/>
        <v>8.2673274320024581E-2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1.1968370691444186E-2</v>
      </c>
      <c r="AB158" s="163">
        <f ca="1"/>
        <v>0</v>
      </c>
      <c r="AC158" s="163">
        <f ca="1"/>
        <v>3.0778513429751797E-2</v>
      </c>
      <c r="AD158" s="163">
        <f ca="1"/>
        <v>5.3978476965577338E-2</v>
      </c>
      <c r="AE158" s="139">
        <f ca="1"/>
        <v>9.1376334482759503E-2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2.3604486985600137E-2</v>
      </c>
      <c r="AD159" s="163">
        <f ca="1"/>
        <v>4.1240271260652106E-2</v>
      </c>
      <c r="AE159" s="139">
        <f ca="1"/>
        <v>6.9594917237116305E-2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2.1738304877117032E-2</v>
      </c>
      <c r="AB160" s="163">
        <f ca="1"/>
        <v>0</v>
      </c>
      <c r="AC160" s="163">
        <f ca="1"/>
        <v>4.9995087525113058E-2</v>
      </c>
      <c r="AD160" s="163">
        <f ca="1"/>
        <v>9.0878885472874704E-2</v>
      </c>
      <c r="AE160" s="139">
        <f ca="1"/>
        <v>0.1614180187900236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6.1357638474459852E-2</v>
      </c>
      <c r="Z161" s="163">
        <f ca="1"/>
        <v>0</v>
      </c>
      <c r="AA161" s="163">
        <f ca="1"/>
        <v>0.16180172822185779</v>
      </c>
      <c r="AB161" s="163">
        <f ca="1"/>
        <v>0</v>
      </c>
      <c r="AC161" s="163">
        <f ca="1"/>
        <v>0.22278673114940162</v>
      </c>
      <c r="AD161" s="163">
        <f ca="1"/>
        <v>0.27647013106967355</v>
      </c>
      <c r="AE161" s="139">
        <f ca="1"/>
        <v>0.35752357945133972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1.6476225215439566E-2</v>
      </c>
      <c r="AB162" s="163">
        <f ca="1"/>
        <v>0</v>
      </c>
      <c r="AC162" s="163">
        <f ca="1"/>
        <v>4.3291801702015631E-2</v>
      </c>
      <c r="AD162" s="163">
        <f ca="1"/>
        <v>8.0370159429357546E-2</v>
      </c>
      <c r="AE162" s="139">
        <f ca="1"/>
        <v>0.1513207870385016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2.1873326498921819E-2</v>
      </c>
      <c r="AD163" s="163">
        <f ca="1"/>
        <v>3.3494093404664138E-2</v>
      </c>
      <c r="AE163" s="139">
        <f ca="1"/>
        <v>5.9161604265737244E-2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1.4117649547769284E-2</v>
      </c>
      <c r="AB164" s="163">
        <f ca="1"/>
        <v>0</v>
      </c>
      <c r="AC164" s="163">
        <f ca="1"/>
        <v>3.3498634583840392E-2</v>
      </c>
      <c r="AD164" s="163">
        <f ca="1"/>
        <v>5.9822500359822728E-2</v>
      </c>
      <c r="AE164" s="139">
        <f ca="1"/>
        <v>0.10243236950479484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1.9424882686212452E-2</v>
      </c>
      <c r="AD165" s="163">
        <f ca="1"/>
        <v>3.5723989573513859E-2</v>
      </c>
      <c r="AE165" s="139">
        <f ca="1"/>
        <v>7.2742761101840525E-2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5.3984508258735575E-2</v>
      </c>
      <c r="Z166" s="163">
        <f ca="1"/>
        <v>0</v>
      </c>
      <c r="AA166" s="163">
        <f ca="1"/>
        <v>0.10618237116951168</v>
      </c>
      <c r="AB166" s="163">
        <f ca="1"/>
        <v>0</v>
      </c>
      <c r="AC166" s="163">
        <f ca="1"/>
        <v>0.14081079528870344</v>
      </c>
      <c r="AD166" s="163">
        <f ca="1"/>
        <v>0.1734368699737403</v>
      </c>
      <c r="AE166" s="139">
        <f ca="1"/>
        <v>0.22447350881971517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1.3797586628266689E-2</v>
      </c>
      <c r="AB167" s="163">
        <f ca="1"/>
        <v>0</v>
      </c>
      <c r="AC167" s="163">
        <f ca="1"/>
        <v>3.1456741252342546E-2</v>
      </c>
      <c r="AD167" s="163">
        <f ca="1"/>
        <v>5.7172543019049615E-2</v>
      </c>
      <c r="AE167" s="139">
        <f ca="1"/>
        <v>0.10557726177200455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1.2431002294970739E-2</v>
      </c>
      <c r="AB168" s="163">
        <f ca="1"/>
        <v>0</v>
      </c>
      <c r="AC168" s="163">
        <f ca="1"/>
        <v>3.0761912325184548E-2</v>
      </c>
      <c r="AD168" s="163">
        <f ca="1"/>
        <v>6.1448310172314891E-2</v>
      </c>
      <c r="AE168" s="139">
        <f ca="1"/>
        <v>0.11420952445308574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2.0694505809140451E-2</v>
      </c>
      <c r="AD169" s="163">
        <f ca="1"/>
        <v>3.7914180671365205E-2</v>
      </c>
      <c r="AE169" s="139">
        <f ca="1"/>
        <v>6.599038355870801E-2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1.1110170393083263E-2</v>
      </c>
      <c r="AB170" s="163">
        <f ca="1"/>
        <v>0</v>
      </c>
      <c r="AC170" s="163">
        <f ca="1"/>
        <v>2.2148087947991946E-2</v>
      </c>
      <c r="AD170" s="163">
        <f ca="1"/>
        <v>3.5090693032638565E-2</v>
      </c>
      <c r="AE170" s="139">
        <f ca="1"/>
        <v>6.478648169775747E-2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1.6733498014835924E-2</v>
      </c>
      <c r="AB171" s="163">
        <f ca="1"/>
        <v>0</v>
      </c>
      <c r="AC171" s="163">
        <f ca="1"/>
        <v>4.3280113374603135E-2</v>
      </c>
      <c r="AD171" s="163">
        <f ca="1"/>
        <v>7.4199385678274776E-2</v>
      </c>
      <c r="AE171" s="139">
        <f ca="1"/>
        <v>0.12257192688032958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0.14496593075348918</v>
      </c>
      <c r="Z172" s="163">
        <f ca="1"/>
        <v>0</v>
      </c>
      <c r="AA172" s="163">
        <f ca="1"/>
        <v>0.22857807782221029</v>
      </c>
      <c r="AB172" s="163">
        <f ca="1"/>
        <v>0</v>
      </c>
      <c r="AC172" s="163">
        <f ca="1"/>
        <v>0.26413026756472069</v>
      </c>
      <c r="AD172" s="163">
        <f ca="1"/>
        <v>0.28954638891619433</v>
      </c>
      <c r="AE172" s="139">
        <f ca="1"/>
        <v>0.34495873101404018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1.7221300518633575E-2</v>
      </c>
      <c r="AB173" s="163">
        <f ca="1"/>
        <v>0</v>
      </c>
      <c r="AC173" s="163">
        <f ca="1"/>
        <v>4.0623879619495429E-2</v>
      </c>
      <c r="AD173" s="163">
        <f ca="1"/>
        <v>7.2655662523480879E-2</v>
      </c>
      <c r="AE173" s="139">
        <f ca="1"/>
        <v>0.12815363475410346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1.5412222898813721E-2</v>
      </c>
      <c r="AB174" s="163">
        <f ca="1"/>
        <v>0</v>
      </c>
      <c r="AC174" s="163">
        <f ca="1"/>
        <v>4.1657834421497952E-2</v>
      </c>
      <c r="AD174" s="163">
        <f ca="1"/>
        <v>7.7958501820174053E-2</v>
      </c>
      <c r="AE174" s="139">
        <f ca="1"/>
        <v>0.13084058134415755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1.1812880869554454E-2</v>
      </c>
      <c r="AB175" s="163">
        <f ca="1"/>
        <v>0</v>
      </c>
      <c r="AC175" s="163">
        <f ca="1"/>
        <v>2.6483172481632344E-2</v>
      </c>
      <c r="AD175" s="163">
        <f ca="1"/>
        <v>4.827379897591666E-2</v>
      </c>
      <c r="AE175" s="139">
        <f ca="1"/>
        <v>8.9600921928675747E-2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1.5960615114387733E-2</v>
      </c>
      <c r="AB176" s="163">
        <f ca="1"/>
        <v>0</v>
      </c>
      <c r="AC176" s="163">
        <f ca="1"/>
        <v>4.0678039960752921E-2</v>
      </c>
      <c r="AD176" s="163">
        <f ca="1"/>
        <v>6.9401737726716983E-2</v>
      </c>
      <c r="AE176" s="139">
        <f ca="1"/>
        <v>0.13006006403425807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2.3617122635927523E-2</v>
      </c>
      <c r="AD177" s="163">
        <f ca="1"/>
        <v>4.1253077310903552E-2</v>
      </c>
      <c r="AE177" s="139">
        <f ca="1"/>
        <v>6.9607772522852551E-2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1.9783675729456718E-2</v>
      </c>
      <c r="AD178" s="163">
        <f ca="1"/>
        <v>3.5979745551545816E-2</v>
      </c>
      <c r="AE178" s="139">
        <f ca="1"/>
        <v>6.6180756940094509E-2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1.2016183838810868E-2</v>
      </c>
      <c r="AB179" s="163">
        <f ca="1"/>
        <v>0</v>
      </c>
      <c r="AC179" s="163">
        <f ca="1"/>
        <v>2.9002408498916998E-2</v>
      </c>
      <c r="AD179" s="163">
        <f ca="1"/>
        <v>5.3475477020267004E-2</v>
      </c>
      <c r="AE179" s="139">
        <f ca="1"/>
        <v>9.1847203186144366E-2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1.3076816532322066E-2</v>
      </c>
      <c r="AB180" s="163">
        <f ca="1"/>
        <v>0</v>
      </c>
      <c r="AC180" s="163">
        <f ca="1"/>
        <v>2.7246040797072268E-2</v>
      </c>
      <c r="AD180" s="163">
        <f ca="1"/>
        <v>4.8843334816846218E-2</v>
      </c>
      <c r="AE180" s="139">
        <f ca="1"/>
        <v>8.7749753661413354E-2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2.9976836749131541E-2</v>
      </c>
      <c r="AD181" s="163">
        <f ca="1"/>
        <v>5.5522368810812628E-2</v>
      </c>
      <c r="AE181" s="139">
        <f ca="1"/>
        <v>9.4354456050871005E-2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1.856305856451701E-2</v>
      </c>
      <c r="AD182" s="163">
        <f ca="1"/>
        <v>3.5186085247067567E-2</v>
      </c>
      <c r="AE182" s="139">
        <f ca="1"/>
        <v>6.6252678456734992E-2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1.3668778617700883E-2</v>
      </c>
      <c r="AB183" s="163">
        <f ca="1"/>
        <v>0</v>
      </c>
      <c r="AC183" s="163">
        <f ca="1"/>
        <v>2.8865703702577239E-2</v>
      </c>
      <c r="AD183" s="163">
        <f ca="1"/>
        <v>5.2900547170179113E-2</v>
      </c>
      <c r="AE183" s="139">
        <f ca="1"/>
        <v>9.1224593076258409E-2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2.3134399120133375E-2</v>
      </c>
      <c r="AB184" s="163">
        <f ca="1"/>
        <v>0</v>
      </c>
      <c r="AC184" s="163">
        <f ca="1"/>
        <v>6.4804645847897913E-2</v>
      </c>
      <c r="AD184" s="163">
        <f ca="1"/>
        <v>0.11654253867845843</v>
      </c>
      <c r="AE184" s="139">
        <f ca="1"/>
        <v>0.21814500966723493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2.163587793598476E-2</v>
      </c>
      <c r="AD185" s="163">
        <f ca="1"/>
        <v>3.3440419250982845E-2</v>
      </c>
      <c r="AE185" s="139">
        <f ca="1"/>
        <v>5.5120389365540867E-2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6.6341776497349514E-3</v>
      </c>
      <c r="Z186" s="163">
        <f ca="1"/>
        <v>0</v>
      </c>
      <c r="AA186" s="163">
        <f ca="1"/>
        <v>3.3716325225467081E-2</v>
      </c>
      <c r="AB186" s="163">
        <f ca="1"/>
        <v>0</v>
      </c>
      <c r="AC186" s="163">
        <f ca="1"/>
        <v>9.162329899443078E-2</v>
      </c>
      <c r="AD186" s="163">
        <f ca="1"/>
        <v>0.14522219640199052</v>
      </c>
      <c r="AE186" s="139">
        <f ca="1"/>
        <v>0.23463532907436491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2.3456536671127903E-2</v>
      </c>
      <c r="AD187" s="163">
        <f ca="1"/>
        <v>3.4436402525491627E-2</v>
      </c>
      <c r="AE187" s="139">
        <f ca="1"/>
        <v>5.6395191795920119E-2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1.6395562448158985E-2</v>
      </c>
      <c r="AB188" s="163">
        <f ca="1"/>
        <v>0</v>
      </c>
      <c r="AC188" s="163">
        <f ca="1"/>
        <v>4.2849109504540461E-2</v>
      </c>
      <c r="AD188" s="163">
        <f ca="1"/>
        <v>7.156338153409969E-2</v>
      </c>
      <c r="AE188" s="139">
        <f ca="1"/>
        <v>0.11809255007092301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5.0129801543200569E-3</v>
      </c>
      <c r="Z189" s="163">
        <f ca="1"/>
        <v>0</v>
      </c>
      <c r="AA189" s="163">
        <f ca="1"/>
        <v>2.5714201525192548E-2</v>
      </c>
      <c r="AB189" s="163">
        <f ca="1"/>
        <v>0</v>
      </c>
      <c r="AC189" s="163">
        <f ca="1"/>
        <v>6.3462435769516379E-2</v>
      </c>
      <c r="AD189" s="163">
        <f ca="1"/>
        <v>0.10096428625719001</v>
      </c>
      <c r="AE189" s="139">
        <f ca="1"/>
        <v>0.15920370423260655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2.3458394858656528E-2</v>
      </c>
      <c r="AB190" s="163">
        <f ca="1"/>
        <v>0</v>
      </c>
      <c r="AC190" s="163">
        <f ca="1"/>
        <v>5.965330088937093E-2</v>
      </c>
      <c r="AD190" s="163">
        <f ca="1"/>
        <v>9.8653001072775304E-2</v>
      </c>
      <c r="AE190" s="139">
        <f ca="1"/>
        <v>0.1690822273998478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1.4328503372099122E-2</v>
      </c>
      <c r="AB191" s="163">
        <f ca="1"/>
        <v>0</v>
      </c>
      <c r="AC191" s="163">
        <f ca="1"/>
        <v>2.9081227202395143E-2</v>
      </c>
      <c r="AD191" s="163">
        <f ca="1"/>
        <v>4.0667811900610085E-2</v>
      </c>
      <c r="AE191" s="139">
        <f ca="1"/>
        <v>5.9974276550001648E-2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2.4870888874896524E-2</v>
      </c>
      <c r="AD192" s="163">
        <f ca="1"/>
        <v>4.4770557870539629E-2</v>
      </c>
      <c r="AE192" s="139">
        <f ca="1"/>
        <v>8.2924354048939275E-2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1.9049466063048581E-2</v>
      </c>
      <c r="AD193" s="163">
        <f ca="1"/>
        <v>3.7116222322416847E-2</v>
      </c>
      <c r="AE193" s="139">
        <f ca="1"/>
        <v>7.2657891163940835E-2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1.9003408692888746E-2</v>
      </c>
      <c r="AD194" s="163">
        <f ca="1"/>
        <v>3.5351405334219099E-2</v>
      </c>
      <c r="AE194" s="139">
        <f ca="1"/>
        <v>6.4939153677430972E-2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2.6172167033330918E-2</v>
      </c>
      <c r="AD195" s="163">
        <f ca="1"/>
        <v>3.9400348316325107E-2</v>
      </c>
      <c r="AE195" s="139">
        <f ca="1"/>
        <v>6.7578155526781147E-2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1.8922955279791376E-2</v>
      </c>
      <c r="AD196" s="163">
        <f ca="1"/>
        <v>3.5056683752313744E-2</v>
      </c>
      <c r="AE196" s="139">
        <f ca="1"/>
        <v>6.419427788535359E-2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4.1986594330496452E-3</v>
      </c>
      <c r="Z197" s="163">
        <f ca="1"/>
        <v>0</v>
      </c>
      <c r="AA197" s="163">
        <f ca="1"/>
        <v>2.0402271038666431E-2</v>
      </c>
      <c r="AB197" s="163">
        <f ca="1"/>
        <v>0</v>
      </c>
      <c r="AC197" s="163">
        <f ca="1"/>
        <v>4.6113680963023596E-2</v>
      </c>
      <c r="AD197" s="163">
        <f ca="1"/>
        <v>7.3719347808435365E-2</v>
      </c>
      <c r="AE197" s="139">
        <f ca="1"/>
        <v>0.12419746846158219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1.9376568006848283E-2</v>
      </c>
      <c r="AD198" s="163">
        <f ca="1"/>
        <v>3.5674997879455606E-2</v>
      </c>
      <c r="AE198" s="139">
        <f ca="1"/>
        <v>6.69387743199652E-2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3.2943298576894042E-2</v>
      </c>
      <c r="AE199" s="139">
        <f ca="1"/>
        <v>6.0113761791093734E-2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2.2362956258816569E-2</v>
      </c>
      <c r="AD200" s="163">
        <f ca="1"/>
        <v>3.8457567032973317E-2</v>
      </c>
      <c r="AE200" s="139">
        <f ca="1"/>
        <v>6.7785342728959974E-2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5.0221055709870344E-3</v>
      </c>
      <c r="Z201" s="163">
        <f ca="1"/>
        <v>0</v>
      </c>
      <c r="AA201" s="163">
        <f ca="1"/>
        <v>3.6253275314029776E-2</v>
      </c>
      <c r="AB201" s="163">
        <f ca="1"/>
        <v>0</v>
      </c>
      <c r="AC201" s="163">
        <f ca="1"/>
        <v>9.1455713170480402E-2</v>
      </c>
      <c r="AD201" s="163">
        <f ca="1"/>
        <v>0.14428852834003936</v>
      </c>
      <c r="AE201" s="139">
        <f ca="1"/>
        <v>0.24596395497543644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1.6862455408628629E-2</v>
      </c>
      <c r="AB202" s="163">
        <f ca="1"/>
        <v>0</v>
      </c>
      <c r="AC202" s="163">
        <f ca="1"/>
        <v>3.6200339577745599E-2</v>
      </c>
      <c r="AD202" s="163">
        <f ca="1"/>
        <v>5.4768285520616744E-2</v>
      </c>
      <c r="AE202" s="139">
        <f ca="1"/>
        <v>8.2048960055306597E-2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3.4353829915637291E-2</v>
      </c>
      <c r="AD203" s="163">
        <f ca="1"/>
        <v>6.6077057196164635E-2</v>
      </c>
      <c r="AE203" s="139">
        <f ca="1"/>
        <v>0.11481448424921759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8.3380984289483817E-2</v>
      </c>
      <c r="Z204" s="163">
        <f ca="1"/>
        <v>0</v>
      </c>
      <c r="AA204" s="163">
        <f ca="1"/>
        <v>0.18947634233311139</v>
      </c>
      <c r="AB204" s="163">
        <f ca="1"/>
        <v>0</v>
      </c>
      <c r="AC204" s="163">
        <f ca="1"/>
        <v>0.24535726011642578</v>
      </c>
      <c r="AD204" s="163">
        <f ca="1"/>
        <v>0.29295351886562226</v>
      </c>
      <c r="AE204" s="139">
        <f ca="1"/>
        <v>0.34639820661366616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5.3213733052001055E-3</v>
      </c>
      <c r="Z205" s="163">
        <f ca="1"/>
        <v>0</v>
      </c>
      <c r="AA205" s="163">
        <f ca="1"/>
        <v>2.8473111369778925E-2</v>
      </c>
      <c r="AB205" s="163">
        <f ca="1"/>
        <v>0</v>
      </c>
      <c r="AC205" s="163">
        <f ca="1"/>
        <v>7.6942259402957291E-2</v>
      </c>
      <c r="AD205" s="163">
        <f ca="1"/>
        <v>0.12627263840650726</v>
      </c>
      <c r="AE205" s="139">
        <f ca="1"/>
        <v>0.2132844786666942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1.2314099534780576E-2</v>
      </c>
      <c r="Z206" s="163">
        <f ca="1"/>
        <v>0</v>
      </c>
      <c r="AA206" s="163">
        <f ca="1"/>
        <v>6.1751630073626829E-2</v>
      </c>
      <c r="AB206" s="163">
        <f ca="1"/>
        <v>0</v>
      </c>
      <c r="AC206" s="163">
        <f ca="1"/>
        <v>0.14743128803444971</v>
      </c>
      <c r="AD206" s="163">
        <f ca="1"/>
        <v>0.22198775785082225</v>
      </c>
      <c r="AE206" s="139">
        <f ca="1"/>
        <v>0.33894921982641713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2.3134814427562267E-2</v>
      </c>
      <c r="AD207" s="163">
        <f ca="1"/>
        <v>4.3351766825136528E-2</v>
      </c>
      <c r="AE207" s="139">
        <f ca="1"/>
        <v>7.9293797382433917E-2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2.695998613999917E-2</v>
      </c>
      <c r="AD208" s="163">
        <f ca="1"/>
        <v>4.9814288099388815E-2</v>
      </c>
      <c r="AE208" s="139">
        <f ca="1"/>
        <v>9.156513533911026E-2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6.9533784260709108E-2</v>
      </c>
      <c r="Z209" s="163">
        <f ca="1"/>
        <v>0</v>
      </c>
      <c r="AA209" s="163">
        <f ca="1"/>
        <v>0.18528073318829286</v>
      </c>
      <c r="AB209" s="163">
        <f ca="1"/>
        <v>0</v>
      </c>
      <c r="AC209" s="163">
        <f ca="1"/>
        <v>0.24997291598626648</v>
      </c>
      <c r="AD209" s="163">
        <f ca="1"/>
        <v>0.30609692027794055</v>
      </c>
      <c r="AE209" s="139">
        <f ca="1"/>
        <v>0.38057338082295777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7.976203167441076E-3</v>
      </c>
      <c r="Z210" s="163">
        <f ca="1"/>
        <v>0</v>
      </c>
      <c r="AA210" s="163">
        <f ca="1"/>
        <v>3.9593493281446235E-2</v>
      </c>
      <c r="AB210" s="163">
        <f ca="1"/>
        <v>0</v>
      </c>
      <c r="AC210" s="163">
        <f ca="1"/>
        <v>0.10203859580443886</v>
      </c>
      <c r="AD210" s="163">
        <f ca="1"/>
        <v>0.16426223783974259</v>
      </c>
      <c r="AE210" s="139">
        <f ca="1"/>
        <v>0.27327304512402073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6.7926920122127754E-3</v>
      </c>
      <c r="Z211" s="163">
        <f ca="1"/>
        <v>0</v>
      </c>
      <c r="AA211" s="163">
        <f ca="1"/>
        <v>4.093950341003838E-2</v>
      </c>
      <c r="AB211" s="163">
        <f ca="1"/>
        <v>0</v>
      </c>
      <c r="AC211" s="163">
        <f ca="1"/>
        <v>0.10324197998476381</v>
      </c>
      <c r="AD211" s="163">
        <f ca="1"/>
        <v>0.15871996737749827</v>
      </c>
      <c r="AE211" s="139">
        <f ca="1"/>
        <v>0.25419472744372273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3.1567532269629828E-2</v>
      </c>
      <c r="AE212" s="139">
        <f ca="1"/>
        <v>6.6136547730773487E-2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2.8038147489184984E-2</v>
      </c>
      <c r="AE213" s="139">
        <f ca="1"/>
        <v>5.0578411196187556E-2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1.2694599815470275E-2</v>
      </c>
      <c r="AB214" s="163">
        <f ca="1"/>
        <v>0</v>
      </c>
      <c r="AC214" s="163">
        <f ca="1"/>
        <v>3.6852028215217936E-2</v>
      </c>
      <c r="AD214" s="163">
        <f ca="1"/>
        <v>7.2182163723100823E-2</v>
      </c>
      <c r="AE214" s="139">
        <f ca="1"/>
        <v>0.12232190506577167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1.3811983119288773E-2</v>
      </c>
      <c r="AB215" s="163">
        <f ca="1"/>
        <v>0</v>
      </c>
      <c r="AC215" s="163">
        <f ca="1"/>
        <v>4.0951651409010692E-2</v>
      </c>
      <c r="AD215" s="163">
        <f ca="1"/>
        <v>7.1263406974178545E-2</v>
      </c>
      <c r="AE215" s="139">
        <f ca="1"/>
        <v>0.1424761821081153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5.3659984703522512E-2</v>
      </c>
      <c r="Z216" s="163">
        <f ca="1"/>
        <v>0</v>
      </c>
      <c r="AA216" s="163">
        <f ca="1"/>
        <v>0.13452120306644844</v>
      </c>
      <c r="AB216" s="163">
        <f ca="1"/>
        <v>0</v>
      </c>
      <c r="AC216" s="163">
        <f ca="1"/>
        <v>0.19034909807672229</v>
      </c>
      <c r="AD216" s="163">
        <f ca="1"/>
        <v>0.2149531807250894</v>
      </c>
      <c r="AE216" s="139">
        <f ca="1"/>
        <v>0.24534697724093435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2.2108958436727777E-2</v>
      </c>
      <c r="AD217" s="163">
        <f ca="1"/>
        <v>4.0431871053841939E-2</v>
      </c>
      <c r="AE217" s="139">
        <f ca="1"/>
        <v>7.2205377657469927E-2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2.2789843241933117E-2</v>
      </c>
      <c r="AD218" s="163">
        <f ca="1"/>
        <v>4.2633754631415832E-2</v>
      </c>
      <c r="AE218" s="139">
        <f ca="1"/>
        <v>7.6061839313548707E-2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5.3834054608700166E-3</v>
      </c>
      <c r="Z219" s="163">
        <f ca="1"/>
        <v>0</v>
      </c>
      <c r="AA219" s="163">
        <f ca="1"/>
        <v>2.1474470963559256E-2</v>
      </c>
      <c r="AB219" s="163">
        <f ca="1"/>
        <v>0</v>
      </c>
      <c r="AC219" s="163">
        <f ca="1"/>
        <v>6.0516274410879367E-2</v>
      </c>
      <c r="AD219" s="163">
        <f ca="1"/>
        <v>0.10074550648154246</v>
      </c>
      <c r="AE219" s="139">
        <f ca="1"/>
        <v>0.17021156833884243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1.1788593042153739E-2</v>
      </c>
      <c r="AB220" s="163">
        <f ca="1"/>
        <v>0</v>
      </c>
      <c r="AC220" s="163">
        <f ca="1"/>
        <v>2.9877621342166871E-2</v>
      </c>
      <c r="AD220" s="163">
        <f ca="1"/>
        <v>4.3410528250169333E-2</v>
      </c>
      <c r="AE220" s="139">
        <f ca="1"/>
        <v>7.0928708801642926E-2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1.3051465410570673E-2</v>
      </c>
      <c r="AB221" s="163">
        <f ca="1"/>
        <v>0</v>
      </c>
      <c r="AC221" s="163">
        <f ca="1"/>
        <v>3.4157288370437633E-2</v>
      </c>
      <c r="AD221" s="163">
        <f ca="1"/>
        <v>6.3483317451780819E-2</v>
      </c>
      <c r="AE221" s="139">
        <f ca="1"/>
        <v>0.12712499297534152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1.1853862089954315E-2</v>
      </c>
      <c r="AB222" s="163">
        <f ca="1"/>
        <v>0</v>
      </c>
      <c r="AC222" s="163">
        <f ca="1"/>
        <v>2.5100180218644241E-2</v>
      </c>
      <c r="AD222" s="163">
        <f ca="1"/>
        <v>4.5730756508965964E-2</v>
      </c>
      <c r="AE222" s="139">
        <f ca="1"/>
        <v>8.233423424099906E-2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2.4918820971126188E-2</v>
      </c>
      <c r="AD223" s="163">
        <f ca="1"/>
        <v>4.3493250504071712E-2</v>
      </c>
      <c r="AE223" s="139">
        <f ca="1"/>
        <v>8.0228564517207057E-2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2.413971594173081E-2</v>
      </c>
      <c r="AD224" s="163">
        <f ca="1"/>
        <v>4.8490972645036545E-2</v>
      </c>
      <c r="AE224" s="139">
        <f ca="1"/>
        <v>9.1784758569639968E-2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1.2840500555533985E-2</v>
      </c>
      <c r="AB225" s="163">
        <f ca="1"/>
        <v>0</v>
      </c>
      <c r="AC225" s="163">
        <f ca="1"/>
        <v>2.8979639957562031E-2</v>
      </c>
      <c r="AD225" s="163">
        <f ca="1"/>
        <v>5.2792300067716846E-2</v>
      </c>
      <c r="AE225" s="139">
        <f ca="1"/>
        <v>9.155400884606324E-2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2.3264449638460305E-2</v>
      </c>
      <c r="AD226" s="163">
        <f ca="1"/>
        <v>3.7426959012823113E-2</v>
      </c>
      <c r="AE226" s="139">
        <f ca="1"/>
        <v>7.2675440781882039E-2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1.8724496824361281E-2</v>
      </c>
      <c r="AD227" s="163">
        <f ca="1"/>
        <v>3.4070500312835872E-2</v>
      </c>
      <c r="AE227" s="139">
        <f ca="1"/>
        <v>6.5663981087961898E-2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2.4145034178292168E-2</v>
      </c>
      <c r="AD228" s="163">
        <f ca="1"/>
        <v>4.7860283200490406E-2</v>
      </c>
      <c r="AE228" s="139">
        <f ca="1"/>
        <v>8.7155319291358224E-2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1.2063530857970517E-2</v>
      </c>
      <c r="AB229" s="163">
        <f ca="1"/>
        <v>0</v>
      </c>
      <c r="AC229" s="163">
        <f ca="1"/>
        <v>2.6736595190184675E-2</v>
      </c>
      <c r="AD229" s="163">
        <f ca="1"/>
        <v>4.9559969177537355E-2</v>
      </c>
      <c r="AE229" s="139">
        <f ca="1"/>
        <v>9.3455342054677537E-2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1.1207463715194432E-2</v>
      </c>
      <c r="AB230" s="163">
        <f ca="1"/>
        <v>0</v>
      </c>
      <c r="AC230" s="163">
        <f ca="1"/>
        <v>2.7352495934297227E-2</v>
      </c>
      <c r="AD230" s="163">
        <f ca="1"/>
        <v>4.9427447003569935E-2</v>
      </c>
      <c r="AE230" s="139">
        <f ca="1"/>
        <v>8.8154390404665661E-2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6.7115828284074364E-2</v>
      </c>
      <c r="Z231" s="163">
        <f ca="1"/>
        <v>0</v>
      </c>
      <c r="AA231" s="163">
        <f ca="1"/>
        <v>0.17555374694781722</v>
      </c>
      <c r="AB231" s="163">
        <f ca="1"/>
        <v>0</v>
      </c>
      <c r="AC231" s="163">
        <f ca="1"/>
        <v>0.23677581308681472</v>
      </c>
      <c r="AD231" s="163">
        <f ca="1"/>
        <v>0.28495499593754303</v>
      </c>
      <c r="AE231" s="139">
        <f ca="1"/>
        <v>0.36251772905807067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1.1993825967085758E-2</v>
      </c>
      <c r="AB232" s="163">
        <f ca="1"/>
        <v>0</v>
      </c>
      <c r="AC232" s="163">
        <f ca="1"/>
        <v>3.946219147153962E-2</v>
      </c>
      <c r="AD232" s="163">
        <f ca="1"/>
        <v>7.0022583990121512E-2</v>
      </c>
      <c r="AE232" s="139">
        <f ca="1"/>
        <v>0.12132526695062107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0.21034011961719656</v>
      </c>
      <c r="Z233" s="163">
        <f ca="1"/>
        <v>0</v>
      </c>
      <c r="AA233" s="163">
        <f ca="1"/>
        <v>0.35949000060762537</v>
      </c>
      <c r="AB233" s="163">
        <f ca="1"/>
        <v>0</v>
      </c>
      <c r="AC233" s="163">
        <f ca="1"/>
        <v>0.38846971228943594</v>
      </c>
      <c r="AD233" s="163">
        <f ca="1"/>
        <v>0.46101211684443799</v>
      </c>
      <c r="AE233" s="139">
        <f ca="1"/>
        <v>0.54066320630674314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1.8653920719505002E-2</v>
      </c>
      <c r="AD234" s="163">
        <f ca="1"/>
        <v>3.5278376786024745E-2</v>
      </c>
      <c r="AE234" s="139">
        <f ca="1"/>
        <v>6.7299835185027135E-2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1.1407883629221627E-2</v>
      </c>
      <c r="AB235" s="163">
        <f ca="1"/>
        <v>0</v>
      </c>
      <c r="AC235" s="163">
        <f ca="1"/>
        <v>2.4300764691803201E-2</v>
      </c>
      <c r="AD235" s="163">
        <f ca="1"/>
        <v>4.5600195716022029E-2</v>
      </c>
      <c r="AE235" s="139">
        <f ca="1"/>
        <v>8.4267267038615423E-2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1.7847434156107678E-2</v>
      </c>
      <c r="AB236" s="163">
        <f ca="1"/>
        <v>0</v>
      </c>
      <c r="AC236" s="163">
        <f ca="1"/>
        <v>4.095489966022392E-2</v>
      </c>
      <c r="AD236" s="163">
        <f ca="1"/>
        <v>7.5241081696849621E-2</v>
      </c>
      <c r="AE236" s="139">
        <f ca="1"/>
        <v>0.13100362640399077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2.7814549731725591E-2</v>
      </c>
      <c r="AD237" s="163">
        <f ca="1"/>
        <v>4.7113816394415253E-2</v>
      </c>
      <c r="AE237" s="139">
        <f ca="1"/>
        <v>9.7760072929361508E-2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2.3974680549188387E-2</v>
      </c>
      <c r="AD238" s="163">
        <f ca="1"/>
        <v>4.4080335624791522E-2</v>
      </c>
      <c r="AE238" s="139">
        <f ca="1"/>
        <v>7.9637486466389906E-2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1.1176495308683365E-2</v>
      </c>
      <c r="AB239" s="163">
        <f ca="1"/>
        <v>0</v>
      </c>
      <c r="AC239" s="163">
        <f ca="1"/>
        <v>2.2597982026356767E-2</v>
      </c>
      <c r="AD239" s="163">
        <f ca="1"/>
        <v>4.3937514279692946E-2</v>
      </c>
      <c r="AE239" s="139">
        <f ca="1"/>
        <v>8.0087699611686713E-2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1.1203421533688807E-2</v>
      </c>
      <c r="AB240" s="163">
        <f ca="1"/>
        <v>0</v>
      </c>
      <c r="AC240" s="163">
        <f ca="1"/>
        <v>2.823037805647155E-2</v>
      </c>
      <c r="AD240" s="163">
        <f ca="1"/>
        <v>5.0586419585661013E-2</v>
      </c>
      <c r="AE240" s="139">
        <f ca="1"/>
        <v>8.971881020376915E-2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1.3345179468913781E-2</v>
      </c>
      <c r="AB241" s="163">
        <f ca="1"/>
        <v>0</v>
      </c>
      <c r="AC241" s="163">
        <f ca="1"/>
        <v>2.4931918976978329E-2</v>
      </c>
      <c r="AD241" s="163">
        <f ca="1"/>
        <v>4.2182376971521718E-2</v>
      </c>
      <c r="AE241" s="139">
        <f ca="1"/>
        <v>6.6634488286067106E-2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3.9721390964033709E-3</v>
      </c>
      <c r="Z242" s="163">
        <f ca="1"/>
        <v>0</v>
      </c>
      <c r="AA242" s="163">
        <f ca="1"/>
        <v>1.8790254783813576E-2</v>
      </c>
      <c r="AB242" s="163">
        <f ca="1"/>
        <v>0</v>
      </c>
      <c r="AC242" s="163">
        <f ca="1"/>
        <v>4.5461589926102941E-2</v>
      </c>
      <c r="AD242" s="163">
        <f ca="1"/>
        <v>7.4482454722157754E-2</v>
      </c>
      <c r="AE242" s="139">
        <f ca="1"/>
        <v>0.12011845984369851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1.5737976634174866E-2</v>
      </c>
      <c r="AB243" s="163">
        <f ca="1"/>
        <v>0</v>
      </c>
      <c r="AC243" s="163">
        <f ca="1"/>
        <v>3.7364028679816363E-2</v>
      </c>
      <c r="AD243" s="163">
        <f ca="1"/>
        <v>6.5733459604527367E-2</v>
      </c>
      <c r="AE243" s="139">
        <f ca="1"/>
        <v>0.11520491765018948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4.7483070123810478E-3</v>
      </c>
      <c r="Z244" s="163">
        <f ca="1"/>
        <v>0</v>
      </c>
      <c r="AA244" s="163">
        <f ca="1"/>
        <v>3.2851021424388005E-2</v>
      </c>
      <c r="AB244" s="163">
        <f ca="1"/>
        <v>0</v>
      </c>
      <c r="AC244" s="163">
        <f ca="1"/>
        <v>7.1990442899692142E-2</v>
      </c>
      <c r="AD244" s="163">
        <f ca="1"/>
        <v>0.11874327607418145</v>
      </c>
      <c r="AE244" s="139">
        <f ca="1"/>
        <v>0.20443204408008453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5.8941128863556624E-3</v>
      </c>
      <c r="Z245" s="163">
        <f ca="1"/>
        <v>0</v>
      </c>
      <c r="AA245" s="163">
        <f ca="1"/>
        <v>3.7259583037895005E-2</v>
      </c>
      <c r="AB245" s="163">
        <f ca="1"/>
        <v>0</v>
      </c>
      <c r="AC245" s="163">
        <f ca="1"/>
        <v>9.9385171125960459E-2</v>
      </c>
      <c r="AD245" s="163">
        <f ca="1"/>
        <v>0.15673831068677446</v>
      </c>
      <c r="AE245" s="139">
        <f ca="1"/>
        <v>0.25026476124959973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2.3358380427887071E-2</v>
      </c>
      <c r="AD246" s="163">
        <f ca="1"/>
        <v>4.2291542027396267E-2</v>
      </c>
      <c r="AE246" s="139">
        <f ca="1"/>
        <v>7.8780799898704457E-2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1.2699833305912067E-2</v>
      </c>
      <c r="AB247" s="163">
        <f ca="1"/>
        <v>0</v>
      </c>
      <c r="AC247" s="163">
        <f ca="1"/>
        <v>2.4184162147819599E-2</v>
      </c>
      <c r="AD247" s="163">
        <f ca="1"/>
        <v>4.4845523114310781E-2</v>
      </c>
      <c r="AE247" s="139">
        <f ca="1"/>
        <v>8.7101444080858514E-2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4.3741429939001097E-2</v>
      </c>
      <c r="Z248" s="163">
        <f ca="1"/>
        <v>0</v>
      </c>
      <c r="AA248" s="163">
        <f ca="1"/>
        <v>0.11814795047049609</v>
      </c>
      <c r="AB248" s="163">
        <f ca="1"/>
        <v>0</v>
      </c>
      <c r="AC248" s="163">
        <f ca="1"/>
        <v>0.16877444982252365</v>
      </c>
      <c r="AD248" s="163">
        <f ca="1"/>
        <v>0.21730944513332562</v>
      </c>
      <c r="AE248" s="139">
        <f ca="1"/>
        <v>0.28102322260259316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1.2750653362823772E-2</v>
      </c>
      <c r="AB249" s="163">
        <f ca="1"/>
        <v>0</v>
      </c>
      <c r="AC249" s="163">
        <f ca="1"/>
        <v>2.4465140123457019E-2</v>
      </c>
      <c r="AD249" s="163">
        <f ca="1"/>
        <v>4.4345012825856789E-2</v>
      </c>
      <c r="AE249" s="139">
        <f ca="1"/>
        <v>7.5769454175497297E-2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2.4128385366415039E-2</v>
      </c>
      <c r="AD250" s="163">
        <f ca="1"/>
        <v>4.6159714624841364E-2</v>
      </c>
      <c r="AE250" s="139">
        <f ca="1"/>
        <v>8.8195132577704838E-2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2.4950601244808746E-2</v>
      </c>
      <c r="AB251" s="163">
        <f ca="1"/>
        <v>0</v>
      </c>
      <c r="AC251" s="163">
        <f ca="1"/>
        <v>5.8532839524293334E-2</v>
      </c>
      <c r="AD251" s="163">
        <f ca="1"/>
        <v>0.10161480881914065</v>
      </c>
      <c r="AE251" s="139">
        <f ca="1"/>
        <v>0.16821660688099616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1.5624352797104279E-2</v>
      </c>
      <c r="AB252" s="163">
        <f ca="1"/>
        <v>0</v>
      </c>
      <c r="AC252" s="163">
        <f ca="1"/>
        <v>3.3908890561698879E-2</v>
      </c>
      <c r="AD252" s="163">
        <f ca="1"/>
        <v>5.7048995184617479E-2</v>
      </c>
      <c r="AE252" s="139">
        <f ca="1"/>
        <v>9.94092516910835E-2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3.8632746882682922E-2</v>
      </c>
      <c r="AE253" s="139">
        <f ca="1"/>
        <v>6.3093107151057426E-2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1.9866604223652939E-2</v>
      </c>
      <c r="AD254" s="163">
        <f ca="1"/>
        <v>3.6955601375521341E-2</v>
      </c>
      <c r="AE254" s="139">
        <f ca="1"/>
        <v>6.0999599576546992E-2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2.1104462483002573E-2</v>
      </c>
      <c r="AD255" s="163">
        <f ca="1"/>
        <v>4.0574567071399947E-2</v>
      </c>
      <c r="AE255" s="139">
        <f ca="1"/>
        <v>8.21269284551156E-2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3.7753100150841989E-2</v>
      </c>
      <c r="Z256" s="163">
        <f ca="1"/>
        <v>0</v>
      </c>
      <c r="AA256" s="163">
        <f ca="1"/>
        <v>9.4188671917379674E-2</v>
      </c>
      <c r="AB256" s="163">
        <f ca="1"/>
        <v>0</v>
      </c>
      <c r="AC256" s="163">
        <f ca="1"/>
        <v>0.12517265147809065</v>
      </c>
      <c r="AD256" s="163">
        <f ca="1"/>
        <v>0.16371763583318877</v>
      </c>
      <c r="AE256" s="139">
        <f ca="1"/>
        <v>0.21027142116233033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1.3745788679409787E-2</v>
      </c>
      <c r="AB257" s="163">
        <f ca="1"/>
        <v>0</v>
      </c>
      <c r="AC257" s="163">
        <f ca="1"/>
        <v>2.9634604635105477E-2</v>
      </c>
      <c r="AD257" s="163">
        <f ca="1"/>
        <v>4.2057593308195251E-2</v>
      </c>
      <c r="AE257" s="139">
        <f ca="1"/>
        <v>6.090271350320875E-2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5.372458888195486E-3</v>
      </c>
      <c r="Z258" s="163">
        <f ca="1"/>
        <v>0</v>
      </c>
      <c r="AA258" s="163">
        <f ca="1"/>
        <v>2.3224575722690877E-2</v>
      </c>
      <c r="AB258" s="163">
        <f ca="1"/>
        <v>0</v>
      </c>
      <c r="AC258" s="163">
        <f ca="1"/>
        <v>6.2018666953658097E-2</v>
      </c>
      <c r="AD258" s="163">
        <f ca="1"/>
        <v>0.10303767371037786</v>
      </c>
      <c r="AE258" s="139">
        <f ca="1"/>
        <v>0.17372818572647186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1.3868761933307217E-2</v>
      </c>
      <c r="AB259" s="163">
        <f ca="1"/>
        <v>0</v>
      </c>
      <c r="AC259" s="163">
        <f ca="1"/>
        <v>4.097469436676815E-2</v>
      </c>
      <c r="AD259" s="163">
        <f ca="1"/>
        <v>6.9846967258752723E-2</v>
      </c>
      <c r="AE259" s="139">
        <f ca="1"/>
        <v>0.11509123696443135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3.3069152961430093E-2</v>
      </c>
      <c r="AE260" s="139">
        <f ca="1"/>
        <v>6.1626320951239988E-2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4.8322798352570251E-3</v>
      </c>
      <c r="Z261" s="163">
        <f ca="1"/>
        <v>0</v>
      </c>
      <c r="AA261" s="163">
        <f ca="1"/>
        <v>2.0524345404000832E-2</v>
      </c>
      <c r="AB261" s="163">
        <f ca="1"/>
        <v>0</v>
      </c>
      <c r="AC261" s="163">
        <f ca="1"/>
        <v>4.3451068554656302E-2</v>
      </c>
      <c r="AD261" s="163">
        <f ca="1"/>
        <v>6.7271165093437668E-2</v>
      </c>
      <c r="AE261" s="139">
        <f ca="1"/>
        <v>0.10869023775336295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4.5286743818485409E-2</v>
      </c>
      <c r="Z262" s="163">
        <f ca="1"/>
        <v>0</v>
      </c>
      <c r="AA262" s="163">
        <f ca="1"/>
        <v>0.12214123699770663</v>
      </c>
      <c r="AB262" s="163">
        <f ca="1"/>
        <v>0</v>
      </c>
      <c r="AC262" s="163">
        <f ca="1"/>
        <v>0.17426323130234811</v>
      </c>
      <c r="AD262" s="163">
        <f ca="1"/>
        <v>0.22411625958367987</v>
      </c>
      <c r="AE262" s="139">
        <f ca="1"/>
        <v>0.28939832129335052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8.2582190545451573E-3</v>
      </c>
      <c r="Z263" s="163">
        <f ca="1"/>
        <v>0</v>
      </c>
      <c r="AA263" s="163">
        <f ca="1"/>
        <v>4.0988029756331423E-2</v>
      </c>
      <c r="AB263" s="163">
        <f ca="1"/>
        <v>0</v>
      </c>
      <c r="AC263" s="163">
        <f ca="1"/>
        <v>0.1055628073089574</v>
      </c>
      <c r="AD263" s="163">
        <f ca="1"/>
        <v>0.16978207320817895</v>
      </c>
      <c r="AE263" s="139">
        <f ca="1"/>
        <v>0.28199405667460109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2.2920785959124057E-3</v>
      </c>
      <c r="Y264" s="163">
        <f ca="1"/>
        <v>5.4900074609994798E-3</v>
      </c>
      <c r="Z264" s="163">
        <f ca="1"/>
        <v>1.72765273694101E-2</v>
      </c>
      <c r="AA264" s="163">
        <f ca="1"/>
        <v>3.6544221846006031E-2</v>
      </c>
      <c r="AB264" s="163">
        <f ca="1"/>
        <v>6.7855673502437708E-2</v>
      </c>
      <c r="AC264" s="163">
        <f ca="1"/>
        <v>0.10370620030273792</v>
      </c>
      <c r="AD264" s="163">
        <f ca="1"/>
        <v>0.17750778939769096</v>
      </c>
      <c r="AE264" s="139">
        <f ca="1"/>
        <v>0.27793180109633164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5.4723090885714365E-3</v>
      </c>
      <c r="Y265" s="163">
        <f ca="1"/>
        <v>1.0020724200858533E-2</v>
      </c>
      <c r="Z265" s="163">
        <f ca="1"/>
        <v>2.8673484977647101E-2</v>
      </c>
      <c r="AA265" s="163">
        <f ca="1"/>
        <v>5.0956037245961872E-2</v>
      </c>
      <c r="AB265" s="163">
        <f ca="1"/>
        <v>0</v>
      </c>
      <c r="AC265" s="163">
        <f ca="1"/>
        <v>0.10531994491041108</v>
      </c>
      <c r="AD265" s="163">
        <f ca="1"/>
        <v>0.17047732929969406</v>
      </c>
      <c r="AE265" s="139">
        <f ca="1"/>
        <v>0.25128606209419968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7.0331487738792831E-3</v>
      </c>
      <c r="Z266" s="163">
        <f ca="1"/>
        <v>0</v>
      </c>
      <c r="AA266" s="163">
        <f ca="1"/>
        <v>4.2383784896835253E-2</v>
      </c>
      <c r="AB266" s="163">
        <f ca="1"/>
        <v>0</v>
      </c>
      <c r="AC266" s="163">
        <f ca="1"/>
        <v>0.10680407110783741</v>
      </c>
      <c r="AD266" s="163">
        <f ca="1"/>
        <v>0.16404686218791209</v>
      </c>
      <c r="AE266" s="139">
        <f ca="1"/>
        <v>0.26233680262110937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5.1881736760214237E-3</v>
      </c>
      <c r="Z267" s="163">
        <f ca="1"/>
        <v>0</v>
      </c>
      <c r="AA267" s="163">
        <f ca="1"/>
        <v>2.6618021451887852E-2</v>
      </c>
      <c r="AB267" s="163">
        <f ca="1"/>
        <v>0</v>
      </c>
      <c r="AC267" s="163">
        <f ca="1"/>
        <v>6.5677003335591344E-2</v>
      </c>
      <c r="AD267" s="163">
        <f ca="1"/>
        <v>0.1044310219790312</v>
      </c>
      <c r="AE267" s="139">
        <f ca="1"/>
        <v>0.16453274627770498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2.2483452814783589E-2</v>
      </c>
      <c r="AB268" s="163">
        <f ca="1"/>
        <v>0</v>
      </c>
      <c r="AC268" s="163">
        <f ca="1"/>
        <v>5.1761180516626482E-2</v>
      </c>
      <c r="AD268" s="163">
        <f ca="1"/>
        <v>9.4015719792987507E-2</v>
      </c>
      <c r="AE268" s="139">
        <f ca="1"/>
        <v>0.16684746721174037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9.2137832408625275E-3</v>
      </c>
      <c r="AA269" s="163">
        <f ca="1"/>
        <v>1.9452618944688416E-2</v>
      </c>
      <c r="AB269" s="163">
        <f ca="1"/>
        <v>0</v>
      </c>
      <c r="AC269" s="163">
        <f ca="1"/>
        <v>4.9465566556484375E-2</v>
      </c>
      <c r="AD269" s="163">
        <f ca="1"/>
        <v>8.5462143255212841E-2</v>
      </c>
      <c r="AE269" s="139">
        <f ca="1"/>
        <v>0.14746919295187044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5.4253662178604944E-3</v>
      </c>
      <c r="Z270" s="163">
        <f ca="1"/>
        <v>0</v>
      </c>
      <c r="AA270" s="163">
        <f ca="1"/>
        <v>5.8950194274896228E-2</v>
      </c>
      <c r="AB270" s="163">
        <f ca="1"/>
        <v>0</v>
      </c>
      <c r="AC270" s="163">
        <f ca="1"/>
        <v>9.6021707297539005E-2</v>
      </c>
      <c r="AD270" s="163">
        <f ca="1"/>
        <v>0.12386920115017952</v>
      </c>
      <c r="AE270" s="139">
        <f ca="1"/>
        <v>0.16555267785701344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2.29949935032151E-2</v>
      </c>
      <c r="AB271" s="163">
        <f ca="1"/>
        <v>0</v>
      </c>
      <c r="AC271" s="163">
        <f ca="1"/>
        <v>6.2710064988332204E-2</v>
      </c>
      <c r="AD271" s="163">
        <f ca="1"/>
        <v>9.6605903523528047E-2</v>
      </c>
      <c r="AE271" s="139">
        <f ca="1"/>
        <v>0.1557536738177363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1.872827159820889E-2</v>
      </c>
      <c r="AB272" s="163">
        <f ca="1"/>
        <v>0</v>
      </c>
      <c r="AC272" s="163">
        <f ca="1"/>
        <v>4.401965246475581E-2</v>
      </c>
      <c r="AD272" s="163">
        <f ca="1"/>
        <v>8.3728885735219638E-2</v>
      </c>
      <c r="AE272" s="139">
        <f ca="1"/>
        <v>0.15138057988412956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4.1584740656777086E-3</v>
      </c>
      <c r="Z273" s="163">
        <f ca="1"/>
        <v>0</v>
      </c>
      <c r="AA273" s="163">
        <f ca="1"/>
        <v>2.1232936743135533E-2</v>
      </c>
      <c r="AB273" s="163">
        <f ca="1"/>
        <v>0</v>
      </c>
      <c r="AC273" s="163">
        <f ca="1"/>
        <v>4.8158603982649817E-2</v>
      </c>
      <c r="AD273" s="163">
        <f ca="1"/>
        <v>7.3313448559735428E-2</v>
      </c>
      <c r="AE273" s="139">
        <f ca="1"/>
        <v>0.11994035482606147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8.8343781721317294E-3</v>
      </c>
      <c r="AA274" s="163">
        <f ca="1"/>
        <v>1.6756665058535791E-2</v>
      </c>
      <c r="AB274" s="163">
        <f ca="1"/>
        <v>0</v>
      </c>
      <c r="AC274" s="163">
        <f ca="1"/>
        <v>4.610564996943034E-2</v>
      </c>
      <c r="AD274" s="163">
        <f ca="1"/>
        <v>7.7102497979609219E-2</v>
      </c>
      <c r="AE274" s="139">
        <f ca="1"/>
        <v>0.12333855215619671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6.9790237131154287E-3</v>
      </c>
      <c r="Z275" s="163">
        <f ca="1"/>
        <v>0</v>
      </c>
      <c r="AA275" s="163">
        <f ca="1"/>
        <v>3.9150630958499799E-2</v>
      </c>
      <c r="AB275" s="163">
        <f ca="1"/>
        <v>0</v>
      </c>
      <c r="AC275" s="163">
        <f ca="1"/>
        <v>0.12862873577375644</v>
      </c>
      <c r="AD275" s="163">
        <f ca="1"/>
        <v>0.19919254973887068</v>
      </c>
      <c r="AE275" s="139">
        <f ca="1"/>
        <v>0.29639672966893071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1.8630703092628709E-2</v>
      </c>
      <c r="Y276" s="163">
        <f ca="1"/>
        <v>3.3967538397276731E-2</v>
      </c>
      <c r="Z276" s="163">
        <f ca="1"/>
        <v>5.8900813938911112E-2</v>
      </c>
      <c r="AA276" s="163">
        <f ca="1"/>
        <v>8.2066105571278469E-2</v>
      </c>
      <c r="AB276" s="163">
        <f ca="1"/>
        <v>0</v>
      </c>
      <c r="AC276" s="163">
        <f ca="1"/>
        <v>0.11940804113619552</v>
      </c>
      <c r="AD276" s="163">
        <f ca="1"/>
        <v>0.16294639453472426</v>
      </c>
      <c r="AE276" s="139">
        <f ca="1"/>
        <v>0.22432092204277654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8.6423893500766624E-3</v>
      </c>
      <c r="Y277" s="163">
        <f ca="1"/>
        <v>1.5814292753324688E-2</v>
      </c>
      <c r="Z277" s="163">
        <f ca="1"/>
        <v>3.007869659996476E-2</v>
      </c>
      <c r="AA277" s="163">
        <f ca="1"/>
        <v>4.5633998738019099E-2</v>
      </c>
      <c r="AB277" s="163">
        <f ca="1"/>
        <v>0</v>
      </c>
      <c r="AC277" s="163">
        <f ca="1"/>
        <v>7.9389108186451174E-2</v>
      </c>
      <c r="AD277" s="163">
        <f ca="1"/>
        <v>0.10858669465253434</v>
      </c>
      <c r="AE277" s="139">
        <f ca="1"/>
        <v>0.15073404796902956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5.0020295447822383E-3</v>
      </c>
      <c r="Z278" s="163">
        <f ca="1"/>
        <v>0</v>
      </c>
      <c r="AA278" s="163">
        <f ca="1"/>
        <v>2.1243575831727868E-2</v>
      </c>
      <c r="AB278" s="163">
        <f ca="1"/>
        <v>0</v>
      </c>
      <c r="AC278" s="163">
        <f ca="1"/>
        <v>4.4965402521472408E-2</v>
      </c>
      <c r="AD278" s="163">
        <f ca="1"/>
        <v>6.9604342983839884E-2</v>
      </c>
      <c r="AE278" s="139">
        <f ca="1"/>
        <v>0.1123880411650362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1.0253057894043183E-2</v>
      </c>
      <c r="AA279" s="163">
        <f ca="1"/>
        <v>1.8826398147786638E-2</v>
      </c>
      <c r="AB279" s="163">
        <f ca="1"/>
        <v>0</v>
      </c>
      <c r="AC279" s="163">
        <f ca="1"/>
        <v>3.959264007051333E-2</v>
      </c>
      <c r="AD279" s="163">
        <f ca="1"/>
        <v>6.3367605022959128E-2</v>
      </c>
      <c r="AE279" s="139">
        <f ca="1"/>
        <v>0.10704325908235135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1.4153222754163863E-2</v>
      </c>
      <c r="AB280" s="163">
        <f ca="1"/>
        <v>0</v>
      </c>
      <c r="AC280" s="163">
        <f ca="1"/>
        <v>3.3866695873372432E-2</v>
      </c>
      <c r="AD280" s="163">
        <f ca="1"/>
        <v>5.8135264191929714E-2</v>
      </c>
      <c r="AE280" s="139">
        <f ca="1"/>
        <v>9.9744235113975899E-2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1.5207479468169027E-2</v>
      </c>
      <c r="AB281" s="163">
        <f ca="1"/>
        <v>0</v>
      </c>
      <c r="AC281" s="163">
        <f ca="1"/>
        <v>3.4658226133389425E-2</v>
      </c>
      <c r="AD281" s="163">
        <f ca="1"/>
        <v>5.6632317045390845E-2</v>
      </c>
      <c r="AE281" s="139">
        <f ca="1"/>
        <v>9.782132473428895E-2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1.238044587049536E-2</v>
      </c>
      <c r="AB282" s="163">
        <f ca="1"/>
        <v>0</v>
      </c>
      <c r="AC282" s="163">
        <f ca="1"/>
        <v>3.1849641495380054E-2</v>
      </c>
      <c r="AD282" s="163">
        <f ca="1"/>
        <v>5.5860434840594664E-2</v>
      </c>
      <c r="AE282" s="139">
        <f ca="1"/>
        <v>9.4504696088143603E-2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1.3115911432529104E-2</v>
      </c>
      <c r="AB283" s="163">
        <f ca="1"/>
        <v>0</v>
      </c>
      <c r="AC283" s="163">
        <f ca="1"/>
        <v>3.3991562851130475E-2</v>
      </c>
      <c r="AD283" s="163">
        <f ca="1"/>
        <v>5.5664784912033638E-2</v>
      </c>
      <c r="AE283" s="139">
        <f ca="1"/>
        <v>9.4529034564037939E-2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9.4645607336041326E-3</v>
      </c>
      <c r="AB284" s="163">
        <f ca="1"/>
        <v>1.5208966364113508E-2</v>
      </c>
      <c r="AC284" s="163">
        <f ca="1"/>
        <v>2.2300359788123059E-2</v>
      </c>
      <c r="AD284" s="163">
        <f ca="1"/>
        <v>4.1603035800821697E-2</v>
      </c>
      <c r="AE284" s="139">
        <f ca="1"/>
        <v>7.2618462284459562E-2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1.2421145202808348E-2</v>
      </c>
      <c r="AB285" s="163">
        <f ca="1"/>
        <v>0</v>
      </c>
      <c r="AC285" s="163">
        <f ca="1"/>
        <v>2.914060323041634E-2</v>
      </c>
      <c r="AD285" s="163">
        <f ca="1"/>
        <v>5.295231067651951E-2</v>
      </c>
      <c r="AE285" s="139">
        <f ca="1"/>
        <v>9.3653678274341345E-2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2.8015481724813829E-2</v>
      </c>
      <c r="AD286" s="163">
        <f ca="1"/>
        <v>5.0162090501604806E-2</v>
      </c>
      <c r="AE286" s="139">
        <f ca="1"/>
        <v>8.8821386704805994E-2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2.6299715526027057E-2</v>
      </c>
      <c r="AD287" s="163">
        <f ca="1"/>
        <v>4.9139400416935874E-2</v>
      </c>
      <c r="AE287" s="139">
        <f ca="1"/>
        <v>8.7373396815618398E-2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2.9776067981397425E-2</v>
      </c>
      <c r="AD288" s="163">
        <f ca="1"/>
        <v>4.9927232056189874E-2</v>
      </c>
      <c r="AE288" s="139">
        <f ca="1"/>
        <v>8.6667343647653605E-2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2.4980598852864189E-2</v>
      </c>
      <c r="AD289" s="163">
        <f ca="1"/>
        <v>4.9519815898973696E-2</v>
      </c>
      <c r="AE289" s="139">
        <f ca="1"/>
        <v>9.0161607203386951E-2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2.6240905469327669E-2</v>
      </c>
      <c r="AD290" s="163">
        <f ca="1"/>
        <v>4.5160594831692324E-2</v>
      </c>
      <c r="AE290" s="139">
        <f ca="1"/>
        <v>7.8250779524413061E-2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2.5371373316465662E-2</v>
      </c>
      <c r="AD291" s="163">
        <f ca="1"/>
        <v>4.3981682085471707E-2</v>
      </c>
      <c r="AE291" s="139">
        <f ca="1"/>
        <v>7.8562623141590127E-2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5.5880827647889375E-2</v>
      </c>
      <c r="Z292" s="163">
        <f ca="1"/>
        <v>0</v>
      </c>
      <c r="AA292" s="163">
        <f ca="1"/>
        <v>0.10976664317524787</v>
      </c>
      <c r="AB292" s="163">
        <f ca="1"/>
        <v>0</v>
      </c>
      <c r="AC292" s="163">
        <f ca="1"/>
        <v>0.1454228900600375</v>
      </c>
      <c r="AD292" s="163">
        <f ca="1"/>
        <v>0.17897433653405015</v>
      </c>
      <c r="AE292" s="139">
        <f ca="1"/>
        <v>0.23136713709073509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4.6285517079027727E-3</v>
      </c>
      <c r="Y293" s="163">
        <f ca="1"/>
        <v>1.0562839514160816E-2</v>
      </c>
      <c r="Z293" s="163">
        <f ca="1"/>
        <v>2.814832231800668E-2</v>
      </c>
      <c r="AA293" s="163">
        <f ca="1"/>
        <v>5.1098501292872966E-2</v>
      </c>
      <c r="AB293" s="163">
        <f ca="1"/>
        <v>0</v>
      </c>
      <c r="AC293" s="163">
        <f ca="1"/>
        <v>0.10534794838885708</v>
      </c>
      <c r="AD293" s="163">
        <f ca="1"/>
        <v>0.14853914718285344</v>
      </c>
      <c r="AE293" s="139">
        <f ca="1"/>
        <v>0.21176099180833208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3.3302164984000404E-3</v>
      </c>
      <c r="Z294" s="163">
        <f ca="1"/>
        <v>1.0481190374145299E-2</v>
      </c>
      <c r="AA294" s="163">
        <f ca="1"/>
        <v>2.1400739274418989E-2</v>
      </c>
      <c r="AB294" s="163">
        <f ca="1"/>
        <v>0</v>
      </c>
      <c r="AC294" s="163">
        <f ca="1"/>
        <v>4.7183353216976087E-2</v>
      </c>
      <c r="AD294" s="163">
        <f ca="1"/>
        <v>7.2275921997210557E-2</v>
      </c>
      <c r="AE294" s="139">
        <f ca="1"/>
        <v>0.10661849595479855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1.4553990202404998E-2</v>
      </c>
      <c r="AB295" s="163">
        <f ca="1"/>
        <v>0</v>
      </c>
      <c r="AC295" s="163">
        <f ca="1"/>
        <v>3.565844548663788E-2</v>
      </c>
      <c r="AD295" s="163">
        <f ca="1"/>
        <v>6.0658982578288945E-2</v>
      </c>
      <c r="AE295" s="139">
        <f ca="1"/>
        <v>0.11035167078663777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1.3285451130952364E-2</v>
      </c>
      <c r="AB296" s="163">
        <f ca="1"/>
        <v>0</v>
      </c>
      <c r="AC296" s="163">
        <f ca="1"/>
        <v>2.9986230439295603E-2</v>
      </c>
      <c r="AD296" s="163">
        <f ca="1"/>
        <v>5.4628964836562988E-2</v>
      </c>
      <c r="AE296" s="139">
        <f ca="1"/>
        <v>9.472736140274185E-2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1.155865286261426E-2</v>
      </c>
      <c r="AB297" s="163">
        <f ca="1"/>
        <v>0</v>
      </c>
      <c r="AC297" s="163">
        <f ca="1"/>
        <v>2.3379728168314351E-2</v>
      </c>
      <c r="AD297" s="163">
        <f ca="1"/>
        <v>4.5463992800217401E-2</v>
      </c>
      <c r="AE297" s="139">
        <f ca="1"/>
        <v>8.2849094841691451E-2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2.6984572038756816E-2</v>
      </c>
      <c r="AD298" s="163">
        <f ca="1"/>
        <v>5.0298822278356026E-2</v>
      </c>
      <c r="AE298" s="139">
        <f ca="1"/>
        <v>9.919620078351421E-2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2.6984572038756816E-2</v>
      </c>
      <c r="AD299" s="163">
        <f ca="1"/>
        <v>5.0298822278356026E-2</v>
      </c>
      <c r="AE299" s="139">
        <f ca="1"/>
        <v>9.919620078351421E-2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2.3938333686611135E-2</v>
      </c>
      <c r="AD300" s="163">
        <f ca="1"/>
        <v>4.4853837705620903E-2</v>
      </c>
      <c r="AE300" s="139">
        <f ca="1"/>
        <v>8.2023307899545039E-2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2.3091260990364293E-2</v>
      </c>
      <c r="AD301" s="163">
        <f ca="1"/>
        <v>4.398995748992296E-2</v>
      </c>
      <c r="AE301" s="139">
        <f ca="1"/>
        <v>7.8218479116512252E-2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2.6281272042375403E-2</v>
      </c>
      <c r="AD302" s="163">
        <f ca="1"/>
        <v>4.3894225038375589E-2</v>
      </c>
      <c r="AE302" s="139">
        <f ca="1"/>
        <v>8.040007409816019E-2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2.4417813494068019E-2</v>
      </c>
      <c r="AD303" s="163">
        <f ca="1"/>
        <v>4.2663991022778958E-2</v>
      </c>
      <c r="AE303" s="139">
        <f ca="1"/>
        <v>7.1975642420099795E-2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2.3733113029913766E-2</v>
      </c>
      <c r="AD304" s="163">
        <f ca="1"/>
        <v>4.1724136050441119E-2</v>
      </c>
      <c r="AE304" s="139">
        <f ca="1"/>
        <v>7.1569807076026781E-2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2.1941721608961906E-2</v>
      </c>
      <c r="AD305" s="163">
        <f ca="1"/>
        <v>4.0619680589123686E-2</v>
      </c>
      <c r="AE305" s="139">
        <f ca="1"/>
        <v>7.38912912566696E-2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3.9967796920000187E-2</v>
      </c>
      <c r="AE306" s="139">
        <f ca="1"/>
        <v>6.526996283753983E-2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2.2657191418825273E-2</v>
      </c>
      <c r="AD307" s="163">
        <f ca="1"/>
        <v>3.6401758521324989E-2</v>
      </c>
      <c r="AE307" s="139">
        <f ca="1"/>
        <v>6.0586083047821648E-2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2.0948893178057038E-2</v>
      </c>
      <c r="AD308" s="163">
        <f ca="1"/>
        <v>3.668904685599772E-2</v>
      </c>
      <c r="AE308" s="139">
        <f ca="1"/>
        <v>6.6693858736039946E-2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1.9265335573838915E-2</v>
      </c>
      <c r="AD309" s="163">
        <f ca="1"/>
        <v>3.5690910031199063E-2</v>
      </c>
      <c r="AE309" s="139">
        <f ca="1"/>
        <v>6.1367811557444973E-2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2.0938486875177853E-2</v>
      </c>
      <c r="AD310" s="163">
        <f ca="1"/>
        <v>3.4053139613530292E-2</v>
      </c>
      <c r="AE310" s="139">
        <f ca="1"/>
        <v>5.927627817202008E-2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1.930687256364072E-2</v>
      </c>
      <c r="AD311" s="163">
        <f ca="1"/>
        <v>3.4419059868956881E-2</v>
      </c>
      <c r="AE311" s="139">
        <f ca="1"/>
        <v>6.1588505624515122E-2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9.5915810484865638E-3</v>
      </c>
      <c r="Y312" s="163">
        <f ca="1"/>
        <v>1.7545947278608365E-2</v>
      </c>
      <c r="Z312" s="163">
        <f ca="1"/>
        <v>3.2324590229869665E-2</v>
      </c>
      <c r="AA312" s="163">
        <f ca="1"/>
        <v>4.6432663469540447E-2</v>
      </c>
      <c r="AB312" s="163">
        <f ca="1"/>
        <v>0</v>
      </c>
      <c r="AC312" s="163">
        <f ca="1"/>
        <v>7.1183219430701716E-2</v>
      </c>
      <c r="AD312" s="163">
        <f ca="1"/>
        <v>9.7901555261036721E-2</v>
      </c>
      <c r="AE312" s="139">
        <f ca="1"/>
        <v>0.13661698105728515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1.7569012819128593E-3</v>
      </c>
      <c r="Y313" s="163">
        <f ca="1"/>
        <v>4.2580118341448703E-3</v>
      </c>
      <c r="Z313" s="163">
        <f ca="1"/>
        <v>1.2169496202838803E-2</v>
      </c>
      <c r="AA313" s="163">
        <f ca="1"/>
        <v>2.2264481688398896E-2</v>
      </c>
      <c r="AB313" s="163">
        <f ca="1"/>
        <v>0</v>
      </c>
      <c r="AC313" s="163">
        <f ca="1"/>
        <v>4.895997615527492E-2</v>
      </c>
      <c r="AD313" s="163">
        <f ca="1"/>
        <v>7.3748342985312298E-2</v>
      </c>
      <c r="AE313" s="139">
        <f ca="1"/>
        <v>0.11225352641792774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1.872827159820889E-2</v>
      </c>
      <c r="AB314" s="163">
        <f ca="1"/>
        <v>0</v>
      </c>
      <c r="AC314" s="163">
        <f ca="1"/>
        <v>3.9528639712653524E-2</v>
      </c>
      <c r="AD314" s="163">
        <f ca="1"/>
        <v>6.7343967713812125E-2</v>
      </c>
      <c r="AE314" s="139">
        <f ca="1"/>
        <v>0.11267773540781101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1.1421870594294004E-2</v>
      </c>
      <c r="AB315" s="163">
        <f ca="1"/>
        <v>1.8326896144971627E-2</v>
      </c>
      <c r="AC315" s="163">
        <f ca="1"/>
        <v>2.6837418667130852E-2</v>
      </c>
      <c r="AD315" s="163">
        <f ca="1"/>
        <v>5.0738101584200557E-2</v>
      </c>
      <c r="AE315" s="139">
        <f ca="1"/>
        <v>8.7982656509006163E-2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3.0513276662984534E-3</v>
      </c>
      <c r="Z316" s="163">
        <f ca="1"/>
        <v>8.5320936551742665E-3</v>
      </c>
      <c r="AA316" s="163">
        <f ca="1"/>
        <v>1.5777004426338004E-2</v>
      </c>
      <c r="AB316" s="163">
        <f ca="1"/>
        <v>0</v>
      </c>
      <c r="AC316" s="163">
        <f ca="1"/>
        <v>3.3661817621356227E-2</v>
      </c>
      <c r="AD316" s="163">
        <f ca="1"/>
        <v>5.325437168385394E-2</v>
      </c>
      <c r="AE316" s="139">
        <f ca="1"/>
        <v>8.3969446354870692E-2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3.062678476910774E-3</v>
      </c>
      <c r="Z317" s="163">
        <f ca="1"/>
        <v>8.072585649740005E-3</v>
      </c>
      <c r="AA317" s="163">
        <f ca="1"/>
        <v>1.4866472113135187E-2</v>
      </c>
      <c r="AB317" s="163">
        <f ca="1"/>
        <v>0</v>
      </c>
      <c r="AC317" s="163">
        <f ca="1"/>
        <v>3.3078069465197757E-2</v>
      </c>
      <c r="AD317" s="163">
        <f ca="1"/>
        <v>5.2247436708376949E-2</v>
      </c>
      <c r="AE317" s="139">
        <f ca="1"/>
        <v>8.1423403872628031E-2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1.3666333974435285E-2</v>
      </c>
      <c r="AB318" s="163">
        <f ca="1"/>
        <v>0</v>
      </c>
      <c r="AC318" s="163">
        <f ca="1"/>
        <v>3.2562878627373948E-2</v>
      </c>
      <c r="AD318" s="163">
        <f ca="1"/>
        <v>4.6613549792661857E-2</v>
      </c>
      <c r="AE318" s="139">
        <f ca="1"/>
        <v>6.9044708091184681E-2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6.8733742204147852E-3</v>
      </c>
      <c r="AA319" s="163">
        <f ca="1"/>
        <v>1.2143398753015622E-2</v>
      </c>
      <c r="AB319" s="163">
        <f ca="1"/>
        <v>0</v>
      </c>
      <c r="AC319" s="163">
        <f ca="1"/>
        <v>2.4594287369473777E-2</v>
      </c>
      <c r="AD319" s="163">
        <f ca="1"/>
        <v>3.5868785255172342E-2</v>
      </c>
      <c r="AE319" s="139">
        <f ca="1"/>
        <v>5.1827430459709278E-2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4.6149491643395546E-2</v>
      </c>
      <c r="AE320" s="139">
        <f ca="1"/>
        <v>8.9304730131437471E-2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1.2643347817584027E-2</v>
      </c>
      <c r="AB321" s="163">
        <f ca="1"/>
        <v>0</v>
      </c>
      <c r="AC321" s="163">
        <f ca="1"/>
        <v>2.7681789591056272E-2</v>
      </c>
      <c r="AD321" s="163">
        <f ca="1"/>
        <v>4.3430244532435824E-2</v>
      </c>
      <c r="AE321" s="139">
        <f ca="1"/>
        <v>6.8219917770306782E-2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2.3639113715906324E-2</v>
      </c>
      <c r="AD322" s="163">
        <f ca="1"/>
        <v>4.0319038262909168E-2</v>
      </c>
      <c r="AE322" s="139">
        <f ca="1"/>
        <v>6.3914210309528263E-2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1.9345306999180467E-2</v>
      </c>
      <c r="AD323" s="163">
        <f ca="1"/>
        <v>3.855687370065497E-2</v>
      </c>
      <c r="AE323" s="139">
        <f ca="1"/>
        <v>7.5315071152317392E-2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2.1023668491753522E-2</v>
      </c>
      <c r="AD324" s="163">
        <f ca="1"/>
        <v>3.6764756685121802E-2</v>
      </c>
      <c r="AE324" s="139">
        <f ca="1"/>
        <v>6.0949612012509924E-2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1.9764501813486102E-2</v>
      </c>
      <c r="AD325" s="163">
        <f ca="1"/>
        <v>3.4125078431814893E-2</v>
      </c>
      <c r="AE325" s="139">
        <f ca="1"/>
        <v>5.8005932126614201E-2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5.1746709986508765E-3</v>
      </c>
      <c r="Y326" s="163">
        <f ca="1"/>
        <v>9.4759407696161091E-3</v>
      </c>
      <c r="Z326" s="163">
        <f ca="1"/>
        <v>1.8098501086159069E-2</v>
      </c>
      <c r="AA326" s="163">
        <f ca="1"/>
        <v>2.9138011250321005E-2</v>
      </c>
      <c r="AB326" s="163">
        <f ca="1"/>
        <v>0</v>
      </c>
      <c r="AC326" s="163">
        <f ca="1"/>
        <v>5.1265248673293518E-2</v>
      </c>
      <c r="AD326" s="163">
        <f ca="1"/>
        <v>7.3227469687650815E-2</v>
      </c>
      <c r="AE326" s="139">
        <f ca="1"/>
        <v>0.10394857171152683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1.331986411467756E-2</v>
      </c>
      <c r="AB327" s="163">
        <f ca="1"/>
        <v>0</v>
      </c>
      <c r="AC327" s="163">
        <f ca="1"/>
        <v>4.385490404865422E-2</v>
      </c>
      <c r="AD327" s="163">
        <f ca="1"/>
        <v>6.9414931280642245E-2</v>
      </c>
      <c r="AE327" s="139">
        <f ca="1"/>
        <v>0.11017393906788786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5.6130272741879983E-3</v>
      </c>
      <c r="AA328" s="163">
        <f ca="1"/>
        <v>1.2304048854776317E-2</v>
      </c>
      <c r="AB328" s="163">
        <f ca="1"/>
        <v>0</v>
      </c>
      <c r="AC328" s="163">
        <f ca="1"/>
        <v>3.213184843563921E-2</v>
      </c>
      <c r="AD328" s="163">
        <f ca="1"/>
        <v>5.084455842099922E-2</v>
      </c>
      <c r="AE328" s="139">
        <f ca="1"/>
        <v>8.0823138615957912E-2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7.1273982193574836E-3</v>
      </c>
      <c r="AA329" s="163">
        <f ca="1"/>
        <v>1.3276948098854269E-2</v>
      </c>
      <c r="AB329" s="163">
        <f ca="1"/>
        <v>0</v>
      </c>
      <c r="AC329" s="163">
        <f ca="1"/>
        <v>3.0575659990083603E-2</v>
      </c>
      <c r="AD329" s="163">
        <f ca="1"/>
        <v>4.9022639077614283E-2</v>
      </c>
      <c r="AE329" s="139">
        <f ca="1"/>
        <v>7.6685873027931728E-2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7.0866707134495943E-3</v>
      </c>
      <c r="AA330" s="163">
        <f ca="1"/>
        <v>1.3899665881247247E-2</v>
      </c>
      <c r="AB330" s="163">
        <f ca="1"/>
        <v>0</v>
      </c>
      <c r="AC330" s="163">
        <f ca="1"/>
        <v>3.189579769495543E-2</v>
      </c>
      <c r="AD330" s="163">
        <f ca="1"/>
        <v>5.1290483782288288E-2</v>
      </c>
      <c r="AE330" s="139">
        <f ca="1"/>
        <v>8.0490927424524239E-2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7.133557339740304E-3</v>
      </c>
      <c r="AA331" s="163">
        <f ca="1"/>
        <v>1.3566431864200035E-2</v>
      </c>
      <c r="AB331" s="163">
        <f ca="1"/>
        <v>0</v>
      </c>
      <c r="AC331" s="163">
        <f ca="1"/>
        <v>3.1910372299619572E-2</v>
      </c>
      <c r="AD331" s="163">
        <f ca="1"/>
        <v>5.1402743952595475E-2</v>
      </c>
      <c r="AE331" s="139">
        <f ca="1"/>
        <v>8.0491800291856319E-2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6.8219625495865577E-3</v>
      </c>
      <c r="AA332" s="163">
        <f ca="1"/>
        <v>1.3350178349911479E-2</v>
      </c>
      <c r="AB332" s="163">
        <f ca="1"/>
        <v>0</v>
      </c>
      <c r="AC332" s="163">
        <f ca="1"/>
        <v>3.1281166427014062E-2</v>
      </c>
      <c r="AD332" s="163">
        <f ca="1"/>
        <v>4.9958475826479831E-2</v>
      </c>
      <c r="AE332" s="139">
        <f ca="1"/>
        <v>7.7949320254831034E-2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1.0246965467613167E-2</v>
      </c>
      <c r="AA333" s="163">
        <f ca="1"/>
        <v>1.882018939552732E-2</v>
      </c>
      <c r="AB333" s="163">
        <f ca="1"/>
        <v>0</v>
      </c>
      <c r="AC333" s="163">
        <f ca="1"/>
        <v>4.0480843151931123E-2</v>
      </c>
      <c r="AD333" s="163">
        <f ca="1"/>
        <v>6.3262816360325713E-2</v>
      </c>
      <c r="AE333" s="139">
        <f ca="1"/>
        <v>9.7441855442318981E-2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6.1770980532525055E-3</v>
      </c>
      <c r="AA334" s="163">
        <f ca="1"/>
        <v>1.1369663516587303E-2</v>
      </c>
      <c r="AB334" s="163">
        <f ca="1"/>
        <v>0</v>
      </c>
      <c r="AC334" s="163">
        <f ca="1"/>
        <v>3.081434959886975E-2</v>
      </c>
      <c r="AD334" s="163">
        <f ca="1"/>
        <v>4.5583367994324497E-2</v>
      </c>
      <c r="AE334" s="139">
        <f ca="1"/>
        <v>7.1867474446855484E-2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1.7452397203122527E-2</v>
      </c>
      <c r="AB335" s="163">
        <f ca="1"/>
        <v>0</v>
      </c>
      <c r="AC335" s="163">
        <f ca="1"/>
        <v>3.7465621264850202E-2</v>
      </c>
      <c r="AD335" s="163">
        <f ca="1"/>
        <v>5.666896778133057E-2</v>
      </c>
      <c r="AE335" s="139">
        <f ca="1"/>
        <v>8.482491624587718E-2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8.3492667513329621E-3</v>
      </c>
      <c r="AB336" s="163">
        <f ca="1"/>
        <v>0</v>
      </c>
      <c r="AC336" s="163">
        <f ca="1"/>
        <v>2.485341999313373E-2</v>
      </c>
      <c r="AD336" s="163">
        <f ca="1"/>
        <v>3.9209819496294429E-2</v>
      </c>
      <c r="AE336" s="139">
        <f ca="1"/>
        <v>6.2660593722787317E-2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9.0818763854764173E-3</v>
      </c>
      <c r="AB337" s="163">
        <f ca="1"/>
        <v>0</v>
      </c>
      <c r="AC337" s="163">
        <f ca="1"/>
        <v>2.2285864420232726E-2</v>
      </c>
      <c r="AD337" s="163">
        <f ca="1"/>
        <v>3.6529452863097278E-2</v>
      </c>
      <c r="AE337" s="139">
        <f ca="1"/>
        <v>5.974328315793076E-2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1.9848495814106415E-2</v>
      </c>
      <c r="AB338" s="163">
        <f ca="1"/>
        <v>0</v>
      </c>
      <c r="AC338" s="163">
        <f ca="1"/>
        <v>3.7706485381016508E-2</v>
      </c>
      <c r="AD338" s="163">
        <f ca="1"/>
        <v>5.2464982650913261E-2</v>
      </c>
      <c r="AE338" s="139">
        <f ca="1"/>
        <v>7.4433846511272717E-2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1.0305009021456368E-2</v>
      </c>
      <c r="AB339" s="163">
        <f ca="1"/>
        <v>0</v>
      </c>
      <c r="AC339" s="163">
        <f ca="1"/>
        <v>2.3836226960806783E-2</v>
      </c>
      <c r="AD339" s="163">
        <f ca="1"/>
        <v>3.2760790733897593E-2</v>
      </c>
      <c r="AE339" s="139">
        <f ca="1"/>
        <v>5.1994207092566858E-2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1.8151435170310259E-2</v>
      </c>
      <c r="AD340" s="163">
        <f ca="1"/>
        <v>3.2833692089929256E-2</v>
      </c>
      <c r="AE340" s="139">
        <f ca="1"/>
        <v>5.8223225459689609E-2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2.3663017112081519E-2</v>
      </c>
      <c r="AD341" s="163">
        <f ca="1"/>
        <v>4.1653012231579245E-2</v>
      </c>
      <c r="AE341" s="139">
        <f ca="1"/>
        <v>7.3430338661679584E-2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1.2563404344919871E-2</v>
      </c>
      <c r="AB342" s="163">
        <f ca="1"/>
        <v>0</v>
      </c>
      <c r="AC342" s="163">
        <f ca="1"/>
        <v>2.5013259792995512E-2</v>
      </c>
      <c r="AD342" s="163">
        <f ca="1"/>
        <v>3.9696815218021486E-2</v>
      </c>
      <c r="AE342" s="139">
        <f ca="1"/>
        <v>6.5228739431429705E-2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1.2914839494722496E-2</v>
      </c>
      <c r="AB343" s="163">
        <f ca="1"/>
        <v>0</v>
      </c>
      <c r="AC343" s="163">
        <f ca="1"/>
        <v>3.3662117994242347E-2</v>
      </c>
      <c r="AD343" s="163">
        <f ca="1"/>
        <v>6.4403011515326236E-2</v>
      </c>
      <c r="AE343" s="139">
        <f ca="1"/>
        <v>8.8606393074069478E-2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4.0676571480778856E-3</v>
      </c>
      <c r="Z344" s="163">
        <f ca="1"/>
        <v>0</v>
      </c>
      <c r="AA344" s="163">
        <f ca="1"/>
        <v>1.837882664711854E-2</v>
      </c>
      <c r="AB344" s="163">
        <f ca="1"/>
        <v>0</v>
      </c>
      <c r="AC344" s="163">
        <f ca="1"/>
        <v>3.8985020812760784E-2</v>
      </c>
      <c r="AD344" s="163">
        <f ca="1"/>
        <v>5.7541043846429885E-2</v>
      </c>
      <c r="AE344" s="139">
        <f ca="1"/>
        <v>9.2291067812273031E-2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7.7541074714476688E-3</v>
      </c>
      <c r="AA345" s="163">
        <f ca="1"/>
        <v>1.5723172040994715E-2</v>
      </c>
      <c r="AB345" s="163">
        <f ca="1"/>
        <v>0</v>
      </c>
      <c r="AC345" s="163">
        <f ca="1"/>
        <v>3.6432889190453288E-2</v>
      </c>
      <c r="AD345" s="163">
        <f ca="1"/>
        <v>5.6839213891024976E-2</v>
      </c>
      <c r="AE345" s="139">
        <f ca="1"/>
        <v>8.4942026703050955E-2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3.1326465447073515E-3</v>
      </c>
      <c r="Z346" s="163">
        <f ca="1"/>
        <v>8.473179601035663E-3</v>
      </c>
      <c r="AA346" s="163">
        <f ca="1"/>
        <v>1.6016737771848755E-2</v>
      </c>
      <c r="AB346" s="163">
        <f ca="1"/>
        <v>0</v>
      </c>
      <c r="AC346" s="163">
        <f ca="1"/>
        <v>3.498712370674073E-2</v>
      </c>
      <c r="AD346" s="163">
        <f ca="1"/>
        <v>5.3867703964369573E-2</v>
      </c>
      <c r="AE346" s="139">
        <f ca="1"/>
        <v>8.0824084226146731E-2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3.0093834699563837E-3</v>
      </c>
      <c r="Z347" s="163">
        <f ca="1"/>
        <v>8.3454772045297165E-3</v>
      </c>
      <c r="AA347" s="163">
        <f ca="1"/>
        <v>1.5706671101598957E-2</v>
      </c>
      <c r="AB347" s="163">
        <f ca="1"/>
        <v>0</v>
      </c>
      <c r="AC347" s="163">
        <f ca="1"/>
        <v>3.5025264911777598E-2</v>
      </c>
      <c r="AD347" s="163">
        <f ca="1"/>
        <v>5.4879387656398548E-2</v>
      </c>
      <c r="AE347" s="139">
        <f ca="1"/>
        <v>8.5028579700298312E-2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4.7410046961384733E-3</v>
      </c>
      <c r="Z348" s="163">
        <f ca="1"/>
        <v>0</v>
      </c>
      <c r="AA348" s="163">
        <f ca="1"/>
        <v>1.9704084454349902E-2</v>
      </c>
      <c r="AB348" s="163">
        <f ca="1"/>
        <v>0</v>
      </c>
      <c r="AC348" s="163">
        <f ca="1"/>
        <v>4.382335779230917E-2</v>
      </c>
      <c r="AD348" s="163">
        <f ca="1"/>
        <v>7.049976385336687E-2</v>
      </c>
      <c r="AE348" s="139">
        <f ca="1"/>
        <v>0.12089657351307259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7.3418344215072651E-3</v>
      </c>
      <c r="AA349" s="163">
        <f ca="1"/>
        <v>1.3913434105322198E-2</v>
      </c>
      <c r="AB349" s="163">
        <f ca="1"/>
        <v>0</v>
      </c>
      <c r="AC349" s="163">
        <f ca="1"/>
        <v>3.1865390857068188E-2</v>
      </c>
      <c r="AD349" s="163">
        <f ca="1"/>
        <v>5.0576787959548564E-2</v>
      </c>
      <c r="AE349" s="139">
        <f ca="1"/>
        <v>7.9117859694320058E-2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7.3134447282865445E-3</v>
      </c>
      <c r="AA350" s="163">
        <f ca="1"/>
        <v>1.3832275605382582E-2</v>
      </c>
      <c r="AB350" s="163">
        <f ca="1"/>
        <v>0</v>
      </c>
      <c r="AC350" s="163">
        <f ca="1"/>
        <v>3.0521862091484553E-2</v>
      </c>
      <c r="AD350" s="163">
        <f ca="1"/>
        <v>4.8187052982309408E-2</v>
      </c>
      <c r="AE350" s="139">
        <f ca="1"/>
        <v>7.5299819280433944E-2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3.9614644705753266E-3</v>
      </c>
      <c r="Z351" s="163">
        <f ca="1"/>
        <v>1.0245908877189569E-2</v>
      </c>
      <c r="AA351" s="163">
        <f ca="1"/>
        <v>1.7490078445532409E-2</v>
      </c>
      <c r="AB351" s="163">
        <f ca="1"/>
        <v>0</v>
      </c>
      <c r="AC351" s="163">
        <f ca="1"/>
        <v>3.6064427985862957E-2</v>
      </c>
      <c r="AD351" s="163">
        <f ca="1"/>
        <v>5.6048494879166633E-2</v>
      </c>
      <c r="AE351" s="139">
        <f ca="1"/>
        <v>8.580059280055885E-2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4.1957261556332393E-3</v>
      </c>
      <c r="Z352" s="163">
        <f ca="1"/>
        <v>1.1678697267398119E-2</v>
      </c>
      <c r="AA352" s="163">
        <f ca="1"/>
        <v>1.994954140733296E-2</v>
      </c>
      <c r="AB352" s="163">
        <f ca="1"/>
        <v>0</v>
      </c>
      <c r="AC352" s="163">
        <f ca="1"/>
        <v>3.9406472642003698E-2</v>
      </c>
      <c r="AD352" s="163">
        <f ca="1"/>
        <v>5.9233327305617034E-2</v>
      </c>
      <c r="AE352" s="139">
        <f ca="1"/>
        <v>8.9985079918530331E-2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7.5849409740034179E-3</v>
      </c>
      <c r="AA353" s="163">
        <f ca="1"/>
        <v>1.4989408919950598E-2</v>
      </c>
      <c r="AB353" s="163">
        <f ca="1"/>
        <v>0</v>
      </c>
      <c r="AC353" s="163">
        <f ca="1"/>
        <v>3.826148119557693E-2</v>
      </c>
      <c r="AD353" s="163">
        <f ca="1"/>
        <v>6.1441035128080634E-2</v>
      </c>
      <c r="AE353" s="139">
        <f ca="1"/>
        <v>9.2893192368845967E-2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4.8194974659373502E-3</v>
      </c>
      <c r="Z354" s="163">
        <f ca="1"/>
        <v>1.172048119350777E-2</v>
      </c>
      <c r="AA354" s="163">
        <f ca="1"/>
        <v>1.8895037907204815E-2</v>
      </c>
      <c r="AB354" s="163">
        <f ca="1"/>
        <v>0</v>
      </c>
      <c r="AC354" s="163">
        <f ca="1"/>
        <v>3.6742702870547039E-2</v>
      </c>
      <c r="AD354" s="163">
        <f ca="1"/>
        <v>5.5734304493471165E-2</v>
      </c>
      <c r="AE354" s="139">
        <f ca="1"/>
        <v>8.5489821613291772E-2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7.4307257335518573E-3</v>
      </c>
      <c r="AA355" s="163">
        <f ca="1"/>
        <v>1.3799000249824389E-2</v>
      </c>
      <c r="AB355" s="163">
        <f ca="1"/>
        <v>0</v>
      </c>
      <c r="AC355" s="163">
        <f ca="1"/>
        <v>3.2061897454909616E-2</v>
      </c>
      <c r="AD355" s="163">
        <f ca="1"/>
        <v>5.1174930338279911E-2</v>
      </c>
      <c r="AE355" s="139">
        <f ca="1"/>
        <v>7.9933609228008851E-2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6.0672701194900425E-3</v>
      </c>
      <c r="AA356" s="163">
        <f ca="1"/>
        <v>1.1116541161651394E-2</v>
      </c>
      <c r="AB356" s="163">
        <f ca="1"/>
        <v>0</v>
      </c>
      <c r="AC356" s="163">
        <f ca="1"/>
        <v>2.3369513743996539E-2</v>
      </c>
      <c r="AD356" s="163">
        <f ca="1"/>
        <v>3.7099844477386679E-2</v>
      </c>
      <c r="AE356" s="139">
        <f ca="1"/>
        <v>6.0652545393524493E-2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4.0014822472422829E-3</v>
      </c>
      <c r="Z357" s="163">
        <f ca="1"/>
        <v>1.014033147201765E-2</v>
      </c>
      <c r="AA357" s="163">
        <f ca="1"/>
        <v>1.7873611442950743E-2</v>
      </c>
      <c r="AB357" s="163">
        <f ca="1"/>
        <v>0</v>
      </c>
      <c r="AC357" s="163">
        <f ca="1"/>
        <v>3.5146452860513655E-2</v>
      </c>
      <c r="AD357" s="163">
        <f ca="1"/>
        <v>5.4178830059065985E-2</v>
      </c>
      <c r="AE357" s="139">
        <f ca="1"/>
        <v>8.6150883126535183E-2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7.0144703321560753E-3</v>
      </c>
      <c r="AA358" s="163">
        <f ca="1"/>
        <v>1.3559783679599979E-2</v>
      </c>
      <c r="AB358" s="163">
        <f ca="1"/>
        <v>0</v>
      </c>
      <c r="AC358" s="163">
        <f ca="1"/>
        <v>3.1903552301984828E-2</v>
      </c>
      <c r="AD358" s="163">
        <f ca="1"/>
        <v>5.0615143403626717E-2</v>
      </c>
      <c r="AE358" s="139">
        <f ca="1"/>
        <v>7.7716638176230757E-2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9.3517753699858819E-3</v>
      </c>
      <c r="AB359" s="163">
        <f ca="1"/>
        <v>0</v>
      </c>
      <c r="AC359" s="163">
        <f ca="1"/>
        <v>2.4231883842183222E-2</v>
      </c>
      <c r="AD359" s="163">
        <f ca="1"/>
        <v>4.3057490392400588E-2</v>
      </c>
      <c r="AE359" s="139">
        <f ca="1"/>
        <v>7.3842062998323299E-2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6.6338700347560842E-2</v>
      </c>
      <c r="Z360" s="163">
        <f ca="1"/>
        <v>0</v>
      </c>
      <c r="AA360" s="163">
        <f ca="1"/>
        <v>0.15120423764939006</v>
      </c>
      <c r="AB360" s="163">
        <f ca="1"/>
        <v>0</v>
      </c>
      <c r="AC360" s="163">
        <f ca="1"/>
        <v>0.20817762544881113</v>
      </c>
      <c r="AD360" s="163">
        <f ca="1"/>
        <v>0.23716066161247684</v>
      </c>
      <c r="AE360" s="139">
        <f ca="1"/>
        <v>0.27210157797331913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0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1.4824887833724487E-2</v>
      </c>
      <c r="AB361" s="163">
        <f ca="1"/>
        <v>0</v>
      </c>
      <c r="AC361" s="163">
        <f ca="1"/>
        <v>3.0092577084411154E-2</v>
      </c>
      <c r="AD361" s="163">
        <f ca="1"/>
        <v>4.2076484180519458E-2</v>
      </c>
      <c r="AE361" s="139">
        <f ca="1"/>
        <v>6.2028177679398055E-2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2" zoomScaleNormal="100" workbookViewId="0">
      <selection activeCell="E24" sqref="E24"/>
    </sheetView>
  </sheetViews>
  <sheetFormatPr baseColWidth="10" defaultColWidth="11.453125" defaultRowHeight="14.5"/>
  <cols>
    <col min="2" max="2" width="17.54296875" bestFit="1" customWidth="1"/>
    <col min="3" max="3" width="18.453125" bestFit="1" customWidth="1"/>
    <col min="6" max="6" width="20" bestFit="1" customWidth="1"/>
    <col min="7" max="7" width="17.54296875" customWidth="1"/>
    <col min="8" max="9" width="20.81640625" bestFit="1" customWidth="1"/>
    <col min="10" max="10" width="14.81640625" bestFit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493" t="s">
        <v>456</v>
      </c>
      <c r="D3" s="494"/>
      <c r="E3" s="495"/>
    </row>
    <row r="4" spans="2:11">
      <c r="C4" s="496"/>
      <c r="D4" s="497"/>
      <c r="E4" s="498"/>
    </row>
    <row r="5" spans="2:11" ht="15" thickBot="1">
      <c r="C5" s="499"/>
      <c r="D5" s="500"/>
      <c r="E5" s="501"/>
    </row>
    <row r="6" spans="2:11" ht="15" thickBot="1"/>
    <row r="7" spans="2:11" ht="16" thickBot="1">
      <c r="B7" s="491" t="s">
        <v>454</v>
      </c>
      <c r="C7" s="492"/>
      <c r="D7" s="79"/>
      <c r="E7" s="491" t="s">
        <v>455</v>
      </c>
      <c r="F7" s="492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7" t="s">
        <v>431</v>
      </c>
      <c r="C9" s="221" t="str">
        <f ca="1">GetGetCDSName(C8)</f>
        <v>ABNAMRO_MMR.EUR.SU</v>
      </c>
      <c r="D9" s="79"/>
      <c r="E9" s="207" t="s">
        <v>453</v>
      </c>
      <c r="F9" s="211" t="b">
        <v>1</v>
      </c>
      <c r="I9" s="79"/>
      <c r="J9" s="79"/>
      <c r="K9" s="286"/>
    </row>
    <row r="10" spans="2:11">
      <c r="B10" s="208" t="s">
        <v>432</v>
      </c>
      <c r="C10" s="194" t="s">
        <v>57</v>
      </c>
      <c r="D10" s="79"/>
      <c r="E10" s="208" t="s">
        <v>433</v>
      </c>
      <c r="F10" s="212">
        <f ca="1">GetConvertDate(CDSRollDate,C10)</f>
        <v>47289</v>
      </c>
      <c r="I10" s="79"/>
      <c r="J10" s="79"/>
      <c r="K10" s="79"/>
    </row>
    <row r="11" spans="2:11" ht="15" thickBot="1">
      <c r="B11" s="208" t="s">
        <v>434</v>
      </c>
      <c r="C11" s="195">
        <v>0.01</v>
      </c>
      <c r="D11" s="79"/>
      <c r="E11" s="209" t="s">
        <v>425</v>
      </c>
      <c r="F11" s="213" t="str">
        <f ca="1">GetGetCDSName(C8)</f>
        <v>ABNAMRO_MMR.EUR.SU</v>
      </c>
      <c r="I11" s="79"/>
      <c r="J11" s="79"/>
      <c r="K11" s="79"/>
    </row>
    <row r="12" spans="2:11">
      <c r="B12" s="208" t="s">
        <v>85</v>
      </c>
      <c r="C12" s="195">
        <v>0.4</v>
      </c>
      <c r="D12" s="79"/>
      <c r="E12" s="203"/>
      <c r="F12" s="415"/>
      <c r="I12" s="79"/>
      <c r="J12" s="79"/>
      <c r="K12" s="79"/>
    </row>
    <row r="13" spans="2:11" ht="15" thickBot="1">
      <c r="B13" s="209" t="s">
        <v>496</v>
      </c>
      <c r="C13" s="75">
        <v>1</v>
      </c>
      <c r="D13" s="79"/>
      <c r="E13" s="79"/>
      <c r="F13" s="79"/>
      <c r="G13" s="226"/>
      <c r="H13" s="79"/>
      <c r="I13" s="79"/>
      <c r="J13" s="79"/>
      <c r="K13" s="79"/>
    </row>
    <row r="14" spans="2:11" ht="15" thickBot="1">
      <c r="B14" s="202"/>
      <c r="C14" s="79"/>
    </row>
    <row r="15" spans="2:11">
      <c r="B15" s="207" t="s">
        <v>82</v>
      </c>
      <c r="C15" s="63" t="s">
        <v>66</v>
      </c>
      <c r="E15" s="228" t="s">
        <v>435</v>
      </c>
      <c r="F15" s="281" t="str" cm="1">
        <f t="array" aca="1" ref="F15:K22" ca="1">IF(NOT($F$9),"",GetCDS(C9,C10,C11,C12,C13,C19,C20,C21,C15,C16,C17,C23,C24,C26,C28:C30,C32))</f>
        <v>-0,0255369350442744</v>
      </c>
      <c r="G15" s="272" t="str">
        <f ca="1"/>
        <v>-0,0255369350442744</v>
      </c>
      <c r="H15" s="267" t="str">
        <f ca="1"/>
        <v>0</v>
      </c>
      <c r="I15" s="271" t="str">
        <f ca="1"/>
        <v>0</v>
      </c>
      <c r="J15" s="272" t="str">
        <f ca="1"/>
        <v>0</v>
      </c>
      <c r="K15" s="267" t="str">
        <f ca="1"/>
        <v>0</v>
      </c>
    </row>
    <row r="16" spans="2:11">
      <c r="B16" s="208" t="s">
        <v>437</v>
      </c>
      <c r="C16" s="69">
        <v>0</v>
      </c>
      <c r="E16" s="229" t="s">
        <v>436</v>
      </c>
      <c r="F16" s="284" t="str">
        <f ca="1"/>
        <v>0,018150640499075</v>
      </c>
      <c r="G16" s="274" t="str">
        <f ca="1"/>
        <v>0,018150640499075</v>
      </c>
      <c r="H16" s="268" t="str">
        <f ca="1"/>
        <v>0</v>
      </c>
      <c r="I16" s="273" t="str">
        <f ca="1"/>
        <v>0</v>
      </c>
      <c r="J16" s="274" t="str">
        <f ca="1"/>
        <v>0</v>
      </c>
      <c r="K16" s="268" t="str">
        <f ca="1"/>
        <v>0</v>
      </c>
    </row>
    <row r="17" spans="2:11" ht="15" thickBot="1">
      <c r="B17" s="209" t="s">
        <v>439</v>
      </c>
      <c r="C17" s="196">
        <v>0</v>
      </c>
      <c r="E17" s="229" t="s">
        <v>438</v>
      </c>
      <c r="F17" s="284" t="str">
        <f ca="1"/>
        <v>0,0436875755433494</v>
      </c>
      <c r="G17" s="274" t="str">
        <f ca="1"/>
        <v>0,0436875755433494</v>
      </c>
      <c r="H17" s="268" t="str">
        <f ca="1"/>
        <v>0</v>
      </c>
      <c r="I17" s="273" t="str">
        <f ca="1"/>
        <v>0</v>
      </c>
      <c r="J17" s="274" t="str">
        <f ca="1"/>
        <v>0</v>
      </c>
      <c r="K17" s="268" t="str">
        <f ca="1"/>
        <v>0</v>
      </c>
    </row>
    <row r="18" spans="2:11" ht="15" thickBot="1">
      <c r="B18" s="202"/>
      <c r="C18" s="79"/>
      <c r="E18" s="229" t="s">
        <v>440</v>
      </c>
      <c r="F18" s="284" t="str">
        <f ca="1"/>
        <v>0,00415464586288723</v>
      </c>
      <c r="G18" s="274" t="str">
        <f ca="1"/>
        <v>0,00415464586288723</v>
      </c>
      <c r="H18" s="268" t="str">
        <f ca="1"/>
        <v>0</v>
      </c>
      <c r="I18" s="273" t="str">
        <f ca="1"/>
        <v>0</v>
      </c>
      <c r="J18" s="274" t="str">
        <f ca="1"/>
        <v>0</v>
      </c>
      <c r="K18" s="268" t="str">
        <f ca="1"/>
        <v>0</v>
      </c>
    </row>
    <row r="19" spans="2:11">
      <c r="B19" s="207" t="s">
        <v>442</v>
      </c>
      <c r="C19" s="63" t="s">
        <v>83</v>
      </c>
      <c r="E19" s="229" t="s">
        <v>441</v>
      </c>
      <c r="F19" s="284" t="str">
        <f ca="1"/>
        <v>4,36875755433494</v>
      </c>
      <c r="G19" s="276" t="str">
        <f ca="1"/>
        <v>4,36875755433494</v>
      </c>
      <c r="H19" s="268" t="str">
        <f ca="1"/>
        <v>0</v>
      </c>
      <c r="I19" s="275" t="str">
        <f ca="1"/>
        <v>0</v>
      </c>
      <c r="J19" s="276" t="str">
        <f ca="1"/>
        <v>0</v>
      </c>
      <c r="K19" s="268" t="str">
        <f ca="1"/>
        <v>0</v>
      </c>
    </row>
    <row r="20" spans="2:11" ht="15" thickBot="1">
      <c r="B20" s="208" t="s">
        <v>444</v>
      </c>
      <c r="C20" s="69" t="s">
        <v>445</v>
      </c>
      <c r="E20" s="229" t="s">
        <v>443</v>
      </c>
      <c r="F20" s="285" t="str">
        <f ca="1"/>
        <v>00:00:00.0080579</v>
      </c>
      <c r="G20" s="278" t="str">
        <f ca="1"/>
        <v>00:00:00.0080579</v>
      </c>
      <c r="H20" s="268" t="str">
        <f ca="1"/>
        <v>0</v>
      </c>
      <c r="I20" s="277" t="str">
        <f ca="1"/>
        <v>0</v>
      </c>
      <c r="J20" s="278" t="str">
        <f ca="1"/>
        <v>0</v>
      </c>
      <c r="K20" s="268" t="str">
        <f ca="1"/>
        <v>0</v>
      </c>
    </row>
    <row r="21" spans="2:11" ht="15" thickBot="1">
      <c r="B21" s="209" t="s">
        <v>446</v>
      </c>
      <c r="C21" s="220"/>
      <c r="E21" s="230"/>
      <c r="F21" s="269" t="str">
        <f ca="1"/>
        <v>dPV</v>
      </c>
      <c r="G21" s="269" t="str">
        <f ca="1"/>
        <v>dHedge</v>
      </c>
      <c r="H21" s="270" t="str">
        <f ca="1"/>
        <v>delta not. (Hedge Crncy)</v>
      </c>
      <c r="I21" s="269" t="str">
        <f ca="1"/>
        <v>delta not. (Product CCY)</v>
      </c>
      <c r="J21" s="269" t="str">
        <f ca="1"/>
        <v>dPV(dBeta)</v>
      </c>
      <c r="K21" s="270" t="str">
        <f ca="1"/>
        <v>Name</v>
      </c>
    </row>
    <row r="22" spans="2:11" ht="15" thickBot="1">
      <c r="B22" s="202"/>
      <c r="C22" s="79"/>
      <c r="E22" s="231"/>
      <c r="F22" s="279" t="str">
        <f ca="1"/>
        <v>0,000461610250444573</v>
      </c>
      <c r="G22" s="279" t="str">
        <f ca="1"/>
        <v>0,000478441546340646</v>
      </c>
      <c r="H22" s="280" t="str">
        <f ca="1"/>
        <v>0,964820580434941</v>
      </c>
      <c r="I22" s="279" t="str">
        <f ca="1"/>
        <v>0,964820580434941</v>
      </c>
      <c r="J22" s="279" t="str">
        <f ca="1"/>
        <v>-0,018150640499075</v>
      </c>
      <c r="K22" s="280" t="str">
        <f ca="1"/>
        <v>ABNAMRO_MMR.EUR.SU</v>
      </c>
    </row>
    <row r="23" spans="2:11">
      <c r="B23" s="210" t="s">
        <v>447</v>
      </c>
      <c r="C23" s="197" t="b">
        <v>1</v>
      </c>
      <c r="E23" s="514"/>
    </row>
    <row r="24" spans="2:11" ht="15" thickBot="1">
      <c r="B24" s="209" t="s">
        <v>448</v>
      </c>
      <c r="C24" s="198" t="b">
        <v>1</v>
      </c>
      <c r="E24" s="514"/>
    </row>
    <row r="25" spans="2:11" ht="15" thickBot="1">
      <c r="B25" s="203"/>
      <c r="C25" s="85"/>
      <c r="D25" s="199"/>
      <c r="G25" s="514"/>
      <c r="H25" s="282"/>
    </row>
    <row r="26" spans="2:11" ht="15" thickBot="1">
      <c r="B26" s="180" t="s">
        <v>449</v>
      </c>
      <c r="C26" s="197" t="b">
        <v>1</v>
      </c>
      <c r="D26" s="85"/>
    </row>
    <row r="27" spans="2:11" ht="15" thickBot="1">
      <c r="B27" s="205" t="s">
        <v>450</v>
      </c>
      <c r="C27" s="219"/>
      <c r="D27" s="85"/>
    </row>
    <row r="28" spans="2:11">
      <c r="B28" s="205" t="s">
        <v>434</v>
      </c>
      <c r="C28" s="227">
        <v>0.02</v>
      </c>
      <c r="D28" s="85"/>
    </row>
    <row r="29" spans="2:11">
      <c r="B29" s="205" t="s">
        <v>447</v>
      </c>
      <c r="C29" s="200" t="b">
        <v>1</v>
      </c>
      <c r="D29" s="85"/>
    </row>
    <row r="30" spans="2:11" ht="15" thickBot="1">
      <c r="B30" s="206" t="s">
        <v>448</v>
      </c>
      <c r="C30" s="201" t="b">
        <v>1</v>
      </c>
      <c r="D30" s="85"/>
    </row>
    <row r="31" spans="2:11" ht="15" thickBot="1">
      <c r="B31" s="204"/>
      <c r="C31" s="79"/>
      <c r="D31" s="85"/>
    </row>
    <row r="32" spans="2:11" ht="1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3" priority="5" stopIfTrue="1" operator="equal">
      <formula>#N/A</formula>
    </cfRule>
  </conditionalFormatting>
  <conditionalFormatting sqref="F21 I21">
    <cfRule type="cellIs" dxfId="2" priority="6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6350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0" sqref="D10"/>
    </sheetView>
  </sheetViews>
  <sheetFormatPr baseColWidth="10" defaultColWidth="11.453125" defaultRowHeight="14.5"/>
  <sheetData>
    <row r="2" spans="2:11">
      <c r="J2" s="283"/>
      <c r="K2" s="176"/>
    </row>
    <row r="3" spans="2:11">
      <c r="J3" s="283"/>
    </row>
    <row r="5" spans="2:11" ht="15" thickBot="1"/>
    <row r="6" spans="2:11" ht="15" thickBot="1">
      <c r="B6" s="180" t="s">
        <v>423</v>
      </c>
      <c r="C6" s="186" t="b">
        <v>1</v>
      </c>
      <c r="H6" s="181" t="s">
        <v>424</v>
      </c>
      <c r="I6" s="502">
        <v>1</v>
      </c>
      <c r="J6" s="503"/>
      <c r="K6" s="504"/>
    </row>
    <row r="7" spans="2:11" ht="15" thickBot="1">
      <c r="D7" s="170"/>
      <c r="H7" s="182" t="s">
        <v>425</v>
      </c>
      <c r="I7" s="505" t="str" cm="1">
        <f t="array" aca="1" ref="I7" ca="1">GetGetCDSName(I6)</f>
        <v>ABNAMRO_MMR.EUR.SU</v>
      </c>
      <c r="J7" s="506"/>
      <c r="K7" s="507"/>
    </row>
    <row r="8" spans="2:11" ht="15" thickBot="1"/>
    <row r="9" spans="2:11" ht="1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4">
        <f ca="1">MAX(0,(DATE(YEAR(CDSRollDate),MONTH(CDSRollDate)+ROW()-ROW($B$9),DAY(CDSRollDate))-Parameter_Date)/365)</f>
        <v>0.17534246575342466</v>
      </c>
      <c r="D10" s="177">
        <f ca="1">IF(NOT($C$6),"",IF(GetConvertDate(CDSRollDate,B10)&lt;Parameter_Date,0,GetGetDefaultprob($I$6,B10)))</f>
        <v>3.912805534813657E-4</v>
      </c>
      <c r="E10" s="215">
        <f ca="1">IF(NOT($C$6),"",IF(C11=0,0,-LN(1-D11)/$C11))</f>
        <v>2.2319585960524635E-3</v>
      </c>
    </row>
    <row r="11" spans="2:11">
      <c r="B11" s="184" t="str">
        <f t="shared" ref="B11:B74" ca="1" si="0">ROW()-ROW($B$9)&amp;"M"</f>
        <v>2M</v>
      </c>
      <c r="C11" s="216">
        <f ca="1">MAX(0,(DATE(YEAR(CDSRollDate),MONTH(CDSRollDate)+ROW()-ROW($B$9),DAY(CDSRollDate))-Parameter_Date)/365)</f>
        <v>0.26027397260273971</v>
      </c>
      <c r="D11" s="169">
        <f ca="1">IF(NOT($C$6),"",IF(GetConvertDate(CDSRollDate,B11)&lt;Parameter_Date,0,GetGetDefaultprob($I$6,B11)))</f>
        <v>5.8075202870089271E-4</v>
      </c>
      <c r="E11" s="178">
        <f ca="1">IF(NOT($C$6),"",IF(C11=0,0,-LN((1-D11)/(1-D10))/($C11-$C10)))</f>
        <v>2.2319585960516638E-3</v>
      </c>
      <c r="F11" s="164"/>
      <c r="G11" s="165"/>
    </row>
    <row r="12" spans="2:11">
      <c r="B12" s="184" t="str">
        <f t="shared" ca="1" si="0"/>
        <v>3M</v>
      </c>
      <c r="C12" s="216">
        <f ca="1">MAX(0,(DATE(YEAR(CDSRollDate),MONTH(CDSRollDate)+ROW()-ROW($B$9),DAY(CDSRollDate))-Parameter_Date)/365)</f>
        <v>0.34520547945205482</v>
      </c>
      <c r="D12" s="169">
        <f ca="1">IF(NOT($C$6),"",IF(GetConvertDate(CDSRollDate,B12)&lt;Parameter_Date,0,GetGetDefaultprob($I$6,B12)))</f>
        <v>7.7018759042835061E-4</v>
      </c>
      <c r="E12" s="178">
        <f ca="1">IF(NOT($C$6),"",IF(C12=0,0,-LN((1-D12)/(1-D11))/($C12-$C11)))</f>
        <v>2.23195859605297E-3</v>
      </c>
      <c r="F12" s="164"/>
      <c r="G12" s="165"/>
    </row>
    <row r="13" spans="2:11">
      <c r="B13" s="184" t="str">
        <f t="shared" ca="1" si="0"/>
        <v>4M</v>
      </c>
      <c r="C13" s="216">
        <f t="shared" ref="C13:C41" ca="1" si="1">MAX(0,(DATE(YEAR(CDSRollDate),MONTH(CDSRollDate)+ROW()-ROW($B$9),DAY(CDSRollDate))-Parameter_Date)/365)</f>
        <v>0.42739726027397262</v>
      </c>
      <c r="D13" s="169">
        <f ca="1">IF(NOT($C$6),"",IF(GetConvertDate(CDSRollDate,B13)&lt;Parameter_Date,0,GetGetDefaultprob($I$6,B13)))</f>
        <v>9.5347813956758731E-4</v>
      </c>
      <c r="E13" s="178">
        <f t="shared" ref="E13:E75" ca="1" si="2">IF(NOT($C$6),"",IF(C13=0,0,-LN((1-D13)/(1-D12))/($C13-$C12)))</f>
        <v>2.2319585960533838E-3</v>
      </c>
      <c r="F13" s="164"/>
      <c r="G13" s="165"/>
    </row>
    <row r="14" spans="2:11">
      <c r="B14" s="184" t="str">
        <f t="shared" ca="1" si="0"/>
        <v>5M</v>
      </c>
      <c r="C14" s="216">
        <f t="shared" ca="1" si="1"/>
        <v>0.51232876712328768</v>
      </c>
      <c r="D14" s="169">
        <f ca="1">IF(NOT($C$6),"",IF(GetConvertDate(CDSRollDate,B14)&lt;Parameter_Date,0,GetGetDefaultprob($I$6,B14)))</f>
        <v>1.1428430526854161E-3</v>
      </c>
      <c r="E14" s="178">
        <f t="shared" ca="1" si="2"/>
        <v>2.2319585960516638E-3</v>
      </c>
      <c r="F14" s="164"/>
      <c r="G14" s="165"/>
    </row>
    <row r="15" spans="2:11">
      <c r="B15" s="184" t="str">
        <f t="shared" ca="1" si="0"/>
        <v>6M</v>
      </c>
      <c r="C15" s="216">
        <f t="shared" ca="1" si="1"/>
        <v>0.59452054794520548</v>
      </c>
      <c r="D15" s="169">
        <f ca="1">IF(NOT($C$6),"",IF(GetConvertDate(CDSRollDate,B15)&lt;Parameter_Date,0,GetGetDefaultprob($I$6,B15)))</f>
        <v>1.3260652449527122E-3</v>
      </c>
      <c r="E15" s="178">
        <f t="shared" ca="1" si="2"/>
        <v>2.2319585960520324E-3</v>
      </c>
      <c r="F15" s="164"/>
      <c r="G15" s="165"/>
    </row>
    <row r="16" spans="2:11">
      <c r="B16" s="184" t="str">
        <f t="shared" ca="1" si="0"/>
        <v>7M</v>
      </c>
      <c r="C16" s="216">
        <f t="shared" ca="1" si="1"/>
        <v>0.67945205479452053</v>
      </c>
      <c r="D16" s="169">
        <f ca="1">IF(NOT($C$6),"",IF(GetConvertDate(CDSRollDate,B16)&lt;Parameter_Date,0,GetGetDefaultprob($I$6,B16)))</f>
        <v>1.7273200735429262E-3</v>
      </c>
      <c r="E16" s="178">
        <f t="shared" ca="1" si="2"/>
        <v>4.73167589247945E-3</v>
      </c>
      <c r="F16" s="164"/>
      <c r="G16" s="165"/>
    </row>
    <row r="17" spans="2:7">
      <c r="B17" s="184" t="str">
        <f t="shared" ca="1" si="0"/>
        <v>8M</v>
      </c>
      <c r="C17" s="216">
        <f t="shared" ca="1" si="1"/>
        <v>0.76438356164383559</v>
      </c>
      <c r="D17" s="169">
        <f ca="1">IF(NOT($C$6),"",IF(GetConvertDate(CDSRollDate,B17)&lt;Parameter_Date,0,GetGetDefaultprob($I$6,B17)))</f>
        <v>2.1284136829085032E-3</v>
      </c>
      <c r="E17" s="178">
        <f t="shared" ca="1" si="2"/>
        <v>4.73167589247945E-3</v>
      </c>
      <c r="F17" s="164"/>
      <c r="G17" s="165"/>
    </row>
    <row r="18" spans="2:7">
      <c r="B18" s="184" t="str">
        <f t="shared" ca="1" si="0"/>
        <v>9M</v>
      </c>
      <c r="C18" s="216">
        <f t="shared" ca="1" si="1"/>
        <v>0.84109589041095889</v>
      </c>
      <c r="D18" s="169">
        <f ca="1">IF(NOT($C$6),"",IF(GetConvertDate(CDSRollDate,B18)&lt;Parameter_Date,0,GetGetDefaultprob($I$6,B18)))</f>
        <v>2.4905532642083283E-3</v>
      </c>
      <c r="E18" s="178">
        <f t="shared" ca="1" si="2"/>
        <v>4.7316758924795324E-3</v>
      </c>
      <c r="F18" s="164"/>
      <c r="G18" s="165"/>
    </row>
    <row r="19" spans="2:7">
      <c r="B19" s="184" t="str">
        <f t="shared" ca="1" si="0"/>
        <v>10M</v>
      </c>
      <c r="C19" s="216">
        <f t="shared" ca="1" si="1"/>
        <v>0.92602739726027394</v>
      </c>
      <c r="D19" s="169">
        <f ca="1">IF(NOT($C$6),"",IF(GetConvertDate(CDSRollDate,B19)&lt;Parameter_Date,0,GetGetDefaultprob($I$6,B19)))</f>
        <v>2.8913402159226331E-3</v>
      </c>
      <c r="E19" s="178">
        <f t="shared" ca="1" si="2"/>
        <v>4.7316758924781429E-3</v>
      </c>
      <c r="F19" s="164"/>
      <c r="G19" s="165"/>
    </row>
    <row r="20" spans="2:7">
      <c r="B20" s="184" t="str">
        <f t="shared" ca="1" si="0"/>
        <v>11M</v>
      </c>
      <c r="C20" s="216">
        <f t="shared" ca="1" si="1"/>
        <v>1.0082191780821919</v>
      </c>
      <c r="D20" s="169">
        <f ca="1">IF(NOT($C$6),"",IF(GetConvertDate(CDSRollDate,B20)&lt;Parameter_Date,0,GetGetDefaultprob($I$6,B20)))</f>
        <v>3.2790452324423791E-3</v>
      </c>
      <c r="E20" s="178">
        <f t="shared" ca="1" si="2"/>
        <v>4.7316758924806565E-3</v>
      </c>
      <c r="F20" s="164"/>
      <c r="G20" s="165"/>
    </row>
    <row r="21" spans="2:7">
      <c r="B21" s="184" t="str">
        <f t="shared" ca="1" si="0"/>
        <v>12M</v>
      </c>
      <c r="C21" s="216">
        <f t="shared" ca="1" si="1"/>
        <v>1.0931506849315069</v>
      </c>
      <c r="D21" s="169">
        <f ca="1">IF(NOT($C$6),"",IF(GetConvertDate(CDSRollDate,B21)&lt;Parameter_Date,0,GetGetDefaultprob($I$6,B21)))</f>
        <v>3.6795153778412804E-3</v>
      </c>
      <c r="E21" s="178">
        <f t="shared" ca="1" si="2"/>
        <v>4.7316758924781429E-3</v>
      </c>
      <c r="F21" s="164"/>
      <c r="G21" s="165"/>
    </row>
    <row r="22" spans="2:7">
      <c r="B22" s="184" t="str">
        <f t="shared" ca="1" si="0"/>
        <v>13M</v>
      </c>
      <c r="C22" s="216">
        <f t="shared" ca="1" si="1"/>
        <v>1.1753424657534246</v>
      </c>
      <c r="D22" s="169">
        <f ca="1">IF(NOT($C$6),"",IF(GetConvertDate(CDSRollDate,B22)&lt;Parameter_Date,0,GetGetDefaultprob($I$6,B22)))</f>
        <v>4.1315471914186164E-3</v>
      </c>
      <c r="E22" s="178">
        <f t="shared" ca="1" si="2"/>
        <v>5.5212840404597532E-3</v>
      </c>
      <c r="F22" s="164"/>
      <c r="G22" s="165"/>
    </row>
    <row r="23" spans="2:7">
      <c r="B23" s="184" t="str">
        <f t="shared" ca="1" si="0"/>
        <v>14M</v>
      </c>
      <c r="C23" s="216">
        <f t="shared" ca="1" si="1"/>
        <v>1.2602739726027397</v>
      </c>
      <c r="D23" s="169">
        <f ca="1">IF(NOT($C$6),"",IF(GetConvertDate(CDSRollDate,B23)&lt;Parameter_Date,0,GetGetDefaultprob($I$6,B23)))</f>
        <v>4.5984312775124714E-3</v>
      </c>
      <c r="E23" s="178">
        <f t="shared" ca="1" si="2"/>
        <v>5.5212840404622113E-3</v>
      </c>
      <c r="F23" s="164"/>
      <c r="G23" s="165"/>
    </row>
    <row r="24" spans="2:7">
      <c r="B24" s="184" t="str">
        <f t="shared" ca="1" si="0"/>
        <v>15M</v>
      </c>
      <c r="C24" s="216">
        <f t="shared" ca="1" si="1"/>
        <v>1.3452054794520547</v>
      </c>
      <c r="D24" s="169">
        <f ca="1">IF(NOT($C$6),"",IF(GetConvertDate(CDSRollDate,B24)&lt;Parameter_Date,0,GetGetDefaultprob($I$6,B24)))</f>
        <v>5.0650964785222685E-3</v>
      </c>
      <c r="E24" s="178">
        <f t="shared" ca="1" si="2"/>
        <v>5.5212840404595953E-3</v>
      </c>
      <c r="F24" s="164"/>
      <c r="G24" s="165"/>
    </row>
    <row r="25" spans="2:7">
      <c r="B25" s="184" t="str">
        <f t="shared" ca="1" si="0"/>
        <v>16M</v>
      </c>
      <c r="C25" s="216">
        <f t="shared" ca="1" si="1"/>
        <v>1.4273972602739726</v>
      </c>
      <c r="D25" s="169">
        <f ca="1">IF(NOT($C$6),"",IF(GetConvertDate(CDSRollDate,B25)&lt;Parameter_Date,0,GetGetDefaultprob($I$6,B25)))</f>
        <v>5.5164996522719667E-3</v>
      </c>
      <c r="E25" s="178">
        <f t="shared" ca="1" si="2"/>
        <v>5.5212840404597384E-3</v>
      </c>
      <c r="F25" s="164"/>
      <c r="G25" s="165"/>
    </row>
    <row r="26" spans="2:7">
      <c r="B26" s="184" t="str">
        <f t="shared" ca="1" si="0"/>
        <v>17M</v>
      </c>
      <c r="C26" s="216">
        <f t="shared" ca="1" si="1"/>
        <v>1.5123287671232877</v>
      </c>
      <c r="D26" s="169">
        <f ca="1">IF(NOT($C$6),"",IF(GetConvertDate(CDSRollDate,B26)&lt;Parameter_Date,0,GetGetDefaultprob($I$6,B26)))</f>
        <v>5.9827344435093854E-3</v>
      </c>
      <c r="E26" s="178">
        <f t="shared" ca="1" si="2"/>
        <v>5.5212840404609033E-3</v>
      </c>
      <c r="F26" s="164"/>
      <c r="G26" s="165"/>
    </row>
    <row r="27" spans="2:7">
      <c r="B27" s="184" t="str">
        <f t="shared" ca="1" si="0"/>
        <v>18M</v>
      </c>
      <c r="C27" s="216">
        <f t="shared" ca="1" si="1"/>
        <v>1.5945205479452054</v>
      </c>
      <c r="D27" s="169">
        <f ca="1">IF(NOT($C$6),"",IF(GetConvertDate(CDSRollDate,B27)&lt;Parameter_Date,0,GetGetDefaultprob($I$6,B27)))</f>
        <v>6.4337212838002644E-3</v>
      </c>
      <c r="E27" s="178">
        <f t="shared" ca="1" si="2"/>
        <v>5.5212840404611045E-3</v>
      </c>
      <c r="F27" s="164"/>
      <c r="G27" s="165"/>
    </row>
    <row r="28" spans="2:7">
      <c r="B28" s="184" t="str">
        <f t="shared" ca="1" si="0"/>
        <v>19M</v>
      </c>
      <c r="C28" s="216">
        <f t="shared" ca="1" si="1"/>
        <v>1.6794520547945206</v>
      </c>
      <c r="D28" s="169">
        <f ca="1">IF(NOT($C$6),"",IF(GetConvertDate(CDSRollDate,B28)&lt;Parameter_Date,0,GetGetDefaultprob($I$6,B28)))</f>
        <v>6.8995260622363164E-3</v>
      </c>
      <c r="E28" s="178">
        <f t="shared" ca="1" si="2"/>
        <v>5.5212840404608885E-3</v>
      </c>
      <c r="F28" s="164"/>
      <c r="G28" s="165"/>
    </row>
    <row r="29" spans="2:7">
      <c r="B29" s="184" t="str">
        <f t="shared" ca="1" si="0"/>
        <v>20M</v>
      </c>
      <c r="C29" s="216">
        <f t="shared" ca="1" si="1"/>
        <v>1.7643835616438357</v>
      </c>
      <c r="D29" s="169">
        <f ca="1">IF(NOT($C$6),"",IF(GetConvertDate(CDSRollDate,B29)&lt;Parameter_Date,0,GetGetDefaultprob($I$6,B29)))</f>
        <v>7.3651124615905506E-3</v>
      </c>
      <c r="E29" s="178">
        <f t="shared" ca="1" si="2"/>
        <v>5.5212840404595953E-3</v>
      </c>
      <c r="F29" s="164"/>
      <c r="G29" s="165"/>
    </row>
    <row r="30" spans="2:7">
      <c r="B30" s="184" t="str">
        <f t="shared" ca="1" si="0"/>
        <v>21M</v>
      </c>
      <c r="C30" s="216">
        <f t="shared" ca="1" si="1"/>
        <v>1.8410958904109589</v>
      </c>
      <c r="D30" s="169">
        <f ca="1">IF(NOT($C$6),"",IF(GetConvertDate(CDSRollDate,B30)&lt;Parameter_Date,0,GetGetDefaultprob($I$6,B30)))</f>
        <v>7.7854544963016359E-3</v>
      </c>
      <c r="E30" s="178">
        <f t="shared" ca="1" si="2"/>
        <v>5.5212840404594678E-3</v>
      </c>
      <c r="F30" s="164"/>
      <c r="G30" s="165"/>
    </row>
    <row r="31" spans="2:7">
      <c r="B31" s="184" t="str">
        <f t="shared" ca="1" si="0"/>
        <v>22M</v>
      </c>
      <c r="C31" s="216">
        <f t="shared" ca="1" si="1"/>
        <v>1.9260273972602739</v>
      </c>
      <c r="D31" s="169">
        <f ca="1">IF(NOT($C$6),"",IF(GetConvertDate(CDSRollDate,B31)&lt;Parameter_Date,0,GetGetDefaultprob($I$6,B31)))</f>
        <v>8.2506255537641016E-3</v>
      </c>
      <c r="E31" s="178">
        <f t="shared" ca="1" si="2"/>
        <v>5.5212840404609033E-3</v>
      </c>
      <c r="F31" s="164"/>
      <c r="G31" s="165"/>
    </row>
    <row r="32" spans="2:7">
      <c r="B32" s="184" t="str">
        <f t="shared" ca="1" si="0"/>
        <v>23M</v>
      </c>
      <c r="C32" s="216">
        <f t="shared" ca="1" si="1"/>
        <v>2.0082191780821916</v>
      </c>
      <c r="D32" s="169">
        <f ca="1">IF(NOT($C$6),"",IF(GetConvertDate(CDSRollDate,B32)&lt;Parameter_Date,0,GetGetDefaultprob($I$6,B32)))</f>
        <v>8.7005834491046263E-3</v>
      </c>
      <c r="E32" s="178">
        <f t="shared" ca="1" si="2"/>
        <v>5.5212840404611045E-3</v>
      </c>
      <c r="F32" s="164"/>
      <c r="G32" s="165"/>
    </row>
    <row r="33" spans="2:7">
      <c r="B33" s="184" t="str">
        <f t="shared" ca="1" si="0"/>
        <v>24M</v>
      </c>
      <c r="C33" s="216">
        <f t="shared" ca="1" si="1"/>
        <v>2.0931506849315067</v>
      </c>
      <c r="D33" s="169">
        <f ca="1">IF(NOT($C$6),"",IF(GetConvertDate(CDSRollDate,B33)&lt;Parameter_Date,0,GetGetDefaultprob($I$6,B33)))</f>
        <v>9.1653254748573776E-3</v>
      </c>
      <c r="E33" s="178">
        <f t="shared" ca="1" si="2"/>
        <v>5.5212840404595953E-3</v>
      </c>
      <c r="F33" s="164"/>
      <c r="G33" s="165"/>
    </row>
    <row r="34" spans="2:7">
      <c r="B34" s="184" t="str">
        <f t="shared" ca="1" si="0"/>
        <v>25M</v>
      </c>
      <c r="C34" s="216">
        <f t="shared" ca="1" si="1"/>
        <v>2.1753424657534248</v>
      </c>
      <c r="D34" s="169">
        <f ca="1">IF(NOT($C$6),"",IF(GetConvertDate(CDSRollDate,B34)&lt;Parameter_Date,0,GetGetDefaultprob($I$6,B34)))</f>
        <v>9.7699449003956218E-3</v>
      </c>
      <c r="E34" s="178">
        <f t="shared" ca="1" si="2"/>
        <v>7.4265147716911176E-3</v>
      </c>
      <c r="F34" s="164"/>
      <c r="G34" s="165"/>
    </row>
    <row r="35" spans="2:7">
      <c r="B35" s="184" t="str">
        <f t="shared" ca="1" si="0"/>
        <v>26M</v>
      </c>
      <c r="C35" s="216">
        <f t="shared" ca="1" si="1"/>
        <v>2.2602739726027399</v>
      </c>
      <c r="D35" s="169">
        <f ca="1">IF(NOT($C$6),"",IF(GetConvertDate(CDSRollDate,B35)&lt;Parameter_Date,0,GetGetDefaultprob($I$6,B35)))</f>
        <v>1.0394330710974065E-2</v>
      </c>
      <c r="E35" s="178">
        <f t="shared" ca="1" si="2"/>
        <v>7.426514771692168E-3</v>
      </c>
      <c r="F35" s="164"/>
      <c r="G35" s="165"/>
    </row>
    <row r="36" spans="2:7">
      <c r="B36" s="184" t="str">
        <f t="shared" ca="1" si="0"/>
        <v>27M</v>
      </c>
      <c r="C36" s="216">
        <f t="shared" ca="1" si="1"/>
        <v>2.3452054794520549</v>
      </c>
      <c r="D36" s="169">
        <f ca="1">IF(NOT($C$6),"",IF(GetConvertDate(CDSRollDate,B36)&lt;Parameter_Date,0,GetGetDefaultprob($I$6,B36)))</f>
        <v>1.1018322817444526E-2</v>
      </c>
      <c r="E36" s="178">
        <f t="shared" ca="1" si="2"/>
        <v>7.4265147716908592E-3</v>
      </c>
      <c r="F36" s="164"/>
      <c r="G36" s="165"/>
    </row>
    <row r="37" spans="2:7">
      <c r="B37" s="184" t="str">
        <f t="shared" ca="1" si="0"/>
        <v>28M</v>
      </c>
      <c r="C37" s="216">
        <f t="shared" ca="1" si="1"/>
        <v>2.4273972602739726</v>
      </c>
      <c r="D37" s="169">
        <f ca="1">IF(NOT($C$6),"",IF(GetConvertDate(CDSRollDate,B37)&lt;Parameter_Date,0,GetGetDefaultprob($I$6,B37)))</f>
        <v>1.1621811521362324E-2</v>
      </c>
      <c r="E37" s="178">
        <f t="shared" ca="1" si="2"/>
        <v>7.4265147716911575E-3</v>
      </c>
      <c r="F37" s="164"/>
      <c r="G37" s="165"/>
    </row>
    <row r="38" spans="2:7">
      <c r="B38" s="184" t="str">
        <f t="shared" ca="1" si="0"/>
        <v>29M</v>
      </c>
      <c r="C38" s="216">
        <f t="shared" ca="1" si="1"/>
        <v>2.5123287671232877</v>
      </c>
      <c r="D38" s="169">
        <f ca="1">IF(NOT($C$6),"",IF(GetConvertDate(CDSRollDate,B38)&lt;Parameter_Date,0,GetGetDefaultprob($I$6,B38)))</f>
        <v>1.2245029644457173E-2</v>
      </c>
      <c r="E38" s="178">
        <f t="shared" ca="1" si="2"/>
        <v>7.426514771692168E-3</v>
      </c>
      <c r="F38" s="164"/>
      <c r="G38" s="165"/>
    </row>
    <row r="39" spans="2:7">
      <c r="B39" s="184" t="str">
        <f t="shared" ca="1" si="0"/>
        <v>30M</v>
      </c>
      <c r="C39" s="216">
        <f t="shared" ca="1" si="1"/>
        <v>2.5945205479452054</v>
      </c>
      <c r="D39" s="169">
        <f ca="1">IF(NOT($C$6),"",IF(GetConvertDate(CDSRollDate,B39)&lt;Parameter_Date,0,GetGetDefaultprob($I$6,B39)))</f>
        <v>1.2847769796879849E-2</v>
      </c>
      <c r="E39" s="178">
        <f t="shared" ca="1" si="2"/>
        <v>7.4265147716911575E-3</v>
      </c>
      <c r="F39" s="164"/>
      <c r="G39" s="165"/>
    </row>
    <row r="40" spans="2:7">
      <c r="B40" s="184" t="str">
        <f t="shared" ca="1" si="0"/>
        <v>31M</v>
      </c>
      <c r="C40" s="216">
        <f t="shared" ca="1" si="1"/>
        <v>2.6794520547945204</v>
      </c>
      <c r="D40" s="169">
        <f ca="1">IF(NOT($C$6),"",IF(GetConvertDate(CDSRollDate,B40)&lt;Parameter_Date,0,GetGetDefaultprob($I$6,B40)))</f>
        <v>1.3470214896627475E-2</v>
      </c>
      <c r="E40" s="178">
        <f t="shared" ca="1" si="2"/>
        <v>7.4265147716908592E-3</v>
      </c>
      <c r="F40" s="164"/>
      <c r="G40" s="165"/>
    </row>
    <row r="41" spans="2:7">
      <c r="B41" s="184" t="str">
        <f t="shared" ca="1" si="0"/>
        <v>32M</v>
      </c>
      <c r="C41" s="216">
        <f t="shared" ca="1" si="1"/>
        <v>2.7643835616438355</v>
      </c>
      <c r="D41" s="169">
        <f ca="1">IF(NOT($C$6),"",IF(GetConvertDate(CDSRollDate,B41)&lt;Parameter_Date,0,GetGetDefaultprob($I$6,B41)))</f>
        <v>1.4092267515975143E-2</v>
      </c>
      <c r="E41" s="178">
        <f t="shared" ca="1" si="2"/>
        <v>7.426514771692168E-3</v>
      </c>
      <c r="F41" s="164"/>
      <c r="G41" s="165"/>
    </row>
    <row r="42" spans="2:7">
      <c r="B42" s="184" t="str">
        <f t="shared" ca="1" si="0"/>
        <v>33M</v>
      </c>
      <c r="C42" s="216">
        <f t="shared" ref="C42:C73" ca="1" si="3">MAX(0,(DATE(YEAR(CDSRollDate),MONTH(CDSRollDate)+ROW()-ROW($B$9),DAY(CDSRollDate))-Parameter_Date)/365)</f>
        <v>2.8410958904109589</v>
      </c>
      <c r="D42" s="169">
        <f ca="1">IF(NOT($C$6),"",IF(GetConvertDate(CDSRollDate,B42)&lt;Parameter_Date,0,GetGetDefaultprob($I$6,B42)))</f>
        <v>1.4653784355317834E-2</v>
      </c>
      <c r="E42" s="178">
        <f t="shared" ca="1" si="2"/>
        <v>7.4265147716913952E-3</v>
      </c>
      <c r="F42" s="164"/>
      <c r="G42" s="165"/>
    </row>
    <row r="43" spans="2:7">
      <c r="B43" s="184" t="str">
        <f t="shared" ca="1" si="0"/>
        <v>34M</v>
      </c>
      <c r="C43" s="216">
        <f t="shared" ca="1" si="3"/>
        <v>2.9260273972602739</v>
      </c>
      <c r="D43" s="169">
        <f ca="1">IF(NOT($C$6),"",IF(GetConvertDate(CDSRollDate,B43)&lt;Parameter_Date,0,GetGetDefaultprob($I$6,B43)))</f>
        <v>1.5275090679426229E-2</v>
      </c>
      <c r="E43" s="178">
        <f t="shared" ca="1" si="2"/>
        <v>7.4265147716908592E-3</v>
      </c>
      <c r="F43" s="164"/>
      <c r="G43" s="165"/>
    </row>
    <row r="44" spans="2:7">
      <c r="B44" s="184" t="str">
        <f t="shared" ca="1" si="0"/>
        <v>35M</v>
      </c>
      <c r="C44" s="216">
        <f t="shared" ca="1" si="3"/>
        <v>3.0082191780821916</v>
      </c>
      <c r="D44" s="169">
        <f ca="1">IF(NOT($C$6),"",IF(GetConvertDate(CDSRollDate,B44)&lt;Parameter_Date,0,GetGetDefaultprob($I$6,B44)))</f>
        <v>1.5875981851580678E-2</v>
      </c>
      <c r="E44" s="178">
        <f t="shared" ca="1" si="2"/>
        <v>7.426514771692508E-3</v>
      </c>
      <c r="F44" s="164"/>
      <c r="G44" s="165"/>
    </row>
    <row r="45" spans="2:7">
      <c r="B45" s="184" t="str">
        <f t="shared" ca="1" si="0"/>
        <v>36M</v>
      </c>
      <c r="C45" s="216">
        <f t="shared" ca="1" si="3"/>
        <v>3.0931506849315067</v>
      </c>
      <c r="D45" s="169">
        <f ca="1">IF(NOT($C$6),"",IF(GetConvertDate(CDSRollDate,B45)&lt;Parameter_Date,0,GetGetDefaultprob($I$6,B45)))</f>
        <v>1.6496517523687082E-2</v>
      </c>
      <c r="E45" s="178">
        <f t="shared" ca="1" si="2"/>
        <v>7.4265147716908592E-3</v>
      </c>
      <c r="F45" s="164"/>
      <c r="G45" s="165"/>
    </row>
    <row r="46" spans="2:7">
      <c r="B46" s="184" t="str">
        <f t="shared" ca="1" si="0"/>
        <v>37M</v>
      </c>
      <c r="C46" s="216">
        <f t="shared" ca="1" si="3"/>
        <v>3.1753424657534248</v>
      </c>
      <c r="D46" s="169">
        <f ca="1">IF(NOT($C$6),"",IF(GetConvertDate(CDSRollDate,B46)&lt;Parameter_Date,0,GetGetDefaultprob($I$6,B46)))</f>
        <v>1.72394305432505E-2</v>
      </c>
      <c r="E46" s="178">
        <f t="shared" ca="1" si="2"/>
        <v>9.1938572467715265E-3</v>
      </c>
      <c r="F46" s="164"/>
      <c r="G46" s="165"/>
    </row>
    <row r="47" spans="2:7">
      <c r="B47" s="184" t="str">
        <f t="shared" ca="1" si="0"/>
        <v>38M</v>
      </c>
      <c r="C47" s="216">
        <f t="shared" ca="1" si="3"/>
        <v>3.2602739726027399</v>
      </c>
      <c r="D47" s="169">
        <f ca="1">IF(NOT($C$6),"",IF(GetConvertDate(CDSRollDate,B47)&lt;Parameter_Date,0,GetGetDefaultprob($I$6,B47)))</f>
        <v>1.8006517787230725E-2</v>
      </c>
      <c r="E47" s="178">
        <f t="shared" ca="1" si="2"/>
        <v>9.1938572467706314E-3</v>
      </c>
      <c r="F47" s="164"/>
      <c r="G47" s="165"/>
    </row>
    <row r="48" spans="2:7">
      <c r="B48" s="184" t="str">
        <f t="shared" ca="1" si="0"/>
        <v>39M</v>
      </c>
      <c r="C48" s="216">
        <f t="shared" ca="1" si="3"/>
        <v>3.3452054794520549</v>
      </c>
      <c r="D48" s="169">
        <f ca="1">IF(NOT($C$6),"",IF(GetConvertDate(CDSRollDate,B48)&lt;Parameter_Date,0,GetGetDefaultprob($I$6,B48)))</f>
        <v>1.8773006286350591E-2</v>
      </c>
      <c r="E48" s="178">
        <f t="shared" ca="1" si="2"/>
        <v>9.1938572467706314E-3</v>
      </c>
      <c r="F48" s="164"/>
      <c r="G48" s="165"/>
    </row>
    <row r="49" spans="2:7">
      <c r="B49" s="184" t="str">
        <f t="shared" ca="1" si="0"/>
        <v>40M</v>
      </c>
      <c r="C49" s="216">
        <f t="shared" ca="1" si="3"/>
        <v>3.4273972602739726</v>
      </c>
      <c r="D49" s="169">
        <f ca="1">IF(NOT($C$6),"",IF(GetConvertDate(CDSRollDate,B49)&lt;Parameter_Date,0,GetGetDefaultprob($I$6,B49)))</f>
        <v>1.9514199705352508E-2</v>
      </c>
      <c r="E49" s="178">
        <f t="shared" ca="1" si="2"/>
        <v>9.1938572467715769E-3</v>
      </c>
      <c r="F49" s="164"/>
      <c r="G49" s="165"/>
    </row>
    <row r="50" spans="2:7">
      <c r="B50" s="184" t="str">
        <f t="shared" ca="1" si="0"/>
        <v>41M</v>
      </c>
      <c r="C50" s="216">
        <f t="shared" ca="1" si="3"/>
        <v>3.5123287671232877</v>
      </c>
      <c r="D50" s="169">
        <f ca="1">IF(NOT($C$6),"",IF(GetConvertDate(CDSRollDate,B50)&lt;Parameter_Date,0,GetGetDefaultprob($I$6,B50)))</f>
        <v>2.027951139335149E-2</v>
      </c>
      <c r="E50" s="178">
        <f t="shared" ca="1" si="2"/>
        <v>9.1938572467719411E-3</v>
      </c>
      <c r="F50" s="164"/>
      <c r="G50" s="165"/>
    </row>
    <row r="51" spans="2:7">
      <c r="B51" s="184" t="str">
        <f t="shared" ca="1" si="0"/>
        <v>42M</v>
      </c>
      <c r="C51" s="216">
        <f t="shared" ca="1" si="3"/>
        <v>3.5945205479452054</v>
      </c>
      <c r="D51" s="169">
        <f ca="1">IF(NOT($C$6),"",IF(GetConvertDate(CDSRollDate,B51)&lt;Parameter_Date,0,GetGetDefaultprob($I$6,B51)))</f>
        <v>2.1019566837472747E-2</v>
      </c>
      <c r="E51" s="178">
        <f t="shared" ca="1" si="2"/>
        <v>9.1938572467702238E-3</v>
      </c>
      <c r="F51" s="164"/>
      <c r="G51" s="165"/>
    </row>
    <row r="52" spans="2:7">
      <c r="B52" s="184" t="str">
        <f t="shared" ca="1" si="0"/>
        <v>43M</v>
      </c>
      <c r="C52" s="216">
        <f t="shared" ca="1" si="3"/>
        <v>3.6794520547945204</v>
      </c>
      <c r="D52" s="169">
        <f ca="1">IF(NOT($C$6),"",IF(GetConvertDate(CDSRollDate,B52)&lt;Parameter_Date,0,GetGetDefaultprob($I$6,B52)))</f>
        <v>2.1783703521141673E-2</v>
      </c>
      <c r="E52" s="178">
        <f t="shared" ca="1" si="2"/>
        <v>9.1938572467719411E-3</v>
      </c>
      <c r="F52" s="164"/>
      <c r="G52" s="165"/>
    </row>
    <row r="53" spans="2:7">
      <c r="B53" s="184" t="str">
        <f t="shared" ca="1" si="0"/>
        <v>44M</v>
      </c>
      <c r="C53" s="216">
        <f t="shared" ca="1" si="3"/>
        <v>3.7643835616438355</v>
      </c>
      <c r="D53" s="169">
        <f ca="1">IF(NOT($C$6),"",IF(GetConvertDate(CDSRollDate,B53)&lt;Parameter_Date,0,GetGetDefaultprob($I$6,B53)))</f>
        <v>2.2547243762990554E-2</v>
      </c>
      <c r="E53" s="178">
        <f t="shared" ca="1" si="2"/>
        <v>9.1938572467719411E-3</v>
      </c>
      <c r="F53" s="164"/>
      <c r="G53" s="165"/>
    </row>
    <row r="54" spans="2:7">
      <c r="B54" s="184" t="str">
        <f t="shared" ca="1" si="0"/>
        <v>45M</v>
      </c>
      <c r="C54" s="216">
        <f t="shared" ca="1" si="3"/>
        <v>3.8438356164383563</v>
      </c>
      <c r="D54" s="169">
        <f ca="1">IF(NOT($C$6),"",IF(GetConvertDate(CDSRollDate,B54)&lt;Parameter_Date,0,GetGetDefaultprob($I$6,B54)))</f>
        <v>2.32609837935428E-2</v>
      </c>
      <c r="E54" s="178">
        <f t="shared" ca="1" si="2"/>
        <v>9.1938572467707112E-3</v>
      </c>
      <c r="F54" s="164"/>
      <c r="G54" s="165"/>
    </row>
    <row r="55" spans="2:7">
      <c r="B55" s="184" t="str">
        <f t="shared" ca="1" si="0"/>
        <v>46M</v>
      </c>
      <c r="C55" s="216">
        <f t="shared" ca="1" si="3"/>
        <v>3.9287671232876713</v>
      </c>
      <c r="D55" s="169">
        <f ca="1">IF(NOT($C$6),"",IF(GetConvertDate(CDSRollDate,B55)&lt;Parameter_Date,0,GetGetDefaultprob($I$6,B55)))</f>
        <v>2.4023370954073697E-2</v>
      </c>
      <c r="E55" s="178">
        <f t="shared" ca="1" si="2"/>
        <v>9.1938572467719411E-3</v>
      </c>
      <c r="F55" s="164"/>
      <c r="G55" s="165"/>
    </row>
    <row r="56" spans="2:7">
      <c r="B56" s="184" t="str">
        <f t="shared" ca="1" si="0"/>
        <v>47M</v>
      </c>
      <c r="C56" s="216">
        <f t="shared" ca="1" si="3"/>
        <v>4.0109589041095894</v>
      </c>
      <c r="D56" s="169">
        <f ca="1">IF(NOT($C$6),"",IF(GetConvertDate(CDSRollDate,B56)&lt;Parameter_Date,0,GetGetDefaultprob($I$6,B56)))</f>
        <v>2.4760598383794741E-2</v>
      </c>
      <c r="E56" s="178">
        <f t="shared" ca="1" si="2"/>
        <v>9.1938572467701752E-3</v>
      </c>
      <c r="F56" s="164"/>
      <c r="G56" s="165"/>
    </row>
    <row r="57" spans="2:7">
      <c r="B57" s="184" t="str">
        <f t="shared" ca="1" si="0"/>
        <v>48M</v>
      </c>
      <c r="C57" s="216">
        <f t="shared" ca="1" si="3"/>
        <v>4.095890410958904</v>
      </c>
      <c r="D57" s="169">
        <f ca="1">IF(NOT($C$6),"",IF(GetConvertDate(CDSRollDate,B57)&lt;Parameter_Date,0,GetGetDefaultprob($I$6,B57)))</f>
        <v>2.5521815030103978E-2</v>
      </c>
      <c r="E57" s="178">
        <f t="shared" ca="1" si="2"/>
        <v>9.1938572467732977E-3</v>
      </c>
      <c r="F57" s="164"/>
      <c r="G57" s="165"/>
    </row>
    <row r="58" spans="2:7">
      <c r="B58" s="184" t="str">
        <f t="shared" ca="1" si="0"/>
        <v>49M</v>
      </c>
      <c r="C58" s="216">
        <f t="shared" ca="1" si="3"/>
        <v>4.1780821917808222</v>
      </c>
      <c r="D58" s="169">
        <f ca="1">IF(NOT($C$6),"",IF(GetConvertDate(CDSRollDate,B58)&lt;Parameter_Date,0,GetGetDefaultprob($I$6,B58)))</f>
        <v>2.6257910574038146E-2</v>
      </c>
      <c r="E58" s="178">
        <f t="shared" ca="1" si="2"/>
        <v>9.1938572467701752E-3</v>
      </c>
      <c r="F58" s="164"/>
      <c r="G58" s="165"/>
    </row>
    <row r="59" spans="2:7">
      <c r="B59" s="184" t="str">
        <f t="shared" ca="1" si="0"/>
        <v>50M</v>
      </c>
      <c r="C59" s="216">
        <f t="shared" ca="1" si="3"/>
        <v>4.2630136986301368</v>
      </c>
      <c r="D59" s="169">
        <f ca="1">IF(NOT($C$6),"",IF(GetConvertDate(CDSRollDate,B59)&lt;Parameter_Date,0,GetGetDefaultprob($I$6,B59)))</f>
        <v>2.7017958503248618E-2</v>
      </c>
      <c r="E59" s="178">
        <f t="shared" ca="1" si="2"/>
        <v>9.19385724677068E-3</v>
      </c>
      <c r="F59" s="164"/>
      <c r="G59" s="165"/>
    </row>
    <row r="60" spans="2:7">
      <c r="B60" s="184" t="str">
        <f t="shared" ca="1" si="0"/>
        <v>51M</v>
      </c>
      <c r="C60" s="216">
        <f t="shared" ca="1" si="3"/>
        <v>4.3479452054794523</v>
      </c>
      <c r="D60" s="169">
        <f ca="1">IF(NOT($C$6),"",IF(GetConvertDate(CDSRollDate,B60)&lt;Parameter_Date,0,GetGetDefaultprob($I$6,B60)))</f>
        <v>2.7777413182089261E-2</v>
      </c>
      <c r="E60" s="178">
        <f t="shared" ca="1" si="2"/>
        <v>9.1938572467718926E-3</v>
      </c>
      <c r="F60" s="164"/>
      <c r="G60" s="165"/>
    </row>
    <row r="61" spans="2:7">
      <c r="B61" s="184" t="str">
        <f t="shared" ca="1" si="0"/>
        <v>52M</v>
      </c>
      <c r="C61" s="216">
        <f t="shared" ca="1" si="3"/>
        <v>4.4301369863013695</v>
      </c>
      <c r="D61" s="169">
        <f ca="1">IF(NOT($C$6),"",IF(GetConvertDate(CDSRollDate,B61)&lt;Parameter_Date,0,GetGetDefaultprob($I$6,B61)))</f>
        <v>2.8511804905687499E-2</v>
      </c>
      <c r="E61" s="178">
        <f t="shared" ca="1" si="2"/>
        <v>9.1938572467716254E-3</v>
      </c>
      <c r="F61" s="164"/>
      <c r="G61" s="165"/>
    </row>
    <row r="62" spans="2:7">
      <c r="B62" s="184" t="str">
        <f t="shared" ca="1" si="0"/>
        <v>53M</v>
      </c>
      <c r="C62" s="216">
        <f t="shared" ca="1" si="3"/>
        <v>4.515068493150685</v>
      </c>
      <c r="D62" s="169">
        <f ca="1">IF(NOT($C$6),"",IF(GetConvertDate(CDSRollDate,B62)&lt;Parameter_Date,0,GetGetDefaultprob($I$6,B62)))</f>
        <v>2.9270093572627109E-2</v>
      </c>
      <c r="E62" s="178">
        <f t="shared" ca="1" si="2"/>
        <v>9.1938572467705846E-3</v>
      </c>
      <c r="F62" s="164"/>
      <c r="G62" s="165"/>
    </row>
    <row r="63" spans="2:7">
      <c r="B63" s="184" t="str">
        <f t="shared" ca="1" si="0"/>
        <v>54M</v>
      </c>
      <c r="C63" s="216">
        <f t="shared" ca="1" si="3"/>
        <v>4.5972602739726032</v>
      </c>
      <c r="D63" s="169">
        <f ca="1">IF(NOT($C$6),"",IF(GetConvertDate(CDSRollDate,B63)&lt;Parameter_Date,0,GetGetDefaultprob($I$6,B63)))</f>
        <v>3.0003357764176952E-2</v>
      </c>
      <c r="E63" s="178">
        <f t="shared" ca="1" si="2"/>
        <v>9.1938572467715265E-3</v>
      </c>
      <c r="F63" s="164"/>
      <c r="G63" s="165"/>
    </row>
    <row r="64" spans="2:7">
      <c r="B64" s="184" t="str">
        <f t="shared" ca="1" si="0"/>
        <v>55M</v>
      </c>
      <c r="C64" s="216">
        <f t="shared" ca="1" si="3"/>
        <v>4.6821917808219178</v>
      </c>
      <c r="D64" s="169">
        <f ca="1">IF(NOT($C$6),"",IF(GetConvertDate(CDSRollDate,B64)&lt;Parameter_Date,0,GetGetDefaultprob($I$6,B64)))</f>
        <v>3.0760482209426177E-2</v>
      </c>
      <c r="E64" s="178">
        <f t="shared" ca="1" si="2"/>
        <v>9.19385724677068E-3</v>
      </c>
      <c r="F64" s="164"/>
      <c r="G64" s="165"/>
    </row>
    <row r="65" spans="2:7">
      <c r="B65" s="184" t="str">
        <f t="shared" ca="1" si="0"/>
        <v>56M</v>
      </c>
      <c r="C65" s="216">
        <f t="shared" ca="1" si="3"/>
        <v>4.7671232876712333</v>
      </c>
      <c r="D65" s="169">
        <f ca="1">IF(NOT($C$6),"",IF(GetConvertDate(CDSRollDate,B65)&lt;Parameter_Date,0,GetGetDefaultprob($I$6,B65)))</f>
        <v>3.1517015686211569E-2</v>
      </c>
      <c r="E65" s="178">
        <f t="shared" ca="1" si="2"/>
        <v>9.1938572467705846E-3</v>
      </c>
      <c r="F65" s="164"/>
      <c r="G65" s="165"/>
    </row>
    <row r="66" spans="2:7">
      <c r="B66" s="184" t="str">
        <f t="shared" ca="1" si="0"/>
        <v>57M</v>
      </c>
      <c r="C66" s="216">
        <f t="shared" ca="1" si="3"/>
        <v>4.8438356164383558</v>
      </c>
      <c r="D66" s="169">
        <f ca="1">IF(NOT($C$6),"",IF(GetConvertDate(CDSRollDate,B66)&lt;Parameter_Date,0,GetGetDefaultprob($I$6,B66)))</f>
        <v>3.2199828679582154E-2</v>
      </c>
      <c r="E66" s="178">
        <f t="shared" ca="1" si="2"/>
        <v>9.1938572467707216E-3</v>
      </c>
      <c r="F66" s="164"/>
      <c r="G66" s="165"/>
    </row>
    <row r="67" spans="2:7">
      <c r="B67" s="184" t="str">
        <f t="shared" ca="1" si="0"/>
        <v>58M</v>
      </c>
      <c r="C67" s="216">
        <f t="shared" ca="1" si="3"/>
        <v>4.9287671232876713</v>
      </c>
      <c r="D67" s="169">
        <f ca="1">IF(NOT($C$6),"",IF(GetConvertDate(CDSRollDate,B67)&lt;Parameter_Date,0,GetGetDefaultprob($I$6,B67)))</f>
        <v>3.2955238684027277E-2</v>
      </c>
      <c r="E67" s="178">
        <f t="shared" ca="1" si="2"/>
        <v>9.1938572467718926E-3</v>
      </c>
      <c r="F67" s="164"/>
      <c r="G67" s="165"/>
    </row>
    <row r="68" spans="2:7">
      <c r="B68" s="184" t="str">
        <f t="shared" ca="1" si="0"/>
        <v>59M</v>
      </c>
      <c r="C68" s="216">
        <f t="shared" ca="1" si="3"/>
        <v>5.0109589041095894</v>
      </c>
      <c r="D68" s="169">
        <f ca="1">IF(NOT($C$6),"",IF(GetConvertDate(CDSRollDate,B68)&lt;Parameter_Date,0,GetGetDefaultprob($I$6,B68)))</f>
        <v>3.3685719212548926E-2</v>
      </c>
      <c r="E68" s="178">
        <f t="shared" ca="1" si="2"/>
        <v>9.1938572467715265E-3</v>
      </c>
      <c r="F68" s="164"/>
      <c r="G68" s="165"/>
    </row>
    <row r="69" spans="2:7">
      <c r="B69" s="184" t="str">
        <f t="shared" ca="1" si="0"/>
        <v>60M</v>
      </c>
      <c r="C69" s="216">
        <f t="shared" ca="1" si="3"/>
        <v>5.095890410958904</v>
      </c>
      <c r="D69" s="169">
        <f ca="1">IF(NOT($C$6),"",IF(GetConvertDate(CDSRollDate,B69)&lt;Parameter_Date,0,GetGetDefaultprob($I$6,B69)))</f>
        <v>3.4439969414994165E-2</v>
      </c>
      <c r="E69" s="178">
        <f t="shared" ca="1" si="2"/>
        <v>9.19385724677068E-3</v>
      </c>
      <c r="F69" s="164"/>
      <c r="G69" s="165"/>
    </row>
    <row r="70" spans="2:7">
      <c r="B70" s="184" t="str">
        <f t="shared" ca="1" si="0"/>
        <v>61M</v>
      </c>
      <c r="C70" s="216">
        <f t="shared" ca="1" si="3"/>
        <v>5.1780821917808222</v>
      </c>
      <c r="D70" s="169">
        <f ca="1">IF(NOT($C$6),"",IF(GetConvertDate(CDSRollDate,B70)&lt;Parameter_Date,0,GetGetDefaultprob($I$6,B70)))</f>
        <v>3.5189696781814273E-2</v>
      </c>
      <c r="E70" s="178">
        <f t="shared" ca="1" si="2"/>
        <v>9.4507082520838351E-3</v>
      </c>
      <c r="F70" s="164"/>
      <c r="G70" s="165"/>
    </row>
    <row r="71" spans="2:7">
      <c r="B71" s="184" t="str">
        <f t="shared" ca="1" si="0"/>
        <v>62M</v>
      </c>
      <c r="C71" s="216">
        <f t="shared" ca="1" si="3"/>
        <v>5.2630136986301368</v>
      </c>
      <c r="D71" s="169">
        <f ca="1">IF(NOT($C$6),"",IF(GetConvertDate(CDSRollDate,B71)&lt;Parameter_Date,0,GetGetDefaultprob($I$6,B71)))</f>
        <v>3.5963803495718816E-2</v>
      </c>
      <c r="E71" s="178">
        <f t="shared" ca="1" si="2"/>
        <v>9.450708252083757E-3</v>
      </c>
      <c r="F71" s="164"/>
      <c r="G71" s="165"/>
    </row>
    <row r="72" spans="2:7">
      <c r="B72" s="184" t="str">
        <f t="shared" ca="1" si="0"/>
        <v>63M</v>
      </c>
      <c r="C72" s="216">
        <f t="shared" ca="1" si="3"/>
        <v>5.3479452054794523</v>
      </c>
      <c r="D72" s="169">
        <f ca="1">IF(NOT($C$6),"",IF(GetConvertDate(CDSRollDate,B72)&lt;Parameter_Date,0,GetGetDefaultprob($I$6,B72)))</f>
        <v>3.6737289112188432E-2</v>
      </c>
      <c r="E72" s="178">
        <f t="shared" ca="1" si="2"/>
        <v>9.4507082520836581E-3</v>
      </c>
      <c r="F72" s="164"/>
      <c r="G72" s="165"/>
    </row>
    <row r="73" spans="2:7">
      <c r="B73" s="184" t="str">
        <f t="shared" ca="1" si="0"/>
        <v>64M</v>
      </c>
      <c r="C73" s="216">
        <f t="shared" ca="1" si="3"/>
        <v>5.4301369863013695</v>
      </c>
      <c r="D73" s="169">
        <f ca="1">IF(NOT($C$6),"",IF(GetConvertDate(CDSRollDate,B73)&lt;Parameter_Date,0,GetGetDefaultprob($I$6,B73)))</f>
        <v>3.7485232681634284E-2</v>
      </c>
      <c r="E73" s="178">
        <f t="shared" ca="1" si="2"/>
        <v>9.4507082520852888E-3</v>
      </c>
      <c r="F73" s="164"/>
      <c r="G73" s="165"/>
    </row>
    <row r="74" spans="2:7">
      <c r="B74" s="184" t="str">
        <f t="shared" ca="1" si="0"/>
        <v>65M</v>
      </c>
      <c r="C74" s="216">
        <f t="shared" ref="C74:C105" ca="1" si="4">MAX(0,(DATE(YEAR(CDSRollDate),MONTH(CDSRollDate)+ROW()-ROW($B$9),DAY(CDSRollDate))-Parameter_Date)/365)</f>
        <v>5.515068493150685</v>
      </c>
      <c r="D74" s="169">
        <f ca="1">IF(NOT($C$6),"",IF(GetConvertDate(CDSRollDate,B74)&lt;Parameter_Date,0,GetGetDefaultprob($I$6,B74)))</f>
        <v>3.8257497593325307E-2</v>
      </c>
      <c r="E74" s="178">
        <f t="shared" ca="1" si="2"/>
        <v>9.4507082520836581E-3</v>
      </c>
      <c r="F74" s="164"/>
      <c r="G74" s="165"/>
    </row>
    <row r="75" spans="2:7">
      <c r="B75" s="184" t="str">
        <f t="shared" ref="B75:B129" ca="1" si="5">ROW()-ROW($B$9)&amp;"M"</f>
        <v>66M</v>
      </c>
      <c r="C75" s="216">
        <f t="shared" ca="1" si="4"/>
        <v>5.5972602739726032</v>
      </c>
      <c r="D75" s="169">
        <f ca="1">IF(NOT($C$6),"",IF(GetConvertDate(CDSRollDate,B75)&lt;Parameter_Date,0,GetGetDefaultprob($I$6,B75)))</f>
        <v>3.9004260768113586E-2</v>
      </c>
      <c r="E75" s="178">
        <f t="shared" ca="1" si="2"/>
        <v>9.4507082520838351E-3</v>
      </c>
      <c r="F75" s="164"/>
      <c r="G75" s="165"/>
    </row>
    <row r="76" spans="2:7">
      <c r="B76" s="184" t="str">
        <f t="shared" ca="1" si="5"/>
        <v>67M</v>
      </c>
      <c r="C76" s="216">
        <f t="shared" ca="1" si="4"/>
        <v>5.6821917808219178</v>
      </c>
      <c r="D76" s="169">
        <f ca="1">IF(NOT($C$6),"",IF(GetConvertDate(CDSRollDate,B76)&lt;Parameter_Date,0,GetGetDefaultprob($I$6,B76)))</f>
        <v>3.9775306901526308E-2</v>
      </c>
      <c r="E76" s="178">
        <f t="shared" ref="E76:E129" ca="1" si="6">IF(NOT($C$6),"",IF(C76=0,0,-LN((1-D76)/(1-D75))/($C76-$C75)))</f>
        <v>9.450708252085065E-3</v>
      </c>
      <c r="F76" s="164"/>
      <c r="G76" s="165"/>
    </row>
    <row r="77" spans="2:7">
      <c r="B77" s="184" t="str">
        <f t="shared" ca="1" si="5"/>
        <v>68M</v>
      </c>
      <c r="C77" s="216">
        <f t="shared" ca="1" si="4"/>
        <v>5.7671232876712333</v>
      </c>
      <c r="D77" s="169">
        <f ca="1">IF(NOT($C$6),"",IF(GetConvertDate(CDSRollDate,B77)&lt;Parameter_Date,0,GetGetDefaultprob($I$6,B77)))</f>
        <v>4.0545734393132804E-2</v>
      </c>
      <c r="E77" s="178">
        <f t="shared" ca="1" si="6"/>
        <v>9.4507082520849661E-3</v>
      </c>
      <c r="F77" s="164"/>
      <c r="G77" s="165"/>
    </row>
    <row r="78" spans="2:7">
      <c r="B78" s="184" t="str">
        <f t="shared" ca="1" si="5"/>
        <v>69M</v>
      </c>
      <c r="C78" s="216">
        <f t="shared" ca="1" si="4"/>
        <v>5.8438356164383558</v>
      </c>
      <c r="D78" s="169">
        <f ca="1">IF(NOT($C$6),"",IF(GetConvertDate(CDSRollDate,B78)&lt;Parameter_Date,0,GetGetDefaultprob($I$6,B78)))</f>
        <v>4.1241073062601274E-2</v>
      </c>
      <c r="E78" s="178">
        <f t="shared" ca="1" si="6"/>
        <v>9.4507082520838195E-3</v>
      </c>
      <c r="F78" s="164"/>
      <c r="G78" s="165"/>
    </row>
    <row r="79" spans="2:7">
      <c r="B79" s="184" t="str">
        <f t="shared" ca="1" si="5"/>
        <v>70M</v>
      </c>
      <c r="C79" s="216">
        <f t="shared" ca="1" si="4"/>
        <v>5.9287671232876713</v>
      </c>
      <c r="D79" s="169">
        <f ca="1">IF(NOT($C$6),"",IF(GetConvertDate(CDSRollDate,B79)&lt;Parameter_Date,0,GetGetDefaultprob($I$6,B79)))</f>
        <v>4.2010324510147634E-2</v>
      </c>
      <c r="E79" s="178">
        <f t="shared" ca="1" si="6"/>
        <v>9.4507082520849661E-3</v>
      </c>
      <c r="F79" s="164"/>
      <c r="G79" s="165"/>
    </row>
    <row r="80" spans="2:7">
      <c r="B80" s="184" t="str">
        <f t="shared" ca="1" si="5"/>
        <v>71M</v>
      </c>
      <c r="C80" s="216">
        <f t="shared" ca="1" si="4"/>
        <v>6.0109589041095894</v>
      </c>
      <c r="D80" s="169">
        <f ca="1">IF(NOT($C$6),"",IF(GetConvertDate(CDSRollDate,B80)&lt;Parameter_Date,0,GetGetDefaultprob($I$6,B80)))</f>
        <v>4.275417373142365E-2</v>
      </c>
      <c r="E80" s="178">
        <f t="shared" ca="1" si="6"/>
        <v>9.4507082520838351E-3</v>
      </c>
      <c r="F80" s="164"/>
      <c r="G80" s="165"/>
    </row>
    <row r="81" spans="2:7">
      <c r="B81" s="184" t="str">
        <f t="shared" ca="1" si="5"/>
        <v>72M</v>
      </c>
      <c r="C81" s="216">
        <f t="shared" ca="1" si="4"/>
        <v>6.095890410958904</v>
      </c>
      <c r="D81" s="169">
        <f ca="1">IF(NOT($C$6),"",IF(GetConvertDate(CDSRollDate,B81)&lt;Parameter_Date,0,GetGetDefaultprob($I$6,B81)))</f>
        <v>4.352221115650079E-2</v>
      </c>
      <c r="E81" s="178">
        <f t="shared" ca="1" si="6"/>
        <v>9.450708252083757E-3</v>
      </c>
      <c r="F81" s="164"/>
      <c r="G81" s="165"/>
    </row>
    <row r="82" spans="2:7">
      <c r="B82" s="184" t="str">
        <f t="shared" ca="1" si="5"/>
        <v>73M</v>
      </c>
      <c r="C82" s="216">
        <f t="shared" ca="1" si="4"/>
        <v>6.1780821917808222</v>
      </c>
      <c r="D82" s="169">
        <f ca="1">IF(NOT($C$6),"",IF(GetConvertDate(CDSRollDate,B82)&lt;Parameter_Date,0,GetGetDefaultprob($I$6,B82)))</f>
        <v>4.426488644476545E-2</v>
      </c>
      <c r="E82" s="178">
        <f t="shared" ca="1" si="6"/>
        <v>9.4507082520838351E-3</v>
      </c>
      <c r="F82" s="164"/>
      <c r="G82" s="165"/>
    </row>
    <row r="83" spans="2:7">
      <c r="B83" s="184" t="str">
        <f t="shared" ca="1" si="5"/>
        <v>74M</v>
      </c>
      <c r="C83" s="216">
        <f t="shared" ca="1" si="4"/>
        <v>6.2630136986301368</v>
      </c>
      <c r="D83" s="169">
        <f ca="1">IF(NOT($C$6),"",IF(GetConvertDate(CDSRollDate,B83)&lt;Parameter_Date,0,GetGetDefaultprob($I$6,B83)))</f>
        <v>4.5031711763327764E-2</v>
      </c>
      <c r="E83" s="178">
        <f t="shared" ca="1" si="6"/>
        <v>9.450708252085065E-3</v>
      </c>
      <c r="F83" s="164"/>
      <c r="G83" s="165"/>
    </row>
    <row r="84" spans="2:7">
      <c r="B84" s="184" t="str">
        <f t="shared" ca="1" si="5"/>
        <v>75M</v>
      </c>
      <c r="C84" s="216">
        <f t="shared" ca="1" si="4"/>
        <v>6.3479452054794523</v>
      </c>
      <c r="D84" s="169">
        <f ca="1">IF(NOT($C$6),"",IF(GetConvertDate(CDSRollDate,B84)&lt;Parameter_Date,0,GetGetDefaultprob($I$6,B84)))</f>
        <v>4.5797921826615906E-2</v>
      </c>
      <c r="E84" s="178">
        <f t="shared" ca="1" si="6"/>
        <v>9.4507082520823502E-3</v>
      </c>
      <c r="F84" s="164"/>
      <c r="G84" s="165"/>
    </row>
    <row r="85" spans="2:7">
      <c r="B85" s="184" t="str">
        <f t="shared" ca="1" si="5"/>
        <v>76M</v>
      </c>
      <c r="C85" s="216">
        <f t="shared" ca="1" si="4"/>
        <v>6.4301369863013695</v>
      </c>
      <c r="D85" s="169">
        <f ca="1">IF(NOT($C$6),"",IF(GetConvertDate(CDSRollDate,B85)&lt;Parameter_Date,0,GetGetDefaultprob($I$6,B85)))</f>
        <v>4.6538830096244488E-2</v>
      </c>
      <c r="E85" s="178">
        <f t="shared" ca="1" si="6"/>
        <v>9.4507082520839357E-3</v>
      </c>
      <c r="F85" s="164"/>
      <c r="G85" s="165"/>
    </row>
    <row r="86" spans="2:7">
      <c r="B86" s="184" t="str">
        <f t="shared" ca="1" si="5"/>
        <v>77M</v>
      </c>
      <c r="C86" s="216">
        <f t="shared" ca="1" si="4"/>
        <v>6.515068493150685</v>
      </c>
      <c r="D86" s="169">
        <f ca="1">IF(NOT($C$6),"",IF(GetConvertDate(CDSRollDate,B86)&lt;Parameter_Date,0,GetGetDefaultprob($I$6,B86)))</f>
        <v>4.730383093693602E-2</v>
      </c>
      <c r="E86" s="178">
        <f t="shared" ca="1" si="6"/>
        <v>9.4507082520836581E-3</v>
      </c>
      <c r="F86" s="164"/>
      <c r="G86" s="165"/>
    </row>
    <row r="87" spans="2:7">
      <c r="B87" s="184" t="str">
        <f t="shared" ca="1" si="5"/>
        <v>78M</v>
      </c>
      <c r="C87" s="216">
        <f t="shared" ca="1" si="4"/>
        <v>6.5972602739726032</v>
      </c>
      <c r="D87" s="169">
        <f ca="1">IF(NOT($C$6),"",IF(GetConvertDate(CDSRollDate,B87)&lt;Parameter_Date,0,GetGetDefaultprob($I$6,B87)))</f>
        <v>4.8043569914924311E-2</v>
      </c>
      <c r="E87" s="178">
        <f t="shared" ca="1" si="6"/>
        <v>9.4507082520838351E-3</v>
      </c>
      <c r="F87" s="164"/>
      <c r="G87" s="165"/>
    </row>
    <row r="88" spans="2:7">
      <c r="B88" s="184" t="str">
        <f t="shared" ca="1" si="5"/>
        <v>79M</v>
      </c>
      <c r="C88" s="216">
        <f t="shared" ca="1" si="4"/>
        <v>6.6821917808219178</v>
      </c>
      <c r="D88" s="169">
        <f ca="1">IF(NOT($C$6),"",IF(GetConvertDate(CDSRollDate,B88)&lt;Parameter_Date,0,GetGetDefaultprob($I$6,B88)))</f>
        <v>4.8807363441398355E-2</v>
      </c>
      <c r="E88" s="178">
        <f t="shared" ca="1" si="6"/>
        <v>9.450708252085065E-3</v>
      </c>
      <c r="F88" s="164"/>
      <c r="G88" s="165"/>
    </row>
    <row r="89" spans="2:7">
      <c r="B89" s="184" t="str">
        <f t="shared" ca="1" si="5"/>
        <v>80M</v>
      </c>
      <c r="C89" s="216">
        <f t="shared" ca="1" si="4"/>
        <v>6.7671232876712333</v>
      </c>
      <c r="D89" s="169">
        <f ca="1">IF(NOT($C$6),"",IF(GetConvertDate(CDSRollDate,B89)&lt;Parameter_Date,0,GetGetDefaultprob($I$6,B89)))</f>
        <v>4.9570544145128959E-2</v>
      </c>
      <c r="E89" s="178">
        <f t="shared" ca="1" si="6"/>
        <v>9.4507082520836581E-3</v>
      </c>
      <c r="F89" s="164"/>
      <c r="G89" s="165"/>
    </row>
    <row r="90" spans="2:7">
      <c r="B90" s="184" t="str">
        <f t="shared" ca="1" si="5"/>
        <v>81M</v>
      </c>
      <c r="C90" s="216">
        <f t="shared" ca="1" si="4"/>
        <v>6.8438356164383558</v>
      </c>
      <c r="D90" s="169">
        <f ca="1">IF(NOT($C$6),"",IF(GetConvertDate(CDSRollDate,B90)&lt;Parameter_Date,0,GetGetDefaultprob($I$6,B90)))</f>
        <v>5.0259342326498979E-2</v>
      </c>
      <c r="E90" s="178">
        <f t="shared" ca="1" si="6"/>
        <v>9.450708252082371E-3</v>
      </c>
      <c r="F90" s="164"/>
      <c r="G90" s="165"/>
    </row>
    <row r="91" spans="2:7">
      <c r="B91" s="184" t="str">
        <f t="shared" ca="1" si="5"/>
        <v>82M</v>
      </c>
      <c r="C91" s="216">
        <f t="shared" ca="1" si="4"/>
        <v>6.9287671232876713</v>
      </c>
      <c r="D91" s="169">
        <f ca="1">IF(NOT($C$6),"",IF(GetConvertDate(CDSRollDate,B91)&lt;Parameter_Date,0,GetGetDefaultprob($I$6,B91)))</f>
        <v>5.1021358048264021E-2</v>
      </c>
      <c r="E91" s="178">
        <f t="shared" ca="1" si="6"/>
        <v>9.4507082520836581E-3</v>
      </c>
      <c r="F91" s="164"/>
      <c r="G91" s="165"/>
    </row>
    <row r="92" spans="2:7">
      <c r="B92" s="184" t="str">
        <f t="shared" ca="1" si="5"/>
        <v>83M</v>
      </c>
      <c r="C92" s="216">
        <f t="shared" ca="1" si="4"/>
        <v>7.0109589041095894</v>
      </c>
      <c r="D92" s="169">
        <f ca="1">IF(NOT($C$6),"",IF(GetConvertDate(CDSRollDate,B92)&lt;Parameter_Date,0,GetGetDefaultprob($I$6,B92)))</f>
        <v>5.1758210481942402E-2</v>
      </c>
      <c r="E92" s="178">
        <f t="shared" ca="1" si="6"/>
        <v>9.4507082520851864E-3</v>
      </c>
      <c r="F92" s="164"/>
      <c r="G92" s="165"/>
    </row>
    <row r="93" spans="2:7">
      <c r="B93" s="184" t="str">
        <f t="shared" ca="1" si="5"/>
        <v>84M</v>
      </c>
      <c r="C93" s="216">
        <f t="shared" ca="1" si="4"/>
        <v>7.095890410958904</v>
      </c>
      <c r="D93" s="169">
        <f ca="1">IF(NOT($C$6),"",IF(GetConvertDate(CDSRollDate,B93)&lt;Parameter_Date,0,GetGetDefaultprob($I$6,B93)))</f>
        <v>5.251902360056504E-2</v>
      </c>
      <c r="E93" s="178">
        <f t="shared" ca="1" si="6"/>
        <v>9.450708252082449E-3</v>
      </c>
      <c r="F93" s="164"/>
      <c r="G93" s="165"/>
    </row>
    <row r="94" spans="2:7">
      <c r="B94" s="184" t="str">
        <f t="shared" ca="1" si="5"/>
        <v>85M</v>
      </c>
      <c r="C94" s="216">
        <f t="shared" ca="1" si="4"/>
        <v>7.1780821917808222</v>
      </c>
      <c r="D94" s="169">
        <f ca="1">IF(NOT($C$6),"",IF(GetConvertDate(CDSRollDate,B94)&lt;Parameter_Date,0,GetGetDefaultprob($I$6,B94)))</f>
        <v>5.3309772055296856E-2</v>
      </c>
      <c r="E94" s="178">
        <f t="shared" ca="1" si="6"/>
        <v>1.0158293403183022E-2</v>
      </c>
      <c r="F94" s="164"/>
      <c r="G94" s="165"/>
    </row>
    <row r="95" spans="2:7">
      <c r="B95" s="184" t="str">
        <f t="shared" ca="1" si="5"/>
        <v>86M</v>
      </c>
      <c r="C95" s="216">
        <f t="shared" ca="1" si="4"/>
        <v>7.2630136986301368</v>
      </c>
      <c r="D95" s="169">
        <f ca="1">IF(NOT($C$6),"",IF(GetConvertDate(CDSRollDate,B95)&lt;Parameter_Date,0,GetGetDefaultprob($I$6,B95)))</f>
        <v>5.4126185491852552E-2</v>
      </c>
      <c r="E95" s="178">
        <f t="shared" ca="1" si="6"/>
        <v>1.0158293403183727E-2</v>
      </c>
      <c r="F95" s="164"/>
      <c r="G95" s="165"/>
    </row>
    <row r="96" spans="2:7">
      <c r="B96" s="184" t="str">
        <f t="shared" ca="1" si="5"/>
        <v>87M</v>
      </c>
      <c r="C96" s="216">
        <f t="shared" ca="1" si="4"/>
        <v>7.3479452054794523</v>
      </c>
      <c r="D96" s="169">
        <f ca="1">IF(NOT($C$6),"",IF(GetConvertDate(CDSRollDate,B96)&lt;Parameter_Date,0,GetGetDefaultprob($I$6,B96)))</f>
        <v>5.4941894863995477E-2</v>
      </c>
      <c r="E96" s="178">
        <f t="shared" ca="1" si="6"/>
        <v>1.0158293403183621E-2</v>
      </c>
      <c r="F96" s="164"/>
      <c r="G96" s="165"/>
    </row>
    <row r="97" spans="2:7">
      <c r="B97" s="184" t="str">
        <f t="shared" ca="1" si="5"/>
        <v>88M</v>
      </c>
      <c r="C97" s="216">
        <f t="shared" ca="1" si="4"/>
        <v>7.4301369863013695</v>
      </c>
      <c r="D97" s="169">
        <f ca="1">IF(NOT($C$6),"",IF(GetConvertDate(CDSRollDate,B97)&lt;Parameter_Date,0,GetGetDefaultprob($I$6,B97)))</f>
        <v>5.5730621239387101E-2</v>
      </c>
      <c r="E97" s="178">
        <f t="shared" ca="1" si="6"/>
        <v>1.0158293403183132E-2</v>
      </c>
      <c r="F97" s="164"/>
      <c r="G97" s="165"/>
    </row>
    <row r="98" spans="2:7">
      <c r="B98" s="184" t="str">
        <f t="shared" ca="1" si="5"/>
        <v>89M</v>
      </c>
      <c r="C98" s="216">
        <f t="shared" ca="1" si="4"/>
        <v>7.515068493150685</v>
      </c>
      <c r="D98" s="169">
        <f ca="1">IF(NOT($C$6),"",IF(GetConvertDate(CDSRollDate,B98)&lt;Parameter_Date,0,GetGetDefaultprob($I$6,B98)))</f>
        <v>5.6544946966844867E-2</v>
      </c>
      <c r="E98" s="178">
        <f t="shared" ca="1" si="6"/>
        <v>1.0158293403182313E-2</v>
      </c>
      <c r="F98" s="164"/>
      <c r="G98" s="165"/>
    </row>
    <row r="99" spans="2:7">
      <c r="B99" s="184" t="str">
        <f t="shared" ca="1" si="5"/>
        <v>90M</v>
      </c>
      <c r="C99" s="216">
        <f t="shared" ca="1" si="4"/>
        <v>7.5972602739726032</v>
      </c>
      <c r="D99" s="169">
        <f ca="1">IF(NOT($C$6),"",IF(GetConvertDate(CDSRollDate,B99)&lt;Parameter_Date,0,GetGetDefaultprob($I$6,B99)))</f>
        <v>5.7332335467382367E-2</v>
      </c>
      <c r="E99" s="178">
        <f t="shared" ca="1" si="6"/>
        <v>1.0158293403184375E-2</v>
      </c>
      <c r="F99" s="164"/>
      <c r="G99" s="165"/>
    </row>
    <row r="100" spans="2:7">
      <c r="B100" s="184" t="str">
        <f t="shared" ca="1" si="5"/>
        <v>91M</v>
      </c>
      <c r="C100" s="216">
        <f t="shared" ca="1" si="4"/>
        <v>7.6821917808219178</v>
      </c>
      <c r="D100" s="169">
        <f ca="1">IF(NOT($C$6),"",IF(GetConvertDate(CDSRollDate,B100)&lt;Parameter_Date,0,GetGetDefaultprob($I$6,B100)))</f>
        <v>5.8145279897158342E-2</v>
      </c>
      <c r="E100" s="178">
        <f t="shared" ca="1" si="6"/>
        <v>1.0158293403183727E-2</v>
      </c>
      <c r="F100" s="164"/>
      <c r="G100" s="165"/>
    </row>
    <row r="101" spans="2:7">
      <c r="B101" s="184" t="str">
        <f t="shared" ca="1" si="5"/>
        <v>92M</v>
      </c>
      <c r="C101" s="216">
        <f t="shared" ca="1" si="4"/>
        <v>7.7671232876712333</v>
      </c>
      <c r="D101" s="169">
        <f ca="1">IF(NOT($C$6),"",IF(GetConvertDate(CDSRollDate,B101)&lt;Parameter_Date,0,GetGetDefaultprob($I$6,B101)))</f>
        <v>5.8957523254148159E-2</v>
      </c>
      <c r="E101" s="178">
        <f t="shared" ca="1" si="6"/>
        <v>1.0158293403182313E-2</v>
      </c>
      <c r="F101" s="164"/>
      <c r="G101" s="165"/>
    </row>
    <row r="102" spans="2:7">
      <c r="B102" s="184" t="str">
        <f t="shared" ca="1" si="5"/>
        <v>93M</v>
      </c>
      <c r="C102" s="216">
        <f t="shared" ca="1" si="4"/>
        <v>7.8465753424657532</v>
      </c>
      <c r="D102" s="169">
        <f ca="1">IF(NOT($C$6),"",IF(GetConvertDate(CDSRollDate,B102)&lt;Parameter_Date,0,GetGetDefaultprob($I$6,B102)))</f>
        <v>5.971672966341357E-2</v>
      </c>
      <c r="E102" s="178">
        <f t="shared" ca="1" si="6"/>
        <v>1.0158293403184061E-2</v>
      </c>
      <c r="F102" s="164"/>
      <c r="G102" s="165"/>
    </row>
    <row r="103" spans="2:7">
      <c r="B103" s="184" t="str">
        <f t="shared" ca="1" si="5"/>
        <v>94M</v>
      </c>
      <c r="C103" s="216">
        <f t="shared" ca="1" si="4"/>
        <v>7.9315068493150687</v>
      </c>
      <c r="D103" s="169">
        <f ca="1">IF(NOT($C$6),"",IF(GetConvertDate(CDSRollDate,B103)&lt;Parameter_Date,0,GetGetDefaultprob($I$6,B103)))</f>
        <v>6.0527617822403013E-2</v>
      </c>
      <c r="E103" s="178">
        <f t="shared" ca="1" si="6"/>
        <v>1.0158293403183621E-2</v>
      </c>
      <c r="F103" s="164"/>
      <c r="G103" s="165"/>
    </row>
    <row r="104" spans="2:7">
      <c r="B104" s="184" t="str">
        <f t="shared" ca="1" si="5"/>
        <v>95M</v>
      </c>
      <c r="C104" s="216">
        <f t="shared" ca="1" si="4"/>
        <v>8.0136986301369859</v>
      </c>
      <c r="D104" s="169">
        <f ca="1">IF(NOT($C$6),"",IF(GetConvertDate(CDSRollDate,B104)&lt;Parameter_Date,0,GetGetDefaultprob($I$6,B104)))</f>
        <v>6.1311682466416495E-2</v>
      </c>
      <c r="E104" s="178">
        <f t="shared" ca="1" si="6"/>
        <v>1.0158293403183132E-2</v>
      </c>
      <c r="F104" s="164"/>
      <c r="G104" s="165"/>
    </row>
    <row r="105" spans="2:7">
      <c r="B105" s="184" t="str">
        <f t="shared" ca="1" si="5"/>
        <v>96M</v>
      </c>
      <c r="C105" s="216">
        <f t="shared" ca="1" si="4"/>
        <v>8.0986301369863014</v>
      </c>
      <c r="D105" s="169">
        <f ca="1">IF(NOT($C$6),"",IF(GetConvertDate(CDSRollDate,B105)&lt;Parameter_Date,0,GetGetDefaultprob($I$6,B105)))</f>
        <v>6.2121195158689746E-2</v>
      </c>
      <c r="E105" s="178">
        <f t="shared" ca="1" si="6"/>
        <v>1.0158293403183621E-2</v>
      </c>
      <c r="F105" s="164"/>
      <c r="G105" s="165"/>
    </row>
    <row r="106" spans="2:7">
      <c r="B106" s="184" t="str">
        <f t="shared" ca="1" si="5"/>
        <v>97M</v>
      </c>
      <c r="C106" s="216">
        <f t="shared" ref="C106:C129" ca="1" si="7">MAX(0,(DATE(YEAR(CDSRollDate),MONTH(CDSRollDate)+ROW()-ROW($B$9),DAY(CDSRollDate))-Parameter_Date)/365)</f>
        <v>8.1808219178082187</v>
      </c>
      <c r="D106" s="169">
        <f ca="1">IF(NOT($C$6),"",IF(GetConvertDate(CDSRollDate,B106)&lt;Parameter_Date,0,GetGetDefaultprob($I$6,B106)))</f>
        <v>6.2903929835297467E-2</v>
      </c>
      <c r="E106" s="178">
        <f t="shared" ca="1" si="6"/>
        <v>1.0158293403183132E-2</v>
      </c>
      <c r="F106" s="164"/>
      <c r="G106" s="165"/>
    </row>
    <row r="107" spans="2:7">
      <c r="B107" s="184" t="str">
        <f t="shared" ca="1" si="5"/>
        <v>98M</v>
      </c>
      <c r="C107" s="216">
        <f t="shared" ca="1" si="7"/>
        <v>8.2657534246575342</v>
      </c>
      <c r="D107" s="169">
        <f ca="1">IF(NOT($C$6),"",IF(GetConvertDate(CDSRollDate,B107)&lt;Parameter_Date,0,GetGetDefaultprob($I$6,B107)))</f>
        <v>6.3712069393985993E-2</v>
      </c>
      <c r="E107" s="178">
        <f t="shared" ca="1" si="6"/>
        <v>1.0158293403183621E-2</v>
      </c>
      <c r="F107" s="164"/>
      <c r="G107" s="165"/>
    </row>
    <row r="108" spans="2:7">
      <c r="B108" s="184" t="str">
        <f t="shared" ca="1" si="5"/>
        <v>99M</v>
      </c>
      <c r="C108" s="216">
        <f t="shared" ca="1" si="7"/>
        <v>8.3506849315068497</v>
      </c>
      <c r="D108" s="169">
        <f ca="1">IF(NOT($C$6),"",IF(GetConvertDate(CDSRollDate,B108)&lt;Parameter_Date,0,GetGetDefaultprob($I$6,B108)))</f>
        <v>6.4519512023547332E-2</v>
      </c>
      <c r="E108" s="178">
        <f t="shared" ca="1" si="6"/>
        <v>1.0158293403183621E-2</v>
      </c>
      <c r="F108" s="164"/>
      <c r="G108" s="165"/>
    </row>
    <row r="109" spans="2:7">
      <c r="B109" s="184" t="str">
        <f t="shared" ca="1" si="5"/>
        <v>100M</v>
      </c>
      <c r="C109" s="216">
        <f t="shared" ca="1" si="7"/>
        <v>8.4328767123287669</v>
      </c>
      <c r="D109" s="169">
        <f ca="1">IF(NOT($C$6),"",IF(GetConvertDate(CDSRollDate,B109)&lt;Parameter_Date,0,GetGetDefaultprob($I$6,B109)))</f>
        <v>6.5300245113419142E-2</v>
      </c>
      <c r="E109" s="178">
        <f t="shared" ca="1" si="6"/>
        <v>1.0158293403183132E-2</v>
      </c>
      <c r="F109" s="164"/>
      <c r="G109" s="165"/>
    </row>
    <row r="110" spans="2:7">
      <c r="B110" s="184" t="str">
        <f t="shared" ca="1" si="5"/>
        <v>101M</v>
      </c>
      <c r="C110" s="216">
        <f t="shared" ca="1" si="7"/>
        <v>8.5178082191780824</v>
      </c>
      <c r="D110" s="169">
        <f ca="1">IF(NOT($C$6),"",IF(GetConvertDate(CDSRollDate,B110)&lt;Parameter_Date,0,GetGetDefaultprob($I$6,B110)))</f>
        <v>6.6106318120733643E-2</v>
      </c>
      <c r="E110" s="178">
        <f t="shared" ca="1" si="6"/>
        <v>1.0158293403182313E-2</v>
      </c>
      <c r="F110" s="164"/>
      <c r="G110" s="165"/>
    </row>
    <row r="111" spans="2:7">
      <c r="B111" s="184" t="str">
        <f t="shared" ca="1" si="5"/>
        <v>102M</v>
      </c>
      <c r="C111" s="216">
        <f t="shared" ca="1" si="7"/>
        <v>8.6</v>
      </c>
      <c r="D111" s="169">
        <f ca="1">IF(NOT($C$6),"",IF(GetConvertDate(CDSRollDate,B111)&lt;Parameter_Date,0,GetGetDefaultprob($I$6,B111)))</f>
        <v>6.6885726894338915E-2</v>
      </c>
      <c r="E111" s="178">
        <f t="shared" ca="1" si="6"/>
        <v>1.0158293403183132E-2</v>
      </c>
      <c r="F111" s="164"/>
      <c r="G111" s="165"/>
    </row>
    <row r="112" spans="2:7">
      <c r="B112" s="184" t="str">
        <f t="shared" ca="1" si="5"/>
        <v>103M</v>
      </c>
      <c r="C112" s="216">
        <f t="shared" ca="1" si="7"/>
        <v>8.6849315068493151</v>
      </c>
      <c r="D112" s="169">
        <f ca="1">IF(NOT($C$6),"",IF(GetConvertDate(CDSRollDate,B112)&lt;Parameter_Date,0,GetGetDefaultprob($I$6,B112)))</f>
        <v>6.7690432602624639E-2</v>
      </c>
      <c r="E112" s="178">
        <f t="shared" ca="1" si="6"/>
        <v>1.0158293403183621E-2</v>
      </c>
      <c r="F112" s="164"/>
      <c r="G112" s="165"/>
    </row>
    <row r="113" spans="2:7">
      <c r="B113" s="184" t="str">
        <f t="shared" ca="1" si="5"/>
        <v>104M</v>
      </c>
      <c r="C113" s="216">
        <f t="shared" ca="1" si="7"/>
        <v>8.7698630136986306</v>
      </c>
      <c r="D113" s="169">
        <f ca="1">IF(NOT($C$6),"",IF(GetConvertDate(CDSRollDate,B113)&lt;Parameter_Date,0,GetGetDefaultprob($I$6,B113)))</f>
        <v>6.8494444343091376E-2</v>
      </c>
      <c r="E113" s="178">
        <f t="shared" ca="1" si="6"/>
        <v>1.0158293403183621E-2</v>
      </c>
      <c r="F113" s="164"/>
      <c r="G113" s="165"/>
    </row>
    <row r="114" spans="2:7">
      <c r="B114" s="184" t="str">
        <f t="shared" ca="1" si="5"/>
        <v>105M</v>
      </c>
      <c r="C114" s="216">
        <f t="shared" ca="1" si="7"/>
        <v>8.8465753424657532</v>
      </c>
      <c r="D114" s="169">
        <f ca="1">IF(NOT($C$6),"",IF(GetConvertDate(CDSRollDate,B114)&lt;Parameter_Date,0,GetGetDefaultprob($I$6,B114)))</f>
        <v>6.9220052513440655E-2</v>
      </c>
      <c r="E114" s="178">
        <f t="shared" ca="1" si="6"/>
        <v>1.0158293403183792E-2</v>
      </c>
      <c r="F114" s="164"/>
      <c r="G114" s="165"/>
    </row>
    <row r="115" spans="2:7">
      <c r="B115" s="184" t="str">
        <f t="shared" ca="1" si="5"/>
        <v>106M</v>
      </c>
      <c r="C115" s="216">
        <f t="shared" ca="1" si="7"/>
        <v>8.9315068493150687</v>
      </c>
      <c r="D115" s="169">
        <f ca="1">IF(NOT($C$6),"",IF(GetConvertDate(CDSRollDate,B115)&lt;Parameter_Date,0,GetGetDefaultprob($I$6,B115)))</f>
        <v>7.0022745129434405E-2</v>
      </c>
      <c r="E115" s="178">
        <f t="shared" ca="1" si="6"/>
        <v>1.0158293403183621E-2</v>
      </c>
      <c r="F115" s="164"/>
      <c r="G115" s="165"/>
    </row>
    <row r="116" spans="2:7">
      <c r="B116" s="184" t="str">
        <f t="shared" ca="1" si="5"/>
        <v>107M</v>
      </c>
      <c r="C116" s="216">
        <f t="shared" ca="1" si="7"/>
        <v>9.0136986301369859</v>
      </c>
      <c r="D116" s="169">
        <f ca="1">IF(NOT($C$6),"",IF(GetConvertDate(CDSRollDate,B116)&lt;Parameter_Date,0,GetGetDefaultprob($I$6,B116)))</f>
        <v>7.0798885332290062E-2</v>
      </c>
      <c r="E116" s="178">
        <f t="shared" ca="1" si="6"/>
        <v>1.015829340318178E-2</v>
      </c>
      <c r="F116" s="164"/>
      <c r="G116" s="165"/>
    </row>
    <row r="117" spans="2:7">
      <c r="B117" s="184" t="str">
        <f t="shared" ca="1" si="5"/>
        <v>108M</v>
      </c>
      <c r="C117" s="216">
        <f t="shared" ca="1" si="7"/>
        <v>9.0986301369863014</v>
      </c>
      <c r="D117" s="169">
        <f ca="1">IF(NOT($C$6),"",IF(GetConvertDate(CDSRollDate,B117)&lt;Parameter_Date,0,GetGetDefaultprob($I$6,B117)))</f>
        <v>7.1600216383233994E-2</v>
      </c>
      <c r="E117" s="178">
        <f t="shared" ca="1" si="6"/>
        <v>1.0158293403183621E-2</v>
      </c>
      <c r="F117" s="164"/>
      <c r="G117" s="165"/>
    </row>
    <row r="118" spans="2:7">
      <c r="B118" s="184" t="str">
        <f t="shared" ca="1" si="5"/>
        <v>109M</v>
      </c>
      <c r="C118" s="216">
        <f t="shared" ca="1" si="7"/>
        <v>9.1808219178082187</v>
      </c>
      <c r="D118" s="169">
        <f ca="1">IF(NOT($C$6),"",IF(GetConvertDate(CDSRollDate,B118)&lt;Parameter_Date,0,GetGetDefaultprob($I$6,B118)))</f>
        <v>7.2375040060494555E-2</v>
      </c>
      <c r="E118" s="178">
        <f t="shared" ca="1" si="6"/>
        <v>1.0158293403183132E-2</v>
      </c>
      <c r="F118" s="164"/>
      <c r="G118" s="165"/>
    </row>
    <row r="119" spans="2:7">
      <c r="B119" s="184" t="str">
        <f t="shared" ca="1" si="5"/>
        <v>110M</v>
      </c>
      <c r="C119" s="216">
        <f t="shared" ca="1" si="7"/>
        <v>9.2657534246575342</v>
      </c>
      <c r="D119" s="169">
        <f ca="1">IF(NOT($C$6),"",IF(GetConvertDate(CDSRollDate,B119)&lt;Parameter_Date,0,GetGetDefaultprob($I$6,B119)))</f>
        <v>7.3175011855939442E-2</v>
      </c>
      <c r="E119" s="178">
        <f t="shared" ca="1" si="6"/>
        <v>1.0158293403183621E-2</v>
      </c>
      <c r="F119" s="164"/>
      <c r="G119" s="165"/>
    </row>
    <row r="120" spans="2:7">
      <c r="B120" s="184" t="str">
        <f t="shared" ca="1" si="5"/>
        <v>111M</v>
      </c>
      <c r="C120" s="216">
        <f t="shared" ca="1" si="7"/>
        <v>9.3506849315068497</v>
      </c>
      <c r="D120" s="169">
        <f ca="1">IF(NOT($C$6),"",IF(GetConvertDate(CDSRollDate,B120)&lt;Parameter_Date,0,GetGetDefaultprob($I$6,B120)))</f>
        <v>7.3974293766030708E-2</v>
      </c>
      <c r="E120" s="178">
        <f t="shared" ca="1" si="6"/>
        <v>1.0158293403183621E-2</v>
      </c>
      <c r="F120" s="164"/>
      <c r="G120" s="165"/>
    </row>
    <row r="121" spans="2:7">
      <c r="B121" s="184" t="str">
        <f t="shared" ca="1" si="5"/>
        <v>112M</v>
      </c>
      <c r="C121" s="216">
        <f t="shared" ca="1" si="7"/>
        <v>9.4328767123287669</v>
      </c>
      <c r="D121" s="169">
        <f ca="1">IF(NOT($C$6),"",IF(GetConvertDate(CDSRollDate,B121)&lt;Parameter_Date,0,GetGetDefaultprob($I$6,B121)))</f>
        <v>7.4747136086336874E-2</v>
      </c>
      <c r="E121" s="178">
        <f t="shared" ca="1" si="6"/>
        <v>1.0158293403184485E-2</v>
      </c>
      <c r="F121" s="164"/>
      <c r="G121" s="165"/>
    </row>
    <row r="122" spans="2:7">
      <c r="B122" s="184" t="str">
        <f t="shared" ca="1" si="5"/>
        <v>113M</v>
      </c>
      <c r="C122" s="216">
        <f t="shared" ca="1" si="7"/>
        <v>9.5178082191780824</v>
      </c>
      <c r="D122" s="169">
        <f ca="1">IF(NOT($C$6),"",IF(GetConvertDate(CDSRollDate,B122)&lt;Parameter_Date,0,GetGetDefaultprob($I$6,B122)))</f>
        <v>7.5545062216778369E-2</v>
      </c>
      <c r="E122" s="178">
        <f t="shared" ca="1" si="6"/>
        <v>1.0158293403182313E-2</v>
      </c>
      <c r="F122" s="164"/>
      <c r="G122" s="165"/>
    </row>
    <row r="123" spans="2:7">
      <c r="B123" s="184" t="str">
        <f t="shared" ca="1" si="5"/>
        <v>114M</v>
      </c>
      <c r="C123" s="216">
        <f t="shared" ca="1" si="7"/>
        <v>9.6</v>
      </c>
      <c r="D123" s="169">
        <f ca="1">IF(NOT($C$6),"",IF(GetConvertDate(CDSRollDate,B123)&lt;Parameter_Date,0,GetGetDefaultprob($I$6,B123)))</f>
        <v>7.6316593605513128E-2</v>
      </c>
      <c r="E123" s="178">
        <f t="shared" ca="1" si="6"/>
        <v>1.0158293403183132E-2</v>
      </c>
      <c r="F123" s="164"/>
      <c r="G123" s="165"/>
    </row>
    <row r="124" spans="2:7">
      <c r="B124" s="184" t="str">
        <f t="shared" ca="1" si="5"/>
        <v>115M</v>
      </c>
      <c r="C124" s="216">
        <f t="shared" ca="1" si="7"/>
        <v>9.6849315068493151</v>
      </c>
      <c r="D124" s="169">
        <f ca="1">IF(NOT($C$6),"",IF(GetConvertDate(CDSRollDate,B124)&lt;Parameter_Date,0,GetGetDefaultprob($I$6,B124)))</f>
        <v>7.7113166256042365E-2</v>
      </c>
      <c r="E124" s="178">
        <f t="shared" ca="1" si="6"/>
        <v>1.0158293403183621E-2</v>
      </c>
      <c r="F124" s="164"/>
      <c r="G124" s="165"/>
    </row>
    <row r="125" spans="2:7">
      <c r="B125" s="184" t="str">
        <f t="shared" ca="1" si="5"/>
        <v>116M</v>
      </c>
      <c r="C125" s="216">
        <f t="shared" ca="1" si="7"/>
        <v>9.7698630136986306</v>
      </c>
      <c r="D125" s="169">
        <f ca="1">IF(NOT($C$6),"",IF(GetConvertDate(CDSRollDate,B125)&lt;Parameter_Date,0,GetGetDefaultprob($I$6,B125)))</f>
        <v>7.7909051952596675E-2</v>
      </c>
      <c r="E125" s="178">
        <f t="shared" ca="1" si="6"/>
        <v>1.0158293403183621E-2</v>
      </c>
      <c r="F125" s="164"/>
      <c r="G125" s="165"/>
    </row>
    <row r="126" spans="2:7">
      <c r="B126" s="184" t="str">
        <f t="shared" ca="1" si="5"/>
        <v>117M</v>
      </c>
      <c r="C126" s="216">
        <f t="shared" ca="1" si="7"/>
        <v>9.8465753424657532</v>
      </c>
      <c r="D126" s="169">
        <f ca="1">IF(NOT($C$6),"",IF(GetConvertDate(CDSRollDate,B126)&lt;Parameter_Date,0,GetGetDefaultprob($I$6,B126)))</f>
        <v>7.8627326493897143E-2</v>
      </c>
      <c r="E126" s="178">
        <f t="shared" ca="1" si="6"/>
        <v>1.0158293403183792E-2</v>
      </c>
      <c r="F126" s="164"/>
      <c r="G126" s="165"/>
    </row>
    <row r="127" spans="2:7">
      <c r="B127" s="184" t="str">
        <f t="shared" ca="1" si="5"/>
        <v>118M</v>
      </c>
      <c r="C127" s="216">
        <f t="shared" ca="1" si="7"/>
        <v>9.9315068493150687</v>
      </c>
      <c r="D127" s="169">
        <f ca="1">IF(NOT($C$6),"",IF(GetConvertDate(CDSRollDate,B127)&lt;Parameter_Date,0,GetGetDefaultprob($I$6,B127)))</f>
        <v>7.9421906398200903E-2</v>
      </c>
      <c r="E127" s="178">
        <f t="shared" ca="1" si="6"/>
        <v>1.0158293403183621E-2</v>
      </c>
      <c r="F127" s="164"/>
      <c r="G127" s="165"/>
    </row>
    <row r="128" spans="2:7">
      <c r="B128" s="184" t="str">
        <f t="shared" ca="1" si="5"/>
        <v>119M</v>
      </c>
      <c r="C128" s="216">
        <f t="shared" ca="1" si="7"/>
        <v>10.013698630136986</v>
      </c>
      <c r="D128" s="169">
        <f ca="1">IF(NOT($C$6),"",IF(GetConvertDate(CDSRollDate,B128)&lt;Parameter_Date,0,GetGetDefaultprob($I$6,B128)))</f>
        <v>8.0190202251212983E-2</v>
      </c>
      <c r="E128" s="178">
        <f t="shared" ca="1" si="6"/>
        <v>1.0158293403183132E-2</v>
      </c>
      <c r="F128" s="164"/>
      <c r="G128" s="165"/>
    </row>
    <row r="129" spans="2:7" ht="15" thickBot="1">
      <c r="B129" s="185" t="str">
        <f t="shared" ca="1" si="5"/>
        <v>120M</v>
      </c>
      <c r="C129" s="217">
        <f t="shared" ca="1" si="7"/>
        <v>10.098630136986301</v>
      </c>
      <c r="D129" s="179">
        <f ca="1">IF(NOT($C$6),"",IF(GetConvertDate(CDSRollDate,B129)&lt;Parameter_Date,0,GetGetDefaultprob($I$6,B129)))</f>
        <v>8.0983434351630912E-2</v>
      </c>
      <c r="E129" s="218">
        <f t="shared" ca="1" si="6"/>
        <v>1.0158293403183621E-2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158750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topLeftCell="A3" zoomScaleNormal="100" workbookViewId="0">
      <selection activeCell="I8" sqref="I8"/>
    </sheetView>
  </sheetViews>
  <sheetFormatPr baseColWidth="10" defaultColWidth="11.453125" defaultRowHeight="10"/>
  <cols>
    <col min="1" max="1" width="3.1796875" style="232" customWidth="1"/>
    <col min="2" max="2" width="17.1796875" style="232" customWidth="1"/>
    <col min="3" max="3" width="20" style="233" customWidth="1"/>
    <col min="4" max="4" width="10.453125" style="233" bestFit="1" customWidth="1"/>
    <col min="5" max="5" width="10" style="233" bestFit="1" customWidth="1"/>
    <col min="6" max="6" width="7.453125" style="233" customWidth="1"/>
    <col min="7" max="7" width="9.7265625" style="233" customWidth="1"/>
    <col min="8" max="8" width="11.26953125" style="233" customWidth="1"/>
    <col min="9" max="13" width="24.1796875" style="232" customWidth="1"/>
    <col min="14" max="14" width="36.7265625" style="232" customWidth="1"/>
    <col min="15" max="15" width="4.1796875" style="232" customWidth="1"/>
    <col min="16" max="16" width="25.1796875" style="232" customWidth="1"/>
    <col min="17" max="17" width="23.54296875" style="232" customWidth="1"/>
    <col min="18" max="18" width="23.1796875" style="232" customWidth="1"/>
    <col min="19" max="19" width="24.54296875" style="232" customWidth="1"/>
    <col min="20" max="20" width="22.1796875" style="232" customWidth="1"/>
    <col min="21" max="21" width="13.1796875" style="232" bestFit="1" customWidth="1"/>
    <col min="22" max="23" width="11.453125" style="232" customWidth="1"/>
    <col min="24" max="24" width="13.1796875" style="232" customWidth="1"/>
    <col min="25" max="16384" width="11.453125" style="232"/>
  </cols>
  <sheetData>
    <row r="4" spans="1:26" ht="10.5" thickBot="1"/>
    <row r="5" spans="1:26" ht="11" thickBot="1">
      <c r="H5" s="287" t="s">
        <v>423</v>
      </c>
      <c r="I5" s="234" t="b">
        <v>1</v>
      </c>
    </row>
    <row r="6" spans="1:26" ht="11" thickBot="1">
      <c r="B6" s="288" t="s">
        <v>432</v>
      </c>
      <c r="C6" s="235" t="s">
        <v>57</v>
      </c>
    </row>
    <row r="7" spans="1:26" customFormat="1" ht="15" thickBot="1">
      <c r="A7" s="232"/>
      <c r="B7" s="288" t="s">
        <v>457</v>
      </c>
      <c r="C7" s="236" cm="1">
        <f t="array" aca="1" ref="C7" ca="1">GetConvertDate([0]!CDSRollDate,C6)</f>
        <v>47289</v>
      </c>
      <c r="D7" s="233"/>
      <c r="E7" s="237"/>
      <c r="F7" s="233"/>
      <c r="G7" s="233"/>
      <c r="I7" s="417"/>
      <c r="J7" s="416"/>
      <c r="K7" s="416"/>
      <c r="L7" s="416"/>
      <c r="M7" s="416"/>
      <c r="N7" s="416"/>
      <c r="P7" s="79"/>
      <c r="Q7" s="79"/>
      <c r="R7" s="79"/>
      <c r="S7" s="468"/>
      <c r="T7" s="79"/>
      <c r="U7" s="79"/>
      <c r="V7" s="79"/>
      <c r="W7" s="79"/>
      <c r="X7" s="79"/>
      <c r="Y7" s="79"/>
      <c r="Z7" s="79"/>
    </row>
    <row r="8" spans="1:26" customFormat="1" ht="14.5">
      <c r="A8" s="232"/>
      <c r="B8" s="289" t="s">
        <v>82</v>
      </c>
      <c r="C8" s="238" t="s">
        <v>66</v>
      </c>
      <c r="D8" s="233"/>
      <c r="E8" s="414"/>
      <c r="F8" s="233"/>
      <c r="G8" s="233"/>
      <c r="H8" s="331" t="s">
        <v>435</v>
      </c>
      <c r="I8" s="418" t="str" cm="1">
        <f t="array" aca="1" ref="I8:N114" ca="1">IF(NOT($I$5),"",GETCDO(C6,C19:C20,C21:C22,G39:G338,C8,C17,C39:C338,D39:D338,C12,C13,C14,C15,C9,C10,E39:E338,F39:F338,C24,C25,C27,C29:C31,C36,C33,,C34))</f>
        <v>0,178428326186171</v>
      </c>
      <c r="J8" s="419" t="str">
        <f ca="1"/>
        <v>0,0594761087287237</v>
      </c>
      <c r="K8" s="428" t="str">
        <f ca="1"/>
        <v>0</v>
      </c>
      <c r="L8" s="428" t="str">
        <f ca="1"/>
        <v>0</v>
      </c>
      <c r="M8" s="429" t="str">
        <f ca="1"/>
        <v>0</v>
      </c>
      <c r="N8" s="430" t="str">
        <f ca="1"/>
        <v>0</v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" thickBot="1">
      <c r="A9" s="232"/>
      <c r="B9" s="289" t="s">
        <v>437</v>
      </c>
      <c r="C9" s="239">
        <v>-0.05</v>
      </c>
      <c r="D9" s="233"/>
      <c r="E9" s="233"/>
      <c r="F9" s="233"/>
      <c r="G9" s="233"/>
      <c r="H9" s="405" t="s">
        <v>436</v>
      </c>
      <c r="I9" s="420" t="str">
        <f ca="1"/>
        <v>0,766709052682946</v>
      </c>
      <c r="J9" s="421" t="str">
        <f ca="1"/>
        <v>0,255569684227649</v>
      </c>
      <c r="K9" s="431" t="str">
        <f ca="1"/>
        <v>0</v>
      </c>
      <c r="L9" s="431" t="str">
        <f ca="1"/>
        <v>0</v>
      </c>
      <c r="M9" s="351" t="str">
        <f ca="1"/>
        <v>0</v>
      </c>
      <c r="N9" s="432" t="str">
        <f ca="1"/>
        <v>0</v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" thickBot="1">
      <c r="A10" s="232"/>
      <c r="B10" s="290" t="s">
        <v>439</v>
      </c>
      <c r="C10" s="240">
        <v>0.1</v>
      </c>
      <c r="D10" s="233"/>
      <c r="E10" s="232"/>
      <c r="F10" s="233"/>
      <c r="G10" s="233"/>
      <c r="H10" s="405" t="s">
        <v>438</v>
      </c>
      <c r="I10" s="422" t="str">
        <f ca="1"/>
        <v>0,588280726496775</v>
      </c>
      <c r="J10" s="421" t="str">
        <f ca="1"/>
        <v>0,196093575498925</v>
      </c>
      <c r="K10" s="431" t="str">
        <f ca="1"/>
        <v>0</v>
      </c>
      <c r="L10" s="431" t="str">
        <f ca="1"/>
        <v>0</v>
      </c>
      <c r="M10" s="351" t="str">
        <f ca="1"/>
        <v>0</v>
      </c>
      <c r="N10" s="432" t="str">
        <f ca="1"/>
        <v>0</v>
      </c>
      <c r="P10" s="79"/>
      <c r="Q10" s="79"/>
      <c r="R10" s="79"/>
      <c r="S10" s="79"/>
      <c r="T10" s="79"/>
      <c r="U10" s="465" t="s">
        <v>434</v>
      </c>
      <c r="V10" s="466">
        <f ca="1">C29</f>
        <v>0</v>
      </c>
      <c r="W10" s="79"/>
      <c r="X10" s="465" t="s">
        <v>506</v>
      </c>
      <c r="Y10" s="466">
        <v>0.95</v>
      </c>
      <c r="Z10" s="79"/>
    </row>
    <row r="11" spans="1:26" customFormat="1" ht="15" thickBot="1">
      <c r="A11" s="232"/>
      <c r="B11" s="232"/>
      <c r="C11" s="232"/>
      <c r="D11" s="233"/>
      <c r="E11" s="233"/>
      <c r="F11" s="233"/>
      <c r="H11" s="405" t="s">
        <v>440</v>
      </c>
      <c r="I11" s="423" t="str">
        <f ca="1"/>
        <v>0,0651652364381131</v>
      </c>
      <c r="J11" s="423" t="str">
        <f ca="1"/>
        <v>0,0651652364381131</v>
      </c>
      <c r="K11" s="431" t="str">
        <f ca="1"/>
        <v>0</v>
      </c>
      <c r="L11" s="431" t="str">
        <f ca="1"/>
        <v>0</v>
      </c>
      <c r="M11" s="351" t="str">
        <f ca="1"/>
        <v>0</v>
      </c>
      <c r="N11" s="432" t="str">
        <f ca="1"/>
        <v>0</v>
      </c>
      <c r="P11" s="79"/>
      <c r="Q11" s="79"/>
      <c r="R11" s="79"/>
      <c r="S11" s="79"/>
      <c r="T11" s="79"/>
      <c r="U11" s="442" t="s">
        <v>507</v>
      </c>
      <c r="V11" s="467">
        <f ca="1">SUM(V15:V314)</f>
        <v>-0.19382642265833722</v>
      </c>
      <c r="W11" s="79"/>
      <c r="X11" s="442" t="s">
        <v>507</v>
      </c>
      <c r="Y11" s="467">
        <f ca="1">SUM(Y15:Y314)</f>
        <v>-1.0265553087788468E-2</v>
      </c>
      <c r="Z11" s="79"/>
    </row>
    <row r="12" spans="1:26" customFormat="1" ht="14.5">
      <c r="A12" s="232"/>
      <c r="B12" s="288" t="s">
        <v>434</v>
      </c>
      <c r="C12" s="241">
        <v>0.05</v>
      </c>
      <c r="D12" s="233"/>
      <c r="E12" s="233"/>
      <c r="F12" s="233"/>
      <c r="G12" s="233"/>
      <c r="H12" s="405" t="s">
        <v>497</v>
      </c>
      <c r="I12" s="424" t="str">
        <f ca="1"/>
        <v>3,9218715099785</v>
      </c>
      <c r="J12" s="424" t="str">
        <f ca="1"/>
        <v>3,9218715099785</v>
      </c>
      <c r="K12" s="431" t="str">
        <f ca="1"/>
        <v>0</v>
      </c>
      <c r="L12" s="431" t="str">
        <f ca="1"/>
        <v>0</v>
      </c>
      <c r="M12" s="351" t="str">
        <f ca="1"/>
        <v>0</v>
      </c>
      <c r="N12" s="432" t="str">
        <f ca="1"/>
        <v>0</v>
      </c>
      <c r="P12" s="302" t="s">
        <v>423</v>
      </c>
      <c r="Q12" s="197" t="b">
        <v>1</v>
      </c>
      <c r="R12" s="79"/>
      <c r="S12" s="79"/>
      <c r="T12" s="79"/>
      <c r="U12" s="442" t="s">
        <v>498</v>
      </c>
      <c r="V12" s="443">
        <f ca="1">$J$8+V11</f>
        <v>-0.13435031392961352</v>
      </c>
      <c r="W12" s="79"/>
      <c r="X12" s="442" t="s">
        <v>498</v>
      </c>
      <c r="Y12" s="443">
        <f ca="1">$J$8+Y11</f>
        <v>4.9210555640935232E-2</v>
      </c>
      <c r="Z12" s="79"/>
    </row>
    <row r="13" spans="1:26" customFormat="1" ht="15" thickBot="1">
      <c r="A13" s="232"/>
      <c r="B13" s="289" t="s">
        <v>458</v>
      </c>
      <c r="C13" s="238" t="s">
        <v>459</v>
      </c>
      <c r="D13" s="233"/>
      <c r="E13" s="233" t="s">
        <v>75</v>
      </c>
      <c r="F13" s="233"/>
      <c r="G13" s="233"/>
      <c r="H13" s="405" t="s">
        <v>443</v>
      </c>
      <c r="I13" s="425" t="str">
        <f ca="1"/>
        <v>00:00:00.7591388</v>
      </c>
      <c r="J13" s="425" t="str">
        <f ca="1"/>
        <v>00:00:00.7591388</v>
      </c>
      <c r="K13" s="433" t="str">
        <f ca="1"/>
        <v>Leverage=</v>
      </c>
      <c r="L13" s="434" t="str">
        <f ca="1"/>
        <v>11,8204177537573</v>
      </c>
      <c r="M13" s="351" t="str">
        <f ca="1"/>
        <v>0</v>
      </c>
      <c r="N13" s="432" t="str">
        <f ca="1"/>
        <v>0</v>
      </c>
      <c r="P13" s="306" t="s">
        <v>499</v>
      </c>
      <c r="Q13" s="444" t="str">
        <f ca="1">L13</f>
        <v>11,8204177537573</v>
      </c>
      <c r="R13" s="445"/>
      <c r="S13" s="79"/>
      <c r="T13" s="79"/>
      <c r="U13" s="446" t="s">
        <v>500</v>
      </c>
      <c r="V13" s="447">
        <f ca="1">V12*(C20-C21)</f>
        <v>-0.34931081621699517</v>
      </c>
      <c r="W13" s="79"/>
      <c r="X13" s="442" t="s">
        <v>500</v>
      </c>
      <c r="Y13" s="448">
        <f ca="1">Y12*(C20-C21)</f>
        <v>0.1279474446664316</v>
      </c>
      <c r="Z13" s="79"/>
    </row>
    <row r="14" spans="1:26" customFormat="1" ht="15" thickBot="1">
      <c r="A14" s="232"/>
      <c r="B14" s="289" t="s">
        <v>461</v>
      </c>
      <c r="C14" s="238" t="s">
        <v>445</v>
      </c>
      <c r="D14" s="233"/>
      <c r="E14" s="233"/>
      <c r="F14" s="233"/>
      <c r="G14" s="233"/>
      <c r="H14" s="405" t="s">
        <v>460</v>
      </c>
      <c r="I14" s="426" t="str">
        <f ca="1"/>
        <v>dPV</v>
      </c>
      <c r="J14" s="427" t="str">
        <f ca="1"/>
        <v>dHedge</v>
      </c>
      <c r="K14" s="427" t="str">
        <f ca="1"/>
        <v>delta not. (Hedge Crncy)</v>
      </c>
      <c r="L14" s="426" t="str">
        <f ca="1"/>
        <v>delta not. (Product CCY)</v>
      </c>
      <c r="M14" s="426" t="str">
        <f ca="1"/>
        <v>dPV(dBeta)</v>
      </c>
      <c r="N14" s="435" t="str">
        <f ca="1"/>
        <v>Name</v>
      </c>
      <c r="P14" s="449" t="s">
        <v>501</v>
      </c>
      <c r="Q14" s="356" t="s">
        <v>436</v>
      </c>
      <c r="R14" s="450" t="s">
        <v>438</v>
      </c>
      <c r="S14" s="450" t="s">
        <v>440</v>
      </c>
      <c r="T14" s="450" t="s">
        <v>441</v>
      </c>
      <c r="U14" s="446" t="s">
        <v>502</v>
      </c>
      <c r="V14" s="451" t="s">
        <v>503</v>
      </c>
      <c r="W14" s="452" t="s">
        <v>504</v>
      </c>
      <c r="X14" s="453" t="s">
        <v>505</v>
      </c>
      <c r="Y14" s="454" t="s">
        <v>503</v>
      </c>
      <c r="Z14" s="79"/>
    </row>
    <row r="15" spans="1:26" customFormat="1" ht="15" thickBot="1">
      <c r="A15" s="232"/>
      <c r="B15" s="290" t="s">
        <v>462</v>
      </c>
      <c r="C15" s="242"/>
      <c r="D15" s="233"/>
      <c r="E15" s="233"/>
      <c r="F15" s="233"/>
      <c r="G15" s="233"/>
      <c r="H15" s="405">
        <v>1</v>
      </c>
      <c r="I15" s="424" t="str">
        <f ca="1"/>
        <v>0,000175498368075</v>
      </c>
      <c r="J15" s="424" t="str">
        <f ca="1"/>
        <v>0,000461610250444573</v>
      </c>
      <c r="K15" s="436" t="str">
        <f ca="1"/>
        <v>0,380187328825517</v>
      </c>
      <c r="L15" s="436" t="str">
        <f ca="1"/>
        <v>0,380187328825517</v>
      </c>
      <c r="M15" s="436" t="str">
        <f ca="1"/>
        <v>-0,00021816793178493</v>
      </c>
      <c r="N15" s="437" t="str">
        <f ca="1"/>
        <v>ABNAMRO_MMR.EUR.SU</v>
      </c>
      <c r="P15" s="455" t="str" cm="1">
        <f t="array" aca="1" ref="P15:T15" ca="1">IF(AND($Q$12,B39&lt;=$C$17,C39&lt;&gt;""),TRANSPOSE(INDEX(GetCDS(C39,$C$6,$C$29,F39,D39,$C$13,$C$14,$C$15,$C$8,,,TRUE,TRUE,FALSE,$C$29:$C$31,$C$33),{1;2;3;4;5})),"")</f>
        <v>0</v>
      </c>
      <c r="Q15" s="456" t="str">
        <f ca="1"/>
        <v>0,018150640499075</v>
      </c>
      <c r="R15" s="456" t="str">
        <f ca="1"/>
        <v>0,018150640499075</v>
      </c>
      <c r="S15" s="457" t="str">
        <f ca="1"/>
        <v>0,00415464586288723</v>
      </c>
      <c r="T15" s="458" t="str">
        <f ca="1"/>
        <v>4,36875755433494</v>
      </c>
      <c r="U15" s="459">
        <f ca="1">IF($Q$12,IF(P15="","",$Q$13*D39/$C$18),"")</f>
        <v>0.11820417753757299</v>
      </c>
      <c r="V15" s="460">
        <f ca="1">IF($Q$12,IF(U15="","",U15*($V$10-S15)*T15),"")</f>
        <v>-2.1454815319733225E-3</v>
      </c>
      <c r="W15" s="459">
        <f ca="1">IF($Q$12,IF(OR(P15="",L15=""),"",L15/($C$20-$C$19)),"")</f>
        <v>0.12672910960850567</v>
      </c>
      <c r="X15" s="461">
        <f ca="1">IF($Q$12,IF(S15="","",S15*$Y$10),"")</f>
        <v>3.9469135697428681E-3</v>
      </c>
      <c r="Y15" s="460">
        <f ca="1">IF($Q$12,IF(W15="","",W15*(X15-S15)*T15),"")</f>
        <v>-1.150107254635929E-4</v>
      </c>
      <c r="Z15" s="136">
        <f ca="1">W15-U15</f>
        <v>8.5249320709326754E-3</v>
      </c>
    </row>
    <row r="16" spans="1:26" customFormat="1" ht="15" thickBot="1">
      <c r="A16" s="232"/>
      <c r="B16" s="232"/>
      <c r="C16" s="233"/>
      <c r="D16" s="233"/>
      <c r="E16" s="233"/>
      <c r="F16" s="233"/>
      <c r="G16" s="233"/>
      <c r="H16" s="405">
        <v>2</v>
      </c>
      <c r="I16" s="424" t="str">
        <f ca="1"/>
        <v>0,000166657508796141</v>
      </c>
      <c r="J16" s="424" t="str">
        <f ca="1"/>
        <v>0,000463480905137716</v>
      </c>
      <c r="K16" s="436" t="str">
        <f ca="1"/>
        <v>0,359577939347084</v>
      </c>
      <c r="L16" s="436" t="str">
        <f ca="1"/>
        <v>0,359577939347084</v>
      </c>
      <c r="M16" s="436" t="str">
        <f ca="1"/>
        <v>-0,000193729484154015</v>
      </c>
      <c r="N16" s="437" t="str">
        <f ca="1"/>
        <v>ACCOR_MMR.EUR.SU</v>
      </c>
      <c r="P16" s="455" t="str" cm="1">
        <f t="array" aca="1" ref="P16:T16" ca="1">IF(AND($Q$12,B40&lt;=$C$17,C40&lt;&gt;""),TRANSPOSE(INDEX(GetCDS(C40,$C$6,$C$29,F40,D40,$C$13,$C$14,$C$15,$C$8,,,TRUE,TRUE,FALSE,$C$29:$C$31,$C$33),{1;2;3;4;5})),"")</f>
        <v>0</v>
      </c>
      <c r="Q16" s="456" t="str">
        <f ca="1"/>
        <v>0,0163823153239926</v>
      </c>
      <c r="R16" s="456" t="str">
        <f ca="1"/>
        <v>0,0163823153239926</v>
      </c>
      <c r="S16" s="457" t="str">
        <f ca="1"/>
        <v>0,0037393876759593</v>
      </c>
      <c r="T16" s="458" t="str">
        <f ca="1"/>
        <v>4,38101548799427</v>
      </c>
      <c r="U16" s="459">
        <f ca="1">IF($Q$12,IF(P16="","",$Q$13*D40/$C$18),"")</f>
        <v>0.11820417753757299</v>
      </c>
      <c r="V16" s="460">
        <f t="shared" ref="V16:V79" ca="1" si="0">IF($Q$12,IF(U16="","",U16*($V$10-S16)*T16),"")</f>
        <v>-1.9364581090337233E-3</v>
      </c>
      <c r="W16" s="459">
        <f t="shared" ref="W16:W79" ca="1" si="1">IF($Q$12,IF(OR(P16="",L16=""),"",L16/($C$20-$C$19)),"")</f>
        <v>0.11985931311569466</v>
      </c>
      <c r="X16" s="461">
        <f t="shared" ref="X16:X79" ca="1" si="2">IF($Q$12,IF(S16="","",S16*$Y$10),"")</f>
        <v>3.552418292161335E-3</v>
      </c>
      <c r="Y16" s="460">
        <f t="shared" ref="Y16:Y79" ca="1" si="3">IF($Q$12,IF(W16="","",W16*(X16-S16)*T16),"")</f>
        <v>-9.8178653098923623E-5</v>
      </c>
      <c r="Z16" s="79"/>
    </row>
    <row r="17" spans="1:26" customFormat="1" ht="14.5">
      <c r="A17" s="232"/>
      <c r="B17" s="288" t="s">
        <v>463</v>
      </c>
      <c r="C17" s="243">
        <f ca="1">COUNTA(C39:C338)</f>
        <v>100</v>
      </c>
      <c r="D17" s="233"/>
      <c r="E17" s="232"/>
      <c r="F17" s="233"/>
      <c r="G17" s="233"/>
      <c r="H17" s="405">
        <v>3</v>
      </c>
      <c r="I17" s="424" t="str">
        <f ca="1"/>
        <v>0,000174149451802386</v>
      </c>
      <c r="J17" s="424" t="str">
        <f ca="1"/>
        <v>0,000461872591437487</v>
      </c>
      <c r="K17" s="436" t="str">
        <f ca="1"/>
        <v>0,377050846988734</v>
      </c>
      <c r="L17" s="436" t="str">
        <f ca="1"/>
        <v>0,377050846988734</v>
      </c>
      <c r="M17" s="436" t="str">
        <f ca="1"/>
        <v>-0,00021591910660963</v>
      </c>
      <c r="N17" s="437" t="str">
        <f ca="1"/>
        <v>ADECCO_MMR.EUR.SU</v>
      </c>
      <c r="P17" s="455" t="str" cm="1">
        <f t="array" aca="1" ref="P17:T17" ca="1">IF(AND($Q$12,B41&lt;=$C$17,C41&lt;&gt;""),TRANSPOSE(INDEX(GetCDS(C41,$C$6,$C$29,F41,D41,$C$13,$C$14,$C$15,$C$8,,,TRUE,TRUE,FALSE,$C$29:$C$31,$C$33),{1;2;3;4;5})),"")</f>
        <v>0</v>
      </c>
      <c r="Q17" s="456" t="str">
        <f ca="1"/>
        <v>0,0181783996086431</v>
      </c>
      <c r="R17" s="456" t="str">
        <f ca="1"/>
        <v>0,0181783996086431</v>
      </c>
      <c r="S17" s="457" t="str">
        <f ca="1"/>
        <v>0,00415446346388502</v>
      </c>
      <c r="T17" s="458" t="str">
        <f ca="1"/>
        <v>4,37563111739192</v>
      </c>
      <c r="U17" s="459">
        <f t="shared" ref="U17:U79" ca="1" si="4">IF($Q$12,IF(P17="","",$Q$13*D41/$C$18),"")</f>
        <v>0.11820417753757299</v>
      </c>
      <c r="V17" s="460">
        <f t="shared" ca="1" si="0"/>
        <v>-2.1487627746889985E-3</v>
      </c>
      <c r="W17" s="459">
        <f t="shared" ca="1" si="1"/>
        <v>0.12568361566291134</v>
      </c>
      <c r="X17" s="461">
        <f t="shared" ca="1" si="2"/>
        <v>3.946740290690769E-3</v>
      </c>
      <c r="Y17" s="460">
        <f t="shared" ca="1" si="3"/>
        <v>-1.1423634948897618E-4</v>
      </c>
      <c r="Z17" s="79"/>
    </row>
    <row r="18" spans="1:26" customFormat="1" ht="14.5">
      <c r="A18" s="232"/>
      <c r="B18" s="289" t="s">
        <v>464</v>
      </c>
      <c r="C18" s="244">
        <f ca="1">SUM(OFFSET(D38,1,0,C17))</f>
        <v>100</v>
      </c>
      <c r="D18" s="233"/>
      <c r="E18" s="233"/>
      <c r="F18" s="233"/>
      <c r="G18" s="245"/>
      <c r="H18" s="405">
        <v>4</v>
      </c>
      <c r="I18" s="424" t="str">
        <f ca="1"/>
        <v>0,00017170898592902</v>
      </c>
      <c r="J18" s="424" t="str">
        <f ca="1"/>
        <v>0,000462458334997827</v>
      </c>
      <c r="K18" s="436" t="str">
        <f ca="1"/>
        <v>0,371296121043698</v>
      </c>
      <c r="L18" s="436" t="str">
        <f ca="1"/>
        <v>0,371296121043698</v>
      </c>
      <c r="M18" s="436" t="str">
        <f ca="1"/>
        <v>-0,000206897052493038</v>
      </c>
      <c r="N18" s="437" t="str">
        <f ca="1"/>
        <v>AEGON_MMR.EUR.SU</v>
      </c>
      <c r="P18" s="455" t="str" cm="1">
        <f t="array" aca="1" ref="P18:T18" ca="1">IF(AND($Q$12,B42&lt;=$C$17,C42&lt;&gt;""),TRANSPOSE(INDEX(GetCDS(C42,$C$6,$C$29,F42,D42,$C$13,$C$14,$C$15,$C$8,,,TRUE,TRUE,FALSE,$C$29:$C$31,$C$33),{1;2;3;4;5})),"")</f>
        <v>0</v>
      </c>
      <c r="Q18" s="456" t="str">
        <f ca="1"/>
        <v>0,0172584488577764</v>
      </c>
      <c r="R18" s="456" t="str">
        <f ca="1"/>
        <v>0,0172584488577764</v>
      </c>
      <c r="S18" s="457" t="str">
        <f ca="1"/>
        <v>0,00394707852048307</v>
      </c>
      <c r="T18" s="458" t="str">
        <f ca="1"/>
        <v>4,37246149733657</v>
      </c>
      <c r="U18" s="459">
        <f t="shared" ca="1" si="4"/>
        <v>0.11820417753757299</v>
      </c>
      <c r="V18" s="460">
        <f t="shared" ca="1" si="0"/>
        <v>-2.0400207528077276E-3</v>
      </c>
      <c r="W18" s="459">
        <f t="shared" ca="1" si="1"/>
        <v>0.12376537368123268</v>
      </c>
      <c r="X18" s="461">
        <f t="shared" ca="1" si="2"/>
        <v>3.7497245944589168E-3</v>
      </c>
      <c r="Y18" s="460">
        <f t="shared" ca="1" si="3"/>
        <v>-1.067999186020571E-4</v>
      </c>
      <c r="Z18" s="79"/>
    </row>
    <row r="19" spans="1:26" customFormat="1" ht="14.5">
      <c r="A19" s="232"/>
      <c r="B19" s="289" t="s">
        <v>465</v>
      </c>
      <c r="C19" s="246">
        <v>0</v>
      </c>
      <c r="D19" s="247"/>
      <c r="E19" s="233"/>
      <c r="F19" s="233"/>
      <c r="G19" s="248"/>
      <c r="H19" s="405">
        <v>5</v>
      </c>
      <c r="I19" s="424" t="str">
        <f ca="1"/>
        <v>0,00014207183675543</v>
      </c>
      <c r="J19" s="424" t="str">
        <f ca="1"/>
        <v>0,000467939035231105</v>
      </c>
      <c r="K19" s="436" t="str">
        <f ca="1"/>
        <v>0,303611851243109</v>
      </c>
      <c r="L19" s="436" t="str">
        <f ca="1"/>
        <v>0,303611851243109</v>
      </c>
      <c r="M19" s="436" t="str">
        <f ca="1"/>
        <v>-0,000131055406172687</v>
      </c>
      <c r="N19" s="437" t="str">
        <f ca="1"/>
        <v>AKZONOBEL_MMR.EUR.SU</v>
      </c>
      <c r="P19" s="455" t="str" cm="1">
        <f t="array" aca="1" ref="P19:T19" ca="1">IF(AND($Q$12,B43&lt;=$C$17,C43&lt;&gt;""),TRANSPOSE(INDEX(GetCDS(C43,$C$6,$C$29,F43,D43,$C$13,$C$14,$C$15,$C$8,,,TRUE,TRUE,FALSE,$C$29:$C$31,$C$33),{1;2;3;4;5})),"")</f>
        <v>0</v>
      </c>
      <c r="Q19" s="456" t="str">
        <f ca="1"/>
        <v>0,011415857334611</v>
      </c>
      <c r="R19" s="456" t="str">
        <f ca="1"/>
        <v>0,011415857334611</v>
      </c>
      <c r="S19" s="457" t="str">
        <f ca="1"/>
        <v>0,00259748719754275</v>
      </c>
      <c r="T19" s="458" t="str">
        <f ca="1"/>
        <v>4,39496192528322</v>
      </c>
      <c r="U19" s="459">
        <f t="shared" ca="1" si="4"/>
        <v>0.11820417753757299</v>
      </c>
      <c r="V19" s="460">
        <f t="shared" ca="1" si="0"/>
        <v>-1.3494020271239634E-3</v>
      </c>
      <c r="W19" s="459">
        <f t="shared" ca="1" si="1"/>
        <v>0.10120395041436968</v>
      </c>
      <c r="X19" s="461">
        <f t="shared" ca="1" si="2"/>
        <v>2.4676128376656123E-3</v>
      </c>
      <c r="Y19" s="460">
        <f t="shared" ca="1" si="3"/>
        <v>-5.7766492981474513E-5</v>
      </c>
      <c r="Z19" s="79"/>
    </row>
    <row r="20" spans="1:26" customFormat="1" ht="14.5">
      <c r="A20" s="232"/>
      <c r="B20" s="289" t="s">
        <v>466</v>
      </c>
      <c r="C20" s="246">
        <v>3</v>
      </c>
      <c r="D20" s="247"/>
      <c r="E20" s="233"/>
      <c r="F20" s="233"/>
      <c r="G20" s="248"/>
      <c r="H20" s="405">
        <v>6</v>
      </c>
      <c r="I20" s="424" t="str">
        <f ca="1"/>
        <v>0,000160066652125579</v>
      </c>
      <c r="J20" s="424" t="str">
        <f ca="1"/>
        <v>0,000464829475855686</v>
      </c>
      <c r="K20" s="436" t="str">
        <f ca="1"/>
        <v>0,344355641024956</v>
      </c>
      <c r="L20" s="436" t="str">
        <f ca="1"/>
        <v>0,344355641024956</v>
      </c>
      <c r="M20" s="436" t="str">
        <f ca="1"/>
        <v>-0,000173785323244191</v>
      </c>
      <c r="N20" s="437" t="str">
        <f ca="1"/>
        <v>ALLIANZ_MMR.EUR.SU</v>
      </c>
      <c r="P20" s="455" t="str" cm="1">
        <f t="array" aca="1" ref="P20:T20" ca="1">IF(AND($Q$12,B44&lt;=$C$17,C44&lt;&gt;""),TRANSPOSE(INDEX(GetCDS(C44,$C$6,$C$29,F44,D44,$C$13,$C$14,$C$15,$C$8,,,TRUE,TRUE,FALSE,$C$29:$C$31,$C$33),{1;2;3;4;5})),"")</f>
        <v>0</v>
      </c>
      <c r="Q20" s="456" t="str">
        <f ca="1"/>
        <v>0,0145584141205244</v>
      </c>
      <c r="R20" s="456" t="str">
        <f ca="1"/>
        <v>0,0145584141205244</v>
      </c>
      <c r="S20" s="457" t="str">
        <f ca="1"/>
        <v>0,00332435261468685</v>
      </c>
      <c r="T20" s="458" t="str">
        <f ca="1"/>
        <v>4,37932307668144</v>
      </c>
      <c r="U20" s="459">
        <f t="shared" ca="1" si="4"/>
        <v>0.11820417753757299</v>
      </c>
      <c r="V20" s="460">
        <f t="shared" ca="1" si="0"/>
        <v>-1.7208653673679766E-3</v>
      </c>
      <c r="W20" s="459">
        <f t="shared" ca="1" si="1"/>
        <v>0.11478521367498534</v>
      </c>
      <c r="X20" s="461">
        <f t="shared" ca="1" si="2"/>
        <v>3.1581349839525075E-3</v>
      </c>
      <c r="Y20" s="460">
        <f t="shared" ca="1" si="3"/>
        <v>-8.3554533779665914E-5</v>
      </c>
      <c r="Z20" s="79"/>
    </row>
    <row r="21" spans="1:26" customFormat="1" ht="14.5">
      <c r="A21" s="232"/>
      <c r="B21" s="289" t="s">
        <v>467</v>
      </c>
      <c r="C21" s="249">
        <v>0.4</v>
      </c>
      <c r="D21" s="233"/>
      <c r="E21" s="233"/>
      <c r="F21" s="233"/>
      <c r="G21" s="250"/>
      <c r="H21" s="405">
        <v>7</v>
      </c>
      <c r="I21" s="424" t="str">
        <f ca="1"/>
        <v>0,000195627172128554</v>
      </c>
      <c r="J21" s="424" t="str">
        <f ca="1"/>
        <v>0,000444043000849135</v>
      </c>
      <c r="K21" s="436" t="str">
        <f ca="1"/>
        <v>0,440559071428803</v>
      </c>
      <c r="L21" s="436" t="str">
        <f ca="1"/>
        <v>0,440559071428803</v>
      </c>
      <c r="M21" s="436" t="str">
        <f ca="1"/>
        <v>-0,000303049561205215</v>
      </c>
      <c r="N21" s="437" t="str">
        <f ca="1"/>
        <v>ALTADIS_MMR.EUR.SU</v>
      </c>
      <c r="P21" s="455" t="str" cm="1">
        <f t="array" aca="1" ref="P21:T21" ca="1">IF(AND($Q$12,B45&lt;=$C$17,C45&lt;&gt;""),TRANSPOSE(INDEX(GetCDS(C45,$C$6,$C$29,F45,D45,$C$13,$C$14,$C$15,$C$8,,,TRUE,TRUE,FALSE,$C$29:$C$31,$C$33),{1;2;3;4;5})),"")</f>
        <v>0</v>
      </c>
      <c r="Q21" s="456" t="str">
        <f ca="1"/>
        <v>0,0257907135137107</v>
      </c>
      <c r="R21" s="456" t="str">
        <f ca="1"/>
        <v>0,0257907135137107</v>
      </c>
      <c r="S21" s="457" t="str">
        <f ca="1"/>
        <v>0,00591763949247225</v>
      </c>
      <c r="T21" s="458" t="str">
        <f ca="1"/>
        <v>4,3582772398553</v>
      </c>
      <c r="U21" s="459">
        <f t="shared" ca="1" si="4"/>
        <v>0.11820417753757299</v>
      </c>
      <c r="V21" s="460">
        <f t="shared" ca="1" si="0"/>
        <v>-3.0485700789953398E-3</v>
      </c>
      <c r="W21" s="459">
        <f t="shared" ca="1" si="1"/>
        <v>0.146853023809601</v>
      </c>
      <c r="X21" s="461">
        <f t="shared" ca="1" si="2"/>
        <v>5.621757517848637E-3</v>
      </c>
      <c r="Y21" s="460">
        <f t="shared" ca="1" si="3"/>
        <v>-1.8937221328477804E-4</v>
      </c>
      <c r="Z21" s="79"/>
    </row>
    <row r="22" spans="1:26" customFormat="1" ht="15" thickBot="1">
      <c r="A22" s="232"/>
      <c r="B22" s="290" t="s">
        <v>468</v>
      </c>
      <c r="C22" s="251">
        <v>0.5</v>
      </c>
      <c r="D22" s="233"/>
      <c r="E22" s="233"/>
      <c r="F22" s="233"/>
      <c r="G22" s="250"/>
      <c r="H22" s="405">
        <v>8</v>
      </c>
      <c r="I22" s="424" t="str">
        <f ca="1"/>
        <v>0,000193331763626614</v>
      </c>
      <c r="J22" s="424" t="str">
        <f ca="1"/>
        <v>0,000456342396202617</v>
      </c>
      <c r="K22" s="436" t="str">
        <f ca="1"/>
        <v>0,42365505645628</v>
      </c>
      <c r="L22" s="436" t="str">
        <f ca="1"/>
        <v>0,42365505645628</v>
      </c>
      <c r="M22" s="436" t="str">
        <f ca="1"/>
        <v>-0,000278869770812151</v>
      </c>
      <c r="N22" s="437" t="str">
        <f ca="1"/>
        <v>ARCELORFINANCESCA_MMR.EUR.SU</v>
      </c>
      <c r="P22" s="455" t="str" cm="1">
        <f t="array" aca="1" ref="P22:T22" ca="1">IF(AND($Q$12,B46&lt;=$C$17,C46&lt;&gt;""),TRANSPOSE(INDEX(GetCDS(C46,$C$6,$C$29,F46,D46,$C$13,$C$14,$C$15,$C$8,,,TRUE,TRUE,FALSE,$C$29:$C$31,$C$33),{1;2;3;4;5})),"")</f>
        <v>0</v>
      </c>
      <c r="Q22" s="456" t="str">
        <f ca="1"/>
        <v>0,023549391628362</v>
      </c>
      <c r="R22" s="456" t="str">
        <f ca="1"/>
        <v>0,023549391628362</v>
      </c>
      <c r="S22" s="457" t="str">
        <f ca="1"/>
        <v>0,00539930063019066</v>
      </c>
      <c r="T22" s="458" t="str">
        <f ca="1"/>
        <v>4,3615633285325</v>
      </c>
      <c r="U22" s="459">
        <f t="shared" ca="1" si="4"/>
        <v>0.11820417753757299</v>
      </c>
      <c r="V22" s="460">
        <f t="shared" ca="1" si="0"/>
        <v>-2.7836364689407373E-3</v>
      </c>
      <c r="W22" s="459">
        <f t="shared" ca="1" si="1"/>
        <v>0.14121835215209333</v>
      </c>
      <c r="X22" s="461">
        <f t="shared" ca="1" si="2"/>
        <v>5.1293355986811269E-3</v>
      </c>
      <c r="Y22" s="460">
        <f t="shared" ca="1" si="3"/>
        <v>-1.6628031399707938E-4</v>
      </c>
      <c r="Z22" s="79"/>
    </row>
    <row r="23" spans="1:26" customFormat="1" ht="15" thickBot="1">
      <c r="A23" s="232"/>
      <c r="B23" s="232"/>
      <c r="C23" s="233"/>
      <c r="D23" s="233"/>
      <c r="E23" s="233"/>
      <c r="F23" s="233"/>
      <c r="G23" s="233"/>
      <c r="H23" s="405">
        <v>9</v>
      </c>
      <c r="I23" s="424" t="str">
        <f ca="1"/>
        <v>0,000137410456078402</v>
      </c>
      <c r="J23" s="424" t="str">
        <f ca="1"/>
        <v>0,000468659993897739</v>
      </c>
      <c r="K23" s="436" t="str">
        <f ca="1"/>
        <v>0,293198604249512</v>
      </c>
      <c r="L23" s="436" t="str">
        <f ca="1"/>
        <v>0,293198604249512</v>
      </c>
      <c r="M23" s="436" t="str">
        <f ca="1"/>
        <v>-0,000120307286658061</v>
      </c>
      <c r="N23" s="437" t="str">
        <f ca="1"/>
        <v>AUCHAN_MMR.EUR.SU</v>
      </c>
      <c r="P23" s="455" t="str" cm="1">
        <f t="array" aca="1" ref="P23:T23" ca="1">IF(AND($Q$12,B47&lt;=$C$17,C47&lt;&gt;""),TRANSPOSE(INDEX(GetCDS(C47,$C$6,$C$29,F47,D47,$C$13,$C$14,$C$15,$C$8,,,TRUE,TRUE,FALSE,$C$29:$C$31,$C$33),{1;2;3;4;5})),"")</f>
        <v>0</v>
      </c>
      <c r="Q23" s="456" t="str">
        <f ca="1"/>
        <v>0,0105045483602938</v>
      </c>
      <c r="R23" s="456" t="str">
        <f ca="1"/>
        <v>0,0105045483602938</v>
      </c>
      <c r="S23" s="457" t="str">
        <f ca="1"/>
        <v>0,00238981662394661</v>
      </c>
      <c r="T23" s="458" t="str">
        <f ca="1"/>
        <v>4,39554577327623</v>
      </c>
      <c r="U23" s="459">
        <f t="shared" ca="1" si="4"/>
        <v>0.11820417753757299</v>
      </c>
      <c r="V23" s="460">
        <f t="shared" ca="1" si="0"/>
        <v>-1.2416814993321886E-3</v>
      </c>
      <c r="W23" s="459">
        <f t="shared" ca="1" si="1"/>
        <v>9.7732868083170665E-2</v>
      </c>
      <c r="X23" s="461">
        <f t="shared" ca="1" si="2"/>
        <v>2.2703257927492795E-3</v>
      </c>
      <c r="Y23" s="460">
        <f t="shared" ca="1" si="3"/>
        <v>-5.1331981958493969E-5</v>
      </c>
      <c r="Z23" s="79"/>
    </row>
    <row r="24" spans="1:26" customFormat="1" ht="14.5">
      <c r="A24" s="252"/>
      <c r="B24" s="291" t="s">
        <v>447</v>
      </c>
      <c r="C24" s="253" t="b">
        <v>1</v>
      </c>
      <c r="D24" s="233"/>
      <c r="E24" s="233"/>
      <c r="F24" s="233"/>
      <c r="G24" s="233"/>
      <c r="H24" s="405">
        <v>10</v>
      </c>
      <c r="I24" s="424" t="str">
        <f ca="1"/>
        <v>0,00015760786946708</v>
      </c>
      <c r="J24" s="424" t="str">
        <f ca="1"/>
        <v>0,000465314259825897</v>
      </c>
      <c r="K24" s="436" t="str">
        <f ca="1"/>
        <v>0,338712743353386</v>
      </c>
      <c r="L24" s="436" t="str">
        <f ca="1"/>
        <v>0,338712743353386</v>
      </c>
      <c r="M24" s="436" t="str">
        <f ca="1"/>
        <v>-0,000167508246655234</v>
      </c>
      <c r="N24" s="437" t="str">
        <f ca="1"/>
        <v>AVIVA_MMR.EUR.SU</v>
      </c>
      <c r="P24" s="455" t="str" cm="1">
        <f t="array" aca="1" ref="P24:T24" ca="1">IF(AND($Q$12,B48&lt;=$C$17,C48&lt;&gt;""),TRANSPOSE(INDEX(GetCDS(C48,$C$6,$C$29,F48,D48,$C$13,$C$14,$C$15,$C$8,,,TRUE,TRUE,FALSE,$C$29:$C$31,$C$33),{1;2;3;4;5})),"")</f>
        <v>0</v>
      </c>
      <c r="Q24" s="456" t="str">
        <f ca="1"/>
        <v>0,0141133190646782</v>
      </c>
      <c r="R24" s="456" t="str">
        <f ca="1"/>
        <v>0,0141133190646782</v>
      </c>
      <c r="S24" s="457" t="str">
        <f ca="1"/>
        <v>0,00322050834170343</v>
      </c>
      <c r="T24" s="458" t="str">
        <f ca="1"/>
        <v>4,38232650476949</v>
      </c>
      <c r="U24" s="459">
        <f t="shared" ca="1" si="4"/>
        <v>0.11820417753757299</v>
      </c>
      <c r="V24" s="460">
        <f t="shared" ca="1" si="0"/>
        <v>-1.6682532723656331E-3</v>
      </c>
      <c r="W24" s="459">
        <f t="shared" ca="1" si="1"/>
        <v>0.11290424778446201</v>
      </c>
      <c r="X24" s="461">
        <f t="shared" ca="1" si="2"/>
        <v>3.0594829246182583E-3</v>
      </c>
      <c r="Y24" s="460">
        <f t="shared" ca="1" si="3"/>
        <v>-7.9672683636979836E-5</v>
      </c>
      <c r="Z24" s="79"/>
    </row>
    <row r="25" spans="1:26" customFormat="1" ht="15" thickBot="1">
      <c r="A25" s="252"/>
      <c r="B25" s="290" t="s">
        <v>448</v>
      </c>
      <c r="C25" s="254" t="b">
        <v>1</v>
      </c>
      <c r="D25" s="233"/>
      <c r="E25" s="233"/>
      <c r="F25" s="233"/>
      <c r="G25" s="233"/>
      <c r="H25" s="405">
        <v>11</v>
      </c>
      <c r="I25" s="424" t="str">
        <f ca="1"/>
        <v>0,000164090315543853</v>
      </c>
      <c r="J25" s="424" t="str">
        <f ca="1"/>
        <v>0,000464054844647875</v>
      </c>
      <c r="K25" s="436" t="str">
        <f ca="1"/>
        <v>0,353601125893567</v>
      </c>
      <c r="L25" s="436" t="str">
        <f ca="1"/>
        <v>0,353601125893567</v>
      </c>
      <c r="M25" s="436" t="str">
        <f ca="1"/>
        <v>-0,000184874609605567</v>
      </c>
      <c r="N25" s="437" t="str">
        <f ca="1"/>
        <v>AXA_MMR.EUR.SU</v>
      </c>
      <c r="P25" s="455" t="str" cm="1">
        <f t="array" aca="1" ref="P25:T25" ca="1">IF(AND($Q$12,B49&lt;=$C$17,C49&lt;&gt;""),TRANSPOSE(INDEX(GetCDS(C49,$C$6,$C$29,F49,D49,$C$13,$C$14,$C$15,$C$8,,,TRUE,TRUE,FALSE,$C$29:$C$31,$C$33),{1;2;3;4;5})),"")</f>
        <v>0</v>
      </c>
      <c r="Q25" s="456" t="str">
        <f ca="1"/>
        <v>0,0154598879404987</v>
      </c>
      <c r="R25" s="456" t="str">
        <f ca="1"/>
        <v>0,0154598879404987</v>
      </c>
      <c r="S25" s="457" t="str">
        <f ca="1"/>
        <v>0,00353194582030576</v>
      </c>
      <c r="T25" s="458" t="str">
        <f ca="1"/>
        <v>4,3771588600304</v>
      </c>
      <c r="U25" s="459">
        <f t="shared" ca="1" si="4"/>
        <v>0.11820417753757299</v>
      </c>
      <c r="V25" s="460">
        <f t="shared" ca="1" si="0"/>
        <v>-1.8274233388296916E-3</v>
      </c>
      <c r="W25" s="459">
        <f t="shared" ca="1" si="1"/>
        <v>0.11786704196452234</v>
      </c>
      <c r="X25" s="461">
        <f t="shared" ca="1" si="2"/>
        <v>3.3553485292904719E-3</v>
      </c>
      <c r="Y25" s="460">
        <f t="shared" ca="1" si="3"/>
        <v>-9.1110563032478618E-5</v>
      </c>
      <c r="Z25" s="79"/>
    </row>
    <row r="26" spans="1:26" customFormat="1" ht="15" thickBot="1">
      <c r="A26" s="232"/>
      <c r="B26" s="232"/>
      <c r="C26" s="233"/>
      <c r="D26" s="233"/>
      <c r="E26" s="233"/>
      <c r="F26" s="233"/>
      <c r="G26" s="233"/>
      <c r="H26" s="405">
        <v>12</v>
      </c>
      <c r="I26" s="424" t="str">
        <f ca="1"/>
        <v>0,000184117524080917</v>
      </c>
      <c r="J26" s="424" t="str">
        <f ca="1"/>
        <v>0,000459539195010297</v>
      </c>
      <c r="K26" s="436" t="str">
        <f ca="1"/>
        <v>0,400656845118057</v>
      </c>
      <c r="L26" s="436" t="str">
        <f ca="1"/>
        <v>0,400656845118057</v>
      </c>
      <c r="M26" s="436" t="str">
        <f ca="1"/>
        <v>-0,000245417112799528</v>
      </c>
      <c r="N26" s="437" t="str">
        <f ca="1"/>
        <v>BANCOESPIRITOSANTO_MMR.EUR.SU</v>
      </c>
      <c r="P26" s="455" t="str" cm="1">
        <f t="array" aca="1" ref="P26:T26" ca="1">IF(AND($Q$12,B50&lt;=$C$17,C50&lt;&gt;""),TRANSPOSE(INDEX(GetCDS(C50,$C$6,$C$29,F50,D50,$C$13,$C$14,$C$15,$C$8,,,TRUE,TRUE,FALSE,$C$29:$C$31,$C$33),{1;2;3;4;5})),"")</f>
        <v>0</v>
      </c>
      <c r="Q26" s="456" t="str">
        <f ca="1"/>
        <v>0,0203804825319467</v>
      </c>
      <c r="R26" s="456" t="str">
        <f ca="1"/>
        <v>0,0203804825319467</v>
      </c>
      <c r="S26" s="457" t="str">
        <f ca="1"/>
        <v>0,00467345159913031</v>
      </c>
      <c r="T26" s="458" t="str">
        <f ca="1"/>
        <v>4,36090587430912</v>
      </c>
      <c r="U26" s="459">
        <f t="shared" ca="1" si="4"/>
        <v>0.11820417753757299</v>
      </c>
      <c r="V26" s="460">
        <f t="shared" ca="1" si="0"/>
        <v>-2.4090581755076353E-3</v>
      </c>
      <c r="W26" s="459">
        <f t="shared" ca="1" si="1"/>
        <v>0.13355228170601899</v>
      </c>
      <c r="X26" s="461">
        <f t="shared" ca="1" si="2"/>
        <v>4.4397790191737941E-3</v>
      </c>
      <c r="Y26" s="460">
        <f t="shared" ca="1" si="3"/>
        <v>-1.3609299722055758E-4</v>
      </c>
      <c r="Z26" s="79"/>
    </row>
    <row r="27" spans="1:26" customFormat="1" ht="15" thickBot="1">
      <c r="A27" s="232"/>
      <c r="B27" s="288" t="s">
        <v>449</v>
      </c>
      <c r="C27" s="243" t="b">
        <v>1</v>
      </c>
      <c r="D27" s="233"/>
      <c r="E27" s="233"/>
      <c r="F27" s="233"/>
      <c r="G27" s="233"/>
      <c r="H27" s="405">
        <v>13</v>
      </c>
      <c r="I27" s="424" t="str">
        <f ca="1"/>
        <v>0,000175925372762476</v>
      </c>
      <c r="J27" s="424" t="str">
        <f ca="1"/>
        <v>0,000461453974287876</v>
      </c>
      <c r="K27" s="436" t="str">
        <f ca="1"/>
        <v>0,381241429405754</v>
      </c>
      <c r="L27" s="436" t="str">
        <f ca="1"/>
        <v>0,381241429405754</v>
      </c>
      <c r="M27" s="436" t="str">
        <f ca="1"/>
        <v>-0,000219119428028547</v>
      </c>
      <c r="N27" s="437" t="str">
        <f ca="1"/>
        <v>BARCLAYS_MMR.EUR.SU</v>
      </c>
      <c r="P27" s="455" t="str" cm="1">
        <f t="array" aca="1" ref="P27:T27" ca="1">IF(AND($Q$12,B51&lt;=$C$17,C51&lt;&gt;""),TRANSPOSE(INDEX(GetCDS(C51,$C$6,$C$29,F51,D51,$C$13,$C$14,$C$15,$C$8,,,TRUE,TRUE,FALSE,$C$29:$C$31,$C$33),{1;2;3;4;5})),"")</f>
        <v>0</v>
      </c>
      <c r="Q27" s="456" t="str">
        <f ca="1"/>
        <v>0,0181370520877501</v>
      </c>
      <c r="R27" s="456" t="str">
        <f ca="1"/>
        <v>0,0181370520877501</v>
      </c>
      <c r="S27" s="457" t="str">
        <f ca="1"/>
        <v>0,0041547438262482</v>
      </c>
      <c r="T27" s="458" t="str">
        <f ca="1"/>
        <v>4,36538396739809</v>
      </c>
      <c r="U27" s="459">
        <f t="shared" ca="1" si="4"/>
        <v>0.11820417753757299</v>
      </c>
      <c r="V27" s="460">
        <f t="shared" ca="1" si="0"/>
        <v>-2.1438753249886202E-3</v>
      </c>
      <c r="W27" s="459">
        <f t="shared" ca="1" si="1"/>
        <v>0.12708047646858467</v>
      </c>
      <c r="X27" s="461">
        <f t="shared" ca="1" si="2"/>
        <v>3.94700663493579E-3</v>
      </c>
      <c r="Y27" s="460">
        <f t="shared" ca="1" si="3"/>
        <v>-1.152432610523409E-4</v>
      </c>
      <c r="Z27" s="79"/>
    </row>
    <row r="28" spans="1:26" customFormat="1" ht="15" thickBot="1">
      <c r="A28" s="232"/>
      <c r="B28" s="292" t="s">
        <v>450</v>
      </c>
      <c r="C28" s="255"/>
      <c r="D28" s="233"/>
      <c r="E28" s="233"/>
      <c r="F28" s="233"/>
      <c r="G28" s="233"/>
      <c r="H28" s="405">
        <v>14</v>
      </c>
      <c r="I28" s="424" t="str">
        <f ca="1"/>
        <v>0,000125815749011915</v>
      </c>
      <c r="J28" s="424" t="str">
        <f ca="1"/>
        <v>0,000470203044178207</v>
      </c>
      <c r="K28" s="436" t="str">
        <f ca="1"/>
        <v>0,267577487150914</v>
      </c>
      <c r="L28" s="436" t="str">
        <f ca="1"/>
        <v>0,267577487150914</v>
      </c>
      <c r="M28" s="436" t="str">
        <f ca="1"/>
        <v>-9,663469092418E-05</v>
      </c>
      <c r="N28" s="437" t="str">
        <f ca="1"/>
        <v>BASF_MMR.EUR.SU</v>
      </c>
      <c r="P28" s="455" t="str" cm="1">
        <f t="array" aca="1" ref="P28:T28" ca="1">IF(AND($Q$12,B52&lt;=$C$17,C52&lt;&gt;""),TRANSPOSE(INDEX(GetCDS(C52,$C$6,$C$29,F52,D52,$C$13,$C$14,$C$15,$C$8,,,TRUE,TRUE,FALSE,$C$29:$C$31,$C$33),{1;2;3;4;5})),"")</f>
        <v>1,04083408558608E-17</v>
      </c>
      <c r="Q28" s="456" t="str">
        <f ca="1"/>
        <v>0,00868999990119327</v>
      </c>
      <c r="R28" s="456" t="str">
        <f ca="1"/>
        <v>0,00868999990119326</v>
      </c>
      <c r="S28" s="457" t="str">
        <f ca="1"/>
        <v>0,00197438429940151</v>
      </c>
      <c r="T28" s="458" t="str">
        <f ca="1"/>
        <v>4,40137206511794</v>
      </c>
      <c r="U28" s="459">
        <f t="shared" ca="1" si="4"/>
        <v>0.11820417753757299</v>
      </c>
      <c r="V28" s="460">
        <f t="shared" ca="1" si="0"/>
        <v>-1.02719429112214E-3</v>
      </c>
      <c r="W28" s="459">
        <f t="shared" ca="1" si="1"/>
        <v>8.919249571697134E-2</v>
      </c>
      <c r="X28" s="461">
        <f t="shared" ca="1" si="2"/>
        <v>1.8756650844314346E-3</v>
      </c>
      <c r="Y28" s="460">
        <f t="shared" ca="1" si="3"/>
        <v>-3.8754138948383075E-5</v>
      </c>
      <c r="Z28" s="79"/>
    </row>
    <row r="29" spans="1:26" customFormat="1" ht="14.5">
      <c r="A29" s="232"/>
      <c r="B29" s="289" t="s">
        <v>469</v>
      </c>
      <c r="C29" s="256"/>
      <c r="D29" s="233"/>
      <c r="E29" s="233"/>
      <c r="F29" s="233"/>
      <c r="G29" s="233"/>
      <c r="H29" s="405">
        <v>15</v>
      </c>
      <c r="I29" s="424" t="str">
        <f ca="1"/>
        <v>0,000160312103939631</v>
      </c>
      <c r="J29" s="424" t="str">
        <f ca="1"/>
        <v>0,000464722977185291</v>
      </c>
      <c r="K29" s="436" t="str">
        <f ca="1"/>
        <v>0,344962723622147</v>
      </c>
      <c r="L29" s="436" t="str">
        <f ca="1"/>
        <v>0,344962723622147</v>
      </c>
      <c r="M29" s="436" t="str">
        <f ca="1"/>
        <v>-0,000176655625477817</v>
      </c>
      <c r="N29" s="437" t="str">
        <f ca="1"/>
        <v>BAT_MMR.EUR.SU</v>
      </c>
      <c r="P29" s="455" t="str" cm="1">
        <f t="array" aca="1" ref="P29:T29" ca="1">IF(AND($Q$12,B53&lt;=$C$17,C53&lt;&gt;""),TRANSPOSE(INDEX(GetCDS(C53,$C$6,$C$29,F53,D53,$C$13,$C$14,$C$15,$C$8,,,TRUE,TRUE,FALSE,$C$29:$C$31,$C$33),{1;2;3;4;5})),"")</f>
        <v>0</v>
      </c>
      <c r="Q29" s="456" t="str">
        <f ca="1"/>
        <v>0,0150335838715908</v>
      </c>
      <c r="R29" s="456" t="str">
        <f ca="1"/>
        <v>0,0150335838715908</v>
      </c>
      <c r="S29" s="457" t="str">
        <f ca="1"/>
        <v>0,00342801315889556</v>
      </c>
      <c r="T29" s="458" t="str">
        <f ca="1"/>
        <v>4,38550938247691</v>
      </c>
      <c r="U29" s="459">
        <f t="shared" ca="1" si="4"/>
        <v>0.11820417753757299</v>
      </c>
      <c r="V29" s="460">
        <f t="shared" ca="1" si="0"/>
        <v>-1.7770324169835113E-3</v>
      </c>
      <c r="W29" s="459">
        <f t="shared" ca="1" si="1"/>
        <v>0.11498757454071568</v>
      </c>
      <c r="X29" s="461">
        <f t="shared" ca="1" si="2"/>
        <v>3.256612500950782E-3</v>
      </c>
      <c r="Y29" s="460">
        <f t="shared" ca="1" si="3"/>
        <v>-8.6433767302432343E-5</v>
      </c>
      <c r="Z29" s="79"/>
    </row>
    <row r="30" spans="1:26" customFormat="1" ht="14.5">
      <c r="A30" s="232"/>
      <c r="B30" s="289" t="s">
        <v>447</v>
      </c>
      <c r="C30" s="257" t="b">
        <v>1</v>
      </c>
      <c r="D30" s="233"/>
      <c r="E30" s="233"/>
      <c r="F30" s="233"/>
      <c r="G30" s="233"/>
      <c r="H30" s="405">
        <v>16</v>
      </c>
      <c r="I30" s="424" t="str">
        <f ca="1"/>
        <v>0,000142104809452892</v>
      </c>
      <c r="J30" s="424" t="str">
        <f ca="1"/>
        <v>0,000467934477022331</v>
      </c>
      <c r="K30" s="436" t="str">
        <f ca="1"/>
        <v>0,303685273111668</v>
      </c>
      <c r="L30" s="436" t="str">
        <f ca="1"/>
        <v>0,303685273111668</v>
      </c>
      <c r="M30" s="436" t="str">
        <f ca="1"/>
        <v>-0,000131068843282423</v>
      </c>
      <c r="N30" s="437" t="str">
        <f ca="1"/>
        <v>BAYER_MMR.EUR.SU</v>
      </c>
      <c r="P30" s="455" t="str" cm="1">
        <f t="array" aca="1" ref="P30:T30" ca="1">IF(AND($Q$12,B54&lt;=$C$17,C54&lt;&gt;""),TRANSPOSE(INDEX(GetCDS(C54,$C$6,$C$29,F54,D54,$C$13,$C$14,$C$15,$C$8,,,TRUE,TRUE,FALSE,$C$29:$C$31,$C$33),{1;2;3;4;5})),"")</f>
        <v>0</v>
      </c>
      <c r="Q30" s="456" t="str">
        <f ca="1"/>
        <v>0,0114157486102272</v>
      </c>
      <c r="R30" s="456" t="str">
        <f ca="1"/>
        <v>0,0114157486102272</v>
      </c>
      <c r="S30" s="457" t="str">
        <f ca="1"/>
        <v>0,00259748856949014</v>
      </c>
      <c r="T30" s="458" t="str">
        <f ca="1"/>
        <v>4,39491774643997</v>
      </c>
      <c r="U30" s="459">
        <f t="shared" ca="1" si="4"/>
        <v>0.11820417753757299</v>
      </c>
      <c r="V30" s="460">
        <f t="shared" ca="1" si="0"/>
        <v>-1.3493891754475967E-3</v>
      </c>
      <c r="W30" s="459">
        <f t="shared" ca="1" si="1"/>
        <v>0.101228424370556</v>
      </c>
      <c r="X30" s="461">
        <f t="shared" ca="1" si="2"/>
        <v>2.4676141410156331E-3</v>
      </c>
      <c r="Y30" s="460">
        <f t="shared" ca="1" si="3"/>
        <v>-5.777991224118315E-5</v>
      </c>
      <c r="Z30" s="79"/>
    </row>
    <row r="31" spans="1:26" customFormat="1" ht="15" thickBot="1">
      <c r="A31" s="232"/>
      <c r="B31" s="290" t="s">
        <v>448</v>
      </c>
      <c r="C31" s="254" t="b">
        <v>1</v>
      </c>
      <c r="D31" s="233"/>
      <c r="E31" s="233"/>
      <c r="F31" s="233"/>
      <c r="G31" s="233"/>
      <c r="H31" s="405">
        <v>17</v>
      </c>
      <c r="I31" s="424" t="str">
        <f ca="1"/>
        <v>0,000162657975922165</v>
      </c>
      <c r="J31" s="424" t="str">
        <f ca="1"/>
        <v>0,000464300650614288</v>
      </c>
      <c r="K31" s="436" t="str">
        <f ca="1"/>
        <v>0,35032898555486</v>
      </c>
      <c r="L31" s="436" t="str">
        <f ca="1"/>
        <v>0,35032898555486</v>
      </c>
      <c r="M31" s="436" t="str">
        <f ca="1"/>
        <v>-0,000180541794555378</v>
      </c>
      <c r="N31" s="437" t="str">
        <f ca="1"/>
        <v>BBVA_MMR.EUR.SU</v>
      </c>
      <c r="P31" s="455" t="str" cm="1">
        <f t="array" aca="1" ref="P31:T31" ca="1">IF(AND($Q$12,B55&lt;=$C$17,C55&lt;&gt;""),TRANSPOSE(INDEX(GetCDS(C55,$C$6,$C$29,F55,D55,$C$13,$C$14,$C$15,$C$8,,,TRUE,TRUE,FALSE,$C$29:$C$31,$C$33),{1;2;3;4;5})),"")</f>
        <v>0</v>
      </c>
      <c r="Q31" s="456" t="str">
        <f ca="1"/>
        <v>0,014997564518974</v>
      </c>
      <c r="R31" s="456" t="str">
        <f ca="1"/>
        <v>0,014997564518974</v>
      </c>
      <c r="S31" s="457" t="str">
        <f ca="1"/>
        <v>0,00342821999992765</v>
      </c>
      <c r="T31" s="458" t="str">
        <f ca="1"/>
        <v>4,3747380621111</v>
      </c>
      <c r="U31" s="459">
        <f t="shared" ca="1" si="4"/>
        <v>0.11820417753757299</v>
      </c>
      <c r="V31" s="460">
        <f t="shared" ca="1" si="0"/>
        <v>-1.7727747790320086E-3</v>
      </c>
      <c r="W31" s="459">
        <f t="shared" ca="1" si="1"/>
        <v>0.11677632851828666</v>
      </c>
      <c r="X31" s="461">
        <f t="shared" ca="1" si="2"/>
        <v>3.2568089999312675E-3</v>
      </c>
      <c r="Y31" s="460">
        <f t="shared" ca="1" si="3"/>
        <v>-8.7568026062095393E-5</v>
      </c>
      <c r="Z31" s="79"/>
    </row>
    <row r="32" spans="1:26" customFormat="1" ht="15" thickBot="1">
      <c r="A32" s="232"/>
      <c r="B32" s="232"/>
      <c r="C32" s="233"/>
      <c r="D32" s="233"/>
      <c r="E32" s="233"/>
      <c r="F32" s="233"/>
      <c r="G32" s="233"/>
      <c r="H32" s="405">
        <v>18</v>
      </c>
      <c r="I32" s="424" t="str">
        <f ca="1"/>
        <v>0,000156235002766314</v>
      </c>
      <c r="J32" s="424" t="str">
        <f ca="1"/>
        <v>0,000465534014236049</v>
      </c>
      <c r="K32" s="436" t="str">
        <f ca="1"/>
        <v>0,335603839866994</v>
      </c>
      <c r="L32" s="436" t="str">
        <f ca="1"/>
        <v>0,335603839866994</v>
      </c>
      <c r="M32" s="436" t="str">
        <f ca="1"/>
        <v>-0,000165478893337001</v>
      </c>
      <c r="N32" s="437" t="str">
        <f ca="1"/>
        <v>BERTELSMANNAG_MMR.EUR.SU</v>
      </c>
      <c r="P32" s="455" t="str" cm="1">
        <f t="array" aca="1" ref="P32:T32" ca="1">IF(AND($Q$12,B56&lt;=$C$17,C56&lt;&gt;""),TRANSPOSE(INDEX(GetCDS(C56,$C$6,$C$29,F56,D56,$C$13,$C$14,$C$15,$C$8,,,TRUE,TRUE,FALSE,$C$29:$C$31,$C$33),{1;2;3;4;5})),"")</f>
        <v>0</v>
      </c>
      <c r="Q32" s="456" t="str">
        <f ca="1"/>
        <v>0,0141298287486247</v>
      </c>
      <c r="R32" s="456" t="str">
        <f ca="1"/>
        <v>0,0141298287486247</v>
      </c>
      <c r="S32" s="457" t="str">
        <f ca="1"/>
        <v>0,00322041714116055</v>
      </c>
      <c r="T32" s="458" t="str">
        <f ca="1"/>
        <v>4,38757717689104</v>
      </c>
      <c r="U32" s="459">
        <f t="shared" ca="1" si="4"/>
        <v>0.11820417753757299</v>
      </c>
      <c r="V32" s="460">
        <f t="shared" ca="1" si="0"/>
        <v>-1.6702047859779392E-3</v>
      </c>
      <c r="W32" s="459">
        <f t="shared" ca="1" si="1"/>
        <v>0.11186794662233134</v>
      </c>
      <c r="X32" s="461">
        <f t="shared" ca="1" si="2"/>
        <v>3.0593962841025221E-3</v>
      </c>
      <c r="Y32" s="460">
        <f t="shared" ca="1" si="3"/>
        <v>-7.9033746411691813E-5</v>
      </c>
      <c r="Z32" s="79"/>
    </row>
    <row r="33" spans="1:26" customFormat="1" ht="14.5">
      <c r="A33" s="232"/>
      <c r="B33" s="288" t="s">
        <v>451</v>
      </c>
      <c r="C33" s="258" t="s">
        <v>452</v>
      </c>
      <c r="D33" s="259"/>
      <c r="E33" s="259"/>
      <c r="F33" s="259"/>
      <c r="G33" s="233"/>
      <c r="H33" s="405">
        <v>19</v>
      </c>
      <c r="I33" s="424" t="str">
        <f ca="1"/>
        <v>0,000144823966645524</v>
      </c>
      <c r="J33" s="424" t="str">
        <f ca="1"/>
        <v>0,000467510441603548</v>
      </c>
      <c r="K33" s="436" t="str">
        <f ca="1"/>
        <v>0,309776967010152</v>
      </c>
      <c r="L33" s="436" t="str">
        <f ca="1"/>
        <v>0,309776967010152</v>
      </c>
      <c r="M33" s="436" t="str">
        <f ca="1"/>
        <v>-0,000137090579663024</v>
      </c>
      <c r="N33" s="437" t="str">
        <f ca="1"/>
        <v>BMW_MMR.EUR.SU</v>
      </c>
      <c r="P33" s="455" t="str" cm="1">
        <f t="array" aca="1" ref="P33:T33" ca="1">IF(AND($Q$12,B57&lt;=$C$17,C57&lt;&gt;""),TRANSPOSE(INDEX(GetCDS(C57,$C$6,$C$29,F57,D57,$C$13,$C$14,$C$15,$C$8,,,TRUE,TRUE,FALSE,$C$29:$C$31,$C$33),{1;2;3;4;5})),"")</f>
        <v>0</v>
      </c>
      <c r="Q33" s="456" t="str">
        <f ca="1"/>
        <v>0,0118674330822562</v>
      </c>
      <c r="R33" s="456" t="str">
        <f ca="1"/>
        <v>0,0118674330822562</v>
      </c>
      <c r="S33" s="457" t="str">
        <f ca="1"/>
        <v>0,00270132920402518</v>
      </c>
      <c r="T33" s="458" t="str">
        <f ca="1"/>
        <v>4,39318283183436</v>
      </c>
      <c r="U33" s="459">
        <f t="shared" ca="1" si="4"/>
        <v>0.11820417753757299</v>
      </c>
      <c r="V33" s="460">
        <f t="shared" ca="1" si="0"/>
        <v>-1.4027801669702789E-3</v>
      </c>
      <c r="W33" s="459">
        <f t="shared" ca="1" si="1"/>
        <v>0.103258989003384</v>
      </c>
      <c r="X33" s="461">
        <f t="shared" ca="1" si="2"/>
        <v>2.566262743823921E-3</v>
      </c>
      <c r="Y33" s="460">
        <f t="shared" ca="1" si="3"/>
        <v>-6.127095710695447E-5</v>
      </c>
      <c r="Z33" s="79"/>
    </row>
    <row r="34" spans="1:26" customFormat="1" ht="14.5">
      <c r="A34" s="232"/>
      <c r="B34" s="289" t="s">
        <v>470</v>
      </c>
      <c r="C34" s="260">
        <v>0.01</v>
      </c>
      <c r="D34" s="259"/>
      <c r="E34" s="259"/>
      <c r="F34" s="259"/>
      <c r="G34" s="233"/>
      <c r="H34" s="405">
        <v>20</v>
      </c>
      <c r="I34" s="424" t="str">
        <f ca="1"/>
        <v>0,000154947153624629</v>
      </c>
      <c r="J34" s="424" t="str">
        <f ca="1"/>
        <v>0,000465817613932323</v>
      </c>
      <c r="K34" s="436" t="str">
        <f ca="1"/>
        <v>0,332634810256747</v>
      </c>
      <c r="L34" s="436" t="str">
        <f ca="1"/>
        <v>0,332634810256747</v>
      </c>
      <c r="M34" s="436" t="str">
        <f ca="1"/>
        <v>-0,000161123337674951</v>
      </c>
      <c r="N34" s="437" t="str">
        <f ca="1"/>
        <v>BNPPARIBAS_MMR.EUR.SU</v>
      </c>
      <c r="P34" s="455" t="str" cm="1">
        <f t="array" aca="1" ref="P34:T34" ca="1">IF(AND($Q$12,B58&lt;=$C$17,C58&lt;&gt;""),TRANSPOSE(INDEX(GetCDS(C58,$C$6,$C$29,F58,D58,$C$13,$C$14,$C$15,$C$8,,,TRUE,TRUE,FALSE,$C$29:$C$31,$C$33),{1;2;3;4;5})),"")</f>
        <v>0</v>
      </c>
      <c r="Q34" s="456" t="str">
        <f ca="1"/>
        <v>0,0136683405722066</v>
      </c>
      <c r="R34" s="456" t="str">
        <f ca="1"/>
        <v>0,0136683405722066</v>
      </c>
      <c r="S34" s="457" t="str">
        <f ca="1"/>
        <v>0,00311665646336977</v>
      </c>
      <c r="T34" s="458" t="str">
        <f ca="1"/>
        <v>4,38557817739983</v>
      </c>
      <c r="U34" s="459">
        <f t="shared" ca="1" si="4"/>
        <v>0.11820417753757299</v>
      </c>
      <c r="V34" s="460">
        <f t="shared" ca="1" si="0"/>
        <v>-1.6156549556411203E-3</v>
      </c>
      <c r="W34" s="459">
        <f t="shared" ca="1" si="1"/>
        <v>0.11087827008558233</v>
      </c>
      <c r="X34" s="461">
        <f t="shared" ca="1" si="2"/>
        <v>2.9608236402012813E-3</v>
      </c>
      <c r="Y34" s="460">
        <f t="shared" ca="1" si="3"/>
        <v>-7.57760978793423E-5</v>
      </c>
      <c r="Z34" s="79"/>
    </row>
    <row r="35" spans="1:26" customFormat="1" ht="14.5">
      <c r="A35" s="232"/>
      <c r="B35" s="289" t="s">
        <v>471</v>
      </c>
      <c r="C35" s="260">
        <v>1</v>
      </c>
      <c r="D35" s="233"/>
      <c r="E35" s="233"/>
      <c r="F35" s="233"/>
      <c r="G35" s="233"/>
      <c r="H35" s="405">
        <v>21</v>
      </c>
      <c r="I35" s="424" t="str">
        <f ca="1"/>
        <v>0,000173310728749043</v>
      </c>
      <c r="J35" s="424" t="str">
        <f ca="1"/>
        <v>0,000462189086656408</v>
      </c>
      <c r="K35" s="436" t="str">
        <f ca="1"/>
        <v>0,37497797709335</v>
      </c>
      <c r="L35" s="436" t="str">
        <f ca="1"/>
        <v>0,37497797709335</v>
      </c>
      <c r="M35" s="436" t="str">
        <f ca="1"/>
        <v>-0,000211988165261312</v>
      </c>
      <c r="N35" s="437" t="str">
        <f ca="1"/>
        <v>BRITISHTELECOM_MMR.EUR.SU</v>
      </c>
      <c r="P35" s="455" t="str" cm="1">
        <f t="array" aca="1" ref="P35:T35" ca="1">IF(AND($Q$12,B59&lt;=$C$17,C59&lt;&gt;""),TRANSPOSE(INDEX(GetCDS(C59,$C$6,$C$29,F59,D59,$C$13,$C$14,$C$15,$C$8,,,TRUE,TRUE,FALSE,$C$29:$C$31,$C$33),{1;2;3;4;5})),"")</f>
        <v>0</v>
      </c>
      <c r="Q35" s="456" t="str">
        <f ca="1"/>
        <v>0,0177118072659902</v>
      </c>
      <c r="R35" s="456" t="str">
        <f ca="1"/>
        <v>0,0177118072659902</v>
      </c>
      <c r="S35" s="457" t="str">
        <f ca="1"/>
        <v>0,00405079416228328</v>
      </c>
      <c r="T35" s="458" t="str">
        <f ca="1"/>
        <v>4,37242835760549</v>
      </c>
      <c r="U35" s="459">
        <f t="shared" ca="1" si="4"/>
        <v>0.11820417753757299</v>
      </c>
      <c r="V35" s="460">
        <f t="shared" ca="1" si="0"/>
        <v>-2.0936096105803794E-3</v>
      </c>
      <c r="W35" s="459">
        <f t="shared" ca="1" si="1"/>
        <v>0.12499265903111667</v>
      </c>
      <c r="X35" s="461">
        <f t="shared" ca="1" si="2"/>
        <v>3.8482544541691152E-3</v>
      </c>
      <c r="Y35" s="460">
        <f t="shared" ca="1" si="3"/>
        <v>-1.1069229432113852E-4</v>
      </c>
      <c r="Z35" s="79"/>
    </row>
    <row r="36" spans="1:26" customFormat="1" ht="15" thickBot="1">
      <c r="A36" s="232"/>
      <c r="B36" s="290" t="s">
        <v>472</v>
      </c>
      <c r="C36" s="261"/>
      <c r="D36" s="233"/>
      <c r="E36" s="233"/>
      <c r="F36" s="233"/>
      <c r="G36" s="233"/>
      <c r="H36" s="405">
        <v>22</v>
      </c>
      <c r="I36" s="424" t="str">
        <f ca="1"/>
        <v>0,000162160409454648</v>
      </c>
      <c r="J36" s="424" t="str">
        <f ca="1"/>
        <v>0,000464474993307869</v>
      </c>
      <c r="K36" s="436" t="str">
        <f ca="1"/>
        <v>0,349126243158505</v>
      </c>
      <c r="L36" s="436" t="str">
        <f ca="1"/>
        <v>0,349126243158505</v>
      </c>
      <c r="M36" s="436" t="str">
        <f ca="1"/>
        <v>-0,000179597713063928</v>
      </c>
      <c r="N36" s="437" t="str">
        <f ca="1"/>
        <v>BSCH_MMR.EUR.SU</v>
      </c>
      <c r="P36" s="455" t="str" cm="1">
        <f t="array" aca="1" ref="P36:T36" ca="1">IF(AND($Q$12,B60&lt;=$C$17,C60&lt;&gt;""),TRANSPOSE(INDEX(GetCDS(C60,$C$6,$C$29,F60,D60,$C$13,$C$14,$C$15,$C$8,,,TRUE,TRUE,FALSE,$C$29:$C$31,$C$33),{1;2;3;4;5})),"")</f>
        <v>0</v>
      </c>
      <c r="Q36" s="456" t="str">
        <f ca="1"/>
        <v>0,0150074841229267</v>
      </c>
      <c r="R36" s="456" t="str">
        <f ca="1"/>
        <v>0,0150074841229267</v>
      </c>
      <c r="S36" s="457" t="str">
        <f ca="1"/>
        <v>0,00342815011888838</v>
      </c>
      <c r="T36" s="458" t="str">
        <f ca="1"/>
        <v>4,37772081223592</v>
      </c>
      <c r="U36" s="459">
        <f t="shared" ca="1" si="4"/>
        <v>0.11820417753757299</v>
      </c>
      <c r="V36" s="460">
        <f t="shared" ca="1" si="0"/>
        <v>-1.7739473176587362E-3</v>
      </c>
      <c r="W36" s="459">
        <f t="shared" ca="1" si="1"/>
        <v>0.11637541438616833</v>
      </c>
      <c r="X36" s="461">
        <f t="shared" ca="1" si="2"/>
        <v>3.2567426129439607E-3</v>
      </c>
      <c r="Y36" s="460">
        <f t="shared" ca="1" si="3"/>
        <v>-8.7325109184972026E-5</v>
      </c>
      <c r="Z36" s="79"/>
    </row>
    <row r="37" spans="1:26" customFormat="1" ht="15" thickBot="1">
      <c r="A37" s="232"/>
      <c r="B37" s="232"/>
      <c r="C37" s="233"/>
      <c r="D37" s="233"/>
      <c r="E37" s="233"/>
      <c r="F37" s="233"/>
      <c r="G37" s="233"/>
      <c r="H37" s="405">
        <v>23</v>
      </c>
      <c r="I37" s="424" t="str">
        <f ca="1"/>
        <v>0,000166626470125819</v>
      </c>
      <c r="J37" s="424" t="str">
        <f ca="1"/>
        <v>0,000463542169151197</v>
      </c>
      <c r="K37" s="436" t="str">
        <f ca="1"/>
        <v>0,359463456002143</v>
      </c>
      <c r="L37" s="436" t="str">
        <f ca="1"/>
        <v>0,359463456002143</v>
      </c>
      <c r="M37" s="436" t="str">
        <f ca="1"/>
        <v>-0,000193859415186593</v>
      </c>
      <c r="N37" s="437" t="str">
        <f ca="1"/>
        <v>CADBURYSCHWEPPES_MMR.EUR.SU</v>
      </c>
      <c r="P37" s="455" t="str" cm="1">
        <f t="array" aca="1" ref="P37:T37" ca="1">IF(AND($Q$12,B61&lt;=$C$17,C61&lt;&gt;""),TRANSPOSE(INDEX(GetCDS(C61,$C$6,$C$29,F61,D61,$C$13,$C$14,$C$15,$C$8,,,TRUE,TRUE,FALSE,$C$29:$C$31,$C$33),{1;2;3;4;5})),"")</f>
        <v>0</v>
      </c>
      <c r="Q37" s="456" t="str">
        <f ca="1"/>
        <v>0,0163811132977569</v>
      </c>
      <c r="R37" s="456" t="str">
        <f ca="1"/>
        <v>0,0163811132977569</v>
      </c>
      <c r="S37" s="457" t="str">
        <f ca="1"/>
        <v>0,00373937713932559</v>
      </c>
      <c r="T37" s="458" t="str">
        <f ca="1"/>
        <v>4,38070638168133</v>
      </c>
      <c r="U37" s="459">
        <f t="shared" ca="1" si="4"/>
        <v>0.11820417753757299</v>
      </c>
      <c r="V37" s="460">
        <f t="shared" ca="1" si="0"/>
        <v>-1.9363160245111531E-3</v>
      </c>
      <c r="W37" s="459">
        <f t="shared" ca="1" si="1"/>
        <v>0.11982115200071435</v>
      </c>
      <c r="X37" s="461">
        <f t="shared" ca="1" si="2"/>
        <v>3.5524082823593104E-3</v>
      </c>
      <c r="Y37" s="460">
        <f t="shared" ca="1" si="3"/>
        <v>-9.8140193319572636E-5</v>
      </c>
      <c r="Z37" s="79"/>
    </row>
    <row r="38" spans="1:26" customFormat="1" ht="15" thickBot="1">
      <c r="A38" s="232"/>
      <c r="B38" s="293" t="s">
        <v>460</v>
      </c>
      <c r="C38" s="262" t="s">
        <v>80</v>
      </c>
      <c r="D38" s="262" t="s">
        <v>473</v>
      </c>
      <c r="E38" s="262" t="s">
        <v>474</v>
      </c>
      <c r="F38" s="262" t="s">
        <v>85</v>
      </c>
      <c r="G38" s="262" t="s">
        <v>434</v>
      </c>
      <c r="H38" s="405">
        <v>24</v>
      </c>
      <c r="I38" s="424" t="str">
        <f ca="1"/>
        <v>0,000185311174960767</v>
      </c>
      <c r="J38" s="424" t="str">
        <f ca="1"/>
        <v>0,000459160228982347</v>
      </c>
      <c r="K38" s="436" t="str">
        <f ca="1"/>
        <v>0,403587164706052</v>
      </c>
      <c r="L38" s="436" t="str">
        <f ca="1"/>
        <v>0,403587164706052</v>
      </c>
      <c r="M38" s="436" t="str">
        <f ca="1"/>
        <v>-0,000249788849594856</v>
      </c>
      <c r="N38" s="437" t="str">
        <f ca="1"/>
        <v>CAPITALIA_MMR.EUR.SU</v>
      </c>
      <c r="P38" s="455" t="str" cm="1">
        <f t="array" aca="1" ref="P38:T38" ca="1">IF(AND($Q$12,B62&lt;=$C$17,C62&lt;&gt;""),TRANSPOSE(INDEX(GetCDS(C62,$C$6,$C$29,F62,D62,$C$13,$C$14,$C$15,$C$8,,,TRUE,TRUE,FALSE,$C$29:$C$31,$C$33),{1;2;3;4;5})),"")</f>
        <v>0</v>
      </c>
      <c r="Q38" s="456" t="str">
        <f ca="1"/>
        <v>0,0208412210754421</v>
      </c>
      <c r="R38" s="456" t="str">
        <f ca="1"/>
        <v>0,0208412210754421</v>
      </c>
      <c r="S38" s="457" t="str">
        <f ca="1"/>
        <v>0,00477710907860583</v>
      </c>
      <c r="T38" s="458" t="str">
        <f ca="1"/>
        <v>4,36272664754067</v>
      </c>
      <c r="U38" s="459">
        <f t="shared" ca="1" si="4"/>
        <v>0.11820417753757299</v>
      </c>
      <c r="V38" s="460">
        <f t="shared" ca="1" si="0"/>
        <v>-2.4635193961013674E-3</v>
      </c>
      <c r="W38" s="459">
        <f t="shared" ca="1" si="1"/>
        <v>0.13452905490201733</v>
      </c>
      <c r="X38" s="461">
        <f t="shared" ca="1" si="2"/>
        <v>4.5382536246755386E-3</v>
      </c>
      <c r="Y38" s="460">
        <f t="shared" ca="1" si="3"/>
        <v>-1.4018748871416159E-4</v>
      </c>
      <c r="Z38" s="79"/>
    </row>
    <row r="39" spans="1:26" customFormat="1" ht="14.5">
      <c r="A39" s="232"/>
      <c r="B39" s="294">
        <v>1</v>
      </c>
      <c r="C39" s="263" t="s">
        <v>86</v>
      </c>
      <c r="D39" s="264">
        <v>1</v>
      </c>
      <c r="E39" s="256"/>
      <c r="F39" s="239">
        <v>0.4</v>
      </c>
      <c r="G39" s="469">
        <v>100</v>
      </c>
      <c r="H39" s="405">
        <v>25</v>
      </c>
      <c r="I39" s="424" t="str">
        <f ca="1"/>
        <v>0,000137583341741365</v>
      </c>
      <c r="J39" s="424" t="str">
        <f ca="1"/>
        <v>0,000468638985574884</v>
      </c>
      <c r="K39" s="436" t="str">
        <f ca="1"/>
        <v>0,293580657982584</v>
      </c>
      <c r="L39" s="436" t="str">
        <f ca="1"/>
        <v>0,293580657982584</v>
      </c>
      <c r="M39" s="436" t="str">
        <f ca="1"/>
        <v>-0,000120398028756496</v>
      </c>
      <c r="N39" s="437" t="str">
        <f ca="1"/>
        <v>CARREFOUR_MMR.EUR.SU</v>
      </c>
      <c r="P39" s="455" t="str" cm="1">
        <f t="array" aca="1" ref="P39:T39" ca="1">IF(AND($Q$12,B63&lt;=$C$17,C63&lt;&gt;""),TRANSPOSE(INDEX(GetCDS(C63,$C$6,$C$29,F63,D63,$C$13,$C$14,$C$15,$C$8,,,TRUE,TRUE,FALSE,$C$29:$C$31,$C$33),{1;2;3;4;5})),"")</f>
        <v>0</v>
      </c>
      <c r="Q39" s="456" t="str">
        <f ca="1"/>
        <v>0,0105040832458183</v>
      </c>
      <c r="R39" s="456" t="str">
        <f ca="1"/>
        <v>0,0105040832458183</v>
      </c>
      <c r="S39" s="457" t="str">
        <f ca="1"/>
        <v>0,00238982083217985</v>
      </c>
      <c r="T39" s="458" t="str">
        <f ca="1"/>
        <v>4,39534341000664</v>
      </c>
      <c r="U39" s="459">
        <f t="shared" ca="1" si="4"/>
        <v>0.11820417753757299</v>
      </c>
      <c r="V39" s="460">
        <f t="shared" ca="1" si="0"/>
        <v>-1.2416265208581511E-3</v>
      </c>
      <c r="W39" s="459">
        <f t="shared" ca="1" si="1"/>
        <v>9.7860219327527989E-2</v>
      </c>
      <c r="X39" s="461">
        <f t="shared" ca="1" si="2"/>
        <v>2.2703297905708577E-3</v>
      </c>
      <c r="Y39" s="460">
        <f t="shared" ca="1" si="3"/>
        <v>-5.1396594513519483E-5</v>
      </c>
      <c r="Z39" s="79"/>
    </row>
    <row r="40" spans="1:26" customFormat="1" ht="14.5">
      <c r="A40" s="232"/>
      <c r="B40" s="295">
        <v>2</v>
      </c>
      <c r="C40" s="265" t="s">
        <v>88</v>
      </c>
      <c r="D40" s="266">
        <v>1</v>
      </c>
      <c r="E40" s="256"/>
      <c r="F40" s="239">
        <v>0.4</v>
      </c>
      <c r="G40" s="469">
        <v>100</v>
      </c>
      <c r="H40" s="405">
        <v>26</v>
      </c>
      <c r="I40" s="424" t="str">
        <f ca="1"/>
        <v>0,000209703474282152</v>
      </c>
      <c r="J40" s="424" t="str">
        <f ca="1"/>
        <v>0,000440033565782389</v>
      </c>
      <c r="K40" s="436" t="str">
        <f ca="1"/>
        <v>0,476562450206031</v>
      </c>
      <c r="L40" s="436" t="str">
        <f ca="1"/>
        <v>0,476562450206031</v>
      </c>
      <c r="M40" s="436" t="str">
        <f ca="1"/>
        <v>-0,000356193615814604</v>
      </c>
      <c r="N40" s="437" t="str">
        <f ca="1"/>
        <v>CASINOGUICHARD_MMR.EUR.SU</v>
      </c>
      <c r="P40" s="455" t="str" cm="1">
        <f t="array" aca="1" ref="P40:T40" ca="1">IF(AND($Q$12,B64&lt;=$C$17,C64&lt;&gt;""),TRANSPOSE(INDEX(GetCDS(C64,$C$6,$C$29,F64,D64,$C$13,$C$14,$C$15,$C$8,,,TRUE,TRUE,FALSE,$C$29:$C$31,$C$33),{1;2;3;4;5})),"")</f>
        <v>0</v>
      </c>
      <c r="Q40" s="456" t="str">
        <f ca="1"/>
        <v>0,0306427423865253</v>
      </c>
      <c r="R40" s="456" t="str">
        <f ca="1"/>
        <v>0,0306427423865253</v>
      </c>
      <c r="S40" s="457" t="str">
        <f ca="1"/>
        <v>0,00705793174974852</v>
      </c>
      <c r="T40" s="458" t="str">
        <f ca="1"/>
        <v>4,34160366988773</v>
      </c>
      <c r="U40" s="459">
        <f t="shared" ca="1" si="4"/>
        <v>0.11820417753757299</v>
      </c>
      <c r="V40" s="460">
        <f t="shared" ca="1" si="0"/>
        <v>-3.6221001612949505E-3</v>
      </c>
      <c r="W40" s="459">
        <f t="shared" ca="1" si="1"/>
        <v>0.15885415006867701</v>
      </c>
      <c r="X40" s="461">
        <f t="shared" ca="1" si="2"/>
        <v>6.7050351622610941E-3</v>
      </c>
      <c r="Y40" s="460">
        <f t="shared" ca="1" si="3"/>
        <v>-2.4338633987924503E-4</v>
      </c>
      <c r="Z40" s="79"/>
    </row>
    <row r="41" spans="1:26" customFormat="1" ht="12.75" customHeight="1">
      <c r="A41" s="232"/>
      <c r="B41" s="295">
        <v>3</v>
      </c>
      <c r="C41" s="265" t="s">
        <v>89</v>
      </c>
      <c r="D41" s="266">
        <v>1</v>
      </c>
      <c r="E41" s="256"/>
      <c r="F41" s="239">
        <v>0.4</v>
      </c>
      <c r="G41" s="469">
        <v>100</v>
      </c>
      <c r="H41" s="405">
        <v>27</v>
      </c>
      <c r="I41" s="424" t="str">
        <f ca="1"/>
        <v>0,000137642002713534</v>
      </c>
      <c r="J41" s="424" t="str">
        <f ca="1"/>
        <v>0,000468620176750394</v>
      </c>
      <c r="K41" s="436" t="str">
        <f ca="1"/>
        <v>0,293717619390613</v>
      </c>
      <c r="L41" s="436" t="str">
        <f ca="1"/>
        <v>0,293717619390613</v>
      </c>
      <c r="M41" s="436" t="str">
        <f ca="1"/>
        <v>-0,000120490624756742</v>
      </c>
      <c r="N41" s="437" t="str">
        <f ca="1"/>
        <v>CENTRICA_MMR.EUR.SU</v>
      </c>
      <c r="P41" s="455" t="str" cm="1">
        <f t="array" aca="1" ref="P41:T41" ca="1">IF(AND($Q$12,B65&lt;=$C$17,C65&lt;&gt;""),TRANSPOSE(INDEX(GetCDS(C65,$C$6,$C$29,F65,D65,$C$13,$C$14,$C$15,$C$8,,,TRUE,TRUE,FALSE,$C$29:$C$31,$C$33),{1;2;3;4;5})),"")</f>
        <v>0</v>
      </c>
      <c r="Q41" s="456" t="str">
        <f ca="1"/>
        <v>0,0105036724650955</v>
      </c>
      <c r="R41" s="456" t="str">
        <f ca="1"/>
        <v>0,0105036724650955</v>
      </c>
      <c r="S41" s="457" t="str">
        <f ca="1"/>
        <v>0,00238982704328983</v>
      </c>
      <c r="T41" s="458" t="str">
        <f ca="1"/>
        <v>4,39516009938367</v>
      </c>
      <c r="U41" s="459">
        <f t="shared" ca="1" si="4"/>
        <v>0.11820417753757299</v>
      </c>
      <c r="V41" s="460">
        <f t="shared" ca="1" si="0"/>
        <v>-1.2415779648606668E-3</v>
      </c>
      <c r="W41" s="459">
        <f t="shared" ca="1" si="1"/>
        <v>9.7905873130204338E-2</v>
      </c>
      <c r="X41" s="461">
        <f t="shared" ca="1" si="2"/>
        <v>2.270335691125338E-3</v>
      </c>
      <c r="Y41" s="460">
        <f t="shared" ca="1" si="3"/>
        <v>-5.1418561188443217E-5</v>
      </c>
      <c r="Z41" s="79"/>
    </row>
    <row r="42" spans="1:26" customFormat="1" ht="14.5">
      <c r="A42" s="232"/>
      <c r="B42" s="295">
        <v>4</v>
      </c>
      <c r="C42" s="265" t="s">
        <v>90</v>
      </c>
      <c r="D42" s="266">
        <v>1</v>
      </c>
      <c r="E42" s="256"/>
      <c r="F42" s="239">
        <v>0.4</v>
      </c>
      <c r="G42" s="469">
        <v>100</v>
      </c>
      <c r="H42" s="405">
        <v>28</v>
      </c>
      <c r="I42" s="424" t="str">
        <f ca="1"/>
        <v>0,000191902830703805</v>
      </c>
      <c r="J42" s="424" t="str">
        <f ca="1"/>
        <v>0,000457019187027238</v>
      </c>
      <c r="K42" s="436" t="str">
        <f ca="1"/>
        <v>0,419901037311083</v>
      </c>
      <c r="L42" s="436" t="str">
        <f ca="1"/>
        <v>0,419901037311083</v>
      </c>
      <c r="M42" s="436" t="str">
        <f ca="1"/>
        <v>-0,000273841099747841</v>
      </c>
      <c r="N42" s="437" t="str">
        <f ca="1"/>
        <v>CIBASC_MMR.EUR.SU</v>
      </c>
      <c r="P42" s="455" t="str" cm="1">
        <f t="array" aca="1" ref="P42:T42" ca="1">IF(AND($Q$12,B66&lt;=$C$17,C66&lt;&gt;""),TRANSPOSE(INDEX(GetCDS(C66,$C$6,$C$29,F66,D66,$C$13,$C$14,$C$15,$C$8,,,TRUE,TRUE,FALSE,$C$29:$C$31,$C$33),{1;2;3;4;5})),"")</f>
        <v>0</v>
      </c>
      <c r="Q42" s="456" t="str">
        <f ca="1"/>
        <v>0,0231023489647099</v>
      </c>
      <c r="R42" s="456" t="str">
        <f ca="1"/>
        <v>0,0231023489647099</v>
      </c>
      <c r="S42" s="457" t="str">
        <f ca="1"/>
        <v>0,00529553989692545</v>
      </c>
      <c r="T42" s="458" t="str">
        <f ca="1"/>
        <v>4,3626050250557</v>
      </c>
      <c r="U42" s="459">
        <f t="shared" ca="1" si="4"/>
        <v>0.11820417753757299</v>
      </c>
      <c r="V42" s="460">
        <f t="shared" ca="1" si="0"/>
        <v>-2.7307941585595361E-3</v>
      </c>
      <c r="W42" s="459">
        <f t="shared" ca="1" si="1"/>
        <v>0.13996701243702767</v>
      </c>
      <c r="X42" s="461">
        <f t="shared" ca="1" si="2"/>
        <v>5.0307629020791772E-3</v>
      </c>
      <c r="Y42" s="460">
        <f t="shared" ca="1" si="3"/>
        <v>-1.6167833824340532E-4</v>
      </c>
      <c r="Z42" s="79"/>
    </row>
    <row r="43" spans="1:26" customFormat="1" ht="14.5">
      <c r="A43" s="232"/>
      <c r="B43" s="295">
        <v>5</v>
      </c>
      <c r="C43" s="265" t="s">
        <v>93</v>
      </c>
      <c r="D43" s="266">
        <v>1</v>
      </c>
      <c r="E43" s="256"/>
      <c r="F43" s="239">
        <v>0.4</v>
      </c>
      <c r="G43" s="469">
        <v>100</v>
      </c>
      <c r="H43" s="405">
        <v>29</v>
      </c>
      <c r="I43" s="424" t="str">
        <f ca="1"/>
        <v>0,000180828351117324</v>
      </c>
      <c r="J43" s="424" t="str">
        <f ca="1"/>
        <v>0,000460318584072099</v>
      </c>
      <c r="K43" s="436" t="str">
        <f ca="1"/>
        <v>0,392833045143798</v>
      </c>
      <c r="L43" s="436" t="str">
        <f ca="1"/>
        <v>0,392833045143798</v>
      </c>
      <c r="M43" s="436" t="str">
        <f ca="1"/>
        <v>-0,000234661505561773</v>
      </c>
      <c r="N43" s="437" t="str">
        <f ca="1"/>
        <v>COMMERZBANK_MMR.EUR.SU</v>
      </c>
      <c r="P43" s="455" t="str" cm="1">
        <f t="array" aca="1" ref="P43:T43" ca="1">IF(AND($Q$12,B67&lt;=$C$17,C67&lt;&gt;""),TRANSPOSE(INDEX(GetCDS(C67,$C$6,$C$29,F67,D67,$C$13,$C$14,$C$15,$C$8,,,TRUE,TRUE,FALSE,$C$29:$C$31,$C$33),{1;2;3;4;5})),"")</f>
        <v>0</v>
      </c>
      <c r="Q43" s="456" t="str">
        <f ca="1"/>
        <v>0,0194873580748977</v>
      </c>
      <c r="R43" s="456" t="str">
        <f ca="1"/>
        <v>0,0194873580748977</v>
      </c>
      <c r="S43" s="457" t="str">
        <f ca="1"/>
        <v>0,00446596747119753</v>
      </c>
      <c r="T43" s="458" t="str">
        <f ca="1"/>
        <v>4,36352441001373</v>
      </c>
      <c r="U43" s="459">
        <f t="shared" ca="1" si="4"/>
        <v>0.11820417753757299</v>
      </c>
      <c r="V43" s="460">
        <f t="shared" ca="1" si="0"/>
        <v>-2.3034871336234659E-3</v>
      </c>
      <c r="W43" s="459">
        <f t="shared" ca="1" si="1"/>
        <v>0.13094434838126601</v>
      </c>
      <c r="X43" s="461">
        <f t="shared" ca="1" si="2"/>
        <v>4.2426690976376533E-3</v>
      </c>
      <c r="Y43" s="460">
        <f t="shared" ca="1" si="3"/>
        <v>-1.2758797023949435E-4</v>
      </c>
      <c r="Z43" s="79"/>
    </row>
    <row r="44" spans="1:26" customFormat="1" ht="14.5">
      <c r="A44" s="232"/>
      <c r="B44" s="295">
        <v>6</v>
      </c>
      <c r="C44" s="265" t="s">
        <v>94</v>
      </c>
      <c r="D44" s="266">
        <v>1</v>
      </c>
      <c r="E44" s="256"/>
      <c r="F44" s="239">
        <v>0.4</v>
      </c>
      <c r="G44" s="469">
        <v>100</v>
      </c>
      <c r="H44" s="405">
        <v>30</v>
      </c>
      <c r="I44" s="424" t="str">
        <f ca="1"/>
        <v>0,000149629374817972</v>
      </c>
      <c r="J44" s="424" t="str">
        <f ca="1"/>
        <v>0,000466775847007771</v>
      </c>
      <c r="K44" s="436" t="str">
        <f ca="1"/>
        <v>0,320559377219621</v>
      </c>
      <c r="L44" s="436" t="str">
        <f ca="1"/>
        <v>0,320559377219621</v>
      </c>
      <c r="M44" s="436" t="str">
        <f ca="1"/>
        <v>-0,000148803230854089</v>
      </c>
      <c r="N44" s="437" t="str">
        <f ca="1"/>
        <v>COMPASS_MMR.EUR.SU</v>
      </c>
      <c r="P44" s="455" t="str" cm="1">
        <f t="array" aca="1" ref="P44:T44" ca="1">IF(AND($Q$12,B68&lt;=$C$17,C68&lt;&gt;""),TRANSPOSE(INDEX(GetCDS(C68,$C$6,$C$29,F68,D68,$C$13,$C$14,$C$15,$C$8,,,TRUE,TRUE,FALSE,$C$29:$C$31,$C$33),{1;2;3;4;5})),"")</f>
        <v>0</v>
      </c>
      <c r="Q44" s="456" t="str">
        <f ca="1"/>
        <v>0,0127708599005199</v>
      </c>
      <c r="R44" s="456" t="str">
        <f ca="1"/>
        <v>0,0127708599005199</v>
      </c>
      <c r="S44" s="457" t="str">
        <f ca="1"/>
        <v>0,00290897086651472</v>
      </c>
      <c r="T44" s="458" t="str">
        <f ca="1"/>
        <v>4,39016424933153</v>
      </c>
      <c r="U44" s="459">
        <f t="shared" ca="1" si="4"/>
        <v>0.11820417753757299</v>
      </c>
      <c r="V44" s="460">
        <f t="shared" ca="1" si="0"/>
        <v>-1.5095689909885245E-3</v>
      </c>
      <c r="W44" s="459">
        <f t="shared" ca="1" si="1"/>
        <v>0.10685312573987367</v>
      </c>
      <c r="X44" s="461">
        <f t="shared" ca="1" si="2"/>
        <v>2.7635223231889838E-3</v>
      </c>
      <c r="Y44" s="460">
        <f t="shared" ca="1" si="3"/>
        <v>-6.8230314937828206E-5</v>
      </c>
      <c r="Z44" s="79"/>
    </row>
    <row r="45" spans="1:26" customFormat="1" ht="14.5">
      <c r="A45" s="232"/>
      <c r="B45" s="295">
        <v>7</v>
      </c>
      <c r="C45" s="265" t="s">
        <v>95</v>
      </c>
      <c r="D45" s="266">
        <v>1</v>
      </c>
      <c r="E45" s="256"/>
      <c r="F45" s="239">
        <v>0.4</v>
      </c>
      <c r="G45" s="469">
        <v>100</v>
      </c>
      <c r="H45" s="405">
        <v>31</v>
      </c>
      <c r="I45" s="424" t="str">
        <f ca="1"/>
        <v>0,000199316181814235</v>
      </c>
      <c r="J45" s="424" t="str">
        <f ca="1"/>
        <v>0,000443374548695452</v>
      </c>
      <c r="K45" s="436" t="str">
        <f ca="1"/>
        <v>0,44954357980332</v>
      </c>
      <c r="L45" s="436" t="str">
        <f ca="1"/>
        <v>0,44954357980332</v>
      </c>
      <c r="M45" s="436" t="str">
        <f ca="1"/>
        <v>-0,000314708278370013</v>
      </c>
      <c r="N45" s="437" t="str">
        <f ca="1"/>
        <v>CONTINENTAL_MMR.EUR.SU</v>
      </c>
      <c r="P45" s="455" t="str" cm="1">
        <f t="array" aca="1" ref="P45:T45" ca="1">IF(AND($Q$12,B69&lt;=$C$17,C69&lt;&gt;""),TRANSPOSE(INDEX(GetCDS(C69,$C$6,$C$29,F69,D69,$C$13,$C$14,$C$15,$C$8,,,TRUE,TRUE,FALSE,$C$29:$C$31,$C$33),{1;2;3;4;5})),"")</f>
        <v>0</v>
      </c>
      <c r="Q45" s="456" t="str">
        <f ca="1"/>
        <v>0,0266404405418635</v>
      </c>
      <c r="R45" s="456" t="str">
        <f ca="1"/>
        <v>0,0266404405418635</v>
      </c>
      <c r="S45" s="457" t="str">
        <f ca="1"/>
        <v>0,00612522202168216</v>
      </c>
      <c r="T45" s="458" t="str">
        <f ca="1"/>
        <v>4,34930202489987</v>
      </c>
      <c r="U45" s="459">
        <f t="shared" ca="1" si="4"/>
        <v>0.11820417753757299</v>
      </c>
      <c r="V45" s="460">
        <f t="shared" ca="1" si="0"/>
        <v>-3.1490113634895902E-3</v>
      </c>
      <c r="W45" s="459">
        <f t="shared" ca="1" si="1"/>
        <v>0.14984785993444</v>
      </c>
      <c r="X45" s="461">
        <f t="shared" ca="1" si="2"/>
        <v>5.8189609205980515E-3</v>
      </c>
      <c r="Y45" s="460">
        <f t="shared" ca="1" si="3"/>
        <v>-1.9960065014544722E-4</v>
      </c>
      <c r="Z45" s="79"/>
    </row>
    <row r="46" spans="1:26" customFormat="1" ht="14.5">
      <c r="A46" s="232"/>
      <c r="B46" s="295">
        <v>8</v>
      </c>
      <c r="C46" s="265" t="s">
        <v>96</v>
      </c>
      <c r="D46" s="266">
        <v>1</v>
      </c>
      <c r="E46" s="256"/>
      <c r="F46" s="239">
        <v>0.4</v>
      </c>
      <c r="G46" s="469">
        <v>100</v>
      </c>
      <c r="H46" s="405">
        <v>32</v>
      </c>
      <c r="I46" s="424" t="str">
        <f ca="1"/>
        <v>0,000154799050046895</v>
      </c>
      <c r="J46" s="424" t="str">
        <f ca="1"/>
        <v>0,000465870615106859</v>
      </c>
      <c r="K46" s="436" t="str">
        <f ca="1"/>
        <v>0,332279059951845</v>
      </c>
      <c r="L46" s="436" t="str">
        <f ca="1"/>
        <v>0,332279059951845</v>
      </c>
      <c r="M46" s="436" t="str">
        <f ca="1"/>
        <v>-0,000161122014425352</v>
      </c>
      <c r="N46" s="437" t="str">
        <f ca="1"/>
        <v>CREDITAGRICOLE_MMR.EUR.SU</v>
      </c>
      <c r="P46" s="455" t="str" cm="1">
        <f t="array" aca="1" ref="P46:T46" ca="1">IF(AND($Q$12,B70&lt;=$C$17,C70&lt;&gt;""),TRANSPOSE(INDEX(GetCDS(C70,$C$6,$C$29,F70,D70,$C$13,$C$14,$C$15,$C$8,,,TRUE,TRUE,FALSE,$C$29:$C$31,$C$33),{1;2;3;4;5})),"")</f>
        <v>0</v>
      </c>
      <c r="Q46" s="456" t="str">
        <f ca="1"/>
        <v>0,0136683951202508</v>
      </c>
      <c r="R46" s="456" t="str">
        <f ca="1"/>
        <v>0,0136683951202508</v>
      </c>
      <c r="S46" s="457" t="str">
        <f ca="1"/>
        <v>0,00311664477264424</v>
      </c>
      <c r="T46" s="458" t="str">
        <f ca="1"/>
        <v>4,38561213014154</v>
      </c>
      <c r="U46" s="459">
        <f t="shared" ca="1" si="4"/>
        <v>0.11820417753757299</v>
      </c>
      <c r="V46" s="460">
        <f t="shared" ca="1" si="0"/>
        <v>-1.615661403447822E-3</v>
      </c>
      <c r="W46" s="459">
        <f t="shared" ca="1" si="1"/>
        <v>0.11075968665061499</v>
      </c>
      <c r="X46" s="461">
        <f t="shared" ca="1" si="2"/>
        <v>2.9608125340120279E-3</v>
      </c>
      <c r="Y46" s="460">
        <f t="shared" ca="1" si="3"/>
        <v>-7.5695358026788649E-5</v>
      </c>
      <c r="Z46" s="79"/>
    </row>
    <row r="47" spans="1:26" customFormat="1" ht="14.5">
      <c r="A47" s="232"/>
      <c r="B47" s="295">
        <v>9</v>
      </c>
      <c r="C47" s="265" t="s">
        <v>97</v>
      </c>
      <c r="D47" s="266">
        <v>1</v>
      </c>
      <c r="E47" s="256"/>
      <c r="F47" s="239">
        <v>0.4</v>
      </c>
      <c r="G47" s="469">
        <v>100</v>
      </c>
      <c r="H47" s="405">
        <v>33</v>
      </c>
      <c r="I47" s="424" t="str">
        <f ca="1"/>
        <v>0,000188198555640984</v>
      </c>
      <c r="J47" s="424" t="str">
        <f ca="1"/>
        <v>0,000458286977044493</v>
      </c>
      <c r="K47" s="436" t="str">
        <f ca="1"/>
        <v>0,410656564702498</v>
      </c>
      <c r="L47" s="436" t="str">
        <f ca="1"/>
        <v>0,410656564702498</v>
      </c>
      <c r="M47" s="436" t="str">
        <f ca="1"/>
        <v>-0,000259846913769856</v>
      </c>
      <c r="N47" s="437" t="str">
        <f ca="1"/>
        <v>CREDITSUISSEGROUP_MMR.EUR.SU</v>
      </c>
      <c r="P47" s="455" t="str" cm="1">
        <f t="array" aca="1" ref="P47:T47" ca="1">IF(AND($Q$12,B71&lt;=$C$17,C71&lt;&gt;""),TRANSPOSE(INDEX(GetCDS(C71,$C$6,$C$29,F71,D71,$C$13,$C$14,$C$15,$C$8,,,TRUE,TRUE,FALSE,$C$29:$C$31,$C$33),{1;2;3;4;5})),"")</f>
        <v>0</v>
      </c>
      <c r="Q47" s="456" t="str">
        <f ca="1"/>
        <v>0,0217406171872072</v>
      </c>
      <c r="R47" s="456" t="str">
        <f ca="1"/>
        <v>0,0217406171872072</v>
      </c>
      <c r="S47" s="457" t="str">
        <f ca="1"/>
        <v>0,00498453903157198</v>
      </c>
      <c r="T47" s="458" t="str">
        <f ca="1"/>
        <v>4,36161038152225</v>
      </c>
      <c r="U47" s="459">
        <f t="shared" ca="1" si="4"/>
        <v>0.11820417753757299</v>
      </c>
      <c r="V47" s="460">
        <f t="shared" ca="1" si="0"/>
        <v>-2.5698317737730516E-3</v>
      </c>
      <c r="W47" s="459">
        <f t="shared" ca="1" si="1"/>
        <v>0.13688552156749934</v>
      </c>
      <c r="X47" s="461">
        <f t="shared" ca="1" si="2"/>
        <v>4.735312079993381E-3</v>
      </c>
      <c r="Y47" s="460">
        <f t="shared" ca="1" si="3"/>
        <v>-1.4879878614350989E-4</v>
      </c>
      <c r="Z47" s="79"/>
    </row>
    <row r="48" spans="1:26" customFormat="1" ht="14.5">
      <c r="A48" s="232"/>
      <c r="B48" s="295">
        <v>10</v>
      </c>
      <c r="C48" s="265" t="s">
        <v>98</v>
      </c>
      <c r="D48" s="266">
        <v>1</v>
      </c>
      <c r="E48" s="256"/>
      <c r="F48" s="239">
        <v>0.4</v>
      </c>
      <c r="G48" s="469">
        <v>100</v>
      </c>
      <c r="H48" s="405">
        <v>34</v>
      </c>
      <c r="I48" s="424" t="str">
        <f ca="1"/>
        <v>0,000149070993965151</v>
      </c>
      <c r="J48" s="424" t="str">
        <f ca="1"/>
        <v>0,000466800577152152</v>
      </c>
      <c r="K48" s="436" t="str">
        <f ca="1"/>
        <v>0,319346207484576</v>
      </c>
      <c r="L48" s="436" t="str">
        <f ca="1"/>
        <v>0,319346207484576</v>
      </c>
      <c r="M48" s="436" t="str">
        <f ca="1"/>
        <v>-0,00014557098899377</v>
      </c>
      <c r="N48" s="437" t="str">
        <f ca="1"/>
        <v>DAIMLERCHRYSLER_MMR.EUR.SU</v>
      </c>
      <c r="P48" s="455" t="str" cm="1">
        <f t="array" aca="1" ref="P48:T48" ca="1">IF(AND($Q$12,B72&lt;=$C$17,C72&lt;&gt;""),TRANSPOSE(INDEX(GetCDS(C72,$C$6,$C$29,F72,D72,$C$13,$C$14,$C$15,$C$8,,,TRUE,TRUE,FALSE,$C$29:$C$31,$C$33),{1;2;3;4;5})),"")</f>
        <v>0</v>
      </c>
      <c r="Q48" s="456" t="str">
        <f ca="1"/>
        <v>0,0123014381648679</v>
      </c>
      <c r="R48" s="456" t="str">
        <f ca="1"/>
        <v>0,0123014381648679</v>
      </c>
      <c r="S48" s="457" t="str">
        <f ca="1"/>
        <v>0,00280525514291189</v>
      </c>
      <c r="T48" s="458" t="str">
        <f ca="1"/>
        <v>4,38514058015374</v>
      </c>
      <c r="U48" s="459">
        <f t="shared" ca="1" si="4"/>
        <v>0.11820417753757299</v>
      </c>
      <c r="V48" s="460">
        <f t="shared" ca="1" si="0"/>
        <v>-1.4540813808075225E-3</v>
      </c>
      <c r="W48" s="459">
        <f t="shared" ca="1" si="1"/>
        <v>0.10644873582819199</v>
      </c>
      <c r="X48" s="461">
        <f t="shared" ca="1" si="2"/>
        <v>2.6649923857662958E-3</v>
      </c>
      <c r="Y48" s="460">
        <f t="shared" ca="1" si="3"/>
        <v>-6.5473627075943107E-5</v>
      </c>
      <c r="Z48" s="79"/>
    </row>
    <row r="49" spans="1:26" customFormat="1" ht="14.5">
      <c r="A49" s="232"/>
      <c r="B49" s="295">
        <v>11</v>
      </c>
      <c r="C49" s="265" t="s">
        <v>99</v>
      </c>
      <c r="D49" s="266">
        <v>1</v>
      </c>
      <c r="E49" s="256"/>
      <c r="F49" s="239">
        <v>0.4</v>
      </c>
      <c r="G49" s="469">
        <v>100</v>
      </c>
      <c r="H49" s="405">
        <v>35</v>
      </c>
      <c r="I49" s="424" t="str">
        <f ca="1"/>
        <v>0,000147652734492576</v>
      </c>
      <c r="J49" s="424" t="str">
        <f ca="1"/>
        <v>0,000467065600447778</v>
      </c>
      <c r="K49" s="436" t="str">
        <f ca="1"/>
        <v>0,316128471784307</v>
      </c>
      <c r="L49" s="436" t="str">
        <f ca="1"/>
        <v>0,316128471784307</v>
      </c>
      <c r="M49" s="436" t="str">
        <f ca="1"/>
        <v>-0,000143447043484613</v>
      </c>
      <c r="N49" s="437" t="str">
        <f ca="1"/>
        <v>DANONE_MMR.EUR.SU</v>
      </c>
      <c r="P49" s="455" t="str" cm="1">
        <f t="array" aca="1" ref="P49:T49" ca="1">IF(AND($Q$12,B73&lt;=$C$17,C73&lt;&gt;""),TRANSPOSE(INDEX(GetCDS(C73,$C$6,$C$29,F73,D73,$C$13,$C$14,$C$15,$C$8,,,TRUE,TRUE,FALSE,$C$29:$C$31,$C$33),{1;2;3;4;5})),"")</f>
        <v>0</v>
      </c>
      <c r="Q49" s="456" t="str">
        <f ca="1"/>
        <v>0,0123163887460671</v>
      </c>
      <c r="R49" s="456" t="str">
        <f ca="1"/>
        <v>0,0123163887460671</v>
      </c>
      <c r="S49" s="457" t="str">
        <f ca="1"/>
        <v>0,00280517487574201</v>
      </c>
      <c r="T49" s="458" t="str">
        <f ca="1"/>
        <v>4,39059569960295</v>
      </c>
      <c r="U49" s="459">
        <f t="shared" ca="1" si="4"/>
        <v>0.11820417753757299</v>
      </c>
      <c r="V49" s="460">
        <f t="shared" ca="1" si="0"/>
        <v>-1.4558486019618825E-3</v>
      </c>
      <c r="W49" s="459">
        <f t="shared" ca="1" si="1"/>
        <v>0.10537615726143566</v>
      </c>
      <c r="X49" s="461">
        <f t="shared" ca="1" si="2"/>
        <v>2.6649161319549091E-3</v>
      </c>
      <c r="Y49" s="460">
        <f t="shared" ca="1" si="3"/>
        <v>-6.4892685869927342E-5</v>
      </c>
      <c r="Z49" s="79"/>
    </row>
    <row r="50" spans="1:26" customFormat="1" ht="14.5">
      <c r="A50" s="232"/>
      <c r="B50" s="295">
        <v>12</v>
      </c>
      <c r="C50" s="265" t="s">
        <v>100</v>
      </c>
      <c r="D50" s="266">
        <v>1</v>
      </c>
      <c r="E50" s="256"/>
      <c r="F50" s="239">
        <v>0.4</v>
      </c>
      <c r="G50" s="469">
        <v>100</v>
      </c>
      <c r="H50" s="405">
        <v>36</v>
      </c>
      <c r="I50" s="424" t="str">
        <f ca="1"/>
        <v>0,00017735884904011</v>
      </c>
      <c r="J50" s="424" t="str">
        <f ca="1"/>
        <v>0,000461131175820134</v>
      </c>
      <c r="K50" s="436" t="str">
        <f ca="1"/>
        <v>0,384616912367013</v>
      </c>
      <c r="L50" s="436" t="str">
        <f ca="1"/>
        <v>0,384616912367013</v>
      </c>
      <c r="M50" s="436" t="str">
        <f ca="1"/>
        <v>-0,00022378014161899</v>
      </c>
      <c r="N50" s="437" t="str">
        <f ca="1"/>
        <v>DEUTSCHEBANK_MMR.EUR.SU</v>
      </c>
      <c r="P50" s="455" t="str" cm="1">
        <f t="array" aca="1" ref="P50:T50" ca="1">IF(AND($Q$12,B74&lt;=$C$17,C74&lt;&gt;""),TRANSPOSE(INDEX(GetCDS(C74,$C$6,$C$29,F74,D74,$C$13,$C$14,$C$15,$C$8,,,TRUE,TRUE,FALSE,$C$29:$C$31,$C$33),{1;2;3;4;5})),"")</f>
        <v>0</v>
      </c>
      <c r="Q50" s="456" t="str">
        <f ca="1"/>
        <v>0,0185948837483407</v>
      </c>
      <c r="R50" s="456" t="str">
        <f ca="1"/>
        <v>0,0185948837483407</v>
      </c>
      <c r="S50" s="457" t="str">
        <f ca="1"/>
        <v>0,00425844615817991</v>
      </c>
      <c r="T50" s="458" t="str">
        <f ca="1"/>
        <v>4,36658890535046</v>
      </c>
      <c r="U50" s="459">
        <f t="shared" ca="1" si="4"/>
        <v>0.11820417753757299</v>
      </c>
      <c r="V50" s="460">
        <f t="shared" ca="1" si="0"/>
        <v>-2.1979929398793928E-3</v>
      </c>
      <c r="W50" s="459">
        <f t="shared" ca="1" si="1"/>
        <v>0.12820563745567101</v>
      </c>
      <c r="X50" s="461">
        <f t="shared" ca="1" si="2"/>
        <v>4.0455238502709141E-3</v>
      </c>
      <c r="Y50" s="460">
        <f t="shared" ca="1" si="3"/>
        <v>-1.1919844621850599E-4</v>
      </c>
      <c r="Z50" s="79"/>
    </row>
    <row r="51" spans="1:26" customFormat="1" ht="14.5">
      <c r="A51" s="232"/>
      <c r="B51" s="295">
        <v>13</v>
      </c>
      <c r="C51" s="265" t="s">
        <v>101</v>
      </c>
      <c r="D51" s="266">
        <v>1</v>
      </c>
      <c r="E51" s="256"/>
      <c r="F51" s="239">
        <v>0.4</v>
      </c>
      <c r="G51" s="469">
        <v>100</v>
      </c>
      <c r="H51" s="405">
        <v>37</v>
      </c>
      <c r="I51" s="424" t="str">
        <f ca="1"/>
        <v>0,000139805082089106</v>
      </c>
      <c r="J51" s="424" t="str">
        <f ca="1"/>
        <v>0,000468293809030432</v>
      </c>
      <c r="K51" s="436" t="str">
        <f ca="1"/>
        <v>0,298541384475191</v>
      </c>
      <c r="L51" s="436" t="str">
        <f ca="1"/>
        <v>0,298541384475191</v>
      </c>
      <c r="M51" s="436" t="str">
        <f ca="1"/>
        <v>-0,000125612816390119</v>
      </c>
      <c r="N51" s="437" t="str">
        <f ca="1"/>
        <v>DEUTSCHEPOSTAG_MMR.EUR.SU</v>
      </c>
      <c r="P51" s="455" t="str" cm="1">
        <f t="array" aca="1" ref="P51:T51" ca="1">IF(AND($Q$12,B75&lt;=$C$17,C75&lt;&gt;""),TRANSPOSE(INDEX(GetCDS(C75,$C$6,$C$29,F75,D75,$C$13,$C$14,$C$15,$C$8,,,TRUE,TRUE,FALSE,$C$29:$C$31,$C$33),{1;2;3;4;5})),"")</f>
        <v>0</v>
      </c>
      <c r="Q51" s="456" t="str">
        <f ca="1"/>
        <v>0,0109606948147682</v>
      </c>
      <c r="R51" s="456" t="str">
        <f ca="1"/>
        <v>0,0109606948147682</v>
      </c>
      <c r="S51" s="457" t="str">
        <f ca="1"/>
        <v>0,00249365625625196</v>
      </c>
      <c r="T51" s="458" t="str">
        <f ca="1"/>
        <v>4,39543132189456</v>
      </c>
      <c r="U51" s="459">
        <f t="shared" ca="1" si="4"/>
        <v>0.11820417753757299</v>
      </c>
      <c r="V51" s="460">
        <f t="shared" ca="1" si="0"/>
        <v>-1.2955999158200152E-3</v>
      </c>
      <c r="W51" s="459">
        <f t="shared" ca="1" si="1"/>
        <v>9.9513794825063673E-2</v>
      </c>
      <c r="X51" s="461">
        <f t="shared" ca="1" si="2"/>
        <v>2.368973443439362E-3</v>
      </c>
      <c r="Y51" s="460">
        <f t="shared" ca="1" si="3"/>
        <v>-5.4537016746849123E-5</v>
      </c>
      <c r="Z51" s="79"/>
    </row>
    <row r="52" spans="1:26" customFormat="1" ht="14.5">
      <c r="A52" s="232"/>
      <c r="B52" s="295">
        <v>14</v>
      </c>
      <c r="C52" s="265" t="s">
        <v>102</v>
      </c>
      <c r="D52" s="266">
        <v>1</v>
      </c>
      <c r="E52" s="256"/>
      <c r="F52" s="239">
        <v>0.4</v>
      </c>
      <c r="G52" s="469">
        <v>100</v>
      </c>
      <c r="H52" s="405">
        <v>38</v>
      </c>
      <c r="I52" s="424" t="str">
        <f ca="1"/>
        <v>0,000173024704382941</v>
      </c>
      <c r="J52" s="424" t="str">
        <f ca="1"/>
        <v>0,000462172505852796</v>
      </c>
      <c r="K52" s="436" t="str">
        <f ca="1"/>
        <v>0,374372560444022</v>
      </c>
      <c r="L52" s="436" t="str">
        <f ca="1"/>
        <v>0,374372560444022</v>
      </c>
      <c r="M52" s="436" t="str">
        <f ca="1"/>
        <v>-0,000211420933570161</v>
      </c>
      <c r="N52" s="437" t="str">
        <f ca="1"/>
        <v>DEUTSCHETELEKOM_MMR.EUR.SU</v>
      </c>
      <c r="P52" s="455" t="str" cm="1">
        <f t="array" aca="1" ref="P52:T52" ca="1">IF(AND($Q$12,B76&lt;=$C$17,C76&lt;&gt;""),TRANSPOSE(INDEX(GetCDS(C76,$C$6,$C$29,F76,D76,$C$13,$C$14,$C$15,$C$8,,,TRUE,TRUE,FALSE,$C$29:$C$31,$C$33),{1;2;3;4;5})),"")</f>
        <v>0</v>
      </c>
      <c r="Q52" s="456" t="str">
        <f ca="1"/>
        <v>0,0177183074212997</v>
      </c>
      <c r="R52" s="456" t="str">
        <f ca="1"/>
        <v>0,0177183074212997</v>
      </c>
      <c r="S52" s="457" t="str">
        <f ca="1"/>
        <v>0,00405077244102119</v>
      </c>
      <c r="T52" s="458" t="str">
        <f ca="1"/>
        <v>4,37405647423457</v>
      </c>
      <c r="U52" s="459">
        <f t="shared" ca="1" si="4"/>
        <v>0.11820417753757299</v>
      </c>
      <c r="V52" s="460">
        <f t="shared" ca="1" si="0"/>
        <v>-2.094377956092608E-3</v>
      </c>
      <c r="W52" s="459">
        <f t="shared" ca="1" si="1"/>
        <v>0.12479085348134067</v>
      </c>
      <c r="X52" s="461">
        <f t="shared" ca="1" si="2"/>
        <v>3.8482338189701304E-3</v>
      </c>
      <c r="Y52" s="460">
        <f t="shared" ca="1" si="3"/>
        <v>-1.1055413526743838E-4</v>
      </c>
      <c r="Z52" s="79"/>
    </row>
    <row r="53" spans="1:26" customFormat="1" ht="14.5">
      <c r="A53" s="232"/>
      <c r="B53" s="295">
        <v>15</v>
      </c>
      <c r="C53" s="265" t="s">
        <v>103</v>
      </c>
      <c r="D53" s="266">
        <v>1</v>
      </c>
      <c r="E53" s="256"/>
      <c r="F53" s="239">
        <v>0.4</v>
      </c>
      <c r="G53" s="469">
        <v>100</v>
      </c>
      <c r="H53" s="405">
        <v>39</v>
      </c>
      <c r="I53" s="424" t="str">
        <f ca="1"/>
        <v>0,000151925357948835</v>
      </c>
      <c r="J53" s="424" t="str">
        <f ca="1"/>
        <v>0,000466325322860759</v>
      </c>
      <c r="K53" s="436" t="str">
        <f ca="1"/>
        <v>0,325792639818101</v>
      </c>
      <c r="L53" s="436" t="str">
        <f ca="1"/>
        <v>0,325792639818101</v>
      </c>
      <c r="M53" s="436" t="str">
        <f ca="1"/>
        <v>-0,00015426257358575</v>
      </c>
      <c r="N53" s="437" t="str">
        <f ca="1"/>
        <v>DIAGEO_MMR.EUR.SU</v>
      </c>
      <c r="P53" s="455" t="str" cm="1">
        <f t="array" aca="1" ref="P53:T53" ca="1">IF(AND($Q$12,B77&lt;=$C$17,C77&lt;&gt;""),TRANSPOSE(INDEX(GetCDS(C77,$C$6,$C$29,F77,D77,$C$13,$C$14,$C$15,$C$8,,,TRUE,TRUE,FALSE,$C$29:$C$31,$C$33),{1;2;3;4;5})),"")</f>
        <v>0</v>
      </c>
      <c r="Q53" s="456" t="str">
        <f ca="1"/>
        <v>0,013224968291154</v>
      </c>
      <c r="R53" s="456" t="str">
        <f ca="1"/>
        <v>0,013224968291154</v>
      </c>
      <c r="S53" s="457" t="str">
        <f ca="1"/>
        <v>0,00301279931328354</v>
      </c>
      <c r="T53" s="458" t="str">
        <f ca="1"/>
        <v>4,38959483057655</v>
      </c>
      <c r="U53" s="459">
        <f t="shared" ca="1" si="4"/>
        <v>0.11820417753757299</v>
      </c>
      <c r="V53" s="460">
        <f t="shared" ca="1" si="0"/>
        <v>-1.5632464998163416E-3</v>
      </c>
      <c r="W53" s="459">
        <f t="shared" ca="1" si="1"/>
        <v>0.10859754660603367</v>
      </c>
      <c r="X53" s="461">
        <f t="shared" ca="1" si="2"/>
        <v>2.862159347619363E-3</v>
      </c>
      <c r="Y53" s="460">
        <f t="shared" ca="1" si="3"/>
        <v>-7.180995551809587E-5</v>
      </c>
      <c r="Z53" s="79"/>
    </row>
    <row r="54" spans="1:26" customFormat="1" ht="14.5">
      <c r="A54" s="232"/>
      <c r="B54" s="295">
        <v>16</v>
      </c>
      <c r="C54" s="265" t="s">
        <v>104</v>
      </c>
      <c r="D54" s="266">
        <v>1</v>
      </c>
      <c r="E54" s="256"/>
      <c r="F54" s="239">
        <v>0.4</v>
      </c>
      <c r="G54" s="469">
        <v>100</v>
      </c>
      <c r="H54" s="405">
        <v>40</v>
      </c>
      <c r="I54" s="424" t="str">
        <f ca="1"/>
        <v>0,000222235852580854</v>
      </c>
      <c r="J54" s="424" t="str">
        <f ca="1"/>
        <v>0,000435651423484308</v>
      </c>
      <c r="K54" s="436" t="str">
        <f ca="1"/>
        <v>0,51012309521091</v>
      </c>
      <c r="L54" s="436" t="str">
        <f ca="1"/>
        <v>0,51012309521091</v>
      </c>
      <c r="M54" s="436" t="str">
        <f ca="1"/>
        <v>-0,000408688713481231</v>
      </c>
      <c r="N54" s="437" t="str">
        <f ca="1"/>
        <v>DIXONSGROUPPLC_MMR.EUR.SU</v>
      </c>
      <c r="P54" s="455" t="str" cm="1">
        <f t="array" aca="1" ref="P54:T54" ca="1">IF(AND($Q$12,B78&lt;=$C$17,C78&lt;&gt;""),TRANSPOSE(INDEX(GetCDS(C78,$C$6,$C$29,F78,D78,$C$13,$C$14,$C$15,$C$8,,,TRUE,TRUE,FALSE,$C$29:$C$31,$C$33),{1;2;3;4;5})),"")</f>
        <v>0</v>
      </c>
      <c r="Q54" s="456" t="str">
        <f ca="1"/>
        <v>0,0359184964870382</v>
      </c>
      <c r="R54" s="456" t="str">
        <f ca="1"/>
        <v>0,0359184964870382</v>
      </c>
      <c r="S54" s="457" t="str">
        <f ca="1"/>
        <v>0,00830108236465261</v>
      </c>
      <c r="T54" s="458" t="str">
        <f ca="1"/>
        <v>4,3269654376621</v>
      </c>
      <c r="U54" s="459">
        <f t="shared" ca="1" si="4"/>
        <v>0.11820417753757299</v>
      </c>
      <c r="V54" s="460">
        <f t="shared" ca="1" si="0"/>
        <v>-4.2457163356365577E-3</v>
      </c>
      <c r="W54" s="459">
        <f t="shared" ca="1" si="1"/>
        <v>0.17004103173697002</v>
      </c>
      <c r="X54" s="461">
        <f t="shared" ca="1" si="2"/>
        <v>7.8860282464199797E-3</v>
      </c>
      <c r="Y54" s="460">
        <f t="shared" ca="1" si="3"/>
        <v>-3.0538091005483526E-4</v>
      </c>
      <c r="Z54" s="79"/>
    </row>
    <row r="55" spans="1:26" customFormat="1" ht="14.5">
      <c r="A55" s="232"/>
      <c r="B55" s="295">
        <v>17</v>
      </c>
      <c r="C55" s="265" t="s">
        <v>105</v>
      </c>
      <c r="D55" s="266">
        <v>1</v>
      </c>
      <c r="E55" s="256"/>
      <c r="F55" s="239">
        <v>0.4</v>
      </c>
      <c r="G55" s="469">
        <v>100</v>
      </c>
      <c r="H55" s="405">
        <v>41</v>
      </c>
      <c r="I55" s="424" t="str">
        <f ca="1"/>
        <v>0,000149537389320952</v>
      </c>
      <c r="J55" s="424" t="str">
        <f ca="1"/>
        <v>0,000466766208281313</v>
      </c>
      <c r="K55" s="436" t="str">
        <f ca="1"/>
        <v>0,320368927030013</v>
      </c>
      <c r="L55" s="436" t="str">
        <f ca="1"/>
        <v>0,320368927030013</v>
      </c>
      <c r="M55" s="436" t="str">
        <f ca="1"/>
        <v>-0,000148556205595063</v>
      </c>
      <c r="N55" s="437" t="str">
        <f ca="1"/>
        <v>DSM_MMR.EUR.SU</v>
      </c>
      <c r="P55" s="455" t="str" cm="1">
        <f t="array" aca="1" ref="P55:T55" ca="1">IF(AND($Q$12,B79&lt;=$C$17,C79&lt;&gt;""),TRANSPOSE(INDEX(GetCDS(C79,$C$6,$C$29,F79,D79,$C$13,$C$14,$C$15,$C$8,,,TRUE,TRUE,FALSE,$C$29:$C$31,$C$33),{1;2;3;4;5})),"")</f>
        <v>0</v>
      </c>
      <c r="Q55" s="456" t="str">
        <f ca="1"/>
        <v>0,0127725552397255</v>
      </c>
      <c r="R55" s="456" t="str">
        <f ca="1"/>
        <v>0,0127725552397255</v>
      </c>
      <c r="S55" s="457" t="str">
        <f ca="1"/>
        <v>0,00290897148497851</v>
      </c>
      <c r="T55" s="458" t="str">
        <f ca="1"/>
        <v>4,3907461127347</v>
      </c>
      <c r="U55" s="459">
        <f t="shared" ca="1" si="4"/>
        <v>0.11820417753757299</v>
      </c>
      <c r="V55" s="460">
        <f t="shared" ca="1" si="0"/>
        <v>-1.5097693871649687E-3</v>
      </c>
      <c r="W55" s="459">
        <f t="shared" ca="1" si="1"/>
        <v>0.10678964234333767</v>
      </c>
      <c r="X55" s="461">
        <f t="shared" ca="1" si="2"/>
        <v>2.7635229107295842E-3</v>
      </c>
      <c r="Y55" s="460">
        <f t="shared" ca="1" si="3"/>
        <v>-6.8198830293040417E-5</v>
      </c>
      <c r="Z55" s="79"/>
    </row>
    <row r="56" spans="1:26" customFormat="1" ht="14.5">
      <c r="A56" s="232"/>
      <c r="B56" s="295">
        <v>18</v>
      </c>
      <c r="C56" s="265" t="s">
        <v>106</v>
      </c>
      <c r="D56" s="266">
        <v>1</v>
      </c>
      <c r="E56" s="256"/>
      <c r="F56" s="239">
        <v>0.4</v>
      </c>
      <c r="G56" s="469">
        <v>100</v>
      </c>
      <c r="H56" s="405">
        <v>42</v>
      </c>
      <c r="I56" s="424" t="str">
        <f ca="1"/>
        <v>0,000149322209789626</v>
      </c>
      <c r="J56" s="424" t="str">
        <f ca="1"/>
        <v>0,000466777014005862</v>
      </c>
      <c r="K56" s="436" t="str">
        <f ca="1"/>
        <v>0,319900520610792</v>
      </c>
      <c r="L56" s="436" t="str">
        <f ca="1"/>
        <v>0,319900520610792</v>
      </c>
      <c r="M56" s="436" t="str">
        <f ca="1"/>
        <v>-0,000148195374159888</v>
      </c>
      <c r="N56" s="437" t="str">
        <f ca="1"/>
        <v>EADS_MMR.EUR.SU</v>
      </c>
      <c r="P56" s="455" t="str" cm="1">
        <f t="array" aca="1" ref="P56:T56" ca="1">IF(AND($Q$12,B80&lt;=$C$17,C80&lt;&gt;""),TRANSPOSE(INDEX(GetCDS(C80,$C$6,$C$29,F80,D80,$C$13,$C$14,$C$15,$C$8,,,TRUE,TRUE,FALSE,$C$29:$C$31,$C$33),{1;2;3;4;5})),"")</f>
        <v>0</v>
      </c>
      <c r="Q56" s="456" t="str">
        <f ca="1"/>
        <v>0,0127748754914939</v>
      </c>
      <c r="R56" s="456" t="str">
        <f ca="1"/>
        <v>0,0127748754914939</v>
      </c>
      <c r="S56" s="457" t="str">
        <f ca="1"/>
        <v>0,00290896393337696</v>
      </c>
      <c r="T56" s="458" t="str">
        <f ca="1"/>
        <v>4,39155513236762</v>
      </c>
      <c r="U56" s="459">
        <f t="shared" ca="1" si="4"/>
        <v>0.11820417753757299</v>
      </c>
      <c r="V56" s="460">
        <f t="shared" ca="1" si="0"/>
        <v>-1.5100436506169338E-3</v>
      </c>
      <c r="W56" s="459">
        <f t="shared" ca="1" si="1"/>
        <v>0.106633506870264</v>
      </c>
      <c r="X56" s="461">
        <f t="shared" ca="1" si="2"/>
        <v>2.7635157367081119E-3</v>
      </c>
      <c r="Y56" s="460">
        <f t="shared" ca="1" si="3"/>
        <v>-6.8111488674449104E-5</v>
      </c>
      <c r="Z56" s="79"/>
    </row>
    <row r="57" spans="1:26" customFormat="1" ht="14.5">
      <c r="A57" s="232"/>
      <c r="B57" s="295">
        <v>19</v>
      </c>
      <c r="C57" s="265" t="s">
        <v>107</v>
      </c>
      <c r="D57" s="266">
        <v>1</v>
      </c>
      <c r="E57" s="256"/>
      <c r="F57" s="239">
        <v>0.4</v>
      </c>
      <c r="G57" s="469">
        <v>100</v>
      </c>
      <c r="H57" s="405">
        <v>43</v>
      </c>
      <c r="I57" s="424" t="str">
        <f ca="1"/>
        <v>0,00013189965588909</v>
      </c>
      <c r="J57" s="424" t="str">
        <f ca="1"/>
        <v>0,00046941776982533</v>
      </c>
      <c r="K57" s="436" t="str">
        <f ca="1"/>
        <v>0,280985647258666</v>
      </c>
      <c r="L57" s="436" t="str">
        <f ca="1"/>
        <v>0,280985647258666</v>
      </c>
      <c r="M57" s="436" t="str">
        <f ca="1"/>
        <v>-0,000108565343423161</v>
      </c>
      <c r="N57" s="437" t="str">
        <f ca="1"/>
        <v>EDF_MMR.EUR.SU</v>
      </c>
      <c r="P57" s="455" t="str" cm="1">
        <f t="array" aca="1" ref="P57:T57" ca="1">IF(AND($Q$12,B81&lt;=$C$17,C81&lt;&gt;""),TRANSPOSE(INDEX(GetCDS(C81,$C$6,$C$29,F81,D81,$C$13,$C$14,$C$15,$C$8,,,TRUE,TRUE,FALSE,$C$29:$C$31,$C$33),{1;2;3;4;5})),"")</f>
        <v>8,67361737988404E-18</v>
      </c>
      <c r="Q57" s="456" t="str">
        <f ca="1"/>
        <v>0,00959761106293847</v>
      </c>
      <c r="R57" s="456" t="str">
        <f ca="1"/>
        <v>0,00959761106293846</v>
      </c>
      <c r="S57" s="457" t="str">
        <f ca="1"/>
        <v>0,00218211391260972</v>
      </c>
      <c r="T57" s="458" t="str">
        <f ca="1"/>
        <v>4,39830890929984</v>
      </c>
      <c r="U57" s="459">
        <f t="shared" ca="1" si="4"/>
        <v>0.11820417753757299</v>
      </c>
      <c r="V57" s="460">
        <f t="shared" ca="1" si="0"/>
        <v>-1.1344777220201527E-3</v>
      </c>
      <c r="W57" s="459">
        <f t="shared" ca="1" si="1"/>
        <v>9.3661882419555323E-2</v>
      </c>
      <c r="X57" s="461">
        <f t="shared" ca="1" si="2"/>
        <v>2.0730082169792339E-3</v>
      </c>
      <c r="Y57" s="460">
        <f t="shared" ca="1" si="3"/>
        <v>-4.4946515944278247E-5</v>
      </c>
      <c r="Z57" s="79"/>
    </row>
    <row r="58" spans="1:26" customFormat="1" ht="14.5">
      <c r="A58" s="232"/>
      <c r="B58" s="295">
        <v>20</v>
      </c>
      <c r="C58" s="265" t="s">
        <v>108</v>
      </c>
      <c r="D58" s="266">
        <v>1</v>
      </c>
      <c r="E58" s="256"/>
      <c r="F58" s="239">
        <v>0.4</v>
      </c>
      <c r="G58" s="469">
        <v>100</v>
      </c>
      <c r="H58" s="405">
        <v>44</v>
      </c>
      <c r="I58" s="424" t="str">
        <f ca="1"/>
        <v>0,000163379935456875</v>
      </c>
      <c r="J58" s="424" t="str">
        <f ca="1"/>
        <v>0,000464272833544646</v>
      </c>
      <c r="K58" s="436" t="str">
        <f ca="1"/>
        <v>0,351905008547445</v>
      </c>
      <c r="L58" s="436" t="str">
        <f ca="1"/>
        <v>0,351905008547445</v>
      </c>
      <c r="M58" s="436" t="str">
        <f ca="1"/>
        <v>-0,000183799793392936</v>
      </c>
      <c r="N58" s="437" t="str">
        <f ca="1"/>
        <v>EDISON_MMR.EUR.SU</v>
      </c>
      <c r="P58" s="455" t="str" cm="1">
        <f t="array" aca="1" ref="P58:T58" ca="1">IF(AND($Q$12,B82&lt;=$C$17,C82&lt;&gt;""),TRANSPOSE(INDEX(GetCDS(C82,$C$6,$C$29,F82,D82,$C$13,$C$14,$C$15,$C$8,,,TRUE,TRUE,FALSE,$C$29:$C$31,$C$33),{1;2;3;4;5})),"")</f>
        <v>0</v>
      </c>
      <c r="Q58" s="456" t="str">
        <f ca="1"/>
        <v>0,0154707325746657</v>
      </c>
      <c r="R58" s="456" t="str">
        <f ca="1"/>
        <v>0,0154707325746657</v>
      </c>
      <c r="S58" s="457" t="str">
        <f ca="1"/>
        <v>0,00353185763973001</v>
      </c>
      <c r="T58" s="458" t="str">
        <f ca="1"/>
        <v>4,3803386638903</v>
      </c>
      <c r="U58" s="459">
        <f t="shared" ca="1" si="4"/>
        <v>0.11820417753757299</v>
      </c>
      <c r="V58" s="460">
        <f t="shared" ca="1" si="0"/>
        <v>-1.8287052198920984E-3</v>
      </c>
      <c r="W58" s="459">
        <f t="shared" ca="1" si="1"/>
        <v>0.117301669515815</v>
      </c>
      <c r="X58" s="461">
        <f t="shared" ca="1" si="2"/>
        <v>3.3552647577435096E-3</v>
      </c>
      <c r="Y58" s="460">
        <f t="shared" ca="1" si="3"/>
        <v>-9.0737137982049474E-5</v>
      </c>
      <c r="Z58" s="79"/>
    </row>
    <row r="59" spans="1:26" customFormat="1" ht="14.5">
      <c r="A59" s="232"/>
      <c r="B59" s="295">
        <v>21</v>
      </c>
      <c r="C59" s="265" t="s">
        <v>109</v>
      </c>
      <c r="D59" s="266">
        <v>1</v>
      </c>
      <c r="E59" s="256"/>
      <c r="F59" s="239">
        <v>0.4</v>
      </c>
      <c r="G59" s="469">
        <v>100</v>
      </c>
      <c r="H59" s="405">
        <v>45</v>
      </c>
      <c r="I59" s="424" t="str">
        <f ca="1"/>
        <v>0,000167602907505837</v>
      </c>
      <c r="J59" s="424" t="str">
        <f ca="1"/>
        <v>0,000463385118506101</v>
      </c>
      <c r="K59" s="436" t="str">
        <f ca="1"/>
        <v>0,361692468774502</v>
      </c>
      <c r="L59" s="436" t="str">
        <f ca="1"/>
        <v>0,361692468774502</v>
      </c>
      <c r="M59" s="436" t="str">
        <f ca="1"/>
        <v>-0,000195387363089949</v>
      </c>
      <c r="N59" s="437" t="str">
        <f ca="1"/>
        <v>ELECTRICITEDEPORTUGAL_MMR.EUR.SU</v>
      </c>
      <c r="P59" s="455" t="str" cm="1">
        <f t="array" aca="1" ref="P59:T59" ca="1">IF(AND($Q$12,B83&lt;=$C$17,C83&lt;&gt;""),TRANSPOSE(INDEX(GetCDS(C83,$C$6,$C$29,F83,D83,$C$13,$C$14,$C$15,$C$8,,,TRUE,TRUE,FALSE,$C$29:$C$31,$C$33),{1;2;3;4;5})),"")</f>
        <v>0</v>
      </c>
      <c r="Q59" s="456" t="str">
        <f ca="1"/>
        <v>0,0163662108563491</v>
      </c>
      <c r="R59" s="456" t="str">
        <f ca="1"/>
        <v>0,0163662108563491</v>
      </c>
      <c r="S59" s="457" t="str">
        <f ca="1"/>
        <v>0,0037394676643392</v>
      </c>
      <c r="T59" s="458" t="str">
        <f ca="1"/>
        <v>4,37661515632899</v>
      </c>
      <c r="U59" s="459">
        <f t="shared" ca="1" si="4"/>
        <v>0.11820417753757299</v>
      </c>
      <c r="V59" s="460">
        <f t="shared" ca="1" si="0"/>
        <v>-1.934554493681245E-3</v>
      </c>
      <c r="W59" s="459">
        <f t="shared" ca="1" si="1"/>
        <v>0.12056415625816734</v>
      </c>
      <c r="X59" s="461">
        <f t="shared" ca="1" si="2"/>
        <v>3.5524942811222399E-3</v>
      </c>
      <c r="Y59" s="460">
        <f t="shared" ca="1" si="3"/>
        <v>-9.865892015194962E-5</v>
      </c>
      <c r="Z59" s="79"/>
    </row>
    <row r="60" spans="1:26" customFormat="1" ht="14.5">
      <c r="A60" s="232"/>
      <c r="B60" s="295">
        <v>22</v>
      </c>
      <c r="C60" s="265" t="s">
        <v>110</v>
      </c>
      <c r="D60" s="266">
        <v>1</v>
      </c>
      <c r="E60" s="256"/>
      <c r="F60" s="239">
        <v>0.4</v>
      </c>
      <c r="G60" s="469">
        <v>100</v>
      </c>
      <c r="H60" s="405">
        <v>46</v>
      </c>
      <c r="I60" s="424" t="str">
        <f ca="1"/>
        <v>0,000164278697966136</v>
      </c>
      <c r="J60" s="424" t="str">
        <f ca="1"/>
        <v>0,000463979397783197</v>
      </c>
      <c r="K60" s="436" t="str">
        <f ca="1"/>
        <v>0,3540646389711</v>
      </c>
      <c r="L60" s="436" t="str">
        <f ca="1"/>
        <v>0,3540646389711</v>
      </c>
      <c r="M60" s="436" t="str">
        <f ca="1"/>
        <v>-0,000187726965149526</v>
      </c>
      <c r="N60" s="437" t="str">
        <f ca="1"/>
        <v>ELECTROLUX_MMR.EUR.SU</v>
      </c>
      <c r="P60" s="455" t="str" cm="1">
        <f t="array" aca="1" ref="P60:T60" ca="1">IF(AND($Q$12,B84&lt;=$C$17,C84&lt;&gt;""),TRANSPOSE(INDEX(GetCDS(C84,$C$6,$C$29,F84,D84,$C$13,$C$14,$C$15,$C$8,,,TRUE,TRUE,FALSE,$C$29:$C$31,$C$33),{1;2;3;4;5})),"")</f>
        <v>0</v>
      </c>
      <c r="Q60" s="456" t="str">
        <f ca="1"/>
        <v>0,015935906266047</v>
      </c>
      <c r="R60" s="456" t="str">
        <f ca="1"/>
        <v>0,015935906266047</v>
      </c>
      <c r="S60" s="457" t="str">
        <f ca="1"/>
        <v>0,00363557084354354</v>
      </c>
      <c r="T60" s="458" t="str">
        <f ca="1"/>
        <v>4,383329868086</v>
      </c>
      <c r="U60" s="459">
        <f t="shared" ca="1" si="4"/>
        <v>0.11820417753757299</v>
      </c>
      <c r="V60" s="460">
        <f t="shared" ca="1" si="0"/>
        <v>-1.8836906934939432E-3</v>
      </c>
      <c r="W60" s="459">
        <f t="shared" ca="1" si="1"/>
        <v>0.1180215463237</v>
      </c>
      <c r="X60" s="461">
        <f t="shared" ca="1" si="2"/>
        <v>3.4537923013663627E-3</v>
      </c>
      <c r="Y60" s="460">
        <f t="shared" ca="1" si="3"/>
        <v>-9.4039014979420616E-5</v>
      </c>
      <c r="Z60" s="79"/>
    </row>
    <row r="61" spans="1:26" customFormat="1" ht="14.5">
      <c r="A61" s="232"/>
      <c r="B61" s="295">
        <v>23</v>
      </c>
      <c r="C61" s="265" t="s">
        <v>111</v>
      </c>
      <c r="D61" s="266">
        <v>1</v>
      </c>
      <c r="E61" s="256"/>
      <c r="F61" s="239">
        <v>0.4</v>
      </c>
      <c r="G61" s="469">
        <v>100</v>
      </c>
      <c r="H61" s="405">
        <v>47</v>
      </c>
      <c r="I61" s="424" t="str">
        <f ca="1"/>
        <v>0,000183795823230759</v>
      </c>
      <c r="J61" s="424" t="str">
        <f ca="1"/>
        <v>0,000459602944289406</v>
      </c>
      <c r="K61" s="436" t="str">
        <f ca="1"/>
        <v>0,399901318114762</v>
      </c>
      <c r="L61" s="436" t="str">
        <f ca="1"/>
        <v>0,399901318114762</v>
      </c>
      <c r="M61" s="436" t="str">
        <f ca="1"/>
        <v>-0,000244699504542867</v>
      </c>
      <c r="N61" s="437" t="str">
        <f ca="1"/>
        <v>ENDESA_MMR.EUR.SU</v>
      </c>
      <c r="P61" s="455" t="str" cm="1">
        <f t="array" aca="1" ref="P61:T61" ca="1">IF(AND($Q$12,B85&lt;=$C$17,C85&lt;&gt;""),TRANSPOSE(INDEX(GetCDS(C85,$C$6,$C$29,F85,D85,$C$13,$C$14,$C$15,$C$8,,,TRUE,TRUE,FALSE,$C$29:$C$31,$C$33),{1;2;3;4;5})),"")</f>
        <v>0</v>
      </c>
      <c r="Q61" s="456" t="str">
        <f ca="1"/>
        <v>0,0203918618164139</v>
      </c>
      <c r="R61" s="456" t="str">
        <f ca="1"/>
        <v>0,0203918618164139</v>
      </c>
      <c r="S61" s="457" t="str">
        <f ca="1"/>
        <v>0,00467338021668434</v>
      </c>
      <c r="T61" s="458" t="str">
        <f ca="1"/>
        <v>4,36340739912694</v>
      </c>
      <c r="U61" s="459">
        <f t="shared" ca="1" si="4"/>
        <v>0.11820417753757299</v>
      </c>
      <c r="V61" s="460">
        <f t="shared" ca="1" si="0"/>
        <v>-2.4104032544690454E-3</v>
      </c>
      <c r="W61" s="459">
        <f t="shared" ca="1" si="1"/>
        <v>0.13330043937158734</v>
      </c>
      <c r="X61" s="461">
        <f t="shared" ca="1" si="2"/>
        <v>4.4397112058501232E-3</v>
      </c>
      <c r="Y61" s="460">
        <f t="shared" ca="1" si="3"/>
        <v>-1.3591220698663342E-4</v>
      </c>
      <c r="Z61" s="79"/>
    </row>
    <row r="62" spans="1:26" customFormat="1" ht="14.5">
      <c r="A62" s="232"/>
      <c r="B62" s="295">
        <v>24</v>
      </c>
      <c r="C62" s="265" t="s">
        <v>112</v>
      </c>
      <c r="D62" s="266">
        <v>1</v>
      </c>
      <c r="E62" s="256"/>
      <c r="F62" s="239">
        <v>0.4</v>
      </c>
      <c r="G62" s="469">
        <v>100</v>
      </c>
      <c r="H62" s="405">
        <v>48</v>
      </c>
      <c r="I62" s="424" t="str">
        <f ca="1"/>
        <v>0,000171483807607608</v>
      </c>
      <c r="J62" s="424" t="str">
        <f ca="1"/>
        <v>0,000462561636531629</v>
      </c>
      <c r="K62" s="436" t="str">
        <f ca="1"/>
        <v>0,370726394202132</v>
      </c>
      <c r="L62" s="436" t="str">
        <f ca="1"/>
        <v>0,370726394202132</v>
      </c>
      <c r="M62" s="436" t="str">
        <f ca="1"/>
        <v>-0,000206606792957542</v>
      </c>
      <c r="N62" s="437" t="str">
        <f ca="1"/>
        <v>ENEL_MMR.EUR.SU</v>
      </c>
      <c r="P62" s="455" t="str" cm="1">
        <f t="array" aca="1" ref="P62:T62" ca="1">IF(AND($Q$12,B86&lt;=$C$17,C86&lt;&gt;""),TRANSPOSE(INDEX(GetCDS(C86,$C$6,$C$29,F86,D86,$C$13,$C$14,$C$15,$C$8,,,TRUE,TRUE,FALSE,$C$29:$C$31,$C$33),{1;2;3;4;5})),"")</f>
        <v>0</v>
      </c>
      <c r="Q62" s="456" t="str">
        <f ca="1"/>
        <v>0,0172625923181572</v>
      </c>
      <c r="R62" s="456" t="str">
        <f ca="1"/>
        <v>0,0172625923181572</v>
      </c>
      <c r="S62" s="457" t="str">
        <f ca="1"/>
        <v>0,00394703851714151</v>
      </c>
      <c r="T62" s="458" t="str">
        <f ca="1"/>
        <v>4,37355557671602</v>
      </c>
      <c r="U62" s="459">
        <f t="shared" ca="1" si="4"/>
        <v>0.11820417753757299</v>
      </c>
      <c r="V62" s="460">
        <f t="shared" ca="1" si="0"/>
        <v>-2.0405105271341954E-3</v>
      </c>
      <c r="W62" s="459">
        <f t="shared" ca="1" si="1"/>
        <v>0.123575464734044</v>
      </c>
      <c r="X62" s="461">
        <f t="shared" ca="1" si="2"/>
        <v>3.7496865912844345E-3</v>
      </c>
      <c r="Y62" s="460">
        <f t="shared" ca="1" si="3"/>
        <v>-1.0666164341153064E-4</v>
      </c>
      <c r="Z62" s="79"/>
    </row>
    <row r="63" spans="1:26" customFormat="1" ht="14.5">
      <c r="A63" s="232"/>
      <c r="B63" s="295">
        <v>25</v>
      </c>
      <c r="C63" s="265" t="s">
        <v>113</v>
      </c>
      <c r="D63" s="266">
        <v>1</v>
      </c>
      <c r="E63" s="256"/>
      <c r="F63" s="239">
        <v>0.4</v>
      </c>
      <c r="G63" s="469">
        <v>100</v>
      </c>
      <c r="H63" s="405">
        <v>49</v>
      </c>
      <c r="I63" s="424" t="str">
        <f ca="1"/>
        <v>0,000135678214993585</v>
      </c>
      <c r="J63" s="424" t="str">
        <f ca="1"/>
        <v>0,000468875532426774</v>
      </c>
      <c r="K63" s="436" t="str">
        <f ca="1"/>
        <v>0,289369364810637</v>
      </c>
      <c r="L63" s="436" t="str">
        <f ca="1"/>
        <v>0,289369364810637</v>
      </c>
      <c r="M63" s="436" t="str">
        <f ca="1"/>
        <v>-0,000115588598006866</v>
      </c>
      <c r="N63" s="437" t="str">
        <f ca="1"/>
        <v>ENERGIEBADENWUERTTEMBERG_MMR.EUR.SU</v>
      </c>
      <c r="P63" s="455" t="str" cm="1">
        <f t="array" aca="1" ref="P63:T63" ca="1">IF(AND($Q$12,B87&lt;=$C$17,C87&lt;&gt;""),TRANSPOSE(INDEX(GetCDS(C87,$C$6,$C$29,F87,D87,$C$13,$C$14,$C$15,$C$8,,,TRUE,TRUE,FALSE,$C$29:$C$31,$C$33),{1;2;3;4;5})),"")</f>
        <v>0</v>
      </c>
      <c r="Q63" s="456" t="str">
        <f ca="1"/>
        <v>0,0100455764728056</v>
      </c>
      <c r="R63" s="456" t="str">
        <f ca="1"/>
        <v>0,0100455764728056</v>
      </c>
      <c r="S63" s="457" t="str">
        <f ca="1"/>
        <v>0,00228600094661938</v>
      </c>
      <c r="T63" s="458" t="str">
        <f ca="1"/>
        <v>4,39438858836055</v>
      </c>
      <c r="U63" s="459">
        <f t="shared" ca="1" si="4"/>
        <v>0.11820417753757299</v>
      </c>
      <c r="V63" s="460">
        <f t="shared" ca="1" si="0"/>
        <v>-1.1874291048587814E-3</v>
      </c>
      <c r="W63" s="459">
        <f t="shared" ca="1" si="1"/>
        <v>9.6456454936879002E-2</v>
      </c>
      <c r="X63" s="461">
        <f t="shared" ca="1" si="2"/>
        <v>2.171700899288411E-3</v>
      </c>
      <c r="Y63" s="460">
        <f t="shared" ca="1" si="3"/>
        <v>-4.8448034718207314E-5</v>
      </c>
      <c r="Z63" s="79"/>
    </row>
    <row r="64" spans="1:26" customFormat="1" ht="14.5">
      <c r="A64" s="232"/>
      <c r="B64" s="295">
        <v>26</v>
      </c>
      <c r="C64" s="265" t="s">
        <v>114</v>
      </c>
      <c r="D64" s="266">
        <v>1</v>
      </c>
      <c r="E64" s="256"/>
      <c r="F64" s="239">
        <v>0.4</v>
      </c>
      <c r="G64" s="469">
        <v>100</v>
      </c>
      <c r="H64" s="405">
        <v>50</v>
      </c>
      <c r="I64" s="424" t="str">
        <f ca="1"/>
        <v>0,000141173746498224</v>
      </c>
      <c r="J64" s="424" t="str">
        <f ca="1"/>
        <v>0,000468042719854817</v>
      </c>
      <c r="K64" s="436" t="str">
        <f ca="1"/>
        <v>0,301625771557808</v>
      </c>
      <c r="L64" s="436" t="str">
        <f ca="1"/>
        <v>0,301625771557808</v>
      </c>
      <c r="M64" s="436" t="str">
        <f ca="1"/>
        <v>-0,000127392391089965</v>
      </c>
      <c r="N64" s="437" t="str">
        <f ca="1"/>
        <v>EON_MMR.EUR.SU</v>
      </c>
      <c r="P64" s="455" t="str" cm="1">
        <f t="array" aca="1" ref="P64:T64" ca="1">IF(AND($Q$12,B88&lt;=$C$17,C88&lt;&gt;""),TRANSPOSE(INDEX(GetCDS(C88,$C$6,$C$29,F88,D88,$C$13,$C$14,$C$15,$C$8,,,TRUE,TRUE,FALSE,$C$29:$C$31,$C$33),{1;2;3;4;5})),"")</f>
        <v>0</v>
      </c>
      <c r="Q64" s="456" t="str">
        <f ca="1"/>
        <v>0,0109507737243776</v>
      </c>
      <c r="R64" s="456" t="str">
        <f ca="1"/>
        <v>0,0109507737243776</v>
      </c>
      <c r="S64" s="457" t="str">
        <f ca="1"/>
        <v>0,00249371704236879</v>
      </c>
      <c r="T64" s="458" t="str">
        <f ca="1"/>
        <v>4,39134574545612</v>
      </c>
      <c r="U64" s="459">
        <f t="shared" ca="1" si="4"/>
        <v>0.11820417753757299</v>
      </c>
      <c r="V64" s="460">
        <f t="shared" ca="1" si="0"/>
        <v>-1.2944272014901198E-3</v>
      </c>
      <c r="W64" s="459">
        <f t="shared" ca="1" si="1"/>
        <v>0.10054192385260267</v>
      </c>
      <c r="X64" s="461">
        <f t="shared" ca="1" si="2"/>
        <v>2.3690311902503504E-3</v>
      </c>
      <c r="Y64" s="460">
        <f t="shared" ca="1" si="3"/>
        <v>-5.505059289617274E-5</v>
      </c>
      <c r="Z64" s="79"/>
    </row>
    <row r="65" spans="1:26" customFormat="1" ht="14.5">
      <c r="A65" s="232"/>
      <c r="B65" s="295">
        <v>27</v>
      </c>
      <c r="C65" s="265" t="s">
        <v>115</v>
      </c>
      <c r="D65" s="266">
        <v>1</v>
      </c>
      <c r="E65" s="256"/>
      <c r="F65" s="239">
        <v>0.4</v>
      </c>
      <c r="G65" s="469">
        <v>100</v>
      </c>
      <c r="H65" s="405">
        <v>51</v>
      </c>
      <c r="I65" s="424" t="str">
        <f ca="1"/>
        <v>0,000147087100416043</v>
      </c>
      <c r="J65" s="424" t="str">
        <f ca="1"/>
        <v>0,000467158772893319</v>
      </c>
      <c r="K65" s="436" t="str">
        <f ca="1"/>
        <v>0,314854625345186</v>
      </c>
      <c r="L65" s="436" t="str">
        <f ca="1"/>
        <v>0,314854625345186</v>
      </c>
      <c r="M65" s="436" t="str">
        <f ca="1"/>
        <v>-0,000142743133216472</v>
      </c>
      <c r="N65" s="437" t="str">
        <f ca="1"/>
        <v>FORTUMOYJ_MMR.EUR.SU</v>
      </c>
      <c r="P65" s="455" t="str" cm="1">
        <f t="array" aca="1" ref="P65:T65" ca="1">IF(AND($Q$12,B89&lt;=$C$17,C89&lt;&gt;""),TRANSPOSE(INDEX(GetCDS(C89,$C$6,$C$29,F89,D89,$C$13,$C$14,$C$15,$C$8,,,TRUE,TRUE,FALSE,$C$29:$C$31,$C$33),{1;2;3;4;5})),"")</f>
        <v>0</v>
      </c>
      <c r="Q65" s="456" t="str">
        <f ca="1"/>
        <v>0,012320655486417</v>
      </c>
      <c r="R65" s="456" t="str">
        <f ca="1"/>
        <v>0,012320655486417</v>
      </c>
      <c r="S65" s="457" t="str">
        <f ca="1"/>
        <v>0,00280514904334446</v>
      </c>
      <c r="T65" s="458" t="str">
        <f ca="1"/>
        <v>4,39215717098854</v>
      </c>
      <c r="U65" s="459">
        <f t="shared" ca="1" si="4"/>
        <v>0.11820417753757299</v>
      </c>
      <c r="V65" s="460">
        <f t="shared" ca="1" si="0"/>
        <v>-1.456352948495709E-3</v>
      </c>
      <c r="W65" s="459">
        <f t="shared" ca="1" si="1"/>
        <v>0.10495154178172866</v>
      </c>
      <c r="X65" s="461">
        <f t="shared" ca="1" si="2"/>
        <v>2.6648915911772369E-3</v>
      </c>
      <c r="Y65" s="460">
        <f t="shared" ca="1" si="3"/>
        <v>-6.4653589453048932E-5</v>
      </c>
      <c r="Z65" s="79"/>
    </row>
    <row r="66" spans="1:26" customFormat="1" ht="14.5">
      <c r="A66" s="232"/>
      <c r="B66" s="295">
        <v>28</v>
      </c>
      <c r="C66" s="265" t="s">
        <v>116</v>
      </c>
      <c r="D66" s="266">
        <v>1</v>
      </c>
      <c r="E66" s="256"/>
      <c r="F66" s="239">
        <v>0.4</v>
      </c>
      <c r="G66" s="469">
        <v>100</v>
      </c>
      <c r="H66" s="405">
        <v>52</v>
      </c>
      <c r="I66" s="424" t="str">
        <f ca="1"/>
        <v>0,000155000585775334</v>
      </c>
      <c r="J66" s="424" t="str">
        <f ca="1"/>
        <v>0,000465848829800457</v>
      </c>
      <c r="K66" s="436" t="str">
        <f ca="1"/>
        <v>0,332727219346515</v>
      </c>
      <c r="L66" s="436" t="str">
        <f ca="1"/>
        <v>0,332727219346515</v>
      </c>
      <c r="M66" s="436" t="str">
        <f ca="1"/>
        <v>-0,000161192498439866</v>
      </c>
      <c r="N66" s="437" t="str">
        <f ca="1"/>
        <v>FRANCETELECOM_MMR.EUR.SU</v>
      </c>
      <c r="P66" s="455" t="str" cm="1">
        <f t="array" aca="1" ref="P66:T66" ca="1">IF(AND($Q$12,B90&lt;=$C$17,C90&lt;&gt;""),TRANSPOSE(INDEX(GetCDS(C90,$C$6,$C$29,F90,D90,$C$13,$C$14,$C$15,$C$8,,,TRUE,TRUE,FALSE,$C$29:$C$31,$C$33),{1;2;3;4;5})),"")</f>
        <v>0</v>
      </c>
      <c r="Q66" s="456" t="str">
        <f ca="1"/>
        <v>0,0136673460719228</v>
      </c>
      <c r="R66" s="456" t="str">
        <f ca="1"/>
        <v>0,0136673460719228</v>
      </c>
      <c r="S66" s="457" t="str">
        <f ca="1"/>
        <v>0,00311664953183855</v>
      </c>
      <c r="T66" s="458" t="str">
        <f ca="1"/>
        <v>4,3852688383157</v>
      </c>
      <c r="U66" s="459">
        <f t="shared" ca="1" si="4"/>
        <v>0.11820417753757299</v>
      </c>
      <c r="V66" s="460">
        <f t="shared" ca="1" si="0"/>
        <v>-1.6155374015530146E-3</v>
      </c>
      <c r="W66" s="459">
        <f t="shared" ca="1" si="1"/>
        <v>0.11090907311550501</v>
      </c>
      <c r="X66" s="461">
        <f t="shared" ca="1" si="2"/>
        <v>2.9608170552466225E-3</v>
      </c>
      <c r="Y66" s="460">
        <f t="shared" ca="1" si="3"/>
        <v>-7.5791634239289932E-5</v>
      </c>
      <c r="Z66" s="79"/>
    </row>
    <row r="67" spans="1:26" customFormat="1" ht="14.5">
      <c r="A67" s="232"/>
      <c r="B67" s="295">
        <v>29</v>
      </c>
      <c r="C67" s="265" t="s">
        <v>117</v>
      </c>
      <c r="D67" s="266">
        <v>1</v>
      </c>
      <c r="E67" s="256"/>
      <c r="F67" s="239">
        <v>0.4</v>
      </c>
      <c r="G67" s="469">
        <v>100</v>
      </c>
      <c r="H67" s="405">
        <v>53</v>
      </c>
      <c r="I67" s="424" t="str">
        <f ca="1"/>
        <v>0,00013697835338149</v>
      </c>
      <c r="J67" s="424" t="str">
        <f ca="1"/>
        <v>0,000468716665500352</v>
      </c>
      <c r="K67" s="436" t="str">
        <f ca="1"/>
        <v>0,292241269542372</v>
      </c>
      <c r="L67" s="436" t="str">
        <f ca="1"/>
        <v>0,292241269542372</v>
      </c>
      <c r="M67" s="436" t="str">
        <f ca="1"/>
        <v>-0,000119801828260457</v>
      </c>
      <c r="N67" s="437" t="str">
        <f ca="1"/>
        <v>GALLAHERGROUPPLC_MMR.EUR.SU</v>
      </c>
      <c r="P67" s="455" t="str" cm="1">
        <f t="array" aca="1" ref="P67:T67" ca="1">IF(AND($Q$12,B91&lt;=$C$17,C91&lt;&gt;""),TRANSPOSE(INDEX(GetCDS(C91,$C$6,$C$29,F91,D91,$C$13,$C$14,$C$15,$C$8,,,TRUE,TRUE,FALSE,$C$29:$C$31,$C$33),{1;2;3;4;5})),"")</f>
        <v>0</v>
      </c>
      <c r="Q67" s="456" t="str">
        <f ca="1"/>
        <v>0,0105070826258628</v>
      </c>
      <c r="R67" s="456" t="str">
        <f ca="1"/>
        <v>0,0105070826258628</v>
      </c>
      <c r="S67" s="457" t="str">
        <f ca="1"/>
        <v>0,00238980445653345</v>
      </c>
      <c r="T67" s="458" t="str">
        <f ca="1"/>
        <v>4,39662860161536</v>
      </c>
      <c r="U67" s="459">
        <f t="shared" ca="1" si="4"/>
        <v>0.11820417753757299</v>
      </c>
      <c r="V67" s="460">
        <f t="shared" ca="1" si="0"/>
        <v>-1.2419810601094373E-3</v>
      </c>
      <c r="W67" s="459">
        <f t="shared" ca="1" si="1"/>
        <v>9.7413756514123997E-2</v>
      </c>
      <c r="X67" s="461">
        <f t="shared" ca="1" si="2"/>
        <v>2.2703142337067773E-3</v>
      </c>
      <c r="Y67" s="460">
        <f t="shared" ca="1" si="3"/>
        <v>-5.117671942947928E-5</v>
      </c>
      <c r="Z67" s="79"/>
    </row>
    <row r="68" spans="1:26" customFormat="1" ht="14.5">
      <c r="A68" s="232"/>
      <c r="B68" s="295">
        <v>30</v>
      </c>
      <c r="C68" s="265" t="s">
        <v>118</v>
      </c>
      <c r="D68" s="266">
        <v>1</v>
      </c>
      <c r="E68" s="256"/>
      <c r="F68" s="239">
        <v>0.4</v>
      </c>
      <c r="G68" s="469">
        <v>100</v>
      </c>
      <c r="H68" s="405">
        <v>54</v>
      </c>
      <c r="I68" s="424" t="str">
        <f ca="1"/>
        <v>0,000128912093483224</v>
      </c>
      <c r="J68" s="424" t="str">
        <f ca="1"/>
        <v>0,000469798800861466</v>
      </c>
      <c r="K68" s="436" t="str">
        <f ca="1"/>
        <v>0,274398515379007</v>
      </c>
      <c r="L68" s="436" t="str">
        <f ca="1"/>
        <v>0,274398515379007</v>
      </c>
      <c r="M68" s="436" t="str">
        <f ca="1"/>
        <v>-0,000102674828629934</v>
      </c>
      <c r="N68" s="437" t="str">
        <f ca="1"/>
        <v>GASNATURALSDGSA_MMR.EUR.SU</v>
      </c>
      <c r="P68" s="455" t="str" cm="1">
        <f t="array" aca="1" ref="P68:T68" ca="1">IF(AND($Q$12,B92&lt;=$C$17,C92&lt;&gt;""),TRANSPOSE(INDEX(GetCDS(C92,$C$6,$C$29,F92,D92,$C$13,$C$14,$C$15,$C$8,,,TRUE,TRUE,FALSE,$C$29:$C$31,$C$33),{1;2;3;4;5})),"")</f>
        <v>0</v>
      </c>
      <c r="Q68" s="456" t="str">
        <f ca="1"/>
        <v>0,00914374785306759</v>
      </c>
      <c r="R68" s="456" t="str">
        <f ca="1"/>
        <v>0,00914374785306759</v>
      </c>
      <c r="S68" s="457" t="str">
        <f ca="1"/>
        <v>0,00207825538317126</v>
      </c>
      <c r="T68" s="458" t="str">
        <f ca="1"/>
        <v>4,39972292486736</v>
      </c>
      <c r="U68" s="459">
        <f t="shared" ca="1" si="4"/>
        <v>0.11820417753757299</v>
      </c>
      <c r="V68" s="460">
        <f t="shared" ca="1" si="0"/>
        <v>-1.0808291945828036E-3</v>
      </c>
      <c r="W68" s="459">
        <f t="shared" ca="1" si="1"/>
        <v>9.1466171793002329E-2</v>
      </c>
      <c r="X68" s="461">
        <f t="shared" ca="1" si="2"/>
        <v>1.974342614012697E-3</v>
      </c>
      <c r="Y68" s="460">
        <f t="shared" ca="1" si="3"/>
        <v>-4.1817180598028865E-5</v>
      </c>
      <c r="Z68" s="79"/>
    </row>
    <row r="69" spans="1:26" customFormat="1" ht="14.5">
      <c r="A69" s="232"/>
      <c r="B69" s="295">
        <v>31</v>
      </c>
      <c r="C69" s="265" t="s">
        <v>119</v>
      </c>
      <c r="D69" s="266">
        <v>1</v>
      </c>
      <c r="E69" s="256"/>
      <c r="F69" s="239">
        <v>0.4</v>
      </c>
      <c r="G69" s="469">
        <v>100</v>
      </c>
      <c r="H69" s="405">
        <v>55</v>
      </c>
      <c r="I69" s="424" t="str">
        <f ca="1"/>
        <v>0,000131822351459232</v>
      </c>
      <c r="J69" s="424" t="str">
        <f ca="1"/>
        <v>0,000469408067167273</v>
      </c>
      <c r="K69" s="436" t="str">
        <f ca="1"/>
        <v>0,280826770308268</v>
      </c>
      <c r="L69" s="436" t="str">
        <f ca="1"/>
        <v>0,280826770308268</v>
      </c>
      <c r="M69" s="436" t="str">
        <f ca="1"/>
        <v>-0,000108618872244404</v>
      </c>
      <c r="N69" s="437" t="str">
        <f ca="1"/>
        <v>GAZDEFRANCE_MMR.EUR.SU</v>
      </c>
      <c r="P69" s="455" t="str" cm="1">
        <f t="array" aca="1" ref="P69:T69" ca="1">IF(AND($Q$12,B93&lt;=$C$17,C93&lt;&gt;""),TRANSPOSE(INDEX(GetCDS(C93,$C$6,$C$29,F93,D93,$C$13,$C$14,$C$15,$C$8,,,TRUE,TRUE,FALSE,$C$29:$C$31,$C$33),{1;2;3;4;5})),"")</f>
        <v>0</v>
      </c>
      <c r="Q69" s="456" t="str">
        <f ca="1"/>
        <v>0,00959741879015059</v>
      </c>
      <c r="R69" s="456" t="str">
        <f ca="1"/>
        <v>0,00959741879015059</v>
      </c>
      <c r="S69" s="457" t="str">
        <f ca="1"/>
        <v>0,00218211736133196</v>
      </c>
      <c r="T69" s="458" t="str">
        <f ca="1"/>
        <v>4,39821384505751</v>
      </c>
      <c r="U69" s="459">
        <f t="shared" ca="1" si="4"/>
        <v>0.11820417753757299</v>
      </c>
      <c r="V69" s="460">
        <f t="shared" ca="1" si="0"/>
        <v>-1.1344549945733991E-3</v>
      </c>
      <c r="W69" s="459">
        <f t="shared" ca="1" si="1"/>
        <v>9.3608923436089342E-2</v>
      </c>
      <c r="X69" s="461">
        <f t="shared" ca="1" si="2"/>
        <v>2.0730114932653618E-3</v>
      </c>
      <c r="Y69" s="460">
        <f t="shared" ca="1" si="3"/>
        <v>-4.4920202035564653E-5</v>
      </c>
      <c r="Z69" s="79"/>
    </row>
    <row r="70" spans="1:26" customFormat="1" ht="14.5">
      <c r="A70" s="232"/>
      <c r="B70" s="295">
        <v>32</v>
      </c>
      <c r="C70" s="265" t="s">
        <v>120</v>
      </c>
      <c r="D70" s="266">
        <v>1</v>
      </c>
      <c r="E70" s="256"/>
      <c r="F70" s="239">
        <v>0.4</v>
      </c>
      <c r="G70" s="469">
        <v>100</v>
      </c>
      <c r="H70" s="405">
        <v>56</v>
      </c>
      <c r="I70" s="424" t="str">
        <f ca="1"/>
        <v>0,000157695452321227</v>
      </c>
      <c r="J70" s="424" t="str">
        <f ca="1"/>
        <v>0,000465323385893698</v>
      </c>
      <c r="K70" s="436" t="str">
        <f ca="1"/>
        <v>0,338894319739288</v>
      </c>
      <c r="L70" s="436" t="str">
        <f ca="1"/>
        <v>0,338894319739288</v>
      </c>
      <c r="M70" s="436" t="str">
        <f ca="1"/>
        <v>-0,000167753156787454</v>
      </c>
      <c r="N70" s="437" t="str">
        <f ca="1"/>
        <v>GENERALI_MMR.EUR.SU</v>
      </c>
      <c r="P70" s="455" t="str" cm="1">
        <f t="array" aca="1" ref="P70:T70" ca="1">IF(AND($Q$12,B94&lt;=$C$17,C94&lt;&gt;""),TRANSPOSE(INDEX(GetCDS(C94,$C$6,$C$29,F94,D94,$C$13,$C$14,$C$15,$C$8,,,TRUE,TRUE,FALSE,$C$29:$C$31,$C$33),{1;2;3;4;5})),"")</f>
        <v>0</v>
      </c>
      <c r="Q70" s="456" t="str">
        <f ca="1"/>
        <v>0,0141116660314822</v>
      </c>
      <c r="R70" s="456" t="str">
        <f ca="1"/>
        <v>0,0141116660314822</v>
      </c>
      <c r="S70" s="457" t="str">
        <f ca="1"/>
        <v>0,00322051065505501</v>
      </c>
      <c r="T70" s="458" t="str">
        <f ca="1"/>
        <v>4,38181007391859</v>
      </c>
      <c r="U70" s="459">
        <f t="shared" ca="1" si="4"/>
        <v>0.11820417753757299</v>
      </c>
      <c r="V70" s="460">
        <f t="shared" ca="1" si="0"/>
        <v>-1.6680578769362601E-3</v>
      </c>
      <c r="W70" s="459">
        <f t="shared" ca="1" si="1"/>
        <v>0.11296477324642934</v>
      </c>
      <c r="X70" s="461">
        <f t="shared" ca="1" si="2"/>
        <v>3.0594851223022593E-3</v>
      </c>
      <c r="Y70" s="460">
        <f t="shared" ca="1" si="3"/>
        <v>-7.9706057668786439E-5</v>
      </c>
      <c r="Z70" s="79"/>
    </row>
    <row r="71" spans="1:26" customFormat="1" ht="14.5">
      <c r="A71" s="232"/>
      <c r="B71" s="295">
        <v>33</v>
      </c>
      <c r="C71" s="265" t="s">
        <v>121</v>
      </c>
      <c r="D71" s="266">
        <v>1</v>
      </c>
      <c r="E71" s="256"/>
      <c r="F71" s="239">
        <v>0.4</v>
      </c>
      <c r="G71" s="469">
        <v>100</v>
      </c>
      <c r="H71" s="405">
        <v>57</v>
      </c>
      <c r="I71" s="424" t="str">
        <f ca="1"/>
        <v>0,000197661036152108</v>
      </c>
      <c r="J71" s="424" t="str">
        <f ca="1"/>
        <v>0,000455156732521971</v>
      </c>
      <c r="K71" s="436" t="str">
        <f ca="1"/>
        <v>0,434270267863316</v>
      </c>
      <c r="L71" s="436" t="str">
        <f ca="1"/>
        <v>0,434270267863316</v>
      </c>
      <c r="M71" s="436" t="str">
        <f ca="1"/>
        <v>-0,000294198935369083</v>
      </c>
      <c r="N71" s="437" t="str">
        <f ca="1"/>
        <v>GKN HOLDINGS  PLC_MMR.EUR.SU</v>
      </c>
      <c r="P71" s="455" t="str" cm="1">
        <f t="array" aca="1" ref="P71:T71" ca="1">IF(AND($Q$12,B95&lt;=$C$17,C95&lt;&gt;""),TRANSPOSE(INDEX(GetCDS(C95,$C$6,$C$29,F95,D95,$C$13,$C$14,$C$15,$C$8,,,TRUE,TRUE,FALSE,$C$29:$C$31,$C$33),{1;2;3;4;5})),"")</f>
        <v>0</v>
      </c>
      <c r="Q71" s="456" t="str">
        <f ca="1"/>
        <v>0,0248808596983573</v>
      </c>
      <c r="R71" s="456" t="str">
        <f ca="1"/>
        <v>0,0248808596983573</v>
      </c>
      <c r="S71" s="457" t="str">
        <f ca="1"/>
        <v>0,00571035352770467</v>
      </c>
      <c r="T71" s="458" t="str">
        <f ca="1"/>
        <v>4,35714874353119</v>
      </c>
      <c r="U71" s="459">
        <f t="shared" ca="1" si="4"/>
        <v>0.11820417753757299</v>
      </c>
      <c r="V71" s="460">
        <f t="shared" ca="1" si="0"/>
        <v>-2.9410215570720715E-3</v>
      </c>
      <c r="W71" s="459">
        <f t="shared" ca="1" si="1"/>
        <v>0.14475675595443868</v>
      </c>
      <c r="X71" s="461">
        <f t="shared" ca="1" si="2"/>
        <v>5.4248358513194362E-3</v>
      </c>
      <c r="Y71" s="460">
        <f t="shared" ca="1" si="3"/>
        <v>-1.8008362676458727E-4</v>
      </c>
      <c r="Z71" s="79"/>
    </row>
    <row r="72" spans="1:26" customFormat="1" ht="14.5">
      <c r="A72" s="232"/>
      <c r="B72" s="295">
        <v>34</v>
      </c>
      <c r="C72" s="265" t="s">
        <v>122</v>
      </c>
      <c r="D72" s="266">
        <v>1</v>
      </c>
      <c r="E72" s="256"/>
      <c r="F72" s="239">
        <v>0.4</v>
      </c>
      <c r="G72" s="469">
        <v>100</v>
      </c>
      <c r="H72" s="405">
        <v>58</v>
      </c>
      <c r="I72" s="424" t="str">
        <f ca="1"/>
        <v>0,00020468391945716</v>
      </c>
      <c r="J72" s="424" t="str">
        <f ca="1"/>
        <v>0,000453032875264569</v>
      </c>
      <c r="K72" s="436" t="str">
        <f ca="1"/>
        <v>0,451808093038779</v>
      </c>
      <c r="L72" s="436" t="str">
        <f ca="1"/>
        <v>0,451808093038779</v>
      </c>
      <c r="M72" s="436" t="str">
        <f ca="1"/>
        <v>-0,000319533019785445</v>
      </c>
      <c r="N72" s="437" t="str">
        <f ca="1"/>
        <v>GLENCOREINTAG_MMR.EUR.SU</v>
      </c>
      <c r="P72" s="455" t="str" cm="1">
        <f t="array" aca="1" ref="P72:T72" ca="1">IF(AND($Q$12,B96&lt;=$C$17,C96&lt;&gt;""),TRANSPOSE(INDEX(GetCDS(C96,$C$6,$C$29,F96,D96,$C$13,$C$14,$C$15,$C$8,,,TRUE,TRUE,FALSE,$C$29:$C$31,$C$33),{1;2;3;4;5})),"")</f>
        <v>0</v>
      </c>
      <c r="Q72" s="456" t="str">
        <f ca="1"/>
        <v>0,0270816851340175</v>
      </c>
      <c r="R72" s="456" t="str">
        <f ca="1"/>
        <v>0,0270816851340175</v>
      </c>
      <c r="S72" s="457" t="str">
        <f ca="1"/>
        <v>0,00622880522542092</v>
      </c>
      <c r="T72" s="458" t="str">
        <f ca="1"/>
        <v>4,34781377068785</v>
      </c>
      <c r="U72" s="459">
        <f t="shared" ca="1" si="4"/>
        <v>0.11820417753757299</v>
      </c>
      <c r="V72" s="460">
        <f t="shared" ca="1" si="0"/>
        <v>-3.2011683175980576E-3</v>
      </c>
      <c r="W72" s="459">
        <f t="shared" ca="1" si="1"/>
        <v>0.150602697679593</v>
      </c>
      <c r="X72" s="461">
        <f t="shared" ca="1" si="2"/>
        <v>5.9173649641498741E-3</v>
      </c>
      <c r="Y72" s="460">
        <f t="shared" ca="1" si="3"/>
        <v>-2.0392874194461843E-4</v>
      </c>
      <c r="Z72" s="79"/>
    </row>
    <row r="73" spans="1:26" customFormat="1" ht="14.5">
      <c r="A73" s="232"/>
      <c r="B73" s="295">
        <v>35</v>
      </c>
      <c r="C73" s="265" t="s">
        <v>123</v>
      </c>
      <c r="D73" s="266">
        <v>1</v>
      </c>
      <c r="E73" s="256"/>
      <c r="F73" s="239">
        <v>0.4</v>
      </c>
      <c r="G73" s="469">
        <v>100</v>
      </c>
      <c r="H73" s="405">
        <v>59</v>
      </c>
      <c r="I73" s="424" t="str">
        <f ca="1"/>
        <v>0,000164400956539778</v>
      </c>
      <c r="J73" s="424" t="str">
        <f ca="1"/>
        <v>0,000463942055511032</v>
      </c>
      <c r="K73" s="436" t="str">
        <f ca="1"/>
        <v>0,354356658524286</v>
      </c>
      <c r="L73" s="436" t="str">
        <f ca="1"/>
        <v>0,354356658524286</v>
      </c>
      <c r="M73" s="436" t="str">
        <f ca="1"/>
        <v>-0,000187893950362073</v>
      </c>
      <c r="N73" s="437" t="str">
        <f ca="1"/>
        <v>GREATUNIVERSALSTORES_MMR.EUR.SU</v>
      </c>
      <c r="P73" s="455" t="str" cm="1">
        <f t="array" aca="1" ref="P73:T73" ca="1">IF(AND($Q$12,B97&lt;=$C$17,C97&lt;&gt;""),TRANSPOSE(INDEX(GetCDS(C97,$C$6,$C$29,F97,D97,$C$13,$C$14,$C$15,$C$8,,,TRUE,TRUE,FALSE,$C$29:$C$31,$C$33),{1;2;3;4;5})),"")</f>
        <v>0</v>
      </c>
      <c r="Q73" s="456" t="str">
        <f ca="1"/>
        <v>0,0159346353851156</v>
      </c>
      <c r="R73" s="456" t="str">
        <f ca="1"/>
        <v>0,0159346353851156</v>
      </c>
      <c r="S73" s="457" t="str">
        <f ca="1"/>
        <v>0,00363558420671414</v>
      </c>
      <c r="T73" s="458" t="str">
        <f ca="1"/>
        <v>4,38296418927329</v>
      </c>
      <c r="U73" s="459">
        <f t="shared" ca="1" si="4"/>
        <v>0.11820417753757299</v>
      </c>
      <c r="V73" s="460">
        <f t="shared" ca="1" si="0"/>
        <v>-1.8835404700586992E-3</v>
      </c>
      <c r="W73" s="459">
        <f t="shared" ca="1" si="1"/>
        <v>0.118118886174762</v>
      </c>
      <c r="X73" s="461">
        <f t="shared" ca="1" si="2"/>
        <v>3.4538049963784329E-3</v>
      </c>
      <c r="Y73" s="460">
        <f t="shared" ca="1" si="3"/>
        <v>-9.4109069164540404E-5</v>
      </c>
      <c r="Z73" s="79"/>
    </row>
    <row r="74" spans="1:26" customFormat="1" ht="14.5">
      <c r="A74" s="232"/>
      <c r="B74" s="295">
        <v>36</v>
      </c>
      <c r="C74" s="265" t="s">
        <v>124</v>
      </c>
      <c r="D74" s="266">
        <v>1</v>
      </c>
      <c r="E74" s="256"/>
      <c r="F74" s="239">
        <v>0.4</v>
      </c>
      <c r="G74" s="469">
        <v>100</v>
      </c>
      <c r="H74" s="405">
        <v>60</v>
      </c>
      <c r="I74" s="424" t="str">
        <f ca="1"/>
        <v>0,000155691796906599</v>
      </c>
      <c r="J74" s="424" t="str">
        <f ca="1"/>
        <v>0,000465655731962511</v>
      </c>
      <c r="K74" s="436" t="str">
        <f ca="1"/>
        <v>0,334349576779468</v>
      </c>
      <c r="L74" s="436" t="str">
        <f ca="1"/>
        <v>0,334349576779468</v>
      </c>
      <c r="M74" s="436" t="str">
        <f ca="1"/>
        <v>-0,000162310657510445</v>
      </c>
      <c r="N74" s="437" t="str">
        <f ca="1"/>
        <v>HANNOVERRUECK_MMR.EUR.SU</v>
      </c>
      <c r="P74" s="455" t="str" cm="1">
        <f t="array" aca="1" ref="P74:T74" ca="1">IF(AND($Q$12,B98&lt;=$C$17,C98&lt;&gt;""),TRANSPOSE(INDEX(GetCDS(C98,$C$6,$C$29,F98,D98,$C$13,$C$14,$C$15,$C$8,,,TRUE,TRUE,FALSE,$C$29:$C$31,$C$33),{1;2;3;4;5})),"")</f>
        <v>0</v>
      </c>
      <c r="Q74" s="456" t="str">
        <f ca="1"/>
        <v>0,0136585488647186</v>
      </c>
      <c r="R74" s="456" t="str">
        <f ca="1"/>
        <v>0,0136585488647186</v>
      </c>
      <c r="S74" s="457" t="str">
        <f ca="1"/>
        <v>0,00311671748244154</v>
      </c>
      <c r="T74" s="458" t="str">
        <f ca="1"/>
        <v>4,38235064347857</v>
      </c>
      <c r="U74" s="459">
        <f t="shared" ca="1" si="4"/>
        <v>0.11820417753757299</v>
      </c>
      <c r="V74" s="460">
        <f t="shared" ca="1" si="0"/>
        <v>-1.6144975349108124E-3</v>
      </c>
      <c r="W74" s="459">
        <f t="shared" ca="1" si="1"/>
        <v>0.11144985892648934</v>
      </c>
      <c r="X74" s="461">
        <f t="shared" ca="1" si="2"/>
        <v>2.9608816083194628E-3</v>
      </c>
      <c r="Y74" s="460">
        <f t="shared" ca="1" si="3"/>
        <v>-7.6112167205672518E-5</v>
      </c>
      <c r="Z74" s="79"/>
    </row>
    <row r="75" spans="1:26" customFormat="1" ht="14.5">
      <c r="A75" s="232"/>
      <c r="B75" s="295">
        <v>37</v>
      </c>
      <c r="C75" s="265" t="s">
        <v>125</v>
      </c>
      <c r="D75" s="266">
        <v>1</v>
      </c>
      <c r="E75" s="256"/>
      <c r="F75" s="239">
        <v>0.4</v>
      </c>
      <c r="G75" s="469">
        <v>100</v>
      </c>
      <c r="H75" s="405">
        <v>61</v>
      </c>
      <c r="I75" s="424" t="str">
        <f ca="1"/>
        <v>0,000186064685261056</v>
      </c>
      <c r="J75" s="424" t="str">
        <f ca="1"/>
        <v>0,000458778251915827</v>
      </c>
      <c r="K75" s="436" t="str">
        <f ca="1"/>
        <v>0,405565617995322</v>
      </c>
      <c r="L75" s="436" t="str">
        <f ca="1"/>
        <v>0,405565617995322</v>
      </c>
      <c r="M75" s="436" t="str">
        <f ca="1"/>
        <v>-0,000253602917256912</v>
      </c>
      <c r="N75" s="437" t="str">
        <f ca="1"/>
        <v>HELLENIC TELCOM_MMR.EUR.SU</v>
      </c>
      <c r="P75" s="455" t="str" cm="1">
        <f t="array" aca="1" ref="P75:T75" ca="1">IF(AND($Q$12,B99&lt;=$C$17,C99&lt;&gt;""),TRANSPOSE(INDEX(GetCDS(C99,$C$6,$C$29,F99,D99,$C$13,$C$14,$C$15,$C$8,,,TRUE,TRUE,FALSE,$C$29:$C$31,$C$33),{1;2;3;4;5})),"")</f>
        <v>0</v>
      </c>
      <c r="Q75" s="456" t="str">
        <f ca="1"/>
        <v>0,0213101822065897</v>
      </c>
      <c r="R75" s="456" t="str">
        <f ca="1"/>
        <v>0,0213101822065897</v>
      </c>
      <c r="S75" s="457" t="str">
        <f ca="1"/>
        <v>0,00488071449460777</v>
      </c>
      <c r="T75" s="458" t="str">
        <f ca="1"/>
        <v>4,36620134821106</v>
      </c>
      <c r="U75" s="459">
        <f t="shared" ca="1" si="4"/>
        <v>0.11820417753757299</v>
      </c>
      <c r="V75" s="460">
        <f t="shared" ca="1" si="0"/>
        <v>-2.518952560905759E-3</v>
      </c>
      <c r="W75" s="459">
        <f t="shared" ca="1" si="1"/>
        <v>0.13518853933177399</v>
      </c>
      <c r="X75" s="461">
        <f t="shared" ca="1" si="2"/>
        <v>4.6366787698773814E-3</v>
      </c>
      <c r="Y75" s="460">
        <f t="shared" ca="1" si="3"/>
        <v>-1.4404462027014123E-4</v>
      </c>
      <c r="Z75" s="79"/>
    </row>
    <row r="76" spans="1:26" customFormat="1" ht="14.5">
      <c r="A76" s="232"/>
      <c r="B76" s="295">
        <v>38</v>
      </c>
      <c r="C76" s="265" t="s">
        <v>126</v>
      </c>
      <c r="D76" s="266">
        <v>1</v>
      </c>
      <c r="E76" s="256"/>
      <c r="F76" s="239">
        <v>0.4</v>
      </c>
      <c r="G76" s="469">
        <v>100</v>
      </c>
      <c r="H76" s="405">
        <v>62</v>
      </c>
      <c r="I76" s="424" t="str">
        <f ca="1"/>
        <v>0,000139487141422179</v>
      </c>
      <c r="J76" s="424" t="str">
        <f ca="1"/>
        <v>0,000468317077468163</v>
      </c>
      <c r="K76" s="436" t="str">
        <f ca="1"/>
        <v>0,297847650946834</v>
      </c>
      <c r="L76" s="436" t="str">
        <f ca="1"/>
        <v>0,297847650946834</v>
      </c>
      <c r="M76" s="436" t="str">
        <f ca="1"/>
        <v>-0,00012524876596951</v>
      </c>
      <c r="N76" s="437" t="str">
        <f ca="1"/>
        <v>HENKELKG_MMR.EUR.SU</v>
      </c>
      <c r="P76" s="455" t="str" cm="1">
        <f t="array" aca="1" ref="P76:T76" ca="1">IF(AND($Q$12,B100&lt;=$C$17,C100&lt;&gt;""),TRANSPOSE(INDEX(GetCDS(C100,$C$6,$C$29,F100,D100,$C$13,$C$14,$C$15,$C$8,,,TRUE,TRUE,FALSE,$C$29:$C$31,$C$33),{1;2;3;4;5})),"")</f>
        <v>0</v>
      </c>
      <c r="Q76" s="456" t="str">
        <f ca="1"/>
        <v>0,0109627418687248</v>
      </c>
      <c r="R76" s="456" t="str">
        <f ca="1"/>
        <v>0,0109627418687248</v>
      </c>
      <c r="S76" s="457" t="str">
        <f ca="1"/>
        <v>0,00249365151860289</v>
      </c>
      <c r="T76" s="458" t="str">
        <f ca="1"/>
        <v>4,3962605788907</v>
      </c>
      <c r="U76" s="459">
        <f t="shared" ca="1" si="4"/>
        <v>0.11820417753757299</v>
      </c>
      <c r="V76" s="460">
        <f t="shared" ca="1" si="0"/>
        <v>-1.2958418861493328E-3</v>
      </c>
      <c r="W76" s="459">
        <f t="shared" ca="1" si="1"/>
        <v>9.928255031561134E-2</v>
      </c>
      <c r="X76" s="461">
        <f t="shared" ca="1" si="2"/>
        <v>2.3689689426727454E-3</v>
      </c>
      <c r="Y76" s="460">
        <f t="shared" ca="1" si="3"/>
        <v>-5.4420448558936655E-5</v>
      </c>
      <c r="Z76" s="79"/>
    </row>
    <row r="77" spans="1:26" customFormat="1" ht="14.5">
      <c r="A77" s="232"/>
      <c r="B77" s="295">
        <v>39</v>
      </c>
      <c r="C77" s="265" t="s">
        <v>127</v>
      </c>
      <c r="D77" s="266">
        <v>1</v>
      </c>
      <c r="E77" s="256"/>
      <c r="F77" s="239">
        <v>0.4</v>
      </c>
      <c r="G77" s="469">
        <v>100</v>
      </c>
      <c r="H77" s="405">
        <v>63</v>
      </c>
      <c r="I77" s="424" t="str">
        <f ca="1"/>
        <v>0,000163644096144755</v>
      </c>
      <c r="J77" s="424" t="str">
        <f ca="1"/>
        <v>0,000464221584425711</v>
      </c>
      <c r="K77" s="436" t="str">
        <f ca="1"/>
        <v>0,35251289822553</v>
      </c>
      <c r="L77" s="436" t="str">
        <f ca="1"/>
        <v>0,35251289822553</v>
      </c>
      <c r="M77" s="436" t="str">
        <f ca="1"/>
        <v>-0,000184275041934567</v>
      </c>
      <c r="N77" s="437" t="str">
        <f ca="1"/>
        <v>IBERDROLA_MMR.EUR.SU</v>
      </c>
      <c r="P77" s="455" t="str" cm="1">
        <f t="array" aca="1" ref="P77:T77" ca="1">IF(AND($Q$12,B101&lt;=$C$17,C101&lt;&gt;""),TRANSPOSE(INDEX(GetCDS(C101,$C$6,$C$29,F101,D101,$C$13,$C$14,$C$15,$C$8,,,TRUE,TRUE,FALSE,$C$29:$C$31,$C$33),{1;2;3;4;5})),"")</f>
        <v>0</v>
      </c>
      <c r="Q77" s="456" t="str">
        <f ca="1"/>
        <v>0,015466405356828</v>
      </c>
      <c r="R77" s="456" t="str">
        <f ca="1"/>
        <v>0,015466405356828</v>
      </c>
      <c r="S77" s="457" t="str">
        <f ca="1"/>
        <v>0,00353188519796308</v>
      </c>
      <c r="T77" s="458" t="str">
        <f ca="1"/>
        <v>4,37907929899529</v>
      </c>
      <c r="U77" s="459">
        <f t="shared" ca="1" si="4"/>
        <v>0.11820417753757299</v>
      </c>
      <c r="V77" s="460">
        <f t="shared" ca="1" si="0"/>
        <v>-1.8281937246665675E-3</v>
      </c>
      <c r="W77" s="459">
        <f t="shared" ca="1" si="1"/>
        <v>0.11750429940851</v>
      </c>
      <c r="X77" s="461">
        <f t="shared" ca="1" si="2"/>
        <v>3.355290938064926E-3</v>
      </c>
      <c r="Y77" s="460">
        <f t="shared" ca="1" si="3"/>
        <v>-9.0868456291105131E-5</v>
      </c>
      <c r="Z77" s="79"/>
    </row>
    <row r="78" spans="1:26" customFormat="1" ht="14.5">
      <c r="A78" s="232"/>
      <c r="B78" s="295">
        <v>40</v>
      </c>
      <c r="C78" s="265" t="s">
        <v>128</v>
      </c>
      <c r="D78" s="266">
        <v>1</v>
      </c>
      <c r="E78" s="256"/>
      <c r="F78" s="239">
        <v>0.4</v>
      </c>
      <c r="G78" s="469">
        <v>100</v>
      </c>
      <c r="H78" s="405">
        <v>64</v>
      </c>
      <c r="I78" s="424" t="str">
        <f ca="1"/>
        <v>0,000105602128335591</v>
      </c>
      <c r="J78" s="424" t="str">
        <f ca="1"/>
        <v>0,000472369330694297</v>
      </c>
      <c r="K78" s="436" t="str">
        <f ca="1"/>
        <v>0,22355839271016</v>
      </c>
      <c r="L78" s="436" t="str">
        <f ca="1"/>
        <v>0,22355839271016</v>
      </c>
      <c r="M78" s="436" t="str">
        <f ca="1"/>
        <v>-6,23520905885577E-05</v>
      </c>
      <c r="N78" s="437" t="str">
        <f ca="1"/>
        <v>ICI_MMR.EUR.SU</v>
      </c>
      <c r="P78" s="455" t="str" cm="1">
        <f t="array" aca="1" ref="P78:T78" ca="1">IF(AND($Q$12,B102&lt;=$C$17,C102&lt;&gt;""),TRANSPOSE(INDEX(GetCDS(C102,$C$6,$C$29,F102,D102,$C$13,$C$14,$C$15,$C$8,,,TRUE,TRUE,FALSE,$C$29:$C$31,$C$33),{1;2;3;4;5})),"")</f>
        <v>1,04083408558608E-17</v>
      </c>
      <c r="Q78" s="456" t="str">
        <f ca="1"/>
        <v>0,00595559896516687</v>
      </c>
      <c r="R78" s="456" t="str">
        <f ca="1"/>
        <v>0,00595559896516686</v>
      </c>
      <c r="S78" s="457" t="str">
        <f ca="1"/>
        <v>0,00135109773279627</v>
      </c>
      <c r="T78" s="458" t="str">
        <f ca="1"/>
        <v>4,40797051212645</v>
      </c>
      <c r="U78" s="459">
        <f t="shared" ca="1" si="4"/>
        <v>0.11820417753757299</v>
      </c>
      <c r="V78" s="460">
        <f t="shared" ca="1" si="0"/>
        <v>-7.0397667742116944E-4</v>
      </c>
      <c r="W78" s="459">
        <f t="shared" ca="1" si="1"/>
        <v>7.4519464236719998E-2</v>
      </c>
      <c r="X78" s="461">
        <f t="shared" ca="1" si="2"/>
        <v>1.2835428461564565E-3</v>
      </c>
      <c r="Y78" s="460">
        <f t="shared" ca="1" si="3"/>
        <v>-2.2190402204649918E-5</v>
      </c>
      <c r="Z78" s="79"/>
    </row>
    <row r="79" spans="1:26" customFormat="1" ht="14.5">
      <c r="A79" s="232"/>
      <c r="B79" s="295">
        <v>41</v>
      </c>
      <c r="C79" s="265" t="s">
        <v>129</v>
      </c>
      <c r="D79" s="266">
        <v>1</v>
      </c>
      <c r="E79" s="256"/>
      <c r="F79" s="239">
        <v>0.4</v>
      </c>
      <c r="G79" s="469">
        <v>100</v>
      </c>
      <c r="H79" s="405">
        <v>65</v>
      </c>
      <c r="I79" s="424" t="str">
        <f ca="1"/>
        <v>0,000155854828525181</v>
      </c>
      <c r="J79" s="424" t="str">
        <f ca="1"/>
        <v>0,000465642834392093</v>
      </c>
      <c r="K79" s="436" t="str">
        <f ca="1"/>
        <v>0,334708959343598</v>
      </c>
      <c r="L79" s="436" t="str">
        <f ca="1"/>
        <v>0,334708959343598</v>
      </c>
      <c r="M79" s="436" t="str">
        <f ca="1"/>
        <v>-0,000162686862658146</v>
      </c>
      <c r="N79" s="437" t="str">
        <f ca="1"/>
        <v>INTESA_MMR.EUR.SU</v>
      </c>
      <c r="P79" s="455" t="str" cm="1">
        <f t="array" aca="1" ref="P79:T79" ca="1">IF(AND($Q$12,B103&lt;=$C$17,C103&lt;&gt;""),TRANSPOSE(INDEX(GetCDS(C103,$C$6,$C$29,F103,D103,$C$13,$C$14,$C$15,$C$8,,,TRUE,TRUE,FALSE,$C$29:$C$31,$C$33),{1;2;3;4;5})),"")</f>
        <v>0</v>
      </c>
      <c r="Q79" s="456" t="str">
        <f ca="1"/>
        <v>0,0136557248647699</v>
      </c>
      <c r="R79" s="456" t="str">
        <f ca="1"/>
        <v>0,0136557248647699</v>
      </c>
      <c r="S79" s="457" t="str">
        <f ca="1"/>
        <v>0,0031167263968542</v>
      </c>
      <c r="T79" s="458" t="str">
        <f ca="1"/>
        <v>4,38143203027157</v>
      </c>
      <c r="U79" s="459">
        <f t="shared" ca="1" si="4"/>
        <v>0.11820417753757299</v>
      </c>
      <c r="V79" s="460">
        <f t="shared" ca="1" si="0"/>
        <v>-1.6141637263195105E-3</v>
      </c>
      <c r="W79" s="459">
        <f t="shared" ca="1" si="1"/>
        <v>0.11156965311453267</v>
      </c>
      <c r="X79" s="461">
        <f t="shared" ca="1" si="2"/>
        <v>2.9608900770114899E-3</v>
      </c>
      <c r="Y79" s="460">
        <f t="shared" ca="1" si="3"/>
        <v>-7.6178224309493751E-5</v>
      </c>
      <c r="Z79" s="79"/>
    </row>
    <row r="80" spans="1:26" customFormat="1" ht="14.5">
      <c r="A80" s="232"/>
      <c r="B80" s="295">
        <v>42</v>
      </c>
      <c r="C80" s="265" t="s">
        <v>130</v>
      </c>
      <c r="D80" s="266">
        <v>1</v>
      </c>
      <c r="E80" s="256"/>
      <c r="F80" s="239">
        <v>0.4</v>
      </c>
      <c r="G80" s="469">
        <v>100</v>
      </c>
      <c r="H80" s="405">
        <v>66</v>
      </c>
      <c r="I80" s="424" t="str">
        <f ca="1"/>
        <v>0,000249964983564621</v>
      </c>
      <c r="J80" s="424" t="str">
        <f ca="1"/>
        <v>0,00044356976784189</v>
      </c>
      <c r="K80" s="436" t="str">
        <f ca="1"/>
        <v>0,56353025315675</v>
      </c>
      <c r="L80" s="436" t="str">
        <f ca="1"/>
        <v>0,56353025315675</v>
      </c>
      <c r="M80" s="436" t="str">
        <f ca="1"/>
        <v>-0,000496436007295898</v>
      </c>
      <c r="N80" s="437" t="str">
        <f ca="1"/>
        <v>KINGFISHER_MMR.EUR.SU</v>
      </c>
      <c r="P80" s="455" t="str" cm="1">
        <f t="array" aca="1" ref="P80:T80" ca="1">IF(AND($Q$12,B104&lt;=$C$17,C104&lt;&gt;""),TRANSPOSE(INDEX(GetCDS(C104,$C$6,$C$29,F104,D104,$C$13,$C$14,$C$15,$C$8,,,TRUE,TRUE,FALSE,$C$29:$C$31,$C$33),{1;2;3;4;5})),"")</f>
        <v>0</v>
      </c>
      <c r="Q80" s="456" t="str">
        <f ca="1"/>
        <v>0,0459253575534029</v>
      </c>
      <c r="R80" s="456" t="str">
        <f ca="1"/>
        <v>0,0459253575534029</v>
      </c>
      <c r="S80" s="457" t="str">
        <f ca="1"/>
        <v>0,0106785263886631</v>
      </c>
      <c r="T80" s="458" t="str">
        <f ca="1"/>
        <v>4,30072051909332</v>
      </c>
      <c r="U80" s="459">
        <f t="shared" ref="U80:U143" ca="1" si="5">IF($Q$12,IF(P80="","",$Q$13*D104/$C$18),"")</f>
        <v>0.11820417753757299</v>
      </c>
      <c r="V80" s="460">
        <f t="shared" ref="V80:V143" ca="1" si="6">IF($Q$12,IF(U80="","",U80*($V$10-S80)*T80),"")</f>
        <v>-5.4285691177189538E-3</v>
      </c>
      <c r="W80" s="459">
        <f t="shared" ref="W80:W143" ca="1" si="7">IF($Q$12,IF(OR(P80="",L80=""),"",L80/($C$20-$C$19)),"")</f>
        <v>0.18784341771891666</v>
      </c>
      <c r="X80" s="461">
        <f t="shared" ref="X80:X143" ca="1" si="8">IF($Q$12,IF(S80="","",S80*$Y$10),"")</f>
        <v>1.0144600069229945E-2</v>
      </c>
      <c r="Y80" s="460">
        <f t="shared" ref="Y80:Y143" ca="1" si="9">IF($Q$12,IF(W80="","",W80*(X80-S80)*T80),"")</f>
        <v>-4.3133880613972385E-4</v>
      </c>
      <c r="Z80" s="79"/>
    </row>
    <row r="81" spans="1:26" customFormat="1" ht="14.5">
      <c r="A81" s="232"/>
      <c r="B81" s="295">
        <v>43</v>
      </c>
      <c r="C81" s="265" t="s">
        <v>131</v>
      </c>
      <c r="D81" s="266">
        <v>1</v>
      </c>
      <c r="E81" s="256"/>
      <c r="F81" s="239">
        <v>0.4</v>
      </c>
      <c r="G81" s="469">
        <v>100</v>
      </c>
      <c r="H81" s="405">
        <v>67</v>
      </c>
      <c r="I81" s="424" t="str">
        <f ca="1"/>
        <v>0,000174526077428116</v>
      </c>
      <c r="J81" s="424" t="str">
        <f ca="1"/>
        <v>0,000461803608746246</v>
      </c>
      <c r="K81" s="436" t="str">
        <f ca="1"/>
        <v>0,377922723258786</v>
      </c>
      <c r="L81" s="436" t="str">
        <f ca="1"/>
        <v>0,377922723258786</v>
      </c>
      <c r="M81" s="436" t="str">
        <f ca="1"/>
        <v>-0,000216535987429101</v>
      </c>
      <c r="N81" s="437" t="str">
        <f ca="1"/>
        <v>KPN_MMR.EUR.SU</v>
      </c>
      <c r="P81" s="455" t="str" cm="1">
        <f t="array" aca="1" ref="P81:T81" ca="1">IF(AND($Q$12,B105&lt;=$C$17,C105&lt;&gt;""),TRANSPOSE(INDEX(GetCDS(C105,$C$6,$C$29,F105,D105,$C$13,$C$14,$C$15,$C$8,,,TRUE,TRUE,FALSE,$C$29:$C$31,$C$33),{1;2;3;4;5})),"")</f>
        <v>0</v>
      </c>
      <c r="Q81" s="456" t="str">
        <f ca="1"/>
        <v>0,0181716890947426</v>
      </c>
      <c r="R81" s="456" t="str">
        <f ca="1"/>
        <v>0,0181716890947426</v>
      </c>
      <c r="S81" s="457" t="str">
        <f ca="1"/>
        <v>0,00415451125369032</v>
      </c>
      <c r="T81" s="458" t="str">
        <f ca="1"/>
        <v>4,37396554855912</v>
      </c>
      <c r="U81" s="459">
        <f t="shared" ca="1" si="5"/>
        <v>0.11820417753757299</v>
      </c>
      <c r="V81" s="460">
        <f t="shared" ca="1" si="6"/>
        <v>-2.1479695639125356E-3</v>
      </c>
      <c r="W81" s="459">
        <f t="shared" ca="1" si="7"/>
        <v>0.12597424108626201</v>
      </c>
      <c r="X81" s="461">
        <f t="shared" ca="1" si="8"/>
        <v>3.9467856910058042E-3</v>
      </c>
      <c r="Y81" s="460">
        <f t="shared" ca="1" si="9"/>
        <v>-1.1445823714828519E-4</v>
      </c>
      <c r="Z81" s="79"/>
    </row>
    <row r="82" spans="1:26" customFormat="1" ht="14.5">
      <c r="A82" s="232"/>
      <c r="B82" s="295">
        <v>44</v>
      </c>
      <c r="C82" s="265" t="s">
        <v>132</v>
      </c>
      <c r="D82" s="266">
        <v>1</v>
      </c>
      <c r="E82" s="256"/>
      <c r="F82" s="239">
        <v>0.4</v>
      </c>
      <c r="G82" s="469">
        <v>100</v>
      </c>
      <c r="H82" s="405">
        <v>68</v>
      </c>
      <c r="I82" s="424" t="str">
        <f ca="1"/>
        <v>0,00019175848104529</v>
      </c>
      <c r="J82" s="424" t="str">
        <f ca="1"/>
        <v>0,000456966694376798</v>
      </c>
      <c r="K82" s="436" t="str">
        <f ca="1"/>
        <v>0,419633385550792</v>
      </c>
      <c r="L82" s="436" t="str">
        <f ca="1"/>
        <v>0,419633385550792</v>
      </c>
      <c r="M82" s="436" t="str">
        <f ca="1"/>
        <v>-0,000273563348527462</v>
      </c>
      <c r="N82" s="437" t="str">
        <f ca="1"/>
        <v>LAFARGE_MMR.EUR.SU</v>
      </c>
      <c r="P82" s="455" t="str" cm="1">
        <f t="array" aca="1" ref="P82:T82" ca="1">IF(AND($Q$12,B106&lt;=$C$17,C106&lt;&gt;""),TRANSPOSE(INDEX(GetCDS(C106,$C$6,$C$29,F106,D106,$C$13,$C$14,$C$15,$C$8,,,TRUE,TRUE,FALSE,$C$29:$C$31,$C$33),{1;2;3;4;5})),"")</f>
        <v>0</v>
      </c>
      <c r="Q82" s="456" t="str">
        <f ca="1"/>
        <v>0,023106767465623</v>
      </c>
      <c r="R82" s="456" t="str">
        <f ca="1"/>
        <v>0,023106767465623</v>
      </c>
      <c r="S82" s="457" t="str">
        <f ca="1"/>
        <v>0,0052955268004208</v>
      </c>
      <c r="T82" s="458" t="str">
        <f ca="1"/>
        <v>4,3634501979646</v>
      </c>
      <c r="U82" s="459">
        <f t="shared" ca="1" si="5"/>
        <v>0.11820417753757299</v>
      </c>
      <c r="V82" s="460">
        <f t="shared" ca="1" si="6"/>
        <v>-2.7313164438259145E-3</v>
      </c>
      <c r="W82" s="459">
        <f t="shared" ca="1" si="7"/>
        <v>0.13987779518359733</v>
      </c>
      <c r="X82" s="461">
        <f t="shared" ca="1" si="8"/>
        <v>5.0307504603997596E-3</v>
      </c>
      <c r="Y82" s="460">
        <f t="shared" ca="1" si="9"/>
        <v>-1.6160618434557132E-4</v>
      </c>
      <c r="Z82" s="79"/>
    </row>
    <row r="83" spans="1:26" customFormat="1" ht="14.5">
      <c r="A83" s="232"/>
      <c r="B83" s="295">
        <v>45</v>
      </c>
      <c r="C83" s="265" t="s">
        <v>133</v>
      </c>
      <c r="D83" s="266">
        <v>1</v>
      </c>
      <c r="E83" s="256"/>
      <c r="F83" s="239">
        <v>0.4</v>
      </c>
      <c r="G83" s="469">
        <v>100</v>
      </c>
      <c r="H83" s="405">
        <v>69</v>
      </c>
      <c r="I83" s="424" t="str">
        <f ca="1"/>
        <v>0,00014688393655462</v>
      </c>
      <c r="J83" s="424" t="str">
        <f ca="1"/>
        <v>0,000467230258994956</v>
      </c>
      <c r="K83" s="436" t="str">
        <f ca="1"/>
        <v>0,314371626680552</v>
      </c>
      <c r="L83" s="436" t="str">
        <f ca="1"/>
        <v>0,314371626680552</v>
      </c>
      <c r="M83" s="436" t="str">
        <f ca="1"/>
        <v>-0,000142663847469548</v>
      </c>
      <c r="N83" s="437" t="str">
        <f ca="1"/>
        <v>LINDE_MMR.EUR.SU</v>
      </c>
      <c r="P83" s="455" t="str" cm="1">
        <f t="array" aca="1" ref="P83:T83" ca="1">IF(AND($Q$12,B107&lt;=$C$17,C107&lt;&gt;""),TRANSPOSE(INDEX(GetCDS(C107,$C$6,$C$29,F107,D107,$C$13,$C$14,$C$15,$C$8,,,TRUE,TRUE,FALSE,$C$29:$C$31,$C$33),{1;2;3;4;5})),"")</f>
        <v>0</v>
      </c>
      <c r="Q83" s="456" t="str">
        <f ca="1"/>
        <v>0,0123206796175292</v>
      </c>
      <c r="R83" s="456" t="str">
        <f ca="1"/>
        <v>0,0123206796175292</v>
      </c>
      <c r="S83" s="457" t="str">
        <f ca="1"/>
        <v>0,00280513058621148</v>
      </c>
      <c r="T83" s="458" t="str">
        <f ca="1"/>
        <v>4,39219467289368</v>
      </c>
      <c r="U83" s="459">
        <f t="shared" ca="1" si="5"/>
        <v>0.11820417753757299</v>
      </c>
      <c r="V83" s="460">
        <f t="shared" ca="1" si="6"/>
        <v>-1.4563558008939771E-3</v>
      </c>
      <c r="W83" s="459">
        <f t="shared" ca="1" si="7"/>
        <v>0.10479054222685068</v>
      </c>
      <c r="X83" s="461">
        <f t="shared" ca="1" si="8"/>
        <v>2.6648740569009057E-3</v>
      </c>
      <c r="Y83" s="460">
        <f t="shared" ca="1" si="9"/>
        <v>-6.4554534886209617E-5</v>
      </c>
      <c r="Z83" s="79"/>
    </row>
    <row r="84" spans="1:26" customFormat="1" ht="14.5">
      <c r="A84" s="232"/>
      <c r="B84" s="295">
        <v>46</v>
      </c>
      <c r="C84" s="265" t="s">
        <v>134</v>
      </c>
      <c r="D84" s="266">
        <v>1</v>
      </c>
      <c r="E84" s="256"/>
      <c r="F84" s="239">
        <v>0.4</v>
      </c>
      <c r="G84" s="469">
        <v>100</v>
      </c>
      <c r="H84" s="405">
        <v>70</v>
      </c>
      <c r="I84" s="424" t="str">
        <f ca="1"/>
        <v>0,000179290420858647</v>
      </c>
      <c r="J84" s="424" t="str">
        <f ca="1"/>
        <v>0,000460625629059765</v>
      </c>
      <c r="K84" s="436" t="str">
        <f ca="1"/>
        <v>0,389232403816993</v>
      </c>
      <c r="L84" s="436" t="str">
        <f ca="1"/>
        <v>0,389232403816993</v>
      </c>
      <c r="M84" s="436" t="str">
        <f ca="1"/>
        <v>-0,000231926768143742</v>
      </c>
      <c r="N84" s="437" t="str">
        <f ca="1"/>
        <v>LUFTHANSA_MMR.EUR.SU</v>
      </c>
      <c r="P84" s="455" t="str" cm="1">
        <f t="array" aca="1" ref="P84:T84" ca="1">IF(AND($Q$12,B108&lt;=$C$17,C108&lt;&gt;""),TRANSPOSE(INDEX(GetCDS(C108,$C$6,$C$29,F108,D108,$C$13,$C$14,$C$15,$C$8,,,TRUE,TRUE,FALSE,$C$29:$C$31,$C$33),{1;2;3;4;5})),"")</f>
        <v>0</v>
      </c>
      <c r="Q84" s="456" t="str">
        <f ca="1"/>
        <v>0,0195257757199257</v>
      </c>
      <c r="R84" s="456" t="str">
        <f ca="1"/>
        <v>0,0195257757199257</v>
      </c>
      <c r="S84" s="457" t="str">
        <f ca="1"/>
        <v>0,00446570804449757</v>
      </c>
      <c r="T84" s="458" t="str">
        <f ca="1"/>
        <v>4,372380712166</v>
      </c>
      <c r="U84" s="459">
        <f t="shared" ca="1" si="5"/>
        <v>0.11820417753757299</v>
      </c>
      <c r="V84" s="460">
        <f t="shared" ca="1" si="6"/>
        <v>-2.3080282597569318E-3</v>
      </c>
      <c r="W84" s="459">
        <f t="shared" ca="1" si="7"/>
        <v>0.12974413460566434</v>
      </c>
      <c r="X84" s="461">
        <f t="shared" ca="1" si="8"/>
        <v>4.2424226422726917E-3</v>
      </c>
      <c r="Y84" s="460">
        <f t="shared" ca="1" si="9"/>
        <v>-1.2666774366430278E-4</v>
      </c>
      <c r="Z84" s="79"/>
    </row>
    <row r="85" spans="1:26" customFormat="1" ht="14.5">
      <c r="A85" s="232"/>
      <c r="B85" s="295">
        <v>47</v>
      </c>
      <c r="C85" s="265" t="s">
        <v>135</v>
      </c>
      <c r="D85" s="266">
        <v>1</v>
      </c>
      <c r="E85" s="256"/>
      <c r="F85" s="239">
        <v>0.4</v>
      </c>
      <c r="G85" s="469">
        <v>100</v>
      </c>
      <c r="H85" s="405">
        <v>71</v>
      </c>
      <c r="I85" s="424" t="str">
        <f ca="1"/>
        <v>0,000149714438654503</v>
      </c>
      <c r="J85" s="424" t="str">
        <f ca="1"/>
        <v>0,000466721261020898</v>
      </c>
      <c r="K85" s="436" t="str">
        <f ca="1"/>
        <v>0,320779126982602</v>
      </c>
      <c r="L85" s="436" t="str">
        <f ca="1"/>
        <v>0,320779126982602</v>
      </c>
      <c r="M85" s="436" t="str">
        <f ca="1"/>
        <v>-0,000148773840114247</v>
      </c>
      <c r="N85" s="437" t="str">
        <f ca="1"/>
        <v>LVMH_MMR.EUR.SU</v>
      </c>
      <c r="P85" s="455" t="str" cm="1">
        <f t="array" aca="1" ref="P85:T85" ca="1">IF(AND($Q$12,B109&lt;=$C$17,C109&lt;&gt;""),TRANSPOSE(INDEX(GetCDS(C109,$C$6,$C$29,F109,D109,$C$13,$C$14,$C$15,$C$8,,,TRUE,TRUE,FALSE,$C$29:$C$31,$C$33),{1;2;3;4;5})),"")</f>
        <v>0</v>
      </c>
      <c r="Q85" s="456" t="str">
        <f ca="1"/>
        <v>0,0127713352482995</v>
      </c>
      <c r="R85" s="456" t="str">
        <f ca="1"/>
        <v>0,0127713352482995</v>
      </c>
      <c r="S85" s="457" t="str">
        <f ca="1"/>
        <v>0,00290898267309034</v>
      </c>
      <c r="T85" s="458" t="str">
        <f ca="1"/>
        <v>4,39030983802043</v>
      </c>
      <c r="U85" s="459">
        <f t="shared" ca="1" si="5"/>
        <v>0.11820417753757299</v>
      </c>
      <c r="V85" s="460">
        <f t="shared" ca="1" si="6"/>
        <v>-1.5096251790818567E-3</v>
      </c>
      <c r="W85" s="459">
        <f t="shared" ca="1" si="7"/>
        <v>0.10692637566086734</v>
      </c>
      <c r="X85" s="461">
        <f t="shared" ca="1" si="8"/>
        <v>2.7635335394358227E-3</v>
      </c>
      <c r="Y85" s="460">
        <f t="shared" ca="1" si="9"/>
        <v>-6.8279629522527519E-5</v>
      </c>
      <c r="Z85" s="79"/>
    </row>
    <row r="86" spans="1:26" customFormat="1" ht="14.5">
      <c r="A86" s="232"/>
      <c r="B86" s="295">
        <v>48</v>
      </c>
      <c r="C86" s="265" t="s">
        <v>136</v>
      </c>
      <c r="D86" s="266">
        <v>1</v>
      </c>
      <c r="E86" s="256"/>
      <c r="F86" s="239">
        <v>0.4</v>
      </c>
      <c r="G86" s="469">
        <v>100</v>
      </c>
      <c r="H86" s="405">
        <v>72</v>
      </c>
      <c r="I86" s="424" t="str">
        <f ca="1"/>
        <v>0,000174084033217725</v>
      </c>
      <c r="J86" s="424" t="str">
        <f ca="1"/>
        <v>0,000461734110795886</v>
      </c>
      <c r="K86" s="436" t="str">
        <f ca="1"/>
        <v>0,377022249704832</v>
      </c>
      <c r="L86" s="436" t="str">
        <f ca="1"/>
        <v>0,377022249704832</v>
      </c>
      <c r="M86" s="436" t="str">
        <f ca="1"/>
        <v>-0,000215679210848174</v>
      </c>
      <c r="N86" s="437" t="str">
        <f ca="1"/>
        <v>MARKSANDSPENCERPLC_MMR.EUR.SU</v>
      </c>
      <c r="P86" s="455" t="str" cm="1">
        <f t="array" aca="1" ref="P86:T86" ca="1">IF(AND($Q$12,B110&lt;=$C$17,C110&lt;&gt;""),TRANSPOSE(INDEX(GetCDS(C110,$C$6,$C$29,F110,D110,$C$13,$C$14,$C$15,$C$8,,,TRUE,TRUE,FALSE,$C$29:$C$31,$C$33),{1;2;3;4;5})),"")</f>
        <v>0</v>
      </c>
      <c r="Q86" s="456" t="str">
        <f ca="1"/>
        <v>0,0181813968901595</v>
      </c>
      <c r="R86" s="456" t="str">
        <f ca="1"/>
        <v>0,0181813968901595</v>
      </c>
      <c r="S86" s="457" t="str">
        <f ca="1"/>
        <v>0,00415448547541144</v>
      </c>
      <c r="T86" s="458" t="str">
        <f ca="1"/>
        <v>4,37632939091186</v>
      </c>
      <c r="U86" s="459">
        <f t="shared" ca="1" si="5"/>
        <v>0.11820417753757299</v>
      </c>
      <c r="V86" s="460">
        <f t="shared" ca="1" si="6"/>
        <v>-2.1491170658854931E-3</v>
      </c>
      <c r="W86" s="459">
        <f t="shared" ca="1" si="7"/>
        <v>0.125674083234944</v>
      </c>
      <c r="X86" s="461">
        <f t="shared" ca="1" si="8"/>
        <v>3.9467612016408672E-3</v>
      </c>
      <c r="Y86" s="460">
        <f t="shared" ca="1" si="9"/>
        <v>-1.1424651930507322E-4</v>
      </c>
      <c r="Z86" s="79"/>
    </row>
    <row r="87" spans="1:26" customFormat="1" ht="14.5">
      <c r="A87" s="232"/>
      <c r="B87" s="295">
        <v>49</v>
      </c>
      <c r="C87" s="265" t="s">
        <v>137</v>
      </c>
      <c r="D87" s="266">
        <v>1</v>
      </c>
      <c r="E87" s="256"/>
      <c r="F87" s="239">
        <v>0.4</v>
      </c>
      <c r="G87" s="469">
        <v>100</v>
      </c>
      <c r="H87" s="405">
        <v>73</v>
      </c>
      <c r="I87" s="424" t="str">
        <f ca="1"/>
        <v>0,000156700707546253</v>
      </c>
      <c r="J87" s="424" t="str">
        <f ca="1"/>
        <v>0,000465537190417552</v>
      </c>
      <c r="K87" s="436" t="str">
        <f ca="1"/>
        <v>0,336601910162546</v>
      </c>
      <c r="L87" s="436" t="str">
        <f ca="1"/>
        <v>0,336601910162546</v>
      </c>
      <c r="M87" s="436" t="str">
        <f ca="1"/>
        <v>-0,000166400227602281</v>
      </c>
      <c r="N87" s="437" t="str">
        <f ca="1"/>
        <v>METRO_MMR.EUR.SU</v>
      </c>
      <c r="P87" s="455" t="str" cm="1">
        <f t="array" aca="1" ref="P87:T87" ca="1">IF(AND($Q$12,B111&lt;=$C$17,C111&lt;&gt;""),TRANSPOSE(INDEX(GetCDS(C111,$C$6,$C$29,F111,D111,$C$13,$C$14,$C$15,$C$8,,,TRUE,TRUE,FALSE,$C$29:$C$31,$C$33),{1;2;3;4;5})),"")</f>
        <v>0</v>
      </c>
      <c r="Q87" s="456" t="str">
        <f ca="1"/>
        <v>0,0141226712826786</v>
      </c>
      <c r="R87" s="456" t="str">
        <f ca="1"/>
        <v>0,0141226712826786</v>
      </c>
      <c r="S87" s="457" t="str">
        <f ca="1"/>
        <v>0,00322043094533106</v>
      </c>
      <c r="T87" s="458" t="str">
        <f ca="1"/>
        <v>4,3853358517603</v>
      </c>
      <c r="U87" s="459">
        <f t="shared" ca="1" si="5"/>
        <v>0.11820417753757299</v>
      </c>
      <c r="V87" s="460">
        <f t="shared" ca="1" si="6"/>
        <v>-1.6693587436025267E-3</v>
      </c>
      <c r="W87" s="459">
        <f t="shared" ca="1" si="7"/>
        <v>0.11220063672084866</v>
      </c>
      <c r="X87" s="461">
        <f t="shared" ca="1" si="8"/>
        <v>3.0594093980645071E-3</v>
      </c>
      <c r="Y87" s="460">
        <f t="shared" ca="1" si="9"/>
        <v>-7.9228635505789317E-5</v>
      </c>
      <c r="Z87" s="79"/>
    </row>
    <row r="88" spans="1:26" customFormat="1" ht="14.5">
      <c r="A88" s="232"/>
      <c r="B88" s="295">
        <v>50</v>
      </c>
      <c r="C88" s="265" t="s">
        <v>138</v>
      </c>
      <c r="D88" s="266">
        <v>1</v>
      </c>
      <c r="E88" s="256"/>
      <c r="F88" s="239">
        <v>0.4</v>
      </c>
      <c r="G88" s="469">
        <v>100</v>
      </c>
      <c r="H88" s="405">
        <v>74</v>
      </c>
      <c r="I88" s="424" t="str">
        <f ca="1"/>
        <v>0,000174085841709482</v>
      </c>
      <c r="J88" s="424" t="str">
        <f ca="1"/>
        <v>0,000461739372287343</v>
      </c>
      <c r="K88" s="436" t="str">
        <f ca="1"/>
        <v>0,377021870253567</v>
      </c>
      <c r="L88" s="436" t="str">
        <f ca="1"/>
        <v>0,377021870253567</v>
      </c>
      <c r="M88" s="436" t="str">
        <f ca="1"/>
        <v>-0,000215634438432799</v>
      </c>
      <c r="N88" s="437" t="str">
        <f ca="1"/>
        <v>MICHELIN_MMR.EUR.SU</v>
      </c>
      <c r="P88" s="455" t="str" cm="1">
        <f t="array" aca="1" ref="P88:T88" ca="1">IF(AND($Q$12,B112&lt;=$C$17,C112&lt;&gt;""),TRANSPOSE(INDEX(GetCDS(C112,$C$6,$C$29,F112,D112,$C$13,$C$14,$C$15,$C$8,,,TRUE,TRUE,FALSE,$C$29:$C$31,$C$33),{1;2;3;4;5})),"")</f>
        <v>0</v>
      </c>
      <c r="Q88" s="456" t="str">
        <f ca="1"/>
        <v>0,018181611828731</v>
      </c>
      <c r="R88" s="456" t="str">
        <f ca="1"/>
        <v>0,018181611828731</v>
      </c>
      <c r="S88" s="457" t="str">
        <f ca="1"/>
        <v>0,00415448621051802</v>
      </c>
      <c r="T88" s="458" t="str">
        <f ca="1"/>
        <v>4,37638035305067</v>
      </c>
      <c r="U88" s="459">
        <f t="shared" ca="1" si="5"/>
        <v>0.11820417753757299</v>
      </c>
      <c r="V88" s="460">
        <f t="shared" ca="1" si="6"/>
        <v>-2.1491424725225551E-3</v>
      </c>
      <c r="W88" s="459">
        <f t="shared" ca="1" si="7"/>
        <v>0.125673956751189</v>
      </c>
      <c r="X88" s="461">
        <f t="shared" ca="1" si="8"/>
        <v>3.946761899992119E-3</v>
      </c>
      <c r="Y88" s="460">
        <f t="shared" ca="1" si="9"/>
        <v>-1.142477549315424E-4</v>
      </c>
      <c r="Z88" s="79"/>
    </row>
    <row r="89" spans="1:26" customFormat="1" ht="14.5">
      <c r="A89" s="232"/>
      <c r="B89" s="295">
        <v>51</v>
      </c>
      <c r="C89" s="265" t="s">
        <v>139</v>
      </c>
      <c r="D89" s="266">
        <v>1</v>
      </c>
      <c r="E89" s="256"/>
      <c r="F89" s="239">
        <v>0.4</v>
      </c>
      <c r="G89" s="469">
        <v>100</v>
      </c>
      <c r="H89" s="405">
        <v>75</v>
      </c>
      <c r="I89" s="424" t="str">
        <f ca="1"/>
        <v>0,000170359799759878</v>
      </c>
      <c r="J89" s="424" t="str">
        <f ca="1"/>
        <v>0,000462717551948311</v>
      </c>
      <c r="K89" s="436" t="str">
        <f ca="1"/>
        <v>0,368172331139296</v>
      </c>
      <c r="L89" s="436" t="str">
        <f ca="1"/>
        <v>0,368172331139296</v>
      </c>
      <c r="M89" s="436" t="str">
        <f ca="1"/>
        <v>-0,000202441911657725</v>
      </c>
      <c r="N89" s="437" t="str">
        <f ca="1"/>
        <v>MONTEDEIPASCHI_MMR.EUR.SU</v>
      </c>
      <c r="P89" s="455" t="str" cm="1">
        <f t="array" aca="1" ref="P89:T89" ca="1">IF(AND($Q$12,B113&lt;=$C$17,C113&lt;&gt;""),TRANSPOSE(INDEX(GetCDS(C113,$C$6,$C$29,F113,D113,$C$13,$C$14,$C$15,$C$8,,,TRUE,TRUE,FALSE,$C$29:$C$31,$C$33),{1;2;3;4;5})),"")</f>
        <v>0</v>
      </c>
      <c r="Q89" s="456" t="str">
        <f ca="1"/>
        <v>0,0167964538613532</v>
      </c>
      <c r="R89" s="456" t="str">
        <f ca="1"/>
        <v>0,0167964538613532</v>
      </c>
      <c r="S89" s="457" t="str">
        <f ca="1"/>
        <v>0,0038433860919881</v>
      </c>
      <c r="T89" s="458" t="str">
        <f ca="1"/>
        <v>4,37022288662776</v>
      </c>
      <c r="U89" s="459">
        <f t="shared" ca="1" si="5"/>
        <v>0.11820417753757299</v>
      </c>
      <c r="V89" s="460">
        <f t="shared" ca="1" si="6"/>
        <v>-1.9854110142290492E-3</v>
      </c>
      <c r="W89" s="459">
        <f t="shared" ca="1" si="7"/>
        <v>0.12272411037976533</v>
      </c>
      <c r="X89" s="461">
        <f t="shared" ca="1" si="8"/>
        <v>3.6512167873886951E-3</v>
      </c>
      <c r="Y89" s="460">
        <f t="shared" ca="1" si="9"/>
        <v>-1.030664928834674E-4</v>
      </c>
      <c r="Z89" s="79"/>
    </row>
    <row r="90" spans="1:26" customFormat="1" ht="14.5">
      <c r="A90" s="232"/>
      <c r="B90" s="295">
        <v>52</v>
      </c>
      <c r="C90" s="265" t="s">
        <v>140</v>
      </c>
      <c r="D90" s="266">
        <v>1</v>
      </c>
      <c r="E90" s="256"/>
      <c r="F90" s="239">
        <v>0.4</v>
      </c>
      <c r="G90" s="469">
        <v>100</v>
      </c>
      <c r="H90" s="405">
        <v>76</v>
      </c>
      <c r="I90" s="424" t="str">
        <f ca="1"/>
        <v>0,000153664609377091</v>
      </c>
      <c r="J90" s="424" t="str">
        <f ca="1"/>
        <v>0,000466002512254975</v>
      </c>
      <c r="K90" s="436" t="str">
        <f ca="1"/>
        <v>0,329750602917378</v>
      </c>
      <c r="L90" s="436" t="str">
        <f ca="1"/>
        <v>0,329750602917378</v>
      </c>
      <c r="M90" s="436" t="str">
        <f ca="1"/>
        <v>-0,000156977175394224</v>
      </c>
      <c r="N90" s="437" t="str">
        <f ca="1"/>
        <v>MUNICHRE_MMR.EUR.SU</v>
      </c>
      <c r="P90" s="455" t="str" cm="1">
        <f t="array" aca="1" ref="P90:T90" ca="1">IF(AND($Q$12,B114&lt;=$C$17,C114&lt;&gt;""),TRANSPOSE(INDEX(GetCDS(C114,$C$6,$C$29,F114,D114,$C$13,$C$14,$C$15,$C$8,,,TRUE,TRUE,FALSE,$C$29:$C$31,$C$33),{1;2;3;4;5})),"")</f>
        <v>0</v>
      </c>
      <c r="Q90" s="456" t="str">
        <f ca="1"/>
        <v>0,0132045648974113</v>
      </c>
      <c r="R90" s="456" t="str">
        <f ca="1"/>
        <v>0,0132045648974113</v>
      </c>
      <c r="S90" s="457" t="str">
        <f ca="1"/>
        <v>0,00301291447933672</v>
      </c>
      <c r="T90" s="458" t="str">
        <f ca="1"/>
        <v>4,38265506305317</v>
      </c>
      <c r="U90" s="459">
        <f t="shared" ca="1" si="5"/>
        <v>0.11820417753757299</v>
      </c>
      <c r="V90" s="460">
        <f t="shared" ca="1" si="6"/>
        <v>-1.5608347334400076E-3</v>
      </c>
      <c r="W90" s="459">
        <f t="shared" ca="1" si="7"/>
        <v>0.109916867639126</v>
      </c>
      <c r="X90" s="461">
        <f t="shared" ca="1" si="8"/>
        <v>2.8622687553698837E-3</v>
      </c>
      <c r="Y90" s="460">
        <f t="shared" ca="1" si="9"/>
        <v>-7.2570220603050345E-5</v>
      </c>
      <c r="Z90" s="79"/>
    </row>
    <row r="91" spans="1:26" customFormat="1" ht="14.5">
      <c r="A91" s="232"/>
      <c r="B91" s="295">
        <v>53</v>
      </c>
      <c r="C91" s="265" t="s">
        <v>141</v>
      </c>
      <c r="D91" s="266">
        <v>1</v>
      </c>
      <c r="E91" s="256"/>
      <c r="F91" s="239">
        <v>0.4</v>
      </c>
      <c r="G91" s="469">
        <v>100</v>
      </c>
      <c r="H91" s="405">
        <v>77</v>
      </c>
      <c r="I91" s="424" t="str">
        <f ca="1"/>
        <v>0,000160755172827942</v>
      </c>
      <c r="J91" s="424" t="str">
        <f ca="1"/>
        <v>0,000464681522693744</v>
      </c>
      <c r="K91" s="436" t="str">
        <f ca="1"/>
        <v>0,345946987295835</v>
      </c>
      <c r="L91" s="436" t="str">
        <f ca="1"/>
        <v>0,345946987295835</v>
      </c>
      <c r="M91" s="436" t="str">
        <f ca="1"/>
        <v>-0,000177147832780134</v>
      </c>
      <c r="N91" s="437" t="str">
        <f ca="1"/>
        <v>NATIONALGRIDTRANSCOPLC_MMR.EUR.SU</v>
      </c>
      <c r="P91" s="455" t="str" cm="1">
        <f t="array" aca="1" ref="P91:T91" ca="1">IF(AND($Q$12,B115&lt;=$C$17,C115&lt;&gt;""),TRANSPOSE(INDEX(GetCDS(C115,$C$6,$C$29,F115,D115,$C$13,$C$14,$C$15,$C$8,,,TRUE,TRUE,FALSE,$C$29:$C$31,$C$33),{1;2;3;4;5})),"")</f>
        <v>0</v>
      </c>
      <c r="Q91" s="456" t="str">
        <f ca="1"/>
        <v>0,0150293838063469</v>
      </c>
      <c r="R91" s="456" t="str">
        <f ca="1"/>
        <v>0,0150293838063469</v>
      </c>
      <c r="S91" s="457" t="str">
        <f ca="1"/>
        <v>0,00342803607069655</v>
      </c>
      <c r="T91" s="458" t="str">
        <f ca="1"/>
        <v>4,38425486091605</v>
      </c>
      <c r="U91" s="459">
        <f t="shared" ca="1" si="5"/>
        <v>0.11820417753757299</v>
      </c>
      <c r="V91" s="460">
        <f t="shared" ca="1" si="6"/>
        <v>-1.7765359517257541E-3</v>
      </c>
      <c r="W91" s="459">
        <f t="shared" ca="1" si="7"/>
        <v>0.11531566243194501</v>
      </c>
      <c r="X91" s="461">
        <f t="shared" ca="1" si="8"/>
        <v>3.2566342671617224E-3</v>
      </c>
      <c r="Y91" s="460">
        <f t="shared" ca="1" si="9"/>
        <v>-8.665616747864203E-5</v>
      </c>
      <c r="Z91" s="79"/>
    </row>
    <row r="92" spans="1:26" customFormat="1" ht="14.5">
      <c r="A92" s="232"/>
      <c r="B92" s="295">
        <v>54</v>
      </c>
      <c r="C92" s="265" t="s">
        <v>142</v>
      </c>
      <c r="D92" s="266">
        <v>1</v>
      </c>
      <c r="E92" s="256"/>
      <c r="F92" s="239">
        <v>0.4</v>
      </c>
      <c r="G92" s="469">
        <v>100</v>
      </c>
      <c r="H92" s="405">
        <v>78</v>
      </c>
      <c r="I92" s="424" t="str">
        <f ca="1"/>
        <v>0,000200051542028956</v>
      </c>
      <c r="J92" s="424" t="str">
        <f ca="1"/>
        <v>0,000442963012142024</v>
      </c>
      <c r="K92" s="436" t="str">
        <f ca="1"/>
        <v>0,451621324005299</v>
      </c>
      <c r="L92" s="436" t="str">
        <f ca="1"/>
        <v>0,451621324005299</v>
      </c>
      <c r="M92" s="436" t="str">
        <f ca="1"/>
        <v>-0,000318370915713984</v>
      </c>
      <c r="N92" s="437" t="str">
        <f ca="1"/>
        <v>NEXTPLC_MMR.EUR.SU</v>
      </c>
      <c r="P92" s="455" t="str" cm="1">
        <f t="array" aca="1" ref="P92:T92" ca="1">IF(AND($Q$12,B116&lt;=$C$17,C116&lt;&gt;""),TRANSPOSE(INDEX(GetCDS(C116,$C$6,$C$29,F116,D116,$C$13,$C$14,$C$15,$C$8,,,TRUE,TRUE,FALSE,$C$29:$C$31,$C$33),{1;2;3;4;5})),"")</f>
        <v>0</v>
      </c>
      <c r="Q92" s="456" t="str">
        <f ca="1"/>
        <v>0,027107723697743</v>
      </c>
      <c r="R92" s="456" t="str">
        <f ca="1"/>
        <v>0,027107723697743</v>
      </c>
      <c r="S92" s="457" t="str">
        <f ca="1"/>
        <v>0,00622873793077644</v>
      </c>
      <c r="T92" s="458" t="str">
        <f ca="1"/>
        <v>4,35204113562118</v>
      </c>
      <c r="U92" s="459">
        <f t="shared" ca="1" si="5"/>
        <v>0.11820417753757299</v>
      </c>
      <c r="V92" s="460">
        <f t="shared" ca="1" si="6"/>
        <v>-3.2042461846074903E-3</v>
      </c>
      <c r="W92" s="459">
        <f t="shared" ca="1" si="7"/>
        <v>0.15054044133509967</v>
      </c>
      <c r="X92" s="461">
        <f t="shared" ca="1" si="8"/>
        <v>5.9173010342376178E-3</v>
      </c>
      <c r="Y92" s="460">
        <f t="shared" ca="1" si="9"/>
        <v>-2.0404043445240892E-4</v>
      </c>
      <c r="Z92" s="79"/>
    </row>
    <row r="93" spans="1:26" customFormat="1" ht="14.5">
      <c r="A93" s="232"/>
      <c r="B93" s="295">
        <v>55</v>
      </c>
      <c r="C93" s="265" t="s">
        <v>143</v>
      </c>
      <c r="D93" s="266">
        <v>1</v>
      </c>
      <c r="E93" s="256"/>
      <c r="F93" s="239">
        <v>0.4</v>
      </c>
      <c r="G93" s="469">
        <v>100</v>
      </c>
      <c r="H93" s="405">
        <v>79</v>
      </c>
      <c r="I93" s="424" t="str">
        <f ca="1"/>
        <v>0,000162429927014851</v>
      </c>
      <c r="J93" s="424" t="str">
        <f ca="1"/>
        <v>0,000464374655549693</v>
      </c>
      <c r="K93" s="436" t="str">
        <f ca="1"/>
        <v>0,349782067289134</v>
      </c>
      <c r="L93" s="436" t="str">
        <f ca="1"/>
        <v>0,349782067289134</v>
      </c>
      <c r="M93" s="436" t="str">
        <f ca="1"/>
        <v>-0,000182454519985509</v>
      </c>
      <c r="N93" s="437" t="str">
        <f ca="1"/>
        <v>PEARSON_MMR.EUR.SU</v>
      </c>
      <c r="P93" s="455" t="str" cm="1">
        <f t="array" aca="1" ref="P93:T93" ca="1">IF(AND($Q$12,B117&lt;=$C$17,C117&lt;&gt;""),TRANSPOSE(INDEX(GetCDS(C117,$C$6,$C$29,F117,D117,$C$13,$C$14,$C$15,$C$8,,,TRUE,TRUE,FALSE,$C$29:$C$31,$C$33),{1;2;3;4;5})),"")</f>
        <v>0</v>
      </c>
      <c r="Q93" s="456" t="str">
        <f ca="1"/>
        <v>0,0154826002555497</v>
      </c>
      <c r="R93" s="456" t="str">
        <f ca="1"/>
        <v>0,0154826002555497</v>
      </c>
      <c r="S93" s="457" t="str">
        <f ca="1"/>
        <v>0,00353179768276597</v>
      </c>
      <c r="T93" s="458" t="str">
        <f ca="1"/>
        <v>4,38377326399521</v>
      </c>
      <c r="U93" s="459">
        <f t="shared" ca="1" si="5"/>
        <v>0.11820417753757299</v>
      </c>
      <c r="V93" s="460">
        <f t="shared" ca="1" si="6"/>
        <v>-1.8301080293502696E-3</v>
      </c>
      <c r="W93" s="459">
        <f t="shared" ca="1" si="7"/>
        <v>0.11659402242971134</v>
      </c>
      <c r="X93" s="461">
        <f t="shared" ca="1" si="8"/>
        <v>3.3552077986276716E-3</v>
      </c>
      <c r="Y93" s="460">
        <f t="shared" ca="1" si="9"/>
        <v>-9.0258932073290839E-5</v>
      </c>
      <c r="Z93" s="79"/>
    </row>
    <row r="94" spans="1:26" customFormat="1" ht="14.5">
      <c r="A94" s="232"/>
      <c r="B94" s="295">
        <v>56</v>
      </c>
      <c r="C94" s="265" t="s">
        <v>144</v>
      </c>
      <c r="D94" s="266">
        <v>1</v>
      </c>
      <c r="E94" s="256"/>
      <c r="F94" s="239">
        <v>0.4</v>
      </c>
      <c r="G94" s="469">
        <v>100</v>
      </c>
      <c r="H94" s="405">
        <v>80</v>
      </c>
      <c r="I94" s="424" t="str">
        <f ca="1"/>
        <v>0,0001684718839434</v>
      </c>
      <c r="J94" s="424" t="str">
        <f ca="1"/>
        <v>0,000463047424462777</v>
      </c>
      <c r="K94" s="436" t="str">
        <f ca="1"/>
        <v>0,363832892794641</v>
      </c>
      <c r="L94" s="436" t="str">
        <f ca="1"/>
        <v>0,363832892794641</v>
      </c>
      <c r="M94" s="436" t="str">
        <f ca="1"/>
        <v>-0,000199043119196052</v>
      </c>
      <c r="N94" s="437" t="str">
        <f ca="1"/>
        <v>PEUGEOT_MMR.EUR.SU</v>
      </c>
      <c r="P94" s="455" t="str" cm="1">
        <f t="array" aca="1" ref="P94:T94" ca="1">IF(AND($Q$12,B118&lt;=$C$17,C118&lt;&gt;""),TRANSPOSE(INDEX(GetCDS(C118,$C$6,$C$29,F118,D118,$C$13,$C$14,$C$15,$C$8,,,TRUE,TRUE,FALSE,$C$29:$C$31,$C$33),{1;2;3;4;5})),"")</f>
        <v>0</v>
      </c>
      <c r="Q94" s="456" t="str">
        <f ca="1"/>
        <v>0,0168342196204416</v>
      </c>
      <c r="R94" s="456" t="str">
        <f ca="1"/>
        <v>0,0168342196204416</v>
      </c>
      <c r="S94" s="457" t="str">
        <f ca="1"/>
        <v>0,00384316419454782</v>
      </c>
      <c r="T94" s="458" t="str">
        <f ca="1"/>
        <v>4,38030195127333</v>
      </c>
      <c r="U94" s="459">
        <f t="shared" ca="1" si="5"/>
        <v>0.11820417753757299</v>
      </c>
      <c r="V94" s="460">
        <f t="shared" ca="1" si="6"/>
        <v>-1.9898750847211748E-3</v>
      </c>
      <c r="W94" s="459">
        <f t="shared" ca="1" si="7"/>
        <v>0.12127763093154699</v>
      </c>
      <c r="X94" s="461">
        <f t="shared" ca="1" si="8"/>
        <v>3.6510059848204289E-3</v>
      </c>
      <c r="Y94" s="460">
        <f t="shared" ca="1" si="9"/>
        <v>-1.0208071370742638E-4</v>
      </c>
      <c r="Z94" s="79"/>
    </row>
    <row r="95" spans="1:26" customFormat="1" ht="14.5">
      <c r="A95" s="232"/>
      <c r="B95" s="295">
        <v>57</v>
      </c>
      <c r="C95" s="265" t="s">
        <v>145</v>
      </c>
      <c r="D95" s="266">
        <v>1</v>
      </c>
      <c r="E95" s="256"/>
      <c r="F95" s="239">
        <v>0.4</v>
      </c>
      <c r="G95" s="469">
        <v>100</v>
      </c>
      <c r="H95" s="405">
        <v>81</v>
      </c>
      <c r="I95" s="424" t="str">
        <f ca="1"/>
        <v>0,000147194675919971</v>
      </c>
      <c r="J95" s="424" t="str">
        <f ca="1"/>
        <v>0,000467142425822518</v>
      </c>
      <c r="K95" s="436" t="str">
        <f ca="1"/>
        <v>0,315095927458952</v>
      </c>
      <c r="L95" s="436" t="str">
        <f ca="1"/>
        <v>0,315095927458952</v>
      </c>
      <c r="M95" s="436" t="str">
        <f ca="1"/>
        <v>-0,000142811904705286</v>
      </c>
      <c r="N95" s="437" t="str">
        <f ca="1"/>
        <v>PHILIPSELEC_MMR.EUR.SU</v>
      </c>
      <c r="P95" s="455" t="str" cm="1">
        <f t="array" aca="1" ref="P95:T95" ca="1">IF(AND($Q$12,B119&lt;=$C$17,C119&lt;&gt;""),TRANSPOSE(INDEX(GetCDS(C119,$C$6,$C$29,F119,D119,$C$13,$C$14,$C$15,$C$8,,,TRUE,TRUE,FALSE,$C$29:$C$31,$C$33),{1;2;3;4;5})),"")</f>
        <v>0</v>
      </c>
      <c r="Q95" s="456" t="str">
        <f ca="1"/>
        <v>0,0123202283400723</v>
      </c>
      <c r="R95" s="456" t="str">
        <f ca="1"/>
        <v>0,0123202283400723</v>
      </c>
      <c r="S95" s="457" t="str">
        <f ca="1"/>
        <v>0,00280515270970884</v>
      </c>
      <c r="T95" s="458" t="str">
        <f ca="1"/>
        <v>4,39199915834567</v>
      </c>
      <c r="U95" s="459">
        <f t="shared" ca="1" si="5"/>
        <v>0.11820417753757299</v>
      </c>
      <c r="V95" s="460">
        <f t="shared" ca="1" si="6"/>
        <v>-1.4563024580133445E-3</v>
      </c>
      <c r="W95" s="459">
        <f t="shared" ca="1" si="7"/>
        <v>0.10503197581965067</v>
      </c>
      <c r="X95" s="461">
        <f t="shared" ca="1" si="8"/>
        <v>2.6648950742233979E-3</v>
      </c>
      <c r="Y95" s="460">
        <f t="shared" ca="1" si="9"/>
        <v>-6.4700896255352446E-5</v>
      </c>
      <c r="Z95" s="79"/>
    </row>
    <row r="96" spans="1:26" customFormat="1" ht="14.5">
      <c r="A96" s="232"/>
      <c r="B96" s="295">
        <v>58</v>
      </c>
      <c r="C96" s="265" t="s">
        <v>146</v>
      </c>
      <c r="D96" s="266">
        <v>1</v>
      </c>
      <c r="E96" s="256"/>
      <c r="F96" s="239">
        <v>0.4</v>
      </c>
      <c r="G96" s="469">
        <v>100</v>
      </c>
      <c r="H96" s="405">
        <v>82</v>
      </c>
      <c r="I96" s="424" t="str">
        <f ca="1"/>
        <v>0,000209823143431165</v>
      </c>
      <c r="J96" s="424" t="str">
        <f ca="1"/>
        <v>0,000440042974937734</v>
      </c>
      <c r="K96" s="436" t="str">
        <f ca="1"/>
        <v>0,476824208955625</v>
      </c>
      <c r="L96" s="436" t="str">
        <f ca="1"/>
        <v>0,476824208955625</v>
      </c>
      <c r="M96" s="436" t="str">
        <f ca="1"/>
        <v>-0,000356385544739957</v>
      </c>
      <c r="N96" s="437" t="str">
        <f ca="1"/>
        <v>PINAULTPRINTEMPS_MMR.EUR.SU</v>
      </c>
      <c r="P96" s="455" t="str" cm="1">
        <f t="array" aca="1" ref="P96:T96" ca="1">IF(AND($Q$12,B120&lt;=$C$17,C120&lt;&gt;""),TRANSPOSE(INDEX(GetCDS(C120,$C$6,$C$29,F120,D120,$C$13,$C$14,$C$15,$C$8,,,TRUE,TRUE,FALSE,$C$29:$C$31,$C$33),{1;2;3;4;5})),"")</f>
        <v>0</v>
      </c>
      <c r="Q96" s="456" t="str">
        <f ca="1"/>
        <v>0,0306373132720246</v>
      </c>
      <c r="R96" s="456" t="str">
        <f ca="1"/>
        <v>0,0306373132720246</v>
      </c>
      <c r="S96" s="457" t="str">
        <f ca="1"/>
        <v>0,00705799379553954</v>
      </c>
      <c r="T96" s="458" t="str">
        <f ca="1"/>
        <v>4,34079628851283</v>
      </c>
      <c r="U96" s="459">
        <f t="shared" ca="1" si="5"/>
        <v>0.11820417753757299</v>
      </c>
      <c r="V96" s="460">
        <f t="shared" ca="1" si="6"/>
        <v>-3.621458417280639E-3</v>
      </c>
      <c r="W96" s="459">
        <f t="shared" ca="1" si="7"/>
        <v>0.15894140298520834</v>
      </c>
      <c r="X96" s="461">
        <f t="shared" ca="1" si="8"/>
        <v>6.7050941057625628E-3</v>
      </c>
      <c r="Y96" s="460">
        <f t="shared" ca="1" si="9"/>
        <v>-2.4347687775764691E-4</v>
      </c>
      <c r="Z96" s="79"/>
    </row>
    <row r="97" spans="1:26" customFormat="1" ht="14.5">
      <c r="A97" s="232"/>
      <c r="B97" s="295">
        <v>59</v>
      </c>
      <c r="C97" s="265" t="s">
        <v>147</v>
      </c>
      <c r="D97" s="266">
        <v>1</v>
      </c>
      <c r="E97" s="256"/>
      <c r="F97" s="239">
        <v>0.4</v>
      </c>
      <c r="G97" s="469">
        <v>100</v>
      </c>
      <c r="H97" s="405">
        <v>83</v>
      </c>
      <c r="I97" s="424" t="str">
        <f ca="1"/>
        <v>0,0001870578606884</v>
      </c>
      <c r="J97" s="424" t="str">
        <f ca="1"/>
        <v>0,000458394260522913</v>
      </c>
      <c r="K97" s="436" t="str">
        <f ca="1"/>
        <v>0,408071995655037</v>
      </c>
      <c r="L97" s="436" t="str">
        <f ca="1"/>
        <v>0,408071995655037</v>
      </c>
      <c r="M97" s="436" t="str">
        <f ca="1"/>
        <v>-0,000257888360708658</v>
      </c>
      <c r="N97" s="437" t="str">
        <f ca="1"/>
        <v>PORTUGALTELECOM_MMR.EUR.SU</v>
      </c>
      <c r="P97" s="455" t="str" cm="1">
        <f t="array" aca="1" ref="P97:T97" ca="1">IF(AND($Q$12,B121&lt;=$C$17,C121&lt;&gt;""),TRANSPOSE(INDEX(GetCDS(C121,$C$6,$C$29,F121,D121,$C$13,$C$14,$C$15,$C$8,,,TRUE,TRUE,FALSE,$C$29:$C$31,$C$33),{1;2;3;4;5})),"")</f>
        <v>0</v>
      </c>
      <c r="Q97" s="456" t="str">
        <f ca="1"/>
        <v>0,0217701028354596</v>
      </c>
      <c r="R97" s="456" t="str">
        <f ca="1"/>
        <v>0,0217701028354596</v>
      </c>
      <c r="S97" s="457" t="str">
        <f ca="1"/>
        <v>0,00498435175488415</v>
      </c>
      <c r="T97" s="458" t="str">
        <f ca="1"/>
        <v>4,36768990353202</v>
      </c>
      <c r="U97" s="459">
        <f t="shared" ca="1" si="5"/>
        <v>0.11820417753757299</v>
      </c>
      <c r="V97" s="460">
        <f t="shared" ca="1" si="6"/>
        <v>-2.5733171005738885E-3</v>
      </c>
      <c r="W97" s="459">
        <f t="shared" ca="1" si="7"/>
        <v>0.13602399855167899</v>
      </c>
      <c r="X97" s="461">
        <f t="shared" ca="1" si="8"/>
        <v>4.7351341671399419E-3</v>
      </c>
      <c r="Y97" s="460">
        <f t="shared" ca="1" si="9"/>
        <v>-1.4806282182802322E-4</v>
      </c>
      <c r="Z97" s="79"/>
    </row>
    <row r="98" spans="1:26" customFormat="1" ht="14.5">
      <c r="A98" s="232"/>
      <c r="B98" s="295">
        <v>60</v>
      </c>
      <c r="C98" s="265" t="s">
        <v>148</v>
      </c>
      <c r="D98" s="266">
        <v>1</v>
      </c>
      <c r="E98" s="256"/>
      <c r="F98" s="239">
        <v>0.4</v>
      </c>
      <c r="G98" s="469">
        <v>100</v>
      </c>
      <c r="H98" s="405">
        <v>84</v>
      </c>
      <c r="I98" s="424" t="str">
        <f ca="1"/>
        <v>0,000154021725489106</v>
      </c>
      <c r="J98" s="424" t="str">
        <f ca="1"/>
        <v>0,000465959291399568</v>
      </c>
      <c r="K98" s="436" t="str">
        <f ca="1"/>
        <v>0,330547600041373</v>
      </c>
      <c r="L98" s="436" t="str">
        <f ca="1"/>
        <v>0,330547600041373</v>
      </c>
      <c r="M98" s="436" t="str">
        <f ca="1"/>
        <v>-0,000159930682477061</v>
      </c>
      <c r="N98" s="437" t="str">
        <f ca="1"/>
        <v>REEDELSEVIER_MMR.EUR.SU</v>
      </c>
      <c r="P98" s="455" t="str" cm="1">
        <f t="array" aca="1" ref="P98:T98" ca="1">IF(AND($Q$12,B122&lt;=$C$17,C122&lt;&gt;""),TRANSPOSE(INDEX(GetCDS(C122,$C$6,$C$29,F122,D122,$C$13,$C$14,$C$15,$C$8,,,TRUE,TRUE,FALSE,$C$29:$C$31,$C$33),{1;2;3;4;5})),"")</f>
        <v>0</v>
      </c>
      <c r="Q98" s="456" t="str">
        <f ca="1"/>
        <v>0,0136771532767221</v>
      </c>
      <c r="R98" s="456" t="str">
        <f ca="1"/>
        <v>0,0136771532767221</v>
      </c>
      <c r="S98" s="457" t="str">
        <f ca="1"/>
        <v>0,003116607095866</v>
      </c>
      <c r="T98" s="458" t="str">
        <f ca="1"/>
        <v>4,38847530536142</v>
      </c>
      <c r="U98" s="459">
        <f t="shared" ca="1" si="5"/>
        <v>0.11820417753757299</v>
      </c>
      <c r="V98" s="460">
        <f t="shared" ca="1" si="6"/>
        <v>-1.616696654130259E-3</v>
      </c>
      <c r="W98" s="459">
        <f t="shared" ca="1" si="7"/>
        <v>0.11018253334712434</v>
      </c>
      <c r="X98" s="461">
        <f t="shared" ca="1" si="8"/>
        <v>2.9607767410726998E-3</v>
      </c>
      <c r="Y98" s="460">
        <f t="shared" ca="1" si="9"/>
        <v>-7.5349169850308378E-5</v>
      </c>
      <c r="Z98" s="79"/>
    </row>
    <row r="99" spans="1:26" customFormat="1" ht="14.5">
      <c r="A99" s="232"/>
      <c r="B99" s="295">
        <v>61</v>
      </c>
      <c r="C99" s="265" t="s">
        <v>149</v>
      </c>
      <c r="D99" s="266">
        <v>1</v>
      </c>
      <c r="E99" s="256"/>
      <c r="F99" s="239">
        <v>0.4</v>
      </c>
      <c r="G99" s="469">
        <v>100</v>
      </c>
      <c r="H99" s="405">
        <v>85</v>
      </c>
      <c r="I99" s="424" t="str">
        <f ca="1"/>
        <v>0,000168529874822499</v>
      </c>
      <c r="J99" s="424" t="str">
        <f ca="1"/>
        <v>0,000463019417921049</v>
      </c>
      <c r="K99" s="436" t="str">
        <f ca="1"/>
        <v>0,363980144891538</v>
      </c>
      <c r="L99" s="436" t="str">
        <f ca="1"/>
        <v>0,363980144891538</v>
      </c>
      <c r="M99" s="436" t="str">
        <f ca="1"/>
        <v>-0,000199192113992242</v>
      </c>
      <c r="N99" s="437" t="str">
        <f ca="1"/>
        <v>RENAULT_MMR.EUR.SU</v>
      </c>
      <c r="P99" s="455" t="str" cm="1">
        <f t="array" aca="1" ref="P99:T99" ca="1">IF(AND($Q$12,B123&lt;=$C$17,C123&lt;&gt;""),TRANSPOSE(INDEX(GetCDS(C123,$C$6,$C$29,F123,D123,$C$13,$C$14,$C$15,$C$8,,,TRUE,TRUE,FALSE,$C$29:$C$31,$C$33),{1;2;3;4;5})),"")</f>
        <v>0</v>
      </c>
      <c r="Q99" s="456" t="str">
        <f ca="1"/>
        <v>0,0168332179024799</v>
      </c>
      <c r="R99" s="456" t="str">
        <f ca="1"/>
        <v>0,0168332179024799</v>
      </c>
      <c r="S99" s="457" t="str">
        <f ca="1"/>
        <v>0,00384317858216723</v>
      </c>
      <c r="T99" s="458" t="str">
        <f ca="1"/>
        <v>4,3800249045381</v>
      </c>
      <c r="U99" s="459">
        <f t="shared" ca="1" si="5"/>
        <v>0.11820417753757299</v>
      </c>
      <c r="V99" s="460">
        <f t="shared" ca="1" si="6"/>
        <v>-1.9897566774733852E-3</v>
      </c>
      <c r="W99" s="459">
        <f t="shared" ca="1" si="7"/>
        <v>0.12132671496384601</v>
      </c>
      <c r="X99" s="461">
        <f t="shared" ca="1" si="8"/>
        <v>3.651019653058868E-3</v>
      </c>
      <c r="Y99" s="460">
        <f t="shared" ca="1" si="9"/>
        <v>-1.0211595151892457E-4</v>
      </c>
      <c r="Z99" s="79"/>
    </row>
    <row r="100" spans="1:26" customFormat="1" ht="14.5">
      <c r="A100" s="232"/>
      <c r="B100" s="295">
        <v>62</v>
      </c>
      <c r="C100" s="265" t="s">
        <v>150</v>
      </c>
      <c r="D100" s="266">
        <v>1</v>
      </c>
      <c r="E100" s="256"/>
      <c r="F100" s="239">
        <v>0.4</v>
      </c>
      <c r="G100" s="469">
        <v>100</v>
      </c>
      <c r="H100" s="405">
        <v>86</v>
      </c>
      <c r="I100" s="424" t="str">
        <f ca="1"/>
        <v>0,000188101392364337</v>
      </c>
      <c r="J100" s="424" t="str">
        <f ca="1"/>
        <v>0,000458333100958523</v>
      </c>
      <c r="K100" s="436" t="str">
        <f ca="1"/>
        <v>0,410403245960102</v>
      </c>
      <c r="L100" s="436" t="str">
        <f ca="1"/>
        <v>0,410403245960102</v>
      </c>
      <c r="M100" s="436" t="str">
        <f ca="1"/>
        <v>-0,00025968543394097</v>
      </c>
      <c r="N100" s="437" t="str">
        <f ca="1"/>
        <v>REPSOL_MMR.EUR.SU</v>
      </c>
      <c r="P100" s="455" t="str" cm="1">
        <f t="array" aca="1" ref="P100:T100" ca="1">IF(AND($Q$12,B124&lt;=$C$17,C124&lt;&gt;""),TRANSPOSE(INDEX(GetCDS(C124,$C$6,$C$29,F124,D124,$C$13,$C$14,$C$15,$C$8,,,TRUE,TRUE,FALSE,$C$29:$C$31,$C$33),{1;2;3;4;5})),"")</f>
        <v>0</v>
      </c>
      <c r="Q100" s="456" t="str">
        <f ca="1"/>
        <v>0,0217433492303864</v>
      </c>
      <c r="R100" s="456" t="str">
        <f ca="1"/>
        <v>0,0217433492303864</v>
      </c>
      <c r="S100" s="457" t="str">
        <f ca="1"/>
        <v>0,00498451092993919</v>
      </c>
      <c r="T100" s="458" t="str">
        <f ca="1"/>
        <v>4,36218307793974</v>
      </c>
      <c r="U100" s="459">
        <f t="shared" ca="1" si="5"/>
        <v>0.11820417753757299</v>
      </c>
      <c r="V100" s="460">
        <f t="shared" ca="1" si="6"/>
        <v>-2.5701547126900461E-3</v>
      </c>
      <c r="W100" s="459">
        <f t="shared" ca="1" si="7"/>
        <v>0.13680108198670068</v>
      </c>
      <c r="X100" s="461">
        <f t="shared" ca="1" si="8"/>
        <v>4.7352853834422299E-3</v>
      </c>
      <c r="Y100" s="460">
        <f t="shared" ca="1" si="9"/>
        <v>-1.4872568503657824E-4</v>
      </c>
      <c r="Z100" s="79"/>
    </row>
    <row r="101" spans="1:26" customFormat="1" ht="14.5">
      <c r="A101" s="232"/>
      <c r="B101" s="295">
        <v>63</v>
      </c>
      <c r="C101" s="265" t="s">
        <v>151</v>
      </c>
      <c r="D101" s="266">
        <v>1</v>
      </c>
      <c r="E101" s="256"/>
      <c r="F101" s="239">
        <v>0.4</v>
      </c>
      <c r="G101" s="469">
        <v>100</v>
      </c>
      <c r="H101" s="405">
        <v>87</v>
      </c>
      <c r="I101" s="424" t="str">
        <f ca="1"/>
        <v>0,000131371584939277</v>
      </c>
      <c r="J101" s="424" t="str">
        <f ca="1"/>
        <v>0,000469482730917324</v>
      </c>
      <c r="K101" s="436" t="str">
        <f ca="1"/>
        <v>0,279821974884123</v>
      </c>
      <c r="L101" s="436" t="str">
        <f ca="1"/>
        <v>0,279821974884123</v>
      </c>
      <c r="M101" s="436" t="str">
        <f ca="1"/>
        <v>-0,000108026105403658</v>
      </c>
      <c r="N101" s="437" t="str">
        <f ca="1"/>
        <v>REUTERS_MMR.EUR.SU</v>
      </c>
      <c r="P101" s="455" t="str" cm="1">
        <f t="array" aca="1" ref="P101:T101" ca="1">IF(AND($Q$12,B125&lt;=$C$17,C125&lt;&gt;""),TRANSPOSE(INDEX(GetCDS(C125,$C$6,$C$29,F125,D125,$C$13,$C$14,$C$15,$C$8,,,TRUE,TRUE,FALSE,$C$29:$C$31,$C$33),{1;2;3;4;5})),"")</f>
        <v>-2,08166817117217E-17</v>
      </c>
      <c r="Q101" s="456" t="str">
        <f ca="1"/>
        <v>0,0096000198781776</v>
      </c>
      <c r="R101" s="456" t="str">
        <f ca="1"/>
        <v>0,00960001987817762</v>
      </c>
      <c r="S101" s="457" t="str">
        <f ca="1"/>
        <v>0,00218210196276475</v>
      </c>
      <c r="T101" s="458" t="str">
        <f ca="1"/>
        <v>4,39943689249712</v>
      </c>
      <c r="U101" s="459">
        <f t="shared" ca="1" si="5"/>
        <v>0.11820417753757299</v>
      </c>
      <c r="V101" s="460">
        <f t="shared" ca="1" si="6"/>
        <v>-1.1347624540443372E-3</v>
      </c>
      <c r="W101" s="459">
        <f t="shared" ca="1" si="7"/>
        <v>9.3273991628041009E-2</v>
      </c>
      <c r="X101" s="461">
        <f t="shared" ca="1" si="8"/>
        <v>2.0729968646265124E-3</v>
      </c>
      <c r="Y101" s="460">
        <f t="shared" ca="1" si="9"/>
        <v>-4.4771608687308336E-5</v>
      </c>
      <c r="Z101" s="79"/>
    </row>
    <row r="102" spans="1:26" customFormat="1" ht="14.5">
      <c r="A102" s="232"/>
      <c r="B102" s="295">
        <v>64</v>
      </c>
      <c r="C102" s="265" t="s">
        <v>152</v>
      </c>
      <c r="D102" s="266">
        <v>1</v>
      </c>
      <c r="E102" s="256"/>
      <c r="F102" s="239">
        <v>0.4</v>
      </c>
      <c r="G102" s="469">
        <v>100</v>
      </c>
      <c r="H102" s="405">
        <v>88</v>
      </c>
      <c r="I102" s="424" t="str">
        <f ca="1"/>
        <v>0,000179408605688746</v>
      </c>
      <c r="J102" s="424" t="str">
        <f ca="1"/>
        <v>0,000460615461872908</v>
      </c>
      <c r="K102" s="436" t="str">
        <f ca="1"/>
        <v>0,389497575611667</v>
      </c>
      <c r="L102" s="436" t="str">
        <f ca="1"/>
        <v>0,389497575611667</v>
      </c>
      <c r="M102" s="436" t="str">
        <f ca="1"/>
        <v>-0,00022995584671468</v>
      </c>
      <c r="N102" s="437" t="str">
        <f ca="1"/>
        <v>ROYALBANKSCOTLAND_MMR.EUR.SU</v>
      </c>
      <c r="P102" s="455" t="str" cm="1">
        <f t="array" aca="1" ref="P102:T102" ca="1">IF(AND($Q$12,B126&lt;=$C$17,C126&lt;&gt;""),TRANSPOSE(INDEX(GetCDS(C126,$C$6,$C$29,F126,D126,$C$13,$C$14,$C$15,$C$8,,,TRUE,TRUE,FALSE,$C$29:$C$31,$C$33),{1;2;3;4;5})),"")</f>
        <v>0</v>
      </c>
      <c r="Q102" s="456" t="str">
        <f ca="1"/>
        <v>0,019030396721107</v>
      </c>
      <c r="R102" s="456" t="str">
        <f ca="1"/>
        <v>0,019030396721107</v>
      </c>
      <c r="S102" s="457" t="str">
        <f ca="1"/>
        <v>0,00436228516400849</v>
      </c>
      <c r="T102" s="458" t="str">
        <f ca="1"/>
        <v>4,36248342454074</v>
      </c>
      <c r="U102" s="459">
        <f t="shared" ca="1" si="5"/>
        <v>0.11820417753757299</v>
      </c>
      <c r="V102" s="460">
        <f t="shared" ca="1" si="6"/>
        <v>-2.2494723926321813E-3</v>
      </c>
      <c r="W102" s="459">
        <f t="shared" ca="1" si="7"/>
        <v>0.12983252520388899</v>
      </c>
      <c r="X102" s="461">
        <f t="shared" ca="1" si="8"/>
        <v>4.1441709058080657E-3</v>
      </c>
      <c r="Y102" s="460">
        <f t="shared" ca="1" si="9"/>
        <v>-1.2353822309665681E-4</v>
      </c>
      <c r="Z102" s="79"/>
    </row>
    <row r="103" spans="1:26" customFormat="1" ht="14.5">
      <c r="A103" s="232"/>
      <c r="B103" s="295">
        <v>65</v>
      </c>
      <c r="C103" s="265" t="s">
        <v>153</v>
      </c>
      <c r="D103" s="266">
        <v>1</v>
      </c>
      <c r="E103" s="256"/>
      <c r="F103" s="239">
        <v>0.4</v>
      </c>
      <c r="G103" s="469">
        <v>100</v>
      </c>
      <c r="H103" s="405">
        <v>89</v>
      </c>
      <c r="I103" s="424" t="str">
        <f ca="1"/>
        <v>0,000132260302725462</v>
      </c>
      <c r="J103" s="424" t="str">
        <f ca="1"/>
        <v>0,000469344357184815</v>
      </c>
      <c r="K103" s="436" t="str">
        <f ca="1"/>
        <v>0,281798003322711</v>
      </c>
      <c r="L103" s="436" t="str">
        <f ca="1"/>
        <v>0,281798003322711</v>
      </c>
      <c r="M103" s="436" t="str">
        <f ca="1"/>
        <v>-0,000108928297599009</v>
      </c>
      <c r="N103" s="437" t="str">
        <f ca="1"/>
        <v>RWE_MMR.EUR.SU</v>
      </c>
      <c r="P103" s="455" t="str" cm="1">
        <f t="array" aca="1" ref="P103:T103" ca="1">IF(AND($Q$12,B127&lt;=$C$17,C127&lt;&gt;""),TRANSPOSE(INDEX(GetCDS(C127,$C$6,$C$29,F127,D127,$C$13,$C$14,$C$15,$C$8,,,TRUE,TRUE,FALSE,$C$29:$C$31,$C$33),{1;2;3;4;5})),"")</f>
        <v>1,04083408558608E-17</v>
      </c>
      <c r="Q103" s="456" t="str">
        <f ca="1"/>
        <v>0,0095961327428863</v>
      </c>
      <c r="R103" s="456" t="str">
        <f ca="1"/>
        <v>0,00959613274288629</v>
      </c>
      <c r="S103" s="457" t="str">
        <f ca="1"/>
        <v>0,0021821296900042</v>
      </c>
      <c r="T103" s="458" t="str">
        <f ca="1"/>
        <v>4,39759964169124</v>
      </c>
      <c r="U103" s="459">
        <f t="shared" ca="1" si="5"/>
        <v>0.11820417753757299</v>
      </c>
      <c r="V103" s="460">
        <f t="shared" ca="1" si="6"/>
        <v>-1.1343029784142481E-3</v>
      </c>
      <c r="W103" s="459">
        <f t="shared" ca="1" si="7"/>
        <v>9.3932667774236991E-2</v>
      </c>
      <c r="X103" s="461">
        <f t="shared" ca="1" si="8"/>
        <v>2.0730232055039899E-3</v>
      </c>
      <c r="Y103" s="460">
        <f t="shared" ca="1" si="9"/>
        <v>-4.5069517442750856E-5</v>
      </c>
      <c r="Z103" s="79"/>
    </row>
    <row r="104" spans="1:26" customFormat="1" ht="14.5">
      <c r="A104" s="232"/>
      <c r="B104" s="295">
        <v>66</v>
      </c>
      <c r="C104" s="265" t="s">
        <v>154</v>
      </c>
      <c r="D104" s="266">
        <v>1</v>
      </c>
      <c r="E104" s="256"/>
      <c r="F104" s="239">
        <v>0.4</v>
      </c>
      <c r="G104" s="469">
        <v>100</v>
      </c>
      <c r="H104" s="405">
        <v>90</v>
      </c>
      <c r="I104" s="424" t="str">
        <f ca="1"/>
        <v>0,000194524924332029</v>
      </c>
      <c r="J104" s="424" t="str">
        <f ca="1"/>
        <v>0,000456029402459578</v>
      </c>
      <c r="K104" s="436" t="str">
        <f ca="1"/>
        <v>0,426562242002086</v>
      </c>
      <c r="L104" s="436" t="str">
        <f ca="1"/>
        <v>0,426562242002086</v>
      </c>
      <c r="M104" s="436" t="str">
        <f ca="1"/>
        <v>-0,000283632360470198</v>
      </c>
      <c r="N104" s="437" t="str">
        <f ca="1"/>
        <v>SAFEWAYPLC_MMR.EUR.SU</v>
      </c>
      <c r="P104" s="455" t="str" cm="1">
        <f t="array" aca="1" ref="P104:T104" ca="1">IF(AND($Q$12,B128&lt;=$C$17,C128&lt;&gt;""),TRANSPOSE(INDEX(GetCDS(C128,$C$6,$C$29,F128,D128,$C$13,$C$14,$C$15,$C$8,,,TRUE,TRUE,FALSE,$C$29:$C$31,$C$33),{1;2;3;4;5})),"")</f>
        <v>0</v>
      </c>
      <c r="Q104" s="456" t="str">
        <f ca="1"/>
        <v>0,0240004216662236</v>
      </c>
      <c r="R104" s="456" t="str">
        <f ca="1"/>
        <v>0,0240004216662236</v>
      </c>
      <c r="S104" s="457" t="str">
        <f ca="1"/>
        <v>0,00550292267901835</v>
      </c>
      <c r="T104" s="458" t="str">
        <f ca="1"/>
        <v>4,36139540134425</v>
      </c>
      <c r="U104" s="459">
        <f t="shared" ca="1" si="5"/>
        <v>0.11820417753757299</v>
      </c>
      <c r="V104" s="460">
        <f t="shared" ca="1" si="6"/>
        <v>-2.8369501036109093E-3</v>
      </c>
      <c r="W104" s="459">
        <f t="shared" ca="1" si="7"/>
        <v>0.14218741400069532</v>
      </c>
      <c r="X104" s="461">
        <f t="shared" ca="1" si="8"/>
        <v>5.2277765450674321E-3</v>
      </c>
      <c r="Y104" s="460">
        <f t="shared" ca="1" si="9"/>
        <v>-1.7062789458232978E-4</v>
      </c>
      <c r="Z104" s="79"/>
    </row>
    <row r="105" spans="1:26" customFormat="1" ht="14.5">
      <c r="A105" s="232"/>
      <c r="B105" s="295">
        <v>67</v>
      </c>
      <c r="C105" s="265" t="s">
        <v>155</v>
      </c>
      <c r="D105" s="266">
        <v>1</v>
      </c>
      <c r="E105" s="256"/>
      <c r="F105" s="239">
        <v>0.4</v>
      </c>
      <c r="G105" s="469">
        <v>100</v>
      </c>
      <c r="H105" s="405">
        <v>91</v>
      </c>
      <c r="I105" s="424" t="str">
        <f ca="1"/>
        <v>0,000128574963075212</v>
      </c>
      <c r="J105" s="424" t="str">
        <f ca="1"/>
        <v>0,000469844509130766</v>
      </c>
      <c r="K105" s="436" t="str">
        <f ca="1"/>
        <v>0,27365428471875</v>
      </c>
      <c r="L105" s="436" t="str">
        <f ca="1"/>
        <v>0,27365428471875</v>
      </c>
      <c r="M105" s="436" t="str">
        <f ca="1"/>
        <v>-0,000102229425690381</v>
      </c>
      <c r="N105" s="437" t="str">
        <f ca="1"/>
        <v>SANOFIAVENTIS_MMR.EUR.SU</v>
      </c>
      <c r="P105" s="455" t="str" cm="1">
        <f t="array" aca="1" ref="P105:T105" ca="1">IF(AND($Q$12,B129&lt;=$C$17,C129&lt;&gt;""),TRANSPOSE(INDEX(GetCDS(C129,$C$6,$C$29,F129,D129,$C$13,$C$14,$C$15,$C$8,,,TRUE,TRUE,FALSE,$C$29:$C$31,$C$33),{1;2;3;4;5})),"")</f>
        <v>0</v>
      </c>
      <c r="Q105" s="456" t="str">
        <f ca="1"/>
        <v>0,00914563785136299</v>
      </c>
      <c r="R105" s="456" t="str">
        <f ca="1"/>
        <v>0,00914563785136299</v>
      </c>
      <c r="S105" s="457" t="str">
        <f ca="1"/>
        <v>0,00207824768711861</v>
      </c>
      <c r="T105" s="458" t="str">
        <f ca="1"/>
        <v>4,40064863685376</v>
      </c>
      <c r="U105" s="459">
        <f t="shared" ca="1" si="5"/>
        <v>0.11820417753757299</v>
      </c>
      <c r="V105" s="460">
        <f t="shared" ca="1" si="6"/>
        <v>-1.0810526002768585E-3</v>
      </c>
      <c r="W105" s="459">
        <f t="shared" ca="1" si="7"/>
        <v>9.1218094906249991E-2</v>
      </c>
      <c r="X105" s="461">
        <f t="shared" ca="1" si="8"/>
        <v>1.9743353027626793E-3</v>
      </c>
      <c r="Y105" s="460">
        <f t="shared" ca="1" si="9"/>
        <v>-4.1712383075191119E-5</v>
      </c>
      <c r="Z105" s="79"/>
    </row>
    <row r="106" spans="1:26" customFormat="1" ht="14.5">
      <c r="A106" s="232"/>
      <c r="B106" s="295">
        <v>68</v>
      </c>
      <c r="C106" s="265" t="s">
        <v>156</v>
      </c>
      <c r="D106" s="266">
        <v>1</v>
      </c>
      <c r="E106" s="256"/>
      <c r="F106" s="239">
        <v>0.4</v>
      </c>
      <c r="G106" s="469">
        <v>100</v>
      </c>
      <c r="H106" s="405">
        <v>92</v>
      </c>
      <c r="I106" s="424" t="str">
        <f ca="1"/>
        <v>0,000128843224672371</v>
      </c>
      <c r="J106" s="424" t="str">
        <f ca="1"/>
        <v>0,000469820419882572</v>
      </c>
      <c r="K106" s="436" t="str">
        <f ca="1"/>
        <v>0,274239303401445</v>
      </c>
      <c r="L106" s="436" t="str">
        <f ca="1"/>
        <v>0,274239303401445</v>
      </c>
      <c r="M106" s="436" t="str">
        <f ca="1"/>
        <v>-0,000102549194361923</v>
      </c>
      <c r="N106" s="437" t="str">
        <f ca="1"/>
        <v>SIEMENS_MMR.EUR.SU</v>
      </c>
      <c r="P106" s="455" t="str" cm="1">
        <f t="array" aca="1" ref="P106:T106" ca="1">IF(AND($Q$12,B130&lt;=$C$17,C130&lt;&gt;""),TRANSPOSE(INDEX(GetCDS(C130,$C$6,$C$29,F130,D130,$C$13,$C$14,$C$15,$C$8,,,TRUE,TRUE,FALSE,$C$29:$C$31,$C$33),{1;2;3;4;5})),"")</f>
        <v>8,67361737988404E-18</v>
      </c>
      <c r="Q106" s="456" t="str">
        <f ca="1"/>
        <v>0,0091441625338101</v>
      </c>
      <c r="R106" s="456" t="str">
        <f ca="1"/>
        <v>0,00914416253381009</v>
      </c>
      <c r="S106" s="457" t="str">
        <f ca="1"/>
        <v>0,00207825077581178</v>
      </c>
      <c r="T106" s="458" t="str">
        <f ca="1"/>
        <v>4,39993221233771</v>
      </c>
      <c r="U106" s="459">
        <f t="shared" ca="1" si="5"/>
        <v>0.11820417753757299</v>
      </c>
      <c r="V106" s="460">
        <f t="shared" ca="1" si="6"/>
        <v>-1.0808782115789108E-3</v>
      </c>
      <c r="W106" s="459">
        <f t="shared" ca="1" si="7"/>
        <v>9.1413101133814997E-2</v>
      </c>
      <c r="X106" s="461">
        <f t="shared" ca="1" si="8"/>
        <v>1.9743382370211908E-3</v>
      </c>
      <c r="Y106" s="460">
        <f t="shared" ca="1" si="9"/>
        <v>-4.1794812724361266E-5</v>
      </c>
      <c r="Z106" s="79"/>
    </row>
    <row r="107" spans="1:26" customFormat="1" ht="14.5">
      <c r="A107" s="232"/>
      <c r="B107" s="295">
        <v>69</v>
      </c>
      <c r="C107" s="265" t="s">
        <v>157</v>
      </c>
      <c r="D107" s="266">
        <v>1</v>
      </c>
      <c r="E107" s="256"/>
      <c r="F107" s="239">
        <v>0.4</v>
      </c>
      <c r="G107" s="469">
        <v>100</v>
      </c>
      <c r="H107" s="405">
        <v>93</v>
      </c>
      <c r="I107" s="424" t="str">
        <f ca="1"/>
        <v>0,000152413445389365</v>
      </c>
      <c r="J107" s="424" t="str">
        <f ca="1"/>
        <v>0,000466266777897986</v>
      </c>
      <c r="K107" s="436" t="str">
        <f ca="1"/>
        <v>0,326880345360379</v>
      </c>
      <c r="L107" s="436" t="str">
        <f ca="1"/>
        <v>0,326880345360379</v>
      </c>
      <c r="M107" s="436" t="str">
        <f ca="1"/>
        <v>-0,000155114424273206</v>
      </c>
      <c r="N107" s="437" t="str">
        <f ca="1"/>
        <v>SODEXHOALLIANCE_MMR.EUR.SU</v>
      </c>
      <c r="P107" s="455" t="str" cm="1">
        <f t="array" aca="1" ref="P107:T107" ca="1">IF(AND($Q$12,B131&lt;=$C$17,C131&lt;&gt;""),TRANSPOSE(INDEX(GetCDS(C131,$C$6,$C$29,F131,D131,$C$13,$C$14,$C$15,$C$8,,,TRUE,TRUE,FALSE,$C$29:$C$31,$C$33),{1;2;3;4;5})),"")</f>
        <v>0</v>
      </c>
      <c r="Q107" s="456" t="str">
        <f ca="1"/>
        <v>0,0132190935233138</v>
      </c>
      <c r="R107" s="456" t="str">
        <f ca="1"/>
        <v>0,0132190935233138</v>
      </c>
      <c r="S107" s="457" t="str">
        <f ca="1"/>
        <v>0,00301282243375954</v>
      </c>
      <c r="T107" s="458" t="str">
        <f ca="1"/>
        <v>4,3876112230147</v>
      </c>
      <c r="U107" s="459">
        <f t="shared" ca="1" si="5"/>
        <v>0.11820417753757299</v>
      </c>
      <c r="V107" s="460">
        <f t="shared" ca="1" si="6"/>
        <v>-1.562552077715568E-3</v>
      </c>
      <c r="W107" s="459">
        <f t="shared" ca="1" si="7"/>
        <v>0.10896011512012634</v>
      </c>
      <c r="X107" s="461">
        <f t="shared" ca="1" si="8"/>
        <v>2.8621813120715631E-3</v>
      </c>
      <c r="Y107" s="460">
        <f t="shared" ca="1" si="9"/>
        <v>-7.2017697604199476E-5</v>
      </c>
      <c r="Z107" s="79"/>
    </row>
    <row r="108" spans="1:26" customFormat="1" ht="14.5">
      <c r="A108" s="232"/>
      <c r="B108" s="295">
        <v>70</v>
      </c>
      <c r="C108" s="265" t="s">
        <v>158</v>
      </c>
      <c r="D108" s="266">
        <v>1</v>
      </c>
      <c r="E108" s="256"/>
      <c r="F108" s="239">
        <v>0.4</v>
      </c>
      <c r="G108" s="469">
        <v>100</v>
      </c>
      <c r="H108" s="405">
        <v>94</v>
      </c>
      <c r="I108" s="424" t="str">
        <f ca="1"/>
        <v>0,000131371584939277</v>
      </c>
      <c r="J108" s="424" t="str">
        <f ca="1"/>
        <v>0,000469482730917324</v>
      </c>
      <c r="K108" s="436" t="str">
        <f ca="1"/>
        <v>0,279821974884123</v>
      </c>
      <c r="L108" s="436" t="str">
        <f ca="1"/>
        <v>0,279821974884123</v>
      </c>
      <c r="M108" s="436" t="str">
        <f ca="1"/>
        <v>-0,000108026105403658</v>
      </c>
      <c r="N108" s="437" t="str">
        <f ca="1"/>
        <v>SOLVAY_MMR.EUR.SU</v>
      </c>
      <c r="P108" s="455" t="str" cm="1">
        <f t="array" aca="1" ref="P108:T108" ca="1">IF(AND($Q$12,B132&lt;=$C$17,C132&lt;&gt;""),TRANSPOSE(INDEX(GetCDS(C132,$C$6,$C$29,F132,D132,$C$13,$C$14,$C$15,$C$8,,,TRUE,TRUE,FALSE,$C$29:$C$31,$C$33),{1;2;3;4;5})),"")</f>
        <v>-2,08166817117217E-17</v>
      </c>
      <c r="Q108" s="456" t="str">
        <f ca="1"/>
        <v>0,0096000198781776</v>
      </c>
      <c r="R108" s="456" t="str">
        <f ca="1"/>
        <v>0,00960001987817762</v>
      </c>
      <c r="S108" s="457" t="str">
        <f ca="1"/>
        <v>0,00218210196276475</v>
      </c>
      <c r="T108" s="458" t="str">
        <f ca="1"/>
        <v>4,39943689249712</v>
      </c>
      <c r="U108" s="459">
        <f t="shared" ca="1" si="5"/>
        <v>0.11820417753757299</v>
      </c>
      <c r="V108" s="460">
        <f t="shared" ca="1" si="6"/>
        <v>-1.1347624540443372E-3</v>
      </c>
      <c r="W108" s="459">
        <f t="shared" ca="1" si="7"/>
        <v>9.3273991628041009E-2</v>
      </c>
      <c r="X108" s="461">
        <f t="shared" ca="1" si="8"/>
        <v>2.0729968646265124E-3</v>
      </c>
      <c r="Y108" s="460">
        <f t="shared" ca="1" si="9"/>
        <v>-4.4771608687308336E-5</v>
      </c>
      <c r="Z108" s="79"/>
    </row>
    <row r="109" spans="1:26" customFormat="1" ht="14.5">
      <c r="A109" s="232"/>
      <c r="B109" s="295">
        <v>71</v>
      </c>
      <c r="C109" s="265" t="s">
        <v>159</v>
      </c>
      <c r="D109" s="266">
        <v>1</v>
      </c>
      <c r="E109" s="256"/>
      <c r="F109" s="239">
        <v>0.4</v>
      </c>
      <c r="G109" s="469">
        <v>100</v>
      </c>
      <c r="H109" s="405">
        <v>95</v>
      </c>
      <c r="I109" s="424" t="str">
        <f ca="1"/>
        <v>0,000178844357746377</v>
      </c>
      <c r="J109" s="424" t="str">
        <f ca="1"/>
        <v>0,000460499152385582</v>
      </c>
      <c r="K109" s="436" t="str">
        <f ca="1"/>
        <v>0,388370655667631</v>
      </c>
      <c r="L109" s="436" t="str">
        <f ca="1"/>
        <v>0,388370655667631</v>
      </c>
      <c r="M109" s="436" t="str">
        <f ca="1"/>
        <v>-0,000231176751848894</v>
      </c>
      <c r="N109" s="437" t="str">
        <f ca="1"/>
        <v>STGOBAIN_MMR.EUR.SU</v>
      </c>
      <c r="P109" s="455" t="str" cm="1">
        <f t="array" aca="1" ref="P109:T109" ca="1">IF(AND($Q$12,B133&lt;=$C$17,C133&lt;&gt;""),TRANSPOSE(INDEX(GetCDS(C133,$C$6,$C$29,F133,D133,$C$13,$C$14,$C$15,$C$8,,,TRUE,TRUE,FALSE,$C$29:$C$31,$C$33),{1;2;3;4;5})),"")</f>
        <v>0</v>
      </c>
      <c r="Q109" s="456" t="str">
        <f ca="1"/>
        <v>0,0195353561572649</v>
      </c>
      <c r="R109" s="456" t="str">
        <f ca="1"/>
        <v>0,0195353561572649</v>
      </c>
      <c r="S109" s="457" t="str">
        <f ca="1"/>
        <v>0,00446569788233423</v>
      </c>
      <c r="T109" s="458" t="str">
        <f ca="1"/>
        <v>4,37453600131447</v>
      </c>
      <c r="U109" s="459">
        <f t="shared" ca="1" si="5"/>
        <v>0.11820417753757299</v>
      </c>
      <c r="V109" s="460">
        <f t="shared" ca="1" si="6"/>
        <v>-2.3091607074730578E-3</v>
      </c>
      <c r="W109" s="459">
        <f t="shared" ca="1" si="7"/>
        <v>0.12945688522254367</v>
      </c>
      <c r="X109" s="461">
        <f t="shared" ca="1" si="8"/>
        <v>4.2424129882175183E-3</v>
      </c>
      <c r="Y109" s="460">
        <f t="shared" ca="1" si="9"/>
        <v>-1.2644931799162782E-4</v>
      </c>
      <c r="Z109" s="79"/>
    </row>
    <row r="110" spans="1:26" customFormat="1" ht="14.5">
      <c r="A110" s="232"/>
      <c r="B110" s="295">
        <v>72</v>
      </c>
      <c r="C110" s="265" t="s">
        <v>160</v>
      </c>
      <c r="D110" s="266">
        <v>1</v>
      </c>
      <c r="E110" s="256"/>
      <c r="F110" s="239">
        <v>0.4</v>
      </c>
      <c r="G110" s="469">
        <v>100</v>
      </c>
      <c r="H110" s="405">
        <v>96</v>
      </c>
      <c r="I110" s="424" t="str">
        <f ca="1"/>
        <v>0,000144494340267643</v>
      </c>
      <c r="J110" s="424" t="str">
        <f ca="1"/>
        <v>0,000467554986347908</v>
      </c>
      <c r="K110" s="436" t="str">
        <f ca="1"/>
        <v>0,309042453800556</v>
      </c>
      <c r="L110" s="436" t="str">
        <f ca="1"/>
        <v>0,309042453800556</v>
      </c>
      <c r="M110" s="436" t="str">
        <f ca="1"/>
        <v>-0,000136888387239576</v>
      </c>
      <c r="N110" s="437" t="str">
        <f ca="1"/>
        <v>STMICRO_MMR.EUR.SU</v>
      </c>
      <c r="P110" s="455" t="str" cm="1">
        <f t="array" aca="1" ref="P110:T110" ca="1">IF(AND($Q$12,B134&lt;=$C$17,C134&lt;&gt;""),TRANSPOSE(INDEX(GetCDS(C134,$C$6,$C$29,F134,D134,$C$13,$C$14,$C$15,$C$8,,,TRUE,TRUE,FALSE,$C$29:$C$31,$C$33),{1;2;3;4;5})),"")</f>
        <v>0</v>
      </c>
      <c r="Q110" s="456" t="str">
        <f ca="1"/>
        <v>0,0118685552846028</v>
      </c>
      <c r="R110" s="456" t="str">
        <f ca="1"/>
        <v>0,0118685552846028</v>
      </c>
      <c r="S110" s="457" t="str">
        <f ca="1"/>
        <v>0,00270132017866877</v>
      </c>
      <c r="T110" s="458" t="str">
        <f ca="1"/>
        <v>4,3936129372312</v>
      </c>
      <c r="U110" s="459">
        <f t="shared" ca="1" si="5"/>
        <v>0.11820417753757299</v>
      </c>
      <c r="V110" s="460">
        <f t="shared" ca="1" si="6"/>
        <v>-1.4029128159756901E-3</v>
      </c>
      <c r="W110" s="459">
        <f t="shared" ca="1" si="7"/>
        <v>0.103014151266852</v>
      </c>
      <c r="X110" s="461">
        <f t="shared" ca="1" si="8"/>
        <v>2.5662541697353313E-3</v>
      </c>
      <c r="Y110" s="460">
        <f t="shared" ca="1" si="9"/>
        <v>-6.1131457470353545E-5</v>
      </c>
      <c r="Z110" s="79"/>
    </row>
    <row r="111" spans="1:26" customFormat="1" ht="14.5">
      <c r="A111" s="232"/>
      <c r="B111" s="295">
        <v>73</v>
      </c>
      <c r="C111" s="265" t="s">
        <v>161</v>
      </c>
      <c r="D111" s="266">
        <v>1</v>
      </c>
      <c r="E111" s="256"/>
      <c r="F111" s="239">
        <v>0.4</v>
      </c>
      <c r="G111" s="469">
        <v>100</v>
      </c>
      <c r="H111" s="405">
        <v>97</v>
      </c>
      <c r="I111" s="424" t="str">
        <f ca="1"/>
        <v>0,000188247204780878</v>
      </c>
      <c r="J111" s="424" t="str">
        <f ca="1"/>
        <v>0,000457763193871473</v>
      </c>
      <c r="K111" s="436" t="str">
        <f ca="1"/>
        <v>0,411232723165883</v>
      </c>
      <c r="L111" s="436" t="str">
        <f ca="1"/>
        <v>0,411232723165883</v>
      </c>
      <c r="M111" s="436" t="str">
        <f ca="1"/>
        <v>-0,000262465347098039</v>
      </c>
      <c r="N111" s="437" t="str">
        <f ca="1"/>
        <v>SUEDZUCKERAG_MMR.EUR.SU</v>
      </c>
      <c r="P111" s="455" t="str" cm="1">
        <f t="array" aca="1" ref="P111:T111" ca="1">IF(AND($Q$12,B135&lt;=$C$17,C135&lt;&gt;""),TRANSPOSE(INDEX(GetCDS(C135,$C$6,$C$29,F135,D135,$C$13,$C$14,$C$15,$C$8,,,TRUE,TRUE,FALSE,$C$29:$C$31,$C$33),{1;2;3;4;5})),"")</f>
        <v>0</v>
      </c>
      <c r="Q111" s="456" t="str">
        <f ca="1"/>
        <v>0,0222263301278584</v>
      </c>
      <c r="R111" s="456" t="str">
        <f ca="1"/>
        <v>0,0222263301278584</v>
      </c>
      <c r="S111" s="457" t="str">
        <f ca="1"/>
        <v>0,00508806591064634</v>
      </c>
      <c r="T111" s="458" t="str">
        <f ca="1"/>
        <v>4,36832590579295</v>
      </c>
      <c r="U111" s="459">
        <f t="shared" ca="1" si="5"/>
        <v>0.11820417753757299</v>
      </c>
      <c r="V111" s="460">
        <f t="shared" ca="1" si="6"/>
        <v>-2.6272450724420821E-3</v>
      </c>
      <c r="W111" s="459">
        <f t="shared" ca="1" si="7"/>
        <v>0.13707757438862767</v>
      </c>
      <c r="X111" s="461">
        <f t="shared" ca="1" si="8"/>
        <v>4.8336626151140221E-3</v>
      </c>
      <c r="Y111" s="460">
        <f t="shared" ca="1" si="9"/>
        <v>-1.5233657107438571E-4</v>
      </c>
      <c r="Z111" s="79"/>
    </row>
    <row r="112" spans="1:26" customFormat="1" ht="14.5">
      <c r="A112" s="232"/>
      <c r="B112" s="295">
        <v>74</v>
      </c>
      <c r="C112" s="265" t="s">
        <v>162</v>
      </c>
      <c r="D112" s="266">
        <v>1</v>
      </c>
      <c r="E112" s="256"/>
      <c r="F112" s="239">
        <v>0.4</v>
      </c>
      <c r="G112" s="469">
        <v>100</v>
      </c>
      <c r="H112" s="405">
        <v>98</v>
      </c>
      <c r="I112" s="424" t="str">
        <f ca="1"/>
        <v>0,000142969045394192</v>
      </c>
      <c r="J112" s="424" t="str">
        <f ca="1"/>
        <v>0,000467803549316388</v>
      </c>
      <c r="K112" s="436" t="str">
        <f ca="1"/>
        <v>0,30561770128319</v>
      </c>
      <c r="L112" s="436" t="str">
        <f ca="1"/>
        <v>0,30561770128319</v>
      </c>
      <c r="M112" s="436" t="str">
        <f ca="1"/>
        <v>-0,000132203448748869</v>
      </c>
      <c r="N112" s="437" t="str">
        <f ca="1"/>
        <v>SUEZLYONNAISE_MMR.EUR.SU</v>
      </c>
      <c r="P112" s="455" t="str" cm="1">
        <f t="array" aca="1" ref="P112:T112" ca="1">IF(AND($Q$12,B136&lt;=$C$17,C136&lt;&gt;""),TRANSPOSE(INDEX(GetCDS(C136,$C$6,$C$29,F136,D136,$C$13,$C$14,$C$15,$C$8,,,TRUE,TRUE,FALSE,$C$29:$C$31,$C$33),{1;2;3;4;5})),"")</f>
        <v>0</v>
      </c>
      <c r="Q112" s="456" t="str">
        <f ca="1"/>
        <v>0,0114094353683284</v>
      </c>
      <c r="R112" s="456" t="str">
        <f ca="1"/>
        <v>0,0114094353683284</v>
      </c>
      <c r="S112" s="457" t="str">
        <f ca="1"/>
        <v>0,0025975215623064</v>
      </c>
      <c r="T112" s="458" t="str">
        <f ca="1"/>
        <v>4,39243143691084</v>
      </c>
      <c r="U112" s="459">
        <f t="shared" ca="1" si="5"/>
        <v>0.11820417753757299</v>
      </c>
      <c r="V112" s="460">
        <f t="shared" ca="1" si="6"/>
        <v>-1.3486429238813537E-3</v>
      </c>
      <c r="W112" s="459">
        <f t="shared" ca="1" si="7"/>
        <v>0.10187256709439667</v>
      </c>
      <c r="X112" s="461">
        <f t="shared" ca="1" si="8"/>
        <v>2.4676454841910797E-3</v>
      </c>
      <c r="Y112" s="460">
        <f t="shared" ca="1" si="9"/>
        <v>-5.811542350346096E-5</v>
      </c>
      <c r="Z112" s="79"/>
    </row>
    <row r="113" spans="1:26" customFormat="1" ht="14.5">
      <c r="A113" s="232"/>
      <c r="B113" s="295">
        <v>75</v>
      </c>
      <c r="C113" s="265" t="s">
        <v>163</v>
      </c>
      <c r="D113" s="266">
        <v>1</v>
      </c>
      <c r="E113" s="256"/>
      <c r="F113" s="239">
        <v>0.4</v>
      </c>
      <c r="G113" s="469">
        <v>100</v>
      </c>
      <c r="H113" s="405">
        <v>99</v>
      </c>
      <c r="I113" s="424" t="str">
        <f ca="1"/>
        <v>0,000176693656952853</v>
      </c>
      <c r="J113" s="424" t="str">
        <f ca="1"/>
        <v>0,000460844889047949</v>
      </c>
      <c r="K113" s="436" t="str">
        <f ca="1"/>
        <v>0,383412426072211</v>
      </c>
      <c r="L113" s="436" t="str">
        <f ca="1"/>
        <v>0,383412426072211</v>
      </c>
      <c r="M113" s="436" t="str">
        <f ca="1"/>
        <v>-0,000225126351539684</v>
      </c>
      <c r="N113" s="437" t="str">
        <f ca="1"/>
        <v>SVENSKACELLULOSAAB_MMR.EUR.SU</v>
      </c>
      <c r="P113" s="455" t="str" cm="1">
        <f t="array" aca="1" ref="P113:T113" ca="1">IF(AND($Q$12,B137&lt;=$C$17,C137&lt;&gt;""),TRANSPOSE(INDEX(GetCDS(C137,$C$6,$C$29,F137,D137,$C$13,$C$14,$C$15,$C$8,,,TRUE,TRUE,FALSE,$C$29:$C$31,$C$33),{1;2;3;4;5})),"")</f>
        <v>0</v>
      </c>
      <c r="Q113" s="456" t="str">
        <f ca="1"/>
        <v>0,0190946852335855</v>
      </c>
      <c r="R113" s="456" t="str">
        <f ca="1"/>
        <v>0,0190946852335855</v>
      </c>
      <c r="S113" s="457" t="str">
        <f ca="1"/>
        <v>0,00436193818773546</v>
      </c>
      <c r="T113" s="458" t="str">
        <f ca="1"/>
        <v>4,37756896401567</v>
      </c>
      <c r="U113" s="459">
        <f t="shared" ca="1" si="5"/>
        <v>0.11820417753757299</v>
      </c>
      <c r="V113" s="460">
        <f t="shared" ca="1" si="6"/>
        <v>-2.2570715633748149E-3</v>
      </c>
      <c r="W113" s="459">
        <f t="shared" ca="1" si="7"/>
        <v>0.12780414202407034</v>
      </c>
      <c r="X113" s="461">
        <f t="shared" ca="1" si="8"/>
        <v>4.1438412783486867E-3</v>
      </c>
      <c r="Y113" s="460">
        <f t="shared" ca="1" si="9"/>
        <v>-1.2201899317490428E-4</v>
      </c>
      <c r="Z113" s="79"/>
    </row>
    <row r="114" spans="1:26" customFormat="1" ht="14.5">
      <c r="A114" s="232"/>
      <c r="B114" s="295">
        <v>76</v>
      </c>
      <c r="C114" s="265" t="s">
        <v>164</v>
      </c>
      <c r="D114" s="266">
        <v>1</v>
      </c>
      <c r="E114" s="256"/>
      <c r="F114" s="239">
        <v>0.4</v>
      </c>
      <c r="G114" s="469">
        <v>100</v>
      </c>
      <c r="H114" s="405">
        <v>100</v>
      </c>
      <c r="I114" s="424" t="str">
        <f ca="1"/>
        <v>0,000162387195769509</v>
      </c>
      <c r="J114" s="424" t="str">
        <f ca="1"/>
        <v>0,000464345999176698</v>
      </c>
      <c r="K114" s="436" t="str">
        <f ca="1"/>
        <v>0,349711628952176</v>
      </c>
      <c r="L114" s="436" t="str">
        <f ca="1"/>
        <v>0,349711628952176</v>
      </c>
      <c r="M114" s="436" t="str">
        <f ca="1"/>
        <v>-0,000179878999676819</v>
      </c>
      <c r="N114" s="437" t="str">
        <f ca="1"/>
        <v>SWISSRE_MMR.EUR.SU</v>
      </c>
      <c r="P114" s="455" t="str" cm="1">
        <f t="array" aca="1" ref="P114:T114" ca="1">IF(AND($Q$12,B138&lt;=$C$17,C138&lt;&gt;""),TRANSPOSE(INDEX(GetCDS(C138,$C$6,$C$29,F138,D138,$C$13,$C$14,$C$15,$C$8,,,TRUE,TRUE,FALSE,$C$29:$C$31,$C$33),{1;2;3;4;5})),"")</f>
        <v>0</v>
      </c>
      <c r="Q114" s="456" t="str">
        <f ca="1"/>
        <v>0,0150033674385764</v>
      </c>
      <c r="R114" s="456" t="str">
        <f ca="1"/>
        <v>0,0150033674385764</v>
      </c>
      <c r="S114" s="457" t="str">
        <f ca="1"/>
        <v>0,00342819185377694</v>
      </c>
      <c r="T114" s="458" t="str">
        <f ca="1"/>
        <v>4,37646668521388</v>
      </c>
      <c r="U114" s="459">
        <f t="shared" ca="1" si="5"/>
        <v>0.11820417753757299</v>
      </c>
      <c r="V114" s="460">
        <f t="shared" ca="1" si="6"/>
        <v>-1.7734607083709254E-3</v>
      </c>
      <c r="W114" s="459">
        <f t="shared" ca="1" si="7"/>
        <v>0.11657054298405867</v>
      </c>
      <c r="X114" s="461">
        <f t="shared" ca="1" si="8"/>
        <v>3.2567822610880927E-3</v>
      </c>
      <c r="Y114" s="460">
        <f t="shared" ca="1" si="9"/>
        <v>-8.7447534445209867E-5</v>
      </c>
      <c r="Z114" s="79"/>
    </row>
    <row r="115" spans="1:26" customFormat="1" ht="14.5">
      <c r="A115" s="232"/>
      <c r="B115" s="295">
        <v>77</v>
      </c>
      <c r="C115" s="265" t="s">
        <v>165</v>
      </c>
      <c r="D115" s="266">
        <v>1</v>
      </c>
      <c r="E115" s="256"/>
      <c r="F115" s="239">
        <v>0.4</v>
      </c>
      <c r="G115" s="469">
        <v>100</v>
      </c>
      <c r="H115" s="405">
        <v>101</v>
      </c>
      <c r="I115" s="424"/>
      <c r="J115" s="424"/>
      <c r="K115" s="436"/>
      <c r="L115" s="436"/>
      <c r="M115" s="436"/>
      <c r="N115" s="437"/>
      <c r="P115" s="455" t="str" cm="1">
        <f t="array" aca="1" ref="P115" ca="1">IF(AND($Q$12,B139&lt;=$C$17,C139&lt;&gt;""),TRANSPOSE(INDEX(GetCDS(C139,$C$6,$C$29,F139,D139,$C$13,$C$14,$C$15,$C$8,,,TRUE,TRUE,FALSE,$C$29:$C$31,$C$33),{1;2;3;4;5})),"")</f>
        <v/>
      </c>
      <c r="Q115" s="456"/>
      <c r="R115" s="456"/>
      <c r="S115" s="457"/>
      <c r="T115" s="458"/>
      <c r="U115" s="459" t="str">
        <f t="shared" ca="1" si="5"/>
        <v/>
      </c>
      <c r="V115" s="460" t="str">
        <f t="shared" ca="1" si="6"/>
        <v/>
      </c>
      <c r="W115" s="459" t="str">
        <f t="shared" ca="1" si="7"/>
        <v/>
      </c>
      <c r="X115" s="461" t="str">
        <f t="shared" ca="1" si="8"/>
        <v/>
      </c>
      <c r="Y115" s="460" t="str">
        <f t="shared" ca="1" si="9"/>
        <v/>
      </c>
      <c r="Z115" s="79"/>
    </row>
    <row r="116" spans="1:26" customFormat="1" ht="14.5">
      <c r="A116" s="232"/>
      <c r="B116" s="295">
        <v>78</v>
      </c>
      <c r="C116" s="265" t="s">
        <v>166</v>
      </c>
      <c r="D116" s="266">
        <v>1</v>
      </c>
      <c r="E116" s="256"/>
      <c r="F116" s="239">
        <v>0.4</v>
      </c>
      <c r="G116" s="469">
        <v>100</v>
      </c>
      <c r="H116" s="405">
        <v>102</v>
      </c>
      <c r="I116" s="424"/>
      <c r="J116" s="424"/>
      <c r="K116" s="436"/>
      <c r="L116" s="436"/>
      <c r="M116" s="436"/>
      <c r="N116" s="437"/>
      <c r="P116" s="455" t="str" cm="1">
        <f t="array" aca="1" ref="P116" ca="1">IF(AND($Q$12,B140&lt;=$C$17,C140&lt;&gt;""),TRANSPOSE(INDEX(GetCDS(C140,$C$6,$C$29,F140,D140,$C$13,$C$14,$C$15,$C$8,,,TRUE,TRUE,FALSE,$C$29:$C$31,$C$33),{1;2;3;4;5})),"")</f>
        <v/>
      </c>
      <c r="Q116" s="456"/>
      <c r="R116" s="456"/>
      <c r="S116" s="457"/>
      <c r="T116" s="458"/>
      <c r="U116" s="459" t="str">
        <f t="shared" ca="1" si="5"/>
        <v/>
      </c>
      <c r="V116" s="460" t="str">
        <f t="shared" ca="1" si="6"/>
        <v/>
      </c>
      <c r="W116" s="459" t="str">
        <f t="shared" ca="1" si="7"/>
        <v/>
      </c>
      <c r="X116" s="461" t="str">
        <f t="shared" ca="1" si="8"/>
        <v/>
      </c>
      <c r="Y116" s="460" t="str">
        <f t="shared" ca="1" si="9"/>
        <v/>
      </c>
      <c r="Z116" s="79"/>
    </row>
    <row r="117" spans="1:26" customFormat="1" ht="14.5">
      <c r="A117" s="232"/>
      <c r="B117" s="295">
        <v>79</v>
      </c>
      <c r="C117" s="265" t="s">
        <v>167</v>
      </c>
      <c r="D117" s="266">
        <v>1</v>
      </c>
      <c r="E117" s="256"/>
      <c r="F117" s="239">
        <v>0.4</v>
      </c>
      <c r="G117" s="469">
        <v>100</v>
      </c>
      <c r="H117" s="405">
        <v>103</v>
      </c>
      <c r="I117" s="424"/>
      <c r="J117" s="424"/>
      <c r="K117" s="436"/>
      <c r="L117" s="436"/>
      <c r="M117" s="436"/>
      <c r="N117" s="437"/>
      <c r="P117" s="455" t="str" cm="1">
        <f t="array" aca="1" ref="P117" ca="1">IF(AND($Q$12,B141&lt;=$C$17,C141&lt;&gt;""),TRANSPOSE(INDEX(GetCDS(C141,$C$6,$C$29,F141,D141,$C$13,$C$14,$C$15,$C$8,,,TRUE,TRUE,FALSE,$C$29:$C$31,$C$33),{1;2;3;4;5})),"")</f>
        <v/>
      </c>
      <c r="Q117" s="456"/>
      <c r="R117" s="456"/>
      <c r="S117" s="457"/>
      <c r="T117" s="458"/>
      <c r="U117" s="459" t="str">
        <f t="shared" ca="1" si="5"/>
        <v/>
      </c>
      <c r="V117" s="460" t="str">
        <f t="shared" ca="1" si="6"/>
        <v/>
      </c>
      <c r="W117" s="459" t="str">
        <f t="shared" ca="1" si="7"/>
        <v/>
      </c>
      <c r="X117" s="461" t="str">
        <f t="shared" ca="1" si="8"/>
        <v/>
      </c>
      <c r="Y117" s="460" t="str">
        <f t="shared" ca="1" si="9"/>
        <v/>
      </c>
      <c r="Z117" s="79"/>
    </row>
    <row r="118" spans="1:26" customFormat="1" ht="14.5">
      <c r="A118" s="232"/>
      <c r="B118" s="295">
        <v>80</v>
      </c>
      <c r="C118" s="265" t="s">
        <v>168</v>
      </c>
      <c r="D118" s="266">
        <v>1</v>
      </c>
      <c r="E118" s="256"/>
      <c r="F118" s="239">
        <v>0.4</v>
      </c>
      <c r="G118" s="469">
        <v>100</v>
      </c>
      <c r="H118" s="405">
        <v>104</v>
      </c>
      <c r="I118" s="424"/>
      <c r="J118" s="424"/>
      <c r="K118" s="436"/>
      <c r="L118" s="436"/>
      <c r="M118" s="436"/>
      <c r="N118" s="437"/>
      <c r="P118" s="455" t="str" cm="1">
        <f t="array" aca="1" ref="P118" ca="1">IF(AND($Q$12,B142&lt;=$C$17,C142&lt;&gt;""),TRANSPOSE(INDEX(GetCDS(C142,$C$6,$C$29,F142,D142,$C$13,$C$14,$C$15,$C$8,,,TRUE,TRUE,FALSE,$C$29:$C$31,$C$33),{1;2;3;4;5})),"")</f>
        <v/>
      </c>
      <c r="Q118" s="456"/>
      <c r="R118" s="456"/>
      <c r="S118" s="457"/>
      <c r="T118" s="458"/>
      <c r="U118" s="459" t="str">
        <f t="shared" ca="1" si="5"/>
        <v/>
      </c>
      <c r="V118" s="460" t="str">
        <f t="shared" ca="1" si="6"/>
        <v/>
      </c>
      <c r="W118" s="459" t="str">
        <f t="shared" ca="1" si="7"/>
        <v/>
      </c>
      <c r="X118" s="461" t="str">
        <f t="shared" ca="1" si="8"/>
        <v/>
      </c>
      <c r="Y118" s="460" t="str">
        <f t="shared" ca="1" si="9"/>
        <v/>
      </c>
      <c r="Z118" s="79"/>
    </row>
    <row r="119" spans="1:26" customFormat="1" ht="14.5">
      <c r="A119" s="232"/>
      <c r="B119" s="295">
        <v>81</v>
      </c>
      <c r="C119" s="265" t="s">
        <v>169</v>
      </c>
      <c r="D119" s="266">
        <v>1</v>
      </c>
      <c r="E119" s="256"/>
      <c r="F119" s="239">
        <v>0.4</v>
      </c>
      <c r="G119" s="469">
        <v>100</v>
      </c>
      <c r="H119" s="405">
        <v>105</v>
      </c>
      <c r="I119" s="424"/>
      <c r="J119" s="424"/>
      <c r="K119" s="436"/>
      <c r="L119" s="436"/>
      <c r="M119" s="436"/>
      <c r="N119" s="437"/>
      <c r="P119" s="455" t="str" cm="1">
        <f t="array" aca="1" ref="P119" ca="1">IF(AND($Q$12,B143&lt;=$C$17,C143&lt;&gt;""),TRANSPOSE(INDEX(GetCDS(C143,$C$6,$C$29,F143,D143,$C$13,$C$14,$C$15,$C$8,,,TRUE,TRUE,FALSE,$C$29:$C$31,$C$33),{1;2;3;4;5})),"")</f>
        <v/>
      </c>
      <c r="Q119" s="456"/>
      <c r="R119" s="456"/>
      <c r="S119" s="457"/>
      <c r="T119" s="458"/>
      <c r="U119" s="459" t="str">
        <f t="shared" ca="1" si="5"/>
        <v/>
      </c>
      <c r="V119" s="460" t="str">
        <f t="shared" ca="1" si="6"/>
        <v/>
      </c>
      <c r="W119" s="459" t="str">
        <f t="shared" ca="1" si="7"/>
        <v/>
      </c>
      <c r="X119" s="461" t="str">
        <f t="shared" ca="1" si="8"/>
        <v/>
      </c>
      <c r="Y119" s="460" t="str">
        <f t="shared" ca="1" si="9"/>
        <v/>
      </c>
      <c r="Z119" s="79"/>
    </row>
    <row r="120" spans="1:26" customFormat="1" ht="14.5">
      <c r="A120" s="232"/>
      <c r="B120" s="295">
        <v>82</v>
      </c>
      <c r="C120" s="265" t="s">
        <v>170</v>
      </c>
      <c r="D120" s="266">
        <v>1</v>
      </c>
      <c r="E120" s="256"/>
      <c r="F120" s="239">
        <v>0.4</v>
      </c>
      <c r="G120" s="469">
        <v>100</v>
      </c>
      <c r="H120" s="405">
        <v>106</v>
      </c>
      <c r="I120" s="424"/>
      <c r="J120" s="424"/>
      <c r="K120" s="436"/>
      <c r="L120" s="436"/>
      <c r="M120" s="436"/>
      <c r="N120" s="437"/>
      <c r="P120" s="455" t="str" cm="1">
        <f t="array" aca="1" ref="P120" ca="1">IF(AND($Q$12,B144&lt;=$C$17,C144&lt;&gt;""),TRANSPOSE(INDEX(GetCDS(C144,$C$6,$C$29,F144,D144,$C$13,$C$14,$C$15,$C$8,,,TRUE,TRUE,FALSE,$C$29:$C$31,$C$33),{1;2;3;4;5})),"")</f>
        <v/>
      </c>
      <c r="Q120" s="456"/>
      <c r="R120" s="456"/>
      <c r="S120" s="457"/>
      <c r="T120" s="458"/>
      <c r="U120" s="459" t="str">
        <f t="shared" ca="1" si="5"/>
        <v/>
      </c>
      <c r="V120" s="460" t="str">
        <f t="shared" ca="1" si="6"/>
        <v/>
      </c>
      <c r="W120" s="459" t="str">
        <f t="shared" ca="1" si="7"/>
        <v/>
      </c>
      <c r="X120" s="461" t="str">
        <f t="shared" ca="1" si="8"/>
        <v/>
      </c>
      <c r="Y120" s="460" t="str">
        <f t="shared" ca="1" si="9"/>
        <v/>
      </c>
      <c r="Z120" s="79"/>
    </row>
    <row r="121" spans="1:26" customFormat="1" ht="14.5">
      <c r="A121" s="232"/>
      <c r="B121" s="295">
        <v>83</v>
      </c>
      <c r="C121" s="265" t="s">
        <v>171</v>
      </c>
      <c r="D121" s="266">
        <v>1</v>
      </c>
      <c r="E121" s="256"/>
      <c r="F121" s="239">
        <v>0.4</v>
      </c>
      <c r="G121" s="469">
        <v>100</v>
      </c>
      <c r="H121" s="405">
        <v>107</v>
      </c>
      <c r="I121" s="424"/>
      <c r="J121" s="424"/>
      <c r="K121" s="436"/>
      <c r="L121" s="436"/>
      <c r="M121" s="436"/>
      <c r="N121" s="437"/>
      <c r="P121" s="455" t="str" cm="1">
        <f t="array" aca="1" ref="P121" ca="1">IF(AND($Q$12,B145&lt;=$C$17,C145&lt;&gt;""),TRANSPOSE(INDEX(GetCDS(C145,$C$6,$C$29,F145,D145,$C$13,$C$14,$C$15,$C$8,,,TRUE,TRUE,FALSE,$C$29:$C$31,$C$33),{1;2;3;4;5})),"")</f>
        <v/>
      </c>
      <c r="Q121" s="456"/>
      <c r="R121" s="456"/>
      <c r="S121" s="457"/>
      <c r="T121" s="458"/>
      <c r="U121" s="459" t="str">
        <f t="shared" ca="1" si="5"/>
        <v/>
      </c>
      <c r="V121" s="460" t="str">
        <f t="shared" ca="1" si="6"/>
        <v/>
      </c>
      <c r="W121" s="459" t="str">
        <f t="shared" ca="1" si="7"/>
        <v/>
      </c>
      <c r="X121" s="461" t="str">
        <f t="shared" ca="1" si="8"/>
        <v/>
      </c>
      <c r="Y121" s="460" t="str">
        <f t="shared" ca="1" si="9"/>
        <v/>
      </c>
      <c r="Z121" s="79"/>
    </row>
    <row r="122" spans="1:26" customFormat="1" ht="14.5">
      <c r="A122" s="232"/>
      <c r="B122" s="295">
        <v>84</v>
      </c>
      <c r="C122" s="265" t="s">
        <v>172</v>
      </c>
      <c r="D122" s="266">
        <v>1</v>
      </c>
      <c r="E122" s="256"/>
      <c r="F122" s="239">
        <v>0.4</v>
      </c>
      <c r="G122" s="469">
        <v>100</v>
      </c>
      <c r="H122" s="405">
        <v>108</v>
      </c>
      <c r="I122" s="424"/>
      <c r="J122" s="424"/>
      <c r="K122" s="436"/>
      <c r="L122" s="436"/>
      <c r="M122" s="436"/>
      <c r="N122" s="437"/>
      <c r="P122" s="455" t="str" cm="1">
        <f t="array" aca="1" ref="P122" ca="1">IF(AND($Q$12,B146&lt;=$C$17,C146&lt;&gt;""),TRANSPOSE(INDEX(GetCDS(C146,$C$6,$C$29,F146,D146,$C$13,$C$14,$C$15,$C$8,,,TRUE,TRUE,FALSE,$C$29:$C$31,$C$33),{1;2;3;4;5})),"")</f>
        <v/>
      </c>
      <c r="Q122" s="456"/>
      <c r="R122" s="456"/>
      <c r="S122" s="457"/>
      <c r="T122" s="458"/>
      <c r="U122" s="459" t="str">
        <f t="shared" ca="1" si="5"/>
        <v/>
      </c>
      <c r="V122" s="460" t="str">
        <f t="shared" ca="1" si="6"/>
        <v/>
      </c>
      <c r="W122" s="459" t="str">
        <f t="shared" ca="1" si="7"/>
        <v/>
      </c>
      <c r="X122" s="461" t="str">
        <f t="shared" ca="1" si="8"/>
        <v/>
      </c>
      <c r="Y122" s="460" t="str">
        <f t="shared" ca="1" si="9"/>
        <v/>
      </c>
      <c r="Z122" s="79"/>
    </row>
    <row r="123" spans="1:26" customFormat="1" ht="14.5">
      <c r="A123" s="232"/>
      <c r="B123" s="295">
        <v>85</v>
      </c>
      <c r="C123" s="265" t="s">
        <v>173</v>
      </c>
      <c r="D123" s="266">
        <v>1</v>
      </c>
      <c r="E123" s="256"/>
      <c r="F123" s="239">
        <v>0.4</v>
      </c>
      <c r="G123" s="469">
        <v>100</v>
      </c>
      <c r="H123" s="405">
        <v>109</v>
      </c>
      <c r="I123" s="424"/>
      <c r="J123" s="424"/>
      <c r="K123" s="436"/>
      <c r="L123" s="436"/>
      <c r="M123" s="436"/>
      <c r="N123" s="437"/>
      <c r="P123" s="455" t="str" cm="1">
        <f t="array" aca="1" ref="P123" ca="1">IF(AND($Q$12,B147&lt;=$C$17,C147&lt;&gt;""),TRANSPOSE(INDEX(GetCDS(C147,$C$6,$C$29,F147,D147,$C$13,$C$14,$C$15,$C$8,,,TRUE,TRUE,FALSE,$C$29:$C$31,$C$33),{1;2;3;4;5})),"")</f>
        <v/>
      </c>
      <c r="Q123" s="456"/>
      <c r="R123" s="456"/>
      <c r="S123" s="457"/>
      <c r="T123" s="458"/>
      <c r="U123" s="459" t="str">
        <f t="shared" ca="1" si="5"/>
        <v/>
      </c>
      <c r="V123" s="460" t="str">
        <f t="shared" ca="1" si="6"/>
        <v/>
      </c>
      <c r="W123" s="459" t="str">
        <f t="shared" ca="1" si="7"/>
        <v/>
      </c>
      <c r="X123" s="461" t="str">
        <f t="shared" ca="1" si="8"/>
        <v/>
      </c>
      <c r="Y123" s="460" t="str">
        <f t="shared" ca="1" si="9"/>
        <v/>
      </c>
      <c r="Z123" s="79"/>
    </row>
    <row r="124" spans="1:26" customFormat="1" ht="14.5">
      <c r="A124" s="232"/>
      <c r="B124" s="295">
        <v>86</v>
      </c>
      <c r="C124" s="265" t="s">
        <v>174</v>
      </c>
      <c r="D124" s="266">
        <v>1</v>
      </c>
      <c r="E124" s="256"/>
      <c r="F124" s="239">
        <v>0.4</v>
      </c>
      <c r="G124" s="469">
        <v>100</v>
      </c>
      <c r="H124" s="405">
        <v>110</v>
      </c>
      <c r="I124" s="424"/>
      <c r="J124" s="424"/>
      <c r="K124" s="436"/>
      <c r="L124" s="436"/>
      <c r="M124" s="436"/>
      <c r="N124" s="437"/>
      <c r="P124" s="455" t="str" cm="1">
        <f t="array" aca="1" ref="P124" ca="1">IF(AND($Q$12,B148&lt;=$C$17,C148&lt;&gt;""),TRANSPOSE(INDEX(GetCDS(C148,$C$6,$C$29,F148,D148,$C$13,$C$14,$C$15,$C$8,,,TRUE,TRUE,FALSE,$C$29:$C$31,$C$33),{1;2;3;4;5})),"")</f>
        <v/>
      </c>
      <c r="Q124" s="456"/>
      <c r="R124" s="456"/>
      <c r="S124" s="457"/>
      <c r="T124" s="458"/>
      <c r="U124" s="459" t="str">
        <f t="shared" ca="1" si="5"/>
        <v/>
      </c>
      <c r="V124" s="460" t="str">
        <f t="shared" ca="1" si="6"/>
        <v/>
      </c>
      <c r="W124" s="459" t="str">
        <f t="shared" ca="1" si="7"/>
        <v/>
      </c>
      <c r="X124" s="461" t="str">
        <f t="shared" ca="1" si="8"/>
        <v/>
      </c>
      <c r="Y124" s="460" t="str">
        <f t="shared" ca="1" si="9"/>
        <v/>
      </c>
      <c r="Z124" s="79"/>
    </row>
    <row r="125" spans="1:26" customFormat="1" ht="14.5">
      <c r="A125" s="232"/>
      <c r="B125" s="295">
        <v>87</v>
      </c>
      <c r="C125" s="265" t="s">
        <v>175</v>
      </c>
      <c r="D125" s="266">
        <v>1</v>
      </c>
      <c r="E125" s="256"/>
      <c r="F125" s="239">
        <v>0.4</v>
      </c>
      <c r="G125" s="469">
        <v>100</v>
      </c>
      <c r="H125" s="405">
        <v>111</v>
      </c>
      <c r="I125" s="424"/>
      <c r="J125" s="424"/>
      <c r="K125" s="436"/>
      <c r="L125" s="436"/>
      <c r="M125" s="436"/>
      <c r="N125" s="437"/>
      <c r="P125" s="455" t="str" cm="1">
        <f t="array" aca="1" ref="P125" ca="1">IF(AND($Q$12,B149&lt;=$C$17,C149&lt;&gt;""),TRANSPOSE(INDEX(GetCDS(C149,$C$6,$C$29,F149,D149,$C$13,$C$14,$C$15,$C$8,,,TRUE,TRUE,FALSE,$C$29:$C$31,$C$33),{1;2;3;4;5})),"")</f>
        <v/>
      </c>
      <c r="Q125" s="456"/>
      <c r="R125" s="456"/>
      <c r="S125" s="457"/>
      <c r="T125" s="458"/>
      <c r="U125" s="459" t="str">
        <f t="shared" ca="1" si="5"/>
        <v/>
      </c>
      <c r="V125" s="460" t="str">
        <f t="shared" ca="1" si="6"/>
        <v/>
      </c>
      <c r="W125" s="459" t="str">
        <f t="shared" ca="1" si="7"/>
        <v/>
      </c>
      <c r="X125" s="461" t="str">
        <f t="shared" ca="1" si="8"/>
        <v/>
      </c>
      <c r="Y125" s="460" t="str">
        <f t="shared" ca="1" si="9"/>
        <v/>
      </c>
      <c r="Z125" s="79"/>
    </row>
    <row r="126" spans="1:26" customFormat="1" ht="14.5">
      <c r="A126" s="232"/>
      <c r="B126" s="295">
        <v>88</v>
      </c>
      <c r="C126" s="265" t="s">
        <v>176</v>
      </c>
      <c r="D126" s="266">
        <v>1</v>
      </c>
      <c r="E126" s="256"/>
      <c r="F126" s="239">
        <v>0.4</v>
      </c>
      <c r="G126" s="469">
        <v>100</v>
      </c>
      <c r="H126" s="405">
        <v>112</v>
      </c>
      <c r="I126" s="424"/>
      <c r="J126" s="424"/>
      <c r="K126" s="436"/>
      <c r="L126" s="436"/>
      <c r="M126" s="436"/>
      <c r="N126" s="437"/>
      <c r="P126" s="455" t="str" cm="1">
        <f t="array" aca="1" ref="P126" ca="1">IF(AND($Q$12,B150&lt;=$C$17,C150&lt;&gt;""),TRANSPOSE(INDEX(GetCDS(C150,$C$6,$C$29,F150,D150,$C$13,$C$14,$C$15,$C$8,,,TRUE,TRUE,FALSE,$C$29:$C$31,$C$33),{1;2;3;4;5})),"")</f>
        <v/>
      </c>
      <c r="Q126" s="456"/>
      <c r="R126" s="456"/>
      <c r="S126" s="457"/>
      <c r="T126" s="458"/>
      <c r="U126" s="459" t="str">
        <f t="shared" ca="1" si="5"/>
        <v/>
      </c>
      <c r="V126" s="460" t="str">
        <f t="shared" ca="1" si="6"/>
        <v/>
      </c>
      <c r="W126" s="459" t="str">
        <f t="shared" ca="1" si="7"/>
        <v/>
      </c>
      <c r="X126" s="461" t="str">
        <f t="shared" ca="1" si="8"/>
        <v/>
      </c>
      <c r="Y126" s="460" t="str">
        <f t="shared" ca="1" si="9"/>
        <v/>
      </c>
      <c r="Z126" s="79"/>
    </row>
    <row r="127" spans="1:26" customFormat="1" ht="14.5">
      <c r="A127" s="232"/>
      <c r="B127" s="295">
        <v>89</v>
      </c>
      <c r="C127" s="265" t="s">
        <v>177</v>
      </c>
      <c r="D127" s="266">
        <v>1</v>
      </c>
      <c r="E127" s="256"/>
      <c r="F127" s="239">
        <v>0.4</v>
      </c>
      <c r="G127" s="469">
        <v>100</v>
      </c>
      <c r="H127" s="405">
        <v>113</v>
      </c>
      <c r="I127" s="424"/>
      <c r="J127" s="424"/>
      <c r="K127" s="436"/>
      <c r="L127" s="436"/>
      <c r="M127" s="436"/>
      <c r="N127" s="437"/>
      <c r="P127" s="455" t="str" cm="1">
        <f t="array" aca="1" ref="P127" ca="1">IF(AND($Q$12,B151&lt;=$C$17,C151&lt;&gt;""),TRANSPOSE(INDEX(GetCDS(C151,$C$6,$C$29,F151,D151,$C$13,$C$14,$C$15,$C$8,,,TRUE,TRUE,FALSE,$C$29:$C$31,$C$33),{1;2;3;4;5})),"")</f>
        <v/>
      </c>
      <c r="Q127" s="456"/>
      <c r="R127" s="456"/>
      <c r="S127" s="457"/>
      <c r="T127" s="458"/>
      <c r="U127" s="459" t="str">
        <f t="shared" ca="1" si="5"/>
        <v/>
      </c>
      <c r="V127" s="460" t="str">
        <f t="shared" ca="1" si="6"/>
        <v/>
      </c>
      <c r="W127" s="459" t="str">
        <f t="shared" ca="1" si="7"/>
        <v/>
      </c>
      <c r="X127" s="461" t="str">
        <f t="shared" ca="1" si="8"/>
        <v/>
      </c>
      <c r="Y127" s="460" t="str">
        <f t="shared" ca="1" si="9"/>
        <v/>
      </c>
      <c r="Z127" s="79"/>
    </row>
    <row r="128" spans="1:26" customFormat="1" ht="14.5">
      <c r="A128" s="232"/>
      <c r="B128" s="295">
        <v>90</v>
      </c>
      <c r="C128" s="265" t="s">
        <v>178</v>
      </c>
      <c r="D128" s="266">
        <v>1</v>
      </c>
      <c r="E128" s="256"/>
      <c r="F128" s="239">
        <v>0.4</v>
      </c>
      <c r="G128" s="469">
        <v>100</v>
      </c>
      <c r="H128" s="405">
        <v>114</v>
      </c>
      <c r="I128" s="424"/>
      <c r="J128" s="424"/>
      <c r="K128" s="436"/>
      <c r="L128" s="436"/>
      <c r="M128" s="436"/>
      <c r="N128" s="437"/>
      <c r="P128" s="455" t="str" cm="1">
        <f t="array" aca="1" ref="P128" ca="1">IF(AND($Q$12,B152&lt;=$C$17,C152&lt;&gt;""),TRANSPOSE(INDEX(GetCDS(C152,$C$6,$C$29,F152,D152,$C$13,$C$14,$C$15,$C$8,,,TRUE,TRUE,FALSE,$C$29:$C$31,$C$33),{1;2;3;4;5})),"")</f>
        <v/>
      </c>
      <c r="Q128" s="456"/>
      <c r="R128" s="456"/>
      <c r="S128" s="457"/>
      <c r="T128" s="458"/>
      <c r="U128" s="459" t="str">
        <f t="shared" ca="1" si="5"/>
        <v/>
      </c>
      <c r="V128" s="460" t="str">
        <f t="shared" ca="1" si="6"/>
        <v/>
      </c>
      <c r="W128" s="459" t="str">
        <f t="shared" ca="1" si="7"/>
        <v/>
      </c>
      <c r="X128" s="461" t="str">
        <f t="shared" ca="1" si="8"/>
        <v/>
      </c>
      <c r="Y128" s="460" t="str">
        <f t="shared" ca="1" si="9"/>
        <v/>
      </c>
      <c r="Z128" s="79"/>
    </row>
    <row r="129" spans="1:26" customFormat="1" ht="14.5">
      <c r="A129" s="232"/>
      <c r="B129" s="295">
        <v>91</v>
      </c>
      <c r="C129" s="265" t="s">
        <v>179</v>
      </c>
      <c r="D129" s="266">
        <v>1</v>
      </c>
      <c r="E129" s="256"/>
      <c r="F129" s="239">
        <v>0.4</v>
      </c>
      <c r="G129" s="469">
        <v>100</v>
      </c>
      <c r="H129" s="405">
        <v>115</v>
      </c>
      <c r="I129" s="424"/>
      <c r="J129" s="424"/>
      <c r="K129" s="436"/>
      <c r="L129" s="436"/>
      <c r="M129" s="436"/>
      <c r="N129" s="437"/>
      <c r="P129" s="455" t="str" cm="1">
        <f t="array" aca="1" ref="P129" ca="1">IF(AND($Q$12,B153&lt;=$C$17,C153&lt;&gt;""),TRANSPOSE(INDEX(GetCDS(C153,$C$6,$C$29,F153,D153,$C$13,$C$14,$C$15,$C$8,,,TRUE,TRUE,FALSE,$C$29:$C$31,$C$33),{1;2;3;4;5})),"")</f>
        <v/>
      </c>
      <c r="Q129" s="456"/>
      <c r="R129" s="456"/>
      <c r="S129" s="457"/>
      <c r="T129" s="458"/>
      <c r="U129" s="459" t="str">
        <f t="shared" ca="1" si="5"/>
        <v/>
      </c>
      <c r="V129" s="460" t="str">
        <f t="shared" ca="1" si="6"/>
        <v/>
      </c>
      <c r="W129" s="459" t="str">
        <f t="shared" ca="1" si="7"/>
        <v/>
      </c>
      <c r="X129" s="461" t="str">
        <f t="shared" ca="1" si="8"/>
        <v/>
      </c>
      <c r="Y129" s="460" t="str">
        <f t="shared" ca="1" si="9"/>
        <v/>
      </c>
      <c r="Z129" s="79"/>
    </row>
    <row r="130" spans="1:26" customFormat="1" ht="14.5">
      <c r="A130" s="232"/>
      <c r="B130" s="295">
        <v>92</v>
      </c>
      <c r="C130" s="265" t="s">
        <v>180</v>
      </c>
      <c r="D130" s="266">
        <v>1</v>
      </c>
      <c r="E130" s="256"/>
      <c r="F130" s="239">
        <v>0.4</v>
      </c>
      <c r="G130" s="469">
        <v>100</v>
      </c>
      <c r="H130" s="405">
        <v>116</v>
      </c>
      <c r="I130" s="424"/>
      <c r="J130" s="424"/>
      <c r="K130" s="436"/>
      <c r="L130" s="436"/>
      <c r="M130" s="436"/>
      <c r="N130" s="437"/>
      <c r="P130" s="455" t="str" cm="1">
        <f t="array" aca="1" ref="P130" ca="1">IF(AND($Q$12,B154&lt;=$C$17,C154&lt;&gt;""),TRANSPOSE(INDEX(GetCDS(C154,$C$6,$C$29,F154,D154,$C$13,$C$14,$C$15,$C$8,,,TRUE,TRUE,FALSE,$C$29:$C$31,$C$33),{1;2;3;4;5})),"")</f>
        <v/>
      </c>
      <c r="Q130" s="456"/>
      <c r="R130" s="456"/>
      <c r="S130" s="457"/>
      <c r="T130" s="458"/>
      <c r="U130" s="459" t="str">
        <f t="shared" ca="1" si="5"/>
        <v/>
      </c>
      <c r="V130" s="460" t="str">
        <f t="shared" ca="1" si="6"/>
        <v/>
      </c>
      <c r="W130" s="459" t="str">
        <f t="shared" ca="1" si="7"/>
        <v/>
      </c>
      <c r="X130" s="461" t="str">
        <f t="shared" ca="1" si="8"/>
        <v/>
      </c>
      <c r="Y130" s="460" t="str">
        <f t="shared" ca="1" si="9"/>
        <v/>
      </c>
      <c r="Z130" s="79"/>
    </row>
    <row r="131" spans="1:26" customFormat="1" ht="14.5">
      <c r="A131" s="232"/>
      <c r="B131" s="295">
        <v>93</v>
      </c>
      <c r="C131" s="265" t="s">
        <v>181</v>
      </c>
      <c r="D131" s="266">
        <v>1</v>
      </c>
      <c r="E131" s="256"/>
      <c r="F131" s="239">
        <v>0.4</v>
      </c>
      <c r="G131" s="469">
        <v>100</v>
      </c>
      <c r="H131" s="405">
        <v>117</v>
      </c>
      <c r="I131" s="424"/>
      <c r="J131" s="424"/>
      <c r="K131" s="436"/>
      <c r="L131" s="436"/>
      <c r="M131" s="436"/>
      <c r="N131" s="437"/>
      <c r="P131" s="455" t="str" cm="1">
        <f t="array" aca="1" ref="P131" ca="1">IF(AND($Q$12,B155&lt;=$C$17,C155&lt;&gt;""),TRANSPOSE(INDEX(GetCDS(C155,$C$6,$C$29,F155,D155,$C$13,$C$14,$C$15,$C$8,,,TRUE,TRUE,FALSE,$C$29:$C$31,$C$33),{1;2;3;4;5})),"")</f>
        <v/>
      </c>
      <c r="Q131" s="456"/>
      <c r="R131" s="456"/>
      <c r="S131" s="457"/>
      <c r="T131" s="458"/>
      <c r="U131" s="459" t="str">
        <f t="shared" ca="1" si="5"/>
        <v/>
      </c>
      <c r="V131" s="460" t="str">
        <f t="shared" ca="1" si="6"/>
        <v/>
      </c>
      <c r="W131" s="459" t="str">
        <f t="shared" ca="1" si="7"/>
        <v/>
      </c>
      <c r="X131" s="461" t="str">
        <f t="shared" ca="1" si="8"/>
        <v/>
      </c>
      <c r="Y131" s="460" t="str">
        <f t="shared" ca="1" si="9"/>
        <v/>
      </c>
      <c r="Z131" s="79"/>
    </row>
    <row r="132" spans="1:26" customFormat="1" ht="14.5">
      <c r="A132" s="232"/>
      <c r="B132" s="295">
        <v>94</v>
      </c>
      <c r="C132" s="265" t="s">
        <v>182</v>
      </c>
      <c r="D132" s="266">
        <v>1</v>
      </c>
      <c r="E132" s="256"/>
      <c r="F132" s="239">
        <v>0.4</v>
      </c>
      <c r="G132" s="469">
        <v>100</v>
      </c>
      <c r="H132" s="405">
        <v>118</v>
      </c>
      <c r="I132" s="424"/>
      <c r="J132" s="424"/>
      <c r="K132" s="436"/>
      <c r="L132" s="436"/>
      <c r="M132" s="436"/>
      <c r="N132" s="437"/>
      <c r="P132" s="455" t="str" cm="1">
        <f t="array" aca="1" ref="P132" ca="1">IF(AND($Q$12,B156&lt;=$C$17,C156&lt;&gt;""),TRANSPOSE(INDEX(GetCDS(C156,$C$6,$C$29,F156,D156,$C$13,$C$14,$C$15,$C$8,,,TRUE,TRUE,FALSE,$C$29:$C$31,$C$33),{1;2;3;4;5})),"")</f>
        <v/>
      </c>
      <c r="Q132" s="456"/>
      <c r="R132" s="456"/>
      <c r="S132" s="457"/>
      <c r="T132" s="458"/>
      <c r="U132" s="459" t="str">
        <f t="shared" ca="1" si="5"/>
        <v/>
      </c>
      <c r="V132" s="460" t="str">
        <f t="shared" ca="1" si="6"/>
        <v/>
      </c>
      <c r="W132" s="459" t="str">
        <f t="shared" ca="1" si="7"/>
        <v/>
      </c>
      <c r="X132" s="461" t="str">
        <f t="shared" ca="1" si="8"/>
        <v/>
      </c>
      <c r="Y132" s="460" t="str">
        <f t="shared" ca="1" si="9"/>
        <v/>
      </c>
      <c r="Z132" s="79"/>
    </row>
    <row r="133" spans="1:26" customFormat="1" ht="14.5">
      <c r="A133" s="232"/>
      <c r="B133" s="295">
        <v>95</v>
      </c>
      <c r="C133" s="265" t="s">
        <v>183</v>
      </c>
      <c r="D133" s="266">
        <v>1</v>
      </c>
      <c r="E133" s="256"/>
      <c r="F133" s="239">
        <v>0.4</v>
      </c>
      <c r="G133" s="469">
        <v>100</v>
      </c>
      <c r="H133" s="405">
        <v>119</v>
      </c>
      <c r="I133" s="424"/>
      <c r="J133" s="424"/>
      <c r="K133" s="436"/>
      <c r="L133" s="436"/>
      <c r="M133" s="436"/>
      <c r="N133" s="437"/>
      <c r="P133" s="455" t="str" cm="1">
        <f t="array" aca="1" ref="P133" ca="1">IF(AND($Q$12,B157&lt;=$C$17,C157&lt;&gt;""),TRANSPOSE(INDEX(GetCDS(C157,$C$6,$C$29,F157,D157,$C$13,$C$14,$C$15,$C$8,,,TRUE,TRUE,FALSE,$C$29:$C$31,$C$33),{1;2;3;4;5})),"")</f>
        <v/>
      </c>
      <c r="Q133" s="456"/>
      <c r="R133" s="456"/>
      <c r="S133" s="457"/>
      <c r="T133" s="458"/>
      <c r="U133" s="459" t="str">
        <f t="shared" ca="1" si="5"/>
        <v/>
      </c>
      <c r="V133" s="460" t="str">
        <f t="shared" ca="1" si="6"/>
        <v/>
      </c>
      <c r="W133" s="459" t="str">
        <f t="shared" ca="1" si="7"/>
        <v/>
      </c>
      <c r="X133" s="461" t="str">
        <f t="shared" ca="1" si="8"/>
        <v/>
      </c>
      <c r="Y133" s="460" t="str">
        <f t="shared" ca="1" si="9"/>
        <v/>
      </c>
      <c r="Z133" s="79"/>
    </row>
    <row r="134" spans="1:26" customFormat="1" ht="14.5">
      <c r="A134" s="232"/>
      <c r="B134" s="295">
        <v>96</v>
      </c>
      <c r="C134" s="265" t="s">
        <v>184</v>
      </c>
      <c r="D134" s="266">
        <v>1</v>
      </c>
      <c r="E134" s="256"/>
      <c r="F134" s="239">
        <v>0.4</v>
      </c>
      <c r="G134" s="469">
        <v>100</v>
      </c>
      <c r="H134" s="405">
        <v>120</v>
      </c>
      <c r="I134" s="424"/>
      <c r="J134" s="424"/>
      <c r="K134" s="436"/>
      <c r="L134" s="436"/>
      <c r="M134" s="436"/>
      <c r="N134" s="437"/>
      <c r="P134" s="455" t="str" cm="1">
        <f t="array" aca="1" ref="P134" ca="1">IF(AND($Q$12,B158&lt;=$C$17,C158&lt;&gt;""),TRANSPOSE(INDEX(GetCDS(C158,$C$6,$C$29,F158,D158,$C$13,$C$14,$C$15,$C$8,,,TRUE,TRUE,FALSE,$C$29:$C$31,$C$33),{1;2;3;4;5})),"")</f>
        <v/>
      </c>
      <c r="Q134" s="456"/>
      <c r="R134" s="456"/>
      <c r="S134" s="457"/>
      <c r="T134" s="458"/>
      <c r="U134" s="459" t="str">
        <f t="shared" ca="1" si="5"/>
        <v/>
      </c>
      <c r="V134" s="460" t="str">
        <f t="shared" ca="1" si="6"/>
        <v/>
      </c>
      <c r="W134" s="459" t="str">
        <f t="shared" ca="1" si="7"/>
        <v/>
      </c>
      <c r="X134" s="461" t="str">
        <f t="shared" ca="1" si="8"/>
        <v/>
      </c>
      <c r="Y134" s="460" t="str">
        <f t="shared" ca="1" si="9"/>
        <v/>
      </c>
      <c r="Z134" s="79"/>
    </row>
    <row r="135" spans="1:26" customFormat="1" ht="14.5">
      <c r="A135" s="232"/>
      <c r="B135" s="295">
        <v>97</v>
      </c>
      <c r="C135" s="265" t="s">
        <v>185</v>
      </c>
      <c r="D135" s="266">
        <v>1</v>
      </c>
      <c r="E135" s="256"/>
      <c r="F135" s="239">
        <v>0.4</v>
      </c>
      <c r="G135" s="469">
        <v>100</v>
      </c>
      <c r="H135" s="405">
        <v>121</v>
      </c>
      <c r="I135" s="424"/>
      <c r="J135" s="424"/>
      <c r="K135" s="436"/>
      <c r="L135" s="436"/>
      <c r="M135" s="436"/>
      <c r="N135" s="437"/>
      <c r="P135" s="455" t="str" cm="1">
        <f t="array" aca="1" ref="P135" ca="1">IF(AND($Q$12,B159&lt;=$C$17,C159&lt;&gt;""),TRANSPOSE(INDEX(GetCDS(C159,$C$6,$C$29,F159,D159,$C$13,$C$14,$C$15,$C$8,,,TRUE,TRUE,FALSE,$C$29:$C$31,$C$33),{1;2;3;4;5})),"")</f>
        <v/>
      </c>
      <c r="Q135" s="456"/>
      <c r="R135" s="456"/>
      <c r="S135" s="457"/>
      <c r="T135" s="458"/>
      <c r="U135" s="459" t="str">
        <f t="shared" ca="1" si="5"/>
        <v/>
      </c>
      <c r="V135" s="460" t="str">
        <f t="shared" ca="1" si="6"/>
        <v/>
      </c>
      <c r="W135" s="459" t="str">
        <f t="shared" ca="1" si="7"/>
        <v/>
      </c>
      <c r="X135" s="461" t="str">
        <f t="shared" ca="1" si="8"/>
        <v/>
      </c>
      <c r="Y135" s="460" t="str">
        <f t="shared" ca="1" si="9"/>
        <v/>
      </c>
      <c r="Z135" s="79"/>
    </row>
    <row r="136" spans="1:26" customFormat="1" ht="14.5">
      <c r="A136" s="232"/>
      <c r="B136" s="295">
        <v>98</v>
      </c>
      <c r="C136" s="265" t="s">
        <v>186</v>
      </c>
      <c r="D136" s="266">
        <v>1</v>
      </c>
      <c r="E136" s="256"/>
      <c r="F136" s="239">
        <v>0.4</v>
      </c>
      <c r="G136" s="469">
        <v>100</v>
      </c>
      <c r="H136" s="405">
        <v>122</v>
      </c>
      <c r="I136" s="424"/>
      <c r="J136" s="424"/>
      <c r="K136" s="436"/>
      <c r="L136" s="436"/>
      <c r="M136" s="436"/>
      <c r="N136" s="437"/>
      <c r="P136" s="455" t="str" cm="1">
        <f t="array" aca="1" ref="P136" ca="1">IF(AND($Q$12,B160&lt;=$C$17,C160&lt;&gt;""),TRANSPOSE(INDEX(GetCDS(C160,$C$6,$C$29,F160,D160,$C$13,$C$14,$C$15,$C$8,,,TRUE,TRUE,FALSE,$C$29:$C$31,$C$33),{1;2;3;4;5})),"")</f>
        <v/>
      </c>
      <c r="Q136" s="456"/>
      <c r="R136" s="456"/>
      <c r="S136" s="457"/>
      <c r="T136" s="458"/>
      <c r="U136" s="459" t="str">
        <f t="shared" ca="1" si="5"/>
        <v/>
      </c>
      <c r="V136" s="460" t="str">
        <f t="shared" ca="1" si="6"/>
        <v/>
      </c>
      <c r="W136" s="459" t="str">
        <f t="shared" ca="1" si="7"/>
        <v/>
      </c>
      <c r="X136" s="461" t="str">
        <f t="shared" ca="1" si="8"/>
        <v/>
      </c>
      <c r="Y136" s="460" t="str">
        <f t="shared" ca="1" si="9"/>
        <v/>
      </c>
      <c r="Z136" s="79"/>
    </row>
    <row r="137" spans="1:26" customFormat="1" ht="14.5">
      <c r="A137" s="232"/>
      <c r="B137" s="295">
        <v>99</v>
      </c>
      <c r="C137" s="265" t="s">
        <v>187</v>
      </c>
      <c r="D137" s="266">
        <v>1</v>
      </c>
      <c r="E137" s="256"/>
      <c r="F137" s="239">
        <v>0.4</v>
      </c>
      <c r="G137" s="469">
        <v>100</v>
      </c>
      <c r="H137" s="405">
        <v>123</v>
      </c>
      <c r="I137" s="424"/>
      <c r="J137" s="424"/>
      <c r="K137" s="436"/>
      <c r="L137" s="436"/>
      <c r="M137" s="436"/>
      <c r="N137" s="437"/>
      <c r="P137" s="455" t="str" cm="1">
        <f t="array" aca="1" ref="P137" ca="1">IF(AND($Q$12,B161&lt;=$C$17,C161&lt;&gt;""),TRANSPOSE(INDEX(GetCDS(C161,$C$6,$C$29,F161,D161,$C$13,$C$14,$C$15,$C$8,,,TRUE,TRUE,FALSE,$C$29:$C$31,$C$33),{1;2;3;4;5})),"")</f>
        <v/>
      </c>
      <c r="Q137" s="456"/>
      <c r="R137" s="456"/>
      <c r="S137" s="457"/>
      <c r="T137" s="458"/>
      <c r="U137" s="459" t="str">
        <f t="shared" ca="1" si="5"/>
        <v/>
      </c>
      <c r="V137" s="460" t="str">
        <f t="shared" ca="1" si="6"/>
        <v/>
      </c>
      <c r="W137" s="459" t="str">
        <f t="shared" ca="1" si="7"/>
        <v/>
      </c>
      <c r="X137" s="461" t="str">
        <f t="shared" ca="1" si="8"/>
        <v/>
      </c>
      <c r="Y137" s="460" t="str">
        <f t="shared" ca="1" si="9"/>
        <v/>
      </c>
      <c r="Z137" s="79"/>
    </row>
    <row r="138" spans="1:26" customFormat="1" ht="14.5">
      <c r="A138" s="232"/>
      <c r="B138" s="295">
        <v>100</v>
      </c>
      <c r="C138" s="265" t="s">
        <v>188</v>
      </c>
      <c r="D138" s="266">
        <v>1</v>
      </c>
      <c r="E138" s="256"/>
      <c r="F138" s="239">
        <v>0.4</v>
      </c>
      <c r="G138" s="469">
        <v>100</v>
      </c>
      <c r="H138" s="405">
        <v>124</v>
      </c>
      <c r="I138" s="424"/>
      <c r="J138" s="424"/>
      <c r="K138" s="436"/>
      <c r="L138" s="436"/>
      <c r="M138" s="436"/>
      <c r="N138" s="437"/>
      <c r="P138" s="455" t="str" cm="1">
        <f t="array" aca="1" ref="P138" ca="1">IF(AND($Q$12,B162&lt;=$C$17,C162&lt;&gt;""),TRANSPOSE(INDEX(GetCDS(C162,$C$6,$C$29,F162,D162,$C$13,$C$14,$C$15,$C$8,,,TRUE,TRUE,FALSE,$C$29:$C$31,$C$33),{1;2;3;4;5})),"")</f>
        <v/>
      </c>
      <c r="Q138" s="456"/>
      <c r="R138" s="456"/>
      <c r="S138" s="457"/>
      <c r="T138" s="458"/>
      <c r="U138" s="459" t="str">
        <f t="shared" ca="1" si="5"/>
        <v/>
      </c>
      <c r="V138" s="460" t="str">
        <f t="shared" ca="1" si="6"/>
        <v/>
      </c>
      <c r="W138" s="459" t="str">
        <f t="shared" ca="1" si="7"/>
        <v/>
      </c>
      <c r="X138" s="461" t="str">
        <f t="shared" ca="1" si="8"/>
        <v/>
      </c>
      <c r="Y138" s="460" t="str">
        <f t="shared" ca="1" si="9"/>
        <v/>
      </c>
      <c r="Z138" s="79"/>
    </row>
    <row r="139" spans="1:26" customFormat="1" ht="14.5">
      <c r="A139" s="232"/>
      <c r="B139" s="295">
        <v>101</v>
      </c>
      <c r="C139" s="265"/>
      <c r="D139" s="266"/>
      <c r="E139" s="256"/>
      <c r="F139" s="239"/>
      <c r="G139" s="246"/>
      <c r="H139" s="405">
        <v>125</v>
      </c>
      <c r="I139" s="424"/>
      <c r="J139" s="424"/>
      <c r="K139" s="436"/>
      <c r="L139" s="436"/>
      <c r="M139" s="436"/>
      <c r="N139" s="437"/>
      <c r="P139" s="455" t="str" cm="1">
        <f t="array" aca="1" ref="P139" ca="1">IF(AND($Q$12,B163&lt;=$C$17,C163&lt;&gt;""),TRANSPOSE(INDEX(GetCDS(C163,$C$6,$C$29,F163,D163,$C$13,$C$14,$C$15,$C$8,,,TRUE,TRUE,FALSE,$C$29:$C$31,$C$33),{1;2;3;4;5})),"")</f>
        <v/>
      </c>
      <c r="Q139" s="456"/>
      <c r="R139" s="456"/>
      <c r="S139" s="457"/>
      <c r="T139" s="458"/>
      <c r="U139" s="459" t="str">
        <f t="shared" ca="1" si="5"/>
        <v/>
      </c>
      <c r="V139" s="460" t="str">
        <f t="shared" ca="1" si="6"/>
        <v/>
      </c>
      <c r="W139" s="459" t="str">
        <f t="shared" ca="1" si="7"/>
        <v/>
      </c>
      <c r="X139" s="461" t="str">
        <f t="shared" ca="1" si="8"/>
        <v/>
      </c>
      <c r="Y139" s="460" t="str">
        <f t="shared" ca="1" si="9"/>
        <v/>
      </c>
      <c r="Z139" s="79"/>
    </row>
    <row r="140" spans="1:26" customFormat="1" ht="14.5">
      <c r="A140" s="232"/>
      <c r="B140" s="295">
        <v>102</v>
      </c>
      <c r="C140" s="265"/>
      <c r="D140" s="266"/>
      <c r="E140" s="256"/>
      <c r="F140" s="239"/>
      <c r="G140" s="246"/>
      <c r="H140" s="405">
        <v>126</v>
      </c>
      <c r="I140" s="424"/>
      <c r="J140" s="424"/>
      <c r="K140" s="436"/>
      <c r="L140" s="436"/>
      <c r="M140" s="424"/>
      <c r="N140" s="438"/>
      <c r="P140" s="455" t="str" cm="1">
        <f t="array" aca="1" ref="P140" ca="1">IF(AND($Q$12,B164&lt;=$C$17,C164&lt;&gt;""),TRANSPOSE(INDEX(GetCDS(C164,$C$6,$C$29,F164,D164,$C$13,$C$14,$C$15,$C$8,,,TRUE,TRUE,FALSE,$C$29:$C$31,$C$33),{1;2;3;4;5})),"")</f>
        <v/>
      </c>
      <c r="Q140" s="456"/>
      <c r="R140" s="456"/>
      <c r="S140" s="457"/>
      <c r="T140" s="458"/>
      <c r="U140" s="459" t="str">
        <f t="shared" ca="1" si="5"/>
        <v/>
      </c>
      <c r="V140" s="460" t="str">
        <f t="shared" ca="1" si="6"/>
        <v/>
      </c>
      <c r="W140" s="459" t="str">
        <f t="shared" ca="1" si="7"/>
        <v/>
      </c>
      <c r="X140" s="461" t="str">
        <f t="shared" ca="1" si="8"/>
        <v/>
      </c>
      <c r="Y140" s="460" t="str">
        <f t="shared" ca="1" si="9"/>
        <v/>
      </c>
      <c r="Z140" s="79"/>
    </row>
    <row r="141" spans="1:26" customFormat="1" ht="14.5">
      <c r="A141" s="232"/>
      <c r="B141" s="295">
        <v>103</v>
      </c>
      <c r="C141" s="265"/>
      <c r="D141" s="266"/>
      <c r="E141" s="256"/>
      <c r="F141" s="239"/>
      <c r="G141" s="246"/>
      <c r="H141" s="405">
        <v>127</v>
      </c>
      <c r="I141" s="424"/>
      <c r="J141" s="424"/>
      <c r="K141" s="436"/>
      <c r="L141" s="436"/>
      <c r="M141" s="424"/>
      <c r="N141" s="438"/>
      <c r="P141" s="455" t="str" cm="1">
        <f t="array" aca="1" ref="P141" ca="1">IF(AND($Q$12,B165&lt;=$C$17,C165&lt;&gt;""),TRANSPOSE(INDEX(GetCDS(C165,$C$6,$C$29,F165,D165,$C$13,$C$14,$C$15,$C$8,,,TRUE,TRUE,FALSE,$C$29:$C$31,$C$33),{1;2;3;4;5})),"")</f>
        <v/>
      </c>
      <c r="Q141" s="456"/>
      <c r="R141" s="456"/>
      <c r="S141" s="457"/>
      <c r="T141" s="458"/>
      <c r="U141" s="459" t="str">
        <f t="shared" ca="1" si="5"/>
        <v/>
      </c>
      <c r="V141" s="460" t="str">
        <f t="shared" ca="1" si="6"/>
        <v/>
      </c>
      <c r="W141" s="459" t="str">
        <f t="shared" ca="1" si="7"/>
        <v/>
      </c>
      <c r="X141" s="461" t="str">
        <f t="shared" ca="1" si="8"/>
        <v/>
      </c>
      <c r="Y141" s="460" t="str">
        <f t="shared" ca="1" si="9"/>
        <v/>
      </c>
      <c r="Z141" s="79"/>
    </row>
    <row r="142" spans="1:26" customFormat="1" ht="14.5">
      <c r="A142" s="232"/>
      <c r="B142" s="295">
        <v>104</v>
      </c>
      <c r="C142" s="265"/>
      <c r="D142" s="266"/>
      <c r="E142" s="256"/>
      <c r="F142" s="239"/>
      <c r="G142" s="246"/>
      <c r="H142" s="405">
        <v>128</v>
      </c>
      <c r="I142" s="424"/>
      <c r="J142" s="424"/>
      <c r="K142" s="436"/>
      <c r="L142" s="436"/>
      <c r="M142" s="424"/>
      <c r="N142" s="438"/>
      <c r="P142" s="455" t="str" cm="1">
        <f t="array" aca="1" ref="P142" ca="1">IF(AND($Q$12,B166&lt;=$C$17,C166&lt;&gt;""),TRANSPOSE(INDEX(GetCDS(C166,$C$6,$C$29,F166,D166,$C$13,$C$14,$C$15,$C$8,,,TRUE,TRUE,FALSE,$C$29:$C$31,$C$33),{1;2;3;4;5})),"")</f>
        <v/>
      </c>
      <c r="Q142" s="456"/>
      <c r="R142" s="456"/>
      <c r="S142" s="457"/>
      <c r="T142" s="458"/>
      <c r="U142" s="459" t="str">
        <f t="shared" ca="1" si="5"/>
        <v/>
      </c>
      <c r="V142" s="460" t="str">
        <f t="shared" ca="1" si="6"/>
        <v/>
      </c>
      <c r="W142" s="459" t="str">
        <f t="shared" ca="1" si="7"/>
        <v/>
      </c>
      <c r="X142" s="461" t="str">
        <f t="shared" ca="1" si="8"/>
        <v/>
      </c>
      <c r="Y142" s="460" t="str">
        <f t="shared" ca="1" si="9"/>
        <v/>
      </c>
      <c r="Z142" s="79"/>
    </row>
    <row r="143" spans="1:26" customFormat="1" ht="14.5">
      <c r="A143" s="232"/>
      <c r="B143" s="295">
        <v>105</v>
      </c>
      <c r="C143" s="265"/>
      <c r="D143" s="266"/>
      <c r="E143" s="256"/>
      <c r="F143" s="239"/>
      <c r="G143" s="246"/>
      <c r="H143" s="405">
        <v>129</v>
      </c>
      <c r="I143" s="424"/>
      <c r="J143" s="424"/>
      <c r="K143" s="436"/>
      <c r="L143" s="436"/>
      <c r="M143" s="424"/>
      <c r="N143" s="438"/>
      <c r="P143" s="455" t="str" cm="1">
        <f t="array" aca="1" ref="P143" ca="1">IF(AND($Q$12,B167&lt;=$C$17,C167&lt;&gt;""),TRANSPOSE(INDEX(GetCDS(C167,$C$6,$C$29,F167,D167,$C$13,$C$14,$C$15,$C$8,,,TRUE,TRUE,FALSE,$C$29:$C$31,$C$33),{1;2;3;4;5})),"")</f>
        <v/>
      </c>
      <c r="Q143" s="456"/>
      <c r="R143" s="456"/>
      <c r="S143" s="457"/>
      <c r="T143" s="458"/>
      <c r="U143" s="459" t="str">
        <f t="shared" ca="1" si="5"/>
        <v/>
      </c>
      <c r="V143" s="460" t="str">
        <f t="shared" ca="1" si="6"/>
        <v/>
      </c>
      <c r="W143" s="459" t="str">
        <f t="shared" ca="1" si="7"/>
        <v/>
      </c>
      <c r="X143" s="461" t="str">
        <f t="shared" ca="1" si="8"/>
        <v/>
      </c>
      <c r="Y143" s="460" t="str">
        <f t="shared" ca="1" si="9"/>
        <v/>
      </c>
      <c r="Z143" s="79"/>
    </row>
    <row r="144" spans="1:26" customFormat="1" ht="14.5">
      <c r="A144" s="232"/>
      <c r="B144" s="295">
        <v>106</v>
      </c>
      <c r="C144" s="265"/>
      <c r="D144" s="266"/>
      <c r="E144" s="256"/>
      <c r="F144" s="239"/>
      <c r="G144" s="246"/>
      <c r="H144" s="405">
        <v>130</v>
      </c>
      <c r="I144" s="424"/>
      <c r="J144" s="424"/>
      <c r="K144" s="436"/>
      <c r="L144" s="436"/>
      <c r="M144" s="424"/>
      <c r="N144" s="438"/>
      <c r="P144" s="455" t="str" cm="1">
        <f t="array" aca="1" ref="P144" ca="1">IF(AND($Q$12,B168&lt;=$C$17,C168&lt;&gt;""),TRANSPOSE(INDEX(GetCDS(C168,$C$6,$C$29,F168,D168,$C$13,$C$14,$C$15,$C$8,,,TRUE,TRUE,FALSE,$C$29:$C$31,$C$33),{1;2;3;4;5})),"")</f>
        <v/>
      </c>
      <c r="Q144" s="456"/>
      <c r="R144" s="456"/>
      <c r="S144" s="457"/>
      <c r="T144" s="458"/>
      <c r="U144" s="459" t="str">
        <f t="shared" ref="U144:U207" ca="1" si="10">IF($Q$12,IF(P144="","",$Q$13*D168/$C$18),"")</f>
        <v/>
      </c>
      <c r="V144" s="460" t="str">
        <f t="shared" ref="V144:V207" ca="1" si="11">IF($Q$12,IF(U144="","",U144*($V$10-S144)*T144),"")</f>
        <v/>
      </c>
      <c r="W144" s="459" t="str">
        <f t="shared" ref="W144:W207" ca="1" si="12">IF($Q$12,IF(OR(P144="",L144=""),"",L144/($C$20-$C$19)),"")</f>
        <v/>
      </c>
      <c r="X144" s="461" t="str">
        <f t="shared" ref="X144:X207" ca="1" si="13">IF($Q$12,IF(S144="","",S144*$Y$10),"")</f>
        <v/>
      </c>
      <c r="Y144" s="460" t="str">
        <f t="shared" ref="Y144:Y207" ca="1" si="14">IF($Q$12,IF(W144="","",W144*(X144-S144)*T144),"")</f>
        <v/>
      </c>
      <c r="Z144" s="79"/>
    </row>
    <row r="145" spans="1:26" customFormat="1" ht="14.5">
      <c r="A145" s="232"/>
      <c r="B145" s="295">
        <v>107</v>
      </c>
      <c r="C145" s="265"/>
      <c r="D145" s="266"/>
      <c r="E145" s="256"/>
      <c r="F145" s="239"/>
      <c r="G145" s="246"/>
      <c r="H145" s="405">
        <v>131</v>
      </c>
      <c r="I145" s="424"/>
      <c r="J145" s="424"/>
      <c r="K145" s="436"/>
      <c r="L145" s="436"/>
      <c r="M145" s="424"/>
      <c r="N145" s="438"/>
      <c r="P145" s="455" t="str" cm="1">
        <f t="array" aca="1" ref="P145" ca="1">IF(AND($Q$12,B169&lt;=$C$17,C169&lt;&gt;""),TRANSPOSE(INDEX(GetCDS(C169,$C$6,$C$29,F169,D169,$C$13,$C$14,$C$15,$C$8,,,TRUE,TRUE,FALSE,$C$29:$C$31,$C$33),{1;2;3;4;5})),"")</f>
        <v/>
      </c>
      <c r="Q145" s="456"/>
      <c r="R145" s="456"/>
      <c r="S145" s="457"/>
      <c r="T145" s="458"/>
      <c r="U145" s="459" t="str">
        <f t="shared" ca="1" si="10"/>
        <v/>
      </c>
      <c r="V145" s="460" t="str">
        <f t="shared" ca="1" si="11"/>
        <v/>
      </c>
      <c r="W145" s="459" t="str">
        <f t="shared" ca="1" si="12"/>
        <v/>
      </c>
      <c r="X145" s="461" t="str">
        <f t="shared" ca="1" si="13"/>
        <v/>
      </c>
      <c r="Y145" s="460" t="str">
        <f t="shared" ca="1" si="14"/>
        <v/>
      </c>
      <c r="Z145" s="79"/>
    </row>
    <row r="146" spans="1:26" customFormat="1" ht="14.5">
      <c r="A146" s="232"/>
      <c r="B146" s="295">
        <v>108</v>
      </c>
      <c r="C146" s="265"/>
      <c r="D146" s="266"/>
      <c r="E146" s="256"/>
      <c r="F146" s="239"/>
      <c r="G146" s="246"/>
      <c r="H146" s="405">
        <v>132</v>
      </c>
      <c r="I146" s="424"/>
      <c r="J146" s="424"/>
      <c r="K146" s="436"/>
      <c r="L146" s="436"/>
      <c r="M146" s="424"/>
      <c r="N146" s="438"/>
      <c r="P146" s="455" t="str" cm="1">
        <f t="array" aca="1" ref="P146" ca="1">IF(AND($Q$12,B170&lt;=$C$17,C170&lt;&gt;""),TRANSPOSE(INDEX(GetCDS(C170,$C$6,$C$29,F170,D170,$C$13,$C$14,$C$15,$C$8,,,TRUE,TRUE,FALSE,$C$29:$C$31,$C$33),{1;2;3;4;5})),"")</f>
        <v/>
      </c>
      <c r="Q146" s="456"/>
      <c r="R146" s="456"/>
      <c r="S146" s="457"/>
      <c r="T146" s="458"/>
      <c r="U146" s="459" t="str">
        <f t="shared" ca="1" si="10"/>
        <v/>
      </c>
      <c r="V146" s="460" t="str">
        <f t="shared" ca="1" si="11"/>
        <v/>
      </c>
      <c r="W146" s="459" t="str">
        <f t="shared" ca="1" si="12"/>
        <v/>
      </c>
      <c r="X146" s="461" t="str">
        <f t="shared" ca="1" si="13"/>
        <v/>
      </c>
      <c r="Y146" s="460" t="str">
        <f t="shared" ca="1" si="14"/>
        <v/>
      </c>
      <c r="Z146" s="79"/>
    </row>
    <row r="147" spans="1:26" customFormat="1" ht="14.5">
      <c r="A147" s="232"/>
      <c r="B147" s="295">
        <v>109</v>
      </c>
      <c r="C147" s="265"/>
      <c r="D147" s="266"/>
      <c r="E147" s="256"/>
      <c r="F147" s="239"/>
      <c r="G147" s="246"/>
      <c r="H147" s="405">
        <v>133</v>
      </c>
      <c r="I147" s="424"/>
      <c r="J147" s="424"/>
      <c r="K147" s="436"/>
      <c r="L147" s="436"/>
      <c r="M147" s="424"/>
      <c r="N147" s="438"/>
      <c r="P147" s="455" t="str" cm="1">
        <f t="array" aca="1" ref="P147" ca="1">IF(AND($Q$12,B171&lt;=$C$17,C171&lt;&gt;""),TRANSPOSE(INDEX(GetCDS(C171,$C$6,$C$29,F171,D171,$C$13,$C$14,$C$15,$C$8,,,TRUE,TRUE,FALSE,$C$29:$C$31,$C$33),{1;2;3;4;5})),"")</f>
        <v/>
      </c>
      <c r="Q147" s="456"/>
      <c r="R147" s="456"/>
      <c r="S147" s="457"/>
      <c r="T147" s="458"/>
      <c r="U147" s="459" t="str">
        <f t="shared" ca="1" si="10"/>
        <v/>
      </c>
      <c r="V147" s="460" t="str">
        <f t="shared" ca="1" si="11"/>
        <v/>
      </c>
      <c r="W147" s="459" t="str">
        <f t="shared" ca="1" si="12"/>
        <v/>
      </c>
      <c r="X147" s="461" t="str">
        <f t="shared" ca="1" si="13"/>
        <v/>
      </c>
      <c r="Y147" s="460" t="str">
        <f t="shared" ca="1" si="14"/>
        <v/>
      </c>
      <c r="Z147" s="79"/>
    </row>
    <row r="148" spans="1:26" customFormat="1" ht="14.5">
      <c r="A148" s="232"/>
      <c r="B148" s="295">
        <v>110</v>
      </c>
      <c r="C148" s="265"/>
      <c r="D148" s="266"/>
      <c r="E148" s="256"/>
      <c r="F148" s="239"/>
      <c r="G148" s="246"/>
      <c r="H148" s="405">
        <v>134</v>
      </c>
      <c r="I148" s="424"/>
      <c r="J148" s="424"/>
      <c r="K148" s="436"/>
      <c r="L148" s="436"/>
      <c r="M148" s="424"/>
      <c r="N148" s="438"/>
      <c r="P148" s="455" t="str" cm="1">
        <f t="array" aca="1" ref="P148" ca="1">IF(AND($Q$12,B172&lt;=$C$17,C172&lt;&gt;""),TRANSPOSE(INDEX(GetCDS(C172,$C$6,$C$29,F172,D172,$C$13,$C$14,$C$15,$C$8,,,TRUE,TRUE,FALSE,$C$29:$C$31,$C$33),{1;2;3;4;5})),"")</f>
        <v/>
      </c>
      <c r="Q148" s="456"/>
      <c r="R148" s="456"/>
      <c r="S148" s="457"/>
      <c r="T148" s="458"/>
      <c r="U148" s="459" t="str">
        <f t="shared" ca="1" si="10"/>
        <v/>
      </c>
      <c r="V148" s="460" t="str">
        <f t="shared" ca="1" si="11"/>
        <v/>
      </c>
      <c r="W148" s="459" t="str">
        <f t="shared" ca="1" si="12"/>
        <v/>
      </c>
      <c r="X148" s="461" t="str">
        <f t="shared" ca="1" si="13"/>
        <v/>
      </c>
      <c r="Y148" s="460" t="str">
        <f t="shared" ca="1" si="14"/>
        <v/>
      </c>
      <c r="Z148" s="79"/>
    </row>
    <row r="149" spans="1:26" customFormat="1" ht="14.5">
      <c r="A149" s="232"/>
      <c r="B149" s="295">
        <v>111</v>
      </c>
      <c r="C149" s="265"/>
      <c r="D149" s="266"/>
      <c r="E149" s="256"/>
      <c r="F149" s="239"/>
      <c r="G149" s="246"/>
      <c r="H149" s="405">
        <v>135</v>
      </c>
      <c r="I149" s="424"/>
      <c r="J149" s="424"/>
      <c r="K149" s="436"/>
      <c r="L149" s="436"/>
      <c r="M149" s="424"/>
      <c r="N149" s="438"/>
      <c r="P149" s="455" t="str" cm="1">
        <f t="array" aca="1" ref="P149" ca="1">IF(AND($Q$12,B173&lt;=$C$17,C173&lt;&gt;""),TRANSPOSE(INDEX(GetCDS(C173,$C$6,$C$29,F173,D173,$C$13,$C$14,$C$15,$C$8,,,TRUE,TRUE,FALSE,$C$29:$C$31,$C$33),{1;2;3;4;5})),"")</f>
        <v/>
      </c>
      <c r="Q149" s="456"/>
      <c r="R149" s="456"/>
      <c r="S149" s="457"/>
      <c r="T149" s="458"/>
      <c r="U149" s="459" t="str">
        <f t="shared" ca="1" si="10"/>
        <v/>
      </c>
      <c r="V149" s="460" t="str">
        <f t="shared" ca="1" si="11"/>
        <v/>
      </c>
      <c r="W149" s="459" t="str">
        <f t="shared" ca="1" si="12"/>
        <v/>
      </c>
      <c r="X149" s="461" t="str">
        <f t="shared" ca="1" si="13"/>
        <v/>
      </c>
      <c r="Y149" s="460" t="str">
        <f t="shared" ca="1" si="14"/>
        <v/>
      </c>
      <c r="Z149" s="79"/>
    </row>
    <row r="150" spans="1:26" customFormat="1" ht="14.5">
      <c r="A150" s="232"/>
      <c r="B150" s="295">
        <v>112</v>
      </c>
      <c r="C150" s="265"/>
      <c r="D150" s="266"/>
      <c r="E150" s="256"/>
      <c r="F150" s="239"/>
      <c r="G150" s="246"/>
      <c r="H150" s="405">
        <v>136</v>
      </c>
      <c r="I150" s="424"/>
      <c r="J150" s="424"/>
      <c r="K150" s="436"/>
      <c r="L150" s="436"/>
      <c r="M150" s="424"/>
      <c r="N150" s="438"/>
      <c r="P150" s="455" t="str" cm="1">
        <f t="array" aca="1" ref="P150" ca="1">IF(AND($Q$12,B174&lt;=$C$17,C174&lt;&gt;""),TRANSPOSE(INDEX(GetCDS(C174,$C$6,$C$29,F174,D174,$C$13,$C$14,$C$15,$C$8,,,TRUE,TRUE,FALSE,$C$29:$C$31,$C$33),{1;2;3;4;5})),"")</f>
        <v/>
      </c>
      <c r="Q150" s="456"/>
      <c r="R150" s="456"/>
      <c r="S150" s="457"/>
      <c r="T150" s="458"/>
      <c r="U150" s="459" t="str">
        <f t="shared" ca="1" si="10"/>
        <v/>
      </c>
      <c r="V150" s="460" t="str">
        <f t="shared" ca="1" si="11"/>
        <v/>
      </c>
      <c r="W150" s="459" t="str">
        <f t="shared" ca="1" si="12"/>
        <v/>
      </c>
      <c r="X150" s="461" t="str">
        <f t="shared" ca="1" si="13"/>
        <v/>
      </c>
      <c r="Y150" s="460" t="str">
        <f t="shared" ca="1" si="14"/>
        <v/>
      </c>
      <c r="Z150" s="79"/>
    </row>
    <row r="151" spans="1:26" customFormat="1" ht="14.5">
      <c r="A151" s="232"/>
      <c r="B151" s="295">
        <v>113</v>
      </c>
      <c r="C151" s="265"/>
      <c r="D151" s="266"/>
      <c r="E151" s="256"/>
      <c r="F151" s="239"/>
      <c r="G151" s="246"/>
      <c r="H151" s="405">
        <v>137</v>
      </c>
      <c r="I151" s="424"/>
      <c r="J151" s="424"/>
      <c r="K151" s="436"/>
      <c r="L151" s="436"/>
      <c r="M151" s="424"/>
      <c r="N151" s="438"/>
      <c r="P151" s="455" t="str" cm="1">
        <f t="array" aca="1" ref="P151" ca="1">IF(AND($Q$12,B175&lt;=$C$17,C175&lt;&gt;""),TRANSPOSE(INDEX(GetCDS(C175,$C$6,$C$29,F175,D175,$C$13,$C$14,$C$15,$C$8,,,TRUE,TRUE,FALSE,$C$29:$C$31,$C$33),{1;2;3;4;5})),"")</f>
        <v/>
      </c>
      <c r="Q151" s="456"/>
      <c r="R151" s="456"/>
      <c r="S151" s="457"/>
      <c r="T151" s="458"/>
      <c r="U151" s="459" t="str">
        <f t="shared" ca="1" si="10"/>
        <v/>
      </c>
      <c r="V151" s="460" t="str">
        <f t="shared" ca="1" si="11"/>
        <v/>
      </c>
      <c r="W151" s="459" t="str">
        <f t="shared" ca="1" si="12"/>
        <v/>
      </c>
      <c r="X151" s="461" t="str">
        <f t="shared" ca="1" si="13"/>
        <v/>
      </c>
      <c r="Y151" s="460" t="str">
        <f t="shared" ca="1" si="14"/>
        <v/>
      </c>
      <c r="Z151" s="79"/>
    </row>
    <row r="152" spans="1:26" customFormat="1" ht="14.5">
      <c r="A152" s="232"/>
      <c r="B152" s="295">
        <v>114</v>
      </c>
      <c r="C152" s="265"/>
      <c r="D152" s="266"/>
      <c r="E152" s="256"/>
      <c r="F152" s="239"/>
      <c r="G152" s="246"/>
      <c r="H152" s="405">
        <v>138</v>
      </c>
      <c r="I152" s="424"/>
      <c r="J152" s="424"/>
      <c r="K152" s="436"/>
      <c r="L152" s="436"/>
      <c r="M152" s="424"/>
      <c r="N152" s="438"/>
      <c r="P152" s="455" t="str" cm="1">
        <f t="array" aca="1" ref="P152" ca="1">IF(AND($Q$12,B176&lt;=$C$17,C176&lt;&gt;""),TRANSPOSE(INDEX(GetCDS(C176,$C$6,$C$29,F176,D176,$C$13,$C$14,$C$15,$C$8,,,TRUE,TRUE,FALSE,$C$29:$C$31,$C$33),{1;2;3;4;5})),"")</f>
        <v/>
      </c>
      <c r="Q152" s="456"/>
      <c r="R152" s="456"/>
      <c r="S152" s="457"/>
      <c r="T152" s="458"/>
      <c r="U152" s="459" t="str">
        <f t="shared" ca="1" si="10"/>
        <v/>
      </c>
      <c r="V152" s="460" t="str">
        <f t="shared" ca="1" si="11"/>
        <v/>
      </c>
      <c r="W152" s="459" t="str">
        <f t="shared" ca="1" si="12"/>
        <v/>
      </c>
      <c r="X152" s="461" t="str">
        <f t="shared" ca="1" si="13"/>
        <v/>
      </c>
      <c r="Y152" s="460" t="str">
        <f t="shared" ca="1" si="14"/>
        <v/>
      </c>
      <c r="Z152" s="79"/>
    </row>
    <row r="153" spans="1:26" customFormat="1" ht="14.5">
      <c r="A153" s="232"/>
      <c r="B153" s="295">
        <v>115</v>
      </c>
      <c r="C153" s="265"/>
      <c r="D153" s="266"/>
      <c r="E153" s="256"/>
      <c r="F153" s="239"/>
      <c r="G153" s="246"/>
      <c r="H153" s="405">
        <v>139</v>
      </c>
      <c r="I153" s="424"/>
      <c r="J153" s="424"/>
      <c r="K153" s="436"/>
      <c r="L153" s="436"/>
      <c r="M153" s="424"/>
      <c r="N153" s="438"/>
      <c r="P153" s="455" t="str" cm="1">
        <f t="array" aca="1" ref="P153" ca="1">IF(AND($Q$12,B177&lt;=$C$17,C177&lt;&gt;""),TRANSPOSE(INDEX(GetCDS(C177,$C$6,$C$29,F177,D177,$C$13,$C$14,$C$15,$C$8,,,TRUE,TRUE,FALSE,$C$29:$C$31,$C$33),{1;2;3;4;5})),"")</f>
        <v/>
      </c>
      <c r="Q153" s="456"/>
      <c r="R153" s="456"/>
      <c r="S153" s="457"/>
      <c r="T153" s="458"/>
      <c r="U153" s="459" t="str">
        <f t="shared" ca="1" si="10"/>
        <v/>
      </c>
      <c r="V153" s="460" t="str">
        <f t="shared" ca="1" si="11"/>
        <v/>
      </c>
      <c r="W153" s="459" t="str">
        <f t="shared" ca="1" si="12"/>
        <v/>
      </c>
      <c r="X153" s="461" t="str">
        <f t="shared" ca="1" si="13"/>
        <v/>
      </c>
      <c r="Y153" s="460" t="str">
        <f t="shared" ca="1" si="14"/>
        <v/>
      </c>
      <c r="Z153" s="79"/>
    </row>
    <row r="154" spans="1:26" customFormat="1" ht="14.5">
      <c r="A154" s="232"/>
      <c r="B154" s="295">
        <v>116</v>
      </c>
      <c r="C154" s="265"/>
      <c r="D154" s="266"/>
      <c r="E154" s="256"/>
      <c r="F154" s="239"/>
      <c r="G154" s="246"/>
      <c r="H154" s="405">
        <v>140</v>
      </c>
      <c r="I154" s="424"/>
      <c r="J154" s="424"/>
      <c r="K154" s="436"/>
      <c r="L154" s="436"/>
      <c r="M154" s="424"/>
      <c r="N154" s="438"/>
      <c r="P154" s="455" t="str" cm="1">
        <f t="array" aca="1" ref="P154" ca="1">IF(AND($Q$12,B178&lt;=$C$17,C178&lt;&gt;""),TRANSPOSE(INDEX(GetCDS(C178,$C$6,$C$29,F178,D178,$C$13,$C$14,$C$15,$C$8,,,TRUE,TRUE,FALSE,$C$29:$C$31,$C$33),{1;2;3;4;5})),"")</f>
        <v/>
      </c>
      <c r="Q154" s="456"/>
      <c r="R154" s="456"/>
      <c r="S154" s="457"/>
      <c r="T154" s="458"/>
      <c r="U154" s="459" t="str">
        <f t="shared" ca="1" si="10"/>
        <v/>
      </c>
      <c r="V154" s="460" t="str">
        <f t="shared" ca="1" si="11"/>
        <v/>
      </c>
      <c r="W154" s="459" t="str">
        <f t="shared" ca="1" si="12"/>
        <v/>
      </c>
      <c r="X154" s="461" t="str">
        <f t="shared" ca="1" si="13"/>
        <v/>
      </c>
      <c r="Y154" s="460" t="str">
        <f t="shared" ca="1" si="14"/>
        <v/>
      </c>
      <c r="Z154" s="79"/>
    </row>
    <row r="155" spans="1:26" customFormat="1" ht="14.5">
      <c r="A155" s="232"/>
      <c r="B155" s="295">
        <v>117</v>
      </c>
      <c r="C155" s="265"/>
      <c r="D155" s="266"/>
      <c r="E155" s="256"/>
      <c r="F155" s="239"/>
      <c r="G155" s="246"/>
      <c r="H155" s="405">
        <v>141</v>
      </c>
      <c r="I155" s="424"/>
      <c r="J155" s="424"/>
      <c r="K155" s="436"/>
      <c r="L155" s="436"/>
      <c r="M155" s="424"/>
      <c r="N155" s="438"/>
      <c r="P155" s="455" t="str" cm="1">
        <f t="array" aca="1" ref="P155" ca="1">IF(AND($Q$12,B179&lt;=$C$17,C179&lt;&gt;""),TRANSPOSE(INDEX(GetCDS(C179,$C$6,$C$29,F179,D179,$C$13,$C$14,$C$15,$C$8,,,TRUE,TRUE,FALSE,$C$29:$C$31,$C$33),{1;2;3;4;5})),"")</f>
        <v/>
      </c>
      <c r="Q155" s="456"/>
      <c r="R155" s="456"/>
      <c r="S155" s="457"/>
      <c r="T155" s="458"/>
      <c r="U155" s="459" t="str">
        <f t="shared" ca="1" si="10"/>
        <v/>
      </c>
      <c r="V155" s="460" t="str">
        <f t="shared" ca="1" si="11"/>
        <v/>
      </c>
      <c r="W155" s="459" t="str">
        <f t="shared" ca="1" si="12"/>
        <v/>
      </c>
      <c r="X155" s="461" t="str">
        <f t="shared" ca="1" si="13"/>
        <v/>
      </c>
      <c r="Y155" s="460" t="str">
        <f t="shared" ca="1" si="14"/>
        <v/>
      </c>
      <c r="Z155" s="79"/>
    </row>
    <row r="156" spans="1:26" customFormat="1" ht="14.5">
      <c r="A156" s="232"/>
      <c r="B156" s="295">
        <v>118</v>
      </c>
      <c r="C156" s="265"/>
      <c r="D156" s="266"/>
      <c r="E156" s="256"/>
      <c r="F156" s="239"/>
      <c r="G156" s="246"/>
      <c r="H156" s="405">
        <v>142</v>
      </c>
      <c r="I156" s="424"/>
      <c r="J156" s="424"/>
      <c r="K156" s="436"/>
      <c r="L156" s="436"/>
      <c r="M156" s="424"/>
      <c r="N156" s="438"/>
      <c r="P156" s="455" t="str" cm="1">
        <f t="array" aca="1" ref="P156" ca="1">IF(AND($Q$12,B180&lt;=$C$17,C180&lt;&gt;""),TRANSPOSE(INDEX(GetCDS(C180,$C$6,$C$29,F180,D180,$C$13,$C$14,$C$15,$C$8,,,TRUE,TRUE,FALSE,$C$29:$C$31,$C$33),{1;2;3;4;5})),"")</f>
        <v/>
      </c>
      <c r="Q156" s="456"/>
      <c r="R156" s="456"/>
      <c r="S156" s="457"/>
      <c r="T156" s="458"/>
      <c r="U156" s="459" t="str">
        <f t="shared" ca="1" si="10"/>
        <v/>
      </c>
      <c r="V156" s="460" t="str">
        <f t="shared" ca="1" si="11"/>
        <v/>
      </c>
      <c r="W156" s="459" t="str">
        <f t="shared" ca="1" si="12"/>
        <v/>
      </c>
      <c r="X156" s="461" t="str">
        <f t="shared" ca="1" si="13"/>
        <v/>
      </c>
      <c r="Y156" s="460" t="str">
        <f t="shared" ca="1" si="14"/>
        <v/>
      </c>
      <c r="Z156" s="79"/>
    </row>
    <row r="157" spans="1:26" customFormat="1" ht="14.5">
      <c r="A157" s="232"/>
      <c r="B157" s="295">
        <v>119</v>
      </c>
      <c r="C157" s="265"/>
      <c r="D157" s="266"/>
      <c r="E157" s="256"/>
      <c r="F157" s="239"/>
      <c r="G157" s="246"/>
      <c r="H157" s="405">
        <v>143</v>
      </c>
      <c r="I157" s="424"/>
      <c r="J157" s="424"/>
      <c r="K157" s="436"/>
      <c r="L157" s="436"/>
      <c r="M157" s="424"/>
      <c r="N157" s="438"/>
      <c r="P157" s="455" t="str" cm="1">
        <f t="array" aca="1" ref="P157" ca="1">IF(AND($Q$12,B181&lt;=$C$17,C181&lt;&gt;""),TRANSPOSE(INDEX(GetCDS(C181,$C$6,$C$29,F181,D181,$C$13,$C$14,$C$15,$C$8,,,TRUE,TRUE,FALSE,$C$29:$C$31,$C$33),{1;2;3;4;5})),"")</f>
        <v/>
      </c>
      <c r="Q157" s="456"/>
      <c r="R157" s="456"/>
      <c r="S157" s="457"/>
      <c r="T157" s="458"/>
      <c r="U157" s="459" t="str">
        <f t="shared" ca="1" si="10"/>
        <v/>
      </c>
      <c r="V157" s="460" t="str">
        <f t="shared" ca="1" si="11"/>
        <v/>
      </c>
      <c r="W157" s="459" t="str">
        <f t="shared" ca="1" si="12"/>
        <v/>
      </c>
      <c r="X157" s="461" t="str">
        <f t="shared" ca="1" si="13"/>
        <v/>
      </c>
      <c r="Y157" s="460" t="str">
        <f t="shared" ca="1" si="14"/>
        <v/>
      </c>
      <c r="Z157" s="79"/>
    </row>
    <row r="158" spans="1:26" customFormat="1" ht="14.5">
      <c r="A158" s="232"/>
      <c r="B158" s="295">
        <v>120</v>
      </c>
      <c r="C158" s="265"/>
      <c r="D158" s="266"/>
      <c r="E158" s="256"/>
      <c r="F158" s="239"/>
      <c r="G158" s="246"/>
      <c r="H158" s="405">
        <v>144</v>
      </c>
      <c r="I158" s="424"/>
      <c r="J158" s="424"/>
      <c r="K158" s="436"/>
      <c r="L158" s="436"/>
      <c r="M158" s="424"/>
      <c r="N158" s="438"/>
      <c r="P158" s="455" t="str" cm="1">
        <f t="array" aca="1" ref="P158" ca="1">IF(AND($Q$12,B182&lt;=$C$17,C182&lt;&gt;""),TRANSPOSE(INDEX(GetCDS(C182,$C$6,$C$29,F182,D182,$C$13,$C$14,$C$15,$C$8,,,TRUE,TRUE,FALSE,$C$29:$C$31,$C$33),{1;2;3;4;5})),"")</f>
        <v/>
      </c>
      <c r="Q158" s="456"/>
      <c r="R158" s="456"/>
      <c r="S158" s="457"/>
      <c r="T158" s="458"/>
      <c r="U158" s="459" t="str">
        <f t="shared" ca="1" si="10"/>
        <v/>
      </c>
      <c r="V158" s="460" t="str">
        <f t="shared" ca="1" si="11"/>
        <v/>
      </c>
      <c r="W158" s="459" t="str">
        <f t="shared" ca="1" si="12"/>
        <v/>
      </c>
      <c r="X158" s="461" t="str">
        <f t="shared" ca="1" si="13"/>
        <v/>
      </c>
      <c r="Y158" s="460" t="str">
        <f t="shared" ca="1" si="14"/>
        <v/>
      </c>
      <c r="Z158" s="79"/>
    </row>
    <row r="159" spans="1:26" customFormat="1" ht="14.5">
      <c r="A159" s="232"/>
      <c r="B159" s="295">
        <v>121</v>
      </c>
      <c r="C159" s="265"/>
      <c r="D159" s="266"/>
      <c r="E159" s="256"/>
      <c r="F159" s="239"/>
      <c r="G159" s="246"/>
      <c r="H159" s="405">
        <v>145</v>
      </c>
      <c r="I159" s="424"/>
      <c r="J159" s="424"/>
      <c r="K159" s="436"/>
      <c r="L159" s="436"/>
      <c r="M159" s="424"/>
      <c r="N159" s="438"/>
      <c r="P159" s="455" t="str" cm="1">
        <f t="array" aca="1" ref="P159" ca="1">IF(AND($Q$12,B183&lt;=$C$17,C183&lt;&gt;""),TRANSPOSE(INDEX(GetCDS(C183,$C$6,$C$29,F183,D183,$C$13,$C$14,$C$15,$C$8,,,TRUE,TRUE,FALSE,$C$29:$C$31,$C$33),{1;2;3;4;5})),"")</f>
        <v/>
      </c>
      <c r="Q159" s="456"/>
      <c r="R159" s="456"/>
      <c r="S159" s="457"/>
      <c r="T159" s="458"/>
      <c r="U159" s="459" t="str">
        <f t="shared" ca="1" si="10"/>
        <v/>
      </c>
      <c r="V159" s="460" t="str">
        <f t="shared" ca="1" si="11"/>
        <v/>
      </c>
      <c r="W159" s="459" t="str">
        <f t="shared" ca="1" si="12"/>
        <v/>
      </c>
      <c r="X159" s="461" t="str">
        <f t="shared" ca="1" si="13"/>
        <v/>
      </c>
      <c r="Y159" s="460" t="str">
        <f t="shared" ca="1" si="14"/>
        <v/>
      </c>
      <c r="Z159" s="79"/>
    </row>
    <row r="160" spans="1:26" customFormat="1" ht="14.5">
      <c r="A160" s="232"/>
      <c r="B160" s="295">
        <v>122</v>
      </c>
      <c r="C160" s="265"/>
      <c r="D160" s="266"/>
      <c r="E160" s="256"/>
      <c r="F160" s="239"/>
      <c r="G160" s="246"/>
      <c r="H160" s="405">
        <v>146</v>
      </c>
      <c r="I160" s="424"/>
      <c r="J160" s="424"/>
      <c r="K160" s="436"/>
      <c r="L160" s="436"/>
      <c r="M160" s="424"/>
      <c r="N160" s="438"/>
      <c r="P160" s="455" t="str" cm="1">
        <f t="array" aca="1" ref="P160" ca="1">IF(AND($Q$12,B184&lt;=$C$17,C184&lt;&gt;""),TRANSPOSE(INDEX(GetCDS(C184,$C$6,$C$29,F184,D184,$C$13,$C$14,$C$15,$C$8,,,TRUE,TRUE,FALSE,$C$29:$C$31,$C$33),{1;2;3;4;5})),"")</f>
        <v/>
      </c>
      <c r="Q160" s="456"/>
      <c r="R160" s="456"/>
      <c r="S160" s="457"/>
      <c r="T160" s="458"/>
      <c r="U160" s="459" t="str">
        <f t="shared" ca="1" si="10"/>
        <v/>
      </c>
      <c r="V160" s="460" t="str">
        <f t="shared" ca="1" si="11"/>
        <v/>
      </c>
      <c r="W160" s="459" t="str">
        <f t="shared" ca="1" si="12"/>
        <v/>
      </c>
      <c r="X160" s="461" t="str">
        <f t="shared" ca="1" si="13"/>
        <v/>
      </c>
      <c r="Y160" s="460" t="str">
        <f t="shared" ca="1" si="14"/>
        <v/>
      </c>
      <c r="Z160" s="79"/>
    </row>
    <row r="161" spans="1:26" customFormat="1" ht="14.5">
      <c r="A161" s="232"/>
      <c r="B161" s="295">
        <v>123</v>
      </c>
      <c r="C161" s="265"/>
      <c r="D161" s="266"/>
      <c r="E161" s="256"/>
      <c r="F161" s="239"/>
      <c r="G161" s="246"/>
      <c r="H161" s="405">
        <v>147</v>
      </c>
      <c r="I161" s="424"/>
      <c r="J161" s="424"/>
      <c r="K161" s="436"/>
      <c r="L161" s="436"/>
      <c r="M161" s="424"/>
      <c r="N161" s="438"/>
      <c r="P161" s="455" t="str" cm="1">
        <f t="array" aca="1" ref="P161" ca="1">IF(AND($Q$12,B185&lt;=$C$17,C185&lt;&gt;""),TRANSPOSE(INDEX(GetCDS(C185,$C$6,$C$29,F185,D185,$C$13,$C$14,$C$15,$C$8,,,TRUE,TRUE,FALSE,$C$29:$C$31,$C$33),{1;2;3;4;5})),"")</f>
        <v/>
      </c>
      <c r="Q161" s="456"/>
      <c r="R161" s="456"/>
      <c r="S161" s="457"/>
      <c r="T161" s="458"/>
      <c r="U161" s="459" t="str">
        <f t="shared" ca="1" si="10"/>
        <v/>
      </c>
      <c r="V161" s="460" t="str">
        <f t="shared" ca="1" si="11"/>
        <v/>
      </c>
      <c r="W161" s="459" t="str">
        <f t="shared" ca="1" si="12"/>
        <v/>
      </c>
      <c r="X161" s="461" t="str">
        <f t="shared" ca="1" si="13"/>
        <v/>
      </c>
      <c r="Y161" s="460" t="str">
        <f t="shared" ca="1" si="14"/>
        <v/>
      </c>
      <c r="Z161" s="79"/>
    </row>
    <row r="162" spans="1:26" customFormat="1" ht="14.5">
      <c r="A162" s="232"/>
      <c r="B162" s="295">
        <v>124</v>
      </c>
      <c r="C162" s="265"/>
      <c r="D162" s="266"/>
      <c r="E162" s="256"/>
      <c r="F162" s="239"/>
      <c r="G162" s="246"/>
      <c r="H162" s="405">
        <v>148</v>
      </c>
      <c r="I162" s="424"/>
      <c r="J162" s="424"/>
      <c r="K162" s="436"/>
      <c r="L162" s="436"/>
      <c r="M162" s="424"/>
      <c r="N162" s="438"/>
      <c r="P162" s="455" t="str" cm="1">
        <f t="array" aca="1" ref="P162" ca="1">IF(AND($Q$12,B186&lt;=$C$17,C186&lt;&gt;""),TRANSPOSE(INDEX(GetCDS(C186,$C$6,$C$29,F186,D186,$C$13,$C$14,$C$15,$C$8,,,TRUE,TRUE,FALSE,$C$29:$C$31,$C$33),{1;2;3;4;5})),"")</f>
        <v/>
      </c>
      <c r="Q162" s="456"/>
      <c r="R162" s="456"/>
      <c r="S162" s="457"/>
      <c r="T162" s="458"/>
      <c r="U162" s="459" t="str">
        <f t="shared" ca="1" si="10"/>
        <v/>
      </c>
      <c r="V162" s="460" t="str">
        <f t="shared" ca="1" si="11"/>
        <v/>
      </c>
      <c r="W162" s="459" t="str">
        <f t="shared" ca="1" si="12"/>
        <v/>
      </c>
      <c r="X162" s="461" t="str">
        <f t="shared" ca="1" si="13"/>
        <v/>
      </c>
      <c r="Y162" s="460" t="str">
        <f t="shared" ca="1" si="14"/>
        <v/>
      </c>
      <c r="Z162" s="79"/>
    </row>
    <row r="163" spans="1:26" customFormat="1" ht="14.5">
      <c r="A163" s="232"/>
      <c r="B163" s="295">
        <v>125</v>
      </c>
      <c r="C163" s="265"/>
      <c r="D163" s="266"/>
      <c r="E163" s="256"/>
      <c r="F163" s="239"/>
      <c r="G163" s="246"/>
      <c r="H163" s="405">
        <v>149</v>
      </c>
      <c r="I163" s="424"/>
      <c r="J163" s="424"/>
      <c r="K163" s="436"/>
      <c r="L163" s="436"/>
      <c r="M163" s="436"/>
      <c r="N163" s="437"/>
      <c r="P163" s="455" t="str" cm="1">
        <f t="array" aca="1" ref="P163" ca="1">IF(AND($Q$12,B187&lt;=$C$17,C187&lt;&gt;""),TRANSPOSE(INDEX(GetCDS(C187,$C$6,$C$29,F187,D187,$C$13,$C$14,$C$15,$C$8,,,TRUE,TRUE,FALSE,$C$29:$C$31,$C$33),{1;2;3;4;5})),"")</f>
        <v/>
      </c>
      <c r="Q163" s="456"/>
      <c r="R163" s="456"/>
      <c r="S163" s="457"/>
      <c r="T163" s="458"/>
      <c r="U163" s="459" t="str">
        <f t="shared" ca="1" si="10"/>
        <v/>
      </c>
      <c r="V163" s="460" t="str">
        <f t="shared" ca="1" si="11"/>
        <v/>
      </c>
      <c r="W163" s="459" t="str">
        <f t="shared" ca="1" si="12"/>
        <v/>
      </c>
      <c r="X163" s="461" t="str">
        <f t="shared" ca="1" si="13"/>
        <v/>
      </c>
      <c r="Y163" s="460" t="str">
        <f t="shared" ca="1" si="14"/>
        <v/>
      </c>
      <c r="Z163" s="79"/>
    </row>
    <row r="164" spans="1:26" customFormat="1" ht="14.5">
      <c r="A164" s="232"/>
      <c r="B164" s="295">
        <v>126</v>
      </c>
      <c r="C164" s="265"/>
      <c r="D164" s="266"/>
      <c r="E164" s="256"/>
      <c r="F164" s="239"/>
      <c r="G164" s="246"/>
      <c r="H164" s="405">
        <v>150</v>
      </c>
      <c r="I164" s="424"/>
      <c r="J164" s="424"/>
      <c r="K164" s="436"/>
      <c r="L164" s="436"/>
      <c r="M164" s="436"/>
      <c r="N164" s="437"/>
      <c r="P164" s="455" t="str" cm="1">
        <f t="array" aca="1" ref="P164" ca="1">IF(AND($Q$12,B188&lt;=$C$17,C188&lt;&gt;""),TRANSPOSE(INDEX(GetCDS(C188,$C$6,$C$29,F188,D188,$C$13,$C$14,$C$15,$C$8,,,TRUE,TRUE,FALSE,$C$29:$C$31,$C$33),{1;2;3;4;5})),"")</f>
        <v/>
      </c>
      <c r="Q164" s="456"/>
      <c r="R164" s="456"/>
      <c r="S164" s="457"/>
      <c r="T164" s="458"/>
      <c r="U164" s="459" t="str">
        <f t="shared" ca="1" si="10"/>
        <v/>
      </c>
      <c r="V164" s="460" t="str">
        <f t="shared" ca="1" si="11"/>
        <v/>
      </c>
      <c r="W164" s="459" t="str">
        <f t="shared" ca="1" si="12"/>
        <v/>
      </c>
      <c r="X164" s="461" t="str">
        <f t="shared" ca="1" si="13"/>
        <v/>
      </c>
      <c r="Y164" s="460" t="str">
        <f t="shared" ca="1" si="14"/>
        <v/>
      </c>
      <c r="Z164" s="79"/>
    </row>
    <row r="165" spans="1:26" customFormat="1" ht="14.5">
      <c r="A165" s="232"/>
      <c r="B165" s="295">
        <v>127</v>
      </c>
      <c r="C165" s="265"/>
      <c r="D165" s="266"/>
      <c r="E165" s="256"/>
      <c r="F165" s="239"/>
      <c r="G165" s="246"/>
      <c r="H165" s="405">
        <v>151</v>
      </c>
      <c r="I165" s="424"/>
      <c r="J165" s="424"/>
      <c r="K165" s="436"/>
      <c r="L165" s="436"/>
      <c r="M165" s="436"/>
      <c r="N165" s="437"/>
      <c r="P165" s="455" t="str" cm="1">
        <f t="array" aca="1" ref="P165" ca="1">IF(AND($Q$12,B189&lt;=$C$17,C189&lt;&gt;""),TRANSPOSE(INDEX(GetCDS(C189,$C$6,$C$29,F189,D189,$C$13,$C$14,$C$15,$C$8,,,TRUE,TRUE,FALSE,$C$29:$C$31,$C$33),{1;2;3;4;5})),"")</f>
        <v/>
      </c>
      <c r="Q165" s="456"/>
      <c r="R165" s="456"/>
      <c r="S165" s="457"/>
      <c r="T165" s="458"/>
      <c r="U165" s="459" t="str">
        <f t="shared" ca="1" si="10"/>
        <v/>
      </c>
      <c r="V165" s="460" t="str">
        <f t="shared" ca="1" si="11"/>
        <v/>
      </c>
      <c r="W165" s="459" t="str">
        <f t="shared" ca="1" si="12"/>
        <v/>
      </c>
      <c r="X165" s="461" t="str">
        <f t="shared" ca="1" si="13"/>
        <v/>
      </c>
      <c r="Y165" s="460" t="str">
        <f t="shared" ca="1" si="14"/>
        <v/>
      </c>
      <c r="Z165" s="79"/>
    </row>
    <row r="166" spans="1:26" customFormat="1" ht="14.5">
      <c r="A166" s="232"/>
      <c r="B166" s="295">
        <v>128</v>
      </c>
      <c r="C166" s="265"/>
      <c r="D166" s="266"/>
      <c r="E166" s="256"/>
      <c r="F166" s="239"/>
      <c r="G166" s="246"/>
      <c r="H166" s="405">
        <v>152</v>
      </c>
      <c r="I166" s="424"/>
      <c r="J166" s="424"/>
      <c r="K166" s="436"/>
      <c r="L166" s="436"/>
      <c r="M166" s="436"/>
      <c r="N166" s="437"/>
      <c r="P166" s="455" t="str" cm="1">
        <f t="array" aca="1" ref="P166" ca="1">IF(AND($Q$12,B190&lt;=$C$17,C190&lt;&gt;""),TRANSPOSE(INDEX(GetCDS(C190,$C$6,$C$29,F190,D190,$C$13,$C$14,$C$15,$C$8,,,TRUE,TRUE,FALSE,$C$29:$C$31,$C$33),{1;2;3;4;5})),"")</f>
        <v/>
      </c>
      <c r="Q166" s="456"/>
      <c r="R166" s="456"/>
      <c r="S166" s="457"/>
      <c r="T166" s="458"/>
      <c r="U166" s="459" t="str">
        <f t="shared" ca="1" si="10"/>
        <v/>
      </c>
      <c r="V166" s="460" t="str">
        <f t="shared" ca="1" si="11"/>
        <v/>
      </c>
      <c r="W166" s="459" t="str">
        <f t="shared" ca="1" si="12"/>
        <v/>
      </c>
      <c r="X166" s="461" t="str">
        <f t="shared" ca="1" si="13"/>
        <v/>
      </c>
      <c r="Y166" s="460" t="str">
        <f t="shared" ca="1" si="14"/>
        <v/>
      </c>
      <c r="Z166" s="79"/>
    </row>
    <row r="167" spans="1:26" customFormat="1" ht="14.5">
      <c r="A167" s="232"/>
      <c r="B167" s="295">
        <v>129</v>
      </c>
      <c r="C167" s="265"/>
      <c r="D167" s="266"/>
      <c r="E167" s="256"/>
      <c r="F167" s="239"/>
      <c r="G167" s="246"/>
      <c r="H167" s="405">
        <v>153</v>
      </c>
      <c r="I167" s="424"/>
      <c r="J167" s="424"/>
      <c r="K167" s="436"/>
      <c r="L167" s="436"/>
      <c r="M167" s="436"/>
      <c r="N167" s="437"/>
      <c r="P167" s="455" t="str" cm="1">
        <f t="array" aca="1" ref="P167" ca="1">IF(AND($Q$12,B191&lt;=$C$17,C191&lt;&gt;""),TRANSPOSE(INDEX(GetCDS(C191,$C$6,$C$29,F191,D191,$C$13,$C$14,$C$15,$C$8,,,TRUE,TRUE,FALSE,$C$29:$C$31,$C$33),{1;2;3;4;5})),"")</f>
        <v/>
      </c>
      <c r="Q167" s="456"/>
      <c r="R167" s="456"/>
      <c r="S167" s="457"/>
      <c r="T167" s="458"/>
      <c r="U167" s="459" t="str">
        <f t="shared" ca="1" si="10"/>
        <v/>
      </c>
      <c r="V167" s="460" t="str">
        <f t="shared" ca="1" si="11"/>
        <v/>
      </c>
      <c r="W167" s="459" t="str">
        <f t="shared" ca="1" si="12"/>
        <v/>
      </c>
      <c r="X167" s="461" t="str">
        <f t="shared" ca="1" si="13"/>
        <v/>
      </c>
      <c r="Y167" s="460" t="str">
        <f t="shared" ca="1" si="14"/>
        <v/>
      </c>
      <c r="Z167" s="79"/>
    </row>
    <row r="168" spans="1:26" customFormat="1" ht="14.5">
      <c r="A168" s="232"/>
      <c r="B168" s="295">
        <v>130</v>
      </c>
      <c r="C168" s="265"/>
      <c r="D168" s="266"/>
      <c r="E168" s="256"/>
      <c r="F168" s="239"/>
      <c r="G168" s="246"/>
      <c r="H168" s="405">
        <v>154</v>
      </c>
      <c r="I168" s="424"/>
      <c r="J168" s="424"/>
      <c r="K168" s="436"/>
      <c r="L168" s="436"/>
      <c r="M168" s="436"/>
      <c r="N168" s="437"/>
      <c r="P168" s="455" t="str" cm="1">
        <f t="array" aca="1" ref="P168" ca="1">IF(AND($Q$12,B192&lt;=$C$17,C192&lt;&gt;""),TRANSPOSE(INDEX(GetCDS(C192,$C$6,$C$29,F192,D192,$C$13,$C$14,$C$15,$C$8,,,TRUE,TRUE,FALSE,$C$29:$C$31,$C$33),{1;2;3;4;5})),"")</f>
        <v/>
      </c>
      <c r="Q168" s="456"/>
      <c r="R168" s="456"/>
      <c r="S168" s="457"/>
      <c r="T168" s="458"/>
      <c r="U168" s="459" t="str">
        <f t="shared" ca="1" si="10"/>
        <v/>
      </c>
      <c r="V168" s="460" t="str">
        <f t="shared" ca="1" si="11"/>
        <v/>
      </c>
      <c r="W168" s="459" t="str">
        <f t="shared" ca="1" si="12"/>
        <v/>
      </c>
      <c r="X168" s="461" t="str">
        <f t="shared" ca="1" si="13"/>
        <v/>
      </c>
      <c r="Y168" s="460" t="str">
        <f t="shared" ca="1" si="14"/>
        <v/>
      </c>
      <c r="Z168" s="79"/>
    </row>
    <row r="169" spans="1:26" customFormat="1" ht="14.5">
      <c r="A169" s="232"/>
      <c r="B169" s="295">
        <v>131</v>
      </c>
      <c r="C169" s="265"/>
      <c r="D169" s="266"/>
      <c r="E169" s="256"/>
      <c r="F169" s="239"/>
      <c r="G169" s="246"/>
      <c r="H169" s="405">
        <v>155</v>
      </c>
      <c r="I169" s="424"/>
      <c r="J169" s="424"/>
      <c r="K169" s="436"/>
      <c r="L169" s="436"/>
      <c r="M169" s="436"/>
      <c r="N169" s="437"/>
      <c r="P169" s="455" t="str" cm="1">
        <f t="array" aca="1" ref="P169" ca="1">IF(AND($Q$12,B193&lt;=$C$17,C193&lt;&gt;""),TRANSPOSE(INDEX(GetCDS(C193,$C$6,$C$29,F193,D193,$C$13,$C$14,$C$15,$C$8,,,TRUE,TRUE,FALSE,$C$29:$C$31,$C$33),{1;2;3;4;5})),"")</f>
        <v/>
      </c>
      <c r="Q169" s="456"/>
      <c r="R169" s="456"/>
      <c r="S169" s="457"/>
      <c r="T169" s="458"/>
      <c r="U169" s="459" t="str">
        <f t="shared" ca="1" si="10"/>
        <v/>
      </c>
      <c r="V169" s="460" t="str">
        <f t="shared" ca="1" si="11"/>
        <v/>
      </c>
      <c r="W169" s="459" t="str">
        <f t="shared" ca="1" si="12"/>
        <v/>
      </c>
      <c r="X169" s="461" t="str">
        <f t="shared" ca="1" si="13"/>
        <v/>
      </c>
      <c r="Y169" s="460" t="str">
        <f t="shared" ca="1" si="14"/>
        <v/>
      </c>
      <c r="Z169" s="79"/>
    </row>
    <row r="170" spans="1:26" customFormat="1" ht="14.5">
      <c r="A170" s="232"/>
      <c r="B170" s="295">
        <v>132</v>
      </c>
      <c r="C170" s="265"/>
      <c r="D170" s="266"/>
      <c r="E170" s="256"/>
      <c r="F170" s="239"/>
      <c r="G170" s="246"/>
      <c r="H170" s="405">
        <v>156</v>
      </c>
      <c r="I170" s="424"/>
      <c r="J170" s="424"/>
      <c r="K170" s="436"/>
      <c r="L170" s="436"/>
      <c r="M170" s="436"/>
      <c r="N170" s="437"/>
      <c r="P170" s="455" t="str" cm="1">
        <f t="array" aca="1" ref="P170" ca="1">IF(AND($Q$12,B194&lt;=$C$17,C194&lt;&gt;""),TRANSPOSE(INDEX(GetCDS(C194,$C$6,$C$29,F194,D194,$C$13,$C$14,$C$15,$C$8,,,TRUE,TRUE,FALSE,$C$29:$C$31,$C$33),{1;2;3;4;5})),"")</f>
        <v/>
      </c>
      <c r="Q170" s="456"/>
      <c r="R170" s="456"/>
      <c r="S170" s="457"/>
      <c r="T170" s="458"/>
      <c r="U170" s="459" t="str">
        <f t="shared" ca="1" si="10"/>
        <v/>
      </c>
      <c r="V170" s="460" t="str">
        <f t="shared" ca="1" si="11"/>
        <v/>
      </c>
      <c r="W170" s="459" t="str">
        <f t="shared" ca="1" si="12"/>
        <v/>
      </c>
      <c r="X170" s="461" t="str">
        <f t="shared" ca="1" si="13"/>
        <v/>
      </c>
      <c r="Y170" s="460" t="str">
        <f t="shared" ca="1" si="14"/>
        <v/>
      </c>
      <c r="Z170" s="79"/>
    </row>
    <row r="171" spans="1:26" customFormat="1" ht="14.5">
      <c r="A171" s="232"/>
      <c r="B171" s="295">
        <v>133</v>
      </c>
      <c r="C171" s="265"/>
      <c r="D171" s="266"/>
      <c r="E171" s="256"/>
      <c r="F171" s="239"/>
      <c r="G171" s="246"/>
      <c r="H171" s="405">
        <v>157</v>
      </c>
      <c r="I171" s="424"/>
      <c r="J171" s="424"/>
      <c r="K171" s="436"/>
      <c r="L171" s="436"/>
      <c r="M171" s="436"/>
      <c r="N171" s="437"/>
      <c r="P171" s="455" t="str" cm="1">
        <f t="array" aca="1" ref="P171" ca="1">IF(AND($Q$12,B195&lt;=$C$17,C195&lt;&gt;""),TRANSPOSE(INDEX(GetCDS(C195,$C$6,$C$29,F195,D195,$C$13,$C$14,$C$15,$C$8,,,TRUE,TRUE,FALSE,$C$29:$C$31,$C$33),{1;2;3;4;5})),"")</f>
        <v/>
      </c>
      <c r="Q171" s="456"/>
      <c r="R171" s="456"/>
      <c r="S171" s="457"/>
      <c r="T171" s="458"/>
      <c r="U171" s="459" t="str">
        <f t="shared" ca="1" si="10"/>
        <v/>
      </c>
      <c r="V171" s="460" t="str">
        <f t="shared" ca="1" si="11"/>
        <v/>
      </c>
      <c r="W171" s="459" t="str">
        <f t="shared" ca="1" si="12"/>
        <v/>
      </c>
      <c r="X171" s="461" t="str">
        <f t="shared" ca="1" si="13"/>
        <v/>
      </c>
      <c r="Y171" s="460" t="str">
        <f t="shared" ca="1" si="14"/>
        <v/>
      </c>
      <c r="Z171" s="79"/>
    </row>
    <row r="172" spans="1:26" customFormat="1" ht="14.5">
      <c r="A172" s="232"/>
      <c r="B172" s="295">
        <v>134</v>
      </c>
      <c r="C172" s="265"/>
      <c r="D172" s="266"/>
      <c r="E172" s="256"/>
      <c r="F172" s="239"/>
      <c r="G172" s="246"/>
      <c r="H172" s="405">
        <v>158</v>
      </c>
      <c r="I172" s="424"/>
      <c r="J172" s="424"/>
      <c r="K172" s="436"/>
      <c r="L172" s="436"/>
      <c r="M172" s="436"/>
      <c r="N172" s="437"/>
      <c r="P172" s="455" t="str" cm="1">
        <f t="array" aca="1" ref="P172" ca="1">IF(AND($Q$12,B196&lt;=$C$17,C196&lt;&gt;""),TRANSPOSE(INDEX(GetCDS(C196,$C$6,$C$29,F196,D196,$C$13,$C$14,$C$15,$C$8,,,TRUE,TRUE,FALSE,$C$29:$C$31,$C$33),{1;2;3;4;5})),"")</f>
        <v/>
      </c>
      <c r="Q172" s="456"/>
      <c r="R172" s="456"/>
      <c r="S172" s="457"/>
      <c r="T172" s="458"/>
      <c r="U172" s="459" t="str">
        <f t="shared" ca="1" si="10"/>
        <v/>
      </c>
      <c r="V172" s="460" t="str">
        <f t="shared" ca="1" si="11"/>
        <v/>
      </c>
      <c r="W172" s="459" t="str">
        <f t="shared" ca="1" si="12"/>
        <v/>
      </c>
      <c r="X172" s="461" t="str">
        <f t="shared" ca="1" si="13"/>
        <v/>
      </c>
      <c r="Y172" s="460" t="str">
        <f t="shared" ca="1" si="14"/>
        <v/>
      </c>
      <c r="Z172" s="79"/>
    </row>
    <row r="173" spans="1:26" customFormat="1" ht="14.5">
      <c r="A173" s="232"/>
      <c r="B173" s="295">
        <v>135</v>
      </c>
      <c r="C173" s="265"/>
      <c r="D173" s="266"/>
      <c r="E173" s="256"/>
      <c r="F173" s="239"/>
      <c r="G173" s="246"/>
      <c r="H173" s="405">
        <v>159</v>
      </c>
      <c r="I173" s="424"/>
      <c r="J173" s="424"/>
      <c r="K173" s="436"/>
      <c r="L173" s="436"/>
      <c r="M173" s="436"/>
      <c r="N173" s="437"/>
      <c r="P173" s="455" t="str" cm="1">
        <f t="array" aca="1" ref="P173" ca="1">IF(AND($Q$12,B197&lt;=$C$17,C197&lt;&gt;""),TRANSPOSE(INDEX(GetCDS(C197,$C$6,$C$29,F197,D197,$C$13,$C$14,$C$15,$C$8,,,TRUE,TRUE,FALSE,$C$29:$C$31,$C$33),{1;2;3;4;5})),"")</f>
        <v/>
      </c>
      <c r="Q173" s="456"/>
      <c r="R173" s="456"/>
      <c r="S173" s="457"/>
      <c r="T173" s="458"/>
      <c r="U173" s="459" t="str">
        <f t="shared" ca="1" si="10"/>
        <v/>
      </c>
      <c r="V173" s="460" t="str">
        <f t="shared" ca="1" si="11"/>
        <v/>
      </c>
      <c r="W173" s="459" t="str">
        <f t="shared" ca="1" si="12"/>
        <v/>
      </c>
      <c r="X173" s="461" t="str">
        <f t="shared" ca="1" si="13"/>
        <v/>
      </c>
      <c r="Y173" s="460" t="str">
        <f t="shared" ca="1" si="14"/>
        <v/>
      </c>
      <c r="Z173" s="79"/>
    </row>
    <row r="174" spans="1:26" customFormat="1" ht="14.5">
      <c r="A174" s="232"/>
      <c r="B174" s="295">
        <v>136</v>
      </c>
      <c r="C174" s="265"/>
      <c r="D174" s="266"/>
      <c r="E174" s="256"/>
      <c r="F174" s="239"/>
      <c r="G174" s="246"/>
      <c r="H174" s="405">
        <v>160</v>
      </c>
      <c r="I174" s="424"/>
      <c r="J174" s="424"/>
      <c r="K174" s="436"/>
      <c r="L174" s="436"/>
      <c r="M174" s="436"/>
      <c r="N174" s="437"/>
      <c r="P174" s="455" t="str" cm="1">
        <f t="array" aca="1" ref="P174" ca="1">IF(AND($Q$12,B198&lt;=$C$17,C198&lt;&gt;""),TRANSPOSE(INDEX(GetCDS(C198,$C$6,$C$29,F198,D198,$C$13,$C$14,$C$15,$C$8,,,TRUE,TRUE,FALSE,$C$29:$C$31,$C$33),{1;2;3;4;5})),"")</f>
        <v/>
      </c>
      <c r="Q174" s="456"/>
      <c r="R174" s="456"/>
      <c r="S174" s="457"/>
      <c r="T174" s="458"/>
      <c r="U174" s="459" t="str">
        <f t="shared" ca="1" si="10"/>
        <v/>
      </c>
      <c r="V174" s="460" t="str">
        <f t="shared" ca="1" si="11"/>
        <v/>
      </c>
      <c r="W174" s="459" t="str">
        <f t="shared" ca="1" si="12"/>
        <v/>
      </c>
      <c r="X174" s="461" t="str">
        <f t="shared" ca="1" si="13"/>
        <v/>
      </c>
      <c r="Y174" s="460" t="str">
        <f t="shared" ca="1" si="14"/>
        <v/>
      </c>
      <c r="Z174" s="79"/>
    </row>
    <row r="175" spans="1:26" customFormat="1" ht="14.5">
      <c r="A175" s="232"/>
      <c r="B175" s="295">
        <v>137</v>
      </c>
      <c r="C175" s="265"/>
      <c r="D175" s="266"/>
      <c r="E175" s="256"/>
      <c r="F175" s="239"/>
      <c r="G175" s="246"/>
      <c r="H175" s="405">
        <v>161</v>
      </c>
      <c r="I175" s="424"/>
      <c r="J175" s="424"/>
      <c r="K175" s="436"/>
      <c r="L175" s="436"/>
      <c r="M175" s="436"/>
      <c r="N175" s="437"/>
      <c r="P175" s="455" t="str" cm="1">
        <f t="array" aca="1" ref="P175" ca="1">IF(AND($Q$12,B199&lt;=$C$17,C199&lt;&gt;""),TRANSPOSE(INDEX(GetCDS(C199,$C$6,$C$29,F199,D199,$C$13,$C$14,$C$15,$C$8,,,TRUE,TRUE,FALSE,$C$29:$C$31,$C$33),{1;2;3;4;5})),"")</f>
        <v/>
      </c>
      <c r="Q175" s="456"/>
      <c r="R175" s="456"/>
      <c r="S175" s="457"/>
      <c r="T175" s="458"/>
      <c r="U175" s="459" t="str">
        <f t="shared" ca="1" si="10"/>
        <v/>
      </c>
      <c r="V175" s="460" t="str">
        <f t="shared" ca="1" si="11"/>
        <v/>
      </c>
      <c r="W175" s="459" t="str">
        <f t="shared" ca="1" si="12"/>
        <v/>
      </c>
      <c r="X175" s="461" t="str">
        <f t="shared" ca="1" si="13"/>
        <v/>
      </c>
      <c r="Y175" s="460" t="str">
        <f t="shared" ca="1" si="14"/>
        <v/>
      </c>
      <c r="Z175" s="79"/>
    </row>
    <row r="176" spans="1:26" customFormat="1" ht="14.5">
      <c r="A176" s="232"/>
      <c r="B176" s="295">
        <v>138</v>
      </c>
      <c r="C176" s="265"/>
      <c r="D176" s="266"/>
      <c r="E176" s="256"/>
      <c r="F176" s="239"/>
      <c r="G176" s="246"/>
      <c r="H176" s="405">
        <v>162</v>
      </c>
      <c r="I176" s="424"/>
      <c r="J176" s="424"/>
      <c r="K176" s="436"/>
      <c r="L176" s="436"/>
      <c r="M176" s="436"/>
      <c r="N176" s="437"/>
      <c r="P176" s="455" t="str" cm="1">
        <f t="array" aca="1" ref="P176" ca="1">IF(AND($Q$12,B200&lt;=$C$17,C200&lt;&gt;""),TRANSPOSE(INDEX(GetCDS(C200,$C$6,$C$29,F200,D200,$C$13,$C$14,$C$15,$C$8,,,TRUE,TRUE,FALSE,$C$29:$C$31,$C$33),{1;2;3;4;5})),"")</f>
        <v/>
      </c>
      <c r="Q176" s="456"/>
      <c r="R176" s="456"/>
      <c r="S176" s="457"/>
      <c r="T176" s="458"/>
      <c r="U176" s="459" t="str">
        <f t="shared" ca="1" si="10"/>
        <v/>
      </c>
      <c r="V176" s="460" t="str">
        <f t="shared" ca="1" si="11"/>
        <v/>
      </c>
      <c r="W176" s="459" t="str">
        <f t="shared" ca="1" si="12"/>
        <v/>
      </c>
      <c r="X176" s="461" t="str">
        <f t="shared" ca="1" si="13"/>
        <v/>
      </c>
      <c r="Y176" s="460" t="str">
        <f t="shared" ca="1" si="14"/>
        <v/>
      </c>
      <c r="Z176" s="79"/>
    </row>
    <row r="177" spans="1:26" customFormat="1" ht="14.5">
      <c r="A177" s="232"/>
      <c r="B177" s="295">
        <v>139</v>
      </c>
      <c r="C177" s="265"/>
      <c r="D177" s="266"/>
      <c r="E177" s="256"/>
      <c r="F177" s="239"/>
      <c r="G177" s="246"/>
      <c r="H177" s="405">
        <v>163</v>
      </c>
      <c r="I177" s="424"/>
      <c r="J177" s="424"/>
      <c r="K177" s="436"/>
      <c r="L177" s="436"/>
      <c r="M177" s="436"/>
      <c r="N177" s="437"/>
      <c r="P177" s="455" t="str" cm="1">
        <f t="array" aca="1" ref="P177" ca="1">IF(AND($Q$12,B201&lt;=$C$17,C201&lt;&gt;""),TRANSPOSE(INDEX(GetCDS(C201,$C$6,$C$29,F201,D201,$C$13,$C$14,$C$15,$C$8,,,TRUE,TRUE,FALSE,$C$29:$C$31,$C$33),{1;2;3;4;5})),"")</f>
        <v/>
      </c>
      <c r="Q177" s="456"/>
      <c r="R177" s="456"/>
      <c r="S177" s="457"/>
      <c r="T177" s="458"/>
      <c r="U177" s="459" t="str">
        <f t="shared" ca="1" si="10"/>
        <v/>
      </c>
      <c r="V177" s="460" t="str">
        <f t="shared" ca="1" si="11"/>
        <v/>
      </c>
      <c r="W177" s="459" t="str">
        <f t="shared" ca="1" si="12"/>
        <v/>
      </c>
      <c r="X177" s="461" t="str">
        <f t="shared" ca="1" si="13"/>
        <v/>
      </c>
      <c r="Y177" s="460" t="str">
        <f t="shared" ca="1" si="14"/>
        <v/>
      </c>
      <c r="Z177" s="79"/>
    </row>
    <row r="178" spans="1:26" customFormat="1" ht="14.5">
      <c r="A178" s="232"/>
      <c r="B178" s="295">
        <v>140</v>
      </c>
      <c r="C178" s="265"/>
      <c r="D178" s="266"/>
      <c r="E178" s="256"/>
      <c r="F178" s="239"/>
      <c r="G178" s="246"/>
      <c r="H178" s="405">
        <v>164</v>
      </c>
      <c r="I178" s="424"/>
      <c r="J178" s="424"/>
      <c r="K178" s="436"/>
      <c r="L178" s="436"/>
      <c r="M178" s="436"/>
      <c r="N178" s="437"/>
      <c r="P178" s="455" t="str" cm="1">
        <f t="array" aca="1" ref="P178" ca="1">IF(AND($Q$12,B202&lt;=$C$17,C202&lt;&gt;""),TRANSPOSE(INDEX(GetCDS(C202,$C$6,$C$29,F202,D202,$C$13,$C$14,$C$15,$C$8,,,TRUE,TRUE,FALSE,$C$29:$C$31,$C$33),{1;2;3;4;5})),"")</f>
        <v/>
      </c>
      <c r="Q178" s="456"/>
      <c r="R178" s="456"/>
      <c r="S178" s="457"/>
      <c r="T178" s="458"/>
      <c r="U178" s="459" t="str">
        <f t="shared" ca="1" si="10"/>
        <v/>
      </c>
      <c r="V178" s="460" t="str">
        <f t="shared" ca="1" si="11"/>
        <v/>
      </c>
      <c r="W178" s="459" t="str">
        <f t="shared" ca="1" si="12"/>
        <v/>
      </c>
      <c r="X178" s="461" t="str">
        <f t="shared" ca="1" si="13"/>
        <v/>
      </c>
      <c r="Y178" s="460" t="str">
        <f t="shared" ca="1" si="14"/>
        <v/>
      </c>
      <c r="Z178" s="79"/>
    </row>
    <row r="179" spans="1:26" customFormat="1" ht="14.5">
      <c r="A179" s="232"/>
      <c r="B179" s="295">
        <v>141</v>
      </c>
      <c r="C179" s="265"/>
      <c r="D179" s="266"/>
      <c r="E179" s="256"/>
      <c r="F179" s="239"/>
      <c r="G179" s="246"/>
      <c r="H179" s="405">
        <v>165</v>
      </c>
      <c r="I179" s="424"/>
      <c r="J179" s="424"/>
      <c r="K179" s="436"/>
      <c r="L179" s="436"/>
      <c r="M179" s="436"/>
      <c r="N179" s="437"/>
      <c r="P179" s="455" t="str" cm="1">
        <f t="array" aca="1" ref="P179" ca="1">IF(AND($Q$12,B203&lt;=$C$17,C203&lt;&gt;""),TRANSPOSE(INDEX(GetCDS(C203,$C$6,$C$29,F203,D203,$C$13,$C$14,$C$15,$C$8,,,TRUE,TRUE,FALSE,$C$29:$C$31,$C$33),{1;2;3;4;5})),"")</f>
        <v/>
      </c>
      <c r="Q179" s="456"/>
      <c r="R179" s="456"/>
      <c r="S179" s="457"/>
      <c r="T179" s="458"/>
      <c r="U179" s="459" t="str">
        <f t="shared" ca="1" si="10"/>
        <v/>
      </c>
      <c r="V179" s="460" t="str">
        <f t="shared" ca="1" si="11"/>
        <v/>
      </c>
      <c r="W179" s="459" t="str">
        <f t="shared" ca="1" si="12"/>
        <v/>
      </c>
      <c r="X179" s="461" t="str">
        <f t="shared" ca="1" si="13"/>
        <v/>
      </c>
      <c r="Y179" s="460" t="str">
        <f t="shared" ca="1" si="14"/>
        <v/>
      </c>
      <c r="Z179" s="79"/>
    </row>
    <row r="180" spans="1:26" customFormat="1" ht="14.5">
      <c r="A180" s="232"/>
      <c r="B180" s="295">
        <v>142</v>
      </c>
      <c r="C180" s="265"/>
      <c r="D180" s="266"/>
      <c r="E180" s="256"/>
      <c r="F180" s="239"/>
      <c r="G180" s="246"/>
      <c r="H180" s="405">
        <v>166</v>
      </c>
      <c r="I180" s="424"/>
      <c r="J180" s="424"/>
      <c r="K180" s="436"/>
      <c r="L180" s="436"/>
      <c r="M180" s="436"/>
      <c r="N180" s="437"/>
      <c r="P180" s="455" t="str" cm="1">
        <f t="array" aca="1" ref="P180" ca="1">IF(AND($Q$12,B204&lt;=$C$17,C204&lt;&gt;""),TRANSPOSE(INDEX(GetCDS(C204,$C$6,$C$29,F204,D204,$C$13,$C$14,$C$15,$C$8,,,TRUE,TRUE,FALSE,$C$29:$C$31,$C$33),{1;2;3;4;5})),"")</f>
        <v/>
      </c>
      <c r="Q180" s="456"/>
      <c r="R180" s="456"/>
      <c r="S180" s="457"/>
      <c r="T180" s="458"/>
      <c r="U180" s="459" t="str">
        <f t="shared" ca="1" si="10"/>
        <v/>
      </c>
      <c r="V180" s="460" t="str">
        <f t="shared" ca="1" si="11"/>
        <v/>
      </c>
      <c r="W180" s="459" t="str">
        <f t="shared" ca="1" si="12"/>
        <v/>
      </c>
      <c r="X180" s="461" t="str">
        <f t="shared" ca="1" si="13"/>
        <v/>
      </c>
      <c r="Y180" s="460" t="str">
        <f t="shared" ca="1" si="14"/>
        <v/>
      </c>
      <c r="Z180" s="79"/>
    </row>
    <row r="181" spans="1:26" customFormat="1" ht="14.5">
      <c r="A181" s="232"/>
      <c r="B181" s="295">
        <v>143</v>
      </c>
      <c r="C181" s="265"/>
      <c r="D181" s="266"/>
      <c r="E181" s="256"/>
      <c r="F181" s="239"/>
      <c r="G181" s="246"/>
      <c r="H181" s="405">
        <v>167</v>
      </c>
      <c r="I181" s="424"/>
      <c r="J181" s="424"/>
      <c r="K181" s="436"/>
      <c r="L181" s="436"/>
      <c r="M181" s="436"/>
      <c r="N181" s="437"/>
      <c r="P181" s="455" t="str" cm="1">
        <f t="array" aca="1" ref="P181" ca="1">IF(AND($Q$12,B205&lt;=$C$17,C205&lt;&gt;""),TRANSPOSE(INDEX(GetCDS(C205,$C$6,$C$29,F205,D205,$C$13,$C$14,$C$15,$C$8,,,TRUE,TRUE,FALSE,$C$29:$C$31,$C$33),{1;2;3;4;5})),"")</f>
        <v/>
      </c>
      <c r="Q181" s="456"/>
      <c r="R181" s="456"/>
      <c r="S181" s="457"/>
      <c r="T181" s="458"/>
      <c r="U181" s="459" t="str">
        <f t="shared" ca="1" si="10"/>
        <v/>
      </c>
      <c r="V181" s="460" t="str">
        <f t="shared" ca="1" si="11"/>
        <v/>
      </c>
      <c r="W181" s="459" t="str">
        <f t="shared" ca="1" si="12"/>
        <v/>
      </c>
      <c r="X181" s="461" t="str">
        <f t="shared" ca="1" si="13"/>
        <v/>
      </c>
      <c r="Y181" s="460" t="str">
        <f t="shared" ca="1" si="14"/>
        <v/>
      </c>
      <c r="Z181" s="79"/>
    </row>
    <row r="182" spans="1:26" customFormat="1" ht="14.5">
      <c r="A182" s="232"/>
      <c r="B182" s="295">
        <v>144</v>
      </c>
      <c r="C182" s="265"/>
      <c r="D182" s="266"/>
      <c r="E182" s="256"/>
      <c r="F182" s="239"/>
      <c r="G182" s="246"/>
      <c r="H182" s="405">
        <v>168</v>
      </c>
      <c r="I182" s="424"/>
      <c r="J182" s="424"/>
      <c r="K182" s="436"/>
      <c r="L182" s="436"/>
      <c r="M182" s="436"/>
      <c r="N182" s="437"/>
      <c r="P182" s="455" t="str" cm="1">
        <f t="array" aca="1" ref="P182" ca="1">IF(AND($Q$12,B206&lt;=$C$17,C206&lt;&gt;""),TRANSPOSE(INDEX(GetCDS(C206,$C$6,$C$29,F206,D206,$C$13,$C$14,$C$15,$C$8,,,TRUE,TRUE,FALSE,$C$29:$C$31,$C$33),{1;2;3;4;5})),"")</f>
        <v/>
      </c>
      <c r="Q182" s="456"/>
      <c r="R182" s="456"/>
      <c r="S182" s="457"/>
      <c r="T182" s="458"/>
      <c r="U182" s="459" t="str">
        <f t="shared" ca="1" si="10"/>
        <v/>
      </c>
      <c r="V182" s="460" t="str">
        <f t="shared" ca="1" si="11"/>
        <v/>
      </c>
      <c r="W182" s="459" t="str">
        <f t="shared" ca="1" si="12"/>
        <v/>
      </c>
      <c r="X182" s="461" t="str">
        <f t="shared" ca="1" si="13"/>
        <v/>
      </c>
      <c r="Y182" s="460" t="str">
        <f t="shared" ca="1" si="14"/>
        <v/>
      </c>
      <c r="Z182" s="79"/>
    </row>
    <row r="183" spans="1:26" customFormat="1" ht="14.5">
      <c r="A183" s="232"/>
      <c r="B183" s="295">
        <v>145</v>
      </c>
      <c r="C183" s="265"/>
      <c r="D183" s="266"/>
      <c r="E183" s="256"/>
      <c r="F183" s="239"/>
      <c r="G183" s="246"/>
      <c r="H183" s="405">
        <v>169</v>
      </c>
      <c r="I183" s="424"/>
      <c r="J183" s="424"/>
      <c r="K183" s="436"/>
      <c r="L183" s="436"/>
      <c r="M183" s="436"/>
      <c r="N183" s="437"/>
      <c r="P183" s="455" t="str" cm="1">
        <f t="array" aca="1" ref="P183" ca="1">IF(AND($Q$12,B207&lt;=$C$17,C207&lt;&gt;""),TRANSPOSE(INDEX(GetCDS(C207,$C$6,$C$29,F207,D207,$C$13,$C$14,$C$15,$C$8,,,TRUE,TRUE,FALSE,$C$29:$C$31,$C$33),{1;2;3;4;5})),"")</f>
        <v/>
      </c>
      <c r="Q183" s="456"/>
      <c r="R183" s="456"/>
      <c r="S183" s="457"/>
      <c r="T183" s="458"/>
      <c r="U183" s="459" t="str">
        <f t="shared" ca="1" si="10"/>
        <v/>
      </c>
      <c r="V183" s="460" t="str">
        <f t="shared" ca="1" si="11"/>
        <v/>
      </c>
      <c r="W183" s="459" t="str">
        <f t="shared" ca="1" si="12"/>
        <v/>
      </c>
      <c r="X183" s="461" t="str">
        <f t="shared" ca="1" si="13"/>
        <v/>
      </c>
      <c r="Y183" s="460" t="str">
        <f t="shared" ca="1" si="14"/>
        <v/>
      </c>
      <c r="Z183" s="79"/>
    </row>
    <row r="184" spans="1:26" customFormat="1" ht="14.5">
      <c r="A184" s="232"/>
      <c r="B184" s="295">
        <v>146</v>
      </c>
      <c r="C184" s="265"/>
      <c r="D184" s="266"/>
      <c r="E184" s="256"/>
      <c r="F184" s="239"/>
      <c r="G184" s="246"/>
      <c r="H184" s="405">
        <v>170</v>
      </c>
      <c r="I184" s="424"/>
      <c r="J184" s="424"/>
      <c r="K184" s="436"/>
      <c r="L184" s="436"/>
      <c r="M184" s="436"/>
      <c r="N184" s="437"/>
      <c r="P184" s="455" t="str" cm="1">
        <f t="array" aca="1" ref="P184" ca="1">IF(AND($Q$12,B208&lt;=$C$17,C208&lt;&gt;""),TRANSPOSE(INDEX(GetCDS(C208,$C$6,$C$29,F208,D208,$C$13,$C$14,$C$15,$C$8,,,TRUE,TRUE,FALSE,$C$29:$C$31,$C$33),{1;2;3;4;5})),"")</f>
        <v/>
      </c>
      <c r="Q184" s="456"/>
      <c r="R184" s="456"/>
      <c r="S184" s="457"/>
      <c r="T184" s="458"/>
      <c r="U184" s="459" t="str">
        <f t="shared" ca="1" si="10"/>
        <v/>
      </c>
      <c r="V184" s="460" t="str">
        <f t="shared" ca="1" si="11"/>
        <v/>
      </c>
      <c r="W184" s="459" t="str">
        <f t="shared" ca="1" si="12"/>
        <v/>
      </c>
      <c r="X184" s="461" t="str">
        <f t="shared" ca="1" si="13"/>
        <v/>
      </c>
      <c r="Y184" s="460" t="str">
        <f t="shared" ca="1" si="14"/>
        <v/>
      </c>
      <c r="Z184" s="79"/>
    </row>
    <row r="185" spans="1:26" customFormat="1" ht="14.5">
      <c r="A185" s="232"/>
      <c r="B185" s="295">
        <v>147</v>
      </c>
      <c r="C185" s="265"/>
      <c r="D185" s="266"/>
      <c r="E185" s="256"/>
      <c r="F185" s="239"/>
      <c r="G185" s="246"/>
      <c r="H185" s="405">
        <v>171</v>
      </c>
      <c r="I185" s="424"/>
      <c r="J185" s="424"/>
      <c r="K185" s="436"/>
      <c r="L185" s="436"/>
      <c r="M185" s="436"/>
      <c r="N185" s="437"/>
      <c r="P185" s="455" t="str" cm="1">
        <f t="array" aca="1" ref="P185" ca="1">IF(AND($Q$12,B209&lt;=$C$17,C209&lt;&gt;""),TRANSPOSE(INDEX(GetCDS(C209,$C$6,$C$29,F209,D209,$C$13,$C$14,$C$15,$C$8,,,TRUE,TRUE,FALSE,$C$29:$C$31,$C$33),{1;2;3;4;5})),"")</f>
        <v/>
      </c>
      <c r="Q185" s="456"/>
      <c r="R185" s="456"/>
      <c r="S185" s="457"/>
      <c r="T185" s="458"/>
      <c r="U185" s="459" t="str">
        <f t="shared" ca="1" si="10"/>
        <v/>
      </c>
      <c r="V185" s="460" t="str">
        <f t="shared" ca="1" si="11"/>
        <v/>
      </c>
      <c r="W185" s="459" t="str">
        <f t="shared" ca="1" si="12"/>
        <v/>
      </c>
      <c r="X185" s="461" t="str">
        <f t="shared" ca="1" si="13"/>
        <v/>
      </c>
      <c r="Y185" s="460" t="str">
        <f t="shared" ca="1" si="14"/>
        <v/>
      </c>
      <c r="Z185" s="79"/>
    </row>
    <row r="186" spans="1:26" customFormat="1" ht="14.5">
      <c r="A186" s="232"/>
      <c r="B186" s="295">
        <v>148</v>
      </c>
      <c r="C186" s="265"/>
      <c r="D186" s="266"/>
      <c r="E186" s="256"/>
      <c r="F186" s="239"/>
      <c r="G186" s="246"/>
      <c r="H186" s="405">
        <v>172</v>
      </c>
      <c r="I186" s="424"/>
      <c r="J186" s="424"/>
      <c r="K186" s="436"/>
      <c r="L186" s="436"/>
      <c r="M186" s="436"/>
      <c r="N186" s="437"/>
      <c r="P186" s="455" t="str" cm="1">
        <f t="array" aca="1" ref="P186" ca="1">IF(AND($Q$12,B210&lt;=$C$17,C210&lt;&gt;""),TRANSPOSE(INDEX(GetCDS(C210,$C$6,$C$29,F210,D210,$C$13,$C$14,$C$15,$C$8,,,TRUE,TRUE,FALSE,$C$29:$C$31,$C$33),{1;2;3;4;5})),"")</f>
        <v/>
      </c>
      <c r="Q186" s="456"/>
      <c r="R186" s="456"/>
      <c r="S186" s="457"/>
      <c r="T186" s="458"/>
      <c r="U186" s="459" t="str">
        <f t="shared" ca="1" si="10"/>
        <v/>
      </c>
      <c r="V186" s="460" t="str">
        <f t="shared" ca="1" si="11"/>
        <v/>
      </c>
      <c r="W186" s="459" t="str">
        <f t="shared" ca="1" si="12"/>
        <v/>
      </c>
      <c r="X186" s="461" t="str">
        <f t="shared" ca="1" si="13"/>
        <v/>
      </c>
      <c r="Y186" s="460" t="str">
        <f t="shared" ca="1" si="14"/>
        <v/>
      </c>
      <c r="Z186" s="79"/>
    </row>
    <row r="187" spans="1:26" customFormat="1" ht="14.5">
      <c r="A187" s="232"/>
      <c r="B187" s="295">
        <v>149</v>
      </c>
      <c r="C187" s="265"/>
      <c r="D187" s="266"/>
      <c r="E187" s="256"/>
      <c r="F187" s="239"/>
      <c r="G187" s="246"/>
      <c r="H187" s="405">
        <v>173</v>
      </c>
      <c r="I187" s="424"/>
      <c r="J187" s="424"/>
      <c r="K187" s="436"/>
      <c r="L187" s="436"/>
      <c r="M187" s="436"/>
      <c r="N187" s="437"/>
      <c r="P187" s="455" t="str" cm="1">
        <f t="array" aca="1" ref="P187" ca="1">IF(AND($Q$12,B211&lt;=$C$17,C211&lt;&gt;""),TRANSPOSE(INDEX(GetCDS(C211,$C$6,$C$29,F211,D211,$C$13,$C$14,$C$15,$C$8,,,TRUE,TRUE,FALSE,$C$29:$C$31,$C$33),{1;2;3;4;5})),"")</f>
        <v/>
      </c>
      <c r="Q187" s="456"/>
      <c r="R187" s="456"/>
      <c r="S187" s="457"/>
      <c r="T187" s="458"/>
      <c r="U187" s="459" t="str">
        <f t="shared" ca="1" si="10"/>
        <v/>
      </c>
      <c r="V187" s="460" t="str">
        <f t="shared" ca="1" si="11"/>
        <v/>
      </c>
      <c r="W187" s="459" t="str">
        <f t="shared" ca="1" si="12"/>
        <v/>
      </c>
      <c r="X187" s="461" t="str">
        <f t="shared" ca="1" si="13"/>
        <v/>
      </c>
      <c r="Y187" s="460" t="str">
        <f t="shared" ca="1" si="14"/>
        <v/>
      </c>
      <c r="Z187" s="79"/>
    </row>
    <row r="188" spans="1:26" customFormat="1" ht="14.5">
      <c r="A188" s="232"/>
      <c r="B188" s="295">
        <v>150</v>
      </c>
      <c r="C188" s="265"/>
      <c r="D188" s="266"/>
      <c r="E188" s="256"/>
      <c r="F188" s="239"/>
      <c r="G188" s="246"/>
      <c r="H188" s="405">
        <v>174</v>
      </c>
      <c r="I188" s="424"/>
      <c r="J188" s="424"/>
      <c r="K188" s="436"/>
      <c r="L188" s="436"/>
      <c r="M188" s="436"/>
      <c r="N188" s="437"/>
      <c r="P188" s="455" t="str" cm="1">
        <f t="array" aca="1" ref="P188" ca="1">IF(AND($Q$12,B212&lt;=$C$17,C212&lt;&gt;""),TRANSPOSE(INDEX(GetCDS(C212,$C$6,$C$29,F212,D212,$C$13,$C$14,$C$15,$C$8,,,TRUE,TRUE,FALSE,$C$29:$C$31,$C$33),{1;2;3;4;5})),"")</f>
        <v/>
      </c>
      <c r="Q188" s="456"/>
      <c r="R188" s="456"/>
      <c r="S188" s="457"/>
      <c r="T188" s="458"/>
      <c r="U188" s="459" t="str">
        <f t="shared" ca="1" si="10"/>
        <v/>
      </c>
      <c r="V188" s="460" t="str">
        <f t="shared" ca="1" si="11"/>
        <v/>
      </c>
      <c r="W188" s="459" t="str">
        <f t="shared" ca="1" si="12"/>
        <v/>
      </c>
      <c r="X188" s="461" t="str">
        <f t="shared" ca="1" si="13"/>
        <v/>
      </c>
      <c r="Y188" s="460" t="str">
        <f t="shared" ca="1" si="14"/>
        <v/>
      </c>
      <c r="Z188" s="79"/>
    </row>
    <row r="189" spans="1:26" customFormat="1" ht="14.5">
      <c r="A189" s="232"/>
      <c r="B189" s="295">
        <v>151</v>
      </c>
      <c r="C189" s="265"/>
      <c r="D189" s="266"/>
      <c r="E189" s="256"/>
      <c r="F189" s="239"/>
      <c r="G189" s="246"/>
      <c r="H189" s="405">
        <v>175</v>
      </c>
      <c r="I189" s="424"/>
      <c r="J189" s="424"/>
      <c r="K189" s="436"/>
      <c r="L189" s="436"/>
      <c r="M189" s="436"/>
      <c r="N189" s="437"/>
      <c r="P189" s="455" t="str" cm="1">
        <f t="array" aca="1" ref="P189" ca="1">IF(AND($Q$12,B213&lt;=$C$17,C213&lt;&gt;""),TRANSPOSE(INDEX(GetCDS(C213,$C$6,$C$29,F213,D213,$C$13,$C$14,$C$15,$C$8,,,TRUE,TRUE,FALSE,$C$29:$C$31,$C$33),{1;2;3;4;5})),"")</f>
        <v/>
      </c>
      <c r="Q189" s="456"/>
      <c r="R189" s="456"/>
      <c r="S189" s="457"/>
      <c r="T189" s="458"/>
      <c r="U189" s="459" t="str">
        <f t="shared" ca="1" si="10"/>
        <v/>
      </c>
      <c r="V189" s="460" t="str">
        <f t="shared" ca="1" si="11"/>
        <v/>
      </c>
      <c r="W189" s="459" t="str">
        <f t="shared" ca="1" si="12"/>
        <v/>
      </c>
      <c r="X189" s="461" t="str">
        <f t="shared" ca="1" si="13"/>
        <v/>
      </c>
      <c r="Y189" s="460" t="str">
        <f t="shared" ca="1" si="14"/>
        <v/>
      </c>
      <c r="Z189" s="79"/>
    </row>
    <row r="190" spans="1:26" customFormat="1" ht="14.5">
      <c r="A190" s="232"/>
      <c r="B190" s="295">
        <v>152</v>
      </c>
      <c r="C190" s="265"/>
      <c r="D190" s="266"/>
      <c r="E190" s="256"/>
      <c r="F190" s="239"/>
      <c r="G190" s="246"/>
      <c r="H190" s="405">
        <v>176</v>
      </c>
      <c r="I190" s="424"/>
      <c r="J190" s="424"/>
      <c r="K190" s="436"/>
      <c r="L190" s="436"/>
      <c r="M190" s="436"/>
      <c r="N190" s="437"/>
      <c r="P190" s="455" t="str" cm="1">
        <f t="array" aca="1" ref="P190" ca="1">IF(AND($Q$12,B214&lt;=$C$17,C214&lt;&gt;""),TRANSPOSE(INDEX(GetCDS(C214,$C$6,$C$29,F214,D214,$C$13,$C$14,$C$15,$C$8,,,TRUE,TRUE,FALSE,$C$29:$C$31,$C$33),{1;2;3;4;5})),"")</f>
        <v/>
      </c>
      <c r="Q190" s="456"/>
      <c r="R190" s="456"/>
      <c r="S190" s="457"/>
      <c r="T190" s="458"/>
      <c r="U190" s="459" t="str">
        <f t="shared" ca="1" si="10"/>
        <v/>
      </c>
      <c r="V190" s="460" t="str">
        <f t="shared" ca="1" si="11"/>
        <v/>
      </c>
      <c r="W190" s="459" t="str">
        <f t="shared" ca="1" si="12"/>
        <v/>
      </c>
      <c r="X190" s="461" t="str">
        <f t="shared" ca="1" si="13"/>
        <v/>
      </c>
      <c r="Y190" s="460" t="str">
        <f t="shared" ca="1" si="14"/>
        <v/>
      </c>
      <c r="Z190" s="79"/>
    </row>
    <row r="191" spans="1:26" customFormat="1" ht="14.5">
      <c r="A191" s="232"/>
      <c r="B191" s="295">
        <v>153</v>
      </c>
      <c r="C191" s="265"/>
      <c r="D191" s="266"/>
      <c r="E191" s="256"/>
      <c r="F191" s="239"/>
      <c r="G191" s="246"/>
      <c r="H191" s="405">
        <v>177</v>
      </c>
      <c r="I191" s="424"/>
      <c r="J191" s="424"/>
      <c r="K191" s="436"/>
      <c r="L191" s="436"/>
      <c r="M191" s="436"/>
      <c r="N191" s="437"/>
      <c r="P191" s="455" t="str" cm="1">
        <f t="array" aca="1" ref="P191" ca="1">IF(AND($Q$12,B215&lt;=$C$17,C215&lt;&gt;""),TRANSPOSE(INDEX(GetCDS(C215,$C$6,$C$29,F215,D215,$C$13,$C$14,$C$15,$C$8,,,TRUE,TRUE,FALSE,$C$29:$C$31,$C$33),{1;2;3;4;5})),"")</f>
        <v/>
      </c>
      <c r="Q191" s="456"/>
      <c r="R191" s="456"/>
      <c r="S191" s="457"/>
      <c r="T191" s="458"/>
      <c r="U191" s="459" t="str">
        <f t="shared" ca="1" si="10"/>
        <v/>
      </c>
      <c r="V191" s="460" t="str">
        <f t="shared" ca="1" si="11"/>
        <v/>
      </c>
      <c r="W191" s="459" t="str">
        <f t="shared" ca="1" si="12"/>
        <v/>
      </c>
      <c r="X191" s="461" t="str">
        <f t="shared" ca="1" si="13"/>
        <v/>
      </c>
      <c r="Y191" s="460" t="str">
        <f t="shared" ca="1" si="14"/>
        <v/>
      </c>
      <c r="Z191" s="79"/>
    </row>
    <row r="192" spans="1:26" customFormat="1" ht="14.5">
      <c r="A192" s="232"/>
      <c r="B192" s="295">
        <v>154</v>
      </c>
      <c r="C192" s="265"/>
      <c r="D192" s="266"/>
      <c r="E192" s="256"/>
      <c r="F192" s="239"/>
      <c r="G192" s="246"/>
      <c r="H192" s="405">
        <v>178</v>
      </c>
      <c r="I192" s="424"/>
      <c r="J192" s="424"/>
      <c r="K192" s="436"/>
      <c r="L192" s="436"/>
      <c r="M192" s="436"/>
      <c r="N192" s="437"/>
      <c r="P192" s="455" t="str" cm="1">
        <f t="array" aca="1" ref="P192" ca="1">IF(AND($Q$12,B216&lt;=$C$17,C216&lt;&gt;""),TRANSPOSE(INDEX(GetCDS(C216,$C$6,$C$29,F216,D216,$C$13,$C$14,$C$15,$C$8,,,TRUE,TRUE,FALSE,$C$29:$C$31,$C$33),{1;2;3;4;5})),"")</f>
        <v/>
      </c>
      <c r="Q192" s="456"/>
      <c r="R192" s="456"/>
      <c r="S192" s="457"/>
      <c r="T192" s="458"/>
      <c r="U192" s="459" t="str">
        <f t="shared" ca="1" si="10"/>
        <v/>
      </c>
      <c r="V192" s="460" t="str">
        <f t="shared" ca="1" si="11"/>
        <v/>
      </c>
      <c r="W192" s="459" t="str">
        <f t="shared" ca="1" si="12"/>
        <v/>
      </c>
      <c r="X192" s="461" t="str">
        <f t="shared" ca="1" si="13"/>
        <v/>
      </c>
      <c r="Y192" s="460" t="str">
        <f t="shared" ca="1" si="14"/>
        <v/>
      </c>
      <c r="Z192" s="79"/>
    </row>
    <row r="193" spans="1:26" customFormat="1" ht="14.5">
      <c r="A193" s="232"/>
      <c r="B193" s="295">
        <v>155</v>
      </c>
      <c r="C193" s="265"/>
      <c r="D193" s="266"/>
      <c r="E193" s="256"/>
      <c r="F193" s="239"/>
      <c r="G193" s="246"/>
      <c r="H193" s="405">
        <v>179</v>
      </c>
      <c r="I193" s="424"/>
      <c r="J193" s="424"/>
      <c r="K193" s="436"/>
      <c r="L193" s="436"/>
      <c r="M193" s="436"/>
      <c r="N193" s="437"/>
      <c r="P193" s="455" t="str" cm="1">
        <f t="array" aca="1" ref="P193" ca="1">IF(AND($Q$12,B217&lt;=$C$17,C217&lt;&gt;""),TRANSPOSE(INDEX(GetCDS(C217,$C$6,$C$29,F217,D217,$C$13,$C$14,$C$15,$C$8,,,TRUE,TRUE,FALSE,$C$29:$C$31,$C$33),{1;2;3;4;5})),"")</f>
        <v/>
      </c>
      <c r="Q193" s="456"/>
      <c r="R193" s="456"/>
      <c r="S193" s="457"/>
      <c r="T193" s="458"/>
      <c r="U193" s="459" t="str">
        <f t="shared" ca="1" si="10"/>
        <v/>
      </c>
      <c r="V193" s="460" t="str">
        <f t="shared" ca="1" si="11"/>
        <v/>
      </c>
      <c r="W193" s="459" t="str">
        <f t="shared" ca="1" si="12"/>
        <v/>
      </c>
      <c r="X193" s="461" t="str">
        <f t="shared" ca="1" si="13"/>
        <v/>
      </c>
      <c r="Y193" s="460" t="str">
        <f t="shared" ca="1" si="14"/>
        <v/>
      </c>
      <c r="Z193" s="79"/>
    </row>
    <row r="194" spans="1:26" customFormat="1" ht="14.5">
      <c r="A194" s="232"/>
      <c r="B194" s="295">
        <v>156</v>
      </c>
      <c r="C194" s="265"/>
      <c r="D194" s="266"/>
      <c r="E194" s="256"/>
      <c r="F194" s="239"/>
      <c r="G194" s="246"/>
      <c r="H194" s="405">
        <v>180</v>
      </c>
      <c r="I194" s="424"/>
      <c r="J194" s="424"/>
      <c r="K194" s="436"/>
      <c r="L194" s="436"/>
      <c r="M194" s="436"/>
      <c r="N194" s="437"/>
      <c r="P194" s="455" t="str" cm="1">
        <f t="array" aca="1" ref="P194" ca="1">IF(AND($Q$12,B218&lt;=$C$17,C218&lt;&gt;""),TRANSPOSE(INDEX(GetCDS(C218,$C$6,$C$29,F218,D218,$C$13,$C$14,$C$15,$C$8,,,TRUE,TRUE,FALSE,$C$29:$C$31,$C$33),{1;2;3;4;5})),"")</f>
        <v/>
      </c>
      <c r="Q194" s="456"/>
      <c r="R194" s="456"/>
      <c r="S194" s="457"/>
      <c r="T194" s="458"/>
      <c r="U194" s="459" t="str">
        <f t="shared" ca="1" si="10"/>
        <v/>
      </c>
      <c r="V194" s="460" t="str">
        <f t="shared" ca="1" si="11"/>
        <v/>
      </c>
      <c r="W194" s="459" t="str">
        <f t="shared" ca="1" si="12"/>
        <v/>
      </c>
      <c r="X194" s="461" t="str">
        <f t="shared" ca="1" si="13"/>
        <v/>
      </c>
      <c r="Y194" s="460" t="str">
        <f t="shared" ca="1" si="14"/>
        <v/>
      </c>
      <c r="Z194" s="79"/>
    </row>
    <row r="195" spans="1:26" customFormat="1" ht="14.5">
      <c r="A195" s="232"/>
      <c r="B195" s="295">
        <v>157</v>
      </c>
      <c r="C195" s="265"/>
      <c r="D195" s="266"/>
      <c r="E195" s="256"/>
      <c r="F195" s="239"/>
      <c r="G195" s="246"/>
      <c r="H195" s="405">
        <v>181</v>
      </c>
      <c r="I195" s="424"/>
      <c r="J195" s="424"/>
      <c r="K195" s="436"/>
      <c r="L195" s="436"/>
      <c r="M195" s="436"/>
      <c r="N195" s="437"/>
      <c r="P195" s="455" t="str" cm="1">
        <f t="array" aca="1" ref="P195" ca="1">IF(AND($Q$12,B219&lt;=$C$17,C219&lt;&gt;""),TRANSPOSE(INDEX(GetCDS(C219,$C$6,$C$29,F219,D219,$C$13,$C$14,$C$15,$C$8,,,TRUE,TRUE,FALSE,$C$29:$C$31,$C$33),{1;2;3;4;5})),"")</f>
        <v/>
      </c>
      <c r="Q195" s="456"/>
      <c r="R195" s="456"/>
      <c r="S195" s="457"/>
      <c r="T195" s="458"/>
      <c r="U195" s="459" t="str">
        <f t="shared" ca="1" si="10"/>
        <v/>
      </c>
      <c r="V195" s="460" t="str">
        <f t="shared" ca="1" si="11"/>
        <v/>
      </c>
      <c r="W195" s="459" t="str">
        <f t="shared" ca="1" si="12"/>
        <v/>
      </c>
      <c r="X195" s="461" t="str">
        <f t="shared" ca="1" si="13"/>
        <v/>
      </c>
      <c r="Y195" s="460" t="str">
        <f t="shared" ca="1" si="14"/>
        <v/>
      </c>
      <c r="Z195" s="79"/>
    </row>
    <row r="196" spans="1:26" customFormat="1" ht="14.5">
      <c r="A196" s="232"/>
      <c r="B196" s="295">
        <v>158</v>
      </c>
      <c r="C196" s="265"/>
      <c r="D196" s="266"/>
      <c r="E196" s="256"/>
      <c r="F196" s="239"/>
      <c r="G196" s="246"/>
      <c r="H196" s="405">
        <v>182</v>
      </c>
      <c r="I196" s="424"/>
      <c r="J196" s="424"/>
      <c r="K196" s="436"/>
      <c r="L196" s="436"/>
      <c r="M196" s="436"/>
      <c r="N196" s="437"/>
      <c r="P196" s="455" t="str" cm="1">
        <f t="array" aca="1" ref="P196" ca="1">IF(AND($Q$12,B220&lt;=$C$17,C220&lt;&gt;""),TRANSPOSE(INDEX(GetCDS(C220,$C$6,$C$29,F220,D220,$C$13,$C$14,$C$15,$C$8,,,TRUE,TRUE,FALSE,$C$29:$C$31,$C$33),{1;2;3;4;5})),"")</f>
        <v/>
      </c>
      <c r="Q196" s="456"/>
      <c r="R196" s="456"/>
      <c r="S196" s="457"/>
      <c r="T196" s="458"/>
      <c r="U196" s="459" t="str">
        <f t="shared" ca="1" si="10"/>
        <v/>
      </c>
      <c r="V196" s="460" t="str">
        <f t="shared" ca="1" si="11"/>
        <v/>
      </c>
      <c r="W196" s="459" t="str">
        <f t="shared" ca="1" si="12"/>
        <v/>
      </c>
      <c r="X196" s="461" t="str">
        <f t="shared" ca="1" si="13"/>
        <v/>
      </c>
      <c r="Y196" s="460" t="str">
        <f t="shared" ca="1" si="14"/>
        <v/>
      </c>
      <c r="Z196" s="79"/>
    </row>
    <row r="197" spans="1:26" customFormat="1" ht="14.5">
      <c r="A197" s="232"/>
      <c r="B197" s="295">
        <v>159</v>
      </c>
      <c r="C197" s="265"/>
      <c r="D197" s="266"/>
      <c r="E197" s="256"/>
      <c r="F197" s="239"/>
      <c r="G197" s="246"/>
      <c r="H197" s="405">
        <v>183</v>
      </c>
      <c r="I197" s="424"/>
      <c r="J197" s="424"/>
      <c r="K197" s="436"/>
      <c r="L197" s="436"/>
      <c r="M197" s="436"/>
      <c r="N197" s="437"/>
      <c r="P197" s="455" t="str" cm="1">
        <f t="array" aca="1" ref="P197" ca="1">IF(AND($Q$12,B221&lt;=$C$17,C221&lt;&gt;""),TRANSPOSE(INDEX(GetCDS(C221,$C$6,$C$29,F221,D221,$C$13,$C$14,$C$15,$C$8,,,TRUE,TRUE,FALSE,$C$29:$C$31,$C$33),{1;2;3;4;5})),"")</f>
        <v/>
      </c>
      <c r="Q197" s="456"/>
      <c r="R197" s="456"/>
      <c r="S197" s="457"/>
      <c r="T197" s="458"/>
      <c r="U197" s="459" t="str">
        <f t="shared" ca="1" si="10"/>
        <v/>
      </c>
      <c r="V197" s="460" t="str">
        <f t="shared" ca="1" si="11"/>
        <v/>
      </c>
      <c r="W197" s="459" t="str">
        <f t="shared" ca="1" si="12"/>
        <v/>
      </c>
      <c r="X197" s="461" t="str">
        <f t="shared" ca="1" si="13"/>
        <v/>
      </c>
      <c r="Y197" s="460" t="str">
        <f t="shared" ca="1" si="14"/>
        <v/>
      </c>
      <c r="Z197" s="79"/>
    </row>
    <row r="198" spans="1:26" customFormat="1" ht="14.5">
      <c r="A198" s="232"/>
      <c r="B198" s="295">
        <v>160</v>
      </c>
      <c r="C198" s="265"/>
      <c r="D198" s="266"/>
      <c r="E198" s="256"/>
      <c r="F198" s="239"/>
      <c r="G198" s="246"/>
      <c r="H198" s="405">
        <v>184</v>
      </c>
      <c r="I198" s="424"/>
      <c r="J198" s="424"/>
      <c r="K198" s="436"/>
      <c r="L198" s="436"/>
      <c r="M198" s="436"/>
      <c r="N198" s="437"/>
      <c r="P198" s="455" t="str" cm="1">
        <f t="array" aca="1" ref="P198" ca="1">IF(AND($Q$12,B222&lt;=$C$17,C222&lt;&gt;""),TRANSPOSE(INDEX(GetCDS(C222,$C$6,$C$29,F222,D222,$C$13,$C$14,$C$15,$C$8,,,TRUE,TRUE,FALSE,$C$29:$C$31,$C$33),{1;2;3;4;5})),"")</f>
        <v/>
      </c>
      <c r="Q198" s="456"/>
      <c r="R198" s="456"/>
      <c r="S198" s="457"/>
      <c r="T198" s="458"/>
      <c r="U198" s="459" t="str">
        <f t="shared" ca="1" si="10"/>
        <v/>
      </c>
      <c r="V198" s="460" t="str">
        <f t="shared" ca="1" si="11"/>
        <v/>
      </c>
      <c r="W198" s="459" t="str">
        <f t="shared" ca="1" si="12"/>
        <v/>
      </c>
      <c r="X198" s="461" t="str">
        <f t="shared" ca="1" si="13"/>
        <v/>
      </c>
      <c r="Y198" s="460" t="str">
        <f t="shared" ca="1" si="14"/>
        <v/>
      </c>
      <c r="Z198" s="79"/>
    </row>
    <row r="199" spans="1:26" customFormat="1" ht="14.5">
      <c r="A199" s="232"/>
      <c r="B199" s="295">
        <v>161</v>
      </c>
      <c r="C199" s="265"/>
      <c r="D199" s="266"/>
      <c r="E199" s="256"/>
      <c r="F199" s="239"/>
      <c r="G199" s="246"/>
      <c r="H199" s="405">
        <v>185</v>
      </c>
      <c r="I199" s="424"/>
      <c r="J199" s="424"/>
      <c r="K199" s="436"/>
      <c r="L199" s="436"/>
      <c r="M199" s="436"/>
      <c r="N199" s="437"/>
      <c r="P199" s="455" t="str" cm="1">
        <f t="array" aca="1" ref="P199" ca="1">IF(AND($Q$12,B223&lt;=$C$17,C223&lt;&gt;""),TRANSPOSE(INDEX(GetCDS(C223,$C$6,$C$29,F223,D223,$C$13,$C$14,$C$15,$C$8,,,TRUE,TRUE,FALSE,$C$29:$C$31,$C$33),{1;2;3;4;5})),"")</f>
        <v/>
      </c>
      <c r="Q199" s="456"/>
      <c r="R199" s="456"/>
      <c r="S199" s="457"/>
      <c r="T199" s="458"/>
      <c r="U199" s="459" t="str">
        <f t="shared" ca="1" si="10"/>
        <v/>
      </c>
      <c r="V199" s="460" t="str">
        <f t="shared" ca="1" si="11"/>
        <v/>
      </c>
      <c r="W199" s="459" t="str">
        <f t="shared" ca="1" si="12"/>
        <v/>
      </c>
      <c r="X199" s="461" t="str">
        <f t="shared" ca="1" si="13"/>
        <v/>
      </c>
      <c r="Y199" s="460" t="str">
        <f t="shared" ca="1" si="14"/>
        <v/>
      </c>
      <c r="Z199" s="79"/>
    </row>
    <row r="200" spans="1:26" customFormat="1" ht="14.5">
      <c r="A200" s="232"/>
      <c r="B200" s="295">
        <v>162</v>
      </c>
      <c r="C200" s="265"/>
      <c r="D200" s="266"/>
      <c r="E200" s="256"/>
      <c r="F200" s="239"/>
      <c r="G200" s="246"/>
      <c r="H200" s="405">
        <v>186</v>
      </c>
      <c r="I200" s="424"/>
      <c r="J200" s="424"/>
      <c r="K200" s="436"/>
      <c r="L200" s="436"/>
      <c r="M200" s="436"/>
      <c r="N200" s="437"/>
      <c r="P200" s="455" t="str" cm="1">
        <f t="array" aca="1" ref="P200" ca="1">IF(AND($Q$12,B224&lt;=$C$17,C224&lt;&gt;""),TRANSPOSE(INDEX(GetCDS(C224,$C$6,$C$29,F224,D224,$C$13,$C$14,$C$15,$C$8,,,TRUE,TRUE,FALSE,$C$29:$C$31,$C$33),{1;2;3;4;5})),"")</f>
        <v/>
      </c>
      <c r="Q200" s="456"/>
      <c r="R200" s="456"/>
      <c r="S200" s="457"/>
      <c r="T200" s="458"/>
      <c r="U200" s="459" t="str">
        <f t="shared" ca="1" si="10"/>
        <v/>
      </c>
      <c r="V200" s="460" t="str">
        <f t="shared" ca="1" si="11"/>
        <v/>
      </c>
      <c r="W200" s="459" t="str">
        <f t="shared" ca="1" si="12"/>
        <v/>
      </c>
      <c r="X200" s="461" t="str">
        <f t="shared" ca="1" si="13"/>
        <v/>
      </c>
      <c r="Y200" s="460" t="str">
        <f t="shared" ca="1" si="14"/>
        <v/>
      </c>
      <c r="Z200" s="79"/>
    </row>
    <row r="201" spans="1:26" customFormat="1" ht="14.5">
      <c r="A201" s="232"/>
      <c r="B201" s="295">
        <v>163</v>
      </c>
      <c r="C201" s="265"/>
      <c r="D201" s="266"/>
      <c r="E201" s="256"/>
      <c r="F201" s="239"/>
      <c r="G201" s="246"/>
      <c r="H201" s="405">
        <v>187</v>
      </c>
      <c r="I201" s="424"/>
      <c r="J201" s="424"/>
      <c r="K201" s="436"/>
      <c r="L201" s="436"/>
      <c r="M201" s="436"/>
      <c r="N201" s="437"/>
      <c r="P201" s="455" t="str" cm="1">
        <f t="array" aca="1" ref="P201" ca="1">IF(AND($Q$12,B225&lt;=$C$17,C225&lt;&gt;""),TRANSPOSE(INDEX(GetCDS(C225,$C$6,$C$29,F225,D225,$C$13,$C$14,$C$15,$C$8,,,TRUE,TRUE,FALSE,$C$29:$C$31,$C$33),{1;2;3;4;5})),"")</f>
        <v/>
      </c>
      <c r="Q201" s="456"/>
      <c r="R201" s="456"/>
      <c r="S201" s="457"/>
      <c r="T201" s="458"/>
      <c r="U201" s="459" t="str">
        <f t="shared" ca="1" si="10"/>
        <v/>
      </c>
      <c r="V201" s="460" t="str">
        <f t="shared" ca="1" si="11"/>
        <v/>
      </c>
      <c r="W201" s="459" t="str">
        <f t="shared" ca="1" si="12"/>
        <v/>
      </c>
      <c r="X201" s="461" t="str">
        <f t="shared" ca="1" si="13"/>
        <v/>
      </c>
      <c r="Y201" s="460" t="str">
        <f t="shared" ca="1" si="14"/>
        <v/>
      </c>
      <c r="Z201" s="79"/>
    </row>
    <row r="202" spans="1:26" customFormat="1" ht="14.5">
      <c r="A202" s="232"/>
      <c r="B202" s="295">
        <v>164</v>
      </c>
      <c r="C202" s="265"/>
      <c r="D202" s="266"/>
      <c r="E202" s="256"/>
      <c r="F202" s="239"/>
      <c r="G202" s="246"/>
      <c r="H202" s="405">
        <v>188</v>
      </c>
      <c r="I202" s="424"/>
      <c r="J202" s="424"/>
      <c r="K202" s="436"/>
      <c r="L202" s="436"/>
      <c r="M202" s="436"/>
      <c r="N202" s="437"/>
      <c r="P202" s="455" t="str" cm="1">
        <f t="array" aca="1" ref="P202" ca="1">IF(AND($Q$12,B226&lt;=$C$17,C226&lt;&gt;""),TRANSPOSE(INDEX(GetCDS(C226,$C$6,$C$29,F226,D226,$C$13,$C$14,$C$15,$C$8,,,TRUE,TRUE,FALSE,$C$29:$C$31,$C$33),{1;2;3;4;5})),"")</f>
        <v/>
      </c>
      <c r="Q202" s="456"/>
      <c r="R202" s="456"/>
      <c r="S202" s="457"/>
      <c r="T202" s="458"/>
      <c r="U202" s="459" t="str">
        <f t="shared" ca="1" si="10"/>
        <v/>
      </c>
      <c r="V202" s="460" t="str">
        <f t="shared" ca="1" si="11"/>
        <v/>
      </c>
      <c r="W202" s="459" t="str">
        <f t="shared" ca="1" si="12"/>
        <v/>
      </c>
      <c r="X202" s="461" t="str">
        <f t="shared" ca="1" si="13"/>
        <v/>
      </c>
      <c r="Y202" s="460" t="str">
        <f t="shared" ca="1" si="14"/>
        <v/>
      </c>
      <c r="Z202" s="79"/>
    </row>
    <row r="203" spans="1:26" customFormat="1" ht="14.5">
      <c r="A203" s="232"/>
      <c r="B203" s="295">
        <v>165</v>
      </c>
      <c r="C203" s="265"/>
      <c r="D203" s="266"/>
      <c r="E203" s="256"/>
      <c r="F203" s="239"/>
      <c r="G203" s="246"/>
      <c r="H203" s="405">
        <v>189</v>
      </c>
      <c r="I203" s="424"/>
      <c r="J203" s="424"/>
      <c r="K203" s="436"/>
      <c r="L203" s="436"/>
      <c r="M203" s="436"/>
      <c r="N203" s="437"/>
      <c r="P203" s="455" t="str" cm="1">
        <f t="array" aca="1" ref="P203" ca="1">IF(AND($Q$12,B227&lt;=$C$17,C227&lt;&gt;""),TRANSPOSE(INDEX(GetCDS(C227,$C$6,$C$29,F227,D227,$C$13,$C$14,$C$15,$C$8,,,TRUE,TRUE,FALSE,$C$29:$C$31,$C$33),{1;2;3;4;5})),"")</f>
        <v/>
      </c>
      <c r="Q203" s="456"/>
      <c r="R203" s="456"/>
      <c r="S203" s="457"/>
      <c r="T203" s="458"/>
      <c r="U203" s="459" t="str">
        <f t="shared" ca="1" si="10"/>
        <v/>
      </c>
      <c r="V203" s="460" t="str">
        <f t="shared" ca="1" si="11"/>
        <v/>
      </c>
      <c r="W203" s="459" t="str">
        <f t="shared" ca="1" si="12"/>
        <v/>
      </c>
      <c r="X203" s="461" t="str">
        <f t="shared" ca="1" si="13"/>
        <v/>
      </c>
      <c r="Y203" s="460" t="str">
        <f t="shared" ca="1" si="14"/>
        <v/>
      </c>
      <c r="Z203" s="79"/>
    </row>
    <row r="204" spans="1:26" customFormat="1" ht="14.5">
      <c r="A204" s="232"/>
      <c r="B204" s="295">
        <v>166</v>
      </c>
      <c r="C204" s="265"/>
      <c r="D204" s="266"/>
      <c r="E204" s="256"/>
      <c r="F204" s="239"/>
      <c r="G204" s="246"/>
      <c r="H204" s="405">
        <v>190</v>
      </c>
      <c r="I204" s="424"/>
      <c r="J204" s="424"/>
      <c r="K204" s="436"/>
      <c r="L204" s="436"/>
      <c r="M204" s="436"/>
      <c r="N204" s="437"/>
      <c r="P204" s="455" t="str" cm="1">
        <f t="array" aca="1" ref="P204" ca="1">IF(AND($Q$12,B228&lt;=$C$17,C228&lt;&gt;""),TRANSPOSE(INDEX(GetCDS(C228,$C$6,$C$29,F228,D228,$C$13,$C$14,$C$15,$C$8,,,TRUE,TRUE,FALSE,$C$29:$C$31,$C$33),{1;2;3;4;5})),"")</f>
        <v/>
      </c>
      <c r="Q204" s="456"/>
      <c r="R204" s="456"/>
      <c r="S204" s="457"/>
      <c r="T204" s="458"/>
      <c r="U204" s="459" t="str">
        <f t="shared" ca="1" si="10"/>
        <v/>
      </c>
      <c r="V204" s="460" t="str">
        <f t="shared" ca="1" si="11"/>
        <v/>
      </c>
      <c r="W204" s="459" t="str">
        <f t="shared" ca="1" si="12"/>
        <v/>
      </c>
      <c r="X204" s="461" t="str">
        <f t="shared" ca="1" si="13"/>
        <v/>
      </c>
      <c r="Y204" s="460" t="str">
        <f t="shared" ca="1" si="14"/>
        <v/>
      </c>
      <c r="Z204" s="79"/>
    </row>
    <row r="205" spans="1:26" customFormat="1" ht="14.5">
      <c r="A205" s="232"/>
      <c r="B205" s="295">
        <v>167</v>
      </c>
      <c r="C205" s="265"/>
      <c r="D205" s="266"/>
      <c r="E205" s="256"/>
      <c r="F205" s="239"/>
      <c r="G205" s="246"/>
      <c r="H205" s="405">
        <v>191</v>
      </c>
      <c r="I205" s="424"/>
      <c r="J205" s="424"/>
      <c r="K205" s="436"/>
      <c r="L205" s="436"/>
      <c r="M205" s="436"/>
      <c r="N205" s="437"/>
      <c r="P205" s="455" t="str" cm="1">
        <f t="array" aca="1" ref="P205" ca="1">IF(AND($Q$12,B229&lt;=$C$17,C229&lt;&gt;""),TRANSPOSE(INDEX(GetCDS(C229,$C$6,$C$29,F229,D229,$C$13,$C$14,$C$15,$C$8,,,TRUE,TRUE,FALSE,$C$29:$C$31,$C$33),{1;2;3;4;5})),"")</f>
        <v/>
      </c>
      <c r="Q205" s="456"/>
      <c r="R205" s="456"/>
      <c r="S205" s="457"/>
      <c r="T205" s="458"/>
      <c r="U205" s="459" t="str">
        <f t="shared" ca="1" si="10"/>
        <v/>
      </c>
      <c r="V205" s="460" t="str">
        <f t="shared" ca="1" si="11"/>
        <v/>
      </c>
      <c r="W205" s="459" t="str">
        <f t="shared" ca="1" si="12"/>
        <v/>
      </c>
      <c r="X205" s="461" t="str">
        <f t="shared" ca="1" si="13"/>
        <v/>
      </c>
      <c r="Y205" s="460" t="str">
        <f t="shared" ca="1" si="14"/>
        <v/>
      </c>
      <c r="Z205" s="79"/>
    </row>
    <row r="206" spans="1:26" customFormat="1" ht="14.5">
      <c r="A206" s="232"/>
      <c r="B206" s="295">
        <v>168</v>
      </c>
      <c r="C206" s="265"/>
      <c r="D206" s="266"/>
      <c r="E206" s="256"/>
      <c r="F206" s="239"/>
      <c r="G206" s="246"/>
      <c r="H206" s="405">
        <v>192</v>
      </c>
      <c r="I206" s="424"/>
      <c r="J206" s="424"/>
      <c r="K206" s="436"/>
      <c r="L206" s="436"/>
      <c r="M206" s="436"/>
      <c r="N206" s="437"/>
      <c r="P206" s="455" t="str" cm="1">
        <f t="array" aca="1" ref="P206" ca="1">IF(AND($Q$12,B230&lt;=$C$17,C230&lt;&gt;""),TRANSPOSE(INDEX(GetCDS(C230,$C$6,$C$29,F230,D230,$C$13,$C$14,$C$15,$C$8,,,TRUE,TRUE,FALSE,$C$29:$C$31,$C$33),{1;2;3;4;5})),"")</f>
        <v/>
      </c>
      <c r="Q206" s="456"/>
      <c r="R206" s="456"/>
      <c r="S206" s="457"/>
      <c r="T206" s="458"/>
      <c r="U206" s="459" t="str">
        <f t="shared" ca="1" si="10"/>
        <v/>
      </c>
      <c r="V206" s="460" t="str">
        <f t="shared" ca="1" si="11"/>
        <v/>
      </c>
      <c r="W206" s="459" t="str">
        <f t="shared" ca="1" si="12"/>
        <v/>
      </c>
      <c r="X206" s="461" t="str">
        <f t="shared" ca="1" si="13"/>
        <v/>
      </c>
      <c r="Y206" s="460" t="str">
        <f t="shared" ca="1" si="14"/>
        <v/>
      </c>
      <c r="Z206" s="79"/>
    </row>
    <row r="207" spans="1:26" customFormat="1" ht="14.5">
      <c r="A207" s="232"/>
      <c r="B207" s="295">
        <v>169</v>
      </c>
      <c r="C207" s="265"/>
      <c r="D207" s="266"/>
      <c r="E207" s="256"/>
      <c r="F207" s="239"/>
      <c r="G207" s="246"/>
      <c r="H207" s="405">
        <v>193</v>
      </c>
      <c r="I207" s="424"/>
      <c r="J207" s="424"/>
      <c r="K207" s="436"/>
      <c r="L207" s="436"/>
      <c r="M207" s="436"/>
      <c r="N207" s="437"/>
      <c r="P207" s="455" t="str" cm="1">
        <f t="array" aca="1" ref="P207" ca="1">IF(AND($Q$12,B231&lt;=$C$17,C231&lt;&gt;""),TRANSPOSE(INDEX(GetCDS(C231,$C$6,$C$29,F231,D231,$C$13,$C$14,$C$15,$C$8,,,TRUE,TRUE,FALSE,$C$29:$C$31,$C$33),{1;2;3;4;5})),"")</f>
        <v/>
      </c>
      <c r="Q207" s="456"/>
      <c r="R207" s="456"/>
      <c r="S207" s="457"/>
      <c r="T207" s="458"/>
      <c r="U207" s="459" t="str">
        <f t="shared" ca="1" si="10"/>
        <v/>
      </c>
      <c r="V207" s="460" t="str">
        <f t="shared" ca="1" si="11"/>
        <v/>
      </c>
      <c r="W207" s="459" t="str">
        <f t="shared" ca="1" si="12"/>
        <v/>
      </c>
      <c r="X207" s="461" t="str">
        <f t="shared" ca="1" si="13"/>
        <v/>
      </c>
      <c r="Y207" s="460" t="str">
        <f t="shared" ca="1" si="14"/>
        <v/>
      </c>
      <c r="Z207" s="79"/>
    </row>
    <row r="208" spans="1:26" customFormat="1" ht="14.5">
      <c r="A208" s="232"/>
      <c r="B208" s="295">
        <v>170</v>
      </c>
      <c r="C208" s="265"/>
      <c r="D208" s="266"/>
      <c r="E208" s="256"/>
      <c r="F208" s="239"/>
      <c r="G208" s="246"/>
      <c r="H208" s="405">
        <v>194</v>
      </c>
      <c r="I208" s="424"/>
      <c r="J208" s="424"/>
      <c r="K208" s="436"/>
      <c r="L208" s="436"/>
      <c r="M208" s="436"/>
      <c r="N208" s="437"/>
      <c r="P208" s="455" t="str" cm="1">
        <f t="array" aca="1" ref="P208" ca="1">IF(AND($Q$12,B232&lt;=$C$17,C232&lt;&gt;""),TRANSPOSE(INDEX(GetCDS(C232,$C$6,$C$29,F232,D232,$C$13,$C$14,$C$15,$C$8,,,TRUE,TRUE,FALSE,$C$29:$C$31,$C$33),{1;2;3;4;5})),"")</f>
        <v/>
      </c>
      <c r="Q208" s="456"/>
      <c r="R208" s="456"/>
      <c r="S208" s="457"/>
      <c r="T208" s="458"/>
      <c r="U208" s="459" t="str">
        <f t="shared" ref="U208:U271" ca="1" si="15">IF($Q$12,IF(P208="","",$Q$13*D232/$C$18),"")</f>
        <v/>
      </c>
      <c r="V208" s="460" t="str">
        <f t="shared" ref="V208:V271" ca="1" si="16">IF($Q$12,IF(U208="","",U208*($V$10-S208)*T208),"")</f>
        <v/>
      </c>
      <c r="W208" s="459" t="str">
        <f t="shared" ref="W208:W271" ca="1" si="17">IF($Q$12,IF(OR(P208="",L208=""),"",L208/($C$20-$C$19)),"")</f>
        <v/>
      </c>
      <c r="X208" s="461" t="str">
        <f t="shared" ref="X208:X271" ca="1" si="18">IF($Q$12,IF(S208="","",S208*$Y$10),"")</f>
        <v/>
      </c>
      <c r="Y208" s="460" t="str">
        <f t="shared" ref="Y208:Y271" ca="1" si="19">IF($Q$12,IF(W208="","",W208*(X208-S208)*T208),"")</f>
        <v/>
      </c>
      <c r="Z208" s="79"/>
    </row>
    <row r="209" spans="1:26" customFormat="1" ht="14.5">
      <c r="A209" s="232"/>
      <c r="B209" s="295">
        <v>171</v>
      </c>
      <c r="C209" s="265"/>
      <c r="D209" s="266"/>
      <c r="E209" s="256"/>
      <c r="F209" s="239"/>
      <c r="G209" s="246"/>
      <c r="H209" s="405">
        <v>195</v>
      </c>
      <c r="I209" s="424"/>
      <c r="J209" s="424"/>
      <c r="K209" s="436"/>
      <c r="L209" s="436"/>
      <c r="M209" s="436"/>
      <c r="N209" s="437"/>
      <c r="P209" s="455" t="str" cm="1">
        <f t="array" aca="1" ref="P209" ca="1">IF(AND($Q$12,B233&lt;=$C$17,C233&lt;&gt;""),TRANSPOSE(INDEX(GetCDS(C233,$C$6,$C$29,F233,D233,$C$13,$C$14,$C$15,$C$8,,,TRUE,TRUE,FALSE,$C$29:$C$31,$C$33),{1;2;3;4;5})),"")</f>
        <v/>
      </c>
      <c r="Q209" s="456"/>
      <c r="R209" s="456"/>
      <c r="S209" s="457"/>
      <c r="T209" s="458"/>
      <c r="U209" s="459" t="str">
        <f t="shared" ca="1" si="15"/>
        <v/>
      </c>
      <c r="V209" s="460" t="str">
        <f t="shared" ca="1" si="16"/>
        <v/>
      </c>
      <c r="W209" s="459" t="str">
        <f t="shared" ca="1" si="17"/>
        <v/>
      </c>
      <c r="X209" s="461" t="str">
        <f t="shared" ca="1" si="18"/>
        <v/>
      </c>
      <c r="Y209" s="460" t="str">
        <f t="shared" ca="1" si="19"/>
        <v/>
      </c>
      <c r="Z209" s="79"/>
    </row>
    <row r="210" spans="1:26" customFormat="1" ht="14.5">
      <c r="A210" s="232"/>
      <c r="B210" s="295">
        <v>172</v>
      </c>
      <c r="C210" s="265"/>
      <c r="D210" s="266"/>
      <c r="E210" s="256"/>
      <c r="F210" s="239"/>
      <c r="G210" s="246"/>
      <c r="H210" s="405">
        <v>196</v>
      </c>
      <c r="I210" s="424"/>
      <c r="J210" s="424"/>
      <c r="K210" s="436"/>
      <c r="L210" s="436"/>
      <c r="M210" s="436"/>
      <c r="N210" s="437"/>
      <c r="P210" s="455" t="str" cm="1">
        <f t="array" aca="1" ref="P210" ca="1">IF(AND($Q$12,B234&lt;=$C$17,C234&lt;&gt;""),TRANSPOSE(INDEX(GetCDS(C234,$C$6,$C$29,F234,D234,$C$13,$C$14,$C$15,$C$8,,,TRUE,TRUE,FALSE,$C$29:$C$31,$C$33),{1;2;3;4;5})),"")</f>
        <v/>
      </c>
      <c r="Q210" s="456"/>
      <c r="R210" s="456"/>
      <c r="S210" s="457"/>
      <c r="T210" s="458"/>
      <c r="U210" s="459" t="str">
        <f t="shared" ca="1" si="15"/>
        <v/>
      </c>
      <c r="V210" s="460" t="str">
        <f t="shared" ca="1" si="16"/>
        <v/>
      </c>
      <c r="W210" s="459" t="str">
        <f t="shared" ca="1" si="17"/>
        <v/>
      </c>
      <c r="X210" s="461" t="str">
        <f t="shared" ca="1" si="18"/>
        <v/>
      </c>
      <c r="Y210" s="460" t="str">
        <f t="shared" ca="1" si="19"/>
        <v/>
      </c>
      <c r="Z210" s="79"/>
    </row>
    <row r="211" spans="1:26" customFormat="1" ht="14.5">
      <c r="A211" s="232"/>
      <c r="B211" s="295">
        <v>173</v>
      </c>
      <c r="C211" s="265"/>
      <c r="D211" s="266"/>
      <c r="E211" s="256"/>
      <c r="F211" s="239"/>
      <c r="G211" s="246"/>
      <c r="H211" s="405">
        <v>197</v>
      </c>
      <c r="I211" s="424"/>
      <c r="J211" s="424"/>
      <c r="K211" s="436"/>
      <c r="L211" s="436"/>
      <c r="M211" s="436"/>
      <c r="N211" s="437"/>
      <c r="P211" s="455" t="str" cm="1">
        <f t="array" aca="1" ref="P211" ca="1">IF(AND($Q$12,B235&lt;=$C$17,C235&lt;&gt;""),TRANSPOSE(INDEX(GetCDS(C235,$C$6,$C$29,F235,D235,$C$13,$C$14,$C$15,$C$8,,,TRUE,TRUE,FALSE,$C$29:$C$31,$C$33),{1;2;3;4;5})),"")</f>
        <v/>
      </c>
      <c r="Q211" s="456"/>
      <c r="R211" s="456"/>
      <c r="S211" s="457"/>
      <c r="T211" s="458"/>
      <c r="U211" s="459" t="str">
        <f t="shared" ca="1" si="15"/>
        <v/>
      </c>
      <c r="V211" s="460" t="str">
        <f t="shared" ca="1" si="16"/>
        <v/>
      </c>
      <c r="W211" s="459" t="str">
        <f t="shared" ca="1" si="17"/>
        <v/>
      </c>
      <c r="X211" s="461" t="str">
        <f t="shared" ca="1" si="18"/>
        <v/>
      </c>
      <c r="Y211" s="460" t="str">
        <f t="shared" ca="1" si="19"/>
        <v/>
      </c>
      <c r="Z211" s="79"/>
    </row>
    <row r="212" spans="1:26" customFormat="1" ht="14.5">
      <c r="A212" s="232"/>
      <c r="B212" s="295">
        <v>174</v>
      </c>
      <c r="C212" s="265"/>
      <c r="D212" s="266"/>
      <c r="E212" s="256"/>
      <c r="F212" s="239"/>
      <c r="G212" s="246"/>
      <c r="H212" s="405">
        <v>198</v>
      </c>
      <c r="I212" s="424"/>
      <c r="J212" s="424"/>
      <c r="K212" s="436"/>
      <c r="L212" s="436"/>
      <c r="M212" s="436"/>
      <c r="N212" s="437"/>
      <c r="P212" s="455" t="str" cm="1">
        <f t="array" aca="1" ref="P212" ca="1">IF(AND($Q$12,B236&lt;=$C$17,C236&lt;&gt;""),TRANSPOSE(INDEX(GetCDS(C236,$C$6,$C$29,F236,D236,$C$13,$C$14,$C$15,$C$8,,,TRUE,TRUE,FALSE,$C$29:$C$31,$C$33),{1;2;3;4;5})),"")</f>
        <v/>
      </c>
      <c r="Q212" s="456"/>
      <c r="R212" s="456"/>
      <c r="S212" s="457"/>
      <c r="T212" s="458"/>
      <c r="U212" s="459" t="str">
        <f t="shared" ca="1" si="15"/>
        <v/>
      </c>
      <c r="V212" s="460" t="str">
        <f t="shared" ca="1" si="16"/>
        <v/>
      </c>
      <c r="W212" s="459" t="str">
        <f t="shared" ca="1" si="17"/>
        <v/>
      </c>
      <c r="X212" s="461" t="str">
        <f t="shared" ca="1" si="18"/>
        <v/>
      </c>
      <c r="Y212" s="460" t="str">
        <f t="shared" ca="1" si="19"/>
        <v/>
      </c>
      <c r="Z212" s="79"/>
    </row>
    <row r="213" spans="1:26" customFormat="1" ht="14.5">
      <c r="A213" s="232"/>
      <c r="B213" s="295">
        <v>175</v>
      </c>
      <c r="C213" s="265"/>
      <c r="D213" s="266"/>
      <c r="E213" s="256"/>
      <c r="F213" s="239"/>
      <c r="G213" s="246"/>
      <c r="H213" s="405">
        <v>199</v>
      </c>
      <c r="I213" s="424"/>
      <c r="J213" s="424"/>
      <c r="K213" s="436"/>
      <c r="L213" s="436"/>
      <c r="M213" s="436"/>
      <c r="N213" s="437"/>
      <c r="P213" s="455" t="str" cm="1">
        <f t="array" aca="1" ref="P213" ca="1">IF(AND($Q$12,B237&lt;=$C$17,C237&lt;&gt;""),TRANSPOSE(INDEX(GetCDS(C237,$C$6,$C$29,F237,D237,$C$13,$C$14,$C$15,$C$8,,,TRUE,TRUE,FALSE,$C$29:$C$31,$C$33),{1;2;3;4;5})),"")</f>
        <v/>
      </c>
      <c r="Q213" s="456"/>
      <c r="R213" s="456"/>
      <c r="S213" s="457"/>
      <c r="T213" s="458"/>
      <c r="U213" s="459" t="str">
        <f t="shared" ca="1" si="15"/>
        <v/>
      </c>
      <c r="V213" s="460" t="str">
        <f t="shared" ca="1" si="16"/>
        <v/>
      </c>
      <c r="W213" s="459" t="str">
        <f t="shared" ca="1" si="17"/>
        <v/>
      </c>
      <c r="X213" s="461" t="str">
        <f t="shared" ca="1" si="18"/>
        <v/>
      </c>
      <c r="Y213" s="460" t="str">
        <f t="shared" ca="1" si="19"/>
        <v/>
      </c>
      <c r="Z213" s="79"/>
    </row>
    <row r="214" spans="1:26" customFormat="1" ht="14.5">
      <c r="A214" s="232"/>
      <c r="B214" s="295">
        <v>176</v>
      </c>
      <c r="C214" s="265"/>
      <c r="D214" s="266"/>
      <c r="E214" s="256"/>
      <c r="F214" s="239"/>
      <c r="G214" s="246"/>
      <c r="H214" s="405">
        <v>200</v>
      </c>
      <c r="I214" s="424"/>
      <c r="J214" s="424"/>
      <c r="K214" s="436"/>
      <c r="L214" s="436"/>
      <c r="M214" s="436"/>
      <c r="N214" s="437"/>
      <c r="P214" s="455" t="str" cm="1">
        <f t="array" aca="1" ref="P214" ca="1">IF(AND($Q$12,B238&lt;=$C$17,C238&lt;&gt;""),TRANSPOSE(INDEX(GetCDS(C238,$C$6,$C$29,F238,D238,$C$13,$C$14,$C$15,$C$8,,,TRUE,TRUE,FALSE,$C$29:$C$31,$C$33),{1;2;3;4;5})),"")</f>
        <v/>
      </c>
      <c r="Q214" s="456"/>
      <c r="R214" s="456"/>
      <c r="S214" s="457"/>
      <c r="T214" s="458"/>
      <c r="U214" s="459" t="str">
        <f t="shared" ca="1" si="15"/>
        <v/>
      </c>
      <c r="V214" s="460" t="str">
        <f t="shared" ca="1" si="16"/>
        <v/>
      </c>
      <c r="W214" s="459" t="str">
        <f t="shared" ca="1" si="17"/>
        <v/>
      </c>
      <c r="X214" s="461" t="str">
        <f t="shared" ca="1" si="18"/>
        <v/>
      </c>
      <c r="Y214" s="460" t="str">
        <f t="shared" ca="1" si="19"/>
        <v/>
      </c>
      <c r="Z214" s="79"/>
    </row>
    <row r="215" spans="1:26" customFormat="1" ht="14.5">
      <c r="A215" s="232"/>
      <c r="B215" s="295">
        <v>177</v>
      </c>
      <c r="C215" s="265"/>
      <c r="D215" s="266"/>
      <c r="E215" s="256"/>
      <c r="F215" s="239"/>
      <c r="G215" s="246"/>
      <c r="H215" s="405">
        <v>201</v>
      </c>
      <c r="I215" s="424"/>
      <c r="J215" s="424"/>
      <c r="K215" s="436"/>
      <c r="L215" s="436"/>
      <c r="M215" s="436"/>
      <c r="N215" s="437"/>
      <c r="P215" s="455" t="str" cm="1">
        <f t="array" aca="1" ref="P215" ca="1">IF(AND($Q$12,B239&lt;=$C$17,C239&lt;&gt;""),TRANSPOSE(INDEX(GetCDS(C239,$C$6,$C$29,F239,D239,$C$13,$C$14,$C$15,$C$8,,,TRUE,TRUE,FALSE,$C$29:$C$31,$C$33),{1;2;3;4;5})),"")</f>
        <v/>
      </c>
      <c r="Q215" s="456"/>
      <c r="R215" s="456"/>
      <c r="S215" s="457"/>
      <c r="T215" s="458"/>
      <c r="U215" s="459" t="str">
        <f t="shared" ca="1" si="15"/>
        <v/>
      </c>
      <c r="V215" s="460" t="str">
        <f t="shared" ca="1" si="16"/>
        <v/>
      </c>
      <c r="W215" s="459" t="str">
        <f t="shared" ca="1" si="17"/>
        <v/>
      </c>
      <c r="X215" s="461" t="str">
        <f t="shared" ca="1" si="18"/>
        <v/>
      </c>
      <c r="Y215" s="460" t="str">
        <f t="shared" ca="1" si="19"/>
        <v/>
      </c>
      <c r="Z215" s="79"/>
    </row>
    <row r="216" spans="1:26" customFormat="1" ht="14.5">
      <c r="A216" s="232"/>
      <c r="B216" s="295">
        <v>178</v>
      </c>
      <c r="C216" s="265"/>
      <c r="D216" s="266"/>
      <c r="E216" s="256"/>
      <c r="F216" s="239"/>
      <c r="G216" s="246"/>
      <c r="H216" s="405">
        <v>202</v>
      </c>
      <c r="I216" s="424"/>
      <c r="J216" s="424"/>
      <c r="K216" s="436"/>
      <c r="L216" s="436"/>
      <c r="M216" s="436"/>
      <c r="N216" s="437"/>
      <c r="P216" s="455" t="str" cm="1">
        <f t="array" aca="1" ref="P216" ca="1">IF(AND($Q$12,B240&lt;=$C$17,C240&lt;&gt;""),TRANSPOSE(INDEX(GetCDS(C240,$C$6,$C$29,F240,D240,$C$13,$C$14,$C$15,$C$8,,,TRUE,TRUE,FALSE,$C$29:$C$31,$C$33),{1;2;3;4;5})),"")</f>
        <v/>
      </c>
      <c r="Q216" s="456"/>
      <c r="R216" s="456"/>
      <c r="S216" s="457"/>
      <c r="T216" s="458"/>
      <c r="U216" s="459" t="str">
        <f t="shared" ca="1" si="15"/>
        <v/>
      </c>
      <c r="V216" s="460" t="str">
        <f t="shared" ca="1" si="16"/>
        <v/>
      </c>
      <c r="W216" s="459" t="str">
        <f t="shared" ca="1" si="17"/>
        <v/>
      </c>
      <c r="X216" s="461" t="str">
        <f t="shared" ca="1" si="18"/>
        <v/>
      </c>
      <c r="Y216" s="460" t="str">
        <f t="shared" ca="1" si="19"/>
        <v/>
      </c>
      <c r="Z216" s="79"/>
    </row>
    <row r="217" spans="1:26" customFormat="1" ht="14.5">
      <c r="A217" s="232"/>
      <c r="B217" s="295">
        <v>179</v>
      </c>
      <c r="C217" s="265"/>
      <c r="D217" s="266"/>
      <c r="E217" s="256"/>
      <c r="F217" s="239"/>
      <c r="G217" s="246"/>
      <c r="H217" s="405">
        <v>203</v>
      </c>
      <c r="I217" s="424"/>
      <c r="J217" s="424"/>
      <c r="K217" s="436"/>
      <c r="L217" s="436"/>
      <c r="M217" s="436"/>
      <c r="N217" s="437"/>
      <c r="P217" s="455" t="str" cm="1">
        <f t="array" aca="1" ref="P217" ca="1">IF(AND($Q$12,B241&lt;=$C$17,C241&lt;&gt;""),TRANSPOSE(INDEX(GetCDS(C241,$C$6,$C$29,F241,D241,$C$13,$C$14,$C$15,$C$8,,,TRUE,TRUE,FALSE,$C$29:$C$31,$C$33),{1;2;3;4;5})),"")</f>
        <v/>
      </c>
      <c r="Q217" s="456"/>
      <c r="R217" s="456"/>
      <c r="S217" s="457"/>
      <c r="T217" s="458"/>
      <c r="U217" s="459" t="str">
        <f t="shared" ca="1" si="15"/>
        <v/>
      </c>
      <c r="V217" s="460" t="str">
        <f t="shared" ca="1" si="16"/>
        <v/>
      </c>
      <c r="W217" s="459" t="str">
        <f t="shared" ca="1" si="17"/>
        <v/>
      </c>
      <c r="X217" s="461" t="str">
        <f t="shared" ca="1" si="18"/>
        <v/>
      </c>
      <c r="Y217" s="460" t="str">
        <f t="shared" ca="1" si="19"/>
        <v/>
      </c>
      <c r="Z217" s="79"/>
    </row>
    <row r="218" spans="1:26" customFormat="1" ht="14.5">
      <c r="A218" s="232"/>
      <c r="B218" s="295">
        <v>180</v>
      </c>
      <c r="C218" s="265"/>
      <c r="D218" s="266"/>
      <c r="E218" s="256"/>
      <c r="F218" s="239"/>
      <c r="G218" s="246"/>
      <c r="H218" s="405">
        <v>204</v>
      </c>
      <c r="I218" s="424"/>
      <c r="J218" s="424"/>
      <c r="K218" s="436"/>
      <c r="L218" s="436"/>
      <c r="M218" s="436"/>
      <c r="N218" s="437"/>
      <c r="P218" s="455" t="str" cm="1">
        <f t="array" aca="1" ref="P218" ca="1">IF(AND($Q$12,B242&lt;=$C$17,C242&lt;&gt;""),TRANSPOSE(INDEX(GetCDS(C242,$C$6,$C$29,F242,D242,$C$13,$C$14,$C$15,$C$8,,,TRUE,TRUE,FALSE,$C$29:$C$31,$C$33),{1;2;3;4;5})),"")</f>
        <v/>
      </c>
      <c r="Q218" s="456"/>
      <c r="R218" s="456"/>
      <c r="S218" s="457"/>
      <c r="T218" s="458"/>
      <c r="U218" s="459" t="str">
        <f t="shared" ca="1" si="15"/>
        <v/>
      </c>
      <c r="V218" s="460" t="str">
        <f t="shared" ca="1" si="16"/>
        <v/>
      </c>
      <c r="W218" s="459" t="str">
        <f t="shared" ca="1" si="17"/>
        <v/>
      </c>
      <c r="X218" s="461" t="str">
        <f t="shared" ca="1" si="18"/>
        <v/>
      </c>
      <c r="Y218" s="460" t="str">
        <f t="shared" ca="1" si="19"/>
        <v/>
      </c>
      <c r="Z218" s="79"/>
    </row>
    <row r="219" spans="1:26" customFormat="1" ht="14.5">
      <c r="A219" s="232"/>
      <c r="B219" s="295">
        <v>181</v>
      </c>
      <c r="C219" s="265"/>
      <c r="D219" s="266"/>
      <c r="E219" s="256"/>
      <c r="F219" s="239"/>
      <c r="G219" s="246"/>
      <c r="H219" s="405">
        <v>205</v>
      </c>
      <c r="I219" s="424"/>
      <c r="J219" s="424"/>
      <c r="K219" s="436"/>
      <c r="L219" s="436"/>
      <c r="M219" s="436"/>
      <c r="N219" s="437"/>
      <c r="P219" s="455" t="str" cm="1">
        <f t="array" aca="1" ref="P219" ca="1">IF(AND($Q$12,B243&lt;=$C$17,C243&lt;&gt;""),TRANSPOSE(INDEX(GetCDS(C243,$C$6,$C$29,F243,D243,$C$13,$C$14,$C$15,$C$8,,,TRUE,TRUE,FALSE,$C$29:$C$31,$C$33),{1;2;3;4;5})),"")</f>
        <v/>
      </c>
      <c r="Q219" s="456"/>
      <c r="R219" s="456"/>
      <c r="S219" s="457"/>
      <c r="T219" s="458"/>
      <c r="U219" s="459" t="str">
        <f t="shared" ca="1" si="15"/>
        <v/>
      </c>
      <c r="V219" s="460" t="str">
        <f t="shared" ca="1" si="16"/>
        <v/>
      </c>
      <c r="W219" s="459" t="str">
        <f t="shared" ca="1" si="17"/>
        <v/>
      </c>
      <c r="X219" s="461" t="str">
        <f t="shared" ca="1" si="18"/>
        <v/>
      </c>
      <c r="Y219" s="460" t="str">
        <f t="shared" ca="1" si="19"/>
        <v/>
      </c>
      <c r="Z219" s="79"/>
    </row>
    <row r="220" spans="1:26" customFormat="1" ht="14.5">
      <c r="A220" s="232"/>
      <c r="B220" s="295">
        <v>182</v>
      </c>
      <c r="C220" s="265"/>
      <c r="D220" s="266"/>
      <c r="E220" s="256"/>
      <c r="F220" s="239"/>
      <c r="G220" s="246"/>
      <c r="H220" s="405">
        <v>206</v>
      </c>
      <c r="I220" s="424"/>
      <c r="J220" s="424"/>
      <c r="K220" s="436"/>
      <c r="L220" s="436"/>
      <c r="M220" s="436"/>
      <c r="N220" s="437"/>
      <c r="P220" s="455" t="str" cm="1">
        <f t="array" aca="1" ref="P220" ca="1">IF(AND($Q$12,B244&lt;=$C$17,C244&lt;&gt;""),TRANSPOSE(INDEX(GetCDS(C244,$C$6,$C$29,F244,D244,$C$13,$C$14,$C$15,$C$8,,,TRUE,TRUE,FALSE,$C$29:$C$31,$C$33),{1;2;3;4;5})),"")</f>
        <v/>
      </c>
      <c r="Q220" s="456"/>
      <c r="R220" s="456"/>
      <c r="S220" s="457"/>
      <c r="T220" s="458"/>
      <c r="U220" s="459" t="str">
        <f t="shared" ca="1" si="15"/>
        <v/>
      </c>
      <c r="V220" s="460" t="str">
        <f t="shared" ca="1" si="16"/>
        <v/>
      </c>
      <c r="W220" s="459" t="str">
        <f t="shared" ca="1" si="17"/>
        <v/>
      </c>
      <c r="X220" s="461" t="str">
        <f t="shared" ca="1" si="18"/>
        <v/>
      </c>
      <c r="Y220" s="460" t="str">
        <f t="shared" ca="1" si="19"/>
        <v/>
      </c>
      <c r="Z220" s="79"/>
    </row>
    <row r="221" spans="1:26" customFormat="1" ht="14.5">
      <c r="A221" s="232"/>
      <c r="B221" s="295">
        <v>183</v>
      </c>
      <c r="C221" s="265"/>
      <c r="D221" s="266"/>
      <c r="E221" s="256"/>
      <c r="F221" s="239"/>
      <c r="G221" s="246"/>
      <c r="H221" s="405">
        <v>207</v>
      </c>
      <c r="I221" s="424"/>
      <c r="J221" s="424"/>
      <c r="K221" s="436"/>
      <c r="L221" s="436"/>
      <c r="M221" s="436"/>
      <c r="N221" s="437"/>
      <c r="P221" s="455" t="str" cm="1">
        <f t="array" aca="1" ref="P221" ca="1">IF(AND($Q$12,B245&lt;=$C$17,C245&lt;&gt;""),TRANSPOSE(INDEX(GetCDS(C245,$C$6,$C$29,F245,D245,$C$13,$C$14,$C$15,$C$8,,,TRUE,TRUE,FALSE,$C$29:$C$31,$C$33),{1;2;3;4;5})),"")</f>
        <v/>
      </c>
      <c r="Q221" s="456"/>
      <c r="R221" s="456"/>
      <c r="S221" s="457"/>
      <c r="T221" s="458"/>
      <c r="U221" s="459" t="str">
        <f t="shared" ca="1" si="15"/>
        <v/>
      </c>
      <c r="V221" s="460" t="str">
        <f t="shared" ca="1" si="16"/>
        <v/>
      </c>
      <c r="W221" s="459" t="str">
        <f t="shared" ca="1" si="17"/>
        <v/>
      </c>
      <c r="X221" s="461" t="str">
        <f t="shared" ca="1" si="18"/>
        <v/>
      </c>
      <c r="Y221" s="460" t="str">
        <f t="shared" ca="1" si="19"/>
        <v/>
      </c>
      <c r="Z221" s="79"/>
    </row>
    <row r="222" spans="1:26" customFormat="1" ht="14.5">
      <c r="A222" s="232"/>
      <c r="B222" s="295">
        <v>184</v>
      </c>
      <c r="C222" s="265"/>
      <c r="D222" s="266"/>
      <c r="E222" s="256"/>
      <c r="F222" s="239"/>
      <c r="G222" s="246"/>
      <c r="H222" s="405">
        <v>208</v>
      </c>
      <c r="I222" s="424"/>
      <c r="J222" s="424"/>
      <c r="K222" s="436"/>
      <c r="L222" s="436"/>
      <c r="M222" s="436"/>
      <c r="N222" s="437"/>
      <c r="P222" s="455" t="str" cm="1">
        <f t="array" aca="1" ref="P222" ca="1">IF(AND($Q$12,B246&lt;=$C$17,C246&lt;&gt;""),TRANSPOSE(INDEX(GetCDS(C246,$C$6,$C$29,F246,D246,$C$13,$C$14,$C$15,$C$8,,,TRUE,TRUE,FALSE,$C$29:$C$31,$C$33),{1;2;3;4;5})),"")</f>
        <v/>
      </c>
      <c r="Q222" s="456"/>
      <c r="R222" s="456"/>
      <c r="S222" s="457"/>
      <c r="T222" s="458"/>
      <c r="U222" s="459" t="str">
        <f t="shared" ca="1" si="15"/>
        <v/>
      </c>
      <c r="V222" s="460" t="str">
        <f t="shared" ca="1" si="16"/>
        <v/>
      </c>
      <c r="W222" s="459" t="str">
        <f t="shared" ca="1" si="17"/>
        <v/>
      </c>
      <c r="X222" s="461" t="str">
        <f t="shared" ca="1" si="18"/>
        <v/>
      </c>
      <c r="Y222" s="460" t="str">
        <f t="shared" ca="1" si="19"/>
        <v/>
      </c>
      <c r="Z222" s="79"/>
    </row>
    <row r="223" spans="1:26" customFormat="1" ht="14.5">
      <c r="A223" s="232"/>
      <c r="B223" s="295">
        <v>185</v>
      </c>
      <c r="C223" s="265"/>
      <c r="D223" s="266"/>
      <c r="E223" s="256"/>
      <c r="F223" s="239"/>
      <c r="G223" s="246"/>
      <c r="H223" s="405">
        <v>209</v>
      </c>
      <c r="I223" s="424"/>
      <c r="J223" s="424"/>
      <c r="K223" s="436"/>
      <c r="L223" s="436"/>
      <c r="M223" s="436"/>
      <c r="N223" s="437"/>
      <c r="P223" s="455" t="str" cm="1">
        <f t="array" aca="1" ref="P223" ca="1">IF(AND($Q$12,B247&lt;=$C$17,C247&lt;&gt;""),TRANSPOSE(INDEX(GetCDS(C247,$C$6,$C$29,F247,D247,$C$13,$C$14,$C$15,$C$8,,,TRUE,TRUE,FALSE,$C$29:$C$31,$C$33),{1;2;3;4;5})),"")</f>
        <v/>
      </c>
      <c r="Q223" s="456"/>
      <c r="R223" s="456"/>
      <c r="S223" s="457"/>
      <c r="T223" s="458"/>
      <c r="U223" s="459" t="str">
        <f t="shared" ca="1" si="15"/>
        <v/>
      </c>
      <c r="V223" s="460" t="str">
        <f t="shared" ca="1" si="16"/>
        <v/>
      </c>
      <c r="W223" s="459" t="str">
        <f t="shared" ca="1" si="17"/>
        <v/>
      </c>
      <c r="X223" s="461" t="str">
        <f t="shared" ca="1" si="18"/>
        <v/>
      </c>
      <c r="Y223" s="460" t="str">
        <f t="shared" ca="1" si="19"/>
        <v/>
      </c>
      <c r="Z223" s="79"/>
    </row>
    <row r="224" spans="1:26" customFormat="1" ht="14.5">
      <c r="A224" s="232"/>
      <c r="B224" s="295">
        <v>186</v>
      </c>
      <c r="C224" s="265"/>
      <c r="D224" s="266"/>
      <c r="E224" s="256"/>
      <c r="F224" s="239"/>
      <c r="G224" s="246"/>
      <c r="H224" s="405">
        <v>210</v>
      </c>
      <c r="I224" s="424"/>
      <c r="J224" s="424"/>
      <c r="K224" s="436"/>
      <c r="L224" s="436"/>
      <c r="M224" s="436"/>
      <c r="N224" s="437"/>
      <c r="P224" s="455" t="str" cm="1">
        <f t="array" aca="1" ref="P224" ca="1">IF(AND($Q$12,B248&lt;=$C$17,C248&lt;&gt;""),TRANSPOSE(INDEX(GetCDS(C248,$C$6,$C$29,F248,D248,$C$13,$C$14,$C$15,$C$8,,,TRUE,TRUE,FALSE,$C$29:$C$31,$C$33),{1;2;3;4;5})),"")</f>
        <v/>
      </c>
      <c r="Q224" s="456"/>
      <c r="R224" s="456"/>
      <c r="S224" s="457"/>
      <c r="T224" s="458"/>
      <c r="U224" s="459" t="str">
        <f t="shared" ca="1" si="15"/>
        <v/>
      </c>
      <c r="V224" s="460" t="str">
        <f t="shared" ca="1" si="16"/>
        <v/>
      </c>
      <c r="W224" s="459" t="str">
        <f t="shared" ca="1" si="17"/>
        <v/>
      </c>
      <c r="X224" s="461" t="str">
        <f t="shared" ca="1" si="18"/>
        <v/>
      </c>
      <c r="Y224" s="460" t="str">
        <f t="shared" ca="1" si="19"/>
        <v/>
      </c>
      <c r="Z224" s="79"/>
    </row>
    <row r="225" spans="1:26" customFormat="1" ht="14.5">
      <c r="A225" s="232"/>
      <c r="B225" s="295">
        <v>187</v>
      </c>
      <c r="C225" s="265"/>
      <c r="D225" s="266"/>
      <c r="E225" s="256"/>
      <c r="F225" s="239"/>
      <c r="G225" s="246"/>
      <c r="H225" s="405">
        <v>211</v>
      </c>
      <c r="I225" s="424"/>
      <c r="J225" s="424"/>
      <c r="K225" s="436"/>
      <c r="L225" s="436"/>
      <c r="M225" s="436"/>
      <c r="N225" s="437"/>
      <c r="P225" s="455" t="str" cm="1">
        <f t="array" aca="1" ref="P225" ca="1">IF(AND($Q$12,B249&lt;=$C$17,C249&lt;&gt;""),TRANSPOSE(INDEX(GetCDS(C249,$C$6,$C$29,F249,D249,$C$13,$C$14,$C$15,$C$8,,,TRUE,TRUE,FALSE,$C$29:$C$31,$C$33),{1;2;3;4;5})),"")</f>
        <v/>
      </c>
      <c r="Q225" s="456"/>
      <c r="R225" s="456"/>
      <c r="S225" s="457"/>
      <c r="T225" s="458"/>
      <c r="U225" s="459" t="str">
        <f t="shared" ca="1" si="15"/>
        <v/>
      </c>
      <c r="V225" s="460" t="str">
        <f t="shared" ca="1" si="16"/>
        <v/>
      </c>
      <c r="W225" s="459" t="str">
        <f t="shared" ca="1" si="17"/>
        <v/>
      </c>
      <c r="X225" s="461" t="str">
        <f t="shared" ca="1" si="18"/>
        <v/>
      </c>
      <c r="Y225" s="460" t="str">
        <f t="shared" ca="1" si="19"/>
        <v/>
      </c>
      <c r="Z225" s="79"/>
    </row>
    <row r="226" spans="1:26" customFormat="1" ht="14.5">
      <c r="A226" s="232"/>
      <c r="B226" s="295">
        <v>188</v>
      </c>
      <c r="C226" s="265"/>
      <c r="D226" s="266"/>
      <c r="E226" s="256"/>
      <c r="F226" s="239"/>
      <c r="G226" s="246"/>
      <c r="H226" s="405">
        <v>212</v>
      </c>
      <c r="I226" s="424"/>
      <c r="J226" s="424"/>
      <c r="K226" s="436"/>
      <c r="L226" s="436"/>
      <c r="M226" s="436"/>
      <c r="N226" s="437"/>
      <c r="P226" s="455" t="str" cm="1">
        <f t="array" aca="1" ref="P226" ca="1">IF(AND($Q$12,B250&lt;=$C$17,C250&lt;&gt;""),TRANSPOSE(INDEX(GetCDS(C250,$C$6,$C$29,F250,D250,$C$13,$C$14,$C$15,$C$8,,,TRUE,TRUE,FALSE,$C$29:$C$31,$C$33),{1;2;3;4;5})),"")</f>
        <v/>
      </c>
      <c r="Q226" s="456"/>
      <c r="R226" s="456"/>
      <c r="S226" s="457"/>
      <c r="T226" s="458"/>
      <c r="U226" s="459" t="str">
        <f t="shared" ca="1" si="15"/>
        <v/>
      </c>
      <c r="V226" s="460" t="str">
        <f t="shared" ca="1" si="16"/>
        <v/>
      </c>
      <c r="W226" s="459" t="str">
        <f t="shared" ca="1" si="17"/>
        <v/>
      </c>
      <c r="X226" s="461" t="str">
        <f t="shared" ca="1" si="18"/>
        <v/>
      </c>
      <c r="Y226" s="460" t="str">
        <f t="shared" ca="1" si="19"/>
        <v/>
      </c>
      <c r="Z226" s="79"/>
    </row>
    <row r="227" spans="1:26" customFormat="1" ht="14.5">
      <c r="A227" s="232"/>
      <c r="B227" s="295">
        <v>189</v>
      </c>
      <c r="C227" s="265"/>
      <c r="D227" s="266"/>
      <c r="E227" s="256"/>
      <c r="F227" s="239"/>
      <c r="G227" s="246"/>
      <c r="H227" s="405">
        <v>213</v>
      </c>
      <c r="I227" s="424"/>
      <c r="J227" s="424"/>
      <c r="K227" s="436"/>
      <c r="L227" s="436"/>
      <c r="M227" s="436"/>
      <c r="N227" s="437"/>
      <c r="P227" s="455" t="str" cm="1">
        <f t="array" aca="1" ref="P227" ca="1">IF(AND($Q$12,B251&lt;=$C$17,C251&lt;&gt;""),TRANSPOSE(INDEX(GetCDS(C251,$C$6,$C$29,F251,D251,$C$13,$C$14,$C$15,$C$8,,,TRUE,TRUE,FALSE,$C$29:$C$31,$C$33),{1;2;3;4;5})),"")</f>
        <v/>
      </c>
      <c r="Q227" s="456"/>
      <c r="R227" s="456"/>
      <c r="S227" s="457"/>
      <c r="T227" s="458"/>
      <c r="U227" s="459" t="str">
        <f t="shared" ca="1" si="15"/>
        <v/>
      </c>
      <c r="V227" s="460" t="str">
        <f t="shared" ca="1" si="16"/>
        <v/>
      </c>
      <c r="W227" s="459" t="str">
        <f t="shared" ca="1" si="17"/>
        <v/>
      </c>
      <c r="X227" s="461" t="str">
        <f t="shared" ca="1" si="18"/>
        <v/>
      </c>
      <c r="Y227" s="460" t="str">
        <f t="shared" ca="1" si="19"/>
        <v/>
      </c>
      <c r="Z227" s="79"/>
    </row>
    <row r="228" spans="1:26" customFormat="1" ht="14.5">
      <c r="A228" s="232"/>
      <c r="B228" s="295">
        <v>190</v>
      </c>
      <c r="C228" s="265"/>
      <c r="D228" s="266"/>
      <c r="E228" s="256"/>
      <c r="F228" s="239"/>
      <c r="G228" s="246"/>
      <c r="H228" s="405">
        <v>214</v>
      </c>
      <c r="I228" s="424"/>
      <c r="J228" s="424"/>
      <c r="K228" s="436"/>
      <c r="L228" s="436"/>
      <c r="M228" s="436"/>
      <c r="N228" s="437"/>
      <c r="P228" s="455" t="str" cm="1">
        <f t="array" aca="1" ref="P228" ca="1">IF(AND($Q$12,B252&lt;=$C$17,C252&lt;&gt;""),TRANSPOSE(INDEX(GetCDS(C252,$C$6,$C$29,F252,D252,$C$13,$C$14,$C$15,$C$8,,,TRUE,TRUE,FALSE,$C$29:$C$31,$C$33),{1;2;3;4;5})),"")</f>
        <v/>
      </c>
      <c r="Q228" s="456"/>
      <c r="R228" s="456"/>
      <c r="S228" s="457"/>
      <c r="T228" s="458"/>
      <c r="U228" s="459" t="str">
        <f t="shared" ca="1" si="15"/>
        <v/>
      </c>
      <c r="V228" s="460" t="str">
        <f t="shared" ca="1" si="16"/>
        <v/>
      </c>
      <c r="W228" s="459" t="str">
        <f t="shared" ca="1" si="17"/>
        <v/>
      </c>
      <c r="X228" s="461" t="str">
        <f t="shared" ca="1" si="18"/>
        <v/>
      </c>
      <c r="Y228" s="460" t="str">
        <f t="shared" ca="1" si="19"/>
        <v/>
      </c>
      <c r="Z228" s="79"/>
    </row>
    <row r="229" spans="1:26" customFormat="1" ht="14.5">
      <c r="A229" s="232"/>
      <c r="B229" s="295">
        <v>191</v>
      </c>
      <c r="C229" s="265"/>
      <c r="D229" s="266"/>
      <c r="E229" s="256"/>
      <c r="F229" s="239"/>
      <c r="G229" s="246"/>
      <c r="H229" s="405">
        <v>215</v>
      </c>
      <c r="I229" s="424"/>
      <c r="J229" s="424"/>
      <c r="K229" s="436"/>
      <c r="L229" s="436"/>
      <c r="M229" s="436"/>
      <c r="N229" s="437"/>
      <c r="P229" s="455" t="str" cm="1">
        <f t="array" aca="1" ref="P229" ca="1">IF(AND($Q$12,B253&lt;=$C$17,C253&lt;&gt;""),TRANSPOSE(INDEX(GetCDS(C253,$C$6,$C$29,F253,D253,$C$13,$C$14,$C$15,$C$8,,,TRUE,TRUE,FALSE,$C$29:$C$31,$C$33),{1;2;3;4;5})),"")</f>
        <v/>
      </c>
      <c r="Q229" s="456"/>
      <c r="R229" s="456"/>
      <c r="S229" s="457"/>
      <c r="T229" s="458"/>
      <c r="U229" s="459" t="str">
        <f t="shared" ca="1" si="15"/>
        <v/>
      </c>
      <c r="V229" s="460" t="str">
        <f t="shared" ca="1" si="16"/>
        <v/>
      </c>
      <c r="W229" s="459" t="str">
        <f t="shared" ca="1" si="17"/>
        <v/>
      </c>
      <c r="X229" s="461" t="str">
        <f t="shared" ca="1" si="18"/>
        <v/>
      </c>
      <c r="Y229" s="460" t="str">
        <f t="shared" ca="1" si="19"/>
        <v/>
      </c>
      <c r="Z229" s="79"/>
    </row>
    <row r="230" spans="1:26" customFormat="1" ht="14.5">
      <c r="A230" s="232"/>
      <c r="B230" s="295">
        <v>192</v>
      </c>
      <c r="C230" s="265"/>
      <c r="D230" s="266"/>
      <c r="E230" s="256"/>
      <c r="F230" s="239"/>
      <c r="G230" s="246"/>
      <c r="H230" s="405">
        <v>216</v>
      </c>
      <c r="I230" s="424"/>
      <c r="J230" s="424"/>
      <c r="K230" s="436"/>
      <c r="L230" s="436"/>
      <c r="M230" s="436"/>
      <c r="N230" s="437"/>
      <c r="P230" s="455" t="str" cm="1">
        <f t="array" aca="1" ref="P230" ca="1">IF(AND($Q$12,B254&lt;=$C$17,C254&lt;&gt;""),TRANSPOSE(INDEX(GetCDS(C254,$C$6,$C$29,F254,D254,$C$13,$C$14,$C$15,$C$8,,,TRUE,TRUE,FALSE,$C$29:$C$31,$C$33),{1;2;3;4;5})),"")</f>
        <v/>
      </c>
      <c r="Q230" s="456"/>
      <c r="R230" s="456"/>
      <c r="S230" s="457"/>
      <c r="T230" s="458"/>
      <c r="U230" s="459" t="str">
        <f t="shared" ca="1" si="15"/>
        <v/>
      </c>
      <c r="V230" s="460" t="str">
        <f t="shared" ca="1" si="16"/>
        <v/>
      </c>
      <c r="W230" s="459" t="str">
        <f t="shared" ca="1" si="17"/>
        <v/>
      </c>
      <c r="X230" s="461" t="str">
        <f t="shared" ca="1" si="18"/>
        <v/>
      </c>
      <c r="Y230" s="460" t="str">
        <f t="shared" ca="1" si="19"/>
        <v/>
      </c>
      <c r="Z230" s="79"/>
    </row>
    <row r="231" spans="1:26" customFormat="1" ht="14.5">
      <c r="A231" s="232"/>
      <c r="B231" s="295">
        <v>193</v>
      </c>
      <c r="C231" s="265"/>
      <c r="D231" s="266"/>
      <c r="E231" s="256"/>
      <c r="F231" s="239"/>
      <c r="G231" s="246"/>
      <c r="H231" s="405">
        <v>217</v>
      </c>
      <c r="I231" s="424"/>
      <c r="J231" s="424"/>
      <c r="K231" s="436"/>
      <c r="L231" s="436"/>
      <c r="M231" s="436"/>
      <c r="N231" s="437"/>
      <c r="P231" s="455" t="str" cm="1">
        <f t="array" aca="1" ref="P231" ca="1">IF(AND($Q$12,B255&lt;=$C$17,C255&lt;&gt;""),TRANSPOSE(INDEX(GetCDS(C255,$C$6,$C$29,F255,D255,$C$13,$C$14,$C$15,$C$8,,,TRUE,TRUE,FALSE,$C$29:$C$31,$C$33),{1;2;3;4;5})),"")</f>
        <v/>
      </c>
      <c r="Q231" s="456"/>
      <c r="R231" s="456"/>
      <c r="S231" s="457"/>
      <c r="T231" s="458"/>
      <c r="U231" s="459" t="str">
        <f t="shared" ca="1" si="15"/>
        <v/>
      </c>
      <c r="V231" s="460" t="str">
        <f t="shared" ca="1" si="16"/>
        <v/>
      </c>
      <c r="W231" s="459" t="str">
        <f t="shared" ca="1" si="17"/>
        <v/>
      </c>
      <c r="X231" s="461" t="str">
        <f t="shared" ca="1" si="18"/>
        <v/>
      </c>
      <c r="Y231" s="460" t="str">
        <f t="shared" ca="1" si="19"/>
        <v/>
      </c>
      <c r="Z231" s="79"/>
    </row>
    <row r="232" spans="1:26" customFormat="1" ht="14.5">
      <c r="A232" s="232"/>
      <c r="B232" s="295">
        <v>194</v>
      </c>
      <c r="C232" s="265"/>
      <c r="D232" s="266"/>
      <c r="E232" s="256"/>
      <c r="F232" s="239"/>
      <c r="G232" s="246"/>
      <c r="H232" s="405">
        <v>218</v>
      </c>
      <c r="I232" s="424"/>
      <c r="J232" s="424"/>
      <c r="K232" s="436"/>
      <c r="L232" s="436"/>
      <c r="M232" s="436"/>
      <c r="N232" s="437"/>
      <c r="P232" s="455" t="str" cm="1">
        <f t="array" aca="1" ref="P232" ca="1">IF(AND($Q$12,B256&lt;=$C$17,C256&lt;&gt;""),TRANSPOSE(INDEX(GetCDS(C256,$C$6,$C$29,F256,D256,$C$13,$C$14,$C$15,$C$8,,,TRUE,TRUE,FALSE,$C$29:$C$31,$C$33),{1;2;3;4;5})),"")</f>
        <v/>
      </c>
      <c r="Q232" s="456"/>
      <c r="R232" s="456"/>
      <c r="S232" s="457"/>
      <c r="T232" s="458"/>
      <c r="U232" s="459" t="str">
        <f t="shared" ca="1" si="15"/>
        <v/>
      </c>
      <c r="V232" s="460" t="str">
        <f t="shared" ca="1" si="16"/>
        <v/>
      </c>
      <c r="W232" s="459" t="str">
        <f t="shared" ca="1" si="17"/>
        <v/>
      </c>
      <c r="X232" s="461" t="str">
        <f t="shared" ca="1" si="18"/>
        <v/>
      </c>
      <c r="Y232" s="460" t="str">
        <f t="shared" ca="1" si="19"/>
        <v/>
      </c>
      <c r="Z232" s="79"/>
    </row>
    <row r="233" spans="1:26" customFormat="1" ht="14.5">
      <c r="A233" s="232"/>
      <c r="B233" s="295">
        <v>195</v>
      </c>
      <c r="C233" s="265"/>
      <c r="D233" s="266"/>
      <c r="E233" s="256"/>
      <c r="F233" s="239"/>
      <c r="G233" s="246"/>
      <c r="H233" s="405">
        <v>219</v>
      </c>
      <c r="I233" s="424"/>
      <c r="J233" s="424"/>
      <c r="K233" s="436"/>
      <c r="L233" s="436"/>
      <c r="M233" s="436"/>
      <c r="N233" s="437"/>
      <c r="P233" s="455" t="str" cm="1">
        <f t="array" aca="1" ref="P233" ca="1">IF(AND($Q$12,B257&lt;=$C$17,C257&lt;&gt;""),TRANSPOSE(INDEX(GetCDS(C257,$C$6,$C$29,F257,D257,$C$13,$C$14,$C$15,$C$8,,,TRUE,TRUE,FALSE,$C$29:$C$31,$C$33),{1;2;3;4;5})),"")</f>
        <v/>
      </c>
      <c r="Q233" s="456"/>
      <c r="R233" s="456"/>
      <c r="S233" s="457"/>
      <c r="T233" s="458"/>
      <c r="U233" s="459" t="str">
        <f t="shared" ca="1" si="15"/>
        <v/>
      </c>
      <c r="V233" s="460" t="str">
        <f t="shared" ca="1" si="16"/>
        <v/>
      </c>
      <c r="W233" s="459" t="str">
        <f t="shared" ca="1" si="17"/>
        <v/>
      </c>
      <c r="X233" s="461" t="str">
        <f t="shared" ca="1" si="18"/>
        <v/>
      </c>
      <c r="Y233" s="460" t="str">
        <f t="shared" ca="1" si="19"/>
        <v/>
      </c>
      <c r="Z233" s="79"/>
    </row>
    <row r="234" spans="1:26" customFormat="1" ht="14.5">
      <c r="A234" s="232"/>
      <c r="B234" s="295">
        <v>196</v>
      </c>
      <c r="C234" s="265"/>
      <c r="D234" s="266"/>
      <c r="E234" s="256"/>
      <c r="F234" s="239"/>
      <c r="G234" s="246"/>
      <c r="H234" s="405">
        <v>220</v>
      </c>
      <c r="I234" s="424"/>
      <c r="J234" s="424"/>
      <c r="K234" s="436"/>
      <c r="L234" s="436"/>
      <c r="M234" s="436"/>
      <c r="N234" s="437"/>
      <c r="P234" s="455" t="str" cm="1">
        <f t="array" aca="1" ref="P234" ca="1">IF(AND($Q$12,B258&lt;=$C$17,C258&lt;&gt;""),TRANSPOSE(INDEX(GetCDS(C258,$C$6,$C$29,F258,D258,$C$13,$C$14,$C$15,$C$8,,,TRUE,TRUE,FALSE,$C$29:$C$31,$C$33),{1;2;3;4;5})),"")</f>
        <v/>
      </c>
      <c r="Q234" s="456"/>
      <c r="R234" s="456"/>
      <c r="S234" s="457"/>
      <c r="T234" s="458"/>
      <c r="U234" s="459" t="str">
        <f t="shared" ca="1" si="15"/>
        <v/>
      </c>
      <c r="V234" s="460" t="str">
        <f t="shared" ca="1" si="16"/>
        <v/>
      </c>
      <c r="W234" s="459" t="str">
        <f t="shared" ca="1" si="17"/>
        <v/>
      </c>
      <c r="X234" s="461" t="str">
        <f t="shared" ca="1" si="18"/>
        <v/>
      </c>
      <c r="Y234" s="460" t="str">
        <f t="shared" ca="1" si="19"/>
        <v/>
      </c>
      <c r="Z234" s="79"/>
    </row>
    <row r="235" spans="1:26" customFormat="1" ht="14.5">
      <c r="A235" s="232"/>
      <c r="B235" s="295">
        <v>197</v>
      </c>
      <c r="C235" s="265"/>
      <c r="D235" s="266"/>
      <c r="E235" s="256"/>
      <c r="F235" s="239"/>
      <c r="G235" s="246"/>
      <c r="H235" s="405">
        <v>221</v>
      </c>
      <c r="I235" s="424"/>
      <c r="J235" s="424"/>
      <c r="K235" s="436"/>
      <c r="L235" s="436"/>
      <c r="M235" s="436"/>
      <c r="N235" s="437"/>
      <c r="P235" s="455" t="str" cm="1">
        <f t="array" aca="1" ref="P235" ca="1">IF(AND($Q$12,B259&lt;=$C$17,C259&lt;&gt;""),TRANSPOSE(INDEX(GetCDS(C259,$C$6,$C$29,F259,D259,$C$13,$C$14,$C$15,$C$8,,,TRUE,TRUE,FALSE,$C$29:$C$31,$C$33),{1;2;3;4;5})),"")</f>
        <v/>
      </c>
      <c r="Q235" s="456"/>
      <c r="R235" s="456"/>
      <c r="S235" s="457"/>
      <c r="T235" s="458"/>
      <c r="U235" s="459" t="str">
        <f t="shared" ca="1" si="15"/>
        <v/>
      </c>
      <c r="V235" s="460" t="str">
        <f t="shared" ca="1" si="16"/>
        <v/>
      </c>
      <c r="W235" s="459" t="str">
        <f t="shared" ca="1" si="17"/>
        <v/>
      </c>
      <c r="X235" s="461" t="str">
        <f t="shared" ca="1" si="18"/>
        <v/>
      </c>
      <c r="Y235" s="460" t="str">
        <f t="shared" ca="1" si="19"/>
        <v/>
      </c>
      <c r="Z235" s="79"/>
    </row>
    <row r="236" spans="1:26" customFormat="1" ht="14.5">
      <c r="A236" s="232"/>
      <c r="B236" s="295">
        <v>198</v>
      </c>
      <c r="C236" s="265"/>
      <c r="D236" s="266"/>
      <c r="E236" s="256"/>
      <c r="F236" s="239"/>
      <c r="G236" s="246"/>
      <c r="H236" s="405">
        <v>222</v>
      </c>
      <c r="I236" s="424"/>
      <c r="J236" s="424"/>
      <c r="K236" s="436"/>
      <c r="L236" s="436"/>
      <c r="M236" s="436"/>
      <c r="N236" s="437"/>
      <c r="P236" s="455" t="str" cm="1">
        <f t="array" aca="1" ref="P236" ca="1">IF(AND($Q$12,B260&lt;=$C$17,C260&lt;&gt;""),TRANSPOSE(INDEX(GetCDS(C260,$C$6,$C$29,F260,D260,$C$13,$C$14,$C$15,$C$8,,,TRUE,TRUE,FALSE,$C$29:$C$31,$C$33),{1;2;3;4;5})),"")</f>
        <v/>
      </c>
      <c r="Q236" s="456"/>
      <c r="R236" s="456"/>
      <c r="S236" s="457"/>
      <c r="T236" s="458"/>
      <c r="U236" s="459" t="str">
        <f t="shared" ca="1" si="15"/>
        <v/>
      </c>
      <c r="V236" s="460" t="str">
        <f t="shared" ca="1" si="16"/>
        <v/>
      </c>
      <c r="W236" s="459" t="str">
        <f t="shared" ca="1" si="17"/>
        <v/>
      </c>
      <c r="X236" s="461" t="str">
        <f t="shared" ca="1" si="18"/>
        <v/>
      </c>
      <c r="Y236" s="460" t="str">
        <f t="shared" ca="1" si="19"/>
        <v/>
      </c>
      <c r="Z236" s="79"/>
    </row>
    <row r="237" spans="1:26" customFormat="1" ht="14.5">
      <c r="A237" s="232"/>
      <c r="B237" s="295">
        <v>199</v>
      </c>
      <c r="C237" s="265"/>
      <c r="D237" s="266"/>
      <c r="E237" s="256"/>
      <c r="F237" s="239"/>
      <c r="G237" s="246"/>
      <c r="H237" s="405">
        <v>223</v>
      </c>
      <c r="I237" s="424"/>
      <c r="J237" s="424"/>
      <c r="K237" s="436"/>
      <c r="L237" s="436"/>
      <c r="M237" s="436"/>
      <c r="N237" s="437"/>
      <c r="P237" s="455" t="str" cm="1">
        <f t="array" aca="1" ref="P237" ca="1">IF(AND($Q$12,B261&lt;=$C$17,C261&lt;&gt;""),TRANSPOSE(INDEX(GetCDS(C261,$C$6,$C$29,F261,D261,$C$13,$C$14,$C$15,$C$8,,,TRUE,TRUE,FALSE,$C$29:$C$31,$C$33),{1;2;3;4;5})),"")</f>
        <v/>
      </c>
      <c r="Q237" s="456"/>
      <c r="R237" s="456"/>
      <c r="S237" s="457"/>
      <c r="T237" s="458"/>
      <c r="U237" s="459" t="str">
        <f t="shared" ca="1" si="15"/>
        <v/>
      </c>
      <c r="V237" s="460" t="str">
        <f t="shared" ca="1" si="16"/>
        <v/>
      </c>
      <c r="W237" s="459" t="str">
        <f t="shared" ca="1" si="17"/>
        <v/>
      </c>
      <c r="X237" s="461" t="str">
        <f t="shared" ca="1" si="18"/>
        <v/>
      </c>
      <c r="Y237" s="460" t="str">
        <f t="shared" ca="1" si="19"/>
        <v/>
      </c>
      <c r="Z237" s="79"/>
    </row>
    <row r="238" spans="1:26" customFormat="1" ht="14.5">
      <c r="A238" s="232"/>
      <c r="B238" s="295">
        <v>200</v>
      </c>
      <c r="C238" s="265"/>
      <c r="D238" s="266"/>
      <c r="E238" s="256"/>
      <c r="F238" s="239"/>
      <c r="G238" s="246"/>
      <c r="H238" s="405">
        <v>224</v>
      </c>
      <c r="I238" s="424"/>
      <c r="J238" s="424"/>
      <c r="K238" s="436"/>
      <c r="L238" s="436"/>
      <c r="M238" s="436"/>
      <c r="N238" s="437"/>
      <c r="P238" s="455" t="str" cm="1">
        <f t="array" aca="1" ref="P238" ca="1">IF(AND($Q$12,B262&lt;=$C$17,C262&lt;&gt;""),TRANSPOSE(INDEX(GetCDS(C262,$C$6,$C$29,F262,D262,$C$13,$C$14,$C$15,$C$8,,,TRUE,TRUE,FALSE,$C$29:$C$31,$C$33),{1;2;3;4;5})),"")</f>
        <v/>
      </c>
      <c r="Q238" s="456"/>
      <c r="R238" s="456"/>
      <c r="S238" s="457"/>
      <c r="T238" s="458"/>
      <c r="U238" s="459" t="str">
        <f t="shared" ca="1" si="15"/>
        <v/>
      </c>
      <c r="V238" s="460" t="str">
        <f t="shared" ca="1" si="16"/>
        <v/>
      </c>
      <c r="W238" s="459" t="str">
        <f t="shared" ca="1" si="17"/>
        <v/>
      </c>
      <c r="X238" s="461" t="str">
        <f t="shared" ca="1" si="18"/>
        <v/>
      </c>
      <c r="Y238" s="460" t="str">
        <f t="shared" ca="1" si="19"/>
        <v/>
      </c>
      <c r="Z238" s="79"/>
    </row>
    <row r="239" spans="1:26" customFormat="1" ht="14.5">
      <c r="A239" s="232"/>
      <c r="B239" s="295">
        <v>201</v>
      </c>
      <c r="C239" s="265"/>
      <c r="D239" s="266"/>
      <c r="E239" s="256"/>
      <c r="F239" s="239"/>
      <c r="G239" s="246"/>
      <c r="H239" s="405">
        <v>225</v>
      </c>
      <c r="I239" s="424"/>
      <c r="J239" s="424"/>
      <c r="K239" s="436"/>
      <c r="L239" s="436"/>
      <c r="M239" s="436"/>
      <c r="N239" s="437"/>
      <c r="P239" s="455" t="str" cm="1">
        <f t="array" aca="1" ref="P239" ca="1">IF(AND($Q$12,B263&lt;=$C$17,C263&lt;&gt;""),TRANSPOSE(INDEX(GetCDS(C263,$C$6,$C$29,F263,D263,$C$13,$C$14,$C$15,$C$8,,,TRUE,TRUE,FALSE,$C$29:$C$31,$C$33),{1;2;3;4;5})),"")</f>
        <v/>
      </c>
      <c r="Q239" s="456"/>
      <c r="R239" s="456"/>
      <c r="S239" s="457"/>
      <c r="T239" s="458"/>
      <c r="U239" s="459" t="str">
        <f t="shared" ca="1" si="15"/>
        <v/>
      </c>
      <c r="V239" s="460" t="str">
        <f t="shared" ca="1" si="16"/>
        <v/>
      </c>
      <c r="W239" s="459" t="str">
        <f t="shared" ca="1" si="17"/>
        <v/>
      </c>
      <c r="X239" s="461" t="str">
        <f t="shared" ca="1" si="18"/>
        <v/>
      </c>
      <c r="Y239" s="460" t="str">
        <f t="shared" ca="1" si="19"/>
        <v/>
      </c>
      <c r="Z239" s="79"/>
    </row>
    <row r="240" spans="1:26" customFormat="1" ht="14.5">
      <c r="A240" s="232"/>
      <c r="B240" s="295">
        <v>202</v>
      </c>
      <c r="C240" s="265"/>
      <c r="D240" s="266"/>
      <c r="E240" s="256"/>
      <c r="F240" s="239"/>
      <c r="G240" s="246"/>
      <c r="H240" s="405">
        <v>226</v>
      </c>
      <c r="I240" s="424"/>
      <c r="J240" s="424"/>
      <c r="K240" s="436"/>
      <c r="L240" s="436"/>
      <c r="M240" s="436"/>
      <c r="N240" s="437"/>
      <c r="P240" s="455" t="str" cm="1">
        <f t="array" aca="1" ref="P240" ca="1">IF(AND($Q$12,B264&lt;=$C$17,C264&lt;&gt;""),TRANSPOSE(INDEX(GetCDS(C264,$C$6,$C$29,F264,D264,$C$13,$C$14,$C$15,$C$8,,,TRUE,TRUE,FALSE,$C$29:$C$31,$C$33),{1;2;3;4;5})),"")</f>
        <v/>
      </c>
      <c r="Q240" s="456"/>
      <c r="R240" s="456"/>
      <c r="S240" s="457"/>
      <c r="T240" s="458"/>
      <c r="U240" s="459" t="str">
        <f t="shared" ca="1" si="15"/>
        <v/>
      </c>
      <c r="V240" s="460" t="str">
        <f t="shared" ca="1" si="16"/>
        <v/>
      </c>
      <c r="W240" s="459" t="str">
        <f t="shared" ca="1" si="17"/>
        <v/>
      </c>
      <c r="X240" s="461" t="str">
        <f t="shared" ca="1" si="18"/>
        <v/>
      </c>
      <c r="Y240" s="460" t="str">
        <f t="shared" ca="1" si="19"/>
        <v/>
      </c>
      <c r="Z240" s="79"/>
    </row>
    <row r="241" spans="1:26" customFormat="1" ht="14.5">
      <c r="A241" s="232"/>
      <c r="B241" s="295">
        <v>203</v>
      </c>
      <c r="C241" s="265"/>
      <c r="D241" s="266"/>
      <c r="E241" s="256"/>
      <c r="F241" s="239"/>
      <c r="G241" s="246"/>
      <c r="H241" s="405">
        <v>227</v>
      </c>
      <c r="I241" s="424"/>
      <c r="J241" s="424"/>
      <c r="K241" s="436"/>
      <c r="L241" s="436"/>
      <c r="M241" s="436"/>
      <c r="N241" s="437"/>
      <c r="P241" s="455" t="str" cm="1">
        <f t="array" aca="1" ref="P241" ca="1">IF(AND($Q$12,B265&lt;=$C$17,C265&lt;&gt;""),TRANSPOSE(INDEX(GetCDS(C265,$C$6,$C$29,F265,D265,$C$13,$C$14,$C$15,$C$8,,,TRUE,TRUE,FALSE,$C$29:$C$31,$C$33),{1;2;3;4;5})),"")</f>
        <v/>
      </c>
      <c r="Q241" s="456"/>
      <c r="R241" s="456"/>
      <c r="S241" s="457"/>
      <c r="T241" s="458"/>
      <c r="U241" s="459" t="str">
        <f t="shared" ca="1" si="15"/>
        <v/>
      </c>
      <c r="V241" s="460" t="str">
        <f t="shared" ca="1" si="16"/>
        <v/>
      </c>
      <c r="W241" s="459" t="str">
        <f t="shared" ca="1" si="17"/>
        <v/>
      </c>
      <c r="X241" s="461" t="str">
        <f t="shared" ca="1" si="18"/>
        <v/>
      </c>
      <c r="Y241" s="460" t="str">
        <f t="shared" ca="1" si="19"/>
        <v/>
      </c>
      <c r="Z241" s="79"/>
    </row>
    <row r="242" spans="1:26" customFormat="1" ht="14.5">
      <c r="A242" s="232"/>
      <c r="B242" s="295">
        <v>204</v>
      </c>
      <c r="C242" s="265"/>
      <c r="D242" s="266"/>
      <c r="E242" s="256"/>
      <c r="F242" s="239"/>
      <c r="G242" s="246"/>
      <c r="H242" s="405">
        <v>228</v>
      </c>
      <c r="I242" s="424"/>
      <c r="J242" s="424"/>
      <c r="K242" s="436"/>
      <c r="L242" s="436"/>
      <c r="M242" s="436"/>
      <c r="N242" s="437"/>
      <c r="P242" s="455" t="str" cm="1">
        <f t="array" aca="1" ref="P242" ca="1">IF(AND($Q$12,B266&lt;=$C$17,C266&lt;&gt;""),TRANSPOSE(INDEX(GetCDS(C266,$C$6,$C$29,F266,D266,$C$13,$C$14,$C$15,$C$8,,,TRUE,TRUE,FALSE,$C$29:$C$31,$C$33),{1;2;3;4;5})),"")</f>
        <v/>
      </c>
      <c r="Q242" s="456"/>
      <c r="R242" s="456"/>
      <c r="S242" s="457"/>
      <c r="T242" s="458"/>
      <c r="U242" s="459" t="str">
        <f t="shared" ca="1" si="15"/>
        <v/>
      </c>
      <c r="V242" s="460" t="str">
        <f t="shared" ca="1" si="16"/>
        <v/>
      </c>
      <c r="W242" s="459" t="str">
        <f t="shared" ca="1" si="17"/>
        <v/>
      </c>
      <c r="X242" s="461" t="str">
        <f t="shared" ca="1" si="18"/>
        <v/>
      </c>
      <c r="Y242" s="460" t="str">
        <f t="shared" ca="1" si="19"/>
        <v/>
      </c>
      <c r="Z242" s="79"/>
    </row>
    <row r="243" spans="1:26" customFormat="1" ht="14.5">
      <c r="A243" s="232"/>
      <c r="B243" s="295">
        <v>205</v>
      </c>
      <c r="C243" s="265"/>
      <c r="D243" s="266"/>
      <c r="E243" s="256"/>
      <c r="F243" s="239"/>
      <c r="G243" s="246"/>
      <c r="H243" s="405">
        <v>229</v>
      </c>
      <c r="I243" s="424"/>
      <c r="J243" s="424"/>
      <c r="K243" s="436"/>
      <c r="L243" s="436"/>
      <c r="M243" s="436"/>
      <c r="N243" s="437"/>
      <c r="P243" s="455" t="str" cm="1">
        <f t="array" aca="1" ref="P243" ca="1">IF(AND($Q$12,B267&lt;=$C$17,C267&lt;&gt;""),TRANSPOSE(INDEX(GetCDS(C267,$C$6,$C$29,F267,D267,$C$13,$C$14,$C$15,$C$8,,,TRUE,TRUE,FALSE,$C$29:$C$31,$C$33),{1;2;3;4;5})),"")</f>
        <v/>
      </c>
      <c r="Q243" s="456"/>
      <c r="R243" s="456"/>
      <c r="S243" s="457"/>
      <c r="T243" s="458"/>
      <c r="U243" s="459" t="str">
        <f t="shared" ca="1" si="15"/>
        <v/>
      </c>
      <c r="V243" s="460" t="str">
        <f t="shared" ca="1" si="16"/>
        <v/>
      </c>
      <c r="W243" s="459" t="str">
        <f t="shared" ca="1" si="17"/>
        <v/>
      </c>
      <c r="X243" s="461" t="str">
        <f t="shared" ca="1" si="18"/>
        <v/>
      </c>
      <c r="Y243" s="460" t="str">
        <f t="shared" ca="1" si="19"/>
        <v/>
      </c>
      <c r="Z243" s="79"/>
    </row>
    <row r="244" spans="1:26" customFormat="1" ht="14.5">
      <c r="A244" s="232"/>
      <c r="B244" s="295">
        <v>206</v>
      </c>
      <c r="C244" s="265"/>
      <c r="D244" s="266"/>
      <c r="E244" s="256"/>
      <c r="F244" s="239"/>
      <c r="G244" s="246"/>
      <c r="H244" s="405">
        <v>230</v>
      </c>
      <c r="I244" s="424"/>
      <c r="J244" s="424"/>
      <c r="K244" s="436"/>
      <c r="L244" s="436"/>
      <c r="M244" s="436"/>
      <c r="N244" s="437"/>
      <c r="P244" s="455" t="str" cm="1">
        <f t="array" aca="1" ref="P244" ca="1">IF(AND($Q$12,B268&lt;=$C$17,C268&lt;&gt;""),TRANSPOSE(INDEX(GetCDS(C268,$C$6,$C$29,F268,D268,$C$13,$C$14,$C$15,$C$8,,,TRUE,TRUE,FALSE,$C$29:$C$31,$C$33),{1;2;3;4;5})),"")</f>
        <v/>
      </c>
      <c r="Q244" s="456"/>
      <c r="R244" s="456"/>
      <c r="S244" s="457"/>
      <c r="T244" s="458"/>
      <c r="U244" s="459" t="str">
        <f t="shared" ca="1" si="15"/>
        <v/>
      </c>
      <c r="V244" s="460" t="str">
        <f t="shared" ca="1" si="16"/>
        <v/>
      </c>
      <c r="W244" s="459" t="str">
        <f t="shared" ca="1" si="17"/>
        <v/>
      </c>
      <c r="X244" s="461" t="str">
        <f t="shared" ca="1" si="18"/>
        <v/>
      </c>
      <c r="Y244" s="460" t="str">
        <f t="shared" ca="1" si="19"/>
        <v/>
      </c>
      <c r="Z244" s="79"/>
    </row>
    <row r="245" spans="1:26" customFormat="1" ht="14.5">
      <c r="A245" s="232"/>
      <c r="B245" s="295">
        <v>207</v>
      </c>
      <c r="C245" s="265"/>
      <c r="D245" s="266"/>
      <c r="E245" s="256"/>
      <c r="F245" s="239"/>
      <c r="G245" s="246"/>
      <c r="H245" s="405">
        <v>231</v>
      </c>
      <c r="I245" s="424"/>
      <c r="J245" s="424"/>
      <c r="K245" s="436"/>
      <c r="L245" s="436"/>
      <c r="M245" s="436"/>
      <c r="N245" s="437"/>
      <c r="P245" s="455" t="str" cm="1">
        <f t="array" aca="1" ref="P245" ca="1">IF(AND($Q$12,B269&lt;=$C$17,C269&lt;&gt;""),TRANSPOSE(INDEX(GetCDS(C269,$C$6,$C$29,F269,D269,$C$13,$C$14,$C$15,$C$8,,,TRUE,TRUE,FALSE,$C$29:$C$31,$C$33),{1;2;3;4;5})),"")</f>
        <v/>
      </c>
      <c r="Q245" s="456"/>
      <c r="R245" s="456"/>
      <c r="S245" s="457"/>
      <c r="T245" s="458"/>
      <c r="U245" s="459" t="str">
        <f t="shared" ca="1" si="15"/>
        <v/>
      </c>
      <c r="V245" s="460" t="str">
        <f t="shared" ca="1" si="16"/>
        <v/>
      </c>
      <c r="W245" s="459" t="str">
        <f t="shared" ca="1" si="17"/>
        <v/>
      </c>
      <c r="X245" s="461" t="str">
        <f t="shared" ca="1" si="18"/>
        <v/>
      </c>
      <c r="Y245" s="460" t="str">
        <f t="shared" ca="1" si="19"/>
        <v/>
      </c>
      <c r="Z245" s="79"/>
    </row>
    <row r="246" spans="1:26" customFormat="1" ht="14.5">
      <c r="A246" s="232"/>
      <c r="B246" s="295">
        <v>208</v>
      </c>
      <c r="C246" s="265"/>
      <c r="D246" s="266"/>
      <c r="E246" s="256"/>
      <c r="F246" s="239"/>
      <c r="G246" s="246"/>
      <c r="H246" s="405">
        <v>232</v>
      </c>
      <c r="I246" s="424"/>
      <c r="J246" s="424"/>
      <c r="K246" s="436"/>
      <c r="L246" s="436"/>
      <c r="M246" s="436"/>
      <c r="N246" s="437"/>
      <c r="P246" s="455" t="str" cm="1">
        <f t="array" aca="1" ref="P246" ca="1">IF(AND($Q$12,B270&lt;=$C$17,C270&lt;&gt;""),TRANSPOSE(INDEX(GetCDS(C270,$C$6,$C$29,F270,D270,$C$13,$C$14,$C$15,$C$8,,,TRUE,TRUE,FALSE,$C$29:$C$31,$C$33),{1;2;3;4;5})),"")</f>
        <v/>
      </c>
      <c r="Q246" s="456"/>
      <c r="R246" s="456"/>
      <c r="S246" s="457"/>
      <c r="T246" s="458"/>
      <c r="U246" s="459" t="str">
        <f t="shared" ca="1" si="15"/>
        <v/>
      </c>
      <c r="V246" s="460" t="str">
        <f t="shared" ca="1" si="16"/>
        <v/>
      </c>
      <c r="W246" s="459" t="str">
        <f t="shared" ca="1" si="17"/>
        <v/>
      </c>
      <c r="X246" s="461" t="str">
        <f t="shared" ca="1" si="18"/>
        <v/>
      </c>
      <c r="Y246" s="460" t="str">
        <f t="shared" ca="1" si="19"/>
        <v/>
      </c>
      <c r="Z246" s="79"/>
    </row>
    <row r="247" spans="1:26" customFormat="1" ht="14.5">
      <c r="A247" s="232"/>
      <c r="B247" s="295">
        <v>209</v>
      </c>
      <c r="C247" s="265"/>
      <c r="D247" s="266"/>
      <c r="E247" s="256"/>
      <c r="F247" s="239"/>
      <c r="G247" s="246"/>
      <c r="H247" s="405">
        <v>233</v>
      </c>
      <c r="I247" s="424"/>
      <c r="J247" s="424"/>
      <c r="K247" s="436"/>
      <c r="L247" s="436"/>
      <c r="M247" s="436"/>
      <c r="N247" s="437"/>
      <c r="P247" s="455" t="str" cm="1">
        <f t="array" aca="1" ref="P247" ca="1">IF(AND($Q$12,B271&lt;=$C$17,C271&lt;&gt;""),TRANSPOSE(INDEX(GetCDS(C271,$C$6,$C$29,F271,D271,$C$13,$C$14,$C$15,$C$8,,,TRUE,TRUE,FALSE,$C$29:$C$31,$C$33),{1;2;3;4;5})),"")</f>
        <v/>
      </c>
      <c r="Q247" s="456"/>
      <c r="R247" s="456"/>
      <c r="S247" s="457"/>
      <c r="T247" s="458"/>
      <c r="U247" s="459" t="str">
        <f t="shared" ca="1" si="15"/>
        <v/>
      </c>
      <c r="V247" s="460" t="str">
        <f t="shared" ca="1" si="16"/>
        <v/>
      </c>
      <c r="W247" s="459" t="str">
        <f t="shared" ca="1" si="17"/>
        <v/>
      </c>
      <c r="X247" s="461" t="str">
        <f t="shared" ca="1" si="18"/>
        <v/>
      </c>
      <c r="Y247" s="460" t="str">
        <f t="shared" ca="1" si="19"/>
        <v/>
      </c>
      <c r="Z247" s="79"/>
    </row>
    <row r="248" spans="1:26" customFormat="1" ht="14.5">
      <c r="A248" s="232"/>
      <c r="B248" s="295">
        <v>210</v>
      </c>
      <c r="C248" s="265"/>
      <c r="D248" s="266"/>
      <c r="E248" s="256"/>
      <c r="F248" s="239"/>
      <c r="G248" s="246"/>
      <c r="H248" s="405">
        <v>234</v>
      </c>
      <c r="I248" s="424"/>
      <c r="J248" s="424"/>
      <c r="K248" s="436"/>
      <c r="L248" s="436"/>
      <c r="M248" s="436"/>
      <c r="N248" s="437"/>
      <c r="P248" s="455" t="str" cm="1">
        <f t="array" aca="1" ref="P248" ca="1">IF(AND($Q$12,B272&lt;=$C$17,C272&lt;&gt;""),TRANSPOSE(INDEX(GetCDS(C272,$C$6,$C$29,F272,D272,$C$13,$C$14,$C$15,$C$8,,,TRUE,TRUE,FALSE,$C$29:$C$31,$C$33),{1;2;3;4;5})),"")</f>
        <v/>
      </c>
      <c r="Q248" s="456"/>
      <c r="R248" s="456"/>
      <c r="S248" s="457"/>
      <c r="T248" s="458"/>
      <c r="U248" s="459" t="str">
        <f t="shared" ca="1" si="15"/>
        <v/>
      </c>
      <c r="V248" s="460" t="str">
        <f t="shared" ca="1" si="16"/>
        <v/>
      </c>
      <c r="W248" s="459" t="str">
        <f t="shared" ca="1" si="17"/>
        <v/>
      </c>
      <c r="X248" s="461" t="str">
        <f t="shared" ca="1" si="18"/>
        <v/>
      </c>
      <c r="Y248" s="460" t="str">
        <f t="shared" ca="1" si="19"/>
        <v/>
      </c>
      <c r="Z248" s="79"/>
    </row>
    <row r="249" spans="1:26" customFormat="1" ht="14.5">
      <c r="A249" s="232"/>
      <c r="B249" s="295">
        <v>211</v>
      </c>
      <c r="C249" s="265"/>
      <c r="D249" s="266"/>
      <c r="E249" s="256"/>
      <c r="F249" s="239"/>
      <c r="G249" s="246"/>
      <c r="H249" s="405">
        <v>235</v>
      </c>
      <c r="I249" s="424"/>
      <c r="J249" s="424"/>
      <c r="K249" s="436"/>
      <c r="L249" s="436"/>
      <c r="M249" s="436"/>
      <c r="N249" s="437"/>
      <c r="P249" s="455" t="str" cm="1">
        <f t="array" aca="1" ref="P249" ca="1">IF(AND($Q$12,B273&lt;=$C$17,C273&lt;&gt;""),TRANSPOSE(INDEX(GetCDS(C273,$C$6,$C$29,F273,D273,$C$13,$C$14,$C$15,$C$8,,,TRUE,TRUE,FALSE,$C$29:$C$31,$C$33),{1;2;3;4;5})),"")</f>
        <v/>
      </c>
      <c r="Q249" s="456"/>
      <c r="R249" s="456"/>
      <c r="S249" s="457"/>
      <c r="T249" s="458"/>
      <c r="U249" s="459" t="str">
        <f t="shared" ca="1" si="15"/>
        <v/>
      </c>
      <c r="V249" s="460" t="str">
        <f t="shared" ca="1" si="16"/>
        <v/>
      </c>
      <c r="W249" s="459" t="str">
        <f t="shared" ca="1" si="17"/>
        <v/>
      </c>
      <c r="X249" s="461" t="str">
        <f t="shared" ca="1" si="18"/>
        <v/>
      </c>
      <c r="Y249" s="460" t="str">
        <f t="shared" ca="1" si="19"/>
        <v/>
      </c>
      <c r="Z249" s="79"/>
    </row>
    <row r="250" spans="1:26" customFormat="1" ht="14.5">
      <c r="A250" s="232"/>
      <c r="B250" s="295">
        <v>212</v>
      </c>
      <c r="C250" s="265"/>
      <c r="D250" s="266"/>
      <c r="E250" s="256"/>
      <c r="F250" s="239"/>
      <c r="G250" s="246"/>
      <c r="H250" s="405">
        <v>236</v>
      </c>
      <c r="I250" s="424"/>
      <c r="J250" s="424"/>
      <c r="K250" s="436"/>
      <c r="L250" s="436"/>
      <c r="M250" s="436"/>
      <c r="N250" s="437"/>
      <c r="P250" s="455" t="str" cm="1">
        <f t="array" aca="1" ref="P250" ca="1">IF(AND($Q$12,B274&lt;=$C$17,C274&lt;&gt;""),TRANSPOSE(INDEX(GetCDS(C274,$C$6,$C$29,F274,D274,$C$13,$C$14,$C$15,$C$8,,,TRUE,TRUE,FALSE,$C$29:$C$31,$C$33),{1;2;3;4;5})),"")</f>
        <v/>
      </c>
      <c r="Q250" s="456"/>
      <c r="R250" s="456"/>
      <c r="S250" s="457"/>
      <c r="T250" s="458"/>
      <c r="U250" s="459" t="str">
        <f t="shared" ca="1" si="15"/>
        <v/>
      </c>
      <c r="V250" s="460" t="str">
        <f t="shared" ca="1" si="16"/>
        <v/>
      </c>
      <c r="W250" s="459" t="str">
        <f t="shared" ca="1" si="17"/>
        <v/>
      </c>
      <c r="X250" s="461" t="str">
        <f t="shared" ca="1" si="18"/>
        <v/>
      </c>
      <c r="Y250" s="460" t="str">
        <f t="shared" ca="1" si="19"/>
        <v/>
      </c>
      <c r="Z250" s="79"/>
    </row>
    <row r="251" spans="1:26" customFormat="1" ht="14.5">
      <c r="A251" s="232"/>
      <c r="B251" s="295">
        <v>213</v>
      </c>
      <c r="C251" s="265"/>
      <c r="D251" s="266"/>
      <c r="E251" s="256"/>
      <c r="F251" s="239"/>
      <c r="G251" s="246"/>
      <c r="H251" s="405">
        <v>237</v>
      </c>
      <c r="I251" s="424"/>
      <c r="J251" s="424"/>
      <c r="K251" s="436"/>
      <c r="L251" s="436"/>
      <c r="M251" s="436"/>
      <c r="N251" s="437"/>
      <c r="P251" s="455" t="str" cm="1">
        <f t="array" aca="1" ref="P251" ca="1">IF(AND($Q$12,B275&lt;=$C$17,C275&lt;&gt;""),TRANSPOSE(INDEX(GetCDS(C275,$C$6,$C$29,F275,D275,$C$13,$C$14,$C$15,$C$8,,,TRUE,TRUE,FALSE,$C$29:$C$31,$C$33),{1;2;3;4;5})),"")</f>
        <v/>
      </c>
      <c r="Q251" s="456"/>
      <c r="R251" s="456"/>
      <c r="S251" s="457"/>
      <c r="T251" s="458"/>
      <c r="U251" s="459" t="str">
        <f t="shared" ca="1" si="15"/>
        <v/>
      </c>
      <c r="V251" s="460" t="str">
        <f t="shared" ca="1" si="16"/>
        <v/>
      </c>
      <c r="W251" s="459" t="str">
        <f t="shared" ca="1" si="17"/>
        <v/>
      </c>
      <c r="X251" s="461" t="str">
        <f t="shared" ca="1" si="18"/>
        <v/>
      </c>
      <c r="Y251" s="460" t="str">
        <f t="shared" ca="1" si="19"/>
        <v/>
      </c>
      <c r="Z251" s="79"/>
    </row>
    <row r="252" spans="1:26" customFormat="1" ht="14.5">
      <c r="A252" s="232"/>
      <c r="B252" s="295">
        <v>214</v>
      </c>
      <c r="C252" s="265"/>
      <c r="D252" s="266"/>
      <c r="E252" s="256"/>
      <c r="F252" s="239"/>
      <c r="G252" s="246"/>
      <c r="H252" s="405">
        <v>238</v>
      </c>
      <c r="I252" s="424"/>
      <c r="J252" s="424"/>
      <c r="K252" s="436"/>
      <c r="L252" s="436"/>
      <c r="M252" s="436"/>
      <c r="N252" s="437"/>
      <c r="P252" s="455" t="str" cm="1">
        <f t="array" aca="1" ref="P252" ca="1">IF(AND($Q$12,B276&lt;=$C$17,C276&lt;&gt;""),TRANSPOSE(INDEX(GetCDS(C276,$C$6,$C$29,F276,D276,$C$13,$C$14,$C$15,$C$8,,,TRUE,TRUE,FALSE,$C$29:$C$31,$C$33),{1;2;3;4;5})),"")</f>
        <v/>
      </c>
      <c r="Q252" s="456"/>
      <c r="R252" s="456"/>
      <c r="S252" s="457"/>
      <c r="T252" s="458"/>
      <c r="U252" s="459" t="str">
        <f t="shared" ca="1" si="15"/>
        <v/>
      </c>
      <c r="V252" s="460" t="str">
        <f t="shared" ca="1" si="16"/>
        <v/>
      </c>
      <c r="W252" s="459" t="str">
        <f t="shared" ca="1" si="17"/>
        <v/>
      </c>
      <c r="X252" s="461" t="str">
        <f t="shared" ca="1" si="18"/>
        <v/>
      </c>
      <c r="Y252" s="460" t="str">
        <f t="shared" ca="1" si="19"/>
        <v/>
      </c>
      <c r="Z252" s="79"/>
    </row>
    <row r="253" spans="1:26" customFormat="1" ht="14.5">
      <c r="A253" s="232"/>
      <c r="B253" s="295">
        <v>215</v>
      </c>
      <c r="C253" s="265"/>
      <c r="D253" s="266"/>
      <c r="E253" s="256"/>
      <c r="F253" s="239"/>
      <c r="G253" s="246"/>
      <c r="H253" s="405">
        <v>239</v>
      </c>
      <c r="I253" s="424"/>
      <c r="J253" s="424"/>
      <c r="K253" s="436"/>
      <c r="L253" s="436"/>
      <c r="M253" s="436"/>
      <c r="N253" s="437"/>
      <c r="P253" s="455" t="str" cm="1">
        <f t="array" aca="1" ref="P253" ca="1">IF(AND($Q$12,B277&lt;=$C$17,C277&lt;&gt;""),TRANSPOSE(INDEX(GetCDS(C277,$C$6,$C$29,F277,D277,$C$13,$C$14,$C$15,$C$8,,,TRUE,TRUE,FALSE,$C$29:$C$31,$C$33),{1;2;3;4;5})),"")</f>
        <v/>
      </c>
      <c r="Q253" s="456"/>
      <c r="R253" s="456"/>
      <c r="S253" s="457"/>
      <c r="T253" s="458"/>
      <c r="U253" s="459" t="str">
        <f t="shared" ca="1" si="15"/>
        <v/>
      </c>
      <c r="V253" s="460" t="str">
        <f t="shared" ca="1" si="16"/>
        <v/>
      </c>
      <c r="W253" s="459" t="str">
        <f t="shared" ca="1" si="17"/>
        <v/>
      </c>
      <c r="X253" s="461" t="str">
        <f t="shared" ca="1" si="18"/>
        <v/>
      </c>
      <c r="Y253" s="460" t="str">
        <f t="shared" ca="1" si="19"/>
        <v/>
      </c>
      <c r="Z253" s="79"/>
    </row>
    <row r="254" spans="1:26" customFormat="1" ht="14.5">
      <c r="A254" s="232"/>
      <c r="B254" s="295">
        <v>216</v>
      </c>
      <c r="C254" s="265"/>
      <c r="D254" s="266"/>
      <c r="E254" s="256"/>
      <c r="F254" s="239"/>
      <c r="G254" s="246"/>
      <c r="H254" s="405">
        <v>240</v>
      </c>
      <c r="I254" s="424"/>
      <c r="J254" s="424"/>
      <c r="K254" s="436"/>
      <c r="L254" s="436"/>
      <c r="M254" s="436"/>
      <c r="N254" s="437"/>
      <c r="P254" s="455" t="str" cm="1">
        <f t="array" aca="1" ref="P254" ca="1">IF(AND($Q$12,B278&lt;=$C$17,C278&lt;&gt;""),TRANSPOSE(INDEX(GetCDS(C278,$C$6,$C$29,F278,D278,$C$13,$C$14,$C$15,$C$8,,,TRUE,TRUE,FALSE,$C$29:$C$31,$C$33),{1;2;3;4;5})),"")</f>
        <v/>
      </c>
      <c r="Q254" s="456"/>
      <c r="R254" s="456"/>
      <c r="S254" s="457"/>
      <c r="T254" s="458"/>
      <c r="U254" s="459" t="str">
        <f t="shared" ca="1" si="15"/>
        <v/>
      </c>
      <c r="V254" s="460" t="str">
        <f t="shared" ca="1" si="16"/>
        <v/>
      </c>
      <c r="W254" s="459" t="str">
        <f t="shared" ca="1" si="17"/>
        <v/>
      </c>
      <c r="X254" s="461" t="str">
        <f t="shared" ca="1" si="18"/>
        <v/>
      </c>
      <c r="Y254" s="460" t="str">
        <f t="shared" ca="1" si="19"/>
        <v/>
      </c>
      <c r="Z254" s="79"/>
    </row>
    <row r="255" spans="1:26" customFormat="1" ht="14.5">
      <c r="A255" s="232"/>
      <c r="B255" s="295">
        <v>217</v>
      </c>
      <c r="C255" s="265"/>
      <c r="D255" s="266"/>
      <c r="E255" s="256"/>
      <c r="F255" s="239"/>
      <c r="G255" s="246"/>
      <c r="H255" s="405">
        <v>241</v>
      </c>
      <c r="I255" s="424"/>
      <c r="J255" s="424"/>
      <c r="K255" s="436"/>
      <c r="L255" s="436"/>
      <c r="M255" s="436"/>
      <c r="N255" s="437"/>
      <c r="P255" s="455" t="str" cm="1">
        <f t="array" aca="1" ref="P255" ca="1">IF(AND($Q$12,B279&lt;=$C$17,C279&lt;&gt;""),TRANSPOSE(INDEX(GetCDS(C279,$C$6,$C$29,F279,D279,$C$13,$C$14,$C$15,$C$8,,,TRUE,TRUE,FALSE,$C$29:$C$31,$C$33),{1;2;3;4;5})),"")</f>
        <v/>
      </c>
      <c r="Q255" s="456"/>
      <c r="R255" s="456"/>
      <c r="S255" s="457"/>
      <c r="T255" s="458"/>
      <c r="U255" s="459" t="str">
        <f t="shared" ca="1" si="15"/>
        <v/>
      </c>
      <c r="V255" s="460" t="str">
        <f t="shared" ca="1" si="16"/>
        <v/>
      </c>
      <c r="W255" s="459" t="str">
        <f t="shared" ca="1" si="17"/>
        <v/>
      </c>
      <c r="X255" s="461" t="str">
        <f t="shared" ca="1" si="18"/>
        <v/>
      </c>
      <c r="Y255" s="460" t="str">
        <f t="shared" ca="1" si="19"/>
        <v/>
      </c>
      <c r="Z255" s="79"/>
    </row>
    <row r="256" spans="1:26" customFormat="1" ht="14.5">
      <c r="A256" s="232"/>
      <c r="B256" s="295">
        <v>218</v>
      </c>
      <c r="C256" s="265"/>
      <c r="D256" s="266"/>
      <c r="E256" s="256"/>
      <c r="F256" s="239"/>
      <c r="G256" s="246"/>
      <c r="H256" s="405">
        <v>242</v>
      </c>
      <c r="I256" s="424"/>
      <c r="J256" s="424"/>
      <c r="K256" s="436"/>
      <c r="L256" s="436"/>
      <c r="M256" s="436"/>
      <c r="N256" s="437"/>
      <c r="P256" s="455" t="str" cm="1">
        <f t="array" aca="1" ref="P256" ca="1">IF(AND($Q$12,B280&lt;=$C$17,C280&lt;&gt;""),TRANSPOSE(INDEX(GetCDS(C280,$C$6,$C$29,F280,D280,$C$13,$C$14,$C$15,$C$8,,,TRUE,TRUE,FALSE,$C$29:$C$31,$C$33),{1;2;3;4;5})),"")</f>
        <v/>
      </c>
      <c r="Q256" s="456"/>
      <c r="R256" s="456"/>
      <c r="S256" s="457"/>
      <c r="T256" s="458"/>
      <c r="U256" s="459" t="str">
        <f t="shared" ca="1" si="15"/>
        <v/>
      </c>
      <c r="V256" s="460" t="str">
        <f t="shared" ca="1" si="16"/>
        <v/>
      </c>
      <c r="W256" s="459" t="str">
        <f t="shared" ca="1" si="17"/>
        <v/>
      </c>
      <c r="X256" s="461" t="str">
        <f t="shared" ca="1" si="18"/>
        <v/>
      </c>
      <c r="Y256" s="460" t="str">
        <f t="shared" ca="1" si="19"/>
        <v/>
      </c>
      <c r="Z256" s="79"/>
    </row>
    <row r="257" spans="1:26" customFormat="1" ht="14.5">
      <c r="A257" s="232"/>
      <c r="B257" s="295">
        <v>219</v>
      </c>
      <c r="C257" s="265"/>
      <c r="D257" s="266"/>
      <c r="E257" s="256"/>
      <c r="F257" s="239"/>
      <c r="G257" s="246"/>
      <c r="H257" s="405">
        <v>243</v>
      </c>
      <c r="I257" s="424"/>
      <c r="J257" s="424"/>
      <c r="K257" s="436"/>
      <c r="L257" s="436"/>
      <c r="M257" s="436"/>
      <c r="N257" s="437"/>
      <c r="P257" s="455" t="str" cm="1">
        <f t="array" aca="1" ref="P257" ca="1">IF(AND($Q$12,B281&lt;=$C$17,C281&lt;&gt;""),TRANSPOSE(INDEX(GetCDS(C281,$C$6,$C$29,F281,D281,$C$13,$C$14,$C$15,$C$8,,,TRUE,TRUE,FALSE,$C$29:$C$31,$C$33),{1;2;3;4;5})),"")</f>
        <v/>
      </c>
      <c r="Q257" s="456"/>
      <c r="R257" s="456"/>
      <c r="S257" s="457"/>
      <c r="T257" s="458"/>
      <c r="U257" s="459" t="str">
        <f t="shared" ca="1" si="15"/>
        <v/>
      </c>
      <c r="V257" s="460" t="str">
        <f t="shared" ca="1" si="16"/>
        <v/>
      </c>
      <c r="W257" s="459" t="str">
        <f t="shared" ca="1" si="17"/>
        <v/>
      </c>
      <c r="X257" s="461" t="str">
        <f t="shared" ca="1" si="18"/>
        <v/>
      </c>
      <c r="Y257" s="460" t="str">
        <f t="shared" ca="1" si="19"/>
        <v/>
      </c>
      <c r="Z257" s="79"/>
    </row>
    <row r="258" spans="1:26" customFormat="1" ht="14.5">
      <c r="A258" s="232"/>
      <c r="B258" s="295">
        <v>220</v>
      </c>
      <c r="C258" s="265"/>
      <c r="D258" s="266"/>
      <c r="E258" s="256"/>
      <c r="F258" s="239"/>
      <c r="G258" s="246"/>
      <c r="H258" s="405">
        <v>244</v>
      </c>
      <c r="I258" s="424"/>
      <c r="J258" s="424"/>
      <c r="K258" s="436"/>
      <c r="L258" s="436"/>
      <c r="M258" s="436"/>
      <c r="N258" s="437"/>
      <c r="P258" s="455" t="str" cm="1">
        <f t="array" aca="1" ref="P258" ca="1">IF(AND($Q$12,B282&lt;=$C$17,C282&lt;&gt;""),TRANSPOSE(INDEX(GetCDS(C282,$C$6,$C$29,F282,D282,$C$13,$C$14,$C$15,$C$8,,,TRUE,TRUE,FALSE,$C$29:$C$31,$C$33),{1;2;3;4;5})),"")</f>
        <v/>
      </c>
      <c r="Q258" s="456"/>
      <c r="R258" s="456"/>
      <c r="S258" s="457"/>
      <c r="T258" s="458"/>
      <c r="U258" s="459" t="str">
        <f t="shared" ca="1" si="15"/>
        <v/>
      </c>
      <c r="V258" s="460" t="str">
        <f t="shared" ca="1" si="16"/>
        <v/>
      </c>
      <c r="W258" s="459" t="str">
        <f t="shared" ca="1" si="17"/>
        <v/>
      </c>
      <c r="X258" s="461" t="str">
        <f t="shared" ca="1" si="18"/>
        <v/>
      </c>
      <c r="Y258" s="460" t="str">
        <f t="shared" ca="1" si="19"/>
        <v/>
      </c>
      <c r="Z258" s="79"/>
    </row>
    <row r="259" spans="1:26" customFormat="1" ht="14.5">
      <c r="A259" s="232"/>
      <c r="B259" s="295">
        <v>221</v>
      </c>
      <c r="C259" s="265"/>
      <c r="D259" s="266"/>
      <c r="E259" s="256"/>
      <c r="F259" s="239"/>
      <c r="G259" s="246"/>
      <c r="H259" s="405">
        <v>245</v>
      </c>
      <c r="I259" s="424"/>
      <c r="J259" s="424"/>
      <c r="K259" s="436"/>
      <c r="L259" s="436"/>
      <c r="M259" s="436"/>
      <c r="N259" s="437"/>
      <c r="P259" s="455" t="str" cm="1">
        <f t="array" aca="1" ref="P259" ca="1">IF(AND($Q$12,B283&lt;=$C$17,C283&lt;&gt;""),TRANSPOSE(INDEX(GetCDS(C283,$C$6,$C$29,F283,D283,$C$13,$C$14,$C$15,$C$8,,,TRUE,TRUE,FALSE,$C$29:$C$31,$C$33),{1;2;3;4;5})),"")</f>
        <v/>
      </c>
      <c r="Q259" s="456"/>
      <c r="R259" s="456"/>
      <c r="S259" s="457"/>
      <c r="T259" s="458"/>
      <c r="U259" s="459" t="str">
        <f t="shared" ca="1" si="15"/>
        <v/>
      </c>
      <c r="V259" s="460" t="str">
        <f t="shared" ca="1" si="16"/>
        <v/>
      </c>
      <c r="W259" s="459" t="str">
        <f t="shared" ca="1" si="17"/>
        <v/>
      </c>
      <c r="X259" s="461" t="str">
        <f t="shared" ca="1" si="18"/>
        <v/>
      </c>
      <c r="Y259" s="460" t="str">
        <f t="shared" ca="1" si="19"/>
        <v/>
      </c>
      <c r="Z259" s="79"/>
    </row>
    <row r="260" spans="1:26" customFormat="1" ht="14.5">
      <c r="A260" s="232"/>
      <c r="B260" s="295">
        <v>222</v>
      </c>
      <c r="C260" s="265"/>
      <c r="D260" s="266"/>
      <c r="E260" s="256"/>
      <c r="F260" s="239"/>
      <c r="G260" s="246"/>
      <c r="H260" s="405">
        <v>246</v>
      </c>
      <c r="I260" s="424"/>
      <c r="J260" s="424"/>
      <c r="K260" s="436"/>
      <c r="L260" s="436"/>
      <c r="M260" s="436"/>
      <c r="N260" s="437"/>
      <c r="P260" s="455" t="str" cm="1">
        <f t="array" aca="1" ref="P260" ca="1">IF(AND($Q$12,B284&lt;=$C$17,C284&lt;&gt;""),TRANSPOSE(INDEX(GetCDS(C284,$C$6,$C$29,F284,D284,$C$13,$C$14,$C$15,$C$8,,,TRUE,TRUE,FALSE,$C$29:$C$31,$C$33),{1;2;3;4;5})),"")</f>
        <v/>
      </c>
      <c r="Q260" s="456"/>
      <c r="R260" s="456"/>
      <c r="S260" s="457"/>
      <c r="T260" s="458"/>
      <c r="U260" s="459" t="str">
        <f t="shared" ca="1" si="15"/>
        <v/>
      </c>
      <c r="V260" s="460" t="str">
        <f t="shared" ca="1" si="16"/>
        <v/>
      </c>
      <c r="W260" s="459" t="str">
        <f t="shared" ca="1" si="17"/>
        <v/>
      </c>
      <c r="X260" s="461" t="str">
        <f t="shared" ca="1" si="18"/>
        <v/>
      </c>
      <c r="Y260" s="460" t="str">
        <f t="shared" ca="1" si="19"/>
        <v/>
      </c>
      <c r="Z260" s="79"/>
    </row>
    <row r="261" spans="1:26" customFormat="1" ht="14.5">
      <c r="A261" s="232"/>
      <c r="B261" s="295">
        <v>223</v>
      </c>
      <c r="C261" s="265"/>
      <c r="D261" s="266"/>
      <c r="E261" s="256"/>
      <c r="F261" s="239"/>
      <c r="G261" s="246"/>
      <c r="H261" s="405">
        <v>247</v>
      </c>
      <c r="I261" s="424"/>
      <c r="J261" s="424"/>
      <c r="K261" s="436"/>
      <c r="L261" s="436"/>
      <c r="M261" s="436"/>
      <c r="N261" s="437"/>
      <c r="P261" s="455" t="str" cm="1">
        <f t="array" aca="1" ref="P261" ca="1">IF(AND($Q$12,B285&lt;=$C$17,C285&lt;&gt;""),TRANSPOSE(INDEX(GetCDS(C285,$C$6,$C$29,F285,D285,$C$13,$C$14,$C$15,$C$8,,,TRUE,TRUE,FALSE,$C$29:$C$31,$C$33),{1;2;3;4;5})),"")</f>
        <v/>
      </c>
      <c r="Q261" s="456"/>
      <c r="R261" s="456"/>
      <c r="S261" s="457"/>
      <c r="T261" s="458"/>
      <c r="U261" s="459" t="str">
        <f t="shared" ca="1" si="15"/>
        <v/>
      </c>
      <c r="V261" s="460" t="str">
        <f t="shared" ca="1" si="16"/>
        <v/>
      </c>
      <c r="W261" s="459" t="str">
        <f t="shared" ca="1" si="17"/>
        <v/>
      </c>
      <c r="X261" s="461" t="str">
        <f t="shared" ca="1" si="18"/>
        <v/>
      </c>
      <c r="Y261" s="460" t="str">
        <f t="shared" ca="1" si="19"/>
        <v/>
      </c>
      <c r="Z261" s="79"/>
    </row>
    <row r="262" spans="1:26" customFormat="1" ht="14.5">
      <c r="A262" s="232"/>
      <c r="B262" s="295">
        <v>224</v>
      </c>
      <c r="C262" s="265"/>
      <c r="D262" s="266"/>
      <c r="E262" s="256"/>
      <c r="F262" s="239"/>
      <c r="G262" s="246"/>
      <c r="H262" s="405">
        <v>248</v>
      </c>
      <c r="I262" s="424"/>
      <c r="J262" s="424"/>
      <c r="K262" s="436"/>
      <c r="L262" s="436"/>
      <c r="M262" s="436"/>
      <c r="N262" s="437"/>
      <c r="P262" s="455" t="str" cm="1">
        <f t="array" aca="1" ref="P262" ca="1">IF(AND($Q$12,B286&lt;=$C$17,C286&lt;&gt;""),TRANSPOSE(INDEX(GetCDS(C286,$C$6,$C$29,F286,D286,$C$13,$C$14,$C$15,$C$8,,,TRUE,TRUE,FALSE,$C$29:$C$31,$C$33),{1;2;3;4;5})),"")</f>
        <v/>
      </c>
      <c r="Q262" s="456"/>
      <c r="R262" s="456"/>
      <c r="S262" s="457"/>
      <c r="T262" s="458"/>
      <c r="U262" s="459" t="str">
        <f t="shared" ca="1" si="15"/>
        <v/>
      </c>
      <c r="V262" s="460" t="str">
        <f t="shared" ca="1" si="16"/>
        <v/>
      </c>
      <c r="W262" s="459" t="str">
        <f t="shared" ca="1" si="17"/>
        <v/>
      </c>
      <c r="X262" s="461" t="str">
        <f t="shared" ca="1" si="18"/>
        <v/>
      </c>
      <c r="Y262" s="460" t="str">
        <f t="shared" ca="1" si="19"/>
        <v/>
      </c>
      <c r="Z262" s="79"/>
    </row>
    <row r="263" spans="1:26" customFormat="1" ht="14.5">
      <c r="A263" s="232"/>
      <c r="B263" s="295">
        <v>225</v>
      </c>
      <c r="C263" s="265"/>
      <c r="D263" s="266"/>
      <c r="E263" s="256"/>
      <c r="F263" s="239"/>
      <c r="G263" s="246"/>
      <c r="H263" s="405">
        <v>249</v>
      </c>
      <c r="I263" s="424"/>
      <c r="J263" s="424"/>
      <c r="K263" s="436"/>
      <c r="L263" s="436"/>
      <c r="M263" s="436"/>
      <c r="N263" s="437"/>
      <c r="P263" s="455" t="str" cm="1">
        <f t="array" aca="1" ref="P263" ca="1">IF(AND($Q$12,B287&lt;=$C$17,C287&lt;&gt;""),TRANSPOSE(INDEX(GetCDS(C287,$C$6,$C$29,F287,D287,$C$13,$C$14,$C$15,$C$8,,,TRUE,TRUE,FALSE,$C$29:$C$31,$C$33),{1;2;3;4;5})),"")</f>
        <v/>
      </c>
      <c r="Q263" s="456"/>
      <c r="R263" s="456"/>
      <c r="S263" s="457"/>
      <c r="T263" s="458"/>
      <c r="U263" s="459" t="str">
        <f t="shared" ca="1" si="15"/>
        <v/>
      </c>
      <c r="V263" s="460" t="str">
        <f t="shared" ca="1" si="16"/>
        <v/>
      </c>
      <c r="W263" s="459" t="str">
        <f t="shared" ca="1" si="17"/>
        <v/>
      </c>
      <c r="X263" s="461" t="str">
        <f t="shared" ca="1" si="18"/>
        <v/>
      </c>
      <c r="Y263" s="460" t="str">
        <f t="shared" ca="1" si="19"/>
        <v/>
      </c>
      <c r="Z263" s="79"/>
    </row>
    <row r="264" spans="1:26" customFormat="1" ht="14.5">
      <c r="A264" s="232"/>
      <c r="B264" s="295">
        <v>226</v>
      </c>
      <c r="C264" s="265"/>
      <c r="D264" s="266"/>
      <c r="E264" s="256"/>
      <c r="F264" s="239"/>
      <c r="G264" s="246"/>
      <c r="H264" s="405">
        <v>250</v>
      </c>
      <c r="I264" s="424"/>
      <c r="J264" s="424"/>
      <c r="K264" s="436"/>
      <c r="L264" s="436"/>
      <c r="M264" s="436"/>
      <c r="N264" s="437"/>
      <c r="P264" s="455" t="str" cm="1">
        <f t="array" aca="1" ref="P264" ca="1">IF(AND($Q$12,B288&lt;=$C$17,C288&lt;&gt;""),TRANSPOSE(INDEX(GetCDS(C288,$C$6,$C$29,F288,D288,$C$13,$C$14,$C$15,$C$8,,,TRUE,TRUE,FALSE,$C$29:$C$31,$C$33),{1;2;3;4;5})),"")</f>
        <v/>
      </c>
      <c r="Q264" s="456"/>
      <c r="R264" s="456"/>
      <c r="S264" s="457"/>
      <c r="T264" s="458"/>
      <c r="U264" s="459" t="str">
        <f t="shared" ca="1" si="15"/>
        <v/>
      </c>
      <c r="V264" s="460" t="str">
        <f t="shared" ca="1" si="16"/>
        <v/>
      </c>
      <c r="W264" s="459" t="str">
        <f t="shared" ca="1" si="17"/>
        <v/>
      </c>
      <c r="X264" s="461" t="str">
        <f t="shared" ca="1" si="18"/>
        <v/>
      </c>
      <c r="Y264" s="460" t="str">
        <f t="shared" ca="1" si="19"/>
        <v/>
      </c>
      <c r="Z264" s="79"/>
    </row>
    <row r="265" spans="1:26" customFormat="1" ht="14.5">
      <c r="A265" s="232"/>
      <c r="B265" s="295">
        <v>227</v>
      </c>
      <c r="C265" s="265"/>
      <c r="D265" s="266"/>
      <c r="E265" s="256"/>
      <c r="F265" s="239"/>
      <c r="G265" s="246"/>
      <c r="H265" s="405">
        <v>251</v>
      </c>
      <c r="I265" s="424"/>
      <c r="J265" s="424"/>
      <c r="K265" s="436"/>
      <c r="L265" s="436"/>
      <c r="M265" s="436"/>
      <c r="N265" s="437"/>
      <c r="P265" s="455" t="str" cm="1">
        <f t="array" aca="1" ref="P265" ca="1">IF(AND($Q$12,B289&lt;=$C$17,C289&lt;&gt;""),TRANSPOSE(INDEX(GetCDS(C289,$C$6,$C$29,F289,D289,$C$13,$C$14,$C$15,$C$8,,,TRUE,TRUE,FALSE,$C$29:$C$31,$C$33),{1;2;3;4;5})),"")</f>
        <v/>
      </c>
      <c r="Q265" s="456"/>
      <c r="R265" s="456"/>
      <c r="S265" s="457"/>
      <c r="T265" s="458"/>
      <c r="U265" s="459" t="str">
        <f t="shared" ca="1" si="15"/>
        <v/>
      </c>
      <c r="V265" s="460" t="str">
        <f t="shared" ca="1" si="16"/>
        <v/>
      </c>
      <c r="W265" s="459" t="str">
        <f t="shared" ca="1" si="17"/>
        <v/>
      </c>
      <c r="X265" s="461" t="str">
        <f t="shared" ca="1" si="18"/>
        <v/>
      </c>
      <c r="Y265" s="460" t="str">
        <f t="shared" ca="1" si="19"/>
        <v/>
      </c>
      <c r="Z265" s="79"/>
    </row>
    <row r="266" spans="1:26" customFormat="1" ht="14.5">
      <c r="A266" s="232"/>
      <c r="B266" s="295">
        <v>228</v>
      </c>
      <c r="C266" s="265"/>
      <c r="D266" s="266"/>
      <c r="E266" s="256"/>
      <c r="F266" s="239"/>
      <c r="G266" s="246"/>
      <c r="H266" s="405">
        <v>252</v>
      </c>
      <c r="I266" s="424"/>
      <c r="J266" s="424"/>
      <c r="K266" s="436"/>
      <c r="L266" s="436"/>
      <c r="M266" s="436"/>
      <c r="N266" s="437"/>
      <c r="P266" s="455" t="str" cm="1">
        <f t="array" aca="1" ref="P266" ca="1">IF(AND($Q$12,B290&lt;=$C$17,C290&lt;&gt;""),TRANSPOSE(INDEX(GetCDS(C290,$C$6,$C$29,F290,D290,$C$13,$C$14,$C$15,$C$8,,,TRUE,TRUE,FALSE,$C$29:$C$31,$C$33),{1;2;3;4;5})),"")</f>
        <v/>
      </c>
      <c r="Q266" s="456"/>
      <c r="R266" s="456"/>
      <c r="S266" s="457"/>
      <c r="T266" s="458"/>
      <c r="U266" s="459" t="str">
        <f t="shared" ca="1" si="15"/>
        <v/>
      </c>
      <c r="V266" s="460" t="str">
        <f t="shared" ca="1" si="16"/>
        <v/>
      </c>
      <c r="W266" s="459" t="str">
        <f t="shared" ca="1" si="17"/>
        <v/>
      </c>
      <c r="X266" s="461" t="str">
        <f t="shared" ca="1" si="18"/>
        <v/>
      </c>
      <c r="Y266" s="460" t="str">
        <f t="shared" ca="1" si="19"/>
        <v/>
      </c>
      <c r="Z266" s="79"/>
    </row>
    <row r="267" spans="1:26" customFormat="1" ht="14.5">
      <c r="A267" s="232"/>
      <c r="B267" s="295">
        <v>229</v>
      </c>
      <c r="C267" s="265"/>
      <c r="D267" s="266"/>
      <c r="E267" s="256"/>
      <c r="F267" s="239"/>
      <c r="G267" s="246"/>
      <c r="H267" s="405">
        <v>253</v>
      </c>
      <c r="I267" s="424"/>
      <c r="J267" s="424"/>
      <c r="K267" s="436"/>
      <c r="L267" s="436"/>
      <c r="M267" s="436"/>
      <c r="N267" s="437"/>
      <c r="P267" s="455" t="str" cm="1">
        <f t="array" aca="1" ref="P267" ca="1">IF(AND($Q$12,B291&lt;=$C$17,C291&lt;&gt;""),TRANSPOSE(INDEX(GetCDS(C291,$C$6,$C$29,F291,D291,$C$13,$C$14,$C$15,$C$8,,,TRUE,TRUE,FALSE,$C$29:$C$31,$C$33),{1;2;3;4;5})),"")</f>
        <v/>
      </c>
      <c r="Q267" s="456"/>
      <c r="R267" s="456"/>
      <c r="S267" s="457"/>
      <c r="T267" s="458"/>
      <c r="U267" s="459" t="str">
        <f t="shared" ca="1" si="15"/>
        <v/>
      </c>
      <c r="V267" s="460" t="str">
        <f t="shared" ca="1" si="16"/>
        <v/>
      </c>
      <c r="W267" s="459" t="str">
        <f t="shared" ca="1" si="17"/>
        <v/>
      </c>
      <c r="X267" s="461" t="str">
        <f t="shared" ca="1" si="18"/>
        <v/>
      </c>
      <c r="Y267" s="460" t="str">
        <f t="shared" ca="1" si="19"/>
        <v/>
      </c>
      <c r="Z267" s="79"/>
    </row>
    <row r="268" spans="1:26" customFormat="1" ht="14.5">
      <c r="A268" s="232"/>
      <c r="B268" s="295">
        <v>230</v>
      </c>
      <c r="C268" s="265"/>
      <c r="D268" s="266"/>
      <c r="E268" s="256"/>
      <c r="F268" s="239"/>
      <c r="G268" s="246"/>
      <c r="H268" s="405">
        <v>254</v>
      </c>
      <c r="I268" s="424"/>
      <c r="J268" s="424"/>
      <c r="K268" s="436"/>
      <c r="L268" s="436"/>
      <c r="M268" s="436"/>
      <c r="N268" s="437"/>
      <c r="P268" s="455" t="str" cm="1">
        <f t="array" aca="1" ref="P268" ca="1">IF(AND($Q$12,B292&lt;=$C$17,C292&lt;&gt;""),TRANSPOSE(INDEX(GetCDS(C292,$C$6,$C$29,F292,D292,$C$13,$C$14,$C$15,$C$8,,,TRUE,TRUE,FALSE,$C$29:$C$31,$C$33),{1;2;3;4;5})),"")</f>
        <v/>
      </c>
      <c r="Q268" s="456"/>
      <c r="R268" s="456"/>
      <c r="S268" s="457"/>
      <c r="T268" s="458"/>
      <c r="U268" s="459" t="str">
        <f t="shared" ca="1" si="15"/>
        <v/>
      </c>
      <c r="V268" s="460" t="str">
        <f t="shared" ca="1" si="16"/>
        <v/>
      </c>
      <c r="W268" s="459" t="str">
        <f t="shared" ca="1" si="17"/>
        <v/>
      </c>
      <c r="X268" s="461" t="str">
        <f t="shared" ca="1" si="18"/>
        <v/>
      </c>
      <c r="Y268" s="460" t="str">
        <f t="shared" ca="1" si="19"/>
        <v/>
      </c>
      <c r="Z268" s="79"/>
    </row>
    <row r="269" spans="1:26" customFormat="1" ht="14.5">
      <c r="A269" s="232"/>
      <c r="B269" s="295">
        <v>231</v>
      </c>
      <c r="C269" s="265"/>
      <c r="D269" s="266"/>
      <c r="E269" s="256"/>
      <c r="F269" s="239"/>
      <c r="G269" s="246"/>
      <c r="H269" s="405">
        <v>255</v>
      </c>
      <c r="I269" s="424"/>
      <c r="J269" s="424"/>
      <c r="K269" s="436"/>
      <c r="L269" s="436"/>
      <c r="M269" s="436"/>
      <c r="N269" s="437"/>
      <c r="P269" s="455" t="str" cm="1">
        <f t="array" aca="1" ref="P269" ca="1">IF(AND($Q$12,B293&lt;=$C$17,C293&lt;&gt;""),TRANSPOSE(INDEX(GetCDS(C293,$C$6,$C$29,F293,D293,$C$13,$C$14,$C$15,$C$8,,,TRUE,TRUE,FALSE,$C$29:$C$31,$C$33),{1;2;3;4;5})),"")</f>
        <v/>
      </c>
      <c r="Q269" s="456"/>
      <c r="R269" s="456"/>
      <c r="S269" s="457"/>
      <c r="T269" s="458"/>
      <c r="U269" s="459" t="str">
        <f t="shared" ca="1" si="15"/>
        <v/>
      </c>
      <c r="V269" s="460" t="str">
        <f t="shared" ca="1" si="16"/>
        <v/>
      </c>
      <c r="W269" s="459" t="str">
        <f t="shared" ca="1" si="17"/>
        <v/>
      </c>
      <c r="X269" s="461" t="str">
        <f t="shared" ca="1" si="18"/>
        <v/>
      </c>
      <c r="Y269" s="460" t="str">
        <f t="shared" ca="1" si="19"/>
        <v/>
      </c>
      <c r="Z269" s="79"/>
    </row>
    <row r="270" spans="1:26" customFormat="1" ht="14.5">
      <c r="A270" s="232"/>
      <c r="B270" s="295">
        <v>232</v>
      </c>
      <c r="C270" s="265"/>
      <c r="D270" s="266"/>
      <c r="E270" s="256"/>
      <c r="F270" s="239"/>
      <c r="G270" s="246"/>
      <c r="H270" s="405">
        <v>256</v>
      </c>
      <c r="I270" s="424"/>
      <c r="J270" s="424"/>
      <c r="K270" s="436"/>
      <c r="L270" s="436"/>
      <c r="M270" s="436"/>
      <c r="N270" s="437"/>
      <c r="P270" s="455" t="str" cm="1">
        <f t="array" aca="1" ref="P270" ca="1">IF(AND($Q$12,B294&lt;=$C$17,C294&lt;&gt;""),TRANSPOSE(INDEX(GetCDS(C294,$C$6,$C$29,F294,D294,$C$13,$C$14,$C$15,$C$8,,,TRUE,TRUE,FALSE,$C$29:$C$31,$C$33),{1;2;3;4;5})),"")</f>
        <v/>
      </c>
      <c r="Q270" s="456"/>
      <c r="R270" s="456"/>
      <c r="S270" s="457"/>
      <c r="T270" s="458"/>
      <c r="U270" s="459" t="str">
        <f t="shared" ca="1" si="15"/>
        <v/>
      </c>
      <c r="V270" s="460" t="str">
        <f t="shared" ca="1" si="16"/>
        <v/>
      </c>
      <c r="W270" s="459" t="str">
        <f t="shared" ca="1" si="17"/>
        <v/>
      </c>
      <c r="X270" s="461" t="str">
        <f t="shared" ca="1" si="18"/>
        <v/>
      </c>
      <c r="Y270" s="460" t="str">
        <f t="shared" ca="1" si="19"/>
        <v/>
      </c>
      <c r="Z270" s="79"/>
    </row>
    <row r="271" spans="1:26" customFormat="1" ht="14.5">
      <c r="A271" s="232"/>
      <c r="B271" s="295">
        <v>233</v>
      </c>
      <c r="C271" s="265"/>
      <c r="D271" s="266"/>
      <c r="E271" s="256"/>
      <c r="F271" s="239"/>
      <c r="G271" s="246"/>
      <c r="H271" s="405">
        <v>257</v>
      </c>
      <c r="I271" s="424"/>
      <c r="J271" s="424"/>
      <c r="K271" s="436"/>
      <c r="L271" s="436"/>
      <c r="M271" s="436"/>
      <c r="N271" s="437"/>
      <c r="P271" s="455" t="str" cm="1">
        <f t="array" aca="1" ref="P271" ca="1">IF(AND($Q$12,B295&lt;=$C$17,C295&lt;&gt;""),TRANSPOSE(INDEX(GetCDS(C295,$C$6,$C$29,F295,D295,$C$13,$C$14,$C$15,$C$8,,,TRUE,TRUE,FALSE,$C$29:$C$31,$C$33),{1;2;3;4;5})),"")</f>
        <v/>
      </c>
      <c r="Q271" s="456"/>
      <c r="R271" s="456"/>
      <c r="S271" s="457"/>
      <c r="T271" s="458"/>
      <c r="U271" s="459" t="str">
        <f t="shared" ca="1" si="15"/>
        <v/>
      </c>
      <c r="V271" s="460" t="str">
        <f t="shared" ca="1" si="16"/>
        <v/>
      </c>
      <c r="W271" s="459" t="str">
        <f t="shared" ca="1" si="17"/>
        <v/>
      </c>
      <c r="X271" s="461" t="str">
        <f t="shared" ca="1" si="18"/>
        <v/>
      </c>
      <c r="Y271" s="460" t="str">
        <f t="shared" ca="1" si="19"/>
        <v/>
      </c>
      <c r="Z271" s="79"/>
    </row>
    <row r="272" spans="1:26" customFormat="1" ht="14.5">
      <c r="A272" s="232"/>
      <c r="B272" s="295">
        <v>234</v>
      </c>
      <c r="C272" s="265"/>
      <c r="D272" s="266"/>
      <c r="E272" s="256"/>
      <c r="F272" s="239"/>
      <c r="G272" s="246"/>
      <c r="H272" s="405">
        <v>258</v>
      </c>
      <c r="I272" s="424"/>
      <c r="J272" s="424"/>
      <c r="K272" s="436"/>
      <c r="L272" s="436"/>
      <c r="M272" s="436"/>
      <c r="N272" s="437"/>
      <c r="P272" s="455" t="str" cm="1">
        <f t="array" aca="1" ref="P272" ca="1">IF(AND($Q$12,B296&lt;=$C$17,C296&lt;&gt;""),TRANSPOSE(INDEX(GetCDS(C296,$C$6,$C$29,F296,D296,$C$13,$C$14,$C$15,$C$8,,,TRUE,TRUE,FALSE,$C$29:$C$31,$C$33),{1;2;3;4;5})),"")</f>
        <v/>
      </c>
      <c r="Q272" s="456"/>
      <c r="R272" s="456"/>
      <c r="S272" s="457"/>
      <c r="T272" s="458"/>
      <c r="U272" s="459" t="str">
        <f t="shared" ref="U272:U314" ca="1" si="20">IF($Q$12,IF(P272="","",$Q$13*D296/$C$18),"")</f>
        <v/>
      </c>
      <c r="V272" s="460" t="str">
        <f t="shared" ref="V272:V314" ca="1" si="21">IF($Q$12,IF(U272="","",U272*($V$10-S272)*T272),"")</f>
        <v/>
      </c>
      <c r="W272" s="459" t="str">
        <f t="shared" ref="W272:W313" ca="1" si="22">IF($Q$12,IF(OR(P272="",L272=""),"",L272/($C$20-$C$19)),"")</f>
        <v/>
      </c>
      <c r="X272" s="461" t="str">
        <f t="shared" ref="X272:X313" ca="1" si="23">IF($Q$12,IF(S272="","",S272*$Y$10),"")</f>
        <v/>
      </c>
      <c r="Y272" s="460" t="str">
        <f t="shared" ref="Y272:Y313" ca="1" si="24">IF($Q$12,IF(W272="","",W272*(X272-S272)*T272),"")</f>
        <v/>
      </c>
      <c r="Z272" s="79"/>
    </row>
    <row r="273" spans="1:26" customFormat="1" ht="14.5">
      <c r="A273" s="232"/>
      <c r="B273" s="295">
        <v>235</v>
      </c>
      <c r="C273" s="265"/>
      <c r="D273" s="266"/>
      <c r="E273" s="256"/>
      <c r="F273" s="239"/>
      <c r="G273" s="246"/>
      <c r="H273" s="405">
        <v>259</v>
      </c>
      <c r="I273" s="424"/>
      <c r="J273" s="424"/>
      <c r="K273" s="436"/>
      <c r="L273" s="436"/>
      <c r="M273" s="436"/>
      <c r="N273" s="437"/>
      <c r="P273" s="455" t="str" cm="1">
        <f t="array" aca="1" ref="P273" ca="1">IF(AND($Q$12,B297&lt;=$C$17,C297&lt;&gt;""),TRANSPOSE(INDEX(GetCDS(C297,$C$6,$C$29,F297,D297,$C$13,$C$14,$C$15,$C$8,,,TRUE,TRUE,FALSE,$C$29:$C$31,$C$33),{1;2;3;4;5})),"")</f>
        <v/>
      </c>
      <c r="Q273" s="456"/>
      <c r="R273" s="456"/>
      <c r="S273" s="457"/>
      <c r="T273" s="458"/>
      <c r="U273" s="459" t="str">
        <f t="shared" ca="1" si="20"/>
        <v/>
      </c>
      <c r="V273" s="460" t="str">
        <f t="shared" ca="1" si="21"/>
        <v/>
      </c>
      <c r="W273" s="459" t="str">
        <f t="shared" ca="1" si="22"/>
        <v/>
      </c>
      <c r="X273" s="461" t="str">
        <f t="shared" ca="1" si="23"/>
        <v/>
      </c>
      <c r="Y273" s="460" t="str">
        <f t="shared" ca="1" si="24"/>
        <v/>
      </c>
      <c r="Z273" s="79"/>
    </row>
    <row r="274" spans="1:26" customFormat="1" ht="14.5">
      <c r="A274" s="232"/>
      <c r="B274" s="295">
        <v>236</v>
      </c>
      <c r="C274" s="265"/>
      <c r="D274" s="266"/>
      <c r="E274" s="256"/>
      <c r="F274" s="239"/>
      <c r="G274" s="246"/>
      <c r="H274" s="405">
        <v>260</v>
      </c>
      <c r="I274" s="424"/>
      <c r="J274" s="424"/>
      <c r="K274" s="436"/>
      <c r="L274" s="436"/>
      <c r="M274" s="436"/>
      <c r="N274" s="437"/>
      <c r="P274" s="455" t="str" cm="1">
        <f t="array" aca="1" ref="P274" ca="1">IF(AND($Q$12,B298&lt;=$C$17,C298&lt;&gt;""),TRANSPOSE(INDEX(GetCDS(C298,$C$6,$C$29,F298,D298,$C$13,$C$14,$C$15,$C$8,,,TRUE,TRUE,FALSE,$C$29:$C$31,$C$33),{1;2;3;4;5})),"")</f>
        <v/>
      </c>
      <c r="Q274" s="456"/>
      <c r="R274" s="456"/>
      <c r="S274" s="457"/>
      <c r="T274" s="458"/>
      <c r="U274" s="459" t="str">
        <f t="shared" ca="1" si="20"/>
        <v/>
      </c>
      <c r="V274" s="460" t="str">
        <f t="shared" ca="1" si="21"/>
        <v/>
      </c>
      <c r="W274" s="459" t="str">
        <f t="shared" ca="1" si="22"/>
        <v/>
      </c>
      <c r="X274" s="461" t="str">
        <f t="shared" ca="1" si="23"/>
        <v/>
      </c>
      <c r="Y274" s="460" t="str">
        <f t="shared" ca="1" si="24"/>
        <v/>
      </c>
      <c r="Z274" s="79"/>
    </row>
    <row r="275" spans="1:26" customFormat="1" ht="14.5">
      <c r="A275" s="232"/>
      <c r="B275" s="295">
        <v>237</v>
      </c>
      <c r="C275" s="265"/>
      <c r="D275" s="266"/>
      <c r="E275" s="256"/>
      <c r="F275" s="239"/>
      <c r="G275" s="246"/>
      <c r="H275" s="405">
        <v>261</v>
      </c>
      <c r="I275" s="424"/>
      <c r="J275" s="424"/>
      <c r="K275" s="436"/>
      <c r="L275" s="436"/>
      <c r="M275" s="436"/>
      <c r="N275" s="437"/>
      <c r="P275" s="455" t="str" cm="1">
        <f t="array" aca="1" ref="P275" ca="1">IF(AND($Q$12,B299&lt;=$C$17,C299&lt;&gt;""),TRANSPOSE(INDEX(GetCDS(C299,$C$6,$C$29,F299,D299,$C$13,$C$14,$C$15,$C$8,,,TRUE,TRUE,FALSE,$C$29:$C$31,$C$33),{1;2;3;4;5})),"")</f>
        <v/>
      </c>
      <c r="Q275" s="456"/>
      <c r="R275" s="456"/>
      <c r="S275" s="457"/>
      <c r="T275" s="458"/>
      <c r="U275" s="459" t="str">
        <f t="shared" ca="1" si="20"/>
        <v/>
      </c>
      <c r="V275" s="460" t="str">
        <f t="shared" ca="1" si="21"/>
        <v/>
      </c>
      <c r="W275" s="459" t="str">
        <f t="shared" ca="1" si="22"/>
        <v/>
      </c>
      <c r="X275" s="461" t="str">
        <f t="shared" ca="1" si="23"/>
        <v/>
      </c>
      <c r="Y275" s="460" t="str">
        <f t="shared" ca="1" si="24"/>
        <v/>
      </c>
      <c r="Z275" s="79"/>
    </row>
    <row r="276" spans="1:26" customFormat="1" ht="14.5">
      <c r="A276" s="232"/>
      <c r="B276" s="295">
        <v>238</v>
      </c>
      <c r="C276" s="265"/>
      <c r="D276" s="266"/>
      <c r="E276" s="256"/>
      <c r="F276" s="239"/>
      <c r="G276" s="246"/>
      <c r="H276" s="405">
        <v>262</v>
      </c>
      <c r="I276" s="424"/>
      <c r="J276" s="424"/>
      <c r="K276" s="436"/>
      <c r="L276" s="436"/>
      <c r="M276" s="436"/>
      <c r="N276" s="437"/>
      <c r="P276" s="455" t="str" cm="1">
        <f t="array" aca="1" ref="P276" ca="1">IF(AND($Q$12,B300&lt;=$C$17,C300&lt;&gt;""),TRANSPOSE(INDEX(GetCDS(C300,$C$6,$C$29,F300,D300,$C$13,$C$14,$C$15,$C$8,,,TRUE,TRUE,FALSE,$C$29:$C$31,$C$33),{1;2;3;4;5})),"")</f>
        <v/>
      </c>
      <c r="Q276" s="456"/>
      <c r="R276" s="456"/>
      <c r="S276" s="457"/>
      <c r="T276" s="458"/>
      <c r="U276" s="459" t="str">
        <f t="shared" ca="1" si="20"/>
        <v/>
      </c>
      <c r="V276" s="460" t="str">
        <f t="shared" ca="1" si="21"/>
        <v/>
      </c>
      <c r="W276" s="459" t="str">
        <f t="shared" ca="1" si="22"/>
        <v/>
      </c>
      <c r="X276" s="461" t="str">
        <f t="shared" ca="1" si="23"/>
        <v/>
      </c>
      <c r="Y276" s="460" t="str">
        <f t="shared" ca="1" si="24"/>
        <v/>
      </c>
      <c r="Z276" s="79"/>
    </row>
    <row r="277" spans="1:26" customFormat="1" ht="14.5">
      <c r="A277" s="232"/>
      <c r="B277" s="295">
        <v>239</v>
      </c>
      <c r="C277" s="265"/>
      <c r="D277" s="266"/>
      <c r="E277" s="256"/>
      <c r="F277" s="239"/>
      <c r="G277" s="246"/>
      <c r="H277" s="405">
        <v>263</v>
      </c>
      <c r="I277" s="424"/>
      <c r="J277" s="424"/>
      <c r="K277" s="436"/>
      <c r="L277" s="436"/>
      <c r="M277" s="436"/>
      <c r="N277" s="437"/>
      <c r="P277" s="455" t="str" cm="1">
        <f t="array" aca="1" ref="P277" ca="1">IF(AND($Q$12,B301&lt;=$C$17,C301&lt;&gt;""),TRANSPOSE(INDEX(GetCDS(C301,$C$6,$C$29,F301,D301,$C$13,$C$14,$C$15,$C$8,,,TRUE,TRUE,FALSE,$C$29:$C$31,$C$33),{1;2;3;4;5})),"")</f>
        <v/>
      </c>
      <c r="Q277" s="456"/>
      <c r="R277" s="456"/>
      <c r="S277" s="457"/>
      <c r="T277" s="458"/>
      <c r="U277" s="459" t="str">
        <f t="shared" ca="1" si="20"/>
        <v/>
      </c>
      <c r="V277" s="460" t="str">
        <f t="shared" ca="1" si="21"/>
        <v/>
      </c>
      <c r="W277" s="459" t="str">
        <f t="shared" ca="1" si="22"/>
        <v/>
      </c>
      <c r="X277" s="461" t="str">
        <f t="shared" ca="1" si="23"/>
        <v/>
      </c>
      <c r="Y277" s="460" t="str">
        <f t="shared" ca="1" si="24"/>
        <v/>
      </c>
      <c r="Z277" s="79"/>
    </row>
    <row r="278" spans="1:26" customFormat="1" ht="14.5">
      <c r="A278" s="232"/>
      <c r="B278" s="295">
        <v>240</v>
      </c>
      <c r="C278" s="265"/>
      <c r="D278" s="266"/>
      <c r="E278" s="256"/>
      <c r="F278" s="239"/>
      <c r="G278" s="246"/>
      <c r="H278" s="405">
        <v>264</v>
      </c>
      <c r="I278" s="424"/>
      <c r="J278" s="424"/>
      <c r="K278" s="436"/>
      <c r="L278" s="436"/>
      <c r="M278" s="436"/>
      <c r="N278" s="437"/>
      <c r="P278" s="455" t="str" cm="1">
        <f t="array" aca="1" ref="P278" ca="1">IF(AND($Q$12,B302&lt;=$C$17,C302&lt;&gt;""),TRANSPOSE(INDEX(GetCDS(C302,$C$6,$C$29,F302,D302,$C$13,$C$14,$C$15,$C$8,,,TRUE,TRUE,FALSE,$C$29:$C$31,$C$33),{1;2;3;4;5})),"")</f>
        <v/>
      </c>
      <c r="Q278" s="456"/>
      <c r="R278" s="456"/>
      <c r="S278" s="457"/>
      <c r="T278" s="458"/>
      <c r="U278" s="459" t="str">
        <f t="shared" ca="1" si="20"/>
        <v/>
      </c>
      <c r="V278" s="460" t="str">
        <f t="shared" ca="1" si="21"/>
        <v/>
      </c>
      <c r="W278" s="459" t="str">
        <f t="shared" ca="1" si="22"/>
        <v/>
      </c>
      <c r="X278" s="461" t="str">
        <f t="shared" ca="1" si="23"/>
        <v/>
      </c>
      <c r="Y278" s="460" t="str">
        <f t="shared" ca="1" si="24"/>
        <v/>
      </c>
      <c r="Z278" s="79"/>
    </row>
    <row r="279" spans="1:26" customFormat="1" ht="14.5">
      <c r="A279" s="232"/>
      <c r="B279" s="295">
        <v>241</v>
      </c>
      <c r="C279" s="265"/>
      <c r="D279" s="266"/>
      <c r="E279" s="256"/>
      <c r="F279" s="239"/>
      <c r="G279" s="246"/>
      <c r="H279" s="405">
        <v>265</v>
      </c>
      <c r="I279" s="424"/>
      <c r="J279" s="424"/>
      <c r="K279" s="436"/>
      <c r="L279" s="436"/>
      <c r="M279" s="436"/>
      <c r="N279" s="437"/>
      <c r="P279" s="455" t="str" cm="1">
        <f t="array" aca="1" ref="P279" ca="1">IF(AND($Q$12,B303&lt;=$C$17,C303&lt;&gt;""),TRANSPOSE(INDEX(GetCDS(C303,$C$6,$C$29,F303,D303,$C$13,$C$14,$C$15,$C$8,,,TRUE,TRUE,FALSE,$C$29:$C$31,$C$33),{1;2;3;4;5})),"")</f>
        <v/>
      </c>
      <c r="Q279" s="456"/>
      <c r="R279" s="456"/>
      <c r="S279" s="457"/>
      <c r="T279" s="458"/>
      <c r="U279" s="459" t="str">
        <f t="shared" ca="1" si="20"/>
        <v/>
      </c>
      <c r="V279" s="460" t="str">
        <f t="shared" ca="1" si="21"/>
        <v/>
      </c>
      <c r="W279" s="459" t="str">
        <f t="shared" ca="1" si="22"/>
        <v/>
      </c>
      <c r="X279" s="461" t="str">
        <f t="shared" ca="1" si="23"/>
        <v/>
      </c>
      <c r="Y279" s="460" t="str">
        <f t="shared" ca="1" si="24"/>
        <v/>
      </c>
      <c r="Z279" s="79"/>
    </row>
    <row r="280" spans="1:26" customFormat="1" ht="14.5">
      <c r="A280" s="232"/>
      <c r="B280" s="295">
        <v>242</v>
      </c>
      <c r="C280" s="265"/>
      <c r="D280" s="266"/>
      <c r="E280" s="256"/>
      <c r="F280" s="239"/>
      <c r="G280" s="246"/>
      <c r="H280" s="405">
        <v>266</v>
      </c>
      <c r="I280" s="424"/>
      <c r="J280" s="424"/>
      <c r="K280" s="436"/>
      <c r="L280" s="436"/>
      <c r="M280" s="436"/>
      <c r="N280" s="437"/>
      <c r="P280" s="455" t="str" cm="1">
        <f t="array" aca="1" ref="P280" ca="1">IF(AND($Q$12,B304&lt;=$C$17,C304&lt;&gt;""),TRANSPOSE(INDEX(GetCDS(C304,$C$6,$C$29,F304,D304,$C$13,$C$14,$C$15,$C$8,,,TRUE,TRUE,FALSE,$C$29:$C$31,$C$33),{1;2;3;4;5})),"")</f>
        <v/>
      </c>
      <c r="Q280" s="456"/>
      <c r="R280" s="456"/>
      <c r="S280" s="457"/>
      <c r="T280" s="458"/>
      <c r="U280" s="459" t="str">
        <f t="shared" ca="1" si="20"/>
        <v/>
      </c>
      <c r="V280" s="460" t="str">
        <f t="shared" ca="1" si="21"/>
        <v/>
      </c>
      <c r="W280" s="459" t="str">
        <f t="shared" ca="1" si="22"/>
        <v/>
      </c>
      <c r="X280" s="461" t="str">
        <f t="shared" ca="1" si="23"/>
        <v/>
      </c>
      <c r="Y280" s="460" t="str">
        <f t="shared" ca="1" si="24"/>
        <v/>
      </c>
      <c r="Z280" s="79"/>
    </row>
    <row r="281" spans="1:26" customFormat="1" ht="14.5">
      <c r="A281" s="232"/>
      <c r="B281" s="295">
        <v>243</v>
      </c>
      <c r="C281" s="265"/>
      <c r="D281" s="266"/>
      <c r="E281" s="256"/>
      <c r="F281" s="239"/>
      <c r="G281" s="246"/>
      <c r="H281" s="405">
        <v>267</v>
      </c>
      <c r="I281" s="424"/>
      <c r="J281" s="424"/>
      <c r="K281" s="436"/>
      <c r="L281" s="436"/>
      <c r="M281" s="436"/>
      <c r="N281" s="437"/>
      <c r="P281" s="455" t="str" cm="1">
        <f t="array" aca="1" ref="P281" ca="1">IF(AND($Q$12,B305&lt;=$C$17,C305&lt;&gt;""),TRANSPOSE(INDEX(GetCDS(C305,$C$6,$C$29,F305,D305,$C$13,$C$14,$C$15,$C$8,,,TRUE,TRUE,FALSE,$C$29:$C$31,$C$33),{1;2;3;4;5})),"")</f>
        <v/>
      </c>
      <c r="Q281" s="456"/>
      <c r="R281" s="456"/>
      <c r="S281" s="457"/>
      <c r="T281" s="458"/>
      <c r="U281" s="459" t="str">
        <f t="shared" ca="1" si="20"/>
        <v/>
      </c>
      <c r="V281" s="460" t="str">
        <f t="shared" ca="1" si="21"/>
        <v/>
      </c>
      <c r="W281" s="459" t="str">
        <f t="shared" ca="1" si="22"/>
        <v/>
      </c>
      <c r="X281" s="461" t="str">
        <f t="shared" ca="1" si="23"/>
        <v/>
      </c>
      <c r="Y281" s="460" t="str">
        <f t="shared" ca="1" si="24"/>
        <v/>
      </c>
      <c r="Z281" s="79"/>
    </row>
    <row r="282" spans="1:26" customFormat="1" ht="14.5">
      <c r="A282" s="232"/>
      <c r="B282" s="295">
        <v>244</v>
      </c>
      <c r="C282" s="265"/>
      <c r="D282" s="266"/>
      <c r="E282" s="256"/>
      <c r="F282" s="239"/>
      <c r="G282" s="246"/>
      <c r="H282" s="405">
        <v>268</v>
      </c>
      <c r="I282" s="424"/>
      <c r="J282" s="424"/>
      <c r="K282" s="436"/>
      <c r="L282" s="436"/>
      <c r="M282" s="436"/>
      <c r="N282" s="437"/>
      <c r="P282" s="455" t="str" cm="1">
        <f t="array" aca="1" ref="P282" ca="1">IF(AND($Q$12,B306&lt;=$C$17,C306&lt;&gt;""),TRANSPOSE(INDEX(GetCDS(C306,$C$6,$C$29,F306,D306,$C$13,$C$14,$C$15,$C$8,,,TRUE,TRUE,FALSE,$C$29:$C$31,$C$33),{1;2;3;4;5})),"")</f>
        <v/>
      </c>
      <c r="Q282" s="456"/>
      <c r="R282" s="456"/>
      <c r="S282" s="457"/>
      <c r="T282" s="458"/>
      <c r="U282" s="459" t="str">
        <f t="shared" ca="1" si="20"/>
        <v/>
      </c>
      <c r="V282" s="460" t="str">
        <f t="shared" ca="1" si="21"/>
        <v/>
      </c>
      <c r="W282" s="459" t="str">
        <f t="shared" ca="1" si="22"/>
        <v/>
      </c>
      <c r="X282" s="461" t="str">
        <f t="shared" ca="1" si="23"/>
        <v/>
      </c>
      <c r="Y282" s="460" t="str">
        <f t="shared" ca="1" si="24"/>
        <v/>
      </c>
      <c r="Z282" s="79"/>
    </row>
    <row r="283" spans="1:26" customFormat="1" ht="14.5">
      <c r="A283" s="232"/>
      <c r="B283" s="295">
        <v>245</v>
      </c>
      <c r="C283" s="265"/>
      <c r="D283" s="266"/>
      <c r="E283" s="256"/>
      <c r="F283" s="239"/>
      <c r="G283" s="246"/>
      <c r="H283" s="405">
        <v>269</v>
      </c>
      <c r="I283" s="424"/>
      <c r="J283" s="424"/>
      <c r="K283" s="436"/>
      <c r="L283" s="436"/>
      <c r="M283" s="436"/>
      <c r="N283" s="437"/>
      <c r="P283" s="455" t="str" cm="1">
        <f t="array" aca="1" ref="P283" ca="1">IF(AND($Q$12,B307&lt;=$C$17,C307&lt;&gt;""),TRANSPOSE(INDEX(GetCDS(C307,$C$6,$C$29,F307,D307,$C$13,$C$14,$C$15,$C$8,,,TRUE,TRUE,FALSE,$C$29:$C$31,$C$33),{1;2;3;4;5})),"")</f>
        <v/>
      </c>
      <c r="Q283" s="456"/>
      <c r="R283" s="456"/>
      <c r="S283" s="457"/>
      <c r="T283" s="458"/>
      <c r="U283" s="459" t="str">
        <f t="shared" ca="1" si="20"/>
        <v/>
      </c>
      <c r="V283" s="460" t="str">
        <f t="shared" ca="1" si="21"/>
        <v/>
      </c>
      <c r="W283" s="459" t="str">
        <f t="shared" ca="1" si="22"/>
        <v/>
      </c>
      <c r="X283" s="461" t="str">
        <f t="shared" ca="1" si="23"/>
        <v/>
      </c>
      <c r="Y283" s="460" t="str">
        <f t="shared" ca="1" si="24"/>
        <v/>
      </c>
      <c r="Z283" s="79"/>
    </row>
    <row r="284" spans="1:26" customFormat="1" ht="14.5">
      <c r="A284" s="232"/>
      <c r="B284" s="295">
        <v>246</v>
      </c>
      <c r="C284" s="265"/>
      <c r="D284" s="266"/>
      <c r="E284" s="256"/>
      <c r="F284" s="239"/>
      <c r="G284" s="246"/>
      <c r="H284" s="405">
        <v>270</v>
      </c>
      <c r="I284" s="424"/>
      <c r="J284" s="424"/>
      <c r="K284" s="436"/>
      <c r="L284" s="436"/>
      <c r="M284" s="436"/>
      <c r="N284" s="437"/>
      <c r="P284" s="455" t="str" cm="1">
        <f t="array" aca="1" ref="P284" ca="1">IF(AND($Q$12,B308&lt;=$C$17,C308&lt;&gt;""),TRANSPOSE(INDEX(GetCDS(C308,$C$6,$C$29,F308,D308,$C$13,$C$14,$C$15,$C$8,,,TRUE,TRUE,FALSE,$C$29:$C$31,$C$33),{1;2;3;4;5})),"")</f>
        <v/>
      </c>
      <c r="Q284" s="456"/>
      <c r="R284" s="456"/>
      <c r="S284" s="457"/>
      <c r="T284" s="458"/>
      <c r="U284" s="459" t="str">
        <f t="shared" ca="1" si="20"/>
        <v/>
      </c>
      <c r="V284" s="460" t="str">
        <f t="shared" ca="1" si="21"/>
        <v/>
      </c>
      <c r="W284" s="459" t="str">
        <f t="shared" ca="1" si="22"/>
        <v/>
      </c>
      <c r="X284" s="461" t="str">
        <f t="shared" ca="1" si="23"/>
        <v/>
      </c>
      <c r="Y284" s="460" t="str">
        <f t="shared" ca="1" si="24"/>
        <v/>
      </c>
      <c r="Z284" s="79"/>
    </row>
    <row r="285" spans="1:26" customFormat="1" ht="14.5">
      <c r="A285" s="232"/>
      <c r="B285" s="295">
        <v>247</v>
      </c>
      <c r="C285" s="265"/>
      <c r="D285" s="266"/>
      <c r="E285" s="256"/>
      <c r="F285" s="239"/>
      <c r="G285" s="246"/>
      <c r="H285" s="405">
        <v>271</v>
      </c>
      <c r="I285" s="424"/>
      <c r="J285" s="424"/>
      <c r="K285" s="436"/>
      <c r="L285" s="436"/>
      <c r="M285" s="436"/>
      <c r="N285" s="437"/>
      <c r="P285" s="455" t="str" cm="1">
        <f t="array" aca="1" ref="P285" ca="1">IF(AND($Q$12,B309&lt;=$C$17,C309&lt;&gt;""),TRANSPOSE(INDEX(GetCDS(C309,$C$6,$C$29,F309,D309,$C$13,$C$14,$C$15,$C$8,,,TRUE,TRUE,FALSE,$C$29:$C$31,$C$33),{1;2;3;4;5})),"")</f>
        <v/>
      </c>
      <c r="Q285" s="456"/>
      <c r="R285" s="456"/>
      <c r="S285" s="457"/>
      <c r="T285" s="458"/>
      <c r="U285" s="459" t="str">
        <f t="shared" ca="1" si="20"/>
        <v/>
      </c>
      <c r="V285" s="460" t="str">
        <f t="shared" ca="1" si="21"/>
        <v/>
      </c>
      <c r="W285" s="459" t="str">
        <f t="shared" ca="1" si="22"/>
        <v/>
      </c>
      <c r="X285" s="461" t="str">
        <f t="shared" ca="1" si="23"/>
        <v/>
      </c>
      <c r="Y285" s="460" t="str">
        <f t="shared" ca="1" si="24"/>
        <v/>
      </c>
      <c r="Z285" s="79"/>
    </row>
    <row r="286" spans="1:26" customFormat="1" ht="14.5">
      <c r="A286" s="232"/>
      <c r="B286" s="295">
        <v>248</v>
      </c>
      <c r="C286" s="265"/>
      <c r="D286" s="266"/>
      <c r="E286" s="256"/>
      <c r="F286" s="239"/>
      <c r="G286" s="246"/>
      <c r="H286" s="405">
        <v>272</v>
      </c>
      <c r="I286" s="424"/>
      <c r="J286" s="424"/>
      <c r="K286" s="436"/>
      <c r="L286" s="436"/>
      <c r="M286" s="436"/>
      <c r="N286" s="437"/>
      <c r="P286" s="455" t="str" cm="1">
        <f t="array" aca="1" ref="P286" ca="1">IF(AND($Q$12,B310&lt;=$C$17,C310&lt;&gt;""),TRANSPOSE(INDEX(GetCDS(C310,$C$6,$C$29,F310,D310,$C$13,$C$14,$C$15,$C$8,,,TRUE,TRUE,FALSE,$C$29:$C$31,$C$33),{1;2;3;4;5})),"")</f>
        <v/>
      </c>
      <c r="Q286" s="456"/>
      <c r="R286" s="456"/>
      <c r="S286" s="457"/>
      <c r="T286" s="458"/>
      <c r="U286" s="459" t="str">
        <f t="shared" ca="1" si="20"/>
        <v/>
      </c>
      <c r="V286" s="460" t="str">
        <f t="shared" ca="1" si="21"/>
        <v/>
      </c>
      <c r="W286" s="459" t="str">
        <f t="shared" ca="1" si="22"/>
        <v/>
      </c>
      <c r="X286" s="461" t="str">
        <f t="shared" ca="1" si="23"/>
        <v/>
      </c>
      <c r="Y286" s="460" t="str">
        <f t="shared" ca="1" si="24"/>
        <v/>
      </c>
      <c r="Z286" s="79"/>
    </row>
    <row r="287" spans="1:26" customFormat="1" ht="14.5">
      <c r="A287" s="232"/>
      <c r="B287" s="295">
        <v>249</v>
      </c>
      <c r="C287" s="265"/>
      <c r="D287" s="266"/>
      <c r="E287" s="256"/>
      <c r="F287" s="239"/>
      <c r="G287" s="246"/>
      <c r="H287" s="405">
        <v>273</v>
      </c>
      <c r="I287" s="424"/>
      <c r="J287" s="424"/>
      <c r="K287" s="436"/>
      <c r="L287" s="436"/>
      <c r="M287" s="436"/>
      <c r="N287" s="437"/>
      <c r="P287" s="455" t="str" cm="1">
        <f t="array" aca="1" ref="P287" ca="1">IF(AND($Q$12,B311&lt;=$C$17,C311&lt;&gt;""),TRANSPOSE(INDEX(GetCDS(C311,$C$6,$C$29,F311,D311,$C$13,$C$14,$C$15,$C$8,,,TRUE,TRUE,FALSE,$C$29:$C$31,$C$33),{1;2;3;4;5})),"")</f>
        <v/>
      </c>
      <c r="Q287" s="456"/>
      <c r="R287" s="456"/>
      <c r="S287" s="457"/>
      <c r="T287" s="458"/>
      <c r="U287" s="459" t="str">
        <f t="shared" ca="1" si="20"/>
        <v/>
      </c>
      <c r="V287" s="460" t="str">
        <f t="shared" ca="1" si="21"/>
        <v/>
      </c>
      <c r="W287" s="459" t="str">
        <f t="shared" ca="1" si="22"/>
        <v/>
      </c>
      <c r="X287" s="461" t="str">
        <f t="shared" ca="1" si="23"/>
        <v/>
      </c>
      <c r="Y287" s="460" t="str">
        <f t="shared" ca="1" si="24"/>
        <v/>
      </c>
      <c r="Z287" s="79"/>
    </row>
    <row r="288" spans="1:26" customFormat="1" ht="14.5">
      <c r="A288" s="232"/>
      <c r="B288" s="295">
        <v>250</v>
      </c>
      <c r="C288" s="265"/>
      <c r="D288" s="266"/>
      <c r="E288" s="256"/>
      <c r="F288" s="239"/>
      <c r="G288" s="246"/>
      <c r="H288" s="405">
        <v>274</v>
      </c>
      <c r="I288" s="424"/>
      <c r="J288" s="424"/>
      <c r="K288" s="436"/>
      <c r="L288" s="436"/>
      <c r="M288" s="436"/>
      <c r="N288" s="437"/>
      <c r="P288" s="455" t="str" cm="1">
        <f t="array" aca="1" ref="P288" ca="1">IF(AND($Q$12,B312&lt;=$C$17,C312&lt;&gt;""),TRANSPOSE(INDEX(GetCDS(C312,$C$6,$C$29,F312,D312,$C$13,$C$14,$C$15,$C$8,,,TRUE,TRUE,FALSE,$C$29:$C$31,$C$33),{1;2;3;4;5})),"")</f>
        <v/>
      </c>
      <c r="Q288" s="456"/>
      <c r="R288" s="456"/>
      <c r="S288" s="457"/>
      <c r="T288" s="458"/>
      <c r="U288" s="459" t="str">
        <f t="shared" ca="1" si="20"/>
        <v/>
      </c>
      <c r="V288" s="460" t="str">
        <f t="shared" ca="1" si="21"/>
        <v/>
      </c>
      <c r="W288" s="459" t="str">
        <f t="shared" ca="1" si="22"/>
        <v/>
      </c>
      <c r="X288" s="461" t="str">
        <f t="shared" ca="1" si="23"/>
        <v/>
      </c>
      <c r="Y288" s="460" t="str">
        <f t="shared" ca="1" si="24"/>
        <v/>
      </c>
      <c r="Z288" s="79"/>
    </row>
    <row r="289" spans="1:26" customFormat="1" ht="14.5">
      <c r="A289" s="232"/>
      <c r="B289" s="295">
        <v>251</v>
      </c>
      <c r="C289" s="265"/>
      <c r="D289" s="266"/>
      <c r="E289" s="256"/>
      <c r="F289" s="239"/>
      <c r="G289" s="246"/>
      <c r="H289" s="405">
        <v>275</v>
      </c>
      <c r="I289" s="424"/>
      <c r="J289" s="424"/>
      <c r="K289" s="436"/>
      <c r="L289" s="436"/>
      <c r="M289" s="436"/>
      <c r="N289" s="437"/>
      <c r="P289" s="455" t="str" cm="1">
        <f t="array" aca="1" ref="P289" ca="1">IF(AND($Q$12,B313&lt;=$C$17,C313&lt;&gt;""),TRANSPOSE(INDEX(GetCDS(C313,$C$6,$C$29,F313,D313,$C$13,$C$14,$C$15,$C$8,,,TRUE,TRUE,FALSE,$C$29:$C$31,$C$33),{1;2;3;4;5})),"")</f>
        <v/>
      </c>
      <c r="Q289" s="456"/>
      <c r="R289" s="456"/>
      <c r="S289" s="457"/>
      <c r="T289" s="458"/>
      <c r="U289" s="459" t="str">
        <f t="shared" ca="1" si="20"/>
        <v/>
      </c>
      <c r="V289" s="460" t="str">
        <f t="shared" ca="1" si="21"/>
        <v/>
      </c>
      <c r="W289" s="459" t="str">
        <f t="shared" ca="1" si="22"/>
        <v/>
      </c>
      <c r="X289" s="461" t="str">
        <f t="shared" ca="1" si="23"/>
        <v/>
      </c>
      <c r="Y289" s="460" t="str">
        <f t="shared" ca="1" si="24"/>
        <v/>
      </c>
      <c r="Z289" s="79"/>
    </row>
    <row r="290" spans="1:26" customFormat="1" ht="14.5">
      <c r="A290" s="232"/>
      <c r="B290" s="295">
        <v>252</v>
      </c>
      <c r="C290" s="265"/>
      <c r="D290" s="266"/>
      <c r="E290" s="256"/>
      <c r="F290" s="239"/>
      <c r="G290" s="246"/>
      <c r="H290" s="405">
        <v>276</v>
      </c>
      <c r="I290" s="424"/>
      <c r="J290" s="424"/>
      <c r="K290" s="436"/>
      <c r="L290" s="436"/>
      <c r="M290" s="436"/>
      <c r="N290" s="437"/>
      <c r="P290" s="455" t="str" cm="1">
        <f t="array" aca="1" ref="P290" ca="1">IF(AND($Q$12,B314&lt;=$C$17,C314&lt;&gt;""),TRANSPOSE(INDEX(GetCDS(C314,$C$6,$C$29,F314,D314,$C$13,$C$14,$C$15,$C$8,,,TRUE,TRUE,FALSE,$C$29:$C$31,$C$33),{1;2;3;4;5})),"")</f>
        <v/>
      </c>
      <c r="Q290" s="456"/>
      <c r="R290" s="456"/>
      <c r="S290" s="457"/>
      <c r="T290" s="458"/>
      <c r="U290" s="459" t="str">
        <f t="shared" ca="1" si="20"/>
        <v/>
      </c>
      <c r="V290" s="460" t="str">
        <f t="shared" ca="1" si="21"/>
        <v/>
      </c>
      <c r="W290" s="459" t="str">
        <f t="shared" ca="1" si="22"/>
        <v/>
      </c>
      <c r="X290" s="461" t="str">
        <f t="shared" ca="1" si="23"/>
        <v/>
      </c>
      <c r="Y290" s="460" t="str">
        <f t="shared" ca="1" si="24"/>
        <v/>
      </c>
      <c r="Z290" s="79"/>
    </row>
    <row r="291" spans="1:26" customFormat="1" ht="14.5">
      <c r="A291" s="232"/>
      <c r="B291" s="295">
        <v>253</v>
      </c>
      <c r="C291" s="265"/>
      <c r="D291" s="266"/>
      <c r="E291" s="256"/>
      <c r="F291" s="239"/>
      <c r="G291" s="246"/>
      <c r="H291" s="405">
        <v>277</v>
      </c>
      <c r="I291" s="424"/>
      <c r="J291" s="424"/>
      <c r="K291" s="436"/>
      <c r="L291" s="436"/>
      <c r="M291" s="436"/>
      <c r="N291" s="437"/>
      <c r="P291" s="455" t="str" cm="1">
        <f t="array" aca="1" ref="P291" ca="1">IF(AND($Q$12,B315&lt;=$C$17,C315&lt;&gt;""),TRANSPOSE(INDEX(GetCDS(C315,$C$6,$C$29,F315,D315,$C$13,$C$14,$C$15,$C$8,,,TRUE,TRUE,FALSE,$C$29:$C$31,$C$33),{1;2;3;4;5})),"")</f>
        <v/>
      </c>
      <c r="Q291" s="456"/>
      <c r="R291" s="456"/>
      <c r="S291" s="457"/>
      <c r="T291" s="458"/>
      <c r="U291" s="459" t="str">
        <f t="shared" ca="1" si="20"/>
        <v/>
      </c>
      <c r="V291" s="460" t="str">
        <f t="shared" ca="1" si="21"/>
        <v/>
      </c>
      <c r="W291" s="459" t="str">
        <f t="shared" ca="1" si="22"/>
        <v/>
      </c>
      <c r="X291" s="461" t="str">
        <f t="shared" ca="1" si="23"/>
        <v/>
      </c>
      <c r="Y291" s="460" t="str">
        <f t="shared" ca="1" si="24"/>
        <v/>
      </c>
      <c r="Z291" s="79"/>
    </row>
    <row r="292" spans="1:26" customFormat="1" ht="14.5">
      <c r="A292" s="232"/>
      <c r="B292" s="295">
        <v>254</v>
      </c>
      <c r="C292" s="265"/>
      <c r="D292" s="266"/>
      <c r="E292" s="256"/>
      <c r="F292" s="239"/>
      <c r="G292" s="246"/>
      <c r="H292" s="405">
        <v>278</v>
      </c>
      <c r="I292" s="424"/>
      <c r="J292" s="424"/>
      <c r="K292" s="436"/>
      <c r="L292" s="436"/>
      <c r="M292" s="436"/>
      <c r="N292" s="437"/>
      <c r="P292" s="455" t="str" cm="1">
        <f t="array" aca="1" ref="P292" ca="1">IF(AND($Q$12,B316&lt;=$C$17,C316&lt;&gt;""),TRANSPOSE(INDEX(GetCDS(C316,$C$6,$C$29,F316,D316,$C$13,$C$14,$C$15,$C$8,,,TRUE,TRUE,FALSE,$C$29:$C$31,$C$33),{1;2;3;4;5})),"")</f>
        <v/>
      </c>
      <c r="Q292" s="456"/>
      <c r="R292" s="456"/>
      <c r="S292" s="457"/>
      <c r="T292" s="458"/>
      <c r="U292" s="459" t="str">
        <f t="shared" ca="1" si="20"/>
        <v/>
      </c>
      <c r="V292" s="460" t="str">
        <f t="shared" ca="1" si="21"/>
        <v/>
      </c>
      <c r="W292" s="459" t="str">
        <f t="shared" ca="1" si="22"/>
        <v/>
      </c>
      <c r="X292" s="461" t="str">
        <f t="shared" ca="1" si="23"/>
        <v/>
      </c>
      <c r="Y292" s="460" t="str">
        <f t="shared" ca="1" si="24"/>
        <v/>
      </c>
      <c r="Z292" s="79"/>
    </row>
    <row r="293" spans="1:26" customFormat="1" ht="14.5">
      <c r="A293" s="232"/>
      <c r="B293" s="295">
        <v>255</v>
      </c>
      <c r="C293" s="265"/>
      <c r="D293" s="266"/>
      <c r="E293" s="256"/>
      <c r="F293" s="239"/>
      <c r="G293" s="246"/>
      <c r="H293" s="405">
        <v>279</v>
      </c>
      <c r="I293" s="424"/>
      <c r="J293" s="424"/>
      <c r="K293" s="436"/>
      <c r="L293" s="436"/>
      <c r="M293" s="436"/>
      <c r="N293" s="437"/>
      <c r="P293" s="455" t="str" cm="1">
        <f t="array" aca="1" ref="P293" ca="1">IF(AND($Q$12,B317&lt;=$C$17,C317&lt;&gt;""),TRANSPOSE(INDEX(GetCDS(C317,$C$6,$C$29,F317,D317,$C$13,$C$14,$C$15,$C$8,,,TRUE,TRUE,FALSE,$C$29:$C$31,$C$33),{1;2;3;4;5})),"")</f>
        <v/>
      </c>
      <c r="Q293" s="456"/>
      <c r="R293" s="456"/>
      <c r="S293" s="457"/>
      <c r="T293" s="458"/>
      <c r="U293" s="459" t="str">
        <f t="shared" ca="1" si="20"/>
        <v/>
      </c>
      <c r="V293" s="460" t="str">
        <f t="shared" ca="1" si="21"/>
        <v/>
      </c>
      <c r="W293" s="459" t="str">
        <f t="shared" ca="1" si="22"/>
        <v/>
      </c>
      <c r="X293" s="461" t="str">
        <f t="shared" ca="1" si="23"/>
        <v/>
      </c>
      <c r="Y293" s="460" t="str">
        <f t="shared" ca="1" si="24"/>
        <v/>
      </c>
      <c r="Z293" s="79"/>
    </row>
    <row r="294" spans="1:26" customFormat="1" ht="14.5">
      <c r="A294" s="232"/>
      <c r="B294" s="295">
        <v>256</v>
      </c>
      <c r="C294" s="265"/>
      <c r="D294" s="266"/>
      <c r="E294" s="256"/>
      <c r="F294" s="239"/>
      <c r="G294" s="246"/>
      <c r="H294" s="405">
        <v>280</v>
      </c>
      <c r="I294" s="424"/>
      <c r="J294" s="424"/>
      <c r="K294" s="436"/>
      <c r="L294" s="436"/>
      <c r="M294" s="436"/>
      <c r="N294" s="437"/>
      <c r="P294" s="455" t="str" cm="1">
        <f t="array" aca="1" ref="P294" ca="1">IF(AND($Q$12,B318&lt;=$C$17,C318&lt;&gt;""),TRANSPOSE(INDEX(GetCDS(C318,$C$6,$C$29,F318,D318,$C$13,$C$14,$C$15,$C$8,,,TRUE,TRUE,FALSE,$C$29:$C$31,$C$33),{1;2;3;4;5})),"")</f>
        <v/>
      </c>
      <c r="Q294" s="456"/>
      <c r="R294" s="456"/>
      <c r="S294" s="457"/>
      <c r="T294" s="458"/>
      <c r="U294" s="459" t="str">
        <f t="shared" ca="1" si="20"/>
        <v/>
      </c>
      <c r="V294" s="460" t="str">
        <f t="shared" ca="1" si="21"/>
        <v/>
      </c>
      <c r="W294" s="459" t="str">
        <f t="shared" ca="1" si="22"/>
        <v/>
      </c>
      <c r="X294" s="461" t="str">
        <f t="shared" ca="1" si="23"/>
        <v/>
      </c>
      <c r="Y294" s="460" t="str">
        <f t="shared" ca="1" si="24"/>
        <v/>
      </c>
      <c r="Z294" s="79"/>
    </row>
    <row r="295" spans="1:26" customFormat="1" ht="14.5">
      <c r="A295" s="232"/>
      <c r="B295" s="295">
        <v>257</v>
      </c>
      <c r="C295" s="265"/>
      <c r="D295" s="266"/>
      <c r="E295" s="256"/>
      <c r="F295" s="239"/>
      <c r="G295" s="246"/>
      <c r="H295" s="405">
        <v>281</v>
      </c>
      <c r="I295" s="424"/>
      <c r="J295" s="424"/>
      <c r="K295" s="436"/>
      <c r="L295" s="436"/>
      <c r="M295" s="436"/>
      <c r="N295" s="437"/>
      <c r="P295" s="455" t="str" cm="1">
        <f t="array" aca="1" ref="P295" ca="1">IF(AND($Q$12,B319&lt;=$C$17,C319&lt;&gt;""),TRANSPOSE(INDEX(GetCDS(C319,$C$6,$C$29,F319,D319,$C$13,$C$14,$C$15,$C$8,,,TRUE,TRUE,FALSE,$C$29:$C$31,$C$33),{1;2;3;4;5})),"")</f>
        <v/>
      </c>
      <c r="Q295" s="456"/>
      <c r="R295" s="456"/>
      <c r="S295" s="457"/>
      <c r="T295" s="458"/>
      <c r="U295" s="459" t="str">
        <f t="shared" ca="1" si="20"/>
        <v/>
      </c>
      <c r="V295" s="460" t="str">
        <f t="shared" ca="1" si="21"/>
        <v/>
      </c>
      <c r="W295" s="459" t="str">
        <f t="shared" ca="1" si="22"/>
        <v/>
      </c>
      <c r="X295" s="461" t="str">
        <f t="shared" ca="1" si="23"/>
        <v/>
      </c>
      <c r="Y295" s="460" t="str">
        <f t="shared" ca="1" si="24"/>
        <v/>
      </c>
      <c r="Z295" s="79"/>
    </row>
    <row r="296" spans="1:26" customFormat="1" ht="14.5">
      <c r="A296" s="232"/>
      <c r="B296" s="295">
        <v>258</v>
      </c>
      <c r="C296" s="265"/>
      <c r="D296" s="266"/>
      <c r="E296" s="256"/>
      <c r="F296" s="239"/>
      <c r="G296" s="246"/>
      <c r="H296" s="405">
        <v>282</v>
      </c>
      <c r="I296" s="424"/>
      <c r="J296" s="424"/>
      <c r="K296" s="436"/>
      <c r="L296" s="436"/>
      <c r="M296" s="436"/>
      <c r="N296" s="437"/>
      <c r="P296" s="455" t="str" cm="1">
        <f t="array" aca="1" ref="P296" ca="1">IF(AND($Q$12,B320&lt;=$C$17,C320&lt;&gt;""),TRANSPOSE(INDEX(GetCDS(C320,$C$6,$C$29,F320,D320,$C$13,$C$14,$C$15,$C$8,,,TRUE,TRUE,FALSE,$C$29:$C$31,$C$33),{1;2;3;4;5})),"")</f>
        <v/>
      </c>
      <c r="Q296" s="456"/>
      <c r="R296" s="456"/>
      <c r="S296" s="457"/>
      <c r="T296" s="458"/>
      <c r="U296" s="459" t="str">
        <f t="shared" ca="1" si="20"/>
        <v/>
      </c>
      <c r="V296" s="460" t="str">
        <f t="shared" ca="1" si="21"/>
        <v/>
      </c>
      <c r="W296" s="459" t="str">
        <f t="shared" ca="1" si="22"/>
        <v/>
      </c>
      <c r="X296" s="461" t="str">
        <f t="shared" ca="1" si="23"/>
        <v/>
      </c>
      <c r="Y296" s="460" t="str">
        <f t="shared" ca="1" si="24"/>
        <v/>
      </c>
      <c r="Z296" s="79"/>
    </row>
    <row r="297" spans="1:26" customFormat="1" ht="14.5">
      <c r="A297" s="232"/>
      <c r="B297" s="295">
        <v>259</v>
      </c>
      <c r="C297" s="265"/>
      <c r="D297" s="266"/>
      <c r="E297" s="256"/>
      <c r="F297" s="239"/>
      <c r="G297" s="246"/>
      <c r="H297" s="405">
        <v>283</v>
      </c>
      <c r="I297" s="424"/>
      <c r="J297" s="424"/>
      <c r="K297" s="436"/>
      <c r="L297" s="436"/>
      <c r="M297" s="436"/>
      <c r="N297" s="437"/>
      <c r="P297" s="455" t="str" cm="1">
        <f t="array" aca="1" ref="P297" ca="1">IF(AND($Q$12,B321&lt;=$C$17,C321&lt;&gt;""),TRANSPOSE(INDEX(GetCDS(C321,$C$6,$C$29,F321,D321,$C$13,$C$14,$C$15,$C$8,,,TRUE,TRUE,FALSE,$C$29:$C$31,$C$33),{1;2;3;4;5})),"")</f>
        <v/>
      </c>
      <c r="Q297" s="456"/>
      <c r="R297" s="456"/>
      <c r="S297" s="457"/>
      <c r="T297" s="458"/>
      <c r="U297" s="459" t="str">
        <f t="shared" ca="1" si="20"/>
        <v/>
      </c>
      <c r="V297" s="460" t="str">
        <f t="shared" ca="1" si="21"/>
        <v/>
      </c>
      <c r="W297" s="459" t="str">
        <f t="shared" ca="1" si="22"/>
        <v/>
      </c>
      <c r="X297" s="461" t="str">
        <f t="shared" ca="1" si="23"/>
        <v/>
      </c>
      <c r="Y297" s="460" t="str">
        <f t="shared" ca="1" si="24"/>
        <v/>
      </c>
      <c r="Z297" s="79"/>
    </row>
    <row r="298" spans="1:26" customFormat="1" ht="14.5">
      <c r="A298" s="232"/>
      <c r="B298" s="295">
        <v>260</v>
      </c>
      <c r="C298" s="265"/>
      <c r="D298" s="266"/>
      <c r="E298" s="256"/>
      <c r="F298" s="239"/>
      <c r="G298" s="246"/>
      <c r="H298" s="405">
        <v>284</v>
      </c>
      <c r="I298" s="424"/>
      <c r="J298" s="424"/>
      <c r="K298" s="436"/>
      <c r="L298" s="436"/>
      <c r="M298" s="436"/>
      <c r="N298" s="437"/>
      <c r="P298" s="455" t="str" cm="1">
        <f t="array" aca="1" ref="P298" ca="1">IF(AND($Q$12,B322&lt;=$C$17,C322&lt;&gt;""),TRANSPOSE(INDEX(GetCDS(C322,$C$6,$C$29,F322,D322,$C$13,$C$14,$C$15,$C$8,,,TRUE,TRUE,FALSE,$C$29:$C$31,$C$33),{1;2;3;4;5})),"")</f>
        <v/>
      </c>
      <c r="Q298" s="456"/>
      <c r="R298" s="456"/>
      <c r="S298" s="457"/>
      <c r="T298" s="458"/>
      <c r="U298" s="459" t="str">
        <f t="shared" ca="1" si="20"/>
        <v/>
      </c>
      <c r="V298" s="460" t="str">
        <f t="shared" ca="1" si="21"/>
        <v/>
      </c>
      <c r="W298" s="459" t="str">
        <f t="shared" ca="1" si="22"/>
        <v/>
      </c>
      <c r="X298" s="461" t="str">
        <f t="shared" ca="1" si="23"/>
        <v/>
      </c>
      <c r="Y298" s="460" t="str">
        <f t="shared" ca="1" si="24"/>
        <v/>
      </c>
      <c r="Z298" s="79"/>
    </row>
    <row r="299" spans="1:26" customFormat="1" ht="14.5">
      <c r="A299" s="232"/>
      <c r="B299" s="295">
        <v>261</v>
      </c>
      <c r="C299" s="265"/>
      <c r="D299" s="266"/>
      <c r="E299" s="256"/>
      <c r="F299" s="239"/>
      <c r="G299" s="246"/>
      <c r="H299" s="405">
        <v>285</v>
      </c>
      <c r="I299" s="424"/>
      <c r="J299" s="424"/>
      <c r="K299" s="436"/>
      <c r="L299" s="436"/>
      <c r="M299" s="436"/>
      <c r="N299" s="437"/>
      <c r="P299" s="455" t="str" cm="1">
        <f t="array" aca="1" ref="P299" ca="1">IF(AND($Q$12,B323&lt;=$C$17,C323&lt;&gt;""),TRANSPOSE(INDEX(GetCDS(C323,$C$6,$C$29,F323,D323,$C$13,$C$14,$C$15,$C$8,,,TRUE,TRUE,FALSE,$C$29:$C$31,$C$33),{1;2;3;4;5})),"")</f>
        <v/>
      </c>
      <c r="Q299" s="456"/>
      <c r="R299" s="456"/>
      <c r="S299" s="457"/>
      <c r="T299" s="458"/>
      <c r="U299" s="459" t="str">
        <f t="shared" ca="1" si="20"/>
        <v/>
      </c>
      <c r="V299" s="460" t="str">
        <f t="shared" ca="1" si="21"/>
        <v/>
      </c>
      <c r="W299" s="459" t="str">
        <f t="shared" ca="1" si="22"/>
        <v/>
      </c>
      <c r="X299" s="461" t="str">
        <f t="shared" ca="1" si="23"/>
        <v/>
      </c>
      <c r="Y299" s="460" t="str">
        <f t="shared" ca="1" si="24"/>
        <v/>
      </c>
      <c r="Z299" s="79"/>
    </row>
    <row r="300" spans="1:26" customFormat="1" ht="14.5">
      <c r="A300" s="232"/>
      <c r="B300" s="295">
        <v>262</v>
      </c>
      <c r="C300" s="265"/>
      <c r="D300" s="266"/>
      <c r="E300" s="256"/>
      <c r="F300" s="239"/>
      <c r="G300" s="246"/>
      <c r="H300" s="405">
        <v>286</v>
      </c>
      <c r="I300" s="424"/>
      <c r="J300" s="424"/>
      <c r="K300" s="436"/>
      <c r="L300" s="436"/>
      <c r="M300" s="436"/>
      <c r="N300" s="437"/>
      <c r="P300" s="455" t="str" cm="1">
        <f t="array" aca="1" ref="P300" ca="1">IF(AND($Q$12,B324&lt;=$C$17,C324&lt;&gt;""),TRANSPOSE(INDEX(GetCDS(C324,$C$6,$C$29,F324,D324,$C$13,$C$14,$C$15,$C$8,,,TRUE,TRUE,FALSE,$C$29:$C$31,$C$33),{1;2;3;4;5})),"")</f>
        <v/>
      </c>
      <c r="Q300" s="456"/>
      <c r="R300" s="456"/>
      <c r="S300" s="457"/>
      <c r="T300" s="458"/>
      <c r="U300" s="459" t="str">
        <f t="shared" ca="1" si="20"/>
        <v/>
      </c>
      <c r="V300" s="460" t="str">
        <f t="shared" ca="1" si="21"/>
        <v/>
      </c>
      <c r="W300" s="459" t="str">
        <f t="shared" ca="1" si="22"/>
        <v/>
      </c>
      <c r="X300" s="461" t="str">
        <f t="shared" ca="1" si="23"/>
        <v/>
      </c>
      <c r="Y300" s="460" t="str">
        <f t="shared" ca="1" si="24"/>
        <v/>
      </c>
      <c r="Z300" s="79"/>
    </row>
    <row r="301" spans="1:26" customFormat="1" ht="14.5">
      <c r="A301" s="232"/>
      <c r="B301" s="295">
        <v>263</v>
      </c>
      <c r="C301" s="265"/>
      <c r="D301" s="266"/>
      <c r="E301" s="256"/>
      <c r="F301" s="239"/>
      <c r="G301" s="246"/>
      <c r="H301" s="405">
        <v>287</v>
      </c>
      <c r="I301" s="424"/>
      <c r="J301" s="424"/>
      <c r="K301" s="436"/>
      <c r="L301" s="436"/>
      <c r="M301" s="436"/>
      <c r="N301" s="437"/>
      <c r="P301" s="455" t="str" cm="1">
        <f t="array" aca="1" ref="P301" ca="1">IF(AND($Q$12,B325&lt;=$C$17,C325&lt;&gt;""),TRANSPOSE(INDEX(GetCDS(C325,$C$6,$C$29,F325,D325,$C$13,$C$14,$C$15,$C$8,,,TRUE,TRUE,FALSE,$C$29:$C$31,$C$33),{1;2;3;4;5})),"")</f>
        <v/>
      </c>
      <c r="Q301" s="456"/>
      <c r="R301" s="456"/>
      <c r="S301" s="457"/>
      <c r="T301" s="458"/>
      <c r="U301" s="459" t="str">
        <f t="shared" ca="1" si="20"/>
        <v/>
      </c>
      <c r="V301" s="460" t="str">
        <f t="shared" ca="1" si="21"/>
        <v/>
      </c>
      <c r="W301" s="459" t="str">
        <f t="shared" ca="1" si="22"/>
        <v/>
      </c>
      <c r="X301" s="461" t="str">
        <f t="shared" ca="1" si="23"/>
        <v/>
      </c>
      <c r="Y301" s="460" t="str">
        <f t="shared" ca="1" si="24"/>
        <v/>
      </c>
      <c r="Z301" s="79"/>
    </row>
    <row r="302" spans="1:26" customFormat="1" ht="14.5">
      <c r="A302" s="232"/>
      <c r="B302" s="295">
        <v>264</v>
      </c>
      <c r="C302" s="265"/>
      <c r="D302" s="266"/>
      <c r="E302" s="256"/>
      <c r="F302" s="239"/>
      <c r="G302" s="246"/>
      <c r="H302" s="405">
        <v>288</v>
      </c>
      <c r="I302" s="424"/>
      <c r="J302" s="424"/>
      <c r="K302" s="436"/>
      <c r="L302" s="436"/>
      <c r="M302" s="436"/>
      <c r="N302" s="437"/>
      <c r="P302" s="455" t="str" cm="1">
        <f t="array" aca="1" ref="P302" ca="1">IF(AND($Q$12,B326&lt;=$C$17,C326&lt;&gt;""),TRANSPOSE(INDEX(GetCDS(C326,$C$6,$C$29,F326,D326,$C$13,$C$14,$C$15,$C$8,,,TRUE,TRUE,FALSE,$C$29:$C$31,$C$33),{1;2;3;4;5})),"")</f>
        <v/>
      </c>
      <c r="Q302" s="456"/>
      <c r="R302" s="456"/>
      <c r="S302" s="457"/>
      <c r="T302" s="458"/>
      <c r="U302" s="459" t="str">
        <f t="shared" ca="1" si="20"/>
        <v/>
      </c>
      <c r="V302" s="460" t="str">
        <f t="shared" ca="1" si="21"/>
        <v/>
      </c>
      <c r="W302" s="459" t="str">
        <f t="shared" ca="1" si="22"/>
        <v/>
      </c>
      <c r="X302" s="461" t="str">
        <f t="shared" ca="1" si="23"/>
        <v/>
      </c>
      <c r="Y302" s="460" t="str">
        <f t="shared" ca="1" si="24"/>
        <v/>
      </c>
      <c r="Z302" s="79"/>
    </row>
    <row r="303" spans="1:26" customFormat="1" ht="14.5">
      <c r="A303" s="232"/>
      <c r="B303" s="295">
        <v>265</v>
      </c>
      <c r="C303" s="265"/>
      <c r="D303" s="266"/>
      <c r="E303" s="256"/>
      <c r="F303" s="239"/>
      <c r="G303" s="246"/>
      <c r="H303" s="405">
        <v>289</v>
      </c>
      <c r="I303" s="424"/>
      <c r="J303" s="424"/>
      <c r="K303" s="436"/>
      <c r="L303" s="436"/>
      <c r="M303" s="436"/>
      <c r="N303" s="437"/>
      <c r="P303" s="455" t="str" cm="1">
        <f t="array" aca="1" ref="P303" ca="1">IF(AND($Q$12,B327&lt;=$C$17,C327&lt;&gt;""),TRANSPOSE(INDEX(GetCDS(C327,$C$6,$C$29,F327,D327,$C$13,$C$14,$C$15,$C$8,,,TRUE,TRUE,FALSE,$C$29:$C$31,$C$33),{1;2;3;4;5})),"")</f>
        <v/>
      </c>
      <c r="Q303" s="456"/>
      <c r="R303" s="456"/>
      <c r="S303" s="457"/>
      <c r="T303" s="458"/>
      <c r="U303" s="459" t="str">
        <f t="shared" ca="1" si="20"/>
        <v/>
      </c>
      <c r="V303" s="460" t="str">
        <f t="shared" ca="1" si="21"/>
        <v/>
      </c>
      <c r="W303" s="459" t="str">
        <f t="shared" ca="1" si="22"/>
        <v/>
      </c>
      <c r="X303" s="461" t="str">
        <f t="shared" ca="1" si="23"/>
        <v/>
      </c>
      <c r="Y303" s="460" t="str">
        <f t="shared" ca="1" si="24"/>
        <v/>
      </c>
      <c r="Z303" s="79"/>
    </row>
    <row r="304" spans="1:26" customFormat="1" ht="14.5">
      <c r="A304" s="232"/>
      <c r="B304" s="295">
        <v>266</v>
      </c>
      <c r="C304" s="265"/>
      <c r="D304" s="266"/>
      <c r="E304" s="256"/>
      <c r="F304" s="239"/>
      <c r="G304" s="246"/>
      <c r="H304" s="405">
        <v>290</v>
      </c>
      <c r="I304" s="424"/>
      <c r="J304" s="424"/>
      <c r="K304" s="436"/>
      <c r="L304" s="436"/>
      <c r="M304" s="436"/>
      <c r="N304" s="437"/>
      <c r="P304" s="455" t="str" cm="1">
        <f t="array" aca="1" ref="P304" ca="1">IF(AND($Q$12,B328&lt;=$C$17,C328&lt;&gt;""),TRANSPOSE(INDEX(GetCDS(C328,$C$6,$C$29,F328,D328,$C$13,$C$14,$C$15,$C$8,,,TRUE,TRUE,FALSE,$C$29:$C$31,$C$33),{1;2;3;4;5})),"")</f>
        <v/>
      </c>
      <c r="Q304" s="456"/>
      <c r="R304" s="456"/>
      <c r="S304" s="457"/>
      <c r="T304" s="458"/>
      <c r="U304" s="459" t="str">
        <f t="shared" ca="1" si="20"/>
        <v/>
      </c>
      <c r="V304" s="460" t="str">
        <f t="shared" ca="1" si="21"/>
        <v/>
      </c>
      <c r="W304" s="459" t="str">
        <f t="shared" ca="1" si="22"/>
        <v/>
      </c>
      <c r="X304" s="461" t="str">
        <f t="shared" ca="1" si="23"/>
        <v/>
      </c>
      <c r="Y304" s="460" t="str">
        <f t="shared" ca="1" si="24"/>
        <v/>
      </c>
      <c r="Z304" s="79"/>
    </row>
    <row r="305" spans="1:26" customFormat="1" ht="14.5">
      <c r="A305" s="232"/>
      <c r="B305" s="295">
        <v>267</v>
      </c>
      <c r="C305" s="265"/>
      <c r="D305" s="266"/>
      <c r="E305" s="256"/>
      <c r="F305" s="239"/>
      <c r="G305" s="246"/>
      <c r="H305" s="405">
        <v>291</v>
      </c>
      <c r="I305" s="424"/>
      <c r="J305" s="424"/>
      <c r="K305" s="436"/>
      <c r="L305" s="436"/>
      <c r="M305" s="436"/>
      <c r="N305" s="437"/>
      <c r="P305" s="455" t="str" cm="1">
        <f t="array" aca="1" ref="P305" ca="1">IF(AND($Q$12,B329&lt;=$C$17,C329&lt;&gt;""),TRANSPOSE(INDEX(GetCDS(C329,$C$6,$C$29,F329,D329,$C$13,$C$14,$C$15,$C$8,,,TRUE,TRUE,FALSE,$C$29:$C$31,$C$33),{1;2;3;4;5})),"")</f>
        <v/>
      </c>
      <c r="Q305" s="456"/>
      <c r="R305" s="456"/>
      <c r="S305" s="457"/>
      <c r="T305" s="458"/>
      <c r="U305" s="459" t="str">
        <f t="shared" ca="1" si="20"/>
        <v/>
      </c>
      <c r="V305" s="460" t="str">
        <f t="shared" ca="1" si="21"/>
        <v/>
      </c>
      <c r="W305" s="459" t="str">
        <f t="shared" ca="1" si="22"/>
        <v/>
      </c>
      <c r="X305" s="461" t="str">
        <f t="shared" ca="1" si="23"/>
        <v/>
      </c>
      <c r="Y305" s="460" t="str">
        <f t="shared" ca="1" si="24"/>
        <v/>
      </c>
      <c r="Z305" s="79"/>
    </row>
    <row r="306" spans="1:26" customFormat="1" ht="14.5">
      <c r="A306" s="232"/>
      <c r="B306" s="295">
        <v>268</v>
      </c>
      <c r="C306" s="265"/>
      <c r="D306" s="266"/>
      <c r="E306" s="256"/>
      <c r="F306" s="239"/>
      <c r="G306" s="246"/>
      <c r="H306" s="405">
        <v>292</v>
      </c>
      <c r="I306" s="424"/>
      <c r="J306" s="424"/>
      <c r="K306" s="436"/>
      <c r="L306" s="436"/>
      <c r="M306" s="436"/>
      <c r="N306" s="437"/>
      <c r="P306" s="455" t="str" cm="1">
        <f t="array" aca="1" ref="P306" ca="1">IF(AND($Q$12,B330&lt;=$C$17,C330&lt;&gt;""),TRANSPOSE(INDEX(GetCDS(C330,$C$6,$C$29,F330,D330,$C$13,$C$14,$C$15,$C$8,,,TRUE,TRUE,FALSE,$C$29:$C$31,$C$33),{1;2;3;4;5})),"")</f>
        <v/>
      </c>
      <c r="Q306" s="456"/>
      <c r="R306" s="456"/>
      <c r="S306" s="457"/>
      <c r="T306" s="458"/>
      <c r="U306" s="459" t="str">
        <f t="shared" ca="1" si="20"/>
        <v/>
      </c>
      <c r="V306" s="460" t="str">
        <f t="shared" ca="1" si="21"/>
        <v/>
      </c>
      <c r="W306" s="459" t="str">
        <f t="shared" ca="1" si="22"/>
        <v/>
      </c>
      <c r="X306" s="461" t="str">
        <f t="shared" ca="1" si="23"/>
        <v/>
      </c>
      <c r="Y306" s="460" t="str">
        <f t="shared" ca="1" si="24"/>
        <v/>
      </c>
      <c r="Z306" s="79"/>
    </row>
    <row r="307" spans="1:26" customFormat="1" ht="14.5">
      <c r="A307" s="232"/>
      <c r="B307" s="295">
        <v>269</v>
      </c>
      <c r="C307" s="265"/>
      <c r="D307" s="266"/>
      <c r="E307" s="256"/>
      <c r="F307" s="239"/>
      <c r="G307" s="246"/>
      <c r="H307" s="405">
        <v>293</v>
      </c>
      <c r="I307" s="424"/>
      <c r="J307" s="424"/>
      <c r="K307" s="436"/>
      <c r="L307" s="436"/>
      <c r="M307" s="436"/>
      <c r="N307" s="437"/>
      <c r="P307" s="455" t="str" cm="1">
        <f t="array" aca="1" ref="P307" ca="1">IF(AND($Q$12,B331&lt;=$C$17,C331&lt;&gt;""),TRANSPOSE(INDEX(GetCDS(C331,$C$6,$C$29,F331,D331,$C$13,$C$14,$C$15,$C$8,,,TRUE,TRUE,FALSE,$C$29:$C$31,$C$33),{1;2;3;4;5})),"")</f>
        <v/>
      </c>
      <c r="Q307" s="456"/>
      <c r="R307" s="456"/>
      <c r="S307" s="457"/>
      <c r="T307" s="458"/>
      <c r="U307" s="459" t="str">
        <f t="shared" ca="1" si="20"/>
        <v/>
      </c>
      <c r="V307" s="460" t="str">
        <f t="shared" ca="1" si="21"/>
        <v/>
      </c>
      <c r="W307" s="459" t="str">
        <f t="shared" ca="1" si="22"/>
        <v/>
      </c>
      <c r="X307" s="461" t="str">
        <f t="shared" ca="1" si="23"/>
        <v/>
      </c>
      <c r="Y307" s="460" t="str">
        <f t="shared" ca="1" si="24"/>
        <v/>
      </c>
      <c r="Z307" s="79"/>
    </row>
    <row r="308" spans="1:26" customFormat="1" ht="14.5">
      <c r="A308" s="232"/>
      <c r="B308" s="295">
        <v>270</v>
      </c>
      <c r="C308" s="265"/>
      <c r="D308" s="266"/>
      <c r="E308" s="256"/>
      <c r="F308" s="239"/>
      <c r="G308" s="246"/>
      <c r="H308" s="405">
        <v>294</v>
      </c>
      <c r="I308" s="424"/>
      <c r="J308" s="424"/>
      <c r="K308" s="436"/>
      <c r="L308" s="436"/>
      <c r="M308" s="436"/>
      <c r="N308" s="437"/>
      <c r="P308" s="455" t="str" cm="1">
        <f t="array" aca="1" ref="P308" ca="1">IF(AND($Q$12,B332&lt;=$C$17,C332&lt;&gt;""),TRANSPOSE(INDEX(GetCDS(C332,$C$6,$C$29,F332,D332,$C$13,$C$14,$C$15,$C$8,,,TRUE,TRUE,FALSE,$C$29:$C$31,$C$33),{1;2;3;4;5})),"")</f>
        <v/>
      </c>
      <c r="Q308" s="456"/>
      <c r="R308" s="456"/>
      <c r="S308" s="457"/>
      <c r="T308" s="458"/>
      <c r="U308" s="459" t="str">
        <f t="shared" ca="1" si="20"/>
        <v/>
      </c>
      <c r="V308" s="460" t="str">
        <f t="shared" ca="1" si="21"/>
        <v/>
      </c>
      <c r="W308" s="459" t="str">
        <f t="shared" ca="1" si="22"/>
        <v/>
      </c>
      <c r="X308" s="461" t="str">
        <f t="shared" ca="1" si="23"/>
        <v/>
      </c>
      <c r="Y308" s="460" t="str">
        <f t="shared" ca="1" si="24"/>
        <v/>
      </c>
      <c r="Z308" s="79"/>
    </row>
    <row r="309" spans="1:26" customFormat="1" ht="14.5">
      <c r="A309" s="232"/>
      <c r="B309" s="295">
        <v>271</v>
      </c>
      <c r="C309" s="265"/>
      <c r="D309" s="266"/>
      <c r="E309" s="256"/>
      <c r="F309" s="239"/>
      <c r="G309" s="246"/>
      <c r="H309" s="405">
        <v>295</v>
      </c>
      <c r="I309" s="424"/>
      <c r="J309" s="424"/>
      <c r="K309" s="436"/>
      <c r="L309" s="436"/>
      <c r="M309" s="436"/>
      <c r="N309" s="437"/>
      <c r="P309" s="455" t="str" cm="1">
        <f t="array" aca="1" ref="P309" ca="1">IF(AND($Q$12,B333&lt;=$C$17,C333&lt;&gt;""),TRANSPOSE(INDEX(GetCDS(C333,$C$6,$C$29,F333,D333,$C$13,$C$14,$C$15,$C$8,,,TRUE,TRUE,FALSE,$C$29:$C$31,$C$33),{1;2;3;4;5})),"")</f>
        <v/>
      </c>
      <c r="Q309" s="456"/>
      <c r="R309" s="456"/>
      <c r="S309" s="457"/>
      <c r="T309" s="458"/>
      <c r="U309" s="459" t="str">
        <f t="shared" ca="1" si="20"/>
        <v/>
      </c>
      <c r="V309" s="460" t="str">
        <f t="shared" ca="1" si="21"/>
        <v/>
      </c>
      <c r="W309" s="459" t="str">
        <f t="shared" ca="1" si="22"/>
        <v/>
      </c>
      <c r="X309" s="461" t="str">
        <f t="shared" ca="1" si="23"/>
        <v/>
      </c>
      <c r="Y309" s="460" t="str">
        <f t="shared" ca="1" si="24"/>
        <v/>
      </c>
      <c r="Z309" s="79"/>
    </row>
    <row r="310" spans="1:26" customFormat="1" ht="14.5">
      <c r="A310" s="232"/>
      <c r="B310" s="295">
        <v>272</v>
      </c>
      <c r="C310" s="265"/>
      <c r="D310" s="266"/>
      <c r="E310" s="256"/>
      <c r="F310" s="239"/>
      <c r="G310" s="246"/>
      <c r="H310" s="405">
        <v>296</v>
      </c>
      <c r="I310" s="424"/>
      <c r="J310" s="424"/>
      <c r="K310" s="436"/>
      <c r="L310" s="436"/>
      <c r="M310" s="436"/>
      <c r="N310" s="437"/>
      <c r="P310" s="455" t="str" cm="1">
        <f t="array" aca="1" ref="P310" ca="1">IF(AND($Q$12,B334&lt;=$C$17,C334&lt;&gt;""),TRANSPOSE(INDEX(GetCDS(C334,$C$6,$C$29,F334,D334,$C$13,$C$14,$C$15,$C$8,,,TRUE,TRUE,FALSE,$C$29:$C$31,$C$33),{1;2;3;4;5})),"")</f>
        <v/>
      </c>
      <c r="Q310" s="456"/>
      <c r="R310" s="456"/>
      <c r="S310" s="457"/>
      <c r="T310" s="458"/>
      <c r="U310" s="459" t="str">
        <f t="shared" ca="1" si="20"/>
        <v/>
      </c>
      <c r="V310" s="460" t="str">
        <f t="shared" ca="1" si="21"/>
        <v/>
      </c>
      <c r="W310" s="459" t="str">
        <f t="shared" ca="1" si="22"/>
        <v/>
      </c>
      <c r="X310" s="461" t="str">
        <f t="shared" ca="1" si="23"/>
        <v/>
      </c>
      <c r="Y310" s="460" t="str">
        <f t="shared" ca="1" si="24"/>
        <v/>
      </c>
      <c r="Z310" s="79"/>
    </row>
    <row r="311" spans="1:26" customFormat="1" ht="14.5">
      <c r="A311" s="232"/>
      <c r="B311" s="295">
        <v>273</v>
      </c>
      <c r="C311" s="265"/>
      <c r="D311" s="266"/>
      <c r="E311" s="256"/>
      <c r="F311" s="239"/>
      <c r="G311" s="246"/>
      <c r="H311" s="405">
        <v>297</v>
      </c>
      <c r="I311" s="424"/>
      <c r="J311" s="424"/>
      <c r="K311" s="436"/>
      <c r="L311" s="436"/>
      <c r="M311" s="436"/>
      <c r="N311" s="437"/>
      <c r="P311" s="455" t="str" cm="1">
        <f t="array" aca="1" ref="P311" ca="1">IF(AND($Q$12,B335&lt;=$C$17,C335&lt;&gt;""),TRANSPOSE(INDEX(GetCDS(C335,$C$6,$C$29,F335,D335,$C$13,$C$14,$C$15,$C$8,,,TRUE,TRUE,FALSE,$C$29:$C$31,$C$33),{1;2;3;4;5})),"")</f>
        <v/>
      </c>
      <c r="Q311" s="456"/>
      <c r="R311" s="456"/>
      <c r="S311" s="457"/>
      <c r="T311" s="458"/>
      <c r="U311" s="459" t="str">
        <f t="shared" ca="1" si="20"/>
        <v/>
      </c>
      <c r="V311" s="460" t="str">
        <f t="shared" ca="1" si="21"/>
        <v/>
      </c>
      <c r="W311" s="459" t="str">
        <f t="shared" ca="1" si="22"/>
        <v/>
      </c>
      <c r="X311" s="461" t="str">
        <f t="shared" ca="1" si="23"/>
        <v/>
      </c>
      <c r="Y311" s="460" t="str">
        <f t="shared" ca="1" si="24"/>
        <v/>
      </c>
      <c r="Z311" s="79"/>
    </row>
    <row r="312" spans="1:26" customFormat="1" ht="14.5">
      <c r="A312" s="232"/>
      <c r="B312" s="295">
        <v>274</v>
      </c>
      <c r="C312" s="265"/>
      <c r="D312" s="266"/>
      <c r="E312" s="256"/>
      <c r="F312" s="239"/>
      <c r="G312" s="246"/>
      <c r="H312" s="405">
        <v>298</v>
      </c>
      <c r="I312" s="424"/>
      <c r="J312" s="424"/>
      <c r="K312" s="436"/>
      <c r="L312" s="436"/>
      <c r="M312" s="436"/>
      <c r="N312" s="437"/>
      <c r="P312" s="455" t="str" cm="1">
        <f t="array" aca="1" ref="P312" ca="1">IF(AND($Q$12,B336&lt;=$C$17,C336&lt;&gt;""),TRANSPOSE(INDEX(GetCDS(C336,$C$6,$C$29,F336,D336,$C$13,$C$14,$C$15,$C$8,,,TRUE,TRUE,FALSE,$C$29:$C$31,$C$33),{1;2;3;4;5})),"")</f>
        <v/>
      </c>
      <c r="Q312" s="456"/>
      <c r="R312" s="456"/>
      <c r="S312" s="457"/>
      <c r="T312" s="458"/>
      <c r="U312" s="459" t="str">
        <f t="shared" ca="1" si="20"/>
        <v/>
      </c>
      <c r="V312" s="460" t="str">
        <f t="shared" ca="1" si="21"/>
        <v/>
      </c>
      <c r="W312" s="459" t="str">
        <f t="shared" ca="1" si="22"/>
        <v/>
      </c>
      <c r="X312" s="461" t="str">
        <f t="shared" ca="1" si="23"/>
        <v/>
      </c>
      <c r="Y312" s="460" t="str">
        <f t="shared" ca="1" si="24"/>
        <v/>
      </c>
      <c r="Z312" s="79"/>
    </row>
    <row r="313" spans="1:26" customFormat="1" ht="14.5">
      <c r="A313" s="232"/>
      <c r="B313" s="295">
        <v>275</v>
      </c>
      <c r="C313" s="265"/>
      <c r="D313" s="266"/>
      <c r="E313" s="256"/>
      <c r="F313" s="239"/>
      <c r="G313" s="246"/>
      <c r="H313" s="405">
        <v>299</v>
      </c>
      <c r="I313" s="424"/>
      <c r="J313" s="424"/>
      <c r="K313" s="436"/>
      <c r="L313" s="436"/>
      <c r="M313" s="436"/>
      <c r="N313" s="437"/>
      <c r="P313" s="455" t="str" cm="1">
        <f t="array" aca="1" ref="P313" ca="1">IF(AND($Q$12,B337&lt;=$C$17,C337&lt;&gt;""),TRANSPOSE(INDEX(GetCDS(C337,$C$6,$C$29,F337,D337,$C$13,$C$14,$C$15,$C$8,,,TRUE,TRUE,FALSE,$C$29:$C$31,$C$33),{1;2;3;4;5})),"")</f>
        <v/>
      </c>
      <c r="Q313" s="456"/>
      <c r="R313" s="456"/>
      <c r="S313" s="457"/>
      <c r="T313" s="458"/>
      <c r="U313" s="459" t="str">
        <f t="shared" ca="1" si="20"/>
        <v/>
      </c>
      <c r="V313" s="460" t="str">
        <f t="shared" ca="1" si="21"/>
        <v/>
      </c>
      <c r="W313" s="459" t="str">
        <f t="shared" ca="1" si="22"/>
        <v/>
      </c>
      <c r="X313" s="461" t="str">
        <f t="shared" ca="1" si="23"/>
        <v/>
      </c>
      <c r="Y313" s="460" t="str">
        <f t="shared" ca="1" si="24"/>
        <v/>
      </c>
      <c r="Z313" s="79"/>
    </row>
    <row r="314" spans="1:26" customFormat="1" ht="15" thickBot="1">
      <c r="A314" s="232"/>
      <c r="B314" s="295">
        <v>276</v>
      </c>
      <c r="C314" s="265"/>
      <c r="D314" s="266"/>
      <c r="E314" s="256"/>
      <c r="F314" s="239"/>
      <c r="G314" s="246"/>
      <c r="H314" s="408">
        <v>300</v>
      </c>
      <c r="I314" s="439"/>
      <c r="J314" s="439"/>
      <c r="K314" s="440"/>
      <c r="L314" s="440"/>
      <c r="M314" s="440"/>
      <c r="N314" s="441"/>
      <c r="O314" s="460" t="str">
        <f t="shared" ref="O314" ca="1" si="25">IF($Q$12,IF(N314="","",N314*($V$10-L314)*M314),"")</f>
        <v/>
      </c>
      <c r="P314" s="455" t="str" cm="1">
        <f t="array" aca="1" ref="P314" ca="1">IF(AND($Q$12,B338&lt;=$C$17,C338&lt;&gt;""),TRANSPOSE(INDEX(GetCDS(C338,$C$6,$C$29,F338,D338,$C$13,$C$14,$C$15,$C$8,,,TRUE,TRUE,FALSE,$C$29:$C$31,$C$33),{1;2;3;4;5})),"")</f>
        <v/>
      </c>
      <c r="Q314" s="462"/>
      <c r="R314" s="462"/>
      <c r="S314" s="463"/>
      <c r="T314" s="464"/>
      <c r="U314" s="459" t="str">
        <f t="shared" ca="1" si="20"/>
        <v/>
      </c>
      <c r="V314" s="460" t="str">
        <f t="shared" ca="1" si="21"/>
        <v/>
      </c>
      <c r="W314" s="463"/>
      <c r="X314" s="463"/>
      <c r="Y314" s="441"/>
      <c r="Z314" s="79"/>
    </row>
    <row r="315" spans="1:26" customFormat="1" ht="14.5">
      <c r="A315" s="232"/>
      <c r="B315" s="295">
        <v>277</v>
      </c>
      <c r="C315" s="265"/>
      <c r="D315" s="266"/>
      <c r="E315" s="256"/>
      <c r="F315" s="239"/>
      <c r="G315" s="246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4.5">
      <c r="A316" s="232"/>
      <c r="B316" s="295">
        <v>278</v>
      </c>
      <c r="C316" s="265"/>
      <c r="D316" s="266"/>
      <c r="E316" s="256"/>
      <c r="F316" s="239"/>
      <c r="G316" s="246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4.5">
      <c r="A317" s="232"/>
      <c r="B317" s="295">
        <v>279</v>
      </c>
      <c r="C317" s="265"/>
      <c r="D317" s="266"/>
      <c r="E317" s="256"/>
      <c r="F317" s="239"/>
      <c r="G317" s="246"/>
    </row>
    <row r="318" spans="1:26" customFormat="1" ht="14.5">
      <c r="A318" s="232"/>
      <c r="B318" s="295">
        <v>280</v>
      </c>
      <c r="C318" s="265"/>
      <c r="D318" s="266"/>
      <c r="E318" s="256"/>
      <c r="F318" s="239"/>
      <c r="G318" s="246"/>
    </row>
    <row r="319" spans="1:26" customFormat="1" ht="14.5">
      <c r="A319" s="232"/>
      <c r="B319" s="295">
        <v>281</v>
      </c>
      <c r="C319" s="265"/>
      <c r="D319" s="266"/>
      <c r="E319" s="256"/>
      <c r="F319" s="239"/>
      <c r="G319" s="246"/>
    </row>
    <row r="320" spans="1:26" customFormat="1" ht="14.5">
      <c r="A320" s="232"/>
      <c r="B320" s="295">
        <v>282</v>
      </c>
      <c r="C320" s="265"/>
      <c r="D320" s="266"/>
      <c r="E320" s="256"/>
      <c r="F320" s="239"/>
      <c r="G320" s="246"/>
    </row>
    <row r="321" spans="1:7" customFormat="1" ht="14.5">
      <c r="A321" s="232"/>
      <c r="B321" s="295">
        <v>283</v>
      </c>
      <c r="C321" s="265"/>
      <c r="D321" s="266"/>
      <c r="E321" s="256"/>
      <c r="F321" s="239"/>
      <c r="G321" s="246"/>
    </row>
    <row r="322" spans="1:7" customFormat="1" ht="14.5">
      <c r="A322" s="232"/>
      <c r="B322" s="295">
        <v>284</v>
      </c>
      <c r="C322" s="265"/>
      <c r="D322" s="266"/>
      <c r="E322" s="256"/>
      <c r="F322" s="239"/>
      <c r="G322" s="246"/>
    </row>
    <row r="323" spans="1:7" customFormat="1" ht="14.5">
      <c r="A323" s="232"/>
      <c r="B323" s="295">
        <v>285</v>
      </c>
      <c r="C323" s="265"/>
      <c r="D323" s="266"/>
      <c r="E323" s="256"/>
      <c r="F323" s="239"/>
      <c r="G323" s="246"/>
    </row>
    <row r="324" spans="1:7" customFormat="1" ht="14.5">
      <c r="A324" s="232"/>
      <c r="B324" s="295">
        <v>286</v>
      </c>
      <c r="C324" s="265"/>
      <c r="D324" s="266"/>
      <c r="E324" s="256"/>
      <c r="F324" s="239"/>
      <c r="G324" s="246"/>
    </row>
    <row r="325" spans="1:7" customFormat="1" ht="14.5">
      <c r="A325" s="232"/>
      <c r="B325" s="295">
        <v>287</v>
      </c>
      <c r="C325" s="265"/>
      <c r="D325" s="266"/>
      <c r="E325" s="256"/>
      <c r="F325" s="239"/>
      <c r="G325" s="246"/>
    </row>
    <row r="326" spans="1:7" customFormat="1" ht="14.5">
      <c r="A326" s="232"/>
      <c r="B326" s="295">
        <v>288</v>
      </c>
      <c r="C326" s="265"/>
      <c r="D326" s="266"/>
      <c r="E326" s="256"/>
      <c r="F326" s="239"/>
      <c r="G326" s="246"/>
    </row>
    <row r="327" spans="1:7" customFormat="1" ht="14.5">
      <c r="A327" s="232"/>
      <c r="B327" s="295">
        <v>289</v>
      </c>
      <c r="C327" s="265"/>
      <c r="D327" s="266"/>
      <c r="E327" s="256"/>
      <c r="F327" s="239"/>
      <c r="G327" s="246"/>
    </row>
    <row r="328" spans="1:7" customFormat="1" ht="14.5">
      <c r="A328" s="232"/>
      <c r="B328" s="295">
        <v>290</v>
      </c>
      <c r="C328" s="265"/>
      <c r="D328" s="266"/>
      <c r="E328" s="256"/>
      <c r="F328" s="239"/>
      <c r="G328" s="246"/>
    </row>
    <row r="329" spans="1:7" customFormat="1" ht="14.5">
      <c r="A329" s="232"/>
      <c r="B329" s="295">
        <v>291</v>
      </c>
      <c r="C329" s="265"/>
      <c r="D329" s="266"/>
      <c r="E329" s="256"/>
      <c r="F329" s="239"/>
      <c r="G329" s="246"/>
    </row>
    <row r="330" spans="1:7" customFormat="1" ht="14.5">
      <c r="A330" s="232"/>
      <c r="B330" s="295">
        <v>292</v>
      </c>
      <c r="C330" s="265"/>
      <c r="D330" s="266"/>
      <c r="E330" s="256"/>
      <c r="F330" s="239"/>
      <c r="G330" s="246"/>
    </row>
    <row r="331" spans="1:7" customFormat="1" ht="14.5">
      <c r="A331" s="232"/>
      <c r="B331" s="295">
        <v>293</v>
      </c>
      <c r="C331" s="265"/>
      <c r="D331" s="266"/>
      <c r="E331" s="256"/>
      <c r="F331" s="239"/>
      <c r="G331" s="246"/>
    </row>
    <row r="332" spans="1:7" customFormat="1" ht="14.5">
      <c r="A332" s="232"/>
      <c r="B332" s="295">
        <v>294</v>
      </c>
      <c r="C332" s="265"/>
      <c r="D332" s="266"/>
      <c r="E332" s="256"/>
      <c r="F332" s="239"/>
      <c r="G332" s="246"/>
    </row>
    <row r="333" spans="1:7" customFormat="1" ht="14.5">
      <c r="A333" s="232"/>
      <c r="B333" s="295">
        <v>295</v>
      </c>
      <c r="C333" s="265"/>
      <c r="D333" s="266"/>
      <c r="E333" s="256"/>
      <c r="F333" s="239"/>
      <c r="G333" s="246"/>
    </row>
    <row r="334" spans="1:7" customFormat="1" ht="14.5">
      <c r="A334" s="232"/>
      <c r="B334" s="295">
        <v>296</v>
      </c>
      <c r="C334" s="265"/>
      <c r="D334" s="266"/>
      <c r="E334" s="256"/>
      <c r="F334" s="239"/>
      <c r="G334" s="246"/>
    </row>
    <row r="335" spans="1:7" customFormat="1" ht="14.5">
      <c r="A335" s="232"/>
      <c r="B335" s="295">
        <v>297</v>
      </c>
      <c r="C335" s="265"/>
      <c r="D335" s="266"/>
      <c r="E335" s="256"/>
      <c r="F335" s="239"/>
      <c r="G335" s="246"/>
    </row>
    <row r="336" spans="1:7" customFormat="1" ht="14.5">
      <c r="A336" s="232"/>
      <c r="B336" s="295">
        <v>298</v>
      </c>
      <c r="C336" s="265"/>
      <c r="D336" s="266"/>
      <c r="E336" s="256"/>
      <c r="F336" s="239"/>
      <c r="G336" s="246"/>
    </row>
    <row r="337" spans="1:7" customFormat="1" ht="14.5">
      <c r="A337" s="232"/>
      <c r="B337" s="295">
        <v>299</v>
      </c>
      <c r="C337" s="265"/>
      <c r="D337" s="266"/>
      <c r="E337" s="256"/>
      <c r="F337" s="239"/>
      <c r="G337" s="246"/>
    </row>
    <row r="338" spans="1:7" customFormat="1" ht="14.5">
      <c r="A338" s="232"/>
      <c r="B338" s="295">
        <v>300</v>
      </c>
      <c r="C338" s="265"/>
      <c r="D338" s="266"/>
      <c r="E338" s="256"/>
      <c r="F338" s="239"/>
      <c r="G338" s="24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Q12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50800</xdr:rowOff>
                  </from>
                  <to>
                    <xdr:col>9</xdr:col>
                    <xdr:colOff>0</xdr:colOff>
                    <xdr:row>6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baseColWidth="10" defaultColWidth="9.1796875" defaultRowHeight="10"/>
  <cols>
    <col min="1" max="1" width="2.81640625" style="300" customWidth="1"/>
    <col min="2" max="2" width="17" style="300" bestFit="1" customWidth="1"/>
    <col min="3" max="3" width="26.54296875" style="300" bestFit="1" customWidth="1"/>
    <col min="4" max="4" width="10.54296875" style="301" customWidth="1"/>
    <col min="5" max="14" width="9.81640625" style="301" customWidth="1"/>
    <col min="15" max="31" width="9.1796875" style="79"/>
    <col min="32" max="16384" width="9.1796875" style="300"/>
  </cols>
  <sheetData>
    <row r="1" spans="1:228" customFormat="1" ht="29.25" customHeight="1">
      <c r="A1" s="297"/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7"/>
      <c r="AE1" s="297"/>
      <c r="AF1" s="297"/>
      <c r="AG1" s="297"/>
      <c r="AH1" s="297"/>
      <c r="AI1" s="297"/>
      <c r="AJ1" s="297"/>
      <c r="AK1" s="297"/>
      <c r="AL1" s="297"/>
      <c r="AM1" s="297"/>
      <c r="AN1" s="297"/>
      <c r="AO1" s="297"/>
      <c r="AP1" s="297"/>
      <c r="AQ1" s="297"/>
      <c r="AR1" s="297"/>
      <c r="AS1" s="297"/>
      <c r="AT1" s="297"/>
      <c r="AU1" s="297"/>
      <c r="AV1" s="297"/>
      <c r="AW1" s="297"/>
      <c r="AX1" s="297"/>
      <c r="AY1" s="297"/>
      <c r="AZ1" s="297"/>
      <c r="BA1" s="297"/>
      <c r="BB1" s="297"/>
      <c r="BC1" s="297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  <c r="CH1" s="297"/>
      <c r="CI1" s="297"/>
      <c r="CJ1" s="297"/>
      <c r="CK1" s="297"/>
      <c r="CL1" s="297"/>
      <c r="CM1" s="297"/>
      <c r="CN1" s="297"/>
      <c r="CO1" s="297"/>
      <c r="CP1" s="297"/>
      <c r="CQ1" s="297"/>
      <c r="CR1" s="297"/>
      <c r="CS1" s="297"/>
      <c r="CT1" s="297"/>
      <c r="CU1" s="297"/>
      <c r="CV1" s="297"/>
      <c r="CW1" s="297"/>
      <c r="CX1" s="297"/>
      <c r="CY1" s="297"/>
      <c r="CZ1" s="297"/>
      <c r="DA1" s="297"/>
      <c r="DB1" s="297"/>
      <c r="DC1" s="297"/>
      <c r="DD1" s="297"/>
      <c r="DE1" s="297"/>
      <c r="DF1" s="297"/>
      <c r="DG1" s="297"/>
      <c r="DH1" s="297"/>
      <c r="DI1" s="297"/>
      <c r="DJ1" s="297"/>
      <c r="DK1" s="297"/>
      <c r="DL1" s="297"/>
      <c r="DM1" s="297"/>
      <c r="DN1" s="297"/>
      <c r="DO1" s="297"/>
      <c r="DP1" s="297"/>
      <c r="DQ1" s="297"/>
      <c r="DR1" s="297"/>
      <c r="DS1" s="297"/>
      <c r="DT1" s="297"/>
      <c r="DU1" s="297"/>
      <c r="DV1" s="297"/>
      <c r="DW1" s="297"/>
      <c r="DX1" s="297"/>
      <c r="DY1" s="297"/>
      <c r="DZ1" s="297"/>
      <c r="EA1" s="297"/>
      <c r="EB1" s="297"/>
      <c r="EC1" s="297"/>
      <c r="ED1" s="297"/>
      <c r="EE1" s="297"/>
      <c r="EF1" s="297"/>
      <c r="EG1" s="297"/>
      <c r="EH1" s="297"/>
      <c r="EI1" s="297"/>
      <c r="EJ1" s="297"/>
      <c r="EK1" s="297"/>
      <c r="EL1" s="297"/>
      <c r="EM1" s="297"/>
      <c r="EN1" s="297"/>
      <c r="EO1" s="297"/>
      <c r="EP1" s="297"/>
      <c r="EQ1" s="297"/>
      <c r="ER1" s="297"/>
      <c r="ES1" s="297"/>
      <c r="ET1" s="297"/>
      <c r="EU1" s="297"/>
      <c r="EV1" s="297"/>
      <c r="EW1" s="297"/>
      <c r="EX1" s="297"/>
      <c r="EY1" s="297"/>
      <c r="EZ1" s="297"/>
      <c r="FA1" s="297"/>
      <c r="FB1" s="297"/>
      <c r="FC1" s="297"/>
      <c r="FD1" s="297"/>
      <c r="FE1" s="297"/>
      <c r="FF1" s="297"/>
      <c r="FG1" s="297"/>
      <c r="FH1" s="297"/>
      <c r="FI1" s="297"/>
      <c r="FJ1" s="297"/>
      <c r="FK1" s="297"/>
      <c r="FL1" s="297"/>
      <c r="FM1" s="297"/>
      <c r="FN1" s="297"/>
      <c r="FO1" s="297"/>
      <c r="FP1" s="297"/>
      <c r="FQ1" s="297"/>
      <c r="FR1" s="297"/>
      <c r="FS1" s="297"/>
      <c r="FT1" s="297"/>
      <c r="FU1" s="297"/>
      <c r="FV1" s="297"/>
      <c r="FW1" s="297"/>
      <c r="FX1" s="297"/>
      <c r="FY1" s="297"/>
      <c r="FZ1" s="297"/>
      <c r="GA1" s="297"/>
      <c r="GB1" s="297"/>
      <c r="GC1" s="297"/>
      <c r="GD1" s="297"/>
      <c r="GE1" s="297"/>
      <c r="GF1" s="297"/>
      <c r="GG1" s="297"/>
      <c r="GH1" s="297"/>
      <c r="GI1" s="297"/>
      <c r="GJ1" s="297"/>
      <c r="GK1" s="297"/>
      <c r="GL1" s="297"/>
      <c r="GM1" s="297"/>
      <c r="GN1" s="297"/>
      <c r="GO1" s="297"/>
      <c r="GP1" s="297"/>
      <c r="GQ1" s="297"/>
      <c r="GR1" s="297"/>
      <c r="GS1" s="297"/>
      <c r="GT1" s="297"/>
      <c r="GU1" s="297"/>
      <c r="GV1" s="297"/>
      <c r="GW1" s="297"/>
      <c r="GX1" s="297"/>
      <c r="GY1" s="297"/>
      <c r="GZ1" s="297"/>
      <c r="HA1" s="297"/>
      <c r="HB1" s="297"/>
      <c r="HC1" s="297"/>
      <c r="HD1" s="297"/>
      <c r="HE1" s="297"/>
      <c r="HF1" s="297"/>
      <c r="HG1" s="297"/>
      <c r="HH1" s="297"/>
      <c r="HI1" s="297"/>
      <c r="HJ1" s="297"/>
      <c r="HK1" s="297"/>
      <c r="HL1" s="297"/>
      <c r="HM1" s="297"/>
      <c r="HN1" s="297"/>
      <c r="HO1" s="297"/>
      <c r="HP1" s="297"/>
      <c r="HQ1" s="297"/>
      <c r="HR1" s="297"/>
      <c r="HS1" s="297"/>
      <c r="HT1" s="297"/>
    </row>
    <row r="2" spans="1:228" customFormat="1" ht="54.75" customHeight="1">
      <c r="A2" s="297"/>
      <c r="B2" s="297"/>
      <c r="C2" s="298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  <c r="CH2" s="297"/>
      <c r="CI2" s="297"/>
      <c r="CJ2" s="297"/>
      <c r="CK2" s="297"/>
      <c r="CL2" s="297"/>
      <c r="CM2" s="297"/>
      <c r="CN2" s="297"/>
      <c r="CO2" s="297"/>
      <c r="CP2" s="297"/>
      <c r="CQ2" s="297"/>
      <c r="CR2" s="297"/>
      <c r="CS2" s="297"/>
      <c r="CT2" s="297"/>
      <c r="CU2" s="297"/>
      <c r="CV2" s="297"/>
      <c r="CW2" s="297"/>
      <c r="CX2" s="297"/>
      <c r="CY2" s="297"/>
      <c r="CZ2" s="297"/>
      <c r="DA2" s="297"/>
      <c r="DB2" s="297"/>
      <c r="DC2" s="297"/>
      <c r="DD2" s="297"/>
      <c r="DE2" s="297"/>
      <c r="DF2" s="297"/>
      <c r="DG2" s="297"/>
      <c r="DH2" s="297"/>
      <c r="DI2" s="297"/>
      <c r="DJ2" s="297"/>
      <c r="DK2" s="297"/>
      <c r="DL2" s="297"/>
      <c r="DM2" s="297"/>
      <c r="DN2" s="297"/>
      <c r="DO2" s="297"/>
      <c r="DP2" s="297"/>
      <c r="DQ2" s="297"/>
      <c r="DR2" s="297"/>
      <c r="DS2" s="297"/>
      <c r="DT2" s="297"/>
      <c r="DU2" s="297"/>
      <c r="DV2" s="297"/>
      <c r="DW2" s="297"/>
      <c r="DX2" s="297"/>
      <c r="DY2" s="297"/>
      <c r="DZ2" s="297"/>
      <c r="EA2" s="297"/>
      <c r="EB2" s="297"/>
      <c r="EC2" s="297"/>
      <c r="ED2" s="297"/>
      <c r="EE2" s="297"/>
      <c r="EF2" s="297"/>
      <c r="EG2" s="297"/>
      <c r="EH2" s="297"/>
      <c r="EI2" s="297"/>
      <c r="EJ2" s="297"/>
      <c r="EK2" s="297"/>
      <c r="EL2" s="297"/>
      <c r="EM2" s="297"/>
      <c r="EN2" s="297"/>
      <c r="EO2" s="297"/>
      <c r="EP2" s="297"/>
      <c r="EQ2" s="297"/>
      <c r="ER2" s="297"/>
      <c r="ES2" s="297"/>
      <c r="ET2" s="297"/>
      <c r="EU2" s="297"/>
      <c r="EV2" s="297"/>
      <c r="EW2" s="297"/>
      <c r="EX2" s="297"/>
      <c r="EY2" s="297"/>
      <c r="EZ2" s="297"/>
      <c r="FA2" s="297"/>
      <c r="FB2" s="297"/>
      <c r="FC2" s="297"/>
      <c r="FD2" s="297"/>
      <c r="FE2" s="297"/>
      <c r="FF2" s="297"/>
      <c r="FG2" s="297"/>
      <c r="FH2" s="297"/>
      <c r="FI2" s="297"/>
      <c r="FJ2" s="297"/>
      <c r="FK2" s="297"/>
      <c r="FL2" s="297"/>
      <c r="FM2" s="297"/>
      <c r="FN2" s="297"/>
      <c r="FO2" s="297"/>
      <c r="FP2" s="297"/>
      <c r="FQ2" s="297"/>
      <c r="FR2" s="297"/>
      <c r="FS2" s="297"/>
      <c r="FT2" s="297"/>
      <c r="FU2" s="297"/>
      <c r="FV2" s="297"/>
      <c r="FW2" s="297"/>
      <c r="FX2" s="297"/>
      <c r="FY2" s="297"/>
      <c r="FZ2" s="297"/>
      <c r="GA2" s="297"/>
      <c r="GB2" s="297"/>
      <c r="GC2" s="297"/>
      <c r="GD2" s="297"/>
      <c r="GE2" s="297"/>
      <c r="GF2" s="297"/>
      <c r="GG2" s="297"/>
      <c r="GH2" s="297"/>
      <c r="GI2" s="297"/>
      <c r="GJ2" s="297"/>
      <c r="GK2" s="297"/>
      <c r="GL2" s="297"/>
      <c r="GM2" s="297"/>
      <c r="GN2" s="297"/>
      <c r="GO2" s="297"/>
      <c r="GP2" s="297"/>
      <c r="GQ2" s="297"/>
      <c r="GR2" s="297"/>
      <c r="GS2" s="297"/>
      <c r="GT2" s="297"/>
      <c r="GU2" s="297"/>
      <c r="GV2" s="297"/>
      <c r="GW2" s="297"/>
      <c r="GX2" s="297"/>
      <c r="GY2" s="297"/>
      <c r="GZ2" s="297"/>
      <c r="HA2" s="297"/>
      <c r="HB2" s="297"/>
      <c r="HC2" s="297"/>
      <c r="HD2" s="297"/>
      <c r="HE2" s="297"/>
      <c r="HF2" s="297"/>
      <c r="HG2" s="297"/>
      <c r="HH2" s="297"/>
      <c r="HI2" s="297"/>
      <c r="HJ2" s="297"/>
      <c r="HK2" s="297"/>
      <c r="HL2" s="297"/>
      <c r="HM2" s="297"/>
      <c r="HN2" s="297"/>
      <c r="HO2" s="297"/>
      <c r="HP2" s="297"/>
      <c r="HQ2" s="297"/>
      <c r="HR2" s="297"/>
      <c r="HS2" s="297"/>
      <c r="HT2" s="297"/>
    </row>
    <row r="3" spans="1:228" customFormat="1" ht="36.75" customHeight="1">
      <c r="A3" s="297"/>
      <c r="B3" s="297"/>
      <c r="C3" s="297"/>
      <c r="D3" s="297"/>
      <c r="E3" s="297"/>
      <c r="F3" s="297"/>
      <c r="G3" s="297"/>
      <c r="H3" s="297"/>
      <c r="I3" s="299"/>
      <c r="J3" s="299"/>
      <c r="K3" s="299"/>
      <c r="L3" s="299"/>
      <c r="M3" s="299"/>
      <c r="N3" s="299"/>
      <c r="O3" s="299"/>
      <c r="P3" s="299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9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7"/>
      <c r="AP3" s="297"/>
      <c r="AQ3" s="297"/>
      <c r="AR3" s="297"/>
      <c r="AS3" s="297"/>
      <c r="AT3" s="297"/>
      <c r="AU3" s="297"/>
      <c r="AV3" s="297"/>
      <c r="AW3" s="297"/>
      <c r="AX3" s="297"/>
      <c r="AY3" s="297"/>
      <c r="AZ3" s="297"/>
      <c r="BA3" s="297"/>
      <c r="BB3" s="297"/>
      <c r="BC3" s="297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  <c r="CH3" s="297"/>
      <c r="CI3" s="297"/>
      <c r="CJ3" s="297"/>
      <c r="CK3" s="297"/>
      <c r="CL3" s="297"/>
      <c r="CM3" s="297"/>
      <c r="CN3" s="297"/>
      <c r="CO3" s="297"/>
      <c r="CP3" s="297"/>
      <c r="CQ3" s="297"/>
      <c r="CR3" s="297"/>
      <c r="CS3" s="297"/>
      <c r="CT3" s="297"/>
      <c r="CU3" s="297"/>
      <c r="CV3" s="297"/>
      <c r="CW3" s="297"/>
      <c r="CX3" s="297"/>
      <c r="CY3" s="297"/>
      <c r="CZ3" s="297"/>
      <c r="DA3" s="297"/>
      <c r="DB3" s="297"/>
      <c r="DC3" s="297"/>
      <c r="DD3" s="297"/>
      <c r="DE3" s="297"/>
      <c r="DF3" s="297"/>
      <c r="DG3" s="297"/>
      <c r="DH3" s="297"/>
      <c r="DI3" s="297"/>
      <c r="DJ3" s="297"/>
      <c r="DK3" s="297"/>
      <c r="DL3" s="297"/>
      <c r="DM3" s="297"/>
      <c r="DN3" s="297"/>
      <c r="DO3" s="297"/>
      <c r="DP3" s="297"/>
      <c r="DQ3" s="297"/>
      <c r="DR3" s="297"/>
      <c r="DS3" s="297"/>
      <c r="DT3" s="297"/>
      <c r="DU3" s="297"/>
      <c r="DV3" s="297"/>
      <c r="DW3" s="297"/>
      <c r="DX3" s="297"/>
      <c r="DY3" s="297"/>
      <c r="DZ3" s="297"/>
      <c r="EA3" s="297"/>
      <c r="EB3" s="297"/>
      <c r="EC3" s="297"/>
      <c r="ED3" s="297"/>
      <c r="EE3" s="297"/>
      <c r="EF3" s="297"/>
      <c r="EG3" s="297"/>
      <c r="EH3" s="297"/>
      <c r="EI3" s="297"/>
      <c r="EJ3" s="297"/>
      <c r="EK3" s="297"/>
      <c r="EL3" s="297"/>
      <c r="EM3" s="297"/>
      <c r="EN3" s="297"/>
      <c r="EO3" s="297"/>
      <c r="EP3" s="297"/>
      <c r="EQ3" s="297"/>
      <c r="ER3" s="297"/>
      <c r="ES3" s="297"/>
      <c r="ET3" s="297"/>
      <c r="EU3" s="297"/>
      <c r="EV3" s="297"/>
      <c r="EW3" s="297"/>
      <c r="EX3" s="297"/>
      <c r="EY3" s="297"/>
      <c r="EZ3" s="297"/>
      <c r="FA3" s="297"/>
      <c r="FB3" s="297"/>
      <c r="FC3" s="297"/>
      <c r="FD3" s="297"/>
      <c r="FE3" s="297"/>
      <c r="FF3" s="297"/>
      <c r="FG3" s="297"/>
      <c r="FH3" s="297"/>
      <c r="FI3" s="297"/>
      <c r="FJ3" s="297"/>
      <c r="FK3" s="297"/>
      <c r="FL3" s="297"/>
      <c r="FM3" s="297"/>
      <c r="FN3" s="297"/>
      <c r="FO3" s="297"/>
      <c r="FP3" s="297"/>
      <c r="FQ3" s="297"/>
      <c r="FR3" s="297"/>
      <c r="FS3" s="297"/>
      <c r="FT3" s="297"/>
      <c r="FU3" s="297"/>
      <c r="FV3" s="297"/>
      <c r="FW3" s="297"/>
      <c r="FX3" s="297"/>
      <c r="FY3" s="297"/>
      <c r="FZ3" s="297"/>
      <c r="GA3" s="297"/>
      <c r="GB3" s="297"/>
      <c r="GC3" s="297"/>
      <c r="GD3" s="297"/>
      <c r="GE3" s="297"/>
      <c r="GF3" s="297"/>
      <c r="GG3" s="297"/>
      <c r="GH3" s="297"/>
      <c r="GI3" s="297"/>
      <c r="GJ3" s="297"/>
      <c r="GK3" s="297"/>
      <c r="GL3" s="297"/>
      <c r="GM3" s="297"/>
      <c r="GN3" s="297"/>
      <c r="GO3" s="297"/>
      <c r="GP3" s="297"/>
      <c r="GQ3" s="297"/>
      <c r="GR3" s="297"/>
      <c r="GS3" s="297"/>
      <c r="GT3" s="297"/>
      <c r="GU3" s="297"/>
      <c r="GV3" s="297"/>
      <c r="GW3" s="297"/>
      <c r="GX3" s="297"/>
      <c r="GY3" s="297"/>
      <c r="GZ3" s="297"/>
      <c r="HA3" s="297"/>
      <c r="HB3" s="297"/>
      <c r="HC3" s="297"/>
      <c r="HD3" s="297"/>
      <c r="HE3" s="297"/>
      <c r="HF3" s="297"/>
      <c r="HG3" s="297"/>
      <c r="HH3" s="297"/>
      <c r="HI3" s="297"/>
      <c r="HJ3" s="297"/>
      <c r="HK3" s="297"/>
      <c r="HL3" s="297"/>
      <c r="HM3" s="297"/>
      <c r="HN3" s="297"/>
      <c r="HO3" s="297"/>
      <c r="HP3" s="297"/>
      <c r="HQ3" s="297"/>
      <c r="HR3" s="297"/>
      <c r="HS3" s="297"/>
      <c r="HT3" s="297"/>
    </row>
    <row r="4" spans="1:228" ht="10.5" thickBot="1"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0"/>
      <c r="Z4" s="300"/>
      <c r="AA4" s="300"/>
      <c r="AB4" s="300"/>
      <c r="AC4" s="300"/>
      <c r="AD4" s="300"/>
      <c r="AE4" s="300"/>
    </row>
    <row r="5" spans="1:228" ht="10.5">
      <c r="B5" s="302" t="s">
        <v>432</v>
      </c>
      <c r="C5" s="303">
        <v>46828</v>
      </c>
      <c r="O5" s="300"/>
      <c r="P5" s="300"/>
      <c r="Q5" s="300"/>
      <c r="R5" s="300"/>
      <c r="S5" s="300"/>
      <c r="T5" s="300"/>
      <c r="U5" s="300"/>
      <c r="V5" s="300"/>
      <c r="W5" s="300"/>
      <c r="X5" s="300"/>
      <c r="Y5" s="300"/>
      <c r="Z5" s="300"/>
      <c r="AA5" s="300"/>
      <c r="AB5" s="300"/>
      <c r="AC5" s="300"/>
      <c r="AD5" s="300"/>
      <c r="AE5" s="300"/>
    </row>
    <row r="6" spans="1:228" ht="10.5">
      <c r="B6" s="304" t="s">
        <v>475</v>
      </c>
      <c r="C6" s="305">
        <v>5000</v>
      </c>
      <c r="D6" s="300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300"/>
      <c r="P6" s="300"/>
      <c r="Q6" s="300"/>
      <c r="R6" s="300"/>
      <c r="S6" s="300"/>
      <c r="T6" s="300"/>
      <c r="U6" s="300"/>
      <c r="V6" s="300"/>
      <c r="W6" s="300"/>
      <c r="X6" s="300"/>
      <c r="Y6" s="300"/>
      <c r="Z6" s="300"/>
      <c r="AA6" s="300"/>
      <c r="AB6" s="300"/>
      <c r="AC6" s="300"/>
      <c r="AD6" s="300"/>
      <c r="AE6" s="300"/>
    </row>
    <row r="7" spans="1:228" ht="11" thickBot="1">
      <c r="B7" s="306" t="s">
        <v>476</v>
      </c>
      <c r="C7" s="307" t="b">
        <v>0</v>
      </c>
      <c r="D7" s="300"/>
      <c r="E7" s="300"/>
      <c r="H7" s="308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300"/>
      <c r="Z7" s="300"/>
      <c r="AA7" s="300"/>
      <c r="AB7" s="300"/>
      <c r="AC7" s="300"/>
      <c r="AD7" s="300"/>
      <c r="AE7" s="300"/>
    </row>
    <row r="8" spans="1:228" ht="11" thickBot="1">
      <c r="B8" s="306" t="s">
        <v>477</v>
      </c>
      <c r="C8" s="309">
        <v>0.3</v>
      </c>
      <c r="D8" s="310"/>
      <c r="E8" s="300"/>
      <c r="H8" s="308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  <c r="AB8" s="300"/>
      <c r="AC8" s="300"/>
      <c r="AD8" s="300"/>
      <c r="AE8" s="300"/>
    </row>
    <row r="9" spans="1:228" ht="11" thickBot="1">
      <c r="B9" s="306" t="s">
        <v>478</v>
      </c>
      <c r="C9" s="311">
        <v>125</v>
      </c>
      <c r="D9" s="310"/>
      <c r="E9" s="300"/>
      <c r="H9" s="308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  <c r="AC9" s="300"/>
      <c r="AD9" s="300"/>
      <c r="AE9" s="300"/>
    </row>
    <row r="10" spans="1:228" ht="11" thickBot="1">
      <c r="B10" s="312"/>
      <c r="C10" s="313"/>
      <c r="D10" s="310"/>
      <c r="E10" s="300"/>
      <c r="H10" s="308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</row>
    <row r="11" spans="1:228" ht="10.5">
      <c r="B11" s="314" t="s">
        <v>82</v>
      </c>
      <c r="C11" s="315" t="s">
        <v>67</v>
      </c>
      <c r="D11" s="300"/>
      <c r="E11" s="300"/>
      <c r="H11" s="308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</row>
    <row r="12" spans="1:228" ht="10.5">
      <c r="B12" s="316" t="s">
        <v>437</v>
      </c>
      <c r="C12" s="317">
        <v>-0.1</v>
      </c>
      <c r="D12" s="310"/>
      <c r="E12" s="300"/>
      <c r="H12" s="308"/>
      <c r="O12" s="300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0"/>
      <c r="AC12" s="300"/>
      <c r="AD12" s="300"/>
      <c r="AE12" s="300"/>
    </row>
    <row r="13" spans="1:228" ht="11" thickBot="1">
      <c r="B13" s="318" t="s">
        <v>439</v>
      </c>
      <c r="C13" s="240">
        <v>0.1</v>
      </c>
      <c r="E13" s="319"/>
      <c r="H13" s="308"/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  <c r="AA13" s="300"/>
      <c r="AB13" s="300"/>
      <c r="AC13" s="300"/>
      <c r="AD13" s="300"/>
      <c r="AE13" s="300"/>
    </row>
    <row r="14" spans="1:228" ht="11" thickBot="1">
      <c r="B14" s="320"/>
      <c r="C14" s="321"/>
      <c r="E14" s="319"/>
      <c r="H14" s="308"/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  <c r="AA14" s="300"/>
      <c r="AB14" s="300"/>
      <c r="AC14" s="300"/>
      <c r="AD14" s="300"/>
      <c r="AE14" s="300"/>
    </row>
    <row r="15" spans="1:228" ht="10.5">
      <c r="B15" s="302" t="s">
        <v>458</v>
      </c>
      <c r="C15" s="322" t="s">
        <v>459</v>
      </c>
      <c r="E15" s="319"/>
      <c r="H15" s="308"/>
      <c r="O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  <c r="AA15" s="300"/>
      <c r="AB15" s="300"/>
      <c r="AC15" s="300"/>
      <c r="AD15" s="300"/>
      <c r="AE15" s="300"/>
    </row>
    <row r="16" spans="1:228" ht="10.5">
      <c r="B16" s="304" t="s">
        <v>461</v>
      </c>
      <c r="C16" s="323" t="s">
        <v>479</v>
      </c>
      <c r="E16" s="319"/>
      <c r="H16" s="308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</row>
    <row r="17" spans="2:31" ht="11" thickBot="1">
      <c r="B17" s="306" t="s">
        <v>462</v>
      </c>
      <c r="C17" s="324"/>
      <c r="E17" s="319"/>
      <c r="H17" s="308"/>
      <c r="O17" s="300"/>
      <c r="P17" s="300"/>
      <c r="Q17" s="300"/>
      <c r="R17" s="300"/>
      <c r="S17" s="300"/>
      <c r="T17" s="300"/>
      <c r="U17" s="300"/>
      <c r="V17" s="300"/>
      <c r="W17" s="300"/>
      <c r="X17" s="300"/>
      <c r="Y17" s="300"/>
      <c r="Z17" s="300"/>
      <c r="AA17" s="300"/>
      <c r="AB17" s="300"/>
      <c r="AC17" s="300"/>
      <c r="AD17" s="300"/>
      <c r="AE17" s="300"/>
    </row>
    <row r="18" spans="2:31" ht="11" thickBot="1">
      <c r="B18" s="312"/>
      <c r="C18" s="325"/>
      <c r="E18" s="319"/>
      <c r="H18" s="308"/>
      <c r="O18" s="300"/>
      <c r="P18" s="300"/>
      <c r="Q18" s="300"/>
      <c r="R18" s="300"/>
      <c r="S18" s="300"/>
      <c r="T18" s="300"/>
      <c r="U18" s="300"/>
      <c r="V18" s="300"/>
      <c r="W18" s="300"/>
      <c r="X18" s="300"/>
      <c r="Y18" s="300"/>
      <c r="Z18" s="300"/>
      <c r="AA18" s="300"/>
      <c r="AB18" s="300"/>
      <c r="AC18" s="300"/>
      <c r="AD18" s="300"/>
      <c r="AE18" s="300"/>
    </row>
    <row r="19" spans="2:31" ht="11" thickBot="1">
      <c r="B19" s="314" t="s">
        <v>480</v>
      </c>
      <c r="C19" s="326"/>
      <c r="D19" s="327"/>
      <c r="E19" s="512" t="s">
        <v>481</v>
      </c>
      <c r="F19" s="512"/>
      <c r="G19" s="512"/>
      <c r="H19" s="512"/>
      <c r="I19" s="512"/>
      <c r="J19" s="512"/>
      <c r="K19" s="512"/>
      <c r="L19" s="512"/>
      <c r="M19" s="512"/>
      <c r="N19" s="513"/>
      <c r="O19" s="300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0"/>
      <c r="AA19" s="300"/>
      <c r="AB19" s="300"/>
      <c r="AC19" s="300"/>
      <c r="AD19" s="300"/>
      <c r="AE19" s="300"/>
    </row>
    <row r="20" spans="2:31" ht="11" thickBot="1">
      <c r="B20" s="329"/>
      <c r="C20" s="330"/>
      <c r="D20" s="331" t="s">
        <v>482</v>
      </c>
      <c r="E20" s="332">
        <v>1</v>
      </c>
      <c r="F20" s="333">
        <v>2</v>
      </c>
      <c r="G20" s="332">
        <v>3</v>
      </c>
      <c r="H20" s="334">
        <v>4</v>
      </c>
      <c r="I20" s="334">
        <v>5</v>
      </c>
      <c r="J20" s="334">
        <v>6</v>
      </c>
      <c r="K20" s="334">
        <v>7</v>
      </c>
      <c r="L20" s="333">
        <v>8</v>
      </c>
      <c r="M20" s="334">
        <v>9</v>
      </c>
      <c r="N20" s="335">
        <v>10</v>
      </c>
      <c r="O20" s="300"/>
      <c r="P20" s="300"/>
      <c r="Q20" s="300"/>
      <c r="R20" s="300"/>
      <c r="S20" s="300"/>
      <c r="T20" s="300"/>
      <c r="U20" s="300"/>
      <c r="V20" s="300"/>
      <c r="W20" s="312"/>
      <c r="X20" s="300"/>
      <c r="Y20" s="300"/>
      <c r="Z20" s="300"/>
      <c r="AA20" s="300"/>
      <c r="AB20" s="300"/>
      <c r="AC20" s="300"/>
      <c r="AD20" s="300"/>
      <c r="AE20" s="300"/>
    </row>
    <row r="21" spans="2:31" ht="10.5">
      <c r="B21" s="302" t="s">
        <v>465</v>
      </c>
      <c r="C21" s="336">
        <v>0.54</v>
      </c>
      <c r="D21" s="337" t="s">
        <v>465</v>
      </c>
      <c r="E21" s="338">
        <v>6.0999999999999999E-2</v>
      </c>
      <c r="F21" s="338">
        <v>6.0999999999999999E-2</v>
      </c>
      <c r="G21" s="338">
        <v>6.0999999999999999E-2</v>
      </c>
      <c r="H21" s="338">
        <v>6.0999999999999999E-2</v>
      </c>
      <c r="I21" s="339">
        <v>0.06</v>
      </c>
      <c r="J21" s="339">
        <v>0.06</v>
      </c>
      <c r="K21" s="340"/>
      <c r="L21" s="341"/>
      <c r="M21" s="340"/>
      <c r="N21" s="342"/>
      <c r="O21" s="300"/>
      <c r="P21" s="300"/>
      <c r="Q21" s="300"/>
      <c r="R21" s="300"/>
      <c r="S21" s="300"/>
      <c r="T21" s="300"/>
      <c r="U21" s="300"/>
      <c r="V21" s="300"/>
      <c r="W21" s="300"/>
      <c r="X21" s="300"/>
      <c r="Y21" s="300"/>
      <c r="Z21" s="300"/>
      <c r="AA21" s="300"/>
      <c r="AB21" s="300"/>
      <c r="AC21" s="300"/>
      <c r="AD21" s="300"/>
      <c r="AE21" s="300"/>
    </row>
    <row r="22" spans="2:31" ht="11" thickBot="1">
      <c r="B22" s="306" t="s">
        <v>466</v>
      </c>
      <c r="C22" s="343">
        <v>0.84</v>
      </c>
      <c r="D22" s="337" t="s">
        <v>483</v>
      </c>
      <c r="E22" s="344">
        <v>0.111</v>
      </c>
      <c r="F22" s="344">
        <v>0.111</v>
      </c>
      <c r="G22" s="344">
        <v>0.111</v>
      </c>
      <c r="H22" s="344">
        <v>0.111</v>
      </c>
      <c r="I22" s="345">
        <v>0.11</v>
      </c>
      <c r="J22" s="345">
        <v>0.11</v>
      </c>
      <c r="K22" s="346"/>
      <c r="L22" s="347"/>
      <c r="M22" s="346"/>
      <c r="N22" s="348"/>
      <c r="O22" s="300"/>
      <c r="P22" s="300"/>
      <c r="Q22" s="349"/>
      <c r="R22" s="300"/>
      <c r="S22" s="300"/>
      <c r="T22" s="300"/>
      <c r="U22" s="300"/>
      <c r="V22" s="300"/>
      <c r="W22" s="300"/>
      <c r="X22" s="300"/>
      <c r="Y22" s="300"/>
      <c r="Z22" s="300"/>
      <c r="AA22" s="300"/>
      <c r="AB22" s="300"/>
      <c r="AC22" s="300"/>
      <c r="AD22" s="300"/>
      <c r="AE22" s="300"/>
    </row>
    <row r="23" spans="2:31" ht="11" thickBot="1">
      <c r="B23" s="350"/>
      <c r="C23" s="351"/>
      <c r="D23" s="352" t="s">
        <v>484</v>
      </c>
      <c r="E23" s="353">
        <f t="shared" ref="E23:J23" si="0">0.166666666666667%*100</f>
        <v>0.16666666666666699</v>
      </c>
      <c r="F23" s="353">
        <f t="shared" si="0"/>
        <v>0.16666666666666699</v>
      </c>
      <c r="G23" s="353">
        <f t="shared" si="0"/>
        <v>0.16666666666666699</v>
      </c>
      <c r="H23" s="353">
        <f t="shared" si="0"/>
        <v>0.16666666666666699</v>
      </c>
      <c r="I23" s="353">
        <f t="shared" si="0"/>
        <v>0.16666666666666699</v>
      </c>
      <c r="J23" s="353">
        <f t="shared" si="0"/>
        <v>0.16666666666666699</v>
      </c>
      <c r="K23" s="346"/>
      <c r="L23" s="347"/>
      <c r="M23" s="346"/>
      <c r="N23" s="348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</row>
    <row r="24" spans="2:31" ht="11" thickBot="1">
      <c r="B24" s="350"/>
      <c r="C24" s="351"/>
      <c r="D24" s="354"/>
      <c r="E24" s="355"/>
      <c r="F24" s="356"/>
      <c r="G24" s="356"/>
      <c r="H24" s="356"/>
      <c r="I24" s="356"/>
      <c r="J24" s="356"/>
      <c r="K24" s="356"/>
      <c r="L24" s="356"/>
      <c r="M24" s="356"/>
      <c r="N24" s="126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C24" s="300"/>
      <c r="AD24" s="300"/>
      <c r="AE24" s="300"/>
    </row>
    <row r="25" spans="2:31" ht="11" thickBot="1">
      <c r="B25" s="302" t="s">
        <v>485</v>
      </c>
      <c r="C25" s="357">
        <v>8.3836702003960026E-2</v>
      </c>
      <c r="D25" s="358"/>
      <c r="E25" s="510" t="s">
        <v>486</v>
      </c>
      <c r="F25" s="510"/>
      <c r="G25" s="510"/>
      <c r="H25" s="510"/>
      <c r="I25" s="510"/>
      <c r="J25" s="510"/>
      <c r="K25" s="510"/>
      <c r="L25" s="510"/>
      <c r="M25" s="510"/>
      <c r="N25" s="509"/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  <c r="AA25" s="300"/>
      <c r="AB25" s="300"/>
      <c r="AC25" s="300"/>
      <c r="AD25" s="300"/>
      <c r="AE25" s="300"/>
    </row>
    <row r="26" spans="2:31" ht="11" thickBot="1">
      <c r="B26" s="306" t="s">
        <v>487</v>
      </c>
      <c r="C26" s="359" t="b">
        <v>1</v>
      </c>
      <c r="D26" s="331" t="s">
        <v>488</v>
      </c>
      <c r="E26" s="360">
        <v>1</v>
      </c>
      <c r="F26" s="59">
        <f t="shared" ref="F26:N26" si="1">E26+1</f>
        <v>2</v>
      </c>
      <c r="G26" s="361">
        <f t="shared" si="1"/>
        <v>3</v>
      </c>
      <c r="H26" s="362">
        <f t="shared" si="1"/>
        <v>4</v>
      </c>
      <c r="I26" s="362">
        <f t="shared" si="1"/>
        <v>5</v>
      </c>
      <c r="J26" s="362">
        <f t="shared" si="1"/>
        <v>6</v>
      </c>
      <c r="K26" s="362">
        <f t="shared" si="1"/>
        <v>7</v>
      </c>
      <c r="L26" s="59">
        <f t="shared" si="1"/>
        <v>8</v>
      </c>
      <c r="M26" s="362">
        <f t="shared" si="1"/>
        <v>9</v>
      </c>
      <c r="N26" s="363">
        <f t="shared" si="1"/>
        <v>10</v>
      </c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</row>
    <row r="27" spans="2:31" ht="10.5">
      <c r="B27" s="350"/>
      <c r="D27" s="364">
        <v>0</v>
      </c>
      <c r="E27" s="365">
        <v>1.9E-2</v>
      </c>
      <c r="F27" s="366">
        <v>2.1000000000000001E-2</v>
      </c>
      <c r="G27" s="367">
        <v>2.1999999999999999E-2</v>
      </c>
      <c r="H27" s="368">
        <v>2.1000000000000001E-2</v>
      </c>
      <c r="I27" s="367">
        <v>2.1999999999999999E-2</v>
      </c>
      <c r="J27" s="367">
        <v>2.1000000000000001E-2</v>
      </c>
      <c r="K27" s="341"/>
      <c r="L27" s="369"/>
      <c r="M27" s="341"/>
      <c r="N27" s="317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0"/>
      <c r="AB27" s="300"/>
      <c r="AC27" s="300"/>
      <c r="AD27" s="300"/>
      <c r="AE27" s="300"/>
    </row>
    <row r="28" spans="2:31" ht="10.5">
      <c r="B28" s="350"/>
      <c r="D28" s="370">
        <v>2.4E-2</v>
      </c>
      <c r="E28" s="365">
        <v>3.5999999999999997E-2</v>
      </c>
      <c r="F28" s="371">
        <v>0.04</v>
      </c>
      <c r="G28" s="372">
        <v>4.1000000000000002E-2</v>
      </c>
      <c r="H28" s="373">
        <v>0.04</v>
      </c>
      <c r="I28" s="373">
        <v>4.1000000000000002E-2</v>
      </c>
      <c r="J28" s="373">
        <v>0.04</v>
      </c>
      <c r="K28" s="374"/>
      <c r="L28" s="374"/>
      <c r="M28" s="374"/>
      <c r="N28" s="374"/>
      <c r="O28" s="300"/>
      <c r="P28" s="300"/>
      <c r="Q28" s="300"/>
      <c r="R28" s="300"/>
      <c r="S28" s="300"/>
      <c r="T28" s="300"/>
      <c r="U28" s="300"/>
      <c r="V28" s="300"/>
      <c r="W28" s="300"/>
      <c r="X28" s="300"/>
      <c r="Y28" s="300"/>
      <c r="Z28" s="300"/>
      <c r="AA28" s="300"/>
      <c r="AB28" s="300"/>
      <c r="AC28" s="300"/>
      <c r="AD28" s="300"/>
      <c r="AE28" s="300"/>
    </row>
    <row r="29" spans="2:31" ht="10.5">
      <c r="B29" s="350"/>
      <c r="D29" s="370">
        <v>4.9000000000000002E-2</v>
      </c>
      <c r="E29" s="365">
        <v>6.3E-2</v>
      </c>
      <c r="F29" s="371">
        <v>6.9000000000000006E-2</v>
      </c>
      <c r="G29" s="372">
        <v>7.0999999999999994E-2</v>
      </c>
      <c r="H29" s="373">
        <v>6.9000000000000006E-2</v>
      </c>
      <c r="I29" s="373">
        <v>7.0999999999999994E-2</v>
      </c>
      <c r="J29" s="373">
        <v>6.9000000000000006E-2</v>
      </c>
      <c r="K29" s="374"/>
      <c r="L29" s="374"/>
      <c r="M29" s="374"/>
      <c r="N29" s="374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  <c r="AA29" s="300"/>
      <c r="AB29" s="300"/>
      <c r="AC29" s="300"/>
      <c r="AD29" s="300"/>
      <c r="AE29" s="300"/>
    </row>
    <row r="30" spans="2:31" ht="10.5">
      <c r="B30" s="350"/>
      <c r="D30" s="370">
        <v>6.5000000000000002E-2</v>
      </c>
      <c r="E30" s="365">
        <v>9.2999999999999999E-2</v>
      </c>
      <c r="F30" s="371">
        <v>0.107</v>
      </c>
      <c r="G30" s="372">
        <v>0.111</v>
      </c>
      <c r="H30" s="373">
        <v>0.108</v>
      </c>
      <c r="I30" s="373">
        <v>0.112</v>
      </c>
      <c r="J30" s="373">
        <v>0.108</v>
      </c>
      <c r="K30" s="374"/>
      <c r="L30" s="374"/>
      <c r="M30" s="374"/>
      <c r="N30" s="374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  <c r="AC30" s="300"/>
      <c r="AD30" s="300"/>
      <c r="AE30" s="300"/>
    </row>
    <row r="31" spans="2:31" ht="10.5">
      <c r="B31" s="350"/>
      <c r="D31" s="370">
        <v>8.1000000000000003E-2</v>
      </c>
      <c r="E31" s="365">
        <v>0.13300000000000001</v>
      </c>
      <c r="F31" s="371">
        <v>0.14899999999999999</v>
      </c>
      <c r="G31" s="372">
        <v>0.154</v>
      </c>
      <c r="H31" s="373">
        <v>0.151</v>
      </c>
      <c r="I31" s="373">
        <v>0.154</v>
      </c>
      <c r="J31" s="373">
        <v>0.14899999999999999</v>
      </c>
      <c r="K31" s="374"/>
      <c r="L31" s="374"/>
      <c r="M31" s="374"/>
      <c r="N31" s="374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  <c r="AA31" s="300"/>
      <c r="AB31" s="300"/>
      <c r="AC31" s="300"/>
      <c r="AD31" s="300"/>
      <c r="AE31" s="300"/>
    </row>
    <row r="32" spans="2:31" ht="10.5">
      <c r="B32" s="350"/>
      <c r="D32" s="370">
        <v>9.8000000000000004E-2</v>
      </c>
      <c r="E32" s="365">
        <v>0.17399999999999999</v>
      </c>
      <c r="F32" s="371">
        <v>0.191</v>
      </c>
      <c r="G32" s="372">
        <v>0.19600000000000001</v>
      </c>
      <c r="H32" s="373">
        <v>0.19400000000000001</v>
      </c>
      <c r="I32" s="373">
        <v>0.19700000000000001</v>
      </c>
      <c r="J32" s="373">
        <v>0.191</v>
      </c>
      <c r="K32" s="374"/>
      <c r="L32" s="374"/>
      <c r="M32" s="374"/>
      <c r="N32" s="374"/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0"/>
      <c r="Z32" s="300"/>
      <c r="AA32" s="300"/>
      <c r="AB32" s="300"/>
      <c r="AC32" s="300"/>
      <c r="AD32" s="300"/>
      <c r="AE32" s="300"/>
    </row>
    <row r="33" spans="1:31" ht="11" thickBot="1">
      <c r="B33" s="375"/>
      <c r="C33" s="376"/>
      <c r="D33" s="377">
        <v>0.114</v>
      </c>
      <c r="E33" s="378">
        <v>0.214</v>
      </c>
      <c r="F33" s="379">
        <v>0.23200000000000001</v>
      </c>
      <c r="G33" s="380">
        <v>0.23799999999999999</v>
      </c>
      <c r="H33" s="381">
        <v>0.23499999999999999</v>
      </c>
      <c r="I33" s="380">
        <v>0.23899999999999999</v>
      </c>
      <c r="J33" s="380">
        <v>0.23200000000000001</v>
      </c>
      <c r="K33" s="347"/>
      <c r="L33" s="382"/>
      <c r="M33" s="347"/>
      <c r="N33" s="343"/>
      <c r="O33" s="300"/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  <c r="AA33" s="300"/>
      <c r="AB33" s="300"/>
      <c r="AC33" s="300"/>
      <c r="AD33" s="300"/>
      <c r="AE33" s="300"/>
    </row>
    <row r="34" spans="1:31" ht="10.5" thickBot="1">
      <c r="D34" s="300"/>
      <c r="E34" s="300"/>
      <c r="F34" s="300"/>
      <c r="G34" s="300"/>
      <c r="H34" s="300"/>
      <c r="I34" s="300"/>
      <c r="J34" s="300"/>
      <c r="K34" s="300"/>
      <c r="L34" s="300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300"/>
      <c r="Z34" s="300"/>
      <c r="AA34" s="300"/>
      <c r="AB34" s="300"/>
      <c r="AC34" s="300"/>
      <c r="AD34" s="300"/>
      <c r="AE34" s="300"/>
    </row>
    <row r="35" spans="1:31" ht="11" thickBot="1">
      <c r="D35" s="383" t="s">
        <v>423</v>
      </c>
      <c r="E35" s="384" t="b">
        <v>1</v>
      </c>
      <c r="F35" s="300"/>
      <c r="G35" s="300"/>
      <c r="H35" s="300"/>
      <c r="I35" s="300"/>
      <c r="J35" s="300"/>
      <c r="K35" s="300"/>
      <c r="L35" s="300"/>
      <c r="M35" s="300"/>
      <c r="N35" s="300"/>
      <c r="O35" s="300"/>
      <c r="P35" s="300"/>
      <c r="Q35" s="300"/>
      <c r="R35" s="300"/>
      <c r="S35" s="300"/>
      <c r="T35" s="300"/>
      <c r="U35" s="300"/>
      <c r="V35" s="300"/>
      <c r="W35" s="300"/>
      <c r="X35" s="300"/>
      <c r="Y35" s="300"/>
      <c r="Z35" s="300"/>
      <c r="AA35" s="300"/>
      <c r="AB35" s="300"/>
      <c r="AC35" s="300"/>
      <c r="AD35" s="300"/>
      <c r="AE35" s="300"/>
    </row>
    <row r="36" spans="1:31" ht="11" thickBot="1">
      <c r="B36" s="385"/>
      <c r="C36" s="79"/>
      <c r="D36" s="300"/>
      <c r="E36" s="300"/>
      <c r="F36" s="300"/>
      <c r="G36" s="300"/>
      <c r="H36" s="300"/>
      <c r="I36" s="300"/>
      <c r="J36" s="300"/>
      <c r="K36" s="300"/>
      <c r="L36" s="300"/>
      <c r="M36" s="300"/>
      <c r="N36" s="300"/>
      <c r="O36" s="300"/>
      <c r="P36" s="300"/>
      <c r="Q36" s="300"/>
      <c r="R36" s="300"/>
      <c r="S36" s="300"/>
      <c r="T36" s="300"/>
      <c r="U36" s="300"/>
      <c r="V36" s="300"/>
      <c r="W36" s="300"/>
      <c r="X36" s="300"/>
      <c r="Y36" s="300"/>
      <c r="Z36" s="300"/>
      <c r="AA36" s="300"/>
      <c r="AB36" s="300"/>
      <c r="AC36" s="300"/>
      <c r="AD36" s="300"/>
      <c r="AE36" s="300"/>
    </row>
    <row r="37" spans="1:31" ht="13.5" customHeight="1" thickBot="1">
      <c r="B37" s="385"/>
      <c r="C37" s="508" t="s">
        <v>480</v>
      </c>
      <c r="D37" s="509"/>
      <c r="E37" s="510" t="s">
        <v>489</v>
      </c>
      <c r="F37" s="510"/>
      <c r="G37" s="510"/>
      <c r="H37" s="510"/>
      <c r="I37" s="510"/>
      <c r="J37" s="510"/>
      <c r="K37" s="510"/>
      <c r="L37" s="510"/>
      <c r="M37" s="510"/>
      <c r="N37" s="509"/>
      <c r="O37" s="300"/>
      <c r="P37" s="300"/>
      <c r="Q37" s="300"/>
      <c r="R37" s="300"/>
      <c r="S37" s="300"/>
      <c r="T37" s="300"/>
      <c r="U37" s="300"/>
      <c r="V37" s="300"/>
      <c r="W37" s="300"/>
      <c r="X37" s="300"/>
      <c r="Y37" s="300"/>
      <c r="Z37" s="300"/>
      <c r="AA37" s="300"/>
      <c r="AB37" s="300"/>
      <c r="AC37" s="300"/>
      <c r="AD37" s="300"/>
      <c r="AE37" s="300"/>
    </row>
    <row r="38" spans="1:31" ht="11" thickBot="1">
      <c r="B38" s="312"/>
      <c r="C38" s="386" t="s">
        <v>434</v>
      </c>
      <c r="D38" s="387" t="s">
        <v>490</v>
      </c>
      <c r="E38" s="301">
        <v>1</v>
      </c>
      <c r="F38" s="301">
        <f t="shared" ref="F38:N38" si="2">E38+1</f>
        <v>2</v>
      </c>
      <c r="G38" s="301">
        <f t="shared" si="2"/>
        <v>3</v>
      </c>
      <c r="H38" s="301">
        <f t="shared" si="2"/>
        <v>4</v>
      </c>
      <c r="I38" s="301">
        <f t="shared" si="2"/>
        <v>5</v>
      </c>
      <c r="J38" s="301">
        <f t="shared" si="2"/>
        <v>6</v>
      </c>
      <c r="K38" s="301">
        <f t="shared" si="2"/>
        <v>7</v>
      </c>
      <c r="L38" s="301">
        <f t="shared" si="2"/>
        <v>8</v>
      </c>
      <c r="M38" s="301">
        <f t="shared" si="2"/>
        <v>9</v>
      </c>
      <c r="N38" s="388">
        <f t="shared" si="2"/>
        <v>10</v>
      </c>
      <c r="O38" s="300"/>
      <c r="P38" s="300"/>
      <c r="Q38" s="300"/>
      <c r="R38" s="300"/>
      <c r="S38" s="300"/>
      <c r="T38" s="300"/>
      <c r="U38" s="300"/>
      <c r="V38" s="300"/>
      <c r="W38" s="300"/>
      <c r="X38" s="300"/>
      <c r="Y38" s="300"/>
      <c r="Z38" s="300"/>
      <c r="AA38" s="300"/>
      <c r="AB38" s="300"/>
      <c r="AC38" s="300"/>
      <c r="AD38" s="300"/>
      <c r="AE38" s="300"/>
    </row>
    <row r="39" spans="1:31" ht="11" thickBot="1">
      <c r="A39" s="79"/>
      <c r="B39" s="386" t="s">
        <v>491</v>
      </c>
      <c r="C39" s="389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0" t="str">
        <f ca="1"/>
        <v/>
      </c>
      <c r="E39" s="391" t="str">
        <f ca="1"/>
        <v/>
      </c>
      <c r="F39" s="391" t="str">
        <f ca="1"/>
        <v/>
      </c>
      <c r="G39" s="391" t="str">
        <f ca="1"/>
        <v/>
      </c>
      <c r="H39" s="391" t="str">
        <f ca="1"/>
        <v/>
      </c>
      <c r="I39" s="391" t="str">
        <f ca="1"/>
        <v/>
      </c>
      <c r="J39" s="391" t="str">
        <f ca="1"/>
        <v/>
      </c>
      <c r="K39" s="391" t="str">
        <f ca="1"/>
        <v/>
      </c>
      <c r="L39" s="391" t="str">
        <f ca="1"/>
        <v/>
      </c>
      <c r="M39" s="391" t="str">
        <f ca="1"/>
        <v/>
      </c>
      <c r="N39" s="392" t="str">
        <f ca="1"/>
        <v/>
      </c>
      <c r="O39" s="300"/>
      <c r="P39" s="300"/>
      <c r="Q39" s="300"/>
      <c r="R39" s="300"/>
      <c r="S39" s="300"/>
      <c r="T39" s="300"/>
      <c r="U39" s="300"/>
      <c r="V39" s="300"/>
      <c r="W39" s="300"/>
      <c r="X39" s="300"/>
      <c r="Y39" s="300"/>
      <c r="Z39" s="300"/>
      <c r="AA39" s="300"/>
      <c r="AB39" s="300"/>
      <c r="AC39" s="300"/>
      <c r="AD39" s="300"/>
      <c r="AE39" s="300"/>
    </row>
    <row r="40" spans="1:31" ht="11" thickBot="1">
      <c r="B40" s="386" t="s">
        <v>492</v>
      </c>
      <c r="C40" s="393" t="str">
        <f ca="1"/>
        <v/>
      </c>
      <c r="D40" s="394" t="str">
        <f ca="1"/>
        <v/>
      </c>
      <c r="E40" s="395" t="str">
        <f ca="1"/>
        <v/>
      </c>
      <c r="F40" s="395" t="str">
        <f ca="1"/>
        <v/>
      </c>
      <c r="G40" s="395" t="str">
        <f ca="1"/>
        <v/>
      </c>
      <c r="H40" s="395" t="str">
        <f ca="1"/>
        <v/>
      </c>
      <c r="I40" s="395" t="str">
        <f ca="1"/>
        <v/>
      </c>
      <c r="J40" s="395" t="str">
        <f ca="1"/>
        <v/>
      </c>
      <c r="K40" s="395" t="str">
        <f ca="1"/>
        <v/>
      </c>
      <c r="L40" s="395" t="str">
        <f ca="1"/>
        <v/>
      </c>
      <c r="M40" s="395" t="str">
        <f ca="1"/>
        <v/>
      </c>
      <c r="N40" s="396" t="str">
        <f ca="1"/>
        <v/>
      </c>
      <c r="O40" s="300"/>
      <c r="P40" s="300"/>
      <c r="Q40" s="300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0"/>
      <c r="AD40" s="300"/>
      <c r="AE40" s="300"/>
    </row>
    <row r="41" spans="1:31">
      <c r="C41" s="397"/>
      <c r="D41" s="398" t="e" cm="1">
        <f t="array" aca="1" ref="D41" ca="1">GetTest2(E21:N23)</f>
        <v>#VALUE!</v>
      </c>
      <c r="E41" s="398"/>
      <c r="F41" s="399"/>
      <c r="G41" s="398"/>
      <c r="H41" s="399"/>
      <c r="I41" s="397"/>
      <c r="J41" s="399"/>
      <c r="K41" s="397"/>
      <c r="L41" s="399"/>
      <c r="M41" s="397"/>
      <c r="N41" s="397"/>
      <c r="O41" s="300"/>
      <c r="P41" s="511"/>
      <c r="Q41" s="511"/>
      <c r="R41" s="511"/>
      <c r="S41" s="300"/>
      <c r="T41" s="300"/>
      <c r="U41" s="300"/>
      <c r="V41" s="300"/>
      <c r="W41" s="300"/>
      <c r="X41" s="300"/>
      <c r="Y41" s="300"/>
      <c r="Z41" s="300"/>
      <c r="AA41" s="300"/>
      <c r="AB41" s="300"/>
      <c r="AC41" s="300"/>
      <c r="AD41" s="300"/>
      <c r="AE41" s="300"/>
    </row>
    <row r="42" spans="1:31">
      <c r="B42" s="300" t="str" cm="1">
        <f t="array" aca="1" ref="B42" ca="1">GetTest2(E21:N23,C21,C22,C26,D46:N345,Parameter_Date,C5,C11)</f>
        <v>6 , 5, 0, 0,02</v>
      </c>
      <c r="D42" s="398"/>
      <c r="E42" s="398"/>
      <c r="F42" s="399"/>
      <c r="G42" s="398"/>
      <c r="H42" s="399"/>
      <c r="I42" s="397"/>
      <c r="J42" s="399"/>
      <c r="K42" s="397"/>
      <c r="L42" s="399"/>
      <c r="M42" s="397"/>
      <c r="N42" s="397"/>
      <c r="O42" s="300"/>
      <c r="P42" s="300"/>
      <c r="Q42" s="300"/>
      <c r="R42" s="300"/>
      <c r="S42" s="300"/>
      <c r="T42" s="300"/>
      <c r="U42" s="300"/>
      <c r="V42" s="300"/>
      <c r="W42" s="300"/>
      <c r="X42" s="300"/>
      <c r="Y42" s="300"/>
      <c r="Z42" s="300"/>
      <c r="AA42" s="300"/>
      <c r="AB42" s="300"/>
      <c r="AC42" s="300"/>
      <c r="AD42" s="300"/>
      <c r="AE42" s="300"/>
    </row>
    <row r="43" spans="1:31" ht="11" thickBot="1">
      <c r="D43" s="300"/>
      <c r="E43" s="400"/>
      <c r="O43" s="300"/>
      <c r="P43" s="300"/>
      <c r="Q43" s="300"/>
      <c r="R43" s="300"/>
      <c r="S43" s="300"/>
      <c r="T43" s="300"/>
      <c r="U43" s="300"/>
      <c r="V43" s="300"/>
      <c r="W43" s="300"/>
      <c r="X43" s="300"/>
      <c r="Y43" s="300"/>
      <c r="Z43" s="300"/>
      <c r="AA43" s="300"/>
      <c r="AB43" s="300"/>
      <c r="AC43" s="300"/>
      <c r="AD43" s="300"/>
      <c r="AE43" s="300"/>
    </row>
    <row r="44" spans="1:31" ht="11" thickBot="1">
      <c r="C44" s="351"/>
      <c r="D44" s="401"/>
      <c r="E44" s="508" t="s">
        <v>493</v>
      </c>
      <c r="F44" s="510"/>
      <c r="G44" s="510"/>
      <c r="H44" s="510"/>
      <c r="I44" s="510"/>
      <c r="J44" s="510"/>
      <c r="K44" s="510"/>
      <c r="L44" s="510"/>
      <c r="M44" s="510"/>
      <c r="N44" s="509"/>
      <c r="O44" s="300"/>
      <c r="P44" s="300"/>
      <c r="Q44" s="300"/>
      <c r="R44" s="300"/>
      <c r="S44" s="300"/>
      <c r="T44" s="300"/>
      <c r="U44" s="300"/>
      <c r="V44" s="300"/>
      <c r="W44" s="300"/>
      <c r="X44" s="300"/>
      <c r="Y44" s="300"/>
      <c r="Z44" s="300"/>
      <c r="AA44" s="300"/>
      <c r="AB44" s="300"/>
      <c r="AC44" s="300"/>
      <c r="AD44" s="300"/>
      <c r="AE44" s="300"/>
    </row>
    <row r="45" spans="1:31" ht="11" thickBot="1">
      <c r="B45" s="331" t="s">
        <v>494</v>
      </c>
      <c r="C45" s="328" t="s">
        <v>495</v>
      </c>
      <c r="D45" s="386" t="s">
        <v>474</v>
      </c>
      <c r="E45" s="402">
        <v>1</v>
      </c>
      <c r="F45" s="403">
        <f t="shared" ref="F45:N45" si="3">E45+1</f>
        <v>2</v>
      </c>
      <c r="G45" s="403">
        <f t="shared" si="3"/>
        <v>3</v>
      </c>
      <c r="H45" s="403">
        <f t="shared" si="3"/>
        <v>4</v>
      </c>
      <c r="I45" s="403">
        <f t="shared" si="3"/>
        <v>5</v>
      </c>
      <c r="J45" s="403">
        <f t="shared" si="3"/>
        <v>6</v>
      </c>
      <c r="K45" s="403">
        <f t="shared" si="3"/>
        <v>7</v>
      </c>
      <c r="L45" s="403">
        <f t="shared" si="3"/>
        <v>8</v>
      </c>
      <c r="M45" s="403">
        <f t="shared" si="3"/>
        <v>9</v>
      </c>
      <c r="N45" s="404">
        <f t="shared" si="3"/>
        <v>10</v>
      </c>
      <c r="O45" s="300"/>
      <c r="P45" s="300"/>
      <c r="Q45" s="300"/>
      <c r="R45" s="300"/>
      <c r="S45" s="300"/>
      <c r="T45" s="300"/>
      <c r="U45" s="300"/>
      <c r="V45" s="300"/>
      <c r="W45" s="300"/>
      <c r="X45" s="300"/>
      <c r="Y45" s="300"/>
      <c r="Z45" s="300"/>
      <c r="AA45" s="300"/>
      <c r="AB45" s="300"/>
      <c r="AC45" s="300"/>
      <c r="AD45" s="300"/>
      <c r="AE45" s="300"/>
    </row>
    <row r="46" spans="1:31" ht="14.5">
      <c r="B46" s="405">
        <v>1</v>
      </c>
      <c r="C46" s="413" t="str" cm="1">
        <f t="array" aca="1" ref="C46" ca="1">IF(B46&lt;=$C$9,GetGetCDSName(B46),"")</f>
        <v>ABNAMRO_MMR.EUR.SU</v>
      </c>
      <c r="D46" s="373">
        <v>0</v>
      </c>
      <c r="E46" s="406">
        <v>0</v>
      </c>
      <c r="F46" s="325">
        <v>0</v>
      </c>
      <c r="G46" s="325">
        <v>1</v>
      </c>
      <c r="H46" s="325">
        <v>0</v>
      </c>
      <c r="I46" s="325">
        <v>0</v>
      </c>
      <c r="J46" s="325">
        <v>0</v>
      </c>
      <c r="K46" s="325"/>
      <c r="L46" s="325"/>
      <c r="M46" s="325"/>
      <c r="N46" s="407"/>
      <c r="O46" s="300"/>
      <c r="P46" s="300"/>
      <c r="Q46" s="300"/>
      <c r="R46" s="300"/>
      <c r="S46" s="300"/>
      <c r="T46" s="300"/>
      <c r="U46" s="300"/>
      <c r="V46" s="300"/>
      <c r="W46" s="300"/>
      <c r="X46" s="300"/>
      <c r="Y46" s="300"/>
      <c r="Z46" s="300"/>
      <c r="AA46" s="300"/>
      <c r="AB46" s="300"/>
      <c r="AC46" s="300"/>
      <c r="AD46" s="300"/>
      <c r="AE46" s="300"/>
    </row>
    <row r="47" spans="1:31" ht="14.5">
      <c r="B47" s="405">
        <f t="shared" ref="B47:B110" si="4">B46+1</f>
        <v>2</v>
      </c>
      <c r="C47" s="413" t="str" cm="1">
        <f t="array" aca="1" ref="C47" ca="1">IF(B47&lt;=$C$9,GetGetCDSName(B47),"")</f>
        <v>ACCOR_MMR.EUR.SU</v>
      </c>
      <c r="D47" s="373">
        <v>0</v>
      </c>
      <c r="E47" s="406">
        <v>0</v>
      </c>
      <c r="F47" s="325">
        <v>0</v>
      </c>
      <c r="G47" s="325">
        <v>0</v>
      </c>
      <c r="H47" s="325">
        <v>0</v>
      </c>
      <c r="I47" s="325">
        <v>1</v>
      </c>
      <c r="J47" s="325">
        <v>1</v>
      </c>
      <c r="K47" s="325"/>
      <c r="L47" s="325"/>
      <c r="M47" s="325"/>
      <c r="N47" s="407"/>
      <c r="O47" s="300"/>
      <c r="P47" s="300"/>
      <c r="Q47" s="300"/>
      <c r="R47" s="300"/>
      <c r="S47" s="300"/>
      <c r="T47" s="300"/>
      <c r="U47" s="300"/>
      <c r="V47" s="300"/>
      <c r="W47" s="300"/>
      <c r="X47" s="300"/>
      <c r="Y47" s="300"/>
      <c r="Z47" s="300"/>
      <c r="AA47" s="300"/>
      <c r="AB47" s="300"/>
      <c r="AC47" s="300"/>
      <c r="AD47" s="300"/>
      <c r="AE47" s="300"/>
    </row>
    <row r="48" spans="1:31" ht="14.5">
      <c r="B48" s="405">
        <f t="shared" si="4"/>
        <v>3</v>
      </c>
      <c r="C48" s="413" t="str" cm="1">
        <f t="array" aca="1" ref="C48" ca="1">IF(B48&lt;=$C$9,GetGetCDSName(B48),"")</f>
        <v>ADECCO_MMR.EUR.SU</v>
      </c>
      <c r="D48" s="373">
        <v>0</v>
      </c>
      <c r="E48" s="406">
        <v>0</v>
      </c>
      <c r="F48" s="325">
        <v>0</v>
      </c>
      <c r="G48" s="325">
        <v>1</v>
      </c>
      <c r="H48" s="325">
        <v>0</v>
      </c>
      <c r="I48" s="325">
        <v>1</v>
      </c>
      <c r="J48" s="325">
        <v>0</v>
      </c>
      <c r="K48" s="325"/>
      <c r="L48" s="325"/>
      <c r="M48" s="325"/>
      <c r="N48" s="407"/>
      <c r="O48" s="300"/>
      <c r="P48" s="300"/>
      <c r="Q48" s="300"/>
      <c r="R48" s="300"/>
      <c r="S48" s="300"/>
      <c r="T48" s="300"/>
      <c r="U48" s="300"/>
      <c r="V48" s="300"/>
      <c r="W48" s="300"/>
      <c r="X48" s="300"/>
      <c r="Y48" s="300"/>
      <c r="Z48" s="300"/>
      <c r="AA48" s="300"/>
      <c r="AB48" s="300"/>
      <c r="AC48" s="300"/>
      <c r="AD48" s="300"/>
      <c r="AE48" s="300"/>
    </row>
    <row r="49" spans="2:31" ht="14.5">
      <c r="B49" s="405">
        <f t="shared" si="4"/>
        <v>4</v>
      </c>
      <c r="C49" s="413" t="str" cm="1">
        <f t="array" aca="1" ref="C49" ca="1">IF(B49&lt;=$C$9,GetGetCDSName(B49),"")</f>
        <v>AEGON_MMR.EUR.SU</v>
      </c>
      <c r="D49" s="373">
        <v>0</v>
      </c>
      <c r="E49" s="406">
        <v>0</v>
      </c>
      <c r="F49" s="325">
        <v>0</v>
      </c>
      <c r="G49" s="325">
        <v>0</v>
      </c>
      <c r="H49" s="325">
        <v>0</v>
      </c>
      <c r="I49" s="325">
        <v>0</v>
      </c>
      <c r="J49" s="325">
        <v>1</v>
      </c>
      <c r="K49" s="325"/>
      <c r="L49" s="325"/>
      <c r="M49" s="325"/>
      <c r="N49" s="407"/>
      <c r="O49" s="300"/>
      <c r="P49" s="300"/>
      <c r="Q49" s="300"/>
      <c r="R49" s="300"/>
      <c r="S49" s="300"/>
      <c r="T49" s="300"/>
      <c r="U49" s="300"/>
      <c r="V49" s="300"/>
      <c r="W49" s="300"/>
      <c r="X49" s="300"/>
      <c r="Y49" s="300"/>
      <c r="Z49" s="300"/>
      <c r="AA49" s="300"/>
      <c r="AB49" s="300"/>
      <c r="AC49" s="300"/>
      <c r="AD49" s="300"/>
      <c r="AE49" s="300"/>
    </row>
    <row r="50" spans="2:31" ht="14.5">
      <c r="B50" s="405">
        <f t="shared" si="4"/>
        <v>5</v>
      </c>
      <c r="C50" s="413" t="str" cm="1">
        <f t="array" aca="1" ref="C50" ca="1">IF(B50&lt;=$C$9,GetGetCDSName(B50),"")</f>
        <v>AKZONOBEL_MMR.EUR.SU</v>
      </c>
      <c r="D50" s="373">
        <v>0</v>
      </c>
      <c r="E50" s="406">
        <v>0</v>
      </c>
      <c r="F50" s="325">
        <v>0</v>
      </c>
      <c r="G50" s="325">
        <v>0</v>
      </c>
      <c r="H50" s="325">
        <v>1</v>
      </c>
      <c r="I50" s="325">
        <v>0</v>
      </c>
      <c r="J50" s="325">
        <v>0</v>
      </c>
      <c r="K50" s="325"/>
      <c r="L50" s="325"/>
      <c r="M50" s="325"/>
      <c r="N50" s="407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  <c r="AA50" s="300"/>
      <c r="AB50" s="300"/>
      <c r="AC50" s="300"/>
      <c r="AD50" s="300"/>
      <c r="AE50" s="300"/>
    </row>
    <row r="51" spans="2:31" ht="14.5">
      <c r="B51" s="405">
        <f t="shared" si="4"/>
        <v>6</v>
      </c>
      <c r="C51" s="413" t="str" cm="1">
        <f t="array" aca="1" ref="C51" ca="1">IF(B51&lt;=$C$9,GetGetCDSName(B51),"")</f>
        <v>ALLIANZ_MMR.EUR.SU</v>
      </c>
      <c r="D51" s="373">
        <v>0</v>
      </c>
      <c r="E51" s="406">
        <v>1</v>
      </c>
      <c r="F51" s="325">
        <v>1</v>
      </c>
      <c r="G51" s="325">
        <v>0</v>
      </c>
      <c r="H51" s="325">
        <v>0</v>
      </c>
      <c r="I51" s="325">
        <v>0</v>
      </c>
      <c r="J51" s="325">
        <v>1</v>
      </c>
      <c r="K51" s="325"/>
      <c r="L51" s="325"/>
      <c r="M51" s="325"/>
      <c r="N51" s="407"/>
      <c r="O51" s="300"/>
      <c r="P51" s="300"/>
      <c r="Q51" s="300"/>
      <c r="R51" s="300"/>
      <c r="S51" s="300"/>
      <c r="T51" s="300"/>
      <c r="U51" s="300"/>
      <c r="V51" s="300"/>
      <c r="W51" s="300"/>
      <c r="X51" s="300"/>
      <c r="Y51" s="300"/>
      <c r="Z51" s="300"/>
      <c r="AA51" s="300"/>
      <c r="AB51" s="300"/>
      <c r="AC51" s="300"/>
      <c r="AD51" s="300"/>
      <c r="AE51" s="300"/>
    </row>
    <row r="52" spans="2:31" ht="14.5">
      <c r="B52" s="405">
        <f t="shared" si="4"/>
        <v>7</v>
      </c>
      <c r="C52" s="413" t="str" cm="1">
        <f t="array" aca="1" ref="C52" ca="1">IF(B52&lt;=$C$9,GetGetCDSName(B52),"")</f>
        <v>ALTADIS_MMR.EUR.SU</v>
      </c>
      <c r="D52" s="373">
        <v>0</v>
      </c>
      <c r="E52" s="406">
        <v>0</v>
      </c>
      <c r="F52" s="325">
        <v>0</v>
      </c>
      <c r="G52" s="325">
        <v>1</v>
      </c>
      <c r="H52" s="325">
        <v>1</v>
      </c>
      <c r="I52" s="325">
        <v>1</v>
      </c>
      <c r="J52" s="325">
        <v>0</v>
      </c>
      <c r="K52" s="325"/>
      <c r="L52" s="325"/>
      <c r="M52" s="325"/>
      <c r="N52" s="407"/>
      <c r="O52" s="300"/>
      <c r="P52" s="300"/>
      <c r="Q52" s="300"/>
      <c r="R52" s="300"/>
      <c r="S52" s="300"/>
      <c r="T52" s="300"/>
      <c r="U52" s="300"/>
      <c r="V52" s="300"/>
      <c r="W52" s="300"/>
      <c r="X52" s="300"/>
      <c r="Y52" s="300"/>
      <c r="Z52" s="300"/>
      <c r="AA52" s="300"/>
      <c r="AB52" s="300"/>
      <c r="AC52" s="300"/>
      <c r="AD52" s="300"/>
      <c r="AE52" s="300"/>
    </row>
    <row r="53" spans="2:31" ht="14.5">
      <c r="B53" s="405">
        <f t="shared" si="4"/>
        <v>8</v>
      </c>
      <c r="C53" s="413" t="str" cm="1">
        <f t="array" aca="1" ref="C53" ca="1">IF(B53&lt;=$C$9,GetGetCDSName(B53),"")</f>
        <v>ARCELORFINANCESCA_MMR.EUR.SU</v>
      </c>
      <c r="D53" s="373">
        <v>0</v>
      </c>
      <c r="E53" s="406">
        <v>1</v>
      </c>
      <c r="F53" s="325">
        <v>1</v>
      </c>
      <c r="G53" s="325">
        <v>0</v>
      </c>
      <c r="H53" s="325">
        <v>0</v>
      </c>
      <c r="I53" s="325">
        <v>1</v>
      </c>
      <c r="J53" s="325">
        <v>0</v>
      </c>
      <c r="K53" s="325"/>
      <c r="L53" s="325"/>
      <c r="M53" s="325"/>
      <c r="N53" s="407"/>
      <c r="O53" s="300"/>
      <c r="P53" s="300"/>
      <c r="Q53" s="300"/>
      <c r="R53" s="300"/>
      <c r="S53" s="300"/>
      <c r="T53" s="300"/>
      <c r="U53" s="300"/>
      <c r="V53" s="300"/>
      <c r="W53" s="300"/>
      <c r="X53" s="300"/>
      <c r="Y53" s="300"/>
      <c r="Z53" s="300"/>
      <c r="AA53" s="300"/>
      <c r="AB53" s="300"/>
      <c r="AC53" s="300"/>
      <c r="AD53" s="300"/>
      <c r="AE53" s="300"/>
    </row>
    <row r="54" spans="2:31" ht="14.5">
      <c r="B54" s="405">
        <f t="shared" si="4"/>
        <v>9</v>
      </c>
      <c r="C54" s="413" t="str" cm="1">
        <f t="array" aca="1" ref="C54" ca="1">IF(B54&lt;=$C$9,GetGetCDSName(B54),"")</f>
        <v>AUCHAN_MMR.EUR.SU</v>
      </c>
      <c r="D54" s="373">
        <v>0</v>
      </c>
      <c r="E54" s="406">
        <v>0</v>
      </c>
      <c r="F54" s="325">
        <v>0</v>
      </c>
      <c r="G54" s="325">
        <v>0</v>
      </c>
      <c r="H54" s="325">
        <v>0</v>
      </c>
      <c r="I54" s="325">
        <v>0</v>
      </c>
      <c r="J54" s="325">
        <v>1</v>
      </c>
      <c r="K54" s="325"/>
      <c r="L54" s="325"/>
      <c r="M54" s="325"/>
      <c r="N54" s="407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00"/>
      <c r="AA54" s="300"/>
      <c r="AB54" s="300"/>
      <c r="AC54" s="300"/>
      <c r="AD54" s="300"/>
      <c r="AE54" s="300"/>
    </row>
    <row r="55" spans="2:31" ht="14.5">
      <c r="B55" s="405">
        <f t="shared" si="4"/>
        <v>10</v>
      </c>
      <c r="C55" s="413" t="str" cm="1">
        <f t="array" aca="1" ref="C55" ca="1">IF(B55&lt;=$C$9,GetGetCDSName(B55),"")</f>
        <v>AVIVA_MMR.EUR.SU</v>
      </c>
      <c r="D55" s="373">
        <v>0</v>
      </c>
      <c r="E55" s="406">
        <v>0</v>
      </c>
      <c r="F55" s="325">
        <v>0</v>
      </c>
      <c r="G55" s="325">
        <v>1</v>
      </c>
      <c r="H55" s="325">
        <v>1</v>
      </c>
      <c r="I55" s="325">
        <v>0</v>
      </c>
      <c r="J55" s="325">
        <v>0</v>
      </c>
      <c r="K55" s="325"/>
      <c r="L55" s="325"/>
      <c r="M55" s="325"/>
      <c r="N55" s="407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</row>
    <row r="56" spans="2:31" ht="14.5">
      <c r="B56" s="405">
        <f t="shared" si="4"/>
        <v>11</v>
      </c>
      <c r="C56" s="413" t="str" cm="1">
        <f t="array" aca="1" ref="C56" ca="1">IF(B56&lt;=$C$9,GetGetCDSName(B56),"")</f>
        <v>AXA_MMR.EUR.SU</v>
      </c>
      <c r="D56" s="373">
        <v>0</v>
      </c>
      <c r="E56" s="406">
        <v>1</v>
      </c>
      <c r="F56" s="325">
        <v>0</v>
      </c>
      <c r="G56" s="325">
        <v>0</v>
      </c>
      <c r="H56" s="325">
        <v>0</v>
      </c>
      <c r="I56" s="325">
        <v>0</v>
      </c>
      <c r="J56" s="325">
        <v>0</v>
      </c>
      <c r="K56" s="325"/>
      <c r="L56" s="325"/>
      <c r="M56" s="325"/>
      <c r="N56" s="407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</row>
    <row r="57" spans="2:31" ht="14.5">
      <c r="B57" s="405">
        <f t="shared" si="4"/>
        <v>12</v>
      </c>
      <c r="C57" s="413" t="str" cm="1">
        <f t="array" aca="1" ref="C57" ca="1">IF(B57&lt;=$C$9,GetGetCDSName(B57),"")</f>
        <v>BANCOESPIRITOSANTO_MMR.EUR.SU</v>
      </c>
      <c r="D57" s="373">
        <v>0</v>
      </c>
      <c r="E57" s="406">
        <v>0</v>
      </c>
      <c r="F57" s="325">
        <v>1</v>
      </c>
      <c r="G57" s="325">
        <v>0</v>
      </c>
      <c r="H57" s="325">
        <v>0</v>
      </c>
      <c r="I57" s="325">
        <v>0</v>
      </c>
      <c r="J57" s="325">
        <v>0</v>
      </c>
      <c r="K57" s="325"/>
      <c r="L57" s="325"/>
      <c r="M57" s="325"/>
      <c r="N57" s="407"/>
      <c r="O57" s="300"/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300"/>
      <c r="AA57" s="300"/>
      <c r="AB57" s="300"/>
      <c r="AC57" s="300"/>
      <c r="AD57" s="300"/>
      <c r="AE57" s="300"/>
    </row>
    <row r="58" spans="2:31" ht="14.5">
      <c r="B58" s="405">
        <f t="shared" si="4"/>
        <v>13</v>
      </c>
      <c r="C58" s="413" t="str" cm="1">
        <f t="array" aca="1" ref="C58" ca="1">IF(B58&lt;=$C$9,GetGetCDSName(B58),"")</f>
        <v>BARCLAYS_MMR.EUR.SU</v>
      </c>
      <c r="D58" s="373">
        <v>0</v>
      </c>
      <c r="E58" s="406">
        <v>0</v>
      </c>
      <c r="F58" s="325">
        <v>0</v>
      </c>
      <c r="G58" s="325">
        <v>0</v>
      </c>
      <c r="H58" s="325">
        <v>1</v>
      </c>
      <c r="I58" s="325">
        <v>0</v>
      </c>
      <c r="J58" s="325">
        <v>0</v>
      </c>
      <c r="K58" s="325"/>
      <c r="L58" s="325"/>
      <c r="M58" s="325"/>
      <c r="N58" s="407"/>
      <c r="O58" s="300"/>
      <c r="P58" s="300"/>
      <c r="Q58" s="300"/>
      <c r="R58" s="300"/>
      <c r="S58" s="300"/>
      <c r="T58" s="300"/>
      <c r="U58" s="300"/>
      <c r="V58" s="300"/>
      <c r="W58" s="300"/>
      <c r="X58" s="300"/>
      <c r="Y58" s="300"/>
      <c r="Z58" s="300"/>
      <c r="AA58" s="300"/>
      <c r="AB58" s="300"/>
      <c r="AC58" s="300"/>
      <c r="AD58" s="300"/>
      <c r="AE58" s="300"/>
    </row>
    <row r="59" spans="2:31" ht="14.5">
      <c r="B59" s="405">
        <f t="shared" si="4"/>
        <v>14</v>
      </c>
      <c r="C59" s="413" t="str" cm="1">
        <f t="array" aca="1" ref="C59" ca="1">IF(B59&lt;=$C$9,GetGetCDSName(B59),"")</f>
        <v>BASF_MMR.EUR.SU</v>
      </c>
      <c r="D59" s="373">
        <v>0</v>
      </c>
      <c r="E59" s="406">
        <v>0</v>
      </c>
      <c r="F59" s="325">
        <v>0</v>
      </c>
      <c r="G59" s="325">
        <v>0</v>
      </c>
      <c r="H59" s="325">
        <v>1</v>
      </c>
      <c r="I59" s="325">
        <v>1</v>
      </c>
      <c r="J59" s="325">
        <v>0</v>
      </c>
      <c r="K59" s="325"/>
      <c r="L59" s="325"/>
      <c r="M59" s="325"/>
      <c r="N59" s="407"/>
      <c r="O59" s="300"/>
      <c r="P59" s="300"/>
      <c r="Q59" s="300"/>
      <c r="R59" s="300"/>
      <c r="S59" s="300"/>
      <c r="T59" s="300"/>
      <c r="U59" s="300"/>
      <c r="V59" s="300"/>
      <c r="W59" s="300"/>
      <c r="X59" s="300"/>
      <c r="Y59" s="300"/>
      <c r="Z59" s="300"/>
      <c r="AA59" s="300"/>
      <c r="AB59" s="300"/>
      <c r="AC59" s="300"/>
      <c r="AD59" s="300"/>
      <c r="AE59" s="300"/>
    </row>
    <row r="60" spans="2:31" ht="14.5">
      <c r="B60" s="405">
        <f t="shared" si="4"/>
        <v>15</v>
      </c>
      <c r="C60" s="413" t="str" cm="1">
        <f t="array" aca="1" ref="C60" ca="1">IF(B60&lt;=$C$9,GetGetCDSName(B60),"")</f>
        <v>BAT_MMR.EUR.SU</v>
      </c>
      <c r="D60" s="373">
        <v>0</v>
      </c>
      <c r="E60" s="406">
        <v>1</v>
      </c>
      <c r="F60" s="325">
        <v>0</v>
      </c>
      <c r="G60" s="325">
        <v>0</v>
      </c>
      <c r="H60" s="325">
        <v>1</v>
      </c>
      <c r="I60" s="325">
        <v>1</v>
      </c>
      <c r="J60" s="325">
        <v>0</v>
      </c>
      <c r="K60" s="325"/>
      <c r="L60" s="325"/>
      <c r="M60" s="325"/>
      <c r="N60" s="407"/>
      <c r="O60" s="300"/>
      <c r="P60" s="300"/>
      <c r="Q60" s="300"/>
      <c r="R60" s="300"/>
      <c r="S60" s="300"/>
      <c r="T60" s="300"/>
      <c r="U60" s="300"/>
      <c r="V60" s="300"/>
      <c r="W60" s="300"/>
      <c r="X60" s="300"/>
      <c r="Y60" s="300"/>
      <c r="Z60" s="300"/>
      <c r="AA60" s="300"/>
      <c r="AB60" s="300"/>
      <c r="AC60" s="300"/>
      <c r="AD60" s="300"/>
      <c r="AE60" s="300"/>
    </row>
    <row r="61" spans="2:31" ht="14.5">
      <c r="B61" s="405">
        <f t="shared" si="4"/>
        <v>16</v>
      </c>
      <c r="C61" s="413" t="str" cm="1">
        <f t="array" aca="1" ref="C61" ca="1">IF(B61&lt;=$C$9,GetGetCDSName(B61),"")</f>
        <v>BAYER_MMR.EUR.SU</v>
      </c>
      <c r="D61" s="373">
        <v>0</v>
      </c>
      <c r="E61" s="406">
        <v>0</v>
      </c>
      <c r="F61" s="325">
        <v>0</v>
      </c>
      <c r="G61" s="325">
        <v>0</v>
      </c>
      <c r="H61" s="325">
        <v>0</v>
      </c>
      <c r="I61" s="325">
        <v>1</v>
      </c>
      <c r="J61" s="325">
        <v>0</v>
      </c>
      <c r="K61" s="325"/>
      <c r="L61" s="325"/>
      <c r="M61" s="325"/>
      <c r="N61" s="407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</row>
    <row r="62" spans="2:31" ht="14.5">
      <c r="B62" s="405">
        <f t="shared" si="4"/>
        <v>17</v>
      </c>
      <c r="C62" s="413" t="str" cm="1">
        <f t="array" aca="1" ref="C62" ca="1">IF(B62&lt;=$C$9,GetGetCDSName(B62),"")</f>
        <v>BBVA_MMR.EUR.SU</v>
      </c>
      <c r="D62" s="373">
        <v>0</v>
      </c>
      <c r="E62" s="406">
        <v>1</v>
      </c>
      <c r="F62" s="325">
        <v>0</v>
      </c>
      <c r="G62" s="325">
        <v>0</v>
      </c>
      <c r="H62" s="325">
        <v>0</v>
      </c>
      <c r="I62" s="325">
        <v>0</v>
      </c>
      <c r="J62" s="325">
        <v>0</v>
      </c>
      <c r="K62" s="325"/>
      <c r="L62" s="325"/>
      <c r="M62" s="325"/>
      <c r="N62" s="407"/>
      <c r="O62" s="300"/>
      <c r="P62" s="300"/>
      <c r="Q62" s="300"/>
      <c r="R62" s="300"/>
      <c r="S62" s="300"/>
      <c r="T62" s="300"/>
      <c r="U62" s="300"/>
      <c r="V62" s="300"/>
      <c r="W62" s="300"/>
      <c r="X62" s="300"/>
      <c r="Y62" s="300"/>
      <c r="Z62" s="300"/>
      <c r="AA62" s="300"/>
      <c r="AB62" s="300"/>
      <c r="AC62" s="300"/>
      <c r="AD62" s="300"/>
      <c r="AE62" s="300"/>
    </row>
    <row r="63" spans="2:31" ht="14.5">
      <c r="B63" s="405">
        <f t="shared" si="4"/>
        <v>18</v>
      </c>
      <c r="C63" s="413" t="str" cm="1">
        <f t="array" aca="1" ref="C63" ca="1">IF(B63&lt;=$C$9,GetGetCDSName(B63),"")</f>
        <v>BERTELSMANNAG_MMR.EUR.SU</v>
      </c>
      <c r="D63" s="373">
        <v>0</v>
      </c>
      <c r="E63" s="406">
        <v>0</v>
      </c>
      <c r="F63" s="325">
        <v>1</v>
      </c>
      <c r="G63" s="325">
        <v>0</v>
      </c>
      <c r="H63" s="325">
        <v>0</v>
      </c>
      <c r="I63" s="325">
        <v>0</v>
      </c>
      <c r="J63" s="325">
        <v>0</v>
      </c>
      <c r="K63" s="325"/>
      <c r="L63" s="325"/>
      <c r="M63" s="325"/>
      <c r="N63" s="407"/>
      <c r="O63" s="300"/>
      <c r="P63" s="300"/>
      <c r="Q63" s="300"/>
      <c r="R63" s="300"/>
      <c r="S63" s="300"/>
      <c r="T63" s="300"/>
      <c r="U63" s="300"/>
      <c r="V63" s="300"/>
      <c r="W63" s="300"/>
      <c r="X63" s="300"/>
      <c r="Y63" s="300"/>
      <c r="Z63" s="300"/>
      <c r="AA63" s="300"/>
      <c r="AB63" s="300"/>
      <c r="AC63" s="300"/>
      <c r="AD63" s="300"/>
      <c r="AE63" s="300"/>
    </row>
    <row r="64" spans="2:31" ht="14.5">
      <c r="B64" s="405">
        <f t="shared" si="4"/>
        <v>19</v>
      </c>
      <c r="C64" s="413" t="str" cm="1">
        <f t="array" aca="1" ref="C64" ca="1">IF(B64&lt;=$C$9,GetGetCDSName(B64),"")</f>
        <v>BMW_MMR.EUR.SU</v>
      </c>
      <c r="D64" s="373">
        <v>0</v>
      </c>
      <c r="E64" s="406">
        <v>0</v>
      </c>
      <c r="F64" s="325">
        <v>0</v>
      </c>
      <c r="G64" s="325">
        <v>1</v>
      </c>
      <c r="H64" s="325">
        <v>0</v>
      </c>
      <c r="I64" s="325">
        <v>0</v>
      </c>
      <c r="J64" s="325">
        <v>0</v>
      </c>
      <c r="K64" s="325"/>
      <c r="L64" s="325"/>
      <c r="M64" s="325"/>
      <c r="N64" s="407"/>
      <c r="O64" s="300"/>
      <c r="P64" s="300"/>
      <c r="Q64" s="300"/>
      <c r="R64" s="300"/>
      <c r="S64" s="300"/>
      <c r="T64" s="300"/>
      <c r="U64" s="300"/>
      <c r="V64" s="300"/>
      <c r="W64" s="300"/>
      <c r="X64" s="300"/>
      <c r="Y64" s="300"/>
      <c r="Z64" s="300"/>
      <c r="AA64" s="300"/>
      <c r="AB64" s="300"/>
      <c r="AC64" s="300"/>
      <c r="AD64" s="300"/>
      <c r="AE64" s="300"/>
    </row>
    <row r="65" spans="2:31" ht="14.5">
      <c r="B65" s="405">
        <f t="shared" si="4"/>
        <v>20</v>
      </c>
      <c r="C65" s="413" t="str" cm="1">
        <f t="array" aca="1" ref="C65" ca="1">IF(B65&lt;=$C$9,GetGetCDSName(B65),"")</f>
        <v>BNPPARIBAS_MMR.EUR.SU</v>
      </c>
      <c r="D65" s="373">
        <v>0</v>
      </c>
      <c r="E65" s="406">
        <v>1</v>
      </c>
      <c r="F65" s="325">
        <v>0</v>
      </c>
      <c r="G65" s="325">
        <v>1</v>
      </c>
      <c r="H65" s="325">
        <v>1</v>
      </c>
      <c r="I65" s="325">
        <v>0</v>
      </c>
      <c r="J65" s="325">
        <v>0</v>
      </c>
      <c r="K65" s="325"/>
      <c r="L65" s="325"/>
      <c r="M65" s="325"/>
      <c r="N65" s="407"/>
      <c r="O65" s="300"/>
      <c r="P65" s="300"/>
      <c r="Q65" s="300"/>
      <c r="R65" s="300"/>
      <c r="S65" s="300"/>
      <c r="T65" s="300"/>
      <c r="U65" s="300"/>
      <c r="V65" s="300"/>
      <c r="W65" s="300"/>
      <c r="X65" s="300"/>
      <c r="Y65" s="300"/>
      <c r="Z65" s="300"/>
      <c r="AA65" s="300"/>
      <c r="AB65" s="300"/>
      <c r="AC65" s="300"/>
      <c r="AD65" s="300"/>
      <c r="AE65" s="300"/>
    </row>
    <row r="66" spans="2:31" ht="14.5">
      <c r="B66" s="405">
        <f t="shared" si="4"/>
        <v>21</v>
      </c>
      <c r="C66" s="413" t="str" cm="1">
        <f t="array" aca="1" ref="C66" ca="1">IF(B66&lt;=$C$9,GetGetCDSName(B66),"")</f>
        <v>BRITISHTELECOM_MMR.EUR.SU</v>
      </c>
      <c r="D66" s="373">
        <v>0</v>
      </c>
      <c r="E66" s="406">
        <v>0</v>
      </c>
      <c r="F66" s="325">
        <v>1</v>
      </c>
      <c r="G66" s="325">
        <v>1</v>
      </c>
      <c r="H66" s="325">
        <v>0</v>
      </c>
      <c r="I66" s="325">
        <v>0</v>
      </c>
      <c r="J66" s="325">
        <v>1</v>
      </c>
      <c r="K66" s="325"/>
      <c r="L66" s="325"/>
      <c r="M66" s="325"/>
      <c r="N66" s="407"/>
      <c r="O66" s="300"/>
      <c r="P66" s="300"/>
      <c r="Q66" s="300"/>
      <c r="R66" s="300"/>
      <c r="S66" s="300"/>
      <c r="T66" s="300"/>
      <c r="U66" s="300"/>
      <c r="V66" s="300"/>
      <c r="W66" s="300"/>
      <c r="X66" s="300"/>
      <c r="Y66" s="300"/>
      <c r="Z66" s="300"/>
      <c r="AA66" s="300"/>
      <c r="AB66" s="300"/>
      <c r="AC66" s="300"/>
      <c r="AD66" s="300"/>
      <c r="AE66" s="300"/>
    </row>
    <row r="67" spans="2:31" ht="14.5">
      <c r="B67" s="405">
        <f t="shared" si="4"/>
        <v>22</v>
      </c>
      <c r="C67" s="413" t="str" cm="1">
        <f t="array" aca="1" ref="C67" ca="1">IF(B67&lt;=$C$9,GetGetCDSName(B67),"")</f>
        <v>BSCH_MMR.EUR.SU</v>
      </c>
      <c r="D67" s="373">
        <v>0</v>
      </c>
      <c r="E67" s="406">
        <v>0</v>
      </c>
      <c r="F67" s="325">
        <v>0</v>
      </c>
      <c r="G67" s="325">
        <v>1</v>
      </c>
      <c r="H67" s="325">
        <v>0</v>
      </c>
      <c r="I67" s="325">
        <v>0</v>
      </c>
      <c r="J67" s="325">
        <v>1</v>
      </c>
      <c r="K67" s="325"/>
      <c r="L67" s="325"/>
      <c r="M67" s="325"/>
      <c r="N67" s="407"/>
      <c r="O67" s="300"/>
      <c r="P67" s="300"/>
      <c r="Q67" s="300"/>
      <c r="R67" s="300"/>
      <c r="S67" s="300"/>
      <c r="T67" s="300"/>
      <c r="U67" s="300"/>
      <c r="V67" s="300"/>
      <c r="W67" s="300"/>
      <c r="X67" s="300"/>
      <c r="Y67" s="300"/>
      <c r="Z67" s="300"/>
      <c r="AA67" s="300"/>
      <c r="AB67" s="300"/>
      <c r="AC67" s="300"/>
      <c r="AD67" s="300"/>
      <c r="AE67" s="300"/>
    </row>
    <row r="68" spans="2:31" ht="14.5">
      <c r="B68" s="405">
        <f t="shared" si="4"/>
        <v>23</v>
      </c>
      <c r="C68" s="413" t="str" cm="1">
        <f t="array" aca="1" ref="C68" ca="1">IF(B68&lt;=$C$9,GetGetCDSName(B68),"")</f>
        <v>CADBURYSCHWEPPES_MMR.EUR.SU</v>
      </c>
      <c r="D68" s="373">
        <v>0</v>
      </c>
      <c r="E68" s="406">
        <v>0</v>
      </c>
      <c r="F68" s="325">
        <v>0</v>
      </c>
      <c r="G68" s="325">
        <v>0</v>
      </c>
      <c r="H68" s="325">
        <v>0</v>
      </c>
      <c r="I68" s="325">
        <v>0</v>
      </c>
      <c r="J68" s="325">
        <v>1</v>
      </c>
      <c r="K68" s="325"/>
      <c r="L68" s="325"/>
      <c r="M68" s="325"/>
      <c r="N68" s="407"/>
      <c r="O68" s="300"/>
      <c r="P68" s="300"/>
      <c r="Q68" s="300"/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C68" s="300"/>
      <c r="AD68" s="300"/>
      <c r="AE68" s="300"/>
    </row>
    <row r="69" spans="2:31" ht="14.5">
      <c r="B69" s="405">
        <f t="shared" si="4"/>
        <v>24</v>
      </c>
      <c r="C69" s="413" t="str" cm="1">
        <f t="array" aca="1" ref="C69" ca="1">IF(B69&lt;=$C$9,GetGetCDSName(B69),"")</f>
        <v>CAPITALIA_MMR.EUR.SU</v>
      </c>
      <c r="D69" s="373">
        <v>0</v>
      </c>
      <c r="E69" s="406">
        <v>0</v>
      </c>
      <c r="F69" s="325">
        <v>1</v>
      </c>
      <c r="G69" s="325">
        <v>1</v>
      </c>
      <c r="H69" s="325">
        <v>0</v>
      </c>
      <c r="I69" s="325">
        <v>0</v>
      </c>
      <c r="J69" s="325">
        <v>0</v>
      </c>
      <c r="K69" s="325"/>
      <c r="L69" s="325"/>
      <c r="M69" s="325"/>
      <c r="N69" s="407"/>
      <c r="O69" s="300"/>
      <c r="P69" s="300"/>
      <c r="Q69" s="300"/>
      <c r="R69" s="300"/>
      <c r="S69" s="300"/>
      <c r="T69" s="300"/>
      <c r="U69" s="300"/>
      <c r="V69" s="300"/>
      <c r="W69" s="300"/>
      <c r="X69" s="300"/>
      <c r="Y69" s="300"/>
      <c r="Z69" s="300"/>
      <c r="AA69" s="300"/>
      <c r="AB69" s="300"/>
      <c r="AC69" s="300"/>
      <c r="AD69" s="300"/>
      <c r="AE69" s="300"/>
    </row>
    <row r="70" spans="2:31" ht="14.5">
      <c r="B70" s="405">
        <f t="shared" si="4"/>
        <v>25</v>
      </c>
      <c r="C70" s="413" t="str" cm="1">
        <f t="array" aca="1" ref="C70" ca="1">IF(B70&lt;=$C$9,GetGetCDSName(B70),"")</f>
        <v>CARREFOUR_MMR.EUR.SU</v>
      </c>
      <c r="D70" s="373">
        <v>0</v>
      </c>
      <c r="E70" s="406">
        <v>0</v>
      </c>
      <c r="F70" s="325">
        <v>0</v>
      </c>
      <c r="G70" s="325">
        <v>0</v>
      </c>
      <c r="H70" s="325">
        <v>0</v>
      </c>
      <c r="I70" s="325">
        <v>1</v>
      </c>
      <c r="J70" s="325">
        <v>0</v>
      </c>
      <c r="K70" s="325"/>
      <c r="L70" s="325"/>
      <c r="M70" s="325"/>
      <c r="N70" s="407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C70" s="300"/>
      <c r="AD70" s="300"/>
      <c r="AE70" s="300"/>
    </row>
    <row r="71" spans="2:31" ht="14.5">
      <c r="B71" s="405">
        <f t="shared" si="4"/>
        <v>26</v>
      </c>
      <c r="C71" s="413" t="str" cm="1">
        <f t="array" aca="1" ref="C71" ca="1">IF(B71&lt;=$C$9,GetGetCDSName(B71),"")</f>
        <v>CASINOGUICHARD_MMR.EUR.SU</v>
      </c>
      <c r="D71" s="373">
        <v>0</v>
      </c>
      <c r="E71" s="406">
        <v>1</v>
      </c>
      <c r="F71" s="325">
        <v>0</v>
      </c>
      <c r="G71" s="325">
        <v>0</v>
      </c>
      <c r="H71" s="325">
        <v>0</v>
      </c>
      <c r="I71" s="325">
        <v>1</v>
      </c>
      <c r="J71" s="325">
        <v>1</v>
      </c>
      <c r="K71" s="325"/>
      <c r="L71" s="325"/>
      <c r="M71" s="325"/>
      <c r="N71" s="407"/>
      <c r="O71" s="300"/>
      <c r="P71" s="300"/>
      <c r="Q71" s="300"/>
      <c r="R71" s="300"/>
      <c r="S71" s="300"/>
      <c r="T71" s="300"/>
      <c r="U71" s="300"/>
      <c r="V71" s="300"/>
      <c r="W71" s="300"/>
      <c r="X71" s="300"/>
      <c r="Y71" s="300"/>
      <c r="Z71" s="300"/>
      <c r="AA71" s="300"/>
      <c r="AB71" s="300"/>
      <c r="AC71" s="300"/>
      <c r="AD71" s="300"/>
      <c r="AE71" s="300"/>
    </row>
    <row r="72" spans="2:31" ht="14.5">
      <c r="B72" s="405">
        <f t="shared" si="4"/>
        <v>27</v>
      </c>
      <c r="C72" s="413" t="str" cm="1">
        <f t="array" aca="1" ref="C72" ca="1">IF(B72&lt;=$C$9,GetGetCDSName(B72),"")</f>
        <v>CENTRICA_MMR.EUR.SU</v>
      </c>
      <c r="D72" s="373">
        <v>0</v>
      </c>
      <c r="E72" s="406">
        <v>0</v>
      </c>
      <c r="F72" s="325">
        <v>1</v>
      </c>
      <c r="G72" s="325">
        <v>0</v>
      </c>
      <c r="H72" s="325">
        <v>1</v>
      </c>
      <c r="I72" s="325">
        <v>0</v>
      </c>
      <c r="J72" s="325">
        <v>0</v>
      </c>
      <c r="K72" s="325"/>
      <c r="L72" s="325"/>
      <c r="M72" s="325"/>
      <c r="N72" s="407"/>
      <c r="O72" s="300"/>
      <c r="P72" s="300"/>
      <c r="Q72" s="300"/>
      <c r="R72" s="300"/>
      <c r="S72" s="300"/>
      <c r="T72" s="300"/>
      <c r="U72" s="300"/>
      <c r="V72" s="300"/>
      <c r="W72" s="300"/>
      <c r="X72" s="300"/>
      <c r="Y72" s="300"/>
      <c r="Z72" s="300"/>
      <c r="AA72" s="300"/>
      <c r="AB72" s="300"/>
      <c r="AC72" s="300"/>
      <c r="AD72" s="300"/>
      <c r="AE72" s="300"/>
    </row>
    <row r="73" spans="2:31" ht="14.5">
      <c r="B73" s="405">
        <f t="shared" si="4"/>
        <v>28</v>
      </c>
      <c r="C73" s="413" t="str" cm="1">
        <f t="array" aca="1" ref="C73" ca="1">IF(B73&lt;=$C$9,GetGetCDSName(B73),"")</f>
        <v>CIBASC_MMR.EUR.SU</v>
      </c>
      <c r="D73" s="373">
        <v>0</v>
      </c>
      <c r="E73" s="406">
        <v>1</v>
      </c>
      <c r="F73" s="325">
        <v>0</v>
      </c>
      <c r="G73" s="325">
        <v>0</v>
      </c>
      <c r="H73" s="325">
        <v>0</v>
      </c>
      <c r="I73" s="325">
        <v>0</v>
      </c>
      <c r="J73" s="325">
        <v>1</v>
      </c>
      <c r="K73" s="325"/>
      <c r="L73" s="325"/>
      <c r="M73" s="325"/>
      <c r="N73" s="407"/>
      <c r="O73" s="300"/>
      <c r="P73" s="300"/>
      <c r="Q73" s="300"/>
      <c r="R73" s="300"/>
      <c r="S73" s="300"/>
      <c r="T73" s="300"/>
      <c r="U73" s="300"/>
      <c r="V73" s="300"/>
      <c r="W73" s="300"/>
      <c r="X73" s="300"/>
      <c r="Y73" s="300"/>
      <c r="Z73" s="300"/>
      <c r="AA73" s="300"/>
      <c r="AB73" s="300"/>
      <c r="AC73" s="300"/>
      <c r="AD73" s="300"/>
      <c r="AE73" s="300"/>
    </row>
    <row r="74" spans="2:31" ht="14.5">
      <c r="B74" s="405">
        <f t="shared" si="4"/>
        <v>29</v>
      </c>
      <c r="C74" s="413" t="str" cm="1">
        <f t="array" aca="1" ref="C74" ca="1">IF(B74&lt;=$C$9,GetGetCDSName(B74),"")</f>
        <v>COMMERZBANK_MMR.EUR.SU</v>
      </c>
      <c r="D74" s="373">
        <v>0</v>
      </c>
      <c r="E74" s="406">
        <v>1</v>
      </c>
      <c r="F74" s="325">
        <v>0</v>
      </c>
      <c r="G74" s="325">
        <v>0</v>
      </c>
      <c r="H74" s="325">
        <v>0</v>
      </c>
      <c r="I74" s="325">
        <v>0</v>
      </c>
      <c r="J74" s="325">
        <v>0</v>
      </c>
      <c r="K74" s="325"/>
      <c r="L74" s="325"/>
      <c r="M74" s="325"/>
      <c r="N74" s="407"/>
      <c r="O74" s="300"/>
      <c r="P74" s="300"/>
      <c r="Q74" s="300"/>
      <c r="R74" s="300"/>
      <c r="S74" s="300"/>
      <c r="T74" s="300"/>
      <c r="U74" s="300"/>
      <c r="V74" s="300"/>
      <c r="W74" s="300"/>
      <c r="X74" s="300"/>
      <c r="Y74" s="300"/>
      <c r="Z74" s="300"/>
      <c r="AA74" s="300"/>
      <c r="AB74" s="300"/>
      <c r="AC74" s="300"/>
      <c r="AD74" s="300"/>
      <c r="AE74" s="300"/>
    </row>
    <row r="75" spans="2:31" ht="14.5">
      <c r="B75" s="405">
        <f t="shared" si="4"/>
        <v>30</v>
      </c>
      <c r="C75" s="413" t="str" cm="1">
        <f t="array" aca="1" ref="C75" ca="1">IF(B75&lt;=$C$9,GetGetCDSName(B75),"")</f>
        <v>COMPASS_MMR.EUR.SU</v>
      </c>
      <c r="D75" s="373">
        <v>0</v>
      </c>
      <c r="E75" s="406">
        <v>0</v>
      </c>
      <c r="F75" s="325">
        <v>1</v>
      </c>
      <c r="G75" s="325">
        <v>0</v>
      </c>
      <c r="H75" s="325">
        <v>0</v>
      </c>
      <c r="I75" s="325">
        <v>1</v>
      </c>
      <c r="J75" s="325">
        <v>1</v>
      </c>
      <c r="K75" s="325"/>
      <c r="L75" s="325"/>
      <c r="M75" s="325"/>
      <c r="N75" s="407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</row>
    <row r="76" spans="2:31" ht="14.5">
      <c r="B76" s="405">
        <f t="shared" si="4"/>
        <v>31</v>
      </c>
      <c r="C76" s="413" t="str" cm="1">
        <f t="array" aca="1" ref="C76" ca="1">IF(B76&lt;=$C$9,GetGetCDSName(B76),"")</f>
        <v>CONTINENTAL_MMR.EUR.SU</v>
      </c>
      <c r="D76" s="373">
        <v>0</v>
      </c>
      <c r="E76" s="406">
        <v>0</v>
      </c>
      <c r="F76" s="325">
        <v>0</v>
      </c>
      <c r="G76" s="325">
        <v>1</v>
      </c>
      <c r="H76" s="325">
        <v>1</v>
      </c>
      <c r="I76" s="325">
        <v>0</v>
      </c>
      <c r="J76" s="325">
        <v>1</v>
      </c>
      <c r="K76" s="325"/>
      <c r="L76" s="325"/>
      <c r="M76" s="325"/>
      <c r="N76" s="407"/>
      <c r="O76" s="300"/>
      <c r="P76" s="300"/>
      <c r="Q76" s="300"/>
      <c r="R76" s="300"/>
      <c r="S76" s="300"/>
      <c r="T76" s="300"/>
      <c r="U76" s="300"/>
      <c r="V76" s="300"/>
      <c r="W76" s="300"/>
      <c r="X76" s="300"/>
      <c r="Y76" s="300"/>
      <c r="Z76" s="300"/>
      <c r="AA76" s="300"/>
      <c r="AB76" s="300"/>
      <c r="AC76" s="300"/>
      <c r="AD76" s="300"/>
      <c r="AE76" s="300"/>
    </row>
    <row r="77" spans="2:31" ht="14.5">
      <c r="B77" s="405">
        <f t="shared" si="4"/>
        <v>32</v>
      </c>
      <c r="C77" s="413" t="str" cm="1">
        <f t="array" aca="1" ref="C77" ca="1">IF(B77&lt;=$C$9,GetGetCDSName(B77),"")</f>
        <v>CREDITAGRICOLE_MMR.EUR.SU</v>
      </c>
      <c r="D77" s="373">
        <v>0</v>
      </c>
      <c r="E77" s="406">
        <v>0</v>
      </c>
      <c r="F77" s="325">
        <v>0</v>
      </c>
      <c r="G77" s="325">
        <v>1</v>
      </c>
      <c r="H77" s="325">
        <v>0</v>
      </c>
      <c r="I77" s="325">
        <v>0</v>
      </c>
      <c r="J77" s="325">
        <v>1</v>
      </c>
      <c r="K77" s="325"/>
      <c r="L77" s="325"/>
      <c r="M77" s="325"/>
      <c r="N77" s="407"/>
      <c r="O77" s="300"/>
      <c r="P77" s="300"/>
      <c r="Q77" s="300"/>
      <c r="R77" s="300"/>
      <c r="S77" s="300"/>
      <c r="T77" s="300"/>
      <c r="U77" s="300"/>
      <c r="V77" s="300"/>
      <c r="W77" s="300"/>
      <c r="X77" s="300"/>
      <c r="Y77" s="300"/>
      <c r="Z77" s="300"/>
      <c r="AA77" s="300"/>
      <c r="AB77" s="300"/>
      <c r="AC77" s="300"/>
      <c r="AD77" s="300"/>
      <c r="AE77" s="300"/>
    </row>
    <row r="78" spans="2:31" ht="14.5">
      <c r="B78" s="405">
        <f t="shared" si="4"/>
        <v>33</v>
      </c>
      <c r="C78" s="413" t="str" cm="1">
        <f t="array" aca="1" ref="C78" ca="1">IF(B78&lt;=$C$9,GetGetCDSName(B78),"")</f>
        <v>CREDITSUISSEGROUP_MMR.EUR.SU</v>
      </c>
      <c r="D78" s="373">
        <v>0</v>
      </c>
      <c r="E78" s="406">
        <v>1</v>
      </c>
      <c r="F78" s="325">
        <v>0</v>
      </c>
      <c r="G78" s="325">
        <v>0</v>
      </c>
      <c r="H78" s="325">
        <v>1</v>
      </c>
      <c r="I78" s="325">
        <v>0</v>
      </c>
      <c r="J78" s="325">
        <v>0</v>
      </c>
      <c r="K78" s="325"/>
      <c r="L78" s="325"/>
      <c r="M78" s="325"/>
      <c r="N78" s="407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</row>
    <row r="79" spans="2:31" ht="14.5">
      <c r="B79" s="405">
        <f t="shared" si="4"/>
        <v>34</v>
      </c>
      <c r="C79" s="413" t="str" cm="1">
        <f t="array" aca="1" ref="C79" ca="1">IF(B79&lt;=$C$9,GetGetCDSName(B79),"")</f>
        <v>DAIMLERCHRYSLER_MMR.EUR.SU</v>
      </c>
      <c r="D79" s="373">
        <v>0</v>
      </c>
      <c r="E79" s="406">
        <v>1</v>
      </c>
      <c r="F79" s="325">
        <v>0</v>
      </c>
      <c r="G79" s="325">
        <v>1</v>
      </c>
      <c r="H79" s="325">
        <v>0</v>
      </c>
      <c r="I79" s="325">
        <v>0</v>
      </c>
      <c r="J79" s="325">
        <v>1</v>
      </c>
      <c r="K79" s="325"/>
      <c r="L79" s="325"/>
      <c r="M79" s="325"/>
      <c r="N79" s="407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</row>
    <row r="80" spans="2:31" ht="14.5">
      <c r="B80" s="405">
        <f t="shared" si="4"/>
        <v>35</v>
      </c>
      <c r="C80" s="413" t="str" cm="1">
        <f t="array" aca="1" ref="C80" ca="1">IF(B80&lt;=$C$9,GetGetCDSName(B80),"")</f>
        <v>DANONE_MMR.EUR.SU</v>
      </c>
      <c r="D80" s="373">
        <v>0</v>
      </c>
      <c r="E80" s="406">
        <v>0</v>
      </c>
      <c r="F80" s="325">
        <v>1</v>
      </c>
      <c r="G80" s="325">
        <v>1</v>
      </c>
      <c r="H80" s="325">
        <v>1</v>
      </c>
      <c r="I80" s="325">
        <v>0</v>
      </c>
      <c r="J80" s="325">
        <v>0</v>
      </c>
      <c r="K80" s="325"/>
      <c r="L80" s="325"/>
      <c r="M80" s="325"/>
      <c r="N80" s="407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</row>
    <row r="81" spans="2:31" ht="14.5">
      <c r="B81" s="405">
        <f t="shared" si="4"/>
        <v>36</v>
      </c>
      <c r="C81" s="413" t="str" cm="1">
        <f t="array" aca="1" ref="C81" ca="1">IF(B81&lt;=$C$9,GetGetCDSName(B81),"")</f>
        <v>DEUTSCHEBANK_MMR.EUR.SU</v>
      </c>
      <c r="D81" s="373">
        <v>0</v>
      </c>
      <c r="E81" s="406">
        <v>0</v>
      </c>
      <c r="F81" s="325">
        <v>1</v>
      </c>
      <c r="G81" s="325">
        <v>0</v>
      </c>
      <c r="H81" s="325">
        <v>0</v>
      </c>
      <c r="I81" s="325">
        <v>1</v>
      </c>
      <c r="J81" s="325">
        <v>0</v>
      </c>
      <c r="K81" s="325"/>
      <c r="L81" s="325"/>
      <c r="M81" s="325"/>
      <c r="N81" s="407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</row>
    <row r="82" spans="2:31" ht="14.5">
      <c r="B82" s="405">
        <f t="shared" si="4"/>
        <v>37</v>
      </c>
      <c r="C82" s="413" t="str" cm="1">
        <f t="array" aca="1" ref="C82" ca="1">IF(B82&lt;=$C$9,GetGetCDSName(B82),"")</f>
        <v>DEUTSCHEPOSTAG_MMR.EUR.SU</v>
      </c>
      <c r="D82" s="373">
        <v>0</v>
      </c>
      <c r="E82" s="406">
        <v>0</v>
      </c>
      <c r="F82" s="325">
        <v>0</v>
      </c>
      <c r="G82" s="325">
        <v>1</v>
      </c>
      <c r="H82" s="325">
        <v>0</v>
      </c>
      <c r="I82" s="325">
        <v>1</v>
      </c>
      <c r="J82" s="325">
        <v>0</v>
      </c>
      <c r="K82" s="325"/>
      <c r="L82" s="325"/>
      <c r="M82" s="325"/>
      <c r="N82" s="407"/>
      <c r="O82" s="300"/>
      <c r="P82" s="300"/>
      <c r="Q82" s="300"/>
      <c r="R82" s="300"/>
      <c r="S82" s="300"/>
      <c r="T82" s="300"/>
      <c r="U82" s="300"/>
      <c r="V82" s="300"/>
      <c r="W82" s="300"/>
      <c r="X82" s="300"/>
      <c r="Y82" s="300"/>
      <c r="Z82" s="300"/>
      <c r="AA82" s="300"/>
      <c r="AB82" s="300"/>
      <c r="AC82" s="300"/>
      <c r="AD82" s="300"/>
      <c r="AE82" s="300"/>
    </row>
    <row r="83" spans="2:31" ht="14.5">
      <c r="B83" s="405">
        <f t="shared" si="4"/>
        <v>38</v>
      </c>
      <c r="C83" s="413" t="str" cm="1">
        <f t="array" aca="1" ref="C83" ca="1">IF(B83&lt;=$C$9,GetGetCDSName(B83),"")</f>
        <v>DEUTSCHETELEKOM_MMR.EUR.SU</v>
      </c>
      <c r="D83" s="373">
        <v>0</v>
      </c>
      <c r="E83" s="406">
        <v>0</v>
      </c>
      <c r="F83" s="325">
        <v>1</v>
      </c>
      <c r="G83" s="325">
        <v>0</v>
      </c>
      <c r="H83" s="325">
        <v>0</v>
      </c>
      <c r="I83" s="325">
        <v>0</v>
      </c>
      <c r="J83" s="325">
        <v>1</v>
      </c>
      <c r="K83" s="325"/>
      <c r="L83" s="325"/>
      <c r="M83" s="325"/>
      <c r="N83" s="407"/>
      <c r="O83" s="300"/>
      <c r="P83" s="300"/>
      <c r="Q83" s="300"/>
      <c r="R83" s="300"/>
      <c r="S83" s="300"/>
      <c r="T83" s="300"/>
      <c r="U83" s="300"/>
      <c r="V83" s="300"/>
      <c r="W83" s="300"/>
      <c r="X83" s="300"/>
      <c r="Y83" s="300"/>
      <c r="Z83" s="300"/>
      <c r="AA83" s="300"/>
      <c r="AB83" s="300"/>
      <c r="AC83" s="300"/>
      <c r="AD83" s="300"/>
      <c r="AE83" s="300"/>
    </row>
    <row r="84" spans="2:31" ht="14.5">
      <c r="B84" s="405">
        <f t="shared" si="4"/>
        <v>39</v>
      </c>
      <c r="C84" s="413" t="str" cm="1">
        <f t="array" aca="1" ref="C84" ca="1">IF(B84&lt;=$C$9,GetGetCDSName(B84),"")</f>
        <v>DIAGEO_MMR.EUR.SU</v>
      </c>
      <c r="D84" s="373">
        <v>0</v>
      </c>
      <c r="E84" s="406">
        <v>1</v>
      </c>
      <c r="F84" s="325">
        <v>0</v>
      </c>
      <c r="G84" s="325">
        <v>0</v>
      </c>
      <c r="H84" s="325">
        <v>0</v>
      </c>
      <c r="I84" s="325">
        <v>1</v>
      </c>
      <c r="J84" s="325">
        <v>0</v>
      </c>
      <c r="K84" s="325"/>
      <c r="L84" s="325"/>
      <c r="M84" s="325"/>
      <c r="N84" s="407"/>
      <c r="O84" s="300"/>
      <c r="P84" s="300"/>
      <c r="Q84" s="300"/>
      <c r="R84" s="300"/>
      <c r="S84" s="300"/>
      <c r="T84" s="300"/>
      <c r="U84" s="300"/>
      <c r="V84" s="300"/>
      <c r="W84" s="300"/>
      <c r="X84" s="300"/>
      <c r="Y84" s="300"/>
      <c r="Z84" s="300"/>
      <c r="AA84" s="300"/>
      <c r="AB84" s="300"/>
      <c r="AC84" s="300"/>
      <c r="AD84" s="300"/>
      <c r="AE84" s="300"/>
    </row>
    <row r="85" spans="2:31" ht="14.5">
      <c r="B85" s="405">
        <f t="shared" si="4"/>
        <v>40</v>
      </c>
      <c r="C85" s="413" t="str" cm="1">
        <f t="array" aca="1" ref="C85" ca="1">IF(B85&lt;=$C$9,GetGetCDSName(B85),"")</f>
        <v>DIXONSGROUPPLC_MMR.EUR.SU</v>
      </c>
      <c r="D85" s="373">
        <v>0</v>
      </c>
      <c r="E85" s="406">
        <v>0</v>
      </c>
      <c r="F85" s="325">
        <v>0</v>
      </c>
      <c r="G85" s="325">
        <v>0</v>
      </c>
      <c r="H85" s="325">
        <v>1</v>
      </c>
      <c r="I85" s="325">
        <v>1</v>
      </c>
      <c r="J85" s="325">
        <v>1</v>
      </c>
      <c r="K85" s="325"/>
      <c r="L85" s="325"/>
      <c r="M85" s="325"/>
      <c r="N85" s="407"/>
      <c r="O85" s="300"/>
      <c r="P85" s="300"/>
      <c r="Q85" s="300"/>
      <c r="R85" s="300"/>
      <c r="S85" s="300"/>
      <c r="T85" s="300"/>
      <c r="U85" s="300"/>
      <c r="V85" s="300"/>
      <c r="W85" s="300"/>
      <c r="X85" s="300"/>
      <c r="Y85" s="300"/>
      <c r="Z85" s="300"/>
      <c r="AA85" s="300"/>
      <c r="AB85" s="300"/>
      <c r="AC85" s="300"/>
      <c r="AD85" s="300"/>
      <c r="AE85" s="300"/>
    </row>
    <row r="86" spans="2:31" ht="14.5">
      <c r="B86" s="405">
        <f t="shared" si="4"/>
        <v>41</v>
      </c>
      <c r="C86" s="413" t="str" cm="1">
        <f t="array" aca="1" ref="C86" ca="1">IF(B86&lt;=$C$9,GetGetCDSName(B86),"")</f>
        <v>DSM_MMR.EUR.SU</v>
      </c>
      <c r="D86" s="373">
        <v>0</v>
      </c>
      <c r="E86" s="406">
        <v>0</v>
      </c>
      <c r="F86" s="325">
        <v>0</v>
      </c>
      <c r="G86" s="325">
        <v>0</v>
      </c>
      <c r="H86" s="325">
        <v>1</v>
      </c>
      <c r="I86" s="325">
        <v>0</v>
      </c>
      <c r="J86" s="325">
        <v>1</v>
      </c>
      <c r="K86" s="325"/>
      <c r="L86" s="325"/>
      <c r="M86" s="325"/>
      <c r="N86" s="407"/>
      <c r="O86" s="300"/>
      <c r="P86" s="300"/>
      <c r="Q86" s="300"/>
      <c r="R86" s="300"/>
      <c r="S86" s="300"/>
      <c r="T86" s="300"/>
      <c r="U86" s="300"/>
      <c r="V86" s="300"/>
      <c r="W86" s="300"/>
      <c r="X86" s="300"/>
      <c r="Y86" s="300"/>
      <c r="Z86" s="300"/>
      <c r="AA86" s="300"/>
      <c r="AB86" s="300"/>
      <c r="AC86" s="300"/>
      <c r="AD86" s="300"/>
      <c r="AE86" s="300"/>
    </row>
    <row r="87" spans="2:31" ht="14.5">
      <c r="B87" s="405">
        <f t="shared" si="4"/>
        <v>42</v>
      </c>
      <c r="C87" s="413" t="str" cm="1">
        <f t="array" aca="1" ref="C87" ca="1">IF(B87&lt;=$C$9,GetGetCDSName(B87),"")</f>
        <v>EADS_MMR.EUR.SU</v>
      </c>
      <c r="D87" s="373">
        <v>0</v>
      </c>
      <c r="E87" s="406">
        <v>1</v>
      </c>
      <c r="F87" s="325">
        <v>0</v>
      </c>
      <c r="G87" s="325">
        <v>1</v>
      </c>
      <c r="H87" s="325">
        <v>0</v>
      </c>
      <c r="I87" s="325">
        <v>0</v>
      </c>
      <c r="J87" s="325">
        <v>0</v>
      </c>
      <c r="K87" s="325"/>
      <c r="L87" s="325"/>
      <c r="M87" s="325"/>
      <c r="N87" s="407"/>
      <c r="O87" s="300"/>
      <c r="P87" s="300"/>
      <c r="Q87" s="300"/>
      <c r="R87" s="300"/>
      <c r="S87" s="300"/>
      <c r="T87" s="300"/>
      <c r="U87" s="300"/>
      <c r="V87" s="300"/>
      <c r="W87" s="300"/>
      <c r="X87" s="300"/>
      <c r="Y87" s="300"/>
      <c r="Z87" s="300"/>
      <c r="AA87" s="300"/>
      <c r="AB87" s="300"/>
      <c r="AC87" s="300"/>
      <c r="AD87" s="300"/>
      <c r="AE87" s="300"/>
    </row>
    <row r="88" spans="2:31" ht="14.5">
      <c r="B88" s="405">
        <f t="shared" si="4"/>
        <v>43</v>
      </c>
      <c r="C88" s="413" t="str" cm="1">
        <f t="array" aca="1" ref="C88" ca="1">IF(B88&lt;=$C$9,GetGetCDSName(B88),"")</f>
        <v>EDF_MMR.EUR.SU</v>
      </c>
      <c r="D88" s="373">
        <v>0</v>
      </c>
      <c r="E88" s="406">
        <v>0</v>
      </c>
      <c r="F88" s="325">
        <v>1</v>
      </c>
      <c r="G88" s="325">
        <v>0</v>
      </c>
      <c r="H88" s="325">
        <v>0</v>
      </c>
      <c r="I88" s="325">
        <v>0</v>
      </c>
      <c r="J88" s="325">
        <v>0</v>
      </c>
      <c r="K88" s="325"/>
      <c r="L88" s="325"/>
      <c r="M88" s="325"/>
      <c r="N88" s="407"/>
      <c r="O88" s="300"/>
      <c r="P88" s="300"/>
      <c r="Q88" s="300"/>
      <c r="R88" s="300"/>
      <c r="S88" s="300"/>
      <c r="T88" s="300"/>
      <c r="U88" s="300"/>
      <c r="V88" s="300"/>
      <c r="W88" s="300"/>
      <c r="X88" s="300"/>
      <c r="Y88" s="300"/>
      <c r="Z88" s="300"/>
      <c r="AA88" s="300"/>
      <c r="AB88" s="300"/>
      <c r="AC88" s="300"/>
      <c r="AD88" s="300"/>
      <c r="AE88" s="300"/>
    </row>
    <row r="89" spans="2:31" ht="14.5">
      <c r="B89" s="405">
        <f t="shared" si="4"/>
        <v>44</v>
      </c>
      <c r="C89" s="413" t="str" cm="1">
        <f t="array" aca="1" ref="C89" ca="1">IF(B89&lt;=$C$9,GetGetCDSName(B89),"")</f>
        <v>EDISON_MMR.EUR.SU</v>
      </c>
      <c r="D89" s="373">
        <v>0</v>
      </c>
      <c r="E89" s="406">
        <v>1</v>
      </c>
      <c r="F89" s="325">
        <v>0</v>
      </c>
      <c r="G89" s="325">
        <v>0</v>
      </c>
      <c r="H89" s="325">
        <v>0</v>
      </c>
      <c r="I89" s="325">
        <v>0</v>
      </c>
      <c r="J89" s="325">
        <v>0</v>
      </c>
      <c r="K89" s="325"/>
      <c r="L89" s="325"/>
      <c r="M89" s="325"/>
      <c r="N89" s="407"/>
      <c r="O89" s="300"/>
      <c r="P89" s="300"/>
      <c r="Q89" s="300"/>
      <c r="R89" s="300"/>
      <c r="S89" s="300"/>
      <c r="T89" s="300"/>
      <c r="U89" s="300"/>
      <c r="V89" s="300"/>
      <c r="W89" s="300"/>
      <c r="X89" s="300"/>
      <c r="Y89" s="300"/>
      <c r="Z89" s="300"/>
      <c r="AA89" s="300"/>
      <c r="AB89" s="300"/>
      <c r="AC89" s="300"/>
      <c r="AD89" s="300"/>
      <c r="AE89" s="300"/>
    </row>
    <row r="90" spans="2:31" ht="14.5">
      <c r="B90" s="405">
        <f t="shared" si="4"/>
        <v>45</v>
      </c>
      <c r="C90" s="413" t="str" cm="1">
        <f t="array" aca="1" ref="C90" ca="1">IF(B90&lt;=$C$9,GetGetCDSName(B90),"")</f>
        <v>ELECTRICITEDEPORTUGAL_MMR.EUR.SU</v>
      </c>
      <c r="D90" s="373">
        <v>0</v>
      </c>
      <c r="E90" s="406">
        <v>0</v>
      </c>
      <c r="F90" s="325">
        <v>0</v>
      </c>
      <c r="G90" s="325">
        <v>1</v>
      </c>
      <c r="H90" s="325">
        <v>0</v>
      </c>
      <c r="I90" s="325">
        <v>0</v>
      </c>
      <c r="J90" s="325">
        <v>0</v>
      </c>
      <c r="K90" s="325"/>
      <c r="L90" s="325"/>
      <c r="M90" s="325"/>
      <c r="N90" s="407"/>
      <c r="O90" s="300"/>
      <c r="P90" s="300"/>
      <c r="Q90" s="300"/>
      <c r="R90" s="300"/>
      <c r="S90" s="300"/>
      <c r="T90" s="300"/>
      <c r="U90" s="300"/>
      <c r="V90" s="300"/>
      <c r="W90" s="300"/>
      <c r="X90" s="300"/>
      <c r="Y90" s="300"/>
      <c r="Z90" s="300"/>
      <c r="AA90" s="300"/>
      <c r="AB90" s="300"/>
      <c r="AC90" s="300"/>
      <c r="AD90" s="300"/>
      <c r="AE90" s="300"/>
    </row>
    <row r="91" spans="2:31" ht="14.5">
      <c r="B91" s="405">
        <f t="shared" si="4"/>
        <v>46</v>
      </c>
      <c r="C91" s="413" t="str" cm="1">
        <f t="array" aca="1" ref="C91" ca="1">IF(B91&lt;=$C$9,GetGetCDSName(B91),"")</f>
        <v>ELECTROLUX_MMR.EUR.SU</v>
      </c>
      <c r="D91" s="373">
        <v>0</v>
      </c>
      <c r="E91" s="406">
        <v>1</v>
      </c>
      <c r="F91" s="325">
        <v>1</v>
      </c>
      <c r="G91" s="325">
        <v>1</v>
      </c>
      <c r="H91" s="325">
        <v>0</v>
      </c>
      <c r="I91" s="325">
        <v>0</v>
      </c>
      <c r="J91" s="325">
        <v>0</v>
      </c>
      <c r="K91" s="325"/>
      <c r="L91" s="325"/>
      <c r="M91" s="325"/>
      <c r="N91" s="407"/>
      <c r="O91" s="300"/>
      <c r="P91" s="300"/>
      <c r="Q91" s="300"/>
      <c r="R91" s="300"/>
      <c r="S91" s="300"/>
      <c r="T91" s="300"/>
      <c r="U91" s="300"/>
      <c r="V91" s="300"/>
      <c r="W91" s="300"/>
      <c r="X91" s="300"/>
      <c r="Y91" s="300"/>
      <c r="Z91" s="300"/>
      <c r="AA91" s="300"/>
      <c r="AB91" s="300"/>
      <c r="AC91" s="300"/>
      <c r="AD91" s="300"/>
      <c r="AE91" s="300"/>
    </row>
    <row r="92" spans="2:31" ht="14.5">
      <c r="B92" s="405">
        <f t="shared" si="4"/>
        <v>47</v>
      </c>
      <c r="C92" s="413" t="str" cm="1">
        <f t="array" aca="1" ref="C92" ca="1">IF(B92&lt;=$C$9,GetGetCDSName(B92),"")</f>
        <v>ENDESA_MMR.EUR.SU</v>
      </c>
      <c r="D92" s="373">
        <v>0</v>
      </c>
      <c r="E92" s="406">
        <v>0</v>
      </c>
      <c r="F92" s="325">
        <v>1</v>
      </c>
      <c r="G92" s="325">
        <v>0</v>
      </c>
      <c r="H92" s="325">
        <v>1</v>
      </c>
      <c r="I92" s="325">
        <v>1</v>
      </c>
      <c r="J92" s="325">
        <v>0</v>
      </c>
      <c r="K92" s="325"/>
      <c r="L92" s="325"/>
      <c r="M92" s="325"/>
      <c r="N92" s="407"/>
      <c r="O92" s="300"/>
      <c r="P92" s="300"/>
      <c r="Q92" s="300"/>
      <c r="R92" s="300"/>
      <c r="S92" s="300"/>
      <c r="T92" s="300"/>
      <c r="U92" s="300"/>
      <c r="V92" s="300"/>
      <c r="W92" s="300"/>
      <c r="X92" s="300"/>
      <c r="Y92" s="300"/>
      <c r="Z92" s="300"/>
      <c r="AA92" s="300"/>
      <c r="AB92" s="300"/>
      <c r="AC92" s="300"/>
      <c r="AD92" s="300"/>
      <c r="AE92" s="300"/>
    </row>
    <row r="93" spans="2:31" ht="14.5">
      <c r="B93" s="405">
        <f t="shared" si="4"/>
        <v>48</v>
      </c>
      <c r="C93" s="413" t="str" cm="1">
        <f t="array" aca="1" ref="C93" ca="1">IF(B93&lt;=$C$9,GetGetCDSName(B93),"")</f>
        <v>ENEL_MMR.EUR.SU</v>
      </c>
      <c r="D93" s="373">
        <v>0</v>
      </c>
      <c r="E93" s="406">
        <v>1</v>
      </c>
      <c r="F93" s="325">
        <v>1</v>
      </c>
      <c r="G93" s="325">
        <v>1</v>
      </c>
      <c r="H93" s="325">
        <v>0</v>
      </c>
      <c r="I93" s="325">
        <v>0</v>
      </c>
      <c r="J93" s="325">
        <v>0</v>
      </c>
      <c r="K93" s="325"/>
      <c r="L93" s="325"/>
      <c r="M93" s="325"/>
      <c r="N93" s="407"/>
      <c r="O93" s="300"/>
      <c r="P93" s="300"/>
      <c r="Q93" s="300"/>
      <c r="R93" s="300"/>
      <c r="S93" s="300"/>
      <c r="T93" s="300"/>
      <c r="U93" s="300"/>
      <c r="V93" s="300"/>
      <c r="W93" s="300"/>
      <c r="X93" s="300"/>
      <c r="Y93" s="300"/>
      <c r="Z93" s="300"/>
      <c r="AA93" s="300"/>
      <c r="AB93" s="300"/>
      <c r="AC93" s="300"/>
      <c r="AD93" s="300"/>
      <c r="AE93" s="300"/>
    </row>
    <row r="94" spans="2:31" ht="14.5">
      <c r="B94" s="405">
        <f t="shared" si="4"/>
        <v>49</v>
      </c>
      <c r="C94" s="413" t="str" cm="1">
        <f t="array" aca="1" ref="C94" ca="1">IF(B94&lt;=$C$9,GetGetCDSName(B94),"")</f>
        <v>ENERGIEBADENWUERTTEMBERG_MMR.EUR.SU</v>
      </c>
      <c r="D94" s="373">
        <v>0</v>
      </c>
      <c r="E94" s="406">
        <v>0</v>
      </c>
      <c r="F94" s="325">
        <v>1</v>
      </c>
      <c r="G94" s="325">
        <v>0</v>
      </c>
      <c r="H94" s="325">
        <v>0</v>
      </c>
      <c r="I94" s="325">
        <v>0</v>
      </c>
      <c r="J94" s="325">
        <v>1</v>
      </c>
      <c r="K94" s="325"/>
      <c r="L94" s="325"/>
      <c r="M94" s="325"/>
      <c r="N94" s="407"/>
      <c r="O94" s="300"/>
      <c r="P94" s="300"/>
      <c r="Q94" s="300"/>
      <c r="R94" s="300"/>
      <c r="S94" s="300"/>
      <c r="T94" s="300"/>
      <c r="U94" s="300"/>
      <c r="V94" s="300"/>
      <c r="W94" s="300"/>
      <c r="X94" s="300"/>
      <c r="Y94" s="300"/>
      <c r="Z94" s="300"/>
      <c r="AA94" s="300"/>
      <c r="AB94" s="300"/>
      <c r="AC94" s="300"/>
      <c r="AD94" s="300"/>
      <c r="AE94" s="300"/>
    </row>
    <row r="95" spans="2:31" ht="14.5">
      <c r="B95" s="405">
        <f t="shared" si="4"/>
        <v>50</v>
      </c>
      <c r="C95" s="413" t="str" cm="1">
        <f t="array" aca="1" ref="C95" ca="1">IF(B95&lt;=$C$9,GetGetCDSName(B95),"")</f>
        <v>EON_MMR.EUR.SU</v>
      </c>
      <c r="D95" s="373">
        <v>0</v>
      </c>
      <c r="E95" s="406">
        <v>0</v>
      </c>
      <c r="F95" s="325">
        <v>0</v>
      </c>
      <c r="G95" s="325">
        <v>1</v>
      </c>
      <c r="H95" s="325">
        <v>0</v>
      </c>
      <c r="I95" s="325">
        <v>0</v>
      </c>
      <c r="J95" s="325">
        <v>0</v>
      </c>
      <c r="K95" s="325"/>
      <c r="L95" s="325"/>
      <c r="M95" s="325"/>
      <c r="N95" s="407"/>
      <c r="O95" s="300"/>
      <c r="P95" s="300"/>
      <c r="Q95" s="300"/>
      <c r="R95" s="300"/>
      <c r="S95" s="300"/>
      <c r="T95" s="300"/>
      <c r="U95" s="300"/>
      <c r="V95" s="300"/>
      <c r="W95" s="300"/>
      <c r="X95" s="300"/>
      <c r="Y95" s="300"/>
      <c r="Z95" s="300"/>
      <c r="AA95" s="300"/>
      <c r="AB95" s="300"/>
      <c r="AC95" s="300"/>
      <c r="AD95" s="300"/>
      <c r="AE95" s="300"/>
    </row>
    <row r="96" spans="2:31" ht="14.5">
      <c r="B96" s="405">
        <f t="shared" si="4"/>
        <v>51</v>
      </c>
      <c r="C96" s="413" t="str" cm="1">
        <f t="array" aca="1" ref="C96" ca="1">IF(B96&lt;=$C$9,GetGetCDSName(B96),"")</f>
        <v>FORTUMOYJ_MMR.EUR.SU</v>
      </c>
      <c r="D96" s="373">
        <v>0</v>
      </c>
      <c r="E96" s="406">
        <v>0</v>
      </c>
      <c r="F96" s="325">
        <v>0</v>
      </c>
      <c r="G96" s="325">
        <v>0</v>
      </c>
      <c r="H96" s="325">
        <v>0</v>
      </c>
      <c r="I96" s="325">
        <v>1</v>
      </c>
      <c r="J96" s="325">
        <v>0</v>
      </c>
      <c r="K96" s="325"/>
      <c r="L96" s="325"/>
      <c r="M96" s="325"/>
      <c r="N96" s="407"/>
      <c r="O96" s="300"/>
      <c r="P96" s="300"/>
      <c r="Q96" s="300"/>
      <c r="R96" s="300"/>
      <c r="S96" s="300"/>
      <c r="T96" s="300"/>
      <c r="U96" s="300"/>
      <c r="V96" s="300"/>
      <c r="W96" s="300"/>
      <c r="X96" s="300"/>
      <c r="Y96" s="300"/>
      <c r="Z96" s="300"/>
      <c r="AA96" s="300"/>
      <c r="AB96" s="300"/>
      <c r="AC96" s="300"/>
      <c r="AD96" s="300"/>
      <c r="AE96" s="300"/>
    </row>
    <row r="97" spans="2:31" ht="14.5">
      <c r="B97" s="405">
        <f t="shared" si="4"/>
        <v>52</v>
      </c>
      <c r="C97" s="413" t="str" cm="1">
        <f t="array" aca="1" ref="C97" ca="1">IF(B97&lt;=$C$9,GetGetCDSName(B97),"")</f>
        <v>FRANCETELECOM_MMR.EUR.SU</v>
      </c>
      <c r="D97" s="373">
        <v>0</v>
      </c>
      <c r="E97" s="406">
        <v>1</v>
      </c>
      <c r="F97" s="325">
        <v>0</v>
      </c>
      <c r="G97" s="325">
        <v>0</v>
      </c>
      <c r="H97" s="325">
        <v>1</v>
      </c>
      <c r="I97" s="325">
        <v>0</v>
      </c>
      <c r="J97" s="325">
        <v>1</v>
      </c>
      <c r="K97" s="325"/>
      <c r="L97" s="325"/>
      <c r="M97" s="325"/>
      <c r="N97" s="407"/>
      <c r="O97" s="300"/>
      <c r="P97" s="300"/>
      <c r="Q97" s="300"/>
      <c r="R97" s="300"/>
      <c r="S97" s="300"/>
      <c r="T97" s="300"/>
      <c r="U97" s="300"/>
      <c r="V97" s="300"/>
      <c r="W97" s="300"/>
      <c r="X97" s="300"/>
      <c r="Y97" s="300"/>
      <c r="Z97" s="300"/>
      <c r="AA97" s="300"/>
      <c r="AB97" s="300"/>
      <c r="AC97" s="300"/>
      <c r="AD97" s="300"/>
      <c r="AE97" s="300"/>
    </row>
    <row r="98" spans="2:31" ht="14.5">
      <c r="B98" s="405">
        <f t="shared" si="4"/>
        <v>53</v>
      </c>
      <c r="C98" s="413" t="str" cm="1">
        <f t="array" aca="1" ref="C98" ca="1">IF(B98&lt;=$C$9,GetGetCDSName(B98),"")</f>
        <v>GALLAHERGROUPPLC_MMR.EUR.SU</v>
      </c>
      <c r="D98" s="373">
        <v>0</v>
      </c>
      <c r="E98" s="406">
        <v>0</v>
      </c>
      <c r="F98" s="325">
        <v>0</v>
      </c>
      <c r="G98" s="325">
        <v>0</v>
      </c>
      <c r="H98" s="325">
        <v>1</v>
      </c>
      <c r="I98" s="325">
        <v>1</v>
      </c>
      <c r="J98" s="325">
        <v>1</v>
      </c>
      <c r="K98" s="325"/>
      <c r="L98" s="325"/>
      <c r="M98" s="325"/>
      <c r="N98" s="407"/>
      <c r="O98" s="300"/>
      <c r="P98" s="300"/>
      <c r="Q98" s="300"/>
      <c r="R98" s="300"/>
      <c r="S98" s="300"/>
      <c r="T98" s="300"/>
      <c r="U98" s="300"/>
      <c r="V98" s="300"/>
      <c r="W98" s="300"/>
      <c r="X98" s="300"/>
      <c r="Y98" s="300"/>
      <c r="Z98" s="300"/>
      <c r="AA98" s="300"/>
      <c r="AB98" s="300"/>
      <c r="AC98" s="300"/>
      <c r="AD98" s="300"/>
      <c r="AE98" s="300"/>
    </row>
    <row r="99" spans="2:31" ht="14.5">
      <c r="B99" s="405">
        <f t="shared" si="4"/>
        <v>54</v>
      </c>
      <c r="C99" s="413" t="str" cm="1">
        <f t="array" aca="1" ref="C99" ca="1">IF(B99&lt;=$C$9,GetGetCDSName(B99),"")</f>
        <v>GASNATURALSDGSA_MMR.EUR.SU</v>
      </c>
      <c r="D99" s="373">
        <v>0</v>
      </c>
      <c r="E99" s="406">
        <v>1</v>
      </c>
      <c r="F99" s="325">
        <v>0</v>
      </c>
      <c r="G99" s="325">
        <v>0</v>
      </c>
      <c r="H99" s="325">
        <v>1</v>
      </c>
      <c r="I99" s="325">
        <v>0</v>
      </c>
      <c r="J99" s="325">
        <v>0</v>
      </c>
      <c r="K99" s="325"/>
      <c r="L99" s="325"/>
      <c r="M99" s="325"/>
      <c r="N99" s="407"/>
      <c r="O99" s="300"/>
      <c r="P99" s="300"/>
      <c r="Q99" s="300"/>
      <c r="R99" s="300"/>
      <c r="S99" s="300"/>
      <c r="T99" s="300"/>
      <c r="U99" s="300"/>
      <c r="V99" s="300"/>
      <c r="W99" s="300"/>
      <c r="X99" s="300"/>
      <c r="Y99" s="300"/>
      <c r="Z99" s="300"/>
      <c r="AA99" s="300"/>
      <c r="AB99" s="300"/>
      <c r="AC99" s="300"/>
      <c r="AD99" s="300"/>
      <c r="AE99" s="300"/>
    </row>
    <row r="100" spans="2:31" ht="14.5">
      <c r="B100" s="405">
        <f t="shared" si="4"/>
        <v>55</v>
      </c>
      <c r="C100" s="413" t="str" cm="1">
        <f t="array" aca="1" ref="C100" ca="1">IF(B100&lt;=$C$9,GetGetCDSName(B100),"")</f>
        <v>GAZDEFRANCE_MMR.EUR.SU</v>
      </c>
      <c r="D100" s="373">
        <v>0</v>
      </c>
      <c r="E100" s="406">
        <v>0</v>
      </c>
      <c r="F100" s="325">
        <v>0</v>
      </c>
      <c r="G100" s="325">
        <v>0</v>
      </c>
      <c r="H100" s="325">
        <v>0</v>
      </c>
      <c r="I100" s="325">
        <v>1</v>
      </c>
      <c r="J100" s="325">
        <v>0</v>
      </c>
      <c r="K100" s="325"/>
      <c r="L100" s="325"/>
      <c r="M100" s="325"/>
      <c r="N100" s="407"/>
      <c r="O100" s="300"/>
      <c r="P100" s="300"/>
      <c r="Q100" s="300"/>
      <c r="R100" s="300"/>
      <c r="S100" s="300"/>
      <c r="T100" s="300"/>
      <c r="U100" s="300"/>
      <c r="V100" s="300"/>
      <c r="W100" s="300"/>
      <c r="X100" s="300"/>
      <c r="Y100" s="300"/>
      <c r="Z100" s="300"/>
      <c r="AA100" s="300"/>
      <c r="AB100" s="300"/>
      <c r="AC100" s="300"/>
      <c r="AD100" s="300"/>
      <c r="AE100" s="300"/>
    </row>
    <row r="101" spans="2:31" ht="14.5">
      <c r="B101" s="405">
        <f t="shared" si="4"/>
        <v>56</v>
      </c>
      <c r="C101" s="413" t="str" cm="1">
        <f t="array" aca="1" ref="C101" ca="1">IF(B101&lt;=$C$9,GetGetCDSName(B101),"")</f>
        <v>GENERALI_MMR.EUR.SU</v>
      </c>
      <c r="D101" s="373">
        <v>0</v>
      </c>
      <c r="E101" s="406">
        <v>0</v>
      </c>
      <c r="F101" s="325">
        <v>0</v>
      </c>
      <c r="G101" s="325">
        <v>0</v>
      </c>
      <c r="H101" s="325">
        <v>1</v>
      </c>
      <c r="I101" s="325">
        <v>0</v>
      </c>
      <c r="J101" s="325">
        <v>0</v>
      </c>
      <c r="K101" s="325"/>
      <c r="L101" s="325"/>
      <c r="M101" s="325"/>
      <c r="N101" s="407"/>
      <c r="O101" s="300"/>
      <c r="P101" s="300"/>
      <c r="Q101" s="300"/>
      <c r="R101" s="300"/>
      <c r="S101" s="300"/>
      <c r="T101" s="300"/>
      <c r="U101" s="300"/>
      <c r="V101" s="300"/>
      <c r="W101" s="300"/>
      <c r="X101" s="300"/>
      <c r="Y101" s="300"/>
      <c r="Z101" s="300"/>
      <c r="AA101" s="300"/>
      <c r="AB101" s="300"/>
      <c r="AC101" s="300"/>
      <c r="AD101" s="300"/>
      <c r="AE101" s="300"/>
    </row>
    <row r="102" spans="2:31" ht="14.5">
      <c r="B102" s="405">
        <f t="shared" si="4"/>
        <v>57</v>
      </c>
      <c r="C102" s="413" t="str" cm="1">
        <f t="array" aca="1" ref="C102" ca="1">IF(B102&lt;=$C$9,GetGetCDSName(B102),"")</f>
        <v>GKN HOLDINGS  PLC_MMR.EUR.SU</v>
      </c>
      <c r="D102" s="373">
        <v>0</v>
      </c>
      <c r="E102" s="406">
        <v>0</v>
      </c>
      <c r="F102" s="325">
        <v>0</v>
      </c>
      <c r="G102" s="325">
        <v>0</v>
      </c>
      <c r="H102" s="325">
        <v>0</v>
      </c>
      <c r="I102" s="325">
        <v>0</v>
      </c>
      <c r="J102" s="325">
        <v>1</v>
      </c>
      <c r="K102" s="325"/>
      <c r="L102" s="325"/>
      <c r="M102" s="325"/>
      <c r="N102" s="407"/>
      <c r="O102" s="300"/>
      <c r="P102" s="300"/>
      <c r="Q102" s="300"/>
      <c r="R102" s="300"/>
      <c r="S102" s="300"/>
      <c r="T102" s="300"/>
      <c r="U102" s="300"/>
      <c r="V102" s="300"/>
      <c r="W102" s="300"/>
      <c r="X102" s="300"/>
      <c r="Y102" s="300"/>
      <c r="Z102" s="300"/>
      <c r="AA102" s="300"/>
      <c r="AB102" s="300"/>
      <c r="AC102" s="300"/>
      <c r="AD102" s="300"/>
      <c r="AE102" s="300"/>
    </row>
    <row r="103" spans="2:31" ht="14.5">
      <c r="B103" s="405">
        <f t="shared" si="4"/>
        <v>58</v>
      </c>
      <c r="C103" s="413" t="str" cm="1">
        <f t="array" aca="1" ref="C103" ca="1">IF(B103&lt;=$C$9,GetGetCDSName(B103),"")</f>
        <v>GLENCOREINTAG_MMR.EUR.SU</v>
      </c>
      <c r="D103" s="373">
        <v>0</v>
      </c>
      <c r="E103" s="406">
        <v>0</v>
      </c>
      <c r="F103" s="325">
        <v>0</v>
      </c>
      <c r="G103" s="325">
        <v>0</v>
      </c>
      <c r="H103" s="325">
        <v>1</v>
      </c>
      <c r="I103" s="325">
        <v>0</v>
      </c>
      <c r="J103" s="325">
        <v>0</v>
      </c>
      <c r="K103" s="325"/>
      <c r="L103" s="325"/>
      <c r="M103" s="325"/>
      <c r="N103" s="407"/>
      <c r="O103" s="300"/>
      <c r="P103" s="300"/>
      <c r="Q103" s="300"/>
      <c r="R103" s="300"/>
      <c r="S103" s="300"/>
      <c r="T103" s="300"/>
      <c r="U103" s="300"/>
      <c r="V103" s="300"/>
      <c r="W103" s="300"/>
      <c r="X103" s="300"/>
      <c r="Y103" s="300"/>
      <c r="Z103" s="300"/>
      <c r="AA103" s="300"/>
      <c r="AB103" s="300"/>
      <c r="AC103" s="300"/>
      <c r="AD103" s="300"/>
      <c r="AE103" s="300"/>
    </row>
    <row r="104" spans="2:31" ht="14.5">
      <c r="B104" s="405">
        <f t="shared" si="4"/>
        <v>59</v>
      </c>
      <c r="C104" s="413" t="str" cm="1">
        <f t="array" aca="1" ref="C104" ca="1">IF(B104&lt;=$C$9,GetGetCDSName(B104),"")</f>
        <v>GREATUNIVERSALSTORES_MMR.EUR.SU</v>
      </c>
      <c r="D104" s="373">
        <v>0</v>
      </c>
      <c r="E104" s="406">
        <v>0</v>
      </c>
      <c r="F104" s="325">
        <v>1</v>
      </c>
      <c r="G104" s="325">
        <v>1</v>
      </c>
      <c r="H104" s="325">
        <v>0</v>
      </c>
      <c r="I104" s="325">
        <v>1</v>
      </c>
      <c r="J104" s="325">
        <v>0</v>
      </c>
      <c r="K104" s="325"/>
      <c r="L104" s="325"/>
      <c r="M104" s="325"/>
      <c r="N104" s="407"/>
      <c r="O104" s="300"/>
      <c r="P104" s="300"/>
      <c r="Q104" s="300"/>
      <c r="R104" s="300"/>
      <c r="S104" s="300"/>
      <c r="T104" s="300"/>
      <c r="U104" s="300"/>
      <c r="V104" s="300"/>
      <c r="W104" s="300"/>
      <c r="X104" s="300"/>
      <c r="Y104" s="300"/>
      <c r="Z104" s="300"/>
      <c r="AA104" s="300"/>
      <c r="AB104" s="300"/>
      <c r="AC104" s="300"/>
      <c r="AD104" s="300"/>
      <c r="AE104" s="300"/>
    </row>
    <row r="105" spans="2:31" ht="14.5">
      <c r="B105" s="405">
        <f t="shared" si="4"/>
        <v>60</v>
      </c>
      <c r="C105" s="413" t="str" cm="1">
        <f t="array" aca="1" ref="C105" ca="1">IF(B105&lt;=$C$9,GetGetCDSName(B105),"")</f>
        <v>HANNOVERRUECK_MMR.EUR.SU</v>
      </c>
      <c r="D105" s="373">
        <v>0</v>
      </c>
      <c r="E105" s="406">
        <v>0</v>
      </c>
      <c r="F105" s="325">
        <v>1</v>
      </c>
      <c r="G105" s="325">
        <v>0</v>
      </c>
      <c r="H105" s="325">
        <v>0</v>
      </c>
      <c r="I105" s="325">
        <v>0</v>
      </c>
      <c r="J105" s="325">
        <v>1</v>
      </c>
      <c r="K105" s="325"/>
      <c r="L105" s="325"/>
      <c r="M105" s="325"/>
      <c r="N105" s="407"/>
      <c r="O105" s="300"/>
      <c r="P105" s="300"/>
      <c r="Q105" s="300"/>
      <c r="R105" s="300"/>
      <c r="S105" s="300"/>
      <c r="T105" s="300"/>
      <c r="U105" s="300"/>
      <c r="V105" s="300"/>
      <c r="W105" s="300"/>
      <c r="X105" s="300"/>
      <c r="Y105" s="300"/>
      <c r="Z105" s="300"/>
      <c r="AA105" s="300"/>
      <c r="AB105" s="300"/>
      <c r="AC105" s="300"/>
      <c r="AD105" s="300"/>
      <c r="AE105" s="300"/>
    </row>
    <row r="106" spans="2:31" ht="14.5">
      <c r="B106" s="405">
        <f t="shared" si="4"/>
        <v>61</v>
      </c>
      <c r="C106" s="413" t="str" cm="1">
        <f t="array" aca="1" ref="C106" ca="1">IF(B106&lt;=$C$9,GetGetCDSName(B106),"")</f>
        <v>HELLENIC TELCOM_MMR.EUR.SU</v>
      </c>
      <c r="D106" s="373">
        <v>0</v>
      </c>
      <c r="E106" s="406">
        <v>0</v>
      </c>
      <c r="F106" s="325">
        <v>1</v>
      </c>
      <c r="G106" s="325">
        <v>0</v>
      </c>
      <c r="H106" s="325">
        <v>1</v>
      </c>
      <c r="I106" s="325">
        <v>0</v>
      </c>
      <c r="J106" s="325">
        <v>0</v>
      </c>
      <c r="K106" s="325"/>
      <c r="L106" s="325"/>
      <c r="M106" s="325"/>
      <c r="N106" s="407"/>
      <c r="O106" s="300"/>
      <c r="P106" s="300"/>
      <c r="Q106" s="300"/>
      <c r="R106" s="300"/>
      <c r="S106" s="300"/>
      <c r="T106" s="300"/>
      <c r="U106" s="300"/>
      <c r="V106" s="300"/>
      <c r="W106" s="300"/>
      <c r="X106" s="300"/>
      <c r="Y106" s="300"/>
      <c r="Z106" s="300"/>
      <c r="AA106" s="300"/>
      <c r="AB106" s="300"/>
      <c r="AC106" s="300"/>
      <c r="AD106" s="300"/>
      <c r="AE106" s="300"/>
    </row>
    <row r="107" spans="2:31" ht="14.5">
      <c r="B107" s="405">
        <f t="shared" si="4"/>
        <v>62</v>
      </c>
      <c r="C107" s="413" t="str" cm="1">
        <f t="array" aca="1" ref="C107" ca="1">IF(B107&lt;=$C$9,GetGetCDSName(B107),"")</f>
        <v>HENKELKG_MMR.EUR.SU</v>
      </c>
      <c r="D107" s="373">
        <v>0</v>
      </c>
      <c r="E107" s="406">
        <v>1</v>
      </c>
      <c r="F107" s="325">
        <v>0</v>
      </c>
      <c r="G107" s="325">
        <v>0</v>
      </c>
      <c r="H107" s="325">
        <v>0</v>
      </c>
      <c r="I107" s="325">
        <v>0</v>
      </c>
      <c r="J107" s="325">
        <v>1</v>
      </c>
      <c r="K107" s="325"/>
      <c r="L107" s="325"/>
      <c r="M107" s="325"/>
      <c r="N107" s="407"/>
      <c r="O107" s="300"/>
      <c r="P107" s="300"/>
      <c r="Q107" s="300"/>
      <c r="R107" s="300"/>
      <c r="S107" s="300"/>
      <c r="T107" s="300"/>
      <c r="U107" s="300"/>
      <c r="V107" s="300"/>
      <c r="W107" s="300"/>
      <c r="X107" s="300"/>
      <c r="Y107" s="300"/>
      <c r="Z107" s="300"/>
      <c r="AA107" s="300"/>
      <c r="AB107" s="300"/>
      <c r="AC107" s="300"/>
      <c r="AD107" s="300"/>
      <c r="AE107" s="300"/>
    </row>
    <row r="108" spans="2:31" ht="14.5">
      <c r="B108" s="405">
        <f t="shared" si="4"/>
        <v>63</v>
      </c>
      <c r="C108" s="413" t="str" cm="1">
        <f t="array" aca="1" ref="C108" ca="1">IF(B108&lt;=$C$9,GetGetCDSName(B108),"")</f>
        <v>IBERDROLA_MMR.EUR.SU</v>
      </c>
      <c r="D108" s="373">
        <v>0</v>
      </c>
      <c r="E108" s="406">
        <v>1</v>
      </c>
      <c r="F108" s="325">
        <v>1</v>
      </c>
      <c r="G108" s="325">
        <v>0</v>
      </c>
      <c r="H108" s="325">
        <v>1</v>
      </c>
      <c r="I108" s="325">
        <v>0</v>
      </c>
      <c r="J108" s="325">
        <v>0</v>
      </c>
      <c r="K108" s="325"/>
      <c r="L108" s="325"/>
      <c r="M108" s="325"/>
      <c r="N108" s="407"/>
      <c r="O108" s="300"/>
      <c r="P108" s="300"/>
      <c r="Q108" s="300"/>
      <c r="R108" s="300"/>
      <c r="S108" s="300"/>
      <c r="T108" s="300"/>
      <c r="U108" s="300"/>
      <c r="V108" s="300"/>
      <c r="W108" s="300"/>
      <c r="X108" s="300"/>
      <c r="Y108" s="300"/>
      <c r="Z108" s="300"/>
      <c r="AA108" s="300"/>
      <c r="AB108" s="300"/>
      <c r="AC108" s="300"/>
      <c r="AD108" s="300"/>
      <c r="AE108" s="300"/>
    </row>
    <row r="109" spans="2:31" ht="14.5">
      <c r="B109" s="405">
        <f t="shared" si="4"/>
        <v>64</v>
      </c>
      <c r="C109" s="413" t="str" cm="1">
        <f t="array" aca="1" ref="C109" ca="1">IF(B109&lt;=$C$9,GetGetCDSName(B109),"")</f>
        <v>ICI_MMR.EUR.SU</v>
      </c>
      <c r="D109" s="373">
        <v>0</v>
      </c>
      <c r="E109" s="406">
        <v>1</v>
      </c>
      <c r="F109" s="325">
        <v>0</v>
      </c>
      <c r="G109" s="325">
        <v>0</v>
      </c>
      <c r="H109" s="325">
        <v>1</v>
      </c>
      <c r="I109" s="325">
        <v>0</v>
      </c>
      <c r="J109" s="325">
        <v>1</v>
      </c>
      <c r="K109" s="325"/>
      <c r="L109" s="325"/>
      <c r="M109" s="325"/>
      <c r="N109" s="407"/>
      <c r="O109" s="300"/>
      <c r="P109" s="300"/>
      <c r="Q109" s="300"/>
      <c r="R109" s="300"/>
      <c r="S109" s="300"/>
      <c r="T109" s="300"/>
      <c r="U109" s="300"/>
      <c r="V109" s="300"/>
      <c r="W109" s="300"/>
      <c r="X109" s="300"/>
      <c r="Y109" s="300"/>
      <c r="Z109" s="300"/>
      <c r="AA109" s="300"/>
      <c r="AB109" s="300"/>
      <c r="AC109" s="300"/>
      <c r="AD109" s="300"/>
      <c r="AE109" s="300"/>
    </row>
    <row r="110" spans="2:31" ht="14.5">
      <c r="B110" s="405">
        <f t="shared" si="4"/>
        <v>65</v>
      </c>
      <c r="C110" s="413" t="str" cm="1">
        <f t="array" aca="1" ref="C110" ca="1">IF(B110&lt;=$C$9,GetGetCDSName(B110),"")</f>
        <v>INTESA_MMR.EUR.SU</v>
      </c>
      <c r="D110" s="373">
        <v>0</v>
      </c>
      <c r="E110" s="406">
        <v>0</v>
      </c>
      <c r="F110" s="325">
        <v>1</v>
      </c>
      <c r="G110" s="325">
        <v>1</v>
      </c>
      <c r="H110" s="325">
        <v>0</v>
      </c>
      <c r="I110" s="325">
        <v>1</v>
      </c>
      <c r="J110" s="325">
        <v>0</v>
      </c>
      <c r="K110" s="325"/>
      <c r="L110" s="325"/>
      <c r="M110" s="325"/>
      <c r="N110" s="407"/>
      <c r="O110" s="300"/>
      <c r="P110" s="300"/>
      <c r="Q110" s="300"/>
      <c r="R110" s="300"/>
      <c r="S110" s="300"/>
      <c r="T110" s="300"/>
      <c r="U110" s="300"/>
      <c r="V110" s="300"/>
      <c r="W110" s="300"/>
      <c r="X110" s="300"/>
      <c r="Y110" s="300"/>
      <c r="Z110" s="300"/>
      <c r="AA110" s="300"/>
      <c r="AB110" s="300"/>
      <c r="AC110" s="300"/>
      <c r="AD110" s="300"/>
      <c r="AE110" s="300"/>
    </row>
    <row r="111" spans="2:31" ht="14.5">
      <c r="B111" s="405">
        <f t="shared" ref="B111:B174" si="5">B110+1</f>
        <v>66</v>
      </c>
      <c r="C111" s="413" t="str" cm="1">
        <f t="array" aca="1" ref="C111" ca="1">IF(B111&lt;=$C$9,GetGetCDSName(B111),"")</f>
        <v>KINGFISHER_MMR.EUR.SU</v>
      </c>
      <c r="D111" s="373">
        <v>0</v>
      </c>
      <c r="E111" s="406">
        <v>1</v>
      </c>
      <c r="F111" s="325">
        <v>0</v>
      </c>
      <c r="G111" s="325">
        <v>1</v>
      </c>
      <c r="H111" s="325">
        <v>0</v>
      </c>
      <c r="I111" s="325">
        <v>1</v>
      </c>
      <c r="J111" s="325">
        <v>0</v>
      </c>
      <c r="K111" s="325"/>
      <c r="L111" s="325"/>
      <c r="M111" s="325"/>
      <c r="N111" s="407"/>
      <c r="O111" s="300"/>
      <c r="P111" s="300"/>
      <c r="Q111" s="300"/>
      <c r="R111" s="300"/>
      <c r="S111" s="300"/>
      <c r="T111" s="300"/>
      <c r="U111" s="300"/>
      <c r="V111" s="300"/>
      <c r="W111" s="300"/>
      <c r="X111" s="300"/>
      <c r="Y111" s="300"/>
      <c r="Z111" s="300"/>
      <c r="AA111" s="300"/>
      <c r="AB111" s="300"/>
      <c r="AC111" s="300"/>
      <c r="AD111" s="300"/>
      <c r="AE111" s="300"/>
    </row>
    <row r="112" spans="2:31" ht="14.5">
      <c r="B112" s="405">
        <f t="shared" si="5"/>
        <v>67</v>
      </c>
      <c r="C112" s="413" t="str" cm="1">
        <f t="array" aca="1" ref="C112" ca="1">IF(B112&lt;=$C$9,GetGetCDSName(B112),"")</f>
        <v>KPN_MMR.EUR.SU</v>
      </c>
      <c r="D112" s="373">
        <v>0</v>
      </c>
      <c r="E112" s="406">
        <v>1</v>
      </c>
      <c r="F112" s="325">
        <v>0</v>
      </c>
      <c r="G112" s="325">
        <v>0</v>
      </c>
      <c r="H112" s="325">
        <v>1</v>
      </c>
      <c r="I112" s="325">
        <v>0</v>
      </c>
      <c r="J112" s="325">
        <v>1</v>
      </c>
      <c r="K112" s="325"/>
      <c r="L112" s="325"/>
      <c r="M112" s="325"/>
      <c r="N112" s="407"/>
      <c r="O112" s="300"/>
      <c r="P112" s="300"/>
      <c r="Q112" s="300"/>
      <c r="R112" s="300"/>
      <c r="S112" s="300"/>
      <c r="T112" s="300"/>
      <c r="U112" s="300"/>
      <c r="V112" s="300"/>
      <c r="W112" s="300"/>
      <c r="X112" s="300"/>
      <c r="Y112" s="300"/>
      <c r="Z112" s="300"/>
      <c r="AA112" s="300"/>
      <c r="AB112" s="300"/>
      <c r="AC112" s="300"/>
      <c r="AD112" s="300"/>
      <c r="AE112" s="300"/>
    </row>
    <row r="113" spans="2:31" ht="14.5">
      <c r="B113" s="405">
        <f t="shared" si="5"/>
        <v>68</v>
      </c>
      <c r="C113" s="413" t="str" cm="1">
        <f t="array" aca="1" ref="C113" ca="1">IF(B113&lt;=$C$9,GetGetCDSName(B113),"")</f>
        <v>LAFARGE_MMR.EUR.SU</v>
      </c>
      <c r="D113" s="373">
        <v>0</v>
      </c>
      <c r="E113" s="406">
        <v>0</v>
      </c>
      <c r="F113" s="325">
        <v>1</v>
      </c>
      <c r="G113" s="325">
        <v>0</v>
      </c>
      <c r="H113" s="325">
        <v>1</v>
      </c>
      <c r="I113" s="325">
        <v>0</v>
      </c>
      <c r="J113" s="325">
        <v>1</v>
      </c>
      <c r="K113" s="325"/>
      <c r="L113" s="325"/>
      <c r="M113" s="325"/>
      <c r="N113" s="407"/>
      <c r="O113" s="300"/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  <c r="AA113" s="300"/>
      <c r="AB113" s="300"/>
      <c r="AC113" s="300"/>
      <c r="AD113" s="300"/>
      <c r="AE113" s="300"/>
    </row>
    <row r="114" spans="2:31" ht="14.5">
      <c r="B114" s="405">
        <f t="shared" si="5"/>
        <v>69</v>
      </c>
      <c r="C114" s="413" t="str" cm="1">
        <f t="array" aca="1" ref="C114" ca="1">IF(B114&lt;=$C$9,GetGetCDSName(B114),"")</f>
        <v>LINDE_MMR.EUR.SU</v>
      </c>
      <c r="D114" s="373">
        <v>0</v>
      </c>
      <c r="E114" s="406">
        <v>0</v>
      </c>
      <c r="F114" s="325">
        <v>0</v>
      </c>
      <c r="G114" s="325">
        <v>1</v>
      </c>
      <c r="H114" s="325">
        <v>0</v>
      </c>
      <c r="I114" s="325">
        <v>1</v>
      </c>
      <c r="J114" s="325">
        <v>1</v>
      </c>
      <c r="K114" s="325"/>
      <c r="L114" s="325"/>
      <c r="M114" s="325"/>
      <c r="N114" s="407"/>
      <c r="O114" s="300"/>
      <c r="P114" s="300"/>
      <c r="Q114" s="300"/>
      <c r="R114" s="300"/>
      <c r="S114" s="300"/>
      <c r="T114" s="300"/>
      <c r="U114" s="300"/>
      <c r="V114" s="300"/>
      <c r="W114" s="300"/>
      <c r="X114" s="300"/>
      <c r="Y114" s="300"/>
      <c r="Z114" s="300"/>
      <c r="AA114" s="300"/>
      <c r="AB114" s="300"/>
      <c r="AC114" s="300"/>
      <c r="AD114" s="300"/>
      <c r="AE114" s="300"/>
    </row>
    <row r="115" spans="2:31" ht="14.5">
      <c r="B115" s="405">
        <f t="shared" si="5"/>
        <v>70</v>
      </c>
      <c r="C115" s="413" t="str" cm="1">
        <f t="array" aca="1" ref="C115" ca="1">IF(B115&lt;=$C$9,GetGetCDSName(B115),"")</f>
        <v>LUFTHANSA_MMR.EUR.SU</v>
      </c>
      <c r="D115" s="373">
        <v>0</v>
      </c>
      <c r="E115" s="406">
        <v>1</v>
      </c>
      <c r="F115" s="325">
        <v>0</v>
      </c>
      <c r="G115" s="325">
        <v>0</v>
      </c>
      <c r="H115" s="325">
        <v>0</v>
      </c>
      <c r="I115" s="325">
        <v>1</v>
      </c>
      <c r="J115" s="325">
        <v>1</v>
      </c>
      <c r="K115" s="325"/>
      <c r="L115" s="325"/>
      <c r="M115" s="325"/>
      <c r="N115" s="407"/>
      <c r="O115" s="300"/>
      <c r="P115" s="300"/>
      <c r="Q115" s="300"/>
      <c r="R115" s="300"/>
      <c r="S115" s="300"/>
      <c r="T115" s="300"/>
      <c r="U115" s="300"/>
      <c r="V115" s="300"/>
      <c r="W115" s="300"/>
      <c r="X115" s="300"/>
      <c r="Y115" s="300"/>
      <c r="Z115" s="300"/>
      <c r="AA115" s="300"/>
      <c r="AB115" s="300"/>
      <c r="AC115" s="300"/>
      <c r="AD115" s="300"/>
      <c r="AE115" s="300"/>
    </row>
    <row r="116" spans="2:31" ht="14.5">
      <c r="B116" s="405">
        <f t="shared" si="5"/>
        <v>71</v>
      </c>
      <c r="C116" s="413" t="str" cm="1">
        <f t="array" aca="1" ref="C116" ca="1">IF(B116&lt;=$C$9,GetGetCDSName(B116),"")</f>
        <v>LVMH_MMR.EUR.SU</v>
      </c>
      <c r="D116" s="373">
        <v>0</v>
      </c>
      <c r="E116" s="406">
        <v>1</v>
      </c>
      <c r="F116" s="325">
        <v>1</v>
      </c>
      <c r="G116" s="325">
        <v>0</v>
      </c>
      <c r="H116" s="325">
        <v>0</v>
      </c>
      <c r="I116" s="325">
        <v>0</v>
      </c>
      <c r="J116" s="325">
        <v>1</v>
      </c>
      <c r="K116" s="325"/>
      <c r="L116" s="325"/>
      <c r="M116" s="325"/>
      <c r="N116" s="407"/>
      <c r="O116" s="300"/>
      <c r="P116" s="300"/>
      <c r="Q116" s="300"/>
      <c r="R116" s="300"/>
      <c r="S116" s="300"/>
      <c r="T116" s="300"/>
      <c r="U116" s="300"/>
      <c r="V116" s="300"/>
      <c r="W116" s="300"/>
      <c r="X116" s="300"/>
      <c r="Y116" s="300"/>
      <c r="Z116" s="300"/>
      <c r="AA116" s="300"/>
      <c r="AB116" s="300"/>
      <c r="AC116" s="300"/>
      <c r="AD116" s="300"/>
      <c r="AE116" s="300"/>
    </row>
    <row r="117" spans="2:31" ht="14.5">
      <c r="B117" s="405">
        <f t="shared" si="5"/>
        <v>72</v>
      </c>
      <c r="C117" s="413" t="str" cm="1">
        <f t="array" aca="1" ref="C117" ca="1">IF(B117&lt;=$C$9,GetGetCDSName(B117),"")</f>
        <v>MARKSANDSPENCERPLC_MMR.EUR.SU</v>
      </c>
      <c r="D117" s="373">
        <v>0</v>
      </c>
      <c r="E117" s="406">
        <v>1</v>
      </c>
      <c r="F117" s="325">
        <v>1</v>
      </c>
      <c r="G117" s="325">
        <v>0</v>
      </c>
      <c r="H117" s="325">
        <v>0</v>
      </c>
      <c r="I117" s="325">
        <v>0</v>
      </c>
      <c r="J117" s="325">
        <v>0</v>
      </c>
      <c r="K117" s="325"/>
      <c r="L117" s="325"/>
      <c r="M117" s="325"/>
      <c r="N117" s="407"/>
      <c r="O117" s="300"/>
      <c r="P117" s="300"/>
      <c r="Q117" s="300"/>
      <c r="R117" s="300"/>
      <c r="S117" s="300"/>
      <c r="T117" s="300"/>
      <c r="U117" s="300"/>
      <c r="V117" s="300"/>
      <c r="W117" s="300"/>
      <c r="X117" s="300"/>
      <c r="Y117" s="300"/>
      <c r="Z117" s="300"/>
      <c r="AA117" s="300"/>
      <c r="AB117" s="300"/>
      <c r="AC117" s="300"/>
      <c r="AD117" s="300"/>
      <c r="AE117" s="300"/>
    </row>
    <row r="118" spans="2:31" ht="14.5">
      <c r="B118" s="405">
        <f t="shared" si="5"/>
        <v>73</v>
      </c>
      <c r="C118" s="413" t="str" cm="1">
        <f t="array" aca="1" ref="C118" ca="1">IF(B118&lt;=$C$9,GetGetCDSName(B118),"")</f>
        <v>METRO_MMR.EUR.SU</v>
      </c>
      <c r="D118" s="373">
        <v>0</v>
      </c>
      <c r="E118" s="406">
        <v>0</v>
      </c>
      <c r="F118" s="325">
        <v>1</v>
      </c>
      <c r="G118" s="325">
        <v>0</v>
      </c>
      <c r="H118" s="325">
        <v>1</v>
      </c>
      <c r="I118" s="325">
        <v>0</v>
      </c>
      <c r="J118" s="325">
        <v>1</v>
      </c>
      <c r="K118" s="325"/>
      <c r="L118" s="325"/>
      <c r="M118" s="325"/>
      <c r="N118" s="407"/>
      <c r="O118" s="300"/>
      <c r="P118" s="300"/>
      <c r="Q118" s="300"/>
      <c r="R118" s="300"/>
      <c r="S118" s="300"/>
      <c r="T118" s="300"/>
      <c r="U118" s="300"/>
      <c r="V118" s="300"/>
      <c r="W118" s="300"/>
      <c r="X118" s="300"/>
      <c r="Y118" s="300"/>
      <c r="Z118" s="300"/>
      <c r="AA118" s="300"/>
      <c r="AB118" s="300"/>
      <c r="AC118" s="300"/>
      <c r="AD118" s="300"/>
      <c r="AE118" s="300"/>
    </row>
    <row r="119" spans="2:31" ht="14.5">
      <c r="B119" s="405">
        <f t="shared" si="5"/>
        <v>74</v>
      </c>
      <c r="C119" s="413" t="str" cm="1">
        <f t="array" aca="1" ref="C119" ca="1">IF(B119&lt;=$C$9,GetGetCDSName(B119),"")</f>
        <v>MICHELIN_MMR.EUR.SU</v>
      </c>
      <c r="D119" s="373">
        <v>0</v>
      </c>
      <c r="E119" s="406">
        <v>1</v>
      </c>
      <c r="F119" s="325">
        <v>1</v>
      </c>
      <c r="G119" s="325">
        <v>0</v>
      </c>
      <c r="H119" s="325">
        <v>1</v>
      </c>
      <c r="I119" s="325">
        <v>0</v>
      </c>
      <c r="J119" s="325">
        <v>0</v>
      </c>
      <c r="K119" s="325"/>
      <c r="L119" s="325"/>
      <c r="M119" s="325"/>
      <c r="N119" s="407"/>
      <c r="O119" s="300"/>
      <c r="P119" s="300"/>
      <c r="Q119" s="300"/>
      <c r="R119" s="300"/>
      <c r="S119" s="300"/>
      <c r="T119" s="300"/>
      <c r="U119" s="300"/>
      <c r="V119" s="300"/>
      <c r="W119" s="300"/>
      <c r="X119" s="300"/>
      <c r="Y119" s="300"/>
      <c r="Z119" s="300"/>
      <c r="AA119" s="300"/>
      <c r="AB119" s="300"/>
      <c r="AC119" s="300"/>
      <c r="AD119" s="300"/>
      <c r="AE119" s="300"/>
    </row>
    <row r="120" spans="2:31" ht="14.5">
      <c r="B120" s="405">
        <f t="shared" si="5"/>
        <v>75</v>
      </c>
      <c r="C120" s="413" t="str" cm="1">
        <f t="array" aca="1" ref="C120" ca="1">IF(B120&lt;=$C$9,GetGetCDSName(B120),"")</f>
        <v>MONTEDEIPASCHI_MMR.EUR.SU</v>
      </c>
      <c r="D120" s="373">
        <v>0</v>
      </c>
      <c r="E120" s="406">
        <v>0</v>
      </c>
      <c r="F120" s="325">
        <v>0</v>
      </c>
      <c r="G120" s="325">
        <v>0</v>
      </c>
      <c r="H120" s="325">
        <v>1</v>
      </c>
      <c r="I120" s="325">
        <v>0</v>
      </c>
      <c r="J120" s="325">
        <v>1</v>
      </c>
      <c r="K120" s="325"/>
      <c r="L120" s="325"/>
      <c r="M120" s="325"/>
      <c r="N120" s="407"/>
      <c r="O120" s="300"/>
      <c r="P120" s="300"/>
      <c r="Q120" s="300"/>
      <c r="R120" s="300"/>
      <c r="S120" s="300"/>
      <c r="T120" s="300"/>
      <c r="U120" s="300"/>
      <c r="V120" s="300"/>
      <c r="W120" s="300"/>
      <c r="X120" s="300"/>
      <c r="Y120" s="300"/>
      <c r="Z120" s="300"/>
      <c r="AA120" s="300"/>
      <c r="AB120" s="300"/>
      <c r="AC120" s="300"/>
      <c r="AD120" s="300"/>
      <c r="AE120" s="300"/>
    </row>
    <row r="121" spans="2:31" ht="14.5">
      <c r="B121" s="405">
        <f t="shared" si="5"/>
        <v>76</v>
      </c>
      <c r="C121" s="413" t="str" cm="1">
        <f t="array" aca="1" ref="C121" ca="1">IF(B121&lt;=$C$9,GetGetCDSName(B121),"")</f>
        <v>MUNICHRE_MMR.EUR.SU</v>
      </c>
      <c r="D121" s="373">
        <v>0</v>
      </c>
      <c r="E121" s="406">
        <v>0</v>
      </c>
      <c r="F121" s="325">
        <v>0</v>
      </c>
      <c r="G121" s="325">
        <v>1</v>
      </c>
      <c r="H121" s="325">
        <v>1</v>
      </c>
      <c r="I121" s="325">
        <v>0</v>
      </c>
      <c r="J121" s="325">
        <v>1</v>
      </c>
      <c r="K121" s="325"/>
      <c r="L121" s="325"/>
      <c r="M121" s="325"/>
      <c r="N121" s="407"/>
      <c r="O121" s="300"/>
      <c r="P121" s="300"/>
      <c r="Q121" s="300"/>
      <c r="R121" s="300"/>
      <c r="S121" s="300"/>
      <c r="T121" s="300"/>
      <c r="U121" s="300"/>
      <c r="V121" s="300"/>
      <c r="W121" s="300"/>
      <c r="X121" s="300"/>
      <c r="Y121" s="300"/>
      <c r="Z121" s="300"/>
      <c r="AA121" s="300"/>
      <c r="AB121" s="300"/>
      <c r="AC121" s="300"/>
      <c r="AD121" s="300"/>
      <c r="AE121" s="300"/>
    </row>
    <row r="122" spans="2:31" ht="14.5">
      <c r="B122" s="405">
        <f t="shared" si="5"/>
        <v>77</v>
      </c>
      <c r="C122" s="413" t="str" cm="1">
        <f t="array" aca="1" ref="C122" ca="1">IF(B122&lt;=$C$9,GetGetCDSName(B122),"")</f>
        <v>NATIONALGRIDTRANSCOPLC_MMR.EUR.SU</v>
      </c>
      <c r="D122" s="373">
        <v>0</v>
      </c>
      <c r="E122" s="406">
        <v>1</v>
      </c>
      <c r="F122" s="325">
        <v>0</v>
      </c>
      <c r="G122" s="325">
        <v>1</v>
      </c>
      <c r="H122" s="325">
        <v>0</v>
      </c>
      <c r="I122" s="325">
        <v>1</v>
      </c>
      <c r="J122" s="325">
        <v>0</v>
      </c>
      <c r="K122" s="325"/>
      <c r="L122" s="325"/>
      <c r="M122" s="325"/>
      <c r="N122" s="407"/>
      <c r="O122" s="300"/>
      <c r="P122" s="300"/>
      <c r="Q122" s="300"/>
      <c r="R122" s="300"/>
      <c r="S122" s="300"/>
      <c r="T122" s="300"/>
      <c r="U122" s="300"/>
      <c r="V122" s="300"/>
      <c r="W122" s="300"/>
      <c r="X122" s="300"/>
      <c r="Y122" s="300"/>
      <c r="Z122" s="300"/>
      <c r="AA122" s="300"/>
      <c r="AB122" s="300"/>
      <c r="AC122" s="300"/>
      <c r="AD122" s="300"/>
      <c r="AE122" s="300"/>
    </row>
    <row r="123" spans="2:31" ht="14.5">
      <c r="B123" s="405">
        <f t="shared" si="5"/>
        <v>78</v>
      </c>
      <c r="C123" s="413" t="str" cm="1">
        <f t="array" aca="1" ref="C123" ca="1">IF(B123&lt;=$C$9,GetGetCDSName(B123),"")</f>
        <v>NEXTPLC_MMR.EUR.SU</v>
      </c>
      <c r="D123" s="373">
        <v>0</v>
      </c>
      <c r="E123" s="406">
        <v>0</v>
      </c>
      <c r="F123" s="325">
        <v>0</v>
      </c>
      <c r="G123" s="325">
        <v>0</v>
      </c>
      <c r="H123" s="325">
        <v>0</v>
      </c>
      <c r="I123" s="325">
        <v>1</v>
      </c>
      <c r="J123" s="325">
        <v>1</v>
      </c>
      <c r="K123" s="325"/>
      <c r="L123" s="325"/>
      <c r="M123" s="325"/>
      <c r="N123" s="407"/>
      <c r="O123" s="300"/>
      <c r="P123" s="300"/>
      <c r="Q123" s="300"/>
      <c r="R123" s="300"/>
      <c r="S123" s="300"/>
      <c r="T123" s="300"/>
      <c r="U123" s="300"/>
      <c r="V123" s="300"/>
      <c r="W123" s="300"/>
      <c r="X123" s="300"/>
      <c r="Y123" s="300"/>
      <c r="Z123" s="300"/>
      <c r="AA123" s="300"/>
      <c r="AB123" s="300"/>
      <c r="AC123" s="300"/>
      <c r="AD123" s="300"/>
      <c r="AE123" s="300"/>
    </row>
    <row r="124" spans="2:31" ht="14.5">
      <c r="B124" s="405">
        <f t="shared" si="5"/>
        <v>79</v>
      </c>
      <c r="C124" s="413" t="str" cm="1">
        <f t="array" aca="1" ref="C124" ca="1">IF(B124&lt;=$C$9,GetGetCDSName(B124),"")</f>
        <v>PEARSON_MMR.EUR.SU</v>
      </c>
      <c r="D124" s="373">
        <v>0</v>
      </c>
      <c r="E124" s="406">
        <v>0</v>
      </c>
      <c r="F124" s="325">
        <v>0</v>
      </c>
      <c r="G124" s="325">
        <v>1</v>
      </c>
      <c r="H124" s="325">
        <v>0</v>
      </c>
      <c r="I124" s="325">
        <v>0</v>
      </c>
      <c r="J124" s="325">
        <v>1</v>
      </c>
      <c r="K124" s="325"/>
      <c r="L124" s="325"/>
      <c r="M124" s="325"/>
      <c r="N124" s="407"/>
      <c r="O124" s="300"/>
      <c r="P124" s="300"/>
      <c r="Q124" s="300"/>
      <c r="R124" s="300"/>
      <c r="S124" s="300"/>
      <c r="T124" s="300"/>
      <c r="U124" s="300"/>
      <c r="V124" s="300"/>
      <c r="W124" s="300"/>
      <c r="X124" s="300"/>
      <c r="Y124" s="300"/>
      <c r="Z124" s="300"/>
      <c r="AA124" s="300"/>
      <c r="AB124" s="300"/>
      <c r="AC124" s="300"/>
      <c r="AD124" s="300"/>
      <c r="AE124" s="300"/>
    </row>
    <row r="125" spans="2:31" ht="14.5">
      <c r="B125" s="405">
        <f t="shared" si="5"/>
        <v>80</v>
      </c>
      <c r="C125" s="413" t="str" cm="1">
        <f t="array" aca="1" ref="C125" ca="1">IF(B125&lt;=$C$9,GetGetCDSName(B125),"")</f>
        <v>PEUGEOT_MMR.EUR.SU</v>
      </c>
      <c r="D125" s="373">
        <v>0</v>
      </c>
      <c r="E125" s="406">
        <v>1</v>
      </c>
      <c r="F125" s="325">
        <v>1</v>
      </c>
      <c r="G125" s="325">
        <v>0</v>
      </c>
      <c r="H125" s="325">
        <v>0</v>
      </c>
      <c r="I125" s="325">
        <v>0</v>
      </c>
      <c r="J125" s="325">
        <v>0</v>
      </c>
      <c r="K125" s="325"/>
      <c r="L125" s="325"/>
      <c r="M125" s="325"/>
      <c r="N125" s="407"/>
      <c r="O125" s="300"/>
      <c r="P125" s="300"/>
      <c r="Q125" s="300"/>
      <c r="R125" s="300"/>
      <c r="S125" s="300"/>
      <c r="T125" s="300"/>
      <c r="U125" s="300"/>
      <c r="V125" s="300"/>
      <c r="W125" s="300"/>
      <c r="X125" s="300"/>
      <c r="Y125" s="300"/>
      <c r="Z125" s="300"/>
      <c r="AA125" s="300"/>
      <c r="AB125" s="300"/>
      <c r="AC125" s="300"/>
      <c r="AD125" s="300"/>
      <c r="AE125" s="300"/>
    </row>
    <row r="126" spans="2:31" ht="14.5">
      <c r="B126" s="405">
        <f t="shared" si="5"/>
        <v>81</v>
      </c>
      <c r="C126" s="413" t="str" cm="1">
        <f t="array" aca="1" ref="C126" ca="1">IF(B126&lt;=$C$9,GetGetCDSName(B126),"")</f>
        <v>PHILIPSELEC_MMR.EUR.SU</v>
      </c>
      <c r="D126" s="373">
        <v>0</v>
      </c>
      <c r="E126" s="406">
        <v>0</v>
      </c>
      <c r="F126" s="325">
        <v>0</v>
      </c>
      <c r="G126" s="325">
        <v>0</v>
      </c>
      <c r="H126" s="325">
        <v>1</v>
      </c>
      <c r="I126" s="325">
        <v>0</v>
      </c>
      <c r="J126" s="325">
        <v>1</v>
      </c>
      <c r="K126" s="325"/>
      <c r="L126" s="325"/>
      <c r="M126" s="325"/>
      <c r="N126" s="407"/>
      <c r="O126" s="300"/>
      <c r="P126" s="300"/>
      <c r="Q126" s="300"/>
      <c r="R126" s="300"/>
      <c r="S126" s="300"/>
      <c r="T126" s="300"/>
      <c r="U126" s="300"/>
      <c r="V126" s="300"/>
      <c r="W126" s="300"/>
      <c r="X126" s="300"/>
      <c r="Y126" s="300"/>
      <c r="Z126" s="300"/>
      <c r="AA126" s="300"/>
      <c r="AB126" s="300"/>
      <c r="AC126" s="300"/>
      <c r="AD126" s="300"/>
      <c r="AE126" s="300"/>
    </row>
    <row r="127" spans="2:31" ht="14.5">
      <c r="B127" s="405">
        <f t="shared" si="5"/>
        <v>82</v>
      </c>
      <c r="C127" s="413" t="str" cm="1">
        <f t="array" aca="1" ref="C127" ca="1">IF(B127&lt;=$C$9,GetGetCDSName(B127),"")</f>
        <v>PINAULTPRINTEMPS_MMR.EUR.SU</v>
      </c>
      <c r="D127" s="373">
        <v>0</v>
      </c>
      <c r="E127" s="406">
        <v>0</v>
      </c>
      <c r="F127" s="325">
        <v>0</v>
      </c>
      <c r="G127" s="325">
        <v>1</v>
      </c>
      <c r="H127" s="325">
        <v>1</v>
      </c>
      <c r="I127" s="325">
        <v>0</v>
      </c>
      <c r="J127" s="325">
        <v>0</v>
      </c>
      <c r="K127" s="325"/>
      <c r="L127" s="325"/>
      <c r="M127" s="325"/>
      <c r="N127" s="407"/>
      <c r="O127" s="300"/>
      <c r="P127" s="300"/>
      <c r="Q127" s="300"/>
      <c r="R127" s="300"/>
      <c r="S127" s="300"/>
      <c r="T127" s="300"/>
      <c r="U127" s="300"/>
      <c r="V127" s="300"/>
      <c r="W127" s="300"/>
      <c r="X127" s="300"/>
      <c r="Y127" s="300"/>
      <c r="Z127" s="300"/>
      <c r="AA127" s="300"/>
      <c r="AB127" s="300"/>
      <c r="AC127" s="300"/>
      <c r="AD127" s="300"/>
      <c r="AE127" s="300"/>
    </row>
    <row r="128" spans="2:31" ht="14.5">
      <c r="B128" s="405">
        <f t="shared" si="5"/>
        <v>83</v>
      </c>
      <c r="C128" s="413" t="str" cm="1">
        <f t="array" aca="1" ref="C128" ca="1">IF(B128&lt;=$C$9,GetGetCDSName(B128),"")</f>
        <v>PORTUGALTELECOM_MMR.EUR.SU</v>
      </c>
      <c r="D128" s="373">
        <v>0</v>
      </c>
      <c r="E128" s="406">
        <v>0</v>
      </c>
      <c r="F128" s="325">
        <v>0</v>
      </c>
      <c r="G128" s="325">
        <v>1</v>
      </c>
      <c r="H128" s="325">
        <v>0</v>
      </c>
      <c r="I128" s="325">
        <v>1</v>
      </c>
      <c r="J128" s="325">
        <v>1</v>
      </c>
      <c r="K128" s="325"/>
      <c r="L128" s="325"/>
      <c r="M128" s="325"/>
      <c r="N128" s="407"/>
      <c r="O128" s="300"/>
      <c r="P128" s="300"/>
      <c r="Q128" s="300"/>
      <c r="R128" s="300"/>
      <c r="S128" s="300"/>
      <c r="T128" s="300"/>
      <c r="U128" s="300"/>
      <c r="V128" s="300"/>
      <c r="W128" s="300"/>
      <c r="X128" s="300"/>
      <c r="Y128" s="300"/>
      <c r="Z128" s="300"/>
      <c r="AA128" s="300"/>
      <c r="AB128" s="300"/>
      <c r="AC128" s="300"/>
      <c r="AD128" s="300"/>
      <c r="AE128" s="300"/>
    </row>
    <row r="129" spans="2:31" ht="14.5">
      <c r="B129" s="405">
        <f t="shared" si="5"/>
        <v>84</v>
      </c>
      <c r="C129" s="413" t="str" cm="1">
        <f t="array" aca="1" ref="C129" ca="1">IF(B129&lt;=$C$9,GetGetCDSName(B129),"")</f>
        <v>REEDELSEVIER_MMR.EUR.SU</v>
      </c>
      <c r="D129" s="373">
        <v>0</v>
      </c>
      <c r="E129" s="406">
        <v>1</v>
      </c>
      <c r="F129" s="325">
        <v>0</v>
      </c>
      <c r="G129" s="325">
        <v>1</v>
      </c>
      <c r="H129" s="325">
        <v>1</v>
      </c>
      <c r="I129" s="325">
        <v>0</v>
      </c>
      <c r="J129" s="325">
        <v>0</v>
      </c>
      <c r="K129" s="325"/>
      <c r="L129" s="325"/>
      <c r="M129" s="325"/>
      <c r="N129" s="407"/>
      <c r="O129" s="300"/>
      <c r="P129" s="300"/>
      <c r="Q129" s="300"/>
      <c r="R129" s="300"/>
      <c r="S129" s="300"/>
      <c r="T129" s="300"/>
      <c r="U129" s="300"/>
      <c r="V129" s="300"/>
      <c r="W129" s="300"/>
      <c r="X129" s="300"/>
      <c r="Y129" s="300"/>
      <c r="Z129" s="300"/>
      <c r="AA129" s="300"/>
      <c r="AB129" s="300"/>
      <c r="AC129" s="300"/>
      <c r="AD129" s="300"/>
      <c r="AE129" s="300"/>
    </row>
    <row r="130" spans="2:31" ht="14.5">
      <c r="B130" s="405">
        <f t="shared" si="5"/>
        <v>85</v>
      </c>
      <c r="C130" s="413" t="str" cm="1">
        <f t="array" aca="1" ref="C130" ca="1">IF(B130&lt;=$C$9,GetGetCDSName(B130),"")</f>
        <v>RENAULT_MMR.EUR.SU</v>
      </c>
      <c r="D130" s="373">
        <v>0</v>
      </c>
      <c r="E130" s="406">
        <v>0</v>
      </c>
      <c r="F130" s="325">
        <v>1</v>
      </c>
      <c r="G130" s="325">
        <v>0</v>
      </c>
      <c r="H130" s="325">
        <v>0</v>
      </c>
      <c r="I130" s="325">
        <v>1</v>
      </c>
      <c r="J130" s="325">
        <v>0</v>
      </c>
      <c r="K130" s="325"/>
      <c r="L130" s="325"/>
      <c r="M130" s="325"/>
      <c r="N130" s="407"/>
      <c r="O130" s="300"/>
      <c r="P130" s="300"/>
      <c r="Q130" s="300"/>
      <c r="R130" s="300"/>
      <c r="S130" s="300"/>
      <c r="T130" s="300"/>
      <c r="U130" s="300"/>
      <c r="V130" s="300"/>
      <c r="W130" s="300"/>
      <c r="X130" s="300"/>
      <c r="Y130" s="300"/>
      <c r="Z130" s="300"/>
      <c r="AA130" s="300"/>
      <c r="AB130" s="300"/>
      <c r="AC130" s="300"/>
      <c r="AD130" s="300"/>
      <c r="AE130" s="300"/>
    </row>
    <row r="131" spans="2:31" ht="14.5">
      <c r="B131" s="405">
        <f t="shared" si="5"/>
        <v>86</v>
      </c>
      <c r="C131" s="413" t="str" cm="1">
        <f t="array" aca="1" ref="C131" ca="1">IF(B131&lt;=$C$9,GetGetCDSName(B131),"")</f>
        <v>REPSOL_MMR.EUR.SU</v>
      </c>
      <c r="D131" s="373">
        <v>0</v>
      </c>
      <c r="E131" s="406">
        <v>1</v>
      </c>
      <c r="F131" s="325">
        <v>0</v>
      </c>
      <c r="G131" s="325">
        <v>1</v>
      </c>
      <c r="H131" s="325">
        <v>0</v>
      </c>
      <c r="I131" s="325">
        <v>0</v>
      </c>
      <c r="J131" s="325">
        <v>0</v>
      </c>
      <c r="K131" s="325"/>
      <c r="L131" s="325"/>
      <c r="M131" s="325"/>
      <c r="N131" s="407"/>
      <c r="O131" s="300"/>
      <c r="P131" s="300"/>
      <c r="Q131" s="300"/>
      <c r="R131" s="300"/>
      <c r="S131" s="300"/>
      <c r="T131" s="300"/>
      <c r="U131" s="300"/>
      <c r="V131" s="300"/>
      <c r="W131" s="300"/>
      <c r="X131" s="300"/>
      <c r="Y131" s="300"/>
      <c r="Z131" s="300"/>
      <c r="AA131" s="300"/>
      <c r="AB131" s="300"/>
      <c r="AC131" s="300"/>
      <c r="AD131" s="300"/>
      <c r="AE131" s="300"/>
    </row>
    <row r="132" spans="2:31" ht="14.5">
      <c r="B132" s="405">
        <f t="shared" si="5"/>
        <v>87</v>
      </c>
      <c r="C132" s="413" t="str" cm="1">
        <f t="array" aca="1" ref="C132" ca="1">IF(B132&lt;=$C$9,GetGetCDSName(B132),"")</f>
        <v>REUTERS_MMR.EUR.SU</v>
      </c>
      <c r="D132" s="373">
        <v>0</v>
      </c>
      <c r="E132" s="406">
        <v>1</v>
      </c>
      <c r="F132" s="325">
        <v>0</v>
      </c>
      <c r="G132" s="325">
        <v>0</v>
      </c>
      <c r="H132" s="325">
        <v>1</v>
      </c>
      <c r="I132" s="325">
        <v>0</v>
      </c>
      <c r="J132" s="325">
        <v>0</v>
      </c>
      <c r="K132" s="325"/>
      <c r="L132" s="325"/>
      <c r="M132" s="325"/>
      <c r="N132" s="407"/>
      <c r="O132" s="300"/>
      <c r="P132" s="300"/>
      <c r="Q132" s="300"/>
      <c r="R132" s="300"/>
      <c r="S132" s="300"/>
      <c r="T132" s="300"/>
      <c r="U132" s="300"/>
      <c r="V132" s="300"/>
      <c r="W132" s="300"/>
      <c r="X132" s="300"/>
      <c r="Y132" s="300"/>
      <c r="Z132" s="300"/>
      <c r="AA132" s="300"/>
      <c r="AB132" s="300"/>
      <c r="AC132" s="300"/>
      <c r="AD132" s="300"/>
      <c r="AE132" s="300"/>
    </row>
    <row r="133" spans="2:31" ht="14.5">
      <c r="B133" s="405">
        <f t="shared" si="5"/>
        <v>88</v>
      </c>
      <c r="C133" s="413" t="str" cm="1">
        <f t="array" aca="1" ref="C133" ca="1">IF(B133&lt;=$C$9,GetGetCDSName(B133),"")</f>
        <v>ROYALBANKSCOTLAND_MMR.EUR.SU</v>
      </c>
      <c r="D133" s="373">
        <v>0</v>
      </c>
      <c r="E133" s="406">
        <v>0</v>
      </c>
      <c r="F133" s="325">
        <v>0</v>
      </c>
      <c r="G133" s="325">
        <v>1</v>
      </c>
      <c r="H133" s="325">
        <v>1</v>
      </c>
      <c r="I133" s="325">
        <v>1</v>
      </c>
      <c r="J133" s="325">
        <v>0</v>
      </c>
      <c r="K133" s="325"/>
      <c r="L133" s="325"/>
      <c r="M133" s="325"/>
      <c r="N133" s="407"/>
      <c r="O133" s="300"/>
      <c r="P133" s="300"/>
      <c r="Q133" s="300"/>
      <c r="R133" s="300"/>
      <c r="S133" s="300"/>
      <c r="T133" s="300"/>
      <c r="U133" s="300"/>
      <c r="V133" s="300"/>
      <c r="W133" s="300"/>
      <c r="X133" s="300"/>
      <c r="Y133" s="300"/>
      <c r="Z133" s="300"/>
      <c r="AA133" s="300"/>
      <c r="AB133" s="300"/>
      <c r="AC133" s="300"/>
      <c r="AD133" s="300"/>
      <c r="AE133" s="300"/>
    </row>
    <row r="134" spans="2:31" ht="14.5">
      <c r="B134" s="405">
        <f t="shared" si="5"/>
        <v>89</v>
      </c>
      <c r="C134" s="413" t="str" cm="1">
        <f t="array" aca="1" ref="C134" ca="1">IF(B134&lt;=$C$9,GetGetCDSName(B134),"")</f>
        <v>RWE_MMR.EUR.SU</v>
      </c>
      <c r="D134" s="373">
        <v>0</v>
      </c>
      <c r="E134" s="406">
        <v>0</v>
      </c>
      <c r="F134" s="325">
        <v>0</v>
      </c>
      <c r="G134" s="325">
        <v>0</v>
      </c>
      <c r="H134" s="325">
        <v>1</v>
      </c>
      <c r="I134" s="325">
        <v>1</v>
      </c>
      <c r="J134" s="325">
        <v>0</v>
      </c>
      <c r="K134" s="325"/>
      <c r="L134" s="325"/>
      <c r="M134" s="325"/>
      <c r="N134" s="407"/>
      <c r="O134" s="300"/>
      <c r="P134" s="300"/>
      <c r="Q134" s="300"/>
      <c r="R134" s="300"/>
      <c r="S134" s="300"/>
      <c r="T134" s="300"/>
      <c r="U134" s="300"/>
      <c r="V134" s="300"/>
      <c r="W134" s="300"/>
      <c r="X134" s="300"/>
      <c r="Y134" s="300"/>
      <c r="Z134" s="300"/>
      <c r="AA134" s="300"/>
      <c r="AB134" s="300"/>
      <c r="AC134" s="300"/>
      <c r="AD134" s="300"/>
      <c r="AE134" s="300"/>
    </row>
    <row r="135" spans="2:31" ht="14.5">
      <c r="B135" s="405">
        <f t="shared" si="5"/>
        <v>90</v>
      </c>
      <c r="C135" s="413" t="str" cm="1">
        <f t="array" aca="1" ref="C135" ca="1">IF(B135&lt;=$C$9,GetGetCDSName(B135),"")</f>
        <v>SAFEWAYPLC_MMR.EUR.SU</v>
      </c>
      <c r="D135" s="373">
        <v>0</v>
      </c>
      <c r="E135" s="406">
        <v>0</v>
      </c>
      <c r="F135" s="325">
        <v>1</v>
      </c>
      <c r="G135" s="325">
        <v>0</v>
      </c>
      <c r="H135" s="325">
        <v>1</v>
      </c>
      <c r="I135" s="325">
        <v>0</v>
      </c>
      <c r="J135" s="325">
        <v>0</v>
      </c>
      <c r="K135" s="325"/>
      <c r="L135" s="325"/>
      <c r="M135" s="325"/>
      <c r="N135" s="407"/>
      <c r="O135" s="300"/>
      <c r="P135" s="300"/>
      <c r="Q135" s="300"/>
      <c r="R135" s="300"/>
      <c r="S135" s="300"/>
      <c r="T135" s="300"/>
      <c r="U135" s="300"/>
      <c r="V135" s="300"/>
      <c r="W135" s="300"/>
      <c r="X135" s="300"/>
      <c r="Y135" s="300"/>
      <c r="Z135" s="300"/>
      <c r="AA135" s="300"/>
      <c r="AB135" s="300"/>
      <c r="AC135" s="300"/>
      <c r="AD135" s="300"/>
      <c r="AE135" s="300"/>
    </row>
    <row r="136" spans="2:31" ht="14.5">
      <c r="B136" s="405">
        <f t="shared" si="5"/>
        <v>91</v>
      </c>
      <c r="C136" s="413" t="str" cm="1">
        <f t="array" aca="1" ref="C136" ca="1">IF(B136&lt;=$C$9,GetGetCDSName(B136),"")</f>
        <v>SANOFIAVENTIS_MMR.EUR.SU</v>
      </c>
      <c r="D136" s="373">
        <v>0</v>
      </c>
      <c r="E136" s="406">
        <v>0</v>
      </c>
      <c r="F136" s="325">
        <v>1</v>
      </c>
      <c r="G136" s="325">
        <v>1</v>
      </c>
      <c r="H136" s="325">
        <v>0</v>
      </c>
      <c r="I136" s="325">
        <v>0</v>
      </c>
      <c r="J136" s="325">
        <v>1</v>
      </c>
      <c r="K136" s="325"/>
      <c r="L136" s="325"/>
      <c r="M136" s="325"/>
      <c r="N136" s="407"/>
      <c r="O136" s="300"/>
      <c r="P136" s="300"/>
      <c r="Q136" s="300"/>
      <c r="R136" s="300"/>
      <c r="S136" s="300"/>
      <c r="T136" s="300"/>
      <c r="U136" s="300"/>
      <c r="V136" s="300"/>
      <c r="W136" s="300"/>
      <c r="X136" s="300"/>
      <c r="Y136" s="300"/>
      <c r="Z136" s="300"/>
      <c r="AA136" s="300"/>
      <c r="AB136" s="300"/>
      <c r="AC136" s="300"/>
      <c r="AD136" s="300"/>
      <c r="AE136" s="300"/>
    </row>
    <row r="137" spans="2:31" ht="14.5">
      <c r="B137" s="405">
        <f t="shared" si="5"/>
        <v>92</v>
      </c>
      <c r="C137" s="413" t="str" cm="1">
        <f t="array" aca="1" ref="C137" ca="1">IF(B137&lt;=$C$9,GetGetCDSName(B137),"")</f>
        <v>SIEMENS_MMR.EUR.SU</v>
      </c>
      <c r="D137" s="373">
        <v>0</v>
      </c>
      <c r="E137" s="406">
        <v>0</v>
      </c>
      <c r="F137" s="325">
        <v>1</v>
      </c>
      <c r="G137" s="325">
        <v>0</v>
      </c>
      <c r="H137" s="325">
        <v>0</v>
      </c>
      <c r="I137" s="325">
        <v>1</v>
      </c>
      <c r="J137" s="325">
        <v>1</v>
      </c>
      <c r="K137" s="325"/>
      <c r="L137" s="325"/>
      <c r="M137" s="325"/>
      <c r="N137" s="407"/>
      <c r="O137" s="300"/>
      <c r="P137" s="300"/>
      <c r="Q137" s="300"/>
      <c r="R137" s="300"/>
      <c r="S137" s="300"/>
      <c r="T137" s="300"/>
      <c r="U137" s="300"/>
      <c r="V137" s="300"/>
      <c r="W137" s="300"/>
      <c r="X137" s="300"/>
      <c r="Y137" s="300"/>
      <c r="Z137" s="300"/>
      <c r="AA137" s="300"/>
      <c r="AB137" s="300"/>
      <c r="AC137" s="300"/>
      <c r="AD137" s="300"/>
      <c r="AE137" s="300"/>
    </row>
    <row r="138" spans="2:31" ht="14.5">
      <c r="B138" s="405">
        <f t="shared" si="5"/>
        <v>93</v>
      </c>
      <c r="C138" s="413" t="str" cm="1">
        <f t="array" aca="1" ref="C138" ca="1">IF(B138&lt;=$C$9,GetGetCDSName(B138),"")</f>
        <v>SODEXHOALLIANCE_MMR.EUR.SU</v>
      </c>
      <c r="D138" s="373">
        <v>0</v>
      </c>
      <c r="E138" s="406">
        <v>1</v>
      </c>
      <c r="F138" s="325">
        <v>1</v>
      </c>
      <c r="G138" s="325">
        <v>0</v>
      </c>
      <c r="H138" s="325">
        <v>0</v>
      </c>
      <c r="I138" s="325">
        <v>1</v>
      </c>
      <c r="J138" s="325">
        <v>0</v>
      </c>
      <c r="K138" s="325"/>
      <c r="L138" s="325"/>
      <c r="M138" s="325"/>
      <c r="N138" s="407"/>
      <c r="O138" s="300"/>
      <c r="P138" s="300"/>
      <c r="Q138" s="300"/>
      <c r="R138" s="300"/>
      <c r="S138" s="300"/>
      <c r="T138" s="300"/>
      <c r="U138" s="300"/>
      <c r="V138" s="300"/>
      <c r="W138" s="300"/>
      <c r="X138" s="300"/>
      <c r="Y138" s="300"/>
      <c r="Z138" s="300"/>
      <c r="AA138" s="300"/>
      <c r="AB138" s="300"/>
      <c r="AC138" s="300"/>
      <c r="AD138" s="300"/>
      <c r="AE138" s="300"/>
    </row>
    <row r="139" spans="2:31" ht="14.5">
      <c r="B139" s="405">
        <f t="shared" si="5"/>
        <v>94</v>
      </c>
      <c r="C139" s="413" t="str" cm="1">
        <f t="array" aca="1" ref="C139" ca="1">IF(B139&lt;=$C$9,GetGetCDSName(B139),"")</f>
        <v>SOLVAY_MMR.EUR.SU</v>
      </c>
      <c r="D139" s="373">
        <v>0</v>
      </c>
      <c r="E139" s="406">
        <v>1</v>
      </c>
      <c r="F139" s="325">
        <v>0</v>
      </c>
      <c r="G139" s="325">
        <v>0</v>
      </c>
      <c r="H139" s="325">
        <v>0</v>
      </c>
      <c r="I139" s="325">
        <v>1</v>
      </c>
      <c r="J139" s="325">
        <v>0</v>
      </c>
      <c r="K139" s="325"/>
      <c r="L139" s="325"/>
      <c r="M139" s="325"/>
      <c r="N139" s="407"/>
      <c r="O139" s="300"/>
      <c r="P139" s="300"/>
      <c r="Q139" s="300"/>
      <c r="R139" s="300"/>
      <c r="S139" s="300"/>
      <c r="T139" s="300"/>
      <c r="U139" s="300"/>
      <c r="V139" s="300"/>
      <c r="W139" s="300"/>
      <c r="X139" s="300"/>
      <c r="Y139" s="300"/>
      <c r="Z139" s="300"/>
      <c r="AA139" s="300"/>
      <c r="AB139" s="300"/>
      <c r="AC139" s="300"/>
      <c r="AD139" s="300"/>
      <c r="AE139" s="300"/>
    </row>
    <row r="140" spans="2:31" ht="14.5">
      <c r="B140" s="405">
        <f t="shared" si="5"/>
        <v>95</v>
      </c>
      <c r="C140" s="413" t="str" cm="1">
        <f t="array" aca="1" ref="C140" ca="1">IF(B140&lt;=$C$9,GetGetCDSName(B140),"")</f>
        <v>STGOBAIN_MMR.EUR.SU</v>
      </c>
      <c r="D140" s="373">
        <v>0</v>
      </c>
      <c r="E140" s="406">
        <v>1</v>
      </c>
      <c r="F140" s="325">
        <v>1</v>
      </c>
      <c r="G140" s="325">
        <v>0</v>
      </c>
      <c r="H140" s="325">
        <v>0</v>
      </c>
      <c r="I140" s="325">
        <v>1</v>
      </c>
      <c r="J140" s="325">
        <v>0</v>
      </c>
      <c r="K140" s="325"/>
      <c r="L140" s="325"/>
      <c r="M140" s="325"/>
      <c r="N140" s="407"/>
      <c r="O140" s="300"/>
      <c r="P140" s="300"/>
      <c r="Q140" s="300"/>
      <c r="R140" s="300"/>
      <c r="S140" s="300"/>
      <c r="T140" s="300"/>
      <c r="U140" s="300"/>
      <c r="V140" s="300"/>
      <c r="W140" s="300"/>
      <c r="X140" s="300"/>
      <c r="Y140" s="300"/>
      <c r="Z140" s="300"/>
      <c r="AA140" s="300"/>
      <c r="AB140" s="300"/>
      <c r="AC140" s="300"/>
      <c r="AD140" s="300"/>
      <c r="AE140" s="300"/>
    </row>
    <row r="141" spans="2:31" ht="14.5">
      <c r="B141" s="405">
        <f t="shared" si="5"/>
        <v>96</v>
      </c>
      <c r="C141" s="413" t="str" cm="1">
        <f t="array" aca="1" ref="C141" ca="1">IF(B141&lt;=$C$9,GetGetCDSName(B141),"")</f>
        <v>STMICRO_MMR.EUR.SU</v>
      </c>
      <c r="D141" s="373">
        <v>0</v>
      </c>
      <c r="E141" s="406">
        <v>0</v>
      </c>
      <c r="F141" s="325">
        <v>0</v>
      </c>
      <c r="G141" s="325">
        <v>0</v>
      </c>
      <c r="H141" s="325">
        <v>0</v>
      </c>
      <c r="I141" s="325">
        <v>0</v>
      </c>
      <c r="J141" s="325">
        <v>1</v>
      </c>
      <c r="K141" s="325"/>
      <c r="L141" s="325"/>
      <c r="M141" s="325"/>
      <c r="N141" s="407"/>
      <c r="O141" s="300"/>
      <c r="P141" s="300"/>
      <c r="Q141" s="300"/>
      <c r="R141" s="300"/>
      <c r="S141" s="300"/>
      <c r="T141" s="300"/>
      <c r="U141" s="300"/>
      <c r="V141" s="300"/>
      <c r="W141" s="300"/>
      <c r="X141" s="300"/>
      <c r="Y141" s="300"/>
      <c r="Z141" s="300"/>
      <c r="AA141" s="300"/>
      <c r="AB141" s="300"/>
      <c r="AC141" s="300"/>
      <c r="AD141" s="300"/>
      <c r="AE141" s="300"/>
    </row>
    <row r="142" spans="2:31" ht="14.5">
      <c r="B142" s="405">
        <f t="shared" si="5"/>
        <v>97</v>
      </c>
      <c r="C142" s="413" t="str" cm="1">
        <f t="array" aca="1" ref="C142" ca="1">IF(B142&lt;=$C$9,GetGetCDSName(B142),"")</f>
        <v>SUEDZUCKERAG_MMR.EUR.SU</v>
      </c>
      <c r="D142" s="373">
        <v>0</v>
      </c>
      <c r="E142" s="406">
        <v>1</v>
      </c>
      <c r="F142" s="325">
        <v>0</v>
      </c>
      <c r="G142" s="325">
        <v>0</v>
      </c>
      <c r="H142" s="325">
        <v>0</v>
      </c>
      <c r="I142" s="325">
        <v>0</v>
      </c>
      <c r="J142" s="325">
        <v>0</v>
      </c>
      <c r="K142" s="325"/>
      <c r="L142" s="325"/>
      <c r="M142" s="325"/>
      <c r="N142" s="407"/>
      <c r="O142" s="300"/>
      <c r="P142" s="300"/>
      <c r="Q142" s="300"/>
      <c r="R142" s="300"/>
      <c r="S142" s="300"/>
      <c r="T142" s="300"/>
      <c r="U142" s="300"/>
      <c r="V142" s="300"/>
      <c r="W142" s="300"/>
      <c r="X142" s="300"/>
      <c r="Y142" s="300"/>
      <c r="Z142" s="300"/>
      <c r="AA142" s="300"/>
      <c r="AB142" s="300"/>
      <c r="AC142" s="300"/>
      <c r="AD142" s="300"/>
      <c r="AE142" s="300"/>
    </row>
    <row r="143" spans="2:31" ht="14.5">
      <c r="B143" s="405">
        <f t="shared" si="5"/>
        <v>98</v>
      </c>
      <c r="C143" s="413" t="str" cm="1">
        <f t="array" aca="1" ref="C143" ca="1">IF(B143&lt;=$C$9,GetGetCDSName(B143),"")</f>
        <v>SUEZLYONNAISE_MMR.EUR.SU</v>
      </c>
      <c r="D143" s="373">
        <v>0</v>
      </c>
      <c r="E143" s="406">
        <v>0</v>
      </c>
      <c r="F143" s="325">
        <v>0</v>
      </c>
      <c r="G143" s="325">
        <v>1</v>
      </c>
      <c r="H143" s="325">
        <v>0</v>
      </c>
      <c r="I143" s="325">
        <v>0</v>
      </c>
      <c r="J143" s="325">
        <v>0</v>
      </c>
      <c r="K143" s="325"/>
      <c r="L143" s="325"/>
      <c r="M143" s="325"/>
      <c r="N143" s="407"/>
      <c r="O143" s="300"/>
      <c r="P143" s="300"/>
      <c r="Q143" s="300"/>
      <c r="R143" s="300"/>
      <c r="S143" s="300"/>
      <c r="T143" s="300"/>
      <c r="U143" s="300"/>
      <c r="V143" s="300"/>
      <c r="W143" s="300"/>
      <c r="X143" s="300"/>
      <c r="Y143" s="300"/>
      <c r="Z143" s="300"/>
      <c r="AA143" s="300"/>
      <c r="AB143" s="300"/>
      <c r="AC143" s="300"/>
      <c r="AD143" s="300"/>
      <c r="AE143" s="300"/>
    </row>
    <row r="144" spans="2:31" ht="14.5">
      <c r="B144" s="405">
        <f t="shared" si="5"/>
        <v>99</v>
      </c>
      <c r="C144" s="413" t="str" cm="1">
        <f t="array" aca="1" ref="C144" ca="1">IF(B144&lt;=$C$9,GetGetCDSName(B144),"")</f>
        <v>SVENSKACELLULOSAAB_MMR.EUR.SU</v>
      </c>
      <c r="D144" s="373">
        <v>0</v>
      </c>
      <c r="E144" s="406">
        <v>0</v>
      </c>
      <c r="F144" s="325">
        <v>0</v>
      </c>
      <c r="G144" s="325">
        <v>0</v>
      </c>
      <c r="H144" s="325">
        <v>0</v>
      </c>
      <c r="I144" s="325">
        <v>1</v>
      </c>
      <c r="J144" s="325">
        <v>0</v>
      </c>
      <c r="K144" s="325"/>
      <c r="L144" s="325"/>
      <c r="M144" s="325"/>
      <c r="N144" s="407"/>
      <c r="O144" s="300"/>
      <c r="P144" s="300"/>
      <c r="Q144" s="300"/>
      <c r="R144" s="300"/>
      <c r="S144" s="300"/>
      <c r="T144" s="300"/>
      <c r="U144" s="300"/>
      <c r="V144" s="300"/>
      <c r="W144" s="300"/>
      <c r="X144" s="300"/>
      <c r="Y144" s="300"/>
      <c r="Z144" s="300"/>
      <c r="AA144" s="300"/>
      <c r="AB144" s="300"/>
      <c r="AC144" s="300"/>
      <c r="AD144" s="300"/>
      <c r="AE144" s="300"/>
    </row>
    <row r="145" spans="2:31" ht="14.5">
      <c r="B145" s="405">
        <f t="shared" si="5"/>
        <v>100</v>
      </c>
      <c r="C145" s="413" t="str" cm="1">
        <f t="array" aca="1" ref="C145" ca="1">IF(B145&lt;=$C$9,GetGetCDSName(B145),"")</f>
        <v>SWISSRE_MMR.EUR.SU</v>
      </c>
      <c r="D145" s="373">
        <v>0</v>
      </c>
      <c r="E145" s="406">
        <v>0</v>
      </c>
      <c r="F145" s="325">
        <v>0</v>
      </c>
      <c r="G145" s="325">
        <v>1</v>
      </c>
      <c r="H145" s="325">
        <v>0</v>
      </c>
      <c r="I145" s="325">
        <v>1</v>
      </c>
      <c r="J145" s="325">
        <v>1</v>
      </c>
      <c r="K145" s="325"/>
      <c r="L145" s="325"/>
      <c r="M145" s="325"/>
      <c r="N145" s="407"/>
      <c r="O145" s="300"/>
      <c r="P145" s="300"/>
      <c r="Q145" s="300"/>
      <c r="R145" s="300"/>
      <c r="S145" s="300"/>
      <c r="T145" s="300"/>
      <c r="U145" s="300"/>
      <c r="V145" s="300"/>
      <c r="W145" s="300"/>
      <c r="X145" s="300"/>
      <c r="Y145" s="300"/>
      <c r="Z145" s="300"/>
      <c r="AA145" s="300"/>
      <c r="AB145" s="300"/>
      <c r="AC145" s="300"/>
      <c r="AD145" s="300"/>
      <c r="AE145" s="300"/>
    </row>
    <row r="146" spans="2:31" ht="14.5">
      <c r="B146" s="405">
        <f t="shared" si="5"/>
        <v>101</v>
      </c>
      <c r="C146" s="413" t="str" cm="1">
        <f t="array" aca="1" ref="C146" ca="1">IF(B146&lt;=$C$9,GetGetCDSName(B146),"")</f>
        <v>TATE&amp;LYLE_MMR.EUR.SU</v>
      </c>
      <c r="D146" s="373">
        <v>0</v>
      </c>
      <c r="E146" s="406">
        <v>0</v>
      </c>
      <c r="F146" s="325">
        <v>1</v>
      </c>
      <c r="G146" s="325">
        <v>1</v>
      </c>
      <c r="H146" s="325">
        <v>0</v>
      </c>
      <c r="I146" s="325">
        <v>0</v>
      </c>
      <c r="J146" s="325">
        <v>0</v>
      </c>
      <c r="K146" s="325"/>
      <c r="L146" s="325"/>
      <c r="M146" s="325"/>
      <c r="N146" s="407"/>
      <c r="O146" s="300"/>
      <c r="P146" s="300"/>
      <c r="Q146" s="300"/>
      <c r="R146" s="300"/>
      <c r="S146" s="300"/>
      <c r="T146" s="300"/>
      <c r="U146" s="300"/>
      <c r="V146" s="300"/>
      <c r="W146" s="300"/>
      <c r="X146" s="300"/>
      <c r="Y146" s="300"/>
      <c r="Z146" s="300"/>
      <c r="AA146" s="300"/>
      <c r="AB146" s="300"/>
      <c r="AC146" s="300"/>
      <c r="AD146" s="300"/>
      <c r="AE146" s="300"/>
    </row>
    <row r="147" spans="2:31" ht="14.5">
      <c r="B147" s="405">
        <f t="shared" si="5"/>
        <v>102</v>
      </c>
      <c r="C147" s="413" t="str" cm="1">
        <f t="array" aca="1" ref="C147" ca="1">IF(B147&lt;=$C$9,GetGetCDSName(B147),"")</f>
        <v>TELECOMITALIA_MMR.EUR.SU</v>
      </c>
      <c r="D147" s="373">
        <v>0</v>
      </c>
      <c r="E147" s="406">
        <v>1</v>
      </c>
      <c r="F147" s="325">
        <v>1</v>
      </c>
      <c r="G147" s="325">
        <v>0</v>
      </c>
      <c r="H147" s="325">
        <v>0</v>
      </c>
      <c r="I147" s="325">
        <v>0</v>
      </c>
      <c r="J147" s="325">
        <v>0</v>
      </c>
      <c r="K147" s="325"/>
      <c r="L147" s="325"/>
      <c r="M147" s="325"/>
      <c r="N147" s="407"/>
      <c r="O147" s="300"/>
      <c r="P147" s="300"/>
      <c r="Q147" s="300"/>
      <c r="R147" s="300"/>
      <c r="S147" s="300"/>
      <c r="T147" s="300"/>
      <c r="U147" s="300"/>
      <c r="V147" s="300"/>
      <c r="W147" s="300"/>
      <c r="X147" s="300"/>
      <c r="Y147" s="300"/>
      <c r="Z147" s="300"/>
      <c r="AA147" s="300"/>
      <c r="AB147" s="300"/>
      <c r="AC147" s="300"/>
      <c r="AD147" s="300"/>
      <c r="AE147" s="300"/>
    </row>
    <row r="148" spans="2:31" ht="14.5">
      <c r="B148" s="405">
        <f t="shared" si="5"/>
        <v>103</v>
      </c>
      <c r="C148" s="413" t="str" cm="1">
        <f t="array" aca="1" ref="C148" ca="1">IF(B148&lt;=$C$9,GetGetCDSName(B148),"")</f>
        <v>TELEFONICA_MMR.EUR.SU</v>
      </c>
      <c r="D148" s="373">
        <v>0</v>
      </c>
      <c r="E148" s="406">
        <v>0</v>
      </c>
      <c r="F148" s="325">
        <v>0</v>
      </c>
      <c r="G148" s="325">
        <v>0</v>
      </c>
      <c r="H148" s="325">
        <v>1</v>
      </c>
      <c r="I148" s="325">
        <v>0</v>
      </c>
      <c r="J148" s="325">
        <v>0</v>
      </c>
      <c r="K148" s="325"/>
      <c r="L148" s="325"/>
      <c r="M148" s="325"/>
      <c r="N148" s="407"/>
      <c r="O148" s="300"/>
      <c r="P148" s="300"/>
      <c r="Q148" s="300"/>
      <c r="R148" s="300"/>
      <c r="S148" s="300"/>
      <c r="T148" s="300"/>
      <c r="U148" s="300"/>
      <c r="V148" s="300"/>
      <c r="W148" s="300"/>
      <c r="X148" s="300"/>
      <c r="Y148" s="300"/>
      <c r="Z148" s="300"/>
      <c r="AA148" s="300"/>
      <c r="AB148" s="300"/>
      <c r="AC148" s="300"/>
      <c r="AD148" s="300"/>
      <c r="AE148" s="300"/>
    </row>
    <row r="149" spans="2:31" ht="14.5">
      <c r="B149" s="405">
        <f t="shared" si="5"/>
        <v>104</v>
      </c>
      <c r="C149" s="413" t="str" cm="1">
        <f t="array" aca="1" ref="C149" ca="1">IF(B149&lt;=$C$9,GetGetCDSName(B149),"")</f>
        <v>TELEKOMAUSTRIA_MMR.EUR.SU</v>
      </c>
      <c r="D149" s="373">
        <v>0</v>
      </c>
      <c r="E149" s="406">
        <v>0</v>
      </c>
      <c r="F149" s="325">
        <v>0</v>
      </c>
      <c r="G149" s="325">
        <v>0</v>
      </c>
      <c r="H149" s="325">
        <v>0</v>
      </c>
      <c r="I149" s="325">
        <v>0</v>
      </c>
      <c r="J149" s="325">
        <v>1</v>
      </c>
      <c r="K149" s="325"/>
      <c r="L149" s="325"/>
      <c r="M149" s="325"/>
      <c r="N149" s="407"/>
      <c r="O149" s="300"/>
      <c r="P149" s="300"/>
      <c r="Q149" s="300"/>
      <c r="R149" s="300"/>
      <c r="S149" s="300"/>
      <c r="T149" s="300"/>
      <c r="U149" s="300"/>
      <c r="V149" s="300"/>
      <c r="W149" s="300"/>
      <c r="X149" s="300"/>
      <c r="Y149" s="300"/>
      <c r="Z149" s="300"/>
      <c r="AA149" s="300"/>
      <c r="AB149" s="300"/>
      <c r="AC149" s="300"/>
      <c r="AD149" s="300"/>
      <c r="AE149" s="300"/>
    </row>
    <row r="150" spans="2:31" ht="14.5">
      <c r="B150" s="405">
        <f t="shared" si="5"/>
        <v>105</v>
      </c>
      <c r="C150" s="413" t="str" cm="1">
        <f t="array" aca="1" ref="C150" ca="1">IF(B150&lt;=$C$9,GetGetCDSName(B150),"")</f>
        <v>TELENOR_MMR.EUR.SU</v>
      </c>
      <c r="D150" s="373">
        <v>0</v>
      </c>
      <c r="E150" s="406">
        <v>0</v>
      </c>
      <c r="F150" s="325">
        <v>1</v>
      </c>
      <c r="G150" s="325">
        <v>0</v>
      </c>
      <c r="H150" s="325">
        <v>1</v>
      </c>
      <c r="I150" s="325">
        <v>1</v>
      </c>
      <c r="J150" s="325">
        <v>0</v>
      </c>
      <c r="K150" s="325"/>
      <c r="L150" s="325"/>
      <c r="M150" s="325"/>
      <c r="N150" s="407"/>
      <c r="O150" s="300"/>
      <c r="P150" s="300"/>
      <c r="Q150" s="300"/>
      <c r="R150" s="300"/>
      <c r="S150" s="300"/>
      <c r="T150" s="300"/>
      <c r="U150" s="300"/>
      <c r="V150" s="300"/>
      <c r="W150" s="300"/>
      <c r="X150" s="300"/>
      <c r="Y150" s="300"/>
      <c r="Z150" s="300"/>
      <c r="AA150" s="300"/>
      <c r="AB150" s="300"/>
      <c r="AC150" s="300"/>
      <c r="AD150" s="300"/>
      <c r="AE150" s="300"/>
    </row>
    <row r="151" spans="2:31" ht="14.5">
      <c r="B151" s="405">
        <f t="shared" si="5"/>
        <v>106</v>
      </c>
      <c r="C151" s="413" t="str" cm="1">
        <f t="array" aca="1" ref="C151" ca="1">IF(B151&lt;=$C$9,GetGetCDSName(B151),"")</f>
        <v>TELIA_MMR.EUR.SU</v>
      </c>
      <c r="D151" s="373">
        <v>0</v>
      </c>
      <c r="E151" s="406">
        <v>0</v>
      </c>
      <c r="F151" s="325">
        <v>0</v>
      </c>
      <c r="G151" s="325">
        <v>0</v>
      </c>
      <c r="H151" s="325">
        <v>0</v>
      </c>
      <c r="I151" s="325">
        <v>1</v>
      </c>
      <c r="J151" s="325">
        <v>0</v>
      </c>
      <c r="K151" s="325"/>
      <c r="L151" s="325"/>
      <c r="M151" s="325"/>
      <c r="N151" s="407"/>
      <c r="O151" s="300"/>
      <c r="P151" s="300"/>
      <c r="Q151" s="300"/>
      <c r="R151" s="300"/>
      <c r="S151" s="300"/>
      <c r="T151" s="300"/>
      <c r="U151" s="300"/>
      <c r="V151" s="300"/>
      <c r="W151" s="300"/>
      <c r="X151" s="300"/>
      <c r="Y151" s="300"/>
      <c r="Z151" s="300"/>
      <c r="AA151" s="300"/>
      <c r="AB151" s="300"/>
      <c r="AC151" s="300"/>
      <c r="AD151" s="300"/>
      <c r="AE151" s="300"/>
    </row>
    <row r="152" spans="2:31" ht="14.5">
      <c r="B152" s="405">
        <f t="shared" si="5"/>
        <v>107</v>
      </c>
      <c r="C152" s="413" t="str" cm="1">
        <f t="array" aca="1" ref="C152" ca="1">IF(B152&lt;=$C$9,GetGetCDSName(B152),"")</f>
        <v>TESCO_MMR.EUR.SU</v>
      </c>
      <c r="D152" s="373">
        <v>0</v>
      </c>
      <c r="E152" s="406">
        <v>0</v>
      </c>
      <c r="F152" s="325">
        <v>0</v>
      </c>
      <c r="G152" s="325">
        <v>1</v>
      </c>
      <c r="H152" s="325">
        <v>0</v>
      </c>
      <c r="I152" s="325">
        <v>0</v>
      </c>
      <c r="J152" s="325">
        <v>0</v>
      </c>
      <c r="K152" s="325"/>
      <c r="L152" s="325"/>
      <c r="M152" s="325"/>
      <c r="N152" s="407"/>
      <c r="O152" s="300"/>
      <c r="P152" s="300"/>
      <c r="Q152" s="300"/>
      <c r="R152" s="300"/>
      <c r="S152" s="300"/>
      <c r="T152" s="300"/>
      <c r="U152" s="300"/>
      <c r="V152" s="300"/>
      <c r="W152" s="300"/>
      <c r="X152" s="300"/>
      <c r="Y152" s="300"/>
      <c r="Z152" s="300"/>
      <c r="AA152" s="300"/>
      <c r="AB152" s="300"/>
      <c r="AC152" s="300"/>
      <c r="AD152" s="300"/>
      <c r="AE152" s="300"/>
    </row>
    <row r="153" spans="2:31" ht="14.5">
      <c r="B153" s="405">
        <f t="shared" si="5"/>
        <v>108</v>
      </c>
      <c r="C153" s="413" t="str" cm="1">
        <f t="array" aca="1" ref="C153" ca="1">IF(B153&lt;=$C$9,GetGetCDSName(B153),"")</f>
        <v>THYSSENKRUPPAG_MMR.EUR.SU</v>
      </c>
      <c r="D153" s="373">
        <v>0</v>
      </c>
      <c r="E153" s="406">
        <v>0</v>
      </c>
      <c r="F153" s="325">
        <v>0</v>
      </c>
      <c r="G153" s="325">
        <v>0</v>
      </c>
      <c r="H153" s="325">
        <v>1</v>
      </c>
      <c r="I153" s="325">
        <v>1</v>
      </c>
      <c r="J153" s="325">
        <v>1</v>
      </c>
      <c r="K153" s="325"/>
      <c r="L153" s="325"/>
      <c r="M153" s="325"/>
      <c r="N153" s="407"/>
      <c r="O153" s="300"/>
      <c r="P153" s="300"/>
      <c r="Q153" s="300"/>
      <c r="R153" s="300"/>
      <c r="S153" s="300"/>
      <c r="T153" s="300"/>
      <c r="U153" s="300"/>
      <c r="V153" s="300"/>
      <c r="W153" s="300"/>
      <c r="X153" s="300"/>
      <c r="Y153" s="300"/>
      <c r="Z153" s="300"/>
      <c r="AA153" s="300"/>
      <c r="AB153" s="300"/>
      <c r="AC153" s="300"/>
      <c r="AD153" s="300"/>
      <c r="AE153" s="300"/>
    </row>
    <row r="154" spans="2:31" ht="14.5">
      <c r="B154" s="405">
        <f t="shared" si="5"/>
        <v>109</v>
      </c>
      <c r="C154" s="413" t="str" cm="1">
        <f t="array" aca="1" ref="C154" ca="1">IF(B154&lt;=$C$9,GetGetCDSName(B154),"")</f>
        <v>UBS_MMR.EUR.SU</v>
      </c>
      <c r="D154" s="373">
        <v>0</v>
      </c>
      <c r="E154" s="406">
        <v>1</v>
      </c>
      <c r="F154" s="325">
        <v>0</v>
      </c>
      <c r="G154" s="325">
        <v>0</v>
      </c>
      <c r="H154" s="325">
        <v>0</v>
      </c>
      <c r="I154" s="325">
        <v>0</v>
      </c>
      <c r="J154" s="325">
        <v>0</v>
      </c>
      <c r="K154" s="325"/>
      <c r="L154" s="325"/>
      <c r="M154" s="325"/>
      <c r="N154" s="407"/>
      <c r="O154" s="300"/>
      <c r="P154" s="300"/>
      <c r="Q154" s="300"/>
      <c r="R154" s="300"/>
      <c r="S154" s="300"/>
      <c r="T154" s="300"/>
      <c r="U154" s="300"/>
      <c r="V154" s="300"/>
      <c r="W154" s="300"/>
      <c r="X154" s="300"/>
      <c r="Y154" s="300"/>
      <c r="Z154" s="300"/>
      <c r="AA154" s="300"/>
      <c r="AB154" s="300"/>
      <c r="AC154" s="300"/>
      <c r="AD154" s="300"/>
      <c r="AE154" s="300"/>
    </row>
    <row r="155" spans="2:31" ht="14.5">
      <c r="B155" s="405">
        <f t="shared" si="5"/>
        <v>110</v>
      </c>
      <c r="C155" s="413" t="str" cm="1">
        <f t="array" aca="1" ref="C155" ca="1">IF(B155&lt;=$C$9,GetGetCDSName(B155),"")</f>
        <v>UNICREDITOITALIANO_MMR.EUR.SU</v>
      </c>
      <c r="D155" s="373">
        <v>0</v>
      </c>
      <c r="E155" s="406">
        <v>1</v>
      </c>
      <c r="F155" s="325">
        <v>0</v>
      </c>
      <c r="G155" s="325">
        <v>0</v>
      </c>
      <c r="H155" s="325">
        <v>1</v>
      </c>
      <c r="I155" s="325">
        <v>1</v>
      </c>
      <c r="J155" s="325">
        <v>0</v>
      </c>
      <c r="K155" s="325"/>
      <c r="L155" s="325"/>
      <c r="M155" s="325"/>
      <c r="N155" s="407"/>
      <c r="O155" s="300"/>
      <c r="P155" s="300"/>
      <c r="Q155" s="300"/>
      <c r="R155" s="300"/>
      <c r="S155" s="300"/>
      <c r="T155" s="300"/>
      <c r="U155" s="300"/>
      <c r="V155" s="300"/>
      <c r="W155" s="300"/>
      <c r="X155" s="300"/>
      <c r="Y155" s="300"/>
      <c r="Z155" s="300"/>
      <c r="AA155" s="300"/>
      <c r="AB155" s="300"/>
      <c r="AC155" s="300"/>
      <c r="AD155" s="300"/>
      <c r="AE155" s="300"/>
    </row>
    <row r="156" spans="2:31" ht="14.5">
      <c r="B156" s="405">
        <f t="shared" si="5"/>
        <v>111</v>
      </c>
      <c r="C156" s="413" t="str" cm="1">
        <f t="array" aca="1" ref="C156" ca="1">IF(B156&lt;=$C$9,GetGetCDSName(B156),"")</f>
        <v>UNILEVER_MMR.EUR.SU</v>
      </c>
      <c r="D156" s="373">
        <v>0</v>
      </c>
      <c r="E156" s="406">
        <v>0</v>
      </c>
      <c r="F156" s="325">
        <v>0</v>
      </c>
      <c r="G156" s="325">
        <v>0</v>
      </c>
      <c r="H156" s="325">
        <v>0</v>
      </c>
      <c r="I156" s="325">
        <v>1</v>
      </c>
      <c r="J156" s="325">
        <v>1</v>
      </c>
      <c r="K156" s="325"/>
      <c r="L156" s="325"/>
      <c r="M156" s="325"/>
      <c r="N156" s="407"/>
      <c r="O156" s="300"/>
      <c r="P156" s="300"/>
      <c r="Q156" s="300"/>
      <c r="R156" s="300"/>
      <c r="S156" s="300"/>
      <c r="T156" s="300"/>
      <c r="U156" s="300"/>
      <c r="V156" s="300"/>
      <c r="W156" s="300"/>
      <c r="X156" s="300"/>
      <c r="Y156" s="300"/>
      <c r="Z156" s="300"/>
      <c r="AA156" s="300"/>
      <c r="AB156" s="300"/>
      <c r="AC156" s="300"/>
      <c r="AD156" s="300"/>
      <c r="AE156" s="300"/>
    </row>
    <row r="157" spans="2:31" ht="14.5">
      <c r="B157" s="405">
        <f t="shared" si="5"/>
        <v>112</v>
      </c>
      <c r="C157" s="413" t="str" cm="1">
        <f t="array" aca="1" ref="C157" ca="1">IF(B157&lt;=$C$9,GetGetCDSName(B157),"")</f>
        <v>UNIONFENOSA_MMR.EUR.SU</v>
      </c>
      <c r="D157" s="373">
        <v>0</v>
      </c>
      <c r="E157" s="406">
        <v>0</v>
      </c>
      <c r="F157" s="325">
        <v>0</v>
      </c>
      <c r="G157" s="325">
        <v>1</v>
      </c>
      <c r="H157" s="325">
        <v>1</v>
      </c>
      <c r="I157" s="325">
        <v>0</v>
      </c>
      <c r="J157" s="325">
        <v>0</v>
      </c>
      <c r="K157" s="325"/>
      <c r="L157" s="325"/>
      <c r="M157" s="325"/>
      <c r="N157" s="407"/>
      <c r="O157" s="300"/>
      <c r="P157" s="300"/>
      <c r="Q157" s="300"/>
      <c r="R157" s="300"/>
      <c r="S157" s="300"/>
      <c r="T157" s="300"/>
      <c r="U157" s="300"/>
      <c r="V157" s="300"/>
      <c r="W157" s="300"/>
      <c r="X157" s="300"/>
      <c r="Y157" s="300"/>
      <c r="Z157" s="300"/>
      <c r="AA157" s="300"/>
      <c r="AB157" s="300"/>
      <c r="AC157" s="300"/>
      <c r="AD157" s="300"/>
      <c r="AE157" s="300"/>
    </row>
    <row r="158" spans="2:31" ht="14.5">
      <c r="B158" s="405">
        <f t="shared" si="5"/>
        <v>113</v>
      </c>
      <c r="C158" s="413" t="str" cm="1">
        <f t="array" aca="1" ref="C158" ca="1">IF(B158&lt;=$C$9,GetGetCDSName(B158),"")</f>
        <v>UNITEDUTILITIES_MMR.EUR.SU</v>
      </c>
      <c r="D158" s="373">
        <v>0</v>
      </c>
      <c r="E158" s="406">
        <v>0</v>
      </c>
      <c r="F158" s="325">
        <v>0</v>
      </c>
      <c r="G158" s="325">
        <v>0</v>
      </c>
      <c r="H158" s="325">
        <v>0</v>
      </c>
      <c r="I158" s="325">
        <v>0</v>
      </c>
      <c r="J158" s="325">
        <v>1</v>
      </c>
      <c r="K158" s="325"/>
      <c r="L158" s="325"/>
      <c r="M158" s="325"/>
      <c r="N158" s="407"/>
      <c r="O158" s="300"/>
      <c r="P158" s="300"/>
      <c r="Q158" s="300"/>
      <c r="R158" s="300"/>
      <c r="S158" s="300"/>
      <c r="T158" s="300"/>
      <c r="U158" s="300"/>
      <c r="V158" s="300"/>
      <c r="W158" s="300"/>
      <c r="X158" s="300"/>
      <c r="Y158" s="300"/>
      <c r="Z158" s="300"/>
      <c r="AA158" s="300"/>
      <c r="AB158" s="300"/>
      <c r="AC158" s="300"/>
      <c r="AD158" s="300"/>
      <c r="AE158" s="300"/>
    </row>
    <row r="159" spans="2:31" ht="14.5">
      <c r="B159" s="405">
        <f t="shared" si="5"/>
        <v>114</v>
      </c>
      <c r="C159" s="413" t="str" cm="1">
        <f t="array" aca="1" ref="C159" ca="1">IF(B159&lt;=$C$9,GetGetCDSName(B159),"")</f>
        <v>UPMKYMMENE_MMR.EUR.SU</v>
      </c>
      <c r="D159" s="373">
        <v>0</v>
      </c>
      <c r="E159" s="406">
        <v>0</v>
      </c>
      <c r="F159" s="325">
        <v>1</v>
      </c>
      <c r="G159" s="325">
        <v>0</v>
      </c>
      <c r="H159" s="325">
        <v>0</v>
      </c>
      <c r="I159" s="325">
        <v>0</v>
      </c>
      <c r="J159" s="325">
        <v>0</v>
      </c>
      <c r="K159" s="325"/>
      <c r="L159" s="325"/>
      <c r="M159" s="325"/>
      <c r="N159" s="407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300"/>
      <c r="AA159" s="300"/>
      <c r="AB159" s="300"/>
      <c r="AC159" s="300"/>
      <c r="AD159" s="300"/>
      <c r="AE159" s="300"/>
    </row>
    <row r="160" spans="2:31" ht="14.5">
      <c r="B160" s="405">
        <f t="shared" si="5"/>
        <v>115</v>
      </c>
      <c r="C160" s="413" t="str" cm="1">
        <f t="array" aca="1" ref="C160" ca="1">IF(B160&lt;=$C$9,GetGetCDSName(B160),"")</f>
        <v>VALEO_MMR.EUR.SU</v>
      </c>
      <c r="D160" s="373">
        <v>0</v>
      </c>
      <c r="E160" s="406">
        <v>0</v>
      </c>
      <c r="F160" s="325">
        <v>0</v>
      </c>
      <c r="G160" s="325">
        <v>1</v>
      </c>
      <c r="H160" s="325">
        <v>0</v>
      </c>
      <c r="I160" s="325">
        <v>0</v>
      </c>
      <c r="J160" s="325">
        <v>1</v>
      </c>
      <c r="K160" s="325"/>
      <c r="L160" s="325"/>
      <c r="M160" s="325"/>
      <c r="N160" s="407"/>
      <c r="O160" s="300"/>
      <c r="P160" s="300"/>
      <c r="Q160" s="300"/>
      <c r="R160" s="300"/>
      <c r="S160" s="300"/>
      <c r="T160" s="300"/>
      <c r="U160" s="300"/>
      <c r="V160" s="300"/>
      <c r="W160" s="300"/>
      <c r="X160" s="300"/>
      <c r="Y160" s="300"/>
      <c r="Z160" s="300"/>
      <c r="AA160" s="300"/>
      <c r="AB160" s="300"/>
      <c r="AC160" s="300"/>
      <c r="AD160" s="300"/>
      <c r="AE160" s="300"/>
    </row>
    <row r="161" spans="2:31" ht="14.5">
      <c r="B161" s="405">
        <f t="shared" si="5"/>
        <v>116</v>
      </c>
      <c r="C161" s="413" t="str" cm="1">
        <f t="array" aca="1" ref="C161" ca="1">IF(B161&lt;=$C$9,GetGetCDSName(B161),"")</f>
        <v>VATTENFALLAB_MMR.EUR.SU</v>
      </c>
      <c r="D161" s="373">
        <v>0</v>
      </c>
      <c r="E161" s="406">
        <v>0</v>
      </c>
      <c r="F161" s="325">
        <v>0</v>
      </c>
      <c r="G161" s="325">
        <v>0</v>
      </c>
      <c r="H161" s="325">
        <v>0</v>
      </c>
      <c r="I161" s="325">
        <v>0</v>
      </c>
      <c r="J161" s="325">
        <v>1</v>
      </c>
      <c r="K161" s="325"/>
      <c r="L161" s="325"/>
      <c r="M161" s="325"/>
      <c r="N161" s="407"/>
      <c r="O161" s="300"/>
      <c r="P161" s="300"/>
      <c r="Q161" s="300"/>
      <c r="R161" s="300"/>
      <c r="S161" s="300"/>
      <c r="T161" s="300"/>
      <c r="U161" s="300"/>
      <c r="V161" s="300"/>
      <c r="W161" s="300"/>
      <c r="X161" s="300"/>
      <c r="Y161" s="300"/>
      <c r="Z161" s="300"/>
      <c r="AA161" s="300"/>
      <c r="AB161" s="300"/>
      <c r="AC161" s="300"/>
      <c r="AD161" s="300"/>
      <c r="AE161" s="300"/>
    </row>
    <row r="162" spans="2:31" ht="14.5">
      <c r="B162" s="405">
        <f t="shared" si="5"/>
        <v>117</v>
      </c>
      <c r="C162" s="413" t="str" cm="1">
        <f t="array" aca="1" ref="C162" ca="1">IF(B162&lt;=$C$9,GetGetCDSName(B162),"")</f>
        <v>VEOLIAENVIRONNEMENT_MMR.EUR.SU</v>
      </c>
      <c r="D162" s="373">
        <v>0</v>
      </c>
      <c r="E162" s="406">
        <v>0</v>
      </c>
      <c r="F162" s="325">
        <v>0</v>
      </c>
      <c r="G162" s="325">
        <v>1</v>
      </c>
      <c r="H162" s="325">
        <v>0</v>
      </c>
      <c r="I162" s="325">
        <v>1</v>
      </c>
      <c r="J162" s="325">
        <v>0</v>
      </c>
      <c r="K162" s="325"/>
      <c r="L162" s="325"/>
      <c r="M162" s="325"/>
      <c r="N162" s="407"/>
      <c r="O162" s="300"/>
      <c r="P162" s="300"/>
      <c r="Q162" s="300"/>
      <c r="R162" s="300"/>
      <c r="S162" s="300"/>
      <c r="T162" s="300"/>
      <c r="U162" s="300"/>
      <c r="V162" s="300"/>
      <c r="W162" s="300"/>
      <c r="X162" s="300"/>
      <c r="Y162" s="300"/>
      <c r="Z162" s="300"/>
      <c r="AA162" s="300"/>
      <c r="AB162" s="300"/>
      <c r="AC162" s="300"/>
      <c r="AD162" s="300"/>
      <c r="AE162" s="300"/>
    </row>
    <row r="163" spans="2:31" ht="14.5">
      <c r="B163" s="405">
        <f t="shared" si="5"/>
        <v>118</v>
      </c>
      <c r="C163" s="413" t="str" cm="1">
        <f t="array" aca="1" ref="C163" ca="1">IF(B163&lt;=$C$9,GetGetCDSName(B163),"")</f>
        <v>VINCI_MMR.EUR.SU</v>
      </c>
      <c r="D163" s="373">
        <v>0</v>
      </c>
      <c r="E163" s="406">
        <v>0</v>
      </c>
      <c r="F163" s="325">
        <v>1</v>
      </c>
      <c r="G163" s="325">
        <v>0</v>
      </c>
      <c r="H163" s="325">
        <v>0</v>
      </c>
      <c r="I163" s="325">
        <v>0</v>
      </c>
      <c r="J163" s="325">
        <v>0</v>
      </c>
      <c r="K163" s="325"/>
      <c r="L163" s="325"/>
      <c r="M163" s="325"/>
      <c r="N163" s="407"/>
      <c r="O163" s="300"/>
      <c r="P163" s="300"/>
      <c r="Q163" s="300"/>
      <c r="R163" s="300"/>
      <c r="S163" s="300"/>
      <c r="T163" s="300"/>
      <c r="U163" s="300"/>
      <c r="V163" s="300"/>
      <c r="W163" s="300"/>
      <c r="X163" s="300"/>
      <c r="Y163" s="300"/>
      <c r="Z163" s="300"/>
      <c r="AA163" s="300"/>
      <c r="AB163" s="300"/>
      <c r="AC163" s="300"/>
      <c r="AD163" s="300"/>
      <c r="AE163" s="300"/>
    </row>
    <row r="164" spans="2:31" ht="14.5">
      <c r="B164" s="405">
        <f t="shared" si="5"/>
        <v>119</v>
      </c>
      <c r="C164" s="413" t="str" cm="1">
        <f t="array" aca="1" ref="C164" ca="1">IF(B164&lt;=$C$9,GetGetCDSName(B164),"")</f>
        <v>VIVENDI_MMR.EUR.SU</v>
      </c>
      <c r="D164" s="373">
        <v>0</v>
      </c>
      <c r="E164" s="406">
        <v>0</v>
      </c>
      <c r="F164" s="325">
        <v>0</v>
      </c>
      <c r="G164" s="325">
        <v>1</v>
      </c>
      <c r="H164" s="325">
        <v>0</v>
      </c>
      <c r="I164" s="325">
        <v>0</v>
      </c>
      <c r="J164" s="325">
        <v>0</v>
      </c>
      <c r="K164" s="325"/>
      <c r="L164" s="325"/>
      <c r="M164" s="325"/>
      <c r="N164" s="407"/>
      <c r="O164" s="300"/>
      <c r="P164" s="300"/>
      <c r="Q164" s="300"/>
      <c r="R164" s="300"/>
      <c r="S164" s="300"/>
      <c r="T164" s="300"/>
      <c r="U164" s="300"/>
      <c r="V164" s="300"/>
      <c r="W164" s="300"/>
      <c r="X164" s="300"/>
      <c r="Y164" s="300"/>
      <c r="Z164" s="300"/>
      <c r="AA164" s="300"/>
      <c r="AB164" s="300"/>
      <c r="AC164" s="300"/>
      <c r="AD164" s="300"/>
      <c r="AE164" s="300"/>
    </row>
    <row r="165" spans="2:31" ht="14.5">
      <c r="B165" s="405">
        <f t="shared" si="5"/>
        <v>120</v>
      </c>
      <c r="C165" s="413" t="str" cm="1">
        <f t="array" aca="1" ref="C165" ca="1">IF(B165&lt;=$C$9,GetGetCDSName(B165),"")</f>
        <v>VODAFONE_MMR.EUR.SU</v>
      </c>
      <c r="D165" s="373">
        <v>0</v>
      </c>
      <c r="E165" s="406">
        <v>1</v>
      </c>
      <c r="F165" s="325">
        <v>0</v>
      </c>
      <c r="G165" s="325">
        <v>0</v>
      </c>
      <c r="H165" s="325">
        <v>0</v>
      </c>
      <c r="I165" s="325">
        <v>0</v>
      </c>
      <c r="J165" s="325">
        <v>0</v>
      </c>
      <c r="K165" s="325"/>
      <c r="L165" s="325"/>
      <c r="M165" s="325"/>
      <c r="N165" s="407"/>
      <c r="O165" s="300"/>
      <c r="P165" s="300"/>
      <c r="Q165" s="300"/>
      <c r="R165" s="300"/>
      <c r="S165" s="300"/>
      <c r="T165" s="300"/>
      <c r="U165" s="300"/>
      <c r="V165" s="300"/>
      <c r="W165" s="300"/>
      <c r="X165" s="300"/>
      <c r="Y165" s="300"/>
      <c r="Z165" s="300"/>
      <c r="AA165" s="300"/>
      <c r="AB165" s="300"/>
      <c r="AC165" s="300"/>
      <c r="AD165" s="300"/>
      <c r="AE165" s="300"/>
    </row>
    <row r="166" spans="2:31" ht="14.5">
      <c r="B166" s="405">
        <f t="shared" si="5"/>
        <v>121</v>
      </c>
      <c r="C166" s="413" t="str" cm="1">
        <f t="array" aca="1" ref="C166" ca="1">IF(B166&lt;=$C$9,GetGetCDSName(B166),"")</f>
        <v>VOLVO_MMR.EUR.SU</v>
      </c>
      <c r="D166" s="373">
        <v>0</v>
      </c>
      <c r="E166" s="406">
        <v>0</v>
      </c>
      <c r="F166" s="325">
        <v>0</v>
      </c>
      <c r="G166" s="325">
        <v>0</v>
      </c>
      <c r="H166" s="325">
        <v>1</v>
      </c>
      <c r="I166" s="325">
        <v>0</v>
      </c>
      <c r="J166" s="325">
        <v>1</v>
      </c>
      <c r="K166" s="325"/>
      <c r="L166" s="325"/>
      <c r="M166" s="325"/>
      <c r="N166" s="407"/>
      <c r="O166" s="300"/>
      <c r="P166" s="300"/>
      <c r="Q166" s="300"/>
      <c r="R166" s="300"/>
      <c r="S166" s="300"/>
      <c r="T166" s="300"/>
      <c r="U166" s="300"/>
      <c r="V166" s="300"/>
      <c r="W166" s="300"/>
      <c r="X166" s="300"/>
      <c r="Y166" s="300"/>
      <c r="Z166" s="300"/>
      <c r="AA166" s="300"/>
      <c r="AB166" s="300"/>
      <c r="AC166" s="300"/>
      <c r="AD166" s="300"/>
      <c r="AE166" s="300"/>
    </row>
    <row r="167" spans="2:31" ht="14.5">
      <c r="B167" s="405">
        <f t="shared" si="5"/>
        <v>122</v>
      </c>
      <c r="C167" s="413" t="str" cm="1">
        <f t="array" aca="1" ref="C167" ca="1">IF(B167&lt;=$C$9,GetGetCDSName(B167),"")</f>
        <v>VW_MMR.EUR.SU</v>
      </c>
      <c r="D167" s="373">
        <v>0</v>
      </c>
      <c r="E167" s="406">
        <v>1</v>
      </c>
      <c r="F167" s="325">
        <v>0</v>
      </c>
      <c r="G167" s="325">
        <v>0</v>
      </c>
      <c r="H167" s="325">
        <v>0</v>
      </c>
      <c r="I167" s="325">
        <v>0</v>
      </c>
      <c r="J167" s="325">
        <v>0</v>
      </c>
      <c r="K167" s="325"/>
      <c r="L167" s="325"/>
      <c r="M167" s="325"/>
      <c r="N167" s="407"/>
      <c r="O167" s="300"/>
      <c r="P167" s="300"/>
      <c r="Q167" s="300"/>
      <c r="R167" s="300"/>
      <c r="S167" s="300"/>
      <c r="T167" s="300"/>
      <c r="U167" s="300"/>
      <c r="V167" s="300"/>
      <c r="W167" s="300"/>
      <c r="X167" s="300"/>
      <c r="Y167" s="300"/>
      <c r="Z167" s="300"/>
      <c r="AA167" s="300"/>
      <c r="AB167" s="300"/>
      <c r="AC167" s="300"/>
      <c r="AD167" s="300"/>
      <c r="AE167" s="300"/>
    </row>
    <row r="168" spans="2:31" ht="14.5">
      <c r="B168" s="405">
        <f t="shared" si="5"/>
        <v>123</v>
      </c>
      <c r="C168" s="413" t="str" cm="1">
        <f t="array" aca="1" ref="C168" ca="1">IF(B168&lt;=$C$9,GetGetCDSName(B168),"")</f>
        <v>WOLTERSKLUWERCVA_MMR.EUR.SU</v>
      </c>
      <c r="D168" s="373">
        <v>0</v>
      </c>
      <c r="E168" s="406">
        <v>0</v>
      </c>
      <c r="F168" s="325">
        <v>1</v>
      </c>
      <c r="G168" s="325">
        <v>0</v>
      </c>
      <c r="H168" s="325">
        <v>0</v>
      </c>
      <c r="I168" s="325">
        <v>0</v>
      </c>
      <c r="J168" s="325">
        <v>0</v>
      </c>
      <c r="K168" s="325"/>
      <c r="L168" s="325"/>
      <c r="M168" s="325"/>
      <c r="N168" s="407"/>
      <c r="O168" s="300"/>
      <c r="P168" s="300"/>
      <c r="Q168" s="300"/>
      <c r="R168" s="300"/>
      <c r="S168" s="300"/>
      <c r="T168" s="300"/>
      <c r="U168" s="300"/>
      <c r="V168" s="300"/>
      <c r="W168" s="300"/>
      <c r="X168" s="300"/>
      <c r="Y168" s="300"/>
      <c r="Z168" s="300"/>
      <c r="AA168" s="300"/>
      <c r="AB168" s="300"/>
      <c r="AC168" s="300"/>
      <c r="AD168" s="300"/>
      <c r="AE168" s="300"/>
    </row>
    <row r="169" spans="2:31" ht="14.5">
      <c r="B169" s="405">
        <f t="shared" si="5"/>
        <v>124</v>
      </c>
      <c r="C169" s="413" t="str" cm="1">
        <f t="array" aca="1" ref="C169" ca="1">IF(B169&lt;=$C$9,GetGetCDSName(B169),"")</f>
        <v>WPPGROUP_MMR.EUR.SU</v>
      </c>
      <c r="D169" s="373">
        <v>0</v>
      </c>
      <c r="E169" s="406">
        <v>1</v>
      </c>
      <c r="F169" s="325">
        <v>0</v>
      </c>
      <c r="G169" s="325">
        <v>1</v>
      </c>
      <c r="H169" s="325">
        <v>0</v>
      </c>
      <c r="I169" s="325">
        <v>1</v>
      </c>
      <c r="J169" s="325">
        <v>0</v>
      </c>
      <c r="K169" s="325"/>
      <c r="L169" s="325"/>
      <c r="M169" s="325"/>
      <c r="N169" s="407"/>
      <c r="O169" s="300"/>
      <c r="P169" s="300"/>
      <c r="Q169" s="300"/>
      <c r="R169" s="300"/>
      <c r="S169" s="300"/>
      <c r="T169" s="300"/>
      <c r="U169" s="300"/>
      <c r="V169" s="300"/>
      <c r="W169" s="300"/>
      <c r="X169" s="300"/>
      <c r="Y169" s="300"/>
      <c r="Z169" s="300"/>
      <c r="AA169" s="300"/>
      <c r="AB169" s="300"/>
      <c r="AC169" s="300"/>
      <c r="AD169" s="300"/>
      <c r="AE169" s="300"/>
    </row>
    <row r="170" spans="2:31" ht="14.5">
      <c r="B170" s="405">
        <f t="shared" si="5"/>
        <v>125</v>
      </c>
      <c r="C170" s="413" t="str" cm="1">
        <f t="array" aca="1" ref="C170" ca="1">IF(B170&lt;=$C$9,GetGetCDSName(B170),"")</f>
        <v>ZURICHINSURANCE_MMR.EUR.SU</v>
      </c>
      <c r="D170" s="373">
        <v>0</v>
      </c>
      <c r="E170" s="406">
        <v>0</v>
      </c>
      <c r="F170" s="325">
        <v>0</v>
      </c>
      <c r="G170" s="325">
        <v>0</v>
      </c>
      <c r="H170" s="325">
        <v>1</v>
      </c>
      <c r="I170" s="325">
        <v>0</v>
      </c>
      <c r="J170" s="325">
        <v>0</v>
      </c>
      <c r="K170" s="325"/>
      <c r="L170" s="325"/>
      <c r="M170" s="325"/>
      <c r="N170" s="407"/>
      <c r="O170" s="300"/>
      <c r="P170" s="300"/>
      <c r="Q170" s="300"/>
      <c r="R170" s="300"/>
      <c r="S170" s="300"/>
      <c r="T170" s="300"/>
      <c r="U170" s="300"/>
      <c r="V170" s="300"/>
      <c r="W170" s="300"/>
      <c r="X170" s="300"/>
      <c r="Y170" s="300"/>
      <c r="Z170" s="300"/>
      <c r="AA170" s="300"/>
      <c r="AB170" s="300"/>
      <c r="AC170" s="300"/>
      <c r="AD170" s="300"/>
      <c r="AE170" s="300"/>
    </row>
    <row r="171" spans="2:31" ht="14.5">
      <c r="B171" s="405">
        <f t="shared" si="5"/>
        <v>126</v>
      </c>
      <c r="C171" s="413" t="str" cm="1">
        <f t="array" aca="1" ref="C171" ca="1">IF(B171&lt;=$C$9,GetGetCDSName(B171),"")</f>
        <v/>
      </c>
      <c r="D171" s="373"/>
      <c r="E171" s="406"/>
      <c r="F171" s="325"/>
      <c r="G171" s="325"/>
      <c r="H171" s="325"/>
      <c r="I171" s="325"/>
      <c r="J171" s="325"/>
      <c r="K171" s="325"/>
      <c r="L171" s="325"/>
      <c r="M171" s="325"/>
      <c r="N171" s="407"/>
      <c r="O171" s="300"/>
      <c r="P171" s="300"/>
      <c r="Q171" s="300"/>
      <c r="R171" s="300"/>
      <c r="S171" s="300"/>
      <c r="T171" s="300"/>
      <c r="U171" s="300"/>
      <c r="V171" s="300"/>
      <c r="W171" s="300"/>
      <c r="X171" s="300"/>
      <c r="Y171" s="300"/>
      <c r="Z171" s="300"/>
      <c r="AA171" s="300"/>
      <c r="AB171" s="300"/>
      <c r="AC171" s="300"/>
      <c r="AD171" s="300"/>
      <c r="AE171" s="300"/>
    </row>
    <row r="172" spans="2:31" ht="14.5">
      <c r="B172" s="405">
        <f t="shared" si="5"/>
        <v>127</v>
      </c>
      <c r="C172" s="413" t="str" cm="1">
        <f t="array" aca="1" ref="C172" ca="1">IF(B172&lt;=$C$9,GetGetCDSName(B172),"")</f>
        <v/>
      </c>
      <c r="D172" s="373"/>
      <c r="E172" s="406"/>
      <c r="F172" s="325"/>
      <c r="G172" s="325"/>
      <c r="H172" s="325"/>
      <c r="I172" s="325"/>
      <c r="J172" s="325"/>
      <c r="K172" s="325"/>
      <c r="L172" s="325"/>
      <c r="M172" s="325"/>
      <c r="N172" s="407"/>
      <c r="O172" s="300"/>
      <c r="P172" s="300"/>
      <c r="Q172" s="300"/>
      <c r="R172" s="300"/>
      <c r="S172" s="300"/>
      <c r="T172" s="300"/>
      <c r="U172" s="300"/>
      <c r="V172" s="300"/>
      <c r="W172" s="300"/>
      <c r="X172" s="300"/>
      <c r="Y172" s="300"/>
      <c r="Z172" s="300"/>
      <c r="AA172" s="300"/>
      <c r="AB172" s="300"/>
      <c r="AC172" s="300"/>
      <c r="AD172" s="300"/>
      <c r="AE172" s="300"/>
    </row>
    <row r="173" spans="2:31" ht="14.5">
      <c r="B173" s="405">
        <f t="shared" si="5"/>
        <v>128</v>
      </c>
      <c r="C173" s="413" t="str" cm="1">
        <f t="array" aca="1" ref="C173" ca="1">IF(B173&lt;=$C$9,GetGetCDSName(B173),"")</f>
        <v/>
      </c>
      <c r="D173" s="373"/>
      <c r="E173" s="406"/>
      <c r="F173" s="325"/>
      <c r="G173" s="325"/>
      <c r="H173" s="325"/>
      <c r="I173" s="325"/>
      <c r="J173" s="325"/>
      <c r="K173" s="325"/>
      <c r="L173" s="325"/>
      <c r="M173" s="325"/>
      <c r="N173" s="407"/>
      <c r="O173" s="300"/>
      <c r="P173" s="300"/>
      <c r="Q173" s="300"/>
      <c r="R173" s="300"/>
      <c r="S173" s="300"/>
      <c r="T173" s="300"/>
      <c r="U173" s="300"/>
      <c r="V173" s="300"/>
      <c r="W173" s="300"/>
      <c r="X173" s="300"/>
      <c r="Y173" s="300"/>
      <c r="Z173" s="300"/>
      <c r="AA173" s="300"/>
      <c r="AB173" s="300"/>
      <c r="AC173" s="300"/>
      <c r="AD173" s="300"/>
      <c r="AE173" s="300"/>
    </row>
    <row r="174" spans="2:31" ht="14.5">
      <c r="B174" s="405">
        <f t="shared" si="5"/>
        <v>129</v>
      </c>
      <c r="C174" s="413" t="str" cm="1">
        <f t="array" aca="1" ref="C174" ca="1">IF(B174&lt;=$C$9,GetGetCDSName(B174),"")</f>
        <v/>
      </c>
      <c r="D174" s="373"/>
      <c r="E174" s="406"/>
      <c r="F174" s="325"/>
      <c r="G174" s="325"/>
      <c r="H174" s="325"/>
      <c r="I174" s="325"/>
      <c r="J174" s="325"/>
      <c r="K174" s="325"/>
      <c r="L174" s="325"/>
      <c r="M174" s="325"/>
      <c r="N174" s="407"/>
      <c r="O174" s="300"/>
      <c r="P174" s="300"/>
      <c r="Q174" s="300"/>
      <c r="R174" s="300"/>
      <c r="S174" s="300"/>
      <c r="T174" s="300"/>
      <c r="U174" s="300"/>
      <c r="V174" s="300"/>
      <c r="W174" s="300"/>
      <c r="X174" s="300"/>
      <c r="Y174" s="300"/>
      <c r="Z174" s="300"/>
      <c r="AA174" s="300"/>
      <c r="AB174" s="300"/>
      <c r="AC174" s="300"/>
      <c r="AD174" s="300"/>
      <c r="AE174" s="300"/>
    </row>
    <row r="175" spans="2:31" ht="14.5">
      <c r="B175" s="405">
        <f t="shared" ref="B175:B238" si="6">B174+1</f>
        <v>130</v>
      </c>
      <c r="C175" s="413" t="str" cm="1">
        <f t="array" aca="1" ref="C175" ca="1">IF(B175&lt;=$C$9,GetGetCDSName(B175),"")</f>
        <v/>
      </c>
      <c r="D175" s="373"/>
      <c r="E175" s="406"/>
      <c r="F175" s="325"/>
      <c r="G175" s="325"/>
      <c r="H175" s="325"/>
      <c r="I175" s="325"/>
      <c r="J175" s="325"/>
      <c r="K175" s="325"/>
      <c r="L175" s="325"/>
      <c r="M175" s="325"/>
      <c r="N175" s="407"/>
      <c r="O175" s="300"/>
      <c r="P175" s="300"/>
      <c r="Q175" s="300"/>
      <c r="R175" s="300"/>
      <c r="S175" s="300"/>
      <c r="T175" s="300"/>
      <c r="U175" s="300"/>
      <c r="V175" s="300"/>
      <c r="W175" s="300"/>
      <c r="X175" s="300"/>
      <c r="Y175" s="300"/>
      <c r="Z175" s="300"/>
      <c r="AA175" s="300"/>
      <c r="AB175" s="300"/>
      <c r="AC175" s="300"/>
      <c r="AD175" s="300"/>
      <c r="AE175" s="300"/>
    </row>
    <row r="176" spans="2:31" ht="14.5">
      <c r="B176" s="405">
        <f t="shared" si="6"/>
        <v>131</v>
      </c>
      <c r="C176" s="413" t="str" cm="1">
        <f t="array" aca="1" ref="C176" ca="1">IF(B176&lt;=$C$9,GetGetCDSName(B176),"")</f>
        <v/>
      </c>
      <c r="D176" s="373"/>
      <c r="E176" s="406"/>
      <c r="F176" s="325"/>
      <c r="G176" s="325"/>
      <c r="H176" s="325"/>
      <c r="I176" s="325"/>
      <c r="J176" s="325"/>
      <c r="K176" s="325"/>
      <c r="L176" s="325"/>
      <c r="M176" s="325"/>
      <c r="N176" s="407"/>
      <c r="O176" s="300"/>
      <c r="P176" s="300"/>
      <c r="Q176" s="300"/>
      <c r="R176" s="300"/>
      <c r="S176" s="300"/>
      <c r="T176" s="300"/>
      <c r="U176" s="300"/>
      <c r="V176" s="300"/>
      <c r="W176" s="300"/>
      <c r="X176" s="300"/>
      <c r="Y176" s="300"/>
      <c r="Z176" s="300"/>
      <c r="AA176" s="300"/>
      <c r="AB176" s="300"/>
      <c r="AC176" s="300"/>
      <c r="AD176" s="300"/>
      <c r="AE176" s="300"/>
    </row>
    <row r="177" spans="2:31" ht="14.5">
      <c r="B177" s="405">
        <f t="shared" si="6"/>
        <v>132</v>
      </c>
      <c r="C177" s="413" t="str" cm="1">
        <f t="array" aca="1" ref="C177" ca="1">IF(B177&lt;=$C$9,GetGetCDSName(B177),"")</f>
        <v/>
      </c>
      <c r="D177" s="373"/>
      <c r="E177" s="406"/>
      <c r="F177" s="325"/>
      <c r="G177" s="325"/>
      <c r="H177" s="325"/>
      <c r="I177" s="325"/>
      <c r="J177" s="325"/>
      <c r="K177" s="325"/>
      <c r="L177" s="325"/>
      <c r="M177" s="325"/>
      <c r="N177" s="407"/>
      <c r="O177" s="300"/>
      <c r="P177" s="300"/>
      <c r="Q177" s="300"/>
      <c r="R177" s="300"/>
      <c r="S177" s="300"/>
      <c r="T177" s="300"/>
      <c r="U177" s="300"/>
      <c r="V177" s="300"/>
      <c r="W177" s="300"/>
      <c r="X177" s="300"/>
      <c r="Y177" s="300"/>
      <c r="Z177" s="300"/>
      <c r="AA177" s="300"/>
      <c r="AB177" s="300"/>
      <c r="AC177" s="300"/>
      <c r="AD177" s="300"/>
      <c r="AE177" s="300"/>
    </row>
    <row r="178" spans="2:31" ht="14.5">
      <c r="B178" s="405">
        <f t="shared" si="6"/>
        <v>133</v>
      </c>
      <c r="C178" s="413" t="str" cm="1">
        <f t="array" aca="1" ref="C178" ca="1">IF(B178&lt;=$C$9,GetGetCDSName(B178),"")</f>
        <v/>
      </c>
      <c r="D178" s="373"/>
      <c r="E178" s="406"/>
      <c r="F178" s="325"/>
      <c r="G178" s="325"/>
      <c r="H178" s="325"/>
      <c r="I178" s="325"/>
      <c r="J178" s="325"/>
      <c r="K178" s="325"/>
      <c r="L178" s="325"/>
      <c r="M178" s="325"/>
      <c r="N178" s="407"/>
      <c r="O178" s="300"/>
      <c r="P178" s="300"/>
      <c r="Q178" s="300"/>
      <c r="R178" s="300"/>
      <c r="S178" s="300"/>
      <c r="T178" s="300"/>
      <c r="U178" s="300"/>
      <c r="V178" s="300"/>
      <c r="W178" s="300"/>
      <c r="X178" s="300"/>
      <c r="Y178" s="300"/>
      <c r="Z178" s="300"/>
      <c r="AA178" s="300"/>
      <c r="AB178" s="300"/>
      <c r="AC178" s="300"/>
      <c r="AD178" s="300"/>
      <c r="AE178" s="300"/>
    </row>
    <row r="179" spans="2:31" ht="14.5">
      <c r="B179" s="405">
        <f t="shared" si="6"/>
        <v>134</v>
      </c>
      <c r="C179" s="413" t="str" cm="1">
        <f t="array" aca="1" ref="C179" ca="1">IF(B179&lt;=$C$9,GetGetCDSName(B179),"")</f>
        <v/>
      </c>
      <c r="D179" s="373"/>
      <c r="E179" s="406"/>
      <c r="F179" s="325"/>
      <c r="G179" s="325"/>
      <c r="H179" s="325"/>
      <c r="I179" s="325"/>
      <c r="J179" s="325"/>
      <c r="K179" s="325"/>
      <c r="L179" s="325"/>
      <c r="M179" s="325"/>
      <c r="N179" s="407"/>
      <c r="O179" s="300"/>
      <c r="P179" s="300"/>
      <c r="Q179" s="300"/>
      <c r="R179" s="300"/>
      <c r="S179" s="300"/>
      <c r="T179" s="300"/>
      <c r="U179" s="300"/>
      <c r="V179" s="300"/>
      <c r="W179" s="300"/>
      <c r="X179" s="300"/>
      <c r="Y179" s="300"/>
      <c r="Z179" s="300"/>
      <c r="AA179" s="300"/>
      <c r="AB179" s="300"/>
      <c r="AC179" s="300"/>
      <c r="AD179" s="300"/>
      <c r="AE179" s="300"/>
    </row>
    <row r="180" spans="2:31" ht="14.5">
      <c r="B180" s="405">
        <f t="shared" si="6"/>
        <v>135</v>
      </c>
      <c r="C180" s="413" t="str" cm="1">
        <f t="array" aca="1" ref="C180" ca="1">IF(B180&lt;=$C$9,GetGetCDSName(B180),"")</f>
        <v/>
      </c>
      <c r="D180" s="373"/>
      <c r="E180" s="406"/>
      <c r="F180" s="325"/>
      <c r="G180" s="325"/>
      <c r="H180" s="325"/>
      <c r="I180" s="325"/>
      <c r="J180" s="325"/>
      <c r="K180" s="325"/>
      <c r="L180" s="325"/>
      <c r="M180" s="325"/>
      <c r="N180" s="407"/>
      <c r="O180" s="300"/>
      <c r="P180" s="300"/>
      <c r="Q180" s="300"/>
      <c r="R180" s="300"/>
      <c r="S180" s="300"/>
      <c r="T180" s="300"/>
      <c r="U180" s="300"/>
      <c r="V180" s="300"/>
      <c r="W180" s="300"/>
      <c r="X180" s="300"/>
      <c r="Y180" s="300"/>
      <c r="Z180" s="300"/>
      <c r="AA180" s="300"/>
      <c r="AB180" s="300"/>
      <c r="AC180" s="300"/>
      <c r="AD180" s="300"/>
      <c r="AE180" s="300"/>
    </row>
    <row r="181" spans="2:31" ht="14.5">
      <c r="B181" s="405">
        <f t="shared" si="6"/>
        <v>136</v>
      </c>
      <c r="C181" s="413" t="str" cm="1">
        <f t="array" aca="1" ref="C181" ca="1">IF(B181&lt;=$C$9,GetGetCDSName(B181),"")</f>
        <v/>
      </c>
      <c r="D181" s="373"/>
      <c r="E181" s="406"/>
      <c r="F181" s="325"/>
      <c r="G181" s="325"/>
      <c r="H181" s="325"/>
      <c r="I181" s="325"/>
      <c r="J181" s="325"/>
      <c r="K181" s="325"/>
      <c r="L181" s="325"/>
      <c r="M181" s="325"/>
      <c r="N181" s="407"/>
      <c r="O181" s="300"/>
      <c r="P181" s="300"/>
      <c r="Q181" s="300"/>
      <c r="R181" s="300"/>
      <c r="S181" s="300"/>
      <c r="T181" s="300"/>
      <c r="U181" s="300"/>
      <c r="V181" s="300"/>
      <c r="W181" s="300"/>
      <c r="X181" s="300"/>
      <c r="Y181" s="300"/>
      <c r="Z181" s="300"/>
      <c r="AA181" s="300"/>
      <c r="AB181" s="300"/>
      <c r="AC181" s="300"/>
      <c r="AD181" s="300"/>
      <c r="AE181" s="300"/>
    </row>
    <row r="182" spans="2:31" ht="14.5">
      <c r="B182" s="405">
        <f t="shared" si="6"/>
        <v>137</v>
      </c>
      <c r="C182" s="413" t="str" cm="1">
        <f t="array" aca="1" ref="C182" ca="1">IF(B182&lt;=$C$9,GetGetCDSName(B182),"")</f>
        <v/>
      </c>
      <c r="D182" s="373"/>
      <c r="E182" s="406"/>
      <c r="F182" s="325"/>
      <c r="G182" s="325"/>
      <c r="H182" s="325"/>
      <c r="I182" s="325"/>
      <c r="J182" s="325"/>
      <c r="K182" s="325"/>
      <c r="L182" s="325"/>
      <c r="M182" s="325"/>
      <c r="N182" s="407"/>
      <c r="O182" s="300"/>
      <c r="P182" s="300"/>
      <c r="Q182" s="300"/>
      <c r="R182" s="300"/>
      <c r="S182" s="300"/>
      <c r="T182" s="300"/>
      <c r="U182" s="300"/>
      <c r="V182" s="300"/>
      <c r="W182" s="300"/>
      <c r="X182" s="300"/>
      <c r="Y182" s="300"/>
      <c r="Z182" s="300"/>
      <c r="AA182" s="300"/>
      <c r="AB182" s="300"/>
      <c r="AC182" s="300"/>
      <c r="AD182" s="300"/>
      <c r="AE182" s="300"/>
    </row>
    <row r="183" spans="2:31" ht="14.5">
      <c r="B183" s="405">
        <f t="shared" si="6"/>
        <v>138</v>
      </c>
      <c r="C183" s="413" t="str" cm="1">
        <f t="array" aca="1" ref="C183" ca="1">IF(B183&lt;=$C$9,GetGetCDSName(B183),"")</f>
        <v/>
      </c>
      <c r="D183" s="373"/>
      <c r="E183" s="406"/>
      <c r="F183" s="325"/>
      <c r="G183" s="325"/>
      <c r="H183" s="325"/>
      <c r="I183" s="325"/>
      <c r="J183" s="325"/>
      <c r="K183" s="325"/>
      <c r="L183" s="325"/>
      <c r="M183" s="325"/>
      <c r="N183" s="407"/>
      <c r="O183" s="300"/>
      <c r="P183" s="300"/>
      <c r="Q183" s="300"/>
      <c r="R183" s="300"/>
      <c r="S183" s="300"/>
      <c r="T183" s="300"/>
      <c r="U183" s="300"/>
      <c r="V183" s="300"/>
      <c r="W183" s="300"/>
      <c r="X183" s="300"/>
      <c r="Y183" s="300"/>
      <c r="Z183" s="300"/>
      <c r="AA183" s="300"/>
      <c r="AB183" s="300"/>
      <c r="AC183" s="300"/>
      <c r="AD183" s="300"/>
      <c r="AE183" s="300"/>
    </row>
    <row r="184" spans="2:31" ht="14.5">
      <c r="B184" s="405">
        <f t="shared" si="6"/>
        <v>139</v>
      </c>
      <c r="C184" s="413" t="str" cm="1">
        <f t="array" aca="1" ref="C184" ca="1">IF(B184&lt;=$C$9,GetGetCDSName(B184),"")</f>
        <v/>
      </c>
      <c r="D184" s="373"/>
      <c r="E184" s="406"/>
      <c r="F184" s="325"/>
      <c r="G184" s="325"/>
      <c r="H184" s="325"/>
      <c r="I184" s="325"/>
      <c r="J184" s="325"/>
      <c r="K184" s="325"/>
      <c r="L184" s="325"/>
      <c r="M184" s="325"/>
      <c r="N184" s="407"/>
      <c r="O184" s="300"/>
      <c r="P184" s="300"/>
      <c r="Q184" s="300"/>
      <c r="R184" s="300"/>
      <c r="S184" s="300"/>
      <c r="T184" s="300"/>
      <c r="U184" s="300"/>
      <c r="V184" s="300"/>
      <c r="W184" s="300"/>
      <c r="X184" s="300"/>
      <c r="Y184" s="300"/>
      <c r="Z184" s="300"/>
      <c r="AA184" s="300"/>
      <c r="AB184" s="300"/>
      <c r="AC184" s="300"/>
      <c r="AD184" s="300"/>
      <c r="AE184" s="300"/>
    </row>
    <row r="185" spans="2:31" ht="14.5">
      <c r="B185" s="405">
        <f t="shared" si="6"/>
        <v>140</v>
      </c>
      <c r="C185" s="413" t="str" cm="1">
        <f t="array" aca="1" ref="C185" ca="1">IF(B185&lt;=$C$9,GetGetCDSName(B185),"")</f>
        <v/>
      </c>
      <c r="D185" s="373"/>
      <c r="E185" s="406"/>
      <c r="F185" s="325"/>
      <c r="G185" s="325"/>
      <c r="H185" s="325"/>
      <c r="I185" s="325"/>
      <c r="J185" s="325"/>
      <c r="K185" s="325"/>
      <c r="L185" s="325"/>
      <c r="M185" s="325"/>
      <c r="N185" s="407"/>
      <c r="O185" s="300"/>
      <c r="P185" s="300"/>
      <c r="Q185" s="300"/>
      <c r="R185" s="300"/>
      <c r="S185" s="300"/>
      <c r="T185" s="300"/>
      <c r="U185" s="300"/>
      <c r="V185" s="300"/>
      <c r="W185" s="300"/>
      <c r="X185" s="300"/>
      <c r="Y185" s="300"/>
      <c r="Z185" s="300"/>
      <c r="AA185" s="300"/>
      <c r="AB185" s="300"/>
      <c r="AC185" s="300"/>
      <c r="AD185" s="300"/>
      <c r="AE185" s="300"/>
    </row>
    <row r="186" spans="2:31" ht="14.5">
      <c r="B186" s="405">
        <f t="shared" si="6"/>
        <v>141</v>
      </c>
      <c r="C186" s="413" t="str" cm="1">
        <f t="array" aca="1" ref="C186" ca="1">IF(B186&lt;=$C$9,GetGetCDSName(B186),"")</f>
        <v/>
      </c>
      <c r="D186" s="373"/>
      <c r="E186" s="406"/>
      <c r="F186" s="325"/>
      <c r="G186" s="325"/>
      <c r="H186" s="325"/>
      <c r="I186" s="325"/>
      <c r="J186" s="325"/>
      <c r="K186" s="325"/>
      <c r="L186" s="325"/>
      <c r="M186" s="325"/>
      <c r="N186" s="407"/>
      <c r="O186" s="300"/>
      <c r="P186" s="300"/>
      <c r="Q186" s="300"/>
      <c r="R186" s="300"/>
      <c r="S186" s="300"/>
      <c r="T186" s="300"/>
      <c r="U186" s="300"/>
      <c r="V186" s="300"/>
      <c r="W186" s="300"/>
      <c r="X186" s="300"/>
      <c r="Y186" s="300"/>
      <c r="Z186" s="300"/>
      <c r="AA186" s="300"/>
      <c r="AB186" s="300"/>
      <c r="AC186" s="300"/>
      <c r="AD186" s="300"/>
      <c r="AE186" s="300"/>
    </row>
    <row r="187" spans="2:31" ht="14.5">
      <c r="B187" s="405">
        <f t="shared" si="6"/>
        <v>142</v>
      </c>
      <c r="C187" s="413" t="str" cm="1">
        <f t="array" aca="1" ref="C187" ca="1">IF(B187&lt;=$C$9,GetGetCDSName(B187),"")</f>
        <v/>
      </c>
      <c r="D187" s="373"/>
      <c r="E187" s="406"/>
      <c r="F187" s="325"/>
      <c r="G187" s="325"/>
      <c r="H187" s="325"/>
      <c r="I187" s="325"/>
      <c r="J187" s="325"/>
      <c r="K187" s="325"/>
      <c r="L187" s="325"/>
      <c r="M187" s="325"/>
      <c r="N187" s="407"/>
      <c r="O187" s="300"/>
      <c r="P187" s="300"/>
      <c r="Q187" s="300"/>
      <c r="R187" s="300"/>
      <c r="S187" s="300"/>
      <c r="T187" s="300"/>
      <c r="U187" s="300"/>
      <c r="V187" s="300"/>
      <c r="W187" s="300"/>
      <c r="X187" s="300"/>
      <c r="Y187" s="300"/>
      <c r="Z187" s="300"/>
      <c r="AA187" s="300"/>
      <c r="AB187" s="300"/>
      <c r="AC187" s="300"/>
      <c r="AD187" s="300"/>
      <c r="AE187" s="300"/>
    </row>
    <row r="188" spans="2:31" ht="14.5">
      <c r="B188" s="405">
        <f t="shared" si="6"/>
        <v>143</v>
      </c>
      <c r="C188" s="413" t="str" cm="1">
        <f t="array" aca="1" ref="C188" ca="1">IF(B188&lt;=$C$9,GetGetCDSName(B188),"")</f>
        <v/>
      </c>
      <c r="D188" s="373"/>
      <c r="E188" s="406"/>
      <c r="F188" s="325"/>
      <c r="G188" s="325"/>
      <c r="H188" s="325"/>
      <c r="I188" s="325"/>
      <c r="J188" s="325"/>
      <c r="K188" s="325"/>
      <c r="L188" s="325"/>
      <c r="M188" s="325"/>
      <c r="N188" s="407"/>
      <c r="O188" s="300"/>
      <c r="P188" s="300"/>
      <c r="Q188" s="300"/>
      <c r="R188" s="300"/>
      <c r="S188" s="300"/>
      <c r="T188" s="300"/>
      <c r="U188" s="300"/>
      <c r="V188" s="300"/>
      <c r="W188" s="300"/>
      <c r="X188" s="300"/>
      <c r="Y188" s="300"/>
      <c r="Z188" s="300"/>
      <c r="AA188" s="300"/>
      <c r="AB188" s="300"/>
      <c r="AC188" s="300"/>
      <c r="AD188" s="300"/>
      <c r="AE188" s="300"/>
    </row>
    <row r="189" spans="2:31" ht="14.5">
      <c r="B189" s="405">
        <f t="shared" si="6"/>
        <v>144</v>
      </c>
      <c r="C189" s="413" t="str" cm="1">
        <f t="array" aca="1" ref="C189" ca="1">IF(B189&lt;=$C$9,GetGetCDSName(B189),"")</f>
        <v/>
      </c>
      <c r="D189" s="373"/>
      <c r="E189" s="406"/>
      <c r="F189" s="325"/>
      <c r="G189" s="325"/>
      <c r="H189" s="325"/>
      <c r="I189" s="325"/>
      <c r="J189" s="325"/>
      <c r="K189" s="325"/>
      <c r="L189" s="325"/>
      <c r="M189" s="325"/>
      <c r="N189" s="407"/>
      <c r="O189" s="300"/>
      <c r="P189" s="300"/>
      <c r="Q189" s="300"/>
      <c r="R189" s="300"/>
      <c r="S189" s="300"/>
      <c r="T189" s="300"/>
      <c r="U189" s="300"/>
      <c r="V189" s="300"/>
      <c r="W189" s="300"/>
      <c r="X189" s="300"/>
      <c r="Y189" s="300"/>
      <c r="Z189" s="300"/>
      <c r="AA189" s="300"/>
      <c r="AB189" s="300"/>
      <c r="AC189" s="300"/>
      <c r="AD189" s="300"/>
      <c r="AE189" s="300"/>
    </row>
    <row r="190" spans="2:31" ht="14.5">
      <c r="B190" s="405">
        <f t="shared" si="6"/>
        <v>145</v>
      </c>
      <c r="C190" s="413" t="str" cm="1">
        <f t="array" aca="1" ref="C190" ca="1">IF(B190&lt;=$C$9,GetGetCDSName(B190),"")</f>
        <v/>
      </c>
      <c r="D190" s="373"/>
      <c r="E190" s="406"/>
      <c r="F190" s="325"/>
      <c r="G190" s="325"/>
      <c r="H190" s="325"/>
      <c r="I190" s="325"/>
      <c r="J190" s="325"/>
      <c r="K190" s="325"/>
      <c r="L190" s="325"/>
      <c r="M190" s="325"/>
      <c r="N190" s="407"/>
      <c r="O190" s="300"/>
      <c r="P190" s="300"/>
      <c r="Q190" s="300"/>
      <c r="R190" s="300"/>
      <c r="S190" s="300"/>
      <c r="T190" s="300"/>
      <c r="U190" s="300"/>
      <c r="V190" s="300"/>
      <c r="W190" s="300"/>
      <c r="X190" s="300"/>
      <c r="Y190" s="300"/>
      <c r="Z190" s="300"/>
      <c r="AA190" s="300"/>
      <c r="AB190" s="300"/>
      <c r="AC190" s="300"/>
      <c r="AD190" s="300"/>
      <c r="AE190" s="300"/>
    </row>
    <row r="191" spans="2:31" ht="14.5">
      <c r="B191" s="405">
        <f t="shared" si="6"/>
        <v>146</v>
      </c>
      <c r="C191" s="413" t="str" cm="1">
        <f t="array" aca="1" ref="C191" ca="1">IF(B191&lt;=$C$9,GetGetCDSName(B191),"")</f>
        <v/>
      </c>
      <c r="D191" s="373"/>
      <c r="E191" s="406"/>
      <c r="F191" s="325"/>
      <c r="G191" s="325"/>
      <c r="H191" s="325"/>
      <c r="I191" s="325"/>
      <c r="J191" s="325"/>
      <c r="K191" s="325"/>
      <c r="L191" s="325"/>
      <c r="M191" s="325"/>
      <c r="N191" s="407"/>
      <c r="O191" s="300"/>
      <c r="P191" s="300"/>
      <c r="Q191" s="300"/>
      <c r="R191" s="300"/>
      <c r="S191" s="300"/>
      <c r="T191" s="300"/>
      <c r="U191" s="300"/>
      <c r="V191" s="300"/>
      <c r="W191" s="300"/>
      <c r="X191" s="300"/>
      <c r="Y191" s="300"/>
      <c r="Z191" s="300"/>
      <c r="AA191" s="300"/>
      <c r="AB191" s="300"/>
      <c r="AC191" s="300"/>
      <c r="AD191" s="300"/>
      <c r="AE191" s="300"/>
    </row>
    <row r="192" spans="2:31" ht="14.5">
      <c r="B192" s="405">
        <f t="shared" si="6"/>
        <v>147</v>
      </c>
      <c r="C192" s="413" t="str" cm="1">
        <f t="array" aca="1" ref="C192" ca="1">IF(B192&lt;=$C$9,GetGetCDSName(B192),"")</f>
        <v/>
      </c>
      <c r="D192" s="373"/>
      <c r="E192" s="406"/>
      <c r="F192" s="325"/>
      <c r="G192" s="325"/>
      <c r="H192" s="325"/>
      <c r="I192" s="325"/>
      <c r="J192" s="325"/>
      <c r="K192" s="325"/>
      <c r="L192" s="325"/>
      <c r="M192" s="325"/>
      <c r="N192" s="407"/>
      <c r="O192" s="300"/>
      <c r="P192" s="300"/>
      <c r="Q192" s="300"/>
      <c r="R192" s="300"/>
      <c r="S192" s="300"/>
      <c r="T192" s="300"/>
      <c r="U192" s="300"/>
      <c r="V192" s="300"/>
      <c r="W192" s="300"/>
      <c r="X192" s="300"/>
      <c r="Y192" s="300"/>
      <c r="Z192" s="300"/>
      <c r="AA192" s="300"/>
      <c r="AB192" s="300"/>
      <c r="AC192" s="300"/>
      <c r="AD192" s="300"/>
      <c r="AE192" s="300"/>
    </row>
    <row r="193" spans="2:31" ht="14.5">
      <c r="B193" s="405">
        <f t="shared" si="6"/>
        <v>148</v>
      </c>
      <c r="C193" s="413" t="str" cm="1">
        <f t="array" aca="1" ref="C193" ca="1">IF(B193&lt;=$C$9,GetGetCDSName(B193),"")</f>
        <v/>
      </c>
      <c r="D193" s="373"/>
      <c r="E193" s="406"/>
      <c r="F193" s="325"/>
      <c r="G193" s="325"/>
      <c r="H193" s="325"/>
      <c r="I193" s="325"/>
      <c r="J193" s="325"/>
      <c r="K193" s="325"/>
      <c r="L193" s="325"/>
      <c r="M193" s="325"/>
      <c r="N193" s="407"/>
      <c r="O193" s="300"/>
      <c r="P193" s="300"/>
      <c r="Q193" s="300"/>
      <c r="R193" s="300"/>
      <c r="S193" s="300"/>
      <c r="T193" s="300"/>
      <c r="U193" s="300"/>
      <c r="V193" s="300"/>
      <c r="W193" s="300"/>
      <c r="X193" s="300"/>
      <c r="Y193" s="300"/>
      <c r="Z193" s="300"/>
      <c r="AA193" s="300"/>
      <c r="AB193" s="300"/>
      <c r="AC193" s="300"/>
      <c r="AD193" s="300"/>
      <c r="AE193" s="300"/>
    </row>
    <row r="194" spans="2:31" ht="14.5">
      <c r="B194" s="405">
        <f t="shared" si="6"/>
        <v>149</v>
      </c>
      <c r="C194" s="413" t="str" cm="1">
        <f t="array" aca="1" ref="C194" ca="1">IF(B194&lt;=$C$9,GetGetCDSName(B194),"")</f>
        <v/>
      </c>
      <c r="D194" s="373"/>
      <c r="E194" s="406"/>
      <c r="F194" s="325"/>
      <c r="G194" s="325"/>
      <c r="H194" s="325"/>
      <c r="I194" s="325"/>
      <c r="J194" s="325"/>
      <c r="K194" s="325"/>
      <c r="L194" s="325"/>
      <c r="M194" s="325"/>
      <c r="N194" s="407"/>
      <c r="O194" s="300"/>
      <c r="P194" s="300"/>
      <c r="Q194" s="300"/>
      <c r="R194" s="300"/>
      <c r="S194" s="300"/>
      <c r="T194" s="300"/>
      <c r="U194" s="300"/>
      <c r="V194" s="300"/>
      <c r="W194" s="300"/>
      <c r="X194" s="300"/>
      <c r="Y194" s="300"/>
      <c r="Z194" s="300"/>
      <c r="AA194" s="300"/>
      <c r="AB194" s="300"/>
      <c r="AC194" s="300"/>
      <c r="AD194" s="300"/>
      <c r="AE194" s="300"/>
    </row>
    <row r="195" spans="2:31" ht="14.5">
      <c r="B195" s="405">
        <f t="shared" si="6"/>
        <v>150</v>
      </c>
      <c r="C195" s="413" t="str" cm="1">
        <f t="array" aca="1" ref="C195" ca="1">IF(B195&lt;=$C$9,GetGetCDSName(B195),"")</f>
        <v/>
      </c>
      <c r="D195" s="373"/>
      <c r="E195" s="406"/>
      <c r="F195" s="325"/>
      <c r="G195" s="325"/>
      <c r="H195" s="325"/>
      <c r="I195" s="325"/>
      <c r="J195" s="325"/>
      <c r="K195" s="325"/>
      <c r="L195" s="325"/>
      <c r="M195" s="325"/>
      <c r="N195" s="407"/>
      <c r="O195" s="300"/>
      <c r="P195" s="300"/>
      <c r="Q195" s="300"/>
      <c r="R195" s="300"/>
      <c r="S195" s="300"/>
      <c r="T195" s="300"/>
      <c r="U195" s="300"/>
      <c r="V195" s="300"/>
      <c r="W195" s="300"/>
      <c r="X195" s="300"/>
      <c r="Y195" s="300"/>
      <c r="Z195" s="300"/>
      <c r="AA195" s="300"/>
      <c r="AB195" s="300"/>
      <c r="AC195" s="300"/>
      <c r="AD195" s="300"/>
      <c r="AE195" s="300"/>
    </row>
    <row r="196" spans="2:31" ht="14.5">
      <c r="B196" s="405">
        <f t="shared" si="6"/>
        <v>151</v>
      </c>
      <c r="C196" s="413" t="str" cm="1">
        <f t="array" aca="1" ref="C196" ca="1">IF(B196&lt;=$C$9,GetGetCDSName(B196),"")</f>
        <v/>
      </c>
      <c r="D196" s="373"/>
      <c r="E196" s="406"/>
      <c r="F196" s="325"/>
      <c r="G196" s="325"/>
      <c r="H196" s="325"/>
      <c r="I196" s="325"/>
      <c r="J196" s="325"/>
      <c r="K196" s="325"/>
      <c r="L196" s="325"/>
      <c r="M196" s="325"/>
      <c r="N196" s="407"/>
      <c r="O196" s="300"/>
      <c r="P196" s="300"/>
      <c r="Q196" s="300"/>
      <c r="R196" s="300"/>
      <c r="S196" s="300"/>
      <c r="T196" s="300"/>
      <c r="U196" s="300"/>
      <c r="V196" s="300"/>
      <c r="W196" s="300"/>
      <c r="X196" s="300"/>
      <c r="Y196" s="300"/>
      <c r="Z196" s="300"/>
      <c r="AA196" s="300"/>
      <c r="AB196" s="300"/>
      <c r="AC196" s="300"/>
      <c r="AD196" s="300"/>
      <c r="AE196" s="300"/>
    </row>
    <row r="197" spans="2:31" ht="14.5">
      <c r="B197" s="405">
        <f t="shared" si="6"/>
        <v>152</v>
      </c>
      <c r="C197" s="413" t="str" cm="1">
        <f t="array" aca="1" ref="C197" ca="1">IF(B197&lt;=$C$9,GetGetCDSName(B197),"")</f>
        <v/>
      </c>
      <c r="D197" s="373"/>
      <c r="E197" s="406"/>
      <c r="F197" s="325"/>
      <c r="G197" s="325"/>
      <c r="H197" s="325"/>
      <c r="I197" s="325"/>
      <c r="J197" s="325"/>
      <c r="K197" s="325"/>
      <c r="L197" s="325"/>
      <c r="M197" s="325"/>
      <c r="N197" s="407"/>
      <c r="O197" s="300"/>
      <c r="P197" s="300"/>
      <c r="Q197" s="300"/>
      <c r="R197" s="300"/>
      <c r="S197" s="300"/>
      <c r="T197" s="300"/>
      <c r="U197" s="300"/>
      <c r="V197" s="300"/>
      <c r="W197" s="300"/>
      <c r="X197" s="300"/>
      <c r="Y197" s="300"/>
      <c r="Z197" s="300"/>
      <c r="AA197" s="300"/>
      <c r="AB197" s="300"/>
      <c r="AC197" s="300"/>
      <c r="AD197" s="300"/>
      <c r="AE197" s="300"/>
    </row>
    <row r="198" spans="2:31" ht="14.5">
      <c r="B198" s="405">
        <f t="shared" si="6"/>
        <v>153</v>
      </c>
      <c r="C198" s="413" t="str" cm="1">
        <f t="array" aca="1" ref="C198" ca="1">IF(B198&lt;=$C$9,GetGetCDSName(B198),"")</f>
        <v/>
      </c>
      <c r="D198" s="373"/>
      <c r="E198" s="406"/>
      <c r="F198" s="325"/>
      <c r="G198" s="325"/>
      <c r="H198" s="325"/>
      <c r="I198" s="325"/>
      <c r="J198" s="325"/>
      <c r="K198" s="325"/>
      <c r="L198" s="325"/>
      <c r="M198" s="325"/>
      <c r="N198" s="407"/>
      <c r="O198" s="300"/>
      <c r="P198" s="300"/>
      <c r="Q198" s="300"/>
      <c r="R198" s="300"/>
      <c r="S198" s="300"/>
      <c r="T198" s="300"/>
      <c r="U198" s="300"/>
      <c r="V198" s="300"/>
      <c r="W198" s="300"/>
      <c r="X198" s="300"/>
      <c r="Y198" s="300"/>
      <c r="Z198" s="300"/>
      <c r="AA198" s="300"/>
      <c r="AB198" s="300"/>
      <c r="AC198" s="300"/>
      <c r="AD198" s="300"/>
      <c r="AE198" s="300"/>
    </row>
    <row r="199" spans="2:31" ht="14.5">
      <c r="B199" s="405">
        <f t="shared" si="6"/>
        <v>154</v>
      </c>
      <c r="C199" s="413" t="str" cm="1">
        <f t="array" aca="1" ref="C199" ca="1">IF(B199&lt;=$C$9,GetGetCDSName(B199),"")</f>
        <v/>
      </c>
      <c r="D199" s="373"/>
      <c r="E199" s="406"/>
      <c r="F199" s="325"/>
      <c r="G199" s="325"/>
      <c r="H199" s="325"/>
      <c r="I199" s="325"/>
      <c r="J199" s="325"/>
      <c r="K199" s="325"/>
      <c r="L199" s="325"/>
      <c r="M199" s="325"/>
      <c r="N199" s="407"/>
      <c r="O199" s="300"/>
      <c r="P199" s="300"/>
      <c r="Q199" s="300"/>
      <c r="R199" s="300"/>
      <c r="S199" s="300"/>
      <c r="T199" s="300"/>
      <c r="U199" s="300"/>
      <c r="V199" s="300"/>
      <c r="W199" s="300"/>
      <c r="X199" s="300"/>
      <c r="Y199" s="300"/>
      <c r="Z199" s="300"/>
      <c r="AA199" s="300"/>
      <c r="AB199" s="300"/>
      <c r="AC199" s="300"/>
      <c r="AD199" s="300"/>
      <c r="AE199" s="300"/>
    </row>
    <row r="200" spans="2:31" ht="14.5">
      <c r="B200" s="405">
        <f t="shared" si="6"/>
        <v>155</v>
      </c>
      <c r="C200" s="413" t="str" cm="1">
        <f t="array" aca="1" ref="C200" ca="1">IF(B200&lt;=$C$9,GetGetCDSName(B200),"")</f>
        <v/>
      </c>
      <c r="D200" s="373"/>
      <c r="E200" s="406"/>
      <c r="F200" s="325"/>
      <c r="G200" s="325"/>
      <c r="H200" s="325"/>
      <c r="I200" s="325"/>
      <c r="J200" s="325"/>
      <c r="K200" s="325"/>
      <c r="L200" s="325"/>
      <c r="M200" s="325"/>
      <c r="N200" s="407"/>
      <c r="O200" s="300"/>
      <c r="P200" s="300"/>
      <c r="Q200" s="300"/>
      <c r="R200" s="300"/>
      <c r="S200" s="300"/>
      <c r="T200" s="300"/>
      <c r="U200" s="300"/>
      <c r="V200" s="300"/>
      <c r="W200" s="300"/>
      <c r="X200" s="300"/>
      <c r="Y200" s="300"/>
      <c r="Z200" s="300"/>
      <c r="AA200" s="300"/>
      <c r="AB200" s="300"/>
      <c r="AC200" s="300"/>
      <c r="AD200" s="300"/>
      <c r="AE200" s="300"/>
    </row>
    <row r="201" spans="2:31" ht="14.5">
      <c r="B201" s="405">
        <f t="shared" si="6"/>
        <v>156</v>
      </c>
      <c r="C201" s="413" t="str" cm="1">
        <f t="array" aca="1" ref="C201" ca="1">IF(B201&lt;=$C$9,GetGetCDSName(B201),"")</f>
        <v/>
      </c>
      <c r="D201" s="373"/>
      <c r="E201" s="406"/>
      <c r="F201" s="325"/>
      <c r="G201" s="325"/>
      <c r="H201" s="325"/>
      <c r="I201" s="325"/>
      <c r="J201" s="325"/>
      <c r="K201" s="325"/>
      <c r="L201" s="325"/>
      <c r="M201" s="325"/>
      <c r="N201" s="407"/>
      <c r="O201" s="300"/>
      <c r="P201" s="300"/>
      <c r="Q201" s="300"/>
      <c r="R201" s="300"/>
      <c r="S201" s="300"/>
      <c r="T201" s="300"/>
      <c r="U201" s="300"/>
      <c r="V201" s="300"/>
      <c r="W201" s="300"/>
      <c r="X201" s="300"/>
      <c r="Y201" s="300"/>
      <c r="Z201" s="300"/>
      <c r="AA201" s="300"/>
      <c r="AB201" s="300"/>
      <c r="AC201" s="300"/>
      <c r="AD201" s="300"/>
      <c r="AE201" s="300"/>
    </row>
    <row r="202" spans="2:31" ht="14.5">
      <c r="B202" s="405">
        <f t="shared" si="6"/>
        <v>157</v>
      </c>
      <c r="C202" s="413" t="str" cm="1">
        <f t="array" aca="1" ref="C202" ca="1">IF(B202&lt;=$C$9,GetGetCDSName(B202),"")</f>
        <v/>
      </c>
      <c r="D202" s="373"/>
      <c r="E202" s="406"/>
      <c r="F202" s="325"/>
      <c r="G202" s="325"/>
      <c r="H202" s="325"/>
      <c r="I202" s="325"/>
      <c r="J202" s="325"/>
      <c r="K202" s="325"/>
      <c r="L202" s="325"/>
      <c r="M202" s="325"/>
      <c r="N202" s="407"/>
      <c r="O202" s="300"/>
      <c r="P202" s="300"/>
      <c r="Q202" s="300"/>
      <c r="R202" s="300"/>
      <c r="S202" s="300"/>
      <c r="T202" s="300"/>
      <c r="U202" s="300"/>
      <c r="V202" s="300"/>
      <c r="W202" s="300"/>
      <c r="X202" s="300"/>
      <c r="Y202" s="300"/>
      <c r="Z202" s="300"/>
      <c r="AA202" s="300"/>
      <c r="AB202" s="300"/>
      <c r="AC202" s="300"/>
      <c r="AD202" s="300"/>
      <c r="AE202" s="300"/>
    </row>
    <row r="203" spans="2:31" ht="14.5">
      <c r="B203" s="405">
        <f t="shared" si="6"/>
        <v>158</v>
      </c>
      <c r="C203" s="413" t="str" cm="1">
        <f t="array" aca="1" ref="C203" ca="1">IF(B203&lt;=$C$9,GetGetCDSName(B203),"")</f>
        <v/>
      </c>
      <c r="D203" s="373"/>
      <c r="E203" s="406"/>
      <c r="F203" s="325"/>
      <c r="G203" s="325"/>
      <c r="H203" s="325"/>
      <c r="I203" s="325"/>
      <c r="J203" s="325"/>
      <c r="K203" s="325"/>
      <c r="L203" s="325"/>
      <c r="M203" s="325"/>
      <c r="N203" s="407"/>
      <c r="O203" s="300"/>
      <c r="P203" s="300"/>
      <c r="Q203" s="300"/>
      <c r="R203" s="300"/>
      <c r="S203" s="300"/>
      <c r="T203" s="300"/>
      <c r="U203" s="300"/>
      <c r="V203" s="300"/>
      <c r="W203" s="300"/>
      <c r="X203" s="300"/>
      <c r="Y203" s="300"/>
      <c r="Z203" s="300"/>
      <c r="AA203" s="300"/>
      <c r="AB203" s="300"/>
      <c r="AC203" s="300"/>
      <c r="AD203" s="300"/>
      <c r="AE203" s="300"/>
    </row>
    <row r="204" spans="2:31" ht="14.5">
      <c r="B204" s="405">
        <f t="shared" si="6"/>
        <v>159</v>
      </c>
      <c r="C204" s="413" t="str" cm="1">
        <f t="array" aca="1" ref="C204" ca="1">IF(B204&lt;=$C$9,GetGetCDSName(B204),"")</f>
        <v/>
      </c>
      <c r="D204" s="373"/>
      <c r="E204" s="406"/>
      <c r="F204" s="325"/>
      <c r="G204" s="325"/>
      <c r="H204" s="325"/>
      <c r="I204" s="325"/>
      <c r="J204" s="325"/>
      <c r="K204" s="325"/>
      <c r="L204" s="325"/>
      <c r="M204" s="325"/>
      <c r="N204" s="407"/>
      <c r="O204" s="300"/>
      <c r="P204" s="300"/>
      <c r="Q204" s="300"/>
      <c r="R204" s="300"/>
      <c r="S204" s="300"/>
      <c r="T204" s="300"/>
      <c r="U204" s="300"/>
      <c r="V204" s="300"/>
      <c r="W204" s="300"/>
      <c r="X204" s="300"/>
      <c r="Y204" s="300"/>
      <c r="Z204" s="300"/>
      <c r="AA204" s="300"/>
      <c r="AB204" s="300"/>
      <c r="AC204" s="300"/>
      <c r="AD204" s="300"/>
      <c r="AE204" s="300"/>
    </row>
    <row r="205" spans="2:31" ht="14.5">
      <c r="B205" s="405">
        <f t="shared" si="6"/>
        <v>160</v>
      </c>
      <c r="C205" s="413" t="str" cm="1">
        <f t="array" aca="1" ref="C205" ca="1">IF(B205&lt;=$C$9,GetGetCDSName(B205),"")</f>
        <v/>
      </c>
      <c r="D205" s="373"/>
      <c r="E205" s="406"/>
      <c r="F205" s="325"/>
      <c r="G205" s="325"/>
      <c r="H205" s="325"/>
      <c r="I205" s="325"/>
      <c r="J205" s="325"/>
      <c r="K205" s="325"/>
      <c r="L205" s="325"/>
      <c r="M205" s="325"/>
      <c r="N205" s="407"/>
      <c r="O205" s="300"/>
      <c r="P205" s="300"/>
      <c r="Q205" s="300"/>
      <c r="R205" s="300"/>
      <c r="S205" s="300"/>
      <c r="T205" s="300"/>
      <c r="U205" s="300"/>
      <c r="V205" s="300"/>
      <c r="W205" s="300"/>
      <c r="X205" s="300"/>
      <c r="Y205" s="300"/>
      <c r="Z205" s="300"/>
      <c r="AA205" s="300"/>
      <c r="AB205" s="300"/>
      <c r="AC205" s="300"/>
      <c r="AD205" s="300"/>
      <c r="AE205" s="300"/>
    </row>
    <row r="206" spans="2:31" ht="14.5">
      <c r="B206" s="405">
        <f t="shared" si="6"/>
        <v>161</v>
      </c>
      <c r="C206" s="413" t="str" cm="1">
        <f t="array" aca="1" ref="C206" ca="1">IF(B206&lt;=$C$9,GetGetCDSName(B206),"")</f>
        <v/>
      </c>
      <c r="D206" s="373"/>
      <c r="E206" s="406"/>
      <c r="F206" s="325"/>
      <c r="G206" s="325"/>
      <c r="H206" s="325"/>
      <c r="I206" s="325"/>
      <c r="J206" s="325"/>
      <c r="K206" s="325"/>
      <c r="L206" s="325"/>
      <c r="M206" s="325"/>
      <c r="N206" s="407"/>
      <c r="O206" s="300"/>
      <c r="P206" s="300"/>
      <c r="Q206" s="300"/>
      <c r="R206" s="300"/>
      <c r="S206" s="300"/>
      <c r="T206" s="300"/>
      <c r="U206" s="300"/>
      <c r="V206" s="300"/>
      <c r="W206" s="300"/>
      <c r="X206" s="300"/>
      <c r="Y206" s="300"/>
      <c r="Z206" s="300"/>
      <c r="AA206" s="300"/>
      <c r="AB206" s="300"/>
      <c r="AC206" s="300"/>
      <c r="AD206" s="300"/>
      <c r="AE206" s="300"/>
    </row>
    <row r="207" spans="2:31" ht="14.5">
      <c r="B207" s="405">
        <f t="shared" si="6"/>
        <v>162</v>
      </c>
      <c r="C207" s="413" t="str" cm="1">
        <f t="array" aca="1" ref="C207" ca="1">IF(B207&lt;=$C$9,GetGetCDSName(B207),"")</f>
        <v/>
      </c>
      <c r="D207" s="373"/>
      <c r="E207" s="406"/>
      <c r="F207" s="325"/>
      <c r="G207" s="325"/>
      <c r="H207" s="325"/>
      <c r="I207" s="325"/>
      <c r="J207" s="325"/>
      <c r="K207" s="325"/>
      <c r="L207" s="325"/>
      <c r="M207" s="325"/>
      <c r="N207" s="407"/>
      <c r="O207" s="300"/>
      <c r="P207" s="300"/>
      <c r="Q207" s="300"/>
      <c r="R207" s="300"/>
      <c r="S207" s="300"/>
      <c r="T207" s="300"/>
      <c r="U207" s="300"/>
      <c r="V207" s="300"/>
      <c r="W207" s="300"/>
      <c r="X207" s="300"/>
      <c r="Y207" s="300"/>
      <c r="Z207" s="300"/>
      <c r="AA207" s="300"/>
      <c r="AB207" s="300"/>
      <c r="AC207" s="300"/>
      <c r="AD207" s="300"/>
      <c r="AE207" s="300"/>
    </row>
    <row r="208" spans="2:31" ht="14.5">
      <c r="B208" s="405">
        <f t="shared" si="6"/>
        <v>163</v>
      </c>
      <c r="C208" s="413" t="str" cm="1">
        <f t="array" aca="1" ref="C208" ca="1">IF(B208&lt;=$C$9,GetGetCDSName(B208),"")</f>
        <v/>
      </c>
      <c r="D208" s="373"/>
      <c r="E208" s="406"/>
      <c r="F208" s="325"/>
      <c r="G208" s="325"/>
      <c r="H208" s="325"/>
      <c r="I208" s="325"/>
      <c r="J208" s="325"/>
      <c r="K208" s="325"/>
      <c r="L208" s="325"/>
      <c r="M208" s="325"/>
      <c r="N208" s="407"/>
      <c r="O208" s="300"/>
      <c r="P208" s="300"/>
      <c r="Q208" s="300"/>
      <c r="R208" s="300"/>
      <c r="S208" s="300"/>
      <c r="T208" s="300"/>
      <c r="U208" s="300"/>
      <c r="V208" s="300"/>
      <c r="W208" s="300"/>
      <c r="X208" s="300"/>
      <c r="Y208" s="300"/>
      <c r="Z208" s="300"/>
      <c r="AA208" s="300"/>
      <c r="AB208" s="300"/>
      <c r="AC208" s="300"/>
      <c r="AD208" s="300"/>
      <c r="AE208" s="300"/>
    </row>
    <row r="209" spans="2:31" ht="14.5">
      <c r="B209" s="405">
        <f t="shared" si="6"/>
        <v>164</v>
      </c>
      <c r="C209" s="413" t="str" cm="1">
        <f t="array" aca="1" ref="C209" ca="1">IF(B209&lt;=$C$9,GetGetCDSName(B209),"")</f>
        <v/>
      </c>
      <c r="D209" s="373"/>
      <c r="E209" s="406"/>
      <c r="F209" s="325"/>
      <c r="G209" s="325"/>
      <c r="H209" s="325"/>
      <c r="I209" s="325"/>
      <c r="J209" s="325"/>
      <c r="K209" s="325"/>
      <c r="L209" s="325"/>
      <c r="M209" s="325"/>
      <c r="N209" s="407"/>
      <c r="O209" s="300"/>
      <c r="P209" s="300"/>
      <c r="Q209" s="300"/>
      <c r="R209" s="300"/>
      <c r="S209" s="300"/>
      <c r="T209" s="300"/>
      <c r="U209" s="300"/>
      <c r="V209" s="300"/>
      <c r="W209" s="300"/>
      <c r="X209" s="300"/>
      <c r="Y209" s="300"/>
      <c r="Z209" s="300"/>
      <c r="AA209" s="300"/>
      <c r="AB209" s="300"/>
      <c r="AC209" s="300"/>
      <c r="AD209" s="300"/>
      <c r="AE209" s="300"/>
    </row>
    <row r="210" spans="2:31" ht="14.5">
      <c r="B210" s="405">
        <f t="shared" si="6"/>
        <v>165</v>
      </c>
      <c r="C210" s="413" t="str" cm="1">
        <f t="array" aca="1" ref="C210" ca="1">IF(B210&lt;=$C$9,GetGetCDSName(B210),"")</f>
        <v/>
      </c>
      <c r="D210" s="373"/>
      <c r="E210" s="406"/>
      <c r="F210" s="325"/>
      <c r="G210" s="325"/>
      <c r="H210" s="325"/>
      <c r="I210" s="325"/>
      <c r="J210" s="325"/>
      <c r="K210" s="325"/>
      <c r="L210" s="325"/>
      <c r="M210" s="325"/>
      <c r="N210" s="407"/>
      <c r="O210" s="300"/>
      <c r="P210" s="300"/>
      <c r="Q210" s="300"/>
      <c r="R210" s="300"/>
      <c r="S210" s="300"/>
      <c r="T210" s="300"/>
      <c r="U210" s="300"/>
      <c r="V210" s="300"/>
      <c r="W210" s="300"/>
      <c r="X210" s="300"/>
      <c r="Y210" s="300"/>
      <c r="Z210" s="300"/>
      <c r="AA210" s="300"/>
      <c r="AB210" s="300"/>
      <c r="AC210" s="300"/>
      <c r="AD210" s="300"/>
      <c r="AE210" s="300"/>
    </row>
    <row r="211" spans="2:31" ht="14.5">
      <c r="B211" s="405">
        <f t="shared" si="6"/>
        <v>166</v>
      </c>
      <c r="C211" s="413" t="str" cm="1">
        <f t="array" aca="1" ref="C211" ca="1">IF(B211&lt;=$C$9,GetGetCDSName(B211),"")</f>
        <v/>
      </c>
      <c r="D211" s="373"/>
      <c r="E211" s="406"/>
      <c r="F211" s="325"/>
      <c r="G211" s="325"/>
      <c r="H211" s="325"/>
      <c r="I211" s="325"/>
      <c r="J211" s="325"/>
      <c r="K211" s="325"/>
      <c r="L211" s="325"/>
      <c r="M211" s="325"/>
      <c r="N211" s="407"/>
      <c r="O211" s="300"/>
      <c r="P211" s="300"/>
      <c r="Q211" s="300"/>
      <c r="R211" s="300"/>
      <c r="S211" s="300"/>
      <c r="T211" s="300"/>
      <c r="U211" s="300"/>
      <c r="V211" s="300"/>
      <c r="W211" s="300"/>
      <c r="X211" s="300"/>
      <c r="Y211" s="300"/>
      <c r="Z211" s="300"/>
      <c r="AA211" s="300"/>
      <c r="AB211" s="300"/>
      <c r="AC211" s="300"/>
      <c r="AD211" s="300"/>
      <c r="AE211" s="300"/>
    </row>
    <row r="212" spans="2:31" ht="14.5">
      <c r="B212" s="405">
        <f t="shared" si="6"/>
        <v>167</v>
      </c>
      <c r="C212" s="413" t="str" cm="1">
        <f t="array" aca="1" ref="C212" ca="1">IF(B212&lt;=$C$9,GetGetCDSName(B212),"")</f>
        <v/>
      </c>
      <c r="D212" s="373"/>
      <c r="E212" s="406"/>
      <c r="F212" s="325"/>
      <c r="G212" s="325"/>
      <c r="H212" s="325"/>
      <c r="I212" s="325"/>
      <c r="J212" s="325"/>
      <c r="K212" s="325"/>
      <c r="L212" s="325"/>
      <c r="M212" s="325"/>
      <c r="N212" s="407"/>
      <c r="O212" s="300"/>
      <c r="P212" s="300"/>
      <c r="Q212" s="300"/>
      <c r="R212" s="300"/>
      <c r="S212" s="300"/>
      <c r="T212" s="300"/>
      <c r="U212" s="300"/>
      <c r="V212" s="300"/>
      <c r="W212" s="300"/>
      <c r="X212" s="300"/>
      <c r="Y212" s="300"/>
      <c r="Z212" s="300"/>
      <c r="AA212" s="300"/>
      <c r="AB212" s="300"/>
      <c r="AC212" s="300"/>
      <c r="AD212" s="300"/>
      <c r="AE212" s="300"/>
    </row>
    <row r="213" spans="2:31" ht="14.5">
      <c r="B213" s="405">
        <f t="shared" si="6"/>
        <v>168</v>
      </c>
      <c r="C213" s="413" t="str" cm="1">
        <f t="array" aca="1" ref="C213" ca="1">IF(B213&lt;=$C$9,GetGetCDSName(B213),"")</f>
        <v/>
      </c>
      <c r="D213" s="373"/>
      <c r="E213" s="406"/>
      <c r="F213" s="325"/>
      <c r="G213" s="325"/>
      <c r="H213" s="325"/>
      <c r="I213" s="325"/>
      <c r="J213" s="325"/>
      <c r="K213" s="325"/>
      <c r="L213" s="325"/>
      <c r="M213" s="325"/>
      <c r="N213" s="407"/>
      <c r="O213" s="300"/>
      <c r="P213" s="300"/>
      <c r="Q213" s="300"/>
      <c r="R213" s="300"/>
      <c r="S213" s="300"/>
      <c r="T213" s="300"/>
      <c r="U213" s="300"/>
      <c r="V213" s="300"/>
      <c r="W213" s="300"/>
      <c r="X213" s="300"/>
      <c r="Y213" s="300"/>
      <c r="Z213" s="300"/>
      <c r="AA213" s="300"/>
      <c r="AB213" s="300"/>
      <c r="AC213" s="300"/>
      <c r="AD213" s="300"/>
      <c r="AE213" s="300"/>
    </row>
    <row r="214" spans="2:31" ht="14.5">
      <c r="B214" s="405">
        <f t="shared" si="6"/>
        <v>169</v>
      </c>
      <c r="C214" s="413" t="str" cm="1">
        <f t="array" aca="1" ref="C214" ca="1">IF(B214&lt;=$C$9,GetGetCDSName(B214),"")</f>
        <v/>
      </c>
      <c r="D214" s="373"/>
      <c r="E214" s="406"/>
      <c r="F214" s="325"/>
      <c r="G214" s="325"/>
      <c r="H214" s="325"/>
      <c r="I214" s="325"/>
      <c r="J214" s="325"/>
      <c r="K214" s="325"/>
      <c r="L214" s="325"/>
      <c r="M214" s="325"/>
      <c r="N214" s="407"/>
      <c r="O214" s="300"/>
      <c r="P214" s="300"/>
      <c r="Q214" s="300"/>
      <c r="R214" s="300"/>
      <c r="S214" s="300"/>
      <c r="T214" s="300"/>
      <c r="U214" s="300"/>
      <c r="V214" s="300"/>
      <c r="W214" s="300"/>
      <c r="X214" s="300"/>
      <c r="Y214" s="300"/>
      <c r="Z214" s="300"/>
      <c r="AA214" s="300"/>
      <c r="AB214" s="300"/>
      <c r="AC214" s="300"/>
      <c r="AD214" s="300"/>
      <c r="AE214" s="300"/>
    </row>
    <row r="215" spans="2:31" ht="14.5">
      <c r="B215" s="405">
        <f t="shared" si="6"/>
        <v>170</v>
      </c>
      <c r="C215" s="413" t="str" cm="1">
        <f t="array" aca="1" ref="C215" ca="1">IF(B215&lt;=$C$9,GetGetCDSName(B215),"")</f>
        <v/>
      </c>
      <c r="D215" s="373"/>
      <c r="E215" s="406"/>
      <c r="F215" s="325"/>
      <c r="G215" s="325"/>
      <c r="H215" s="325"/>
      <c r="I215" s="325"/>
      <c r="J215" s="325"/>
      <c r="K215" s="325"/>
      <c r="L215" s="325"/>
      <c r="M215" s="325"/>
      <c r="N215" s="407"/>
      <c r="O215" s="300"/>
      <c r="P215" s="300"/>
      <c r="Q215" s="300"/>
      <c r="R215" s="300"/>
      <c r="S215" s="300"/>
      <c r="T215" s="300"/>
      <c r="U215" s="300"/>
      <c r="V215" s="300"/>
      <c r="W215" s="300"/>
      <c r="X215" s="300"/>
      <c r="Y215" s="300"/>
      <c r="Z215" s="300"/>
      <c r="AA215" s="300"/>
      <c r="AB215" s="300"/>
      <c r="AC215" s="300"/>
      <c r="AD215" s="300"/>
      <c r="AE215" s="300"/>
    </row>
    <row r="216" spans="2:31" ht="14.5">
      <c r="B216" s="405">
        <f t="shared" si="6"/>
        <v>171</v>
      </c>
      <c r="C216" s="413" t="str" cm="1">
        <f t="array" aca="1" ref="C216" ca="1">IF(B216&lt;=$C$9,GetGetCDSName(B216),"")</f>
        <v/>
      </c>
      <c r="D216" s="373"/>
      <c r="E216" s="406"/>
      <c r="F216" s="325"/>
      <c r="G216" s="325"/>
      <c r="H216" s="325"/>
      <c r="I216" s="325"/>
      <c r="J216" s="325"/>
      <c r="K216" s="325"/>
      <c r="L216" s="325"/>
      <c r="M216" s="325"/>
      <c r="N216" s="407"/>
      <c r="O216" s="300"/>
      <c r="P216" s="300"/>
      <c r="Q216" s="300"/>
      <c r="R216" s="300"/>
      <c r="S216" s="300"/>
      <c r="T216" s="300"/>
      <c r="U216" s="300"/>
      <c r="V216" s="300"/>
      <c r="W216" s="300"/>
      <c r="X216" s="300"/>
      <c r="Y216" s="300"/>
      <c r="Z216" s="300"/>
      <c r="AA216" s="300"/>
      <c r="AB216" s="300"/>
      <c r="AC216" s="300"/>
      <c r="AD216" s="300"/>
      <c r="AE216" s="300"/>
    </row>
    <row r="217" spans="2:31" ht="14.5">
      <c r="B217" s="405">
        <f t="shared" si="6"/>
        <v>172</v>
      </c>
      <c r="C217" s="413" t="str" cm="1">
        <f t="array" aca="1" ref="C217" ca="1">IF(B217&lt;=$C$9,GetGetCDSName(B217),"")</f>
        <v/>
      </c>
      <c r="D217" s="373"/>
      <c r="E217" s="406"/>
      <c r="F217" s="325"/>
      <c r="G217" s="325"/>
      <c r="H217" s="325"/>
      <c r="I217" s="325"/>
      <c r="J217" s="325"/>
      <c r="K217" s="325"/>
      <c r="L217" s="325"/>
      <c r="M217" s="325"/>
      <c r="N217" s="407"/>
      <c r="O217" s="300"/>
      <c r="P217" s="300"/>
      <c r="Q217" s="300"/>
      <c r="R217" s="300"/>
      <c r="S217" s="300"/>
      <c r="T217" s="300"/>
      <c r="U217" s="300"/>
      <c r="V217" s="300"/>
      <c r="W217" s="300"/>
      <c r="X217" s="300"/>
      <c r="Y217" s="300"/>
      <c r="Z217" s="300"/>
      <c r="AA217" s="300"/>
      <c r="AB217" s="300"/>
      <c r="AC217" s="300"/>
      <c r="AD217" s="300"/>
      <c r="AE217" s="300"/>
    </row>
    <row r="218" spans="2:31" ht="14.5">
      <c r="B218" s="405">
        <f t="shared" si="6"/>
        <v>173</v>
      </c>
      <c r="C218" s="413" t="str" cm="1">
        <f t="array" aca="1" ref="C218" ca="1">IF(B218&lt;=$C$9,GetGetCDSName(B218),"")</f>
        <v/>
      </c>
      <c r="D218" s="373"/>
      <c r="E218" s="406"/>
      <c r="F218" s="325"/>
      <c r="G218" s="325"/>
      <c r="H218" s="325"/>
      <c r="I218" s="325"/>
      <c r="J218" s="325"/>
      <c r="K218" s="325"/>
      <c r="L218" s="325"/>
      <c r="M218" s="325"/>
      <c r="N218" s="407"/>
      <c r="O218" s="300"/>
      <c r="P218" s="300"/>
      <c r="Q218" s="300"/>
      <c r="R218" s="300"/>
      <c r="S218" s="300"/>
      <c r="T218" s="300"/>
      <c r="U218" s="300"/>
      <c r="V218" s="300"/>
      <c r="W218" s="300"/>
      <c r="X218" s="300"/>
      <c r="Y218" s="300"/>
      <c r="Z218" s="300"/>
      <c r="AA218" s="300"/>
      <c r="AB218" s="300"/>
      <c r="AC218" s="300"/>
      <c r="AD218" s="300"/>
      <c r="AE218" s="300"/>
    </row>
    <row r="219" spans="2:31" ht="14.5">
      <c r="B219" s="405">
        <f t="shared" si="6"/>
        <v>174</v>
      </c>
      <c r="C219" s="413" t="str" cm="1">
        <f t="array" aca="1" ref="C219" ca="1">IF(B219&lt;=$C$9,GetGetCDSName(B219),"")</f>
        <v/>
      </c>
      <c r="D219" s="373"/>
      <c r="E219" s="406"/>
      <c r="F219" s="325"/>
      <c r="G219" s="325"/>
      <c r="H219" s="325"/>
      <c r="I219" s="325"/>
      <c r="J219" s="325"/>
      <c r="K219" s="325"/>
      <c r="L219" s="325"/>
      <c r="M219" s="325"/>
      <c r="N219" s="407"/>
      <c r="O219" s="300"/>
      <c r="P219" s="300"/>
      <c r="Q219" s="300"/>
      <c r="R219" s="300"/>
      <c r="S219" s="300"/>
      <c r="T219" s="300"/>
      <c r="U219" s="300"/>
      <c r="V219" s="300"/>
      <c r="W219" s="300"/>
      <c r="X219" s="300"/>
      <c r="Y219" s="300"/>
      <c r="Z219" s="300"/>
      <c r="AA219" s="300"/>
      <c r="AB219" s="300"/>
      <c r="AC219" s="300"/>
      <c r="AD219" s="300"/>
      <c r="AE219" s="300"/>
    </row>
    <row r="220" spans="2:31" ht="14.5">
      <c r="B220" s="405">
        <f t="shared" si="6"/>
        <v>175</v>
      </c>
      <c r="C220" s="413" t="str" cm="1">
        <f t="array" aca="1" ref="C220" ca="1">IF(B220&lt;=$C$9,GetGetCDSName(B220),"")</f>
        <v/>
      </c>
      <c r="D220" s="373"/>
      <c r="E220" s="406"/>
      <c r="F220" s="325"/>
      <c r="G220" s="325"/>
      <c r="H220" s="325"/>
      <c r="I220" s="325"/>
      <c r="J220" s="325"/>
      <c r="K220" s="325"/>
      <c r="L220" s="325"/>
      <c r="M220" s="325"/>
      <c r="N220" s="407"/>
      <c r="O220" s="300"/>
      <c r="P220" s="300"/>
      <c r="Q220" s="300"/>
      <c r="R220" s="300"/>
      <c r="S220" s="300"/>
      <c r="T220" s="300"/>
      <c r="U220" s="300"/>
      <c r="V220" s="300"/>
      <c r="W220" s="300"/>
      <c r="X220" s="300"/>
      <c r="Y220" s="300"/>
      <c r="Z220" s="300"/>
      <c r="AA220" s="300"/>
      <c r="AB220" s="300"/>
      <c r="AC220" s="300"/>
      <c r="AD220" s="300"/>
      <c r="AE220" s="300"/>
    </row>
    <row r="221" spans="2:31" ht="14.5">
      <c r="B221" s="405">
        <f t="shared" si="6"/>
        <v>176</v>
      </c>
      <c r="C221" s="413" t="str" cm="1">
        <f t="array" aca="1" ref="C221" ca="1">IF(B221&lt;=$C$9,GetGetCDSName(B221),"")</f>
        <v/>
      </c>
      <c r="D221" s="373"/>
      <c r="E221" s="406"/>
      <c r="F221" s="325"/>
      <c r="G221" s="325"/>
      <c r="H221" s="325"/>
      <c r="I221" s="325"/>
      <c r="J221" s="325"/>
      <c r="K221" s="325"/>
      <c r="L221" s="325"/>
      <c r="M221" s="325"/>
      <c r="N221" s="407"/>
      <c r="O221" s="300"/>
      <c r="P221" s="300"/>
      <c r="Q221" s="300"/>
      <c r="R221" s="300"/>
      <c r="S221" s="300"/>
      <c r="T221" s="300"/>
      <c r="U221" s="300"/>
      <c r="V221" s="300"/>
      <c r="W221" s="300"/>
      <c r="X221" s="300"/>
      <c r="Y221" s="300"/>
      <c r="Z221" s="300"/>
      <c r="AA221" s="300"/>
      <c r="AB221" s="300"/>
      <c r="AC221" s="300"/>
      <c r="AD221" s="300"/>
      <c r="AE221" s="300"/>
    </row>
    <row r="222" spans="2:31" ht="14.5">
      <c r="B222" s="405">
        <f t="shared" si="6"/>
        <v>177</v>
      </c>
      <c r="C222" s="413" t="str" cm="1">
        <f t="array" aca="1" ref="C222" ca="1">IF(B222&lt;=$C$9,GetGetCDSName(B222),"")</f>
        <v/>
      </c>
      <c r="D222" s="373"/>
      <c r="E222" s="406"/>
      <c r="F222" s="325"/>
      <c r="G222" s="325"/>
      <c r="H222" s="325"/>
      <c r="I222" s="325"/>
      <c r="J222" s="325"/>
      <c r="K222" s="325"/>
      <c r="L222" s="325"/>
      <c r="M222" s="325"/>
      <c r="N222" s="407"/>
      <c r="O222" s="300"/>
      <c r="P222" s="300"/>
      <c r="Q222" s="300"/>
      <c r="R222" s="300"/>
      <c r="S222" s="300"/>
      <c r="T222" s="300"/>
      <c r="U222" s="300"/>
      <c r="V222" s="300"/>
      <c r="W222" s="300"/>
      <c r="X222" s="300"/>
      <c r="Y222" s="300"/>
      <c r="Z222" s="300"/>
      <c r="AA222" s="300"/>
      <c r="AB222" s="300"/>
      <c r="AC222" s="300"/>
      <c r="AD222" s="300"/>
      <c r="AE222" s="300"/>
    </row>
    <row r="223" spans="2:31" ht="14.5">
      <c r="B223" s="405">
        <f t="shared" si="6"/>
        <v>178</v>
      </c>
      <c r="C223" s="413" t="str" cm="1">
        <f t="array" aca="1" ref="C223" ca="1">IF(B223&lt;=$C$9,GetGetCDSName(B223),"")</f>
        <v/>
      </c>
      <c r="D223" s="373"/>
      <c r="E223" s="406"/>
      <c r="F223" s="325"/>
      <c r="G223" s="325"/>
      <c r="H223" s="325"/>
      <c r="I223" s="325"/>
      <c r="J223" s="325"/>
      <c r="K223" s="325"/>
      <c r="L223" s="325"/>
      <c r="M223" s="325"/>
      <c r="N223" s="407"/>
      <c r="O223" s="300"/>
      <c r="P223" s="300"/>
      <c r="Q223" s="300"/>
      <c r="R223" s="300"/>
      <c r="S223" s="300"/>
      <c r="T223" s="300"/>
      <c r="U223" s="300"/>
      <c r="V223" s="300"/>
      <c r="W223" s="300"/>
      <c r="X223" s="300"/>
      <c r="Y223" s="300"/>
      <c r="Z223" s="300"/>
      <c r="AA223" s="300"/>
      <c r="AB223" s="300"/>
      <c r="AC223" s="300"/>
      <c r="AD223" s="300"/>
      <c r="AE223" s="300"/>
    </row>
    <row r="224" spans="2:31" ht="14.5">
      <c r="B224" s="405">
        <f t="shared" si="6"/>
        <v>179</v>
      </c>
      <c r="C224" s="413" t="str" cm="1">
        <f t="array" aca="1" ref="C224" ca="1">IF(B224&lt;=$C$9,GetGetCDSName(B224),"")</f>
        <v/>
      </c>
      <c r="D224" s="373"/>
      <c r="E224" s="406"/>
      <c r="F224" s="325"/>
      <c r="G224" s="325"/>
      <c r="H224" s="325"/>
      <c r="I224" s="325"/>
      <c r="J224" s="325"/>
      <c r="K224" s="325"/>
      <c r="L224" s="325"/>
      <c r="M224" s="325"/>
      <c r="N224" s="407"/>
      <c r="O224" s="300"/>
      <c r="P224" s="300"/>
      <c r="Q224" s="300"/>
      <c r="R224" s="300"/>
      <c r="S224" s="300"/>
      <c r="T224" s="300"/>
      <c r="U224" s="300"/>
      <c r="V224" s="300"/>
      <c r="W224" s="300"/>
      <c r="X224" s="300"/>
      <c r="Y224" s="300"/>
      <c r="Z224" s="300"/>
      <c r="AA224" s="300"/>
      <c r="AB224" s="300"/>
      <c r="AC224" s="300"/>
      <c r="AD224" s="300"/>
      <c r="AE224" s="300"/>
    </row>
    <row r="225" spans="2:31" ht="14.5">
      <c r="B225" s="405">
        <f t="shared" si="6"/>
        <v>180</v>
      </c>
      <c r="C225" s="413" t="str" cm="1">
        <f t="array" aca="1" ref="C225" ca="1">IF(B225&lt;=$C$9,GetGetCDSName(B225),"")</f>
        <v/>
      </c>
      <c r="D225" s="373"/>
      <c r="E225" s="406"/>
      <c r="F225" s="325"/>
      <c r="G225" s="325"/>
      <c r="H225" s="325"/>
      <c r="I225" s="325"/>
      <c r="J225" s="325"/>
      <c r="K225" s="325"/>
      <c r="L225" s="325"/>
      <c r="M225" s="325"/>
      <c r="N225" s="407"/>
      <c r="O225" s="300"/>
      <c r="P225" s="300"/>
      <c r="Q225" s="300"/>
      <c r="R225" s="300"/>
      <c r="S225" s="300"/>
      <c r="T225" s="300"/>
      <c r="U225" s="300"/>
      <c r="V225" s="300"/>
      <c r="W225" s="300"/>
      <c r="X225" s="300"/>
      <c r="Y225" s="300"/>
      <c r="Z225" s="300"/>
      <c r="AA225" s="300"/>
      <c r="AB225" s="300"/>
      <c r="AC225" s="300"/>
      <c r="AD225" s="300"/>
      <c r="AE225" s="300"/>
    </row>
    <row r="226" spans="2:31" ht="14.5">
      <c r="B226" s="405">
        <f t="shared" si="6"/>
        <v>181</v>
      </c>
      <c r="C226" s="413" t="str" cm="1">
        <f t="array" aca="1" ref="C226" ca="1">IF(B226&lt;=$C$9,GetGetCDSName(B226),"")</f>
        <v/>
      </c>
      <c r="D226" s="373"/>
      <c r="E226" s="406"/>
      <c r="F226" s="325"/>
      <c r="G226" s="325"/>
      <c r="H226" s="325"/>
      <c r="I226" s="325"/>
      <c r="J226" s="325"/>
      <c r="K226" s="325"/>
      <c r="L226" s="325"/>
      <c r="M226" s="325"/>
      <c r="N226" s="407"/>
      <c r="O226" s="300"/>
      <c r="P226" s="300"/>
      <c r="Q226" s="300"/>
      <c r="R226" s="300"/>
      <c r="S226" s="300"/>
      <c r="T226" s="300"/>
      <c r="U226" s="300"/>
      <c r="V226" s="300"/>
      <c r="W226" s="300"/>
      <c r="X226" s="300"/>
      <c r="Y226" s="300"/>
      <c r="Z226" s="300"/>
      <c r="AA226" s="300"/>
      <c r="AB226" s="300"/>
      <c r="AC226" s="300"/>
      <c r="AD226" s="300"/>
      <c r="AE226" s="300"/>
    </row>
    <row r="227" spans="2:31" ht="14.5">
      <c r="B227" s="405">
        <f t="shared" si="6"/>
        <v>182</v>
      </c>
      <c r="C227" s="413" t="str" cm="1">
        <f t="array" aca="1" ref="C227" ca="1">IF(B227&lt;=$C$9,GetGetCDSName(B227),"")</f>
        <v/>
      </c>
      <c r="D227" s="373"/>
      <c r="E227" s="406"/>
      <c r="F227" s="325"/>
      <c r="G227" s="325"/>
      <c r="H227" s="325"/>
      <c r="I227" s="325"/>
      <c r="J227" s="325"/>
      <c r="K227" s="325"/>
      <c r="L227" s="325"/>
      <c r="M227" s="325"/>
      <c r="N227" s="407"/>
      <c r="O227" s="300"/>
      <c r="P227" s="300"/>
      <c r="Q227" s="300"/>
      <c r="R227" s="300"/>
      <c r="S227" s="300"/>
      <c r="T227" s="300"/>
      <c r="U227" s="300"/>
      <c r="V227" s="300"/>
      <c r="W227" s="300"/>
      <c r="X227" s="300"/>
      <c r="Y227" s="300"/>
      <c r="Z227" s="300"/>
      <c r="AA227" s="300"/>
      <c r="AB227" s="300"/>
      <c r="AC227" s="300"/>
      <c r="AD227" s="300"/>
      <c r="AE227" s="300"/>
    </row>
    <row r="228" spans="2:31" ht="14.5">
      <c r="B228" s="405">
        <f t="shared" si="6"/>
        <v>183</v>
      </c>
      <c r="C228" s="413" t="str" cm="1">
        <f t="array" aca="1" ref="C228" ca="1">IF(B228&lt;=$C$9,GetGetCDSName(B228),"")</f>
        <v/>
      </c>
      <c r="D228" s="373"/>
      <c r="E228" s="406"/>
      <c r="F228" s="325"/>
      <c r="G228" s="325"/>
      <c r="H228" s="325"/>
      <c r="I228" s="325"/>
      <c r="J228" s="325"/>
      <c r="K228" s="325"/>
      <c r="L228" s="325"/>
      <c r="M228" s="325"/>
      <c r="N228" s="407"/>
      <c r="O228" s="300"/>
      <c r="P228" s="300"/>
      <c r="Q228" s="300"/>
      <c r="R228" s="300"/>
      <c r="S228" s="300"/>
      <c r="T228" s="300"/>
      <c r="U228" s="300"/>
      <c r="V228" s="300"/>
      <c r="W228" s="300"/>
      <c r="X228" s="300"/>
      <c r="Y228" s="300"/>
      <c r="Z228" s="300"/>
      <c r="AA228" s="300"/>
      <c r="AB228" s="300"/>
      <c r="AC228" s="300"/>
      <c r="AD228" s="300"/>
      <c r="AE228" s="300"/>
    </row>
    <row r="229" spans="2:31" ht="14.5">
      <c r="B229" s="405">
        <f t="shared" si="6"/>
        <v>184</v>
      </c>
      <c r="C229" s="413" t="str" cm="1">
        <f t="array" aca="1" ref="C229" ca="1">IF(B229&lt;=$C$9,GetGetCDSName(B229),"")</f>
        <v/>
      </c>
      <c r="D229" s="373"/>
      <c r="E229" s="406"/>
      <c r="F229" s="325"/>
      <c r="G229" s="325"/>
      <c r="H229" s="325"/>
      <c r="I229" s="325"/>
      <c r="J229" s="325"/>
      <c r="K229" s="325"/>
      <c r="L229" s="325"/>
      <c r="M229" s="325"/>
      <c r="N229" s="407"/>
      <c r="O229" s="300"/>
      <c r="P229" s="300"/>
      <c r="Q229" s="300"/>
      <c r="R229" s="300"/>
      <c r="S229" s="300"/>
      <c r="T229" s="300"/>
      <c r="U229" s="300"/>
      <c r="V229" s="300"/>
      <c r="W229" s="300"/>
      <c r="X229" s="300"/>
      <c r="Y229" s="300"/>
      <c r="Z229" s="300"/>
      <c r="AA229" s="300"/>
      <c r="AB229" s="300"/>
      <c r="AC229" s="300"/>
      <c r="AD229" s="300"/>
      <c r="AE229" s="300"/>
    </row>
    <row r="230" spans="2:31" ht="14.5">
      <c r="B230" s="405">
        <f t="shared" si="6"/>
        <v>185</v>
      </c>
      <c r="C230" s="413" t="str" cm="1">
        <f t="array" aca="1" ref="C230" ca="1">IF(B230&lt;=$C$9,GetGetCDSName(B230),"")</f>
        <v/>
      </c>
      <c r="D230" s="373"/>
      <c r="E230" s="406"/>
      <c r="F230" s="325"/>
      <c r="G230" s="325"/>
      <c r="H230" s="325"/>
      <c r="I230" s="325"/>
      <c r="J230" s="325"/>
      <c r="K230" s="325"/>
      <c r="L230" s="325"/>
      <c r="M230" s="325"/>
      <c r="N230" s="407"/>
      <c r="O230" s="300"/>
      <c r="P230" s="300"/>
      <c r="Q230" s="300"/>
      <c r="R230" s="300"/>
      <c r="S230" s="300"/>
      <c r="T230" s="300"/>
      <c r="U230" s="300"/>
      <c r="V230" s="300"/>
      <c r="W230" s="300"/>
      <c r="X230" s="300"/>
      <c r="Y230" s="300"/>
      <c r="Z230" s="300"/>
      <c r="AA230" s="300"/>
      <c r="AB230" s="300"/>
      <c r="AC230" s="300"/>
      <c r="AD230" s="300"/>
      <c r="AE230" s="300"/>
    </row>
    <row r="231" spans="2:31" ht="14.5">
      <c r="B231" s="405">
        <f t="shared" si="6"/>
        <v>186</v>
      </c>
      <c r="C231" s="413" t="str" cm="1">
        <f t="array" aca="1" ref="C231" ca="1">IF(B231&lt;=$C$9,GetGetCDSName(B231),"")</f>
        <v/>
      </c>
      <c r="D231" s="373"/>
      <c r="E231" s="406"/>
      <c r="F231" s="325"/>
      <c r="G231" s="325"/>
      <c r="H231" s="325"/>
      <c r="I231" s="325"/>
      <c r="J231" s="325"/>
      <c r="K231" s="325"/>
      <c r="L231" s="325"/>
      <c r="M231" s="325"/>
      <c r="N231" s="407"/>
      <c r="O231" s="300"/>
      <c r="P231" s="300"/>
      <c r="Q231" s="300"/>
      <c r="R231" s="300"/>
      <c r="S231" s="300"/>
      <c r="T231" s="300"/>
      <c r="U231" s="300"/>
      <c r="V231" s="300"/>
      <c r="W231" s="300"/>
      <c r="X231" s="300"/>
      <c r="Y231" s="300"/>
      <c r="Z231" s="300"/>
      <c r="AA231" s="300"/>
      <c r="AB231" s="300"/>
      <c r="AC231" s="300"/>
      <c r="AD231" s="300"/>
      <c r="AE231" s="300"/>
    </row>
    <row r="232" spans="2:31" ht="14.5">
      <c r="B232" s="405">
        <f t="shared" si="6"/>
        <v>187</v>
      </c>
      <c r="C232" s="413" t="str" cm="1">
        <f t="array" aca="1" ref="C232" ca="1">IF(B232&lt;=$C$9,GetGetCDSName(B232),"")</f>
        <v/>
      </c>
      <c r="D232" s="373"/>
      <c r="E232" s="406"/>
      <c r="F232" s="325"/>
      <c r="G232" s="325"/>
      <c r="H232" s="325"/>
      <c r="I232" s="325"/>
      <c r="J232" s="325"/>
      <c r="K232" s="325"/>
      <c r="L232" s="325"/>
      <c r="M232" s="325"/>
      <c r="N232" s="407"/>
      <c r="O232" s="300"/>
      <c r="P232" s="300"/>
      <c r="Q232" s="300"/>
      <c r="R232" s="300"/>
      <c r="S232" s="300"/>
      <c r="T232" s="300"/>
      <c r="U232" s="300"/>
      <c r="V232" s="300"/>
      <c r="W232" s="300"/>
      <c r="X232" s="300"/>
      <c r="Y232" s="300"/>
      <c r="Z232" s="300"/>
      <c r="AA232" s="300"/>
      <c r="AB232" s="300"/>
      <c r="AC232" s="300"/>
      <c r="AD232" s="300"/>
      <c r="AE232" s="300"/>
    </row>
    <row r="233" spans="2:31" ht="14.5">
      <c r="B233" s="405">
        <f t="shared" si="6"/>
        <v>188</v>
      </c>
      <c r="C233" s="413" t="str" cm="1">
        <f t="array" aca="1" ref="C233" ca="1">IF(B233&lt;=$C$9,GetGetCDSName(B233),"")</f>
        <v/>
      </c>
      <c r="D233" s="373"/>
      <c r="E233" s="406"/>
      <c r="F233" s="325"/>
      <c r="G233" s="325"/>
      <c r="H233" s="325"/>
      <c r="I233" s="325"/>
      <c r="J233" s="325"/>
      <c r="K233" s="325"/>
      <c r="L233" s="325"/>
      <c r="M233" s="325"/>
      <c r="N233" s="407"/>
      <c r="O233" s="300"/>
      <c r="P233" s="300"/>
      <c r="Q233" s="300"/>
      <c r="R233" s="300"/>
      <c r="S233" s="300"/>
      <c r="T233" s="300"/>
      <c r="U233" s="300"/>
      <c r="V233" s="300"/>
      <c r="W233" s="300"/>
      <c r="X233" s="300"/>
      <c r="Y233" s="300"/>
      <c r="Z233" s="300"/>
      <c r="AA233" s="300"/>
      <c r="AB233" s="300"/>
      <c r="AC233" s="300"/>
      <c r="AD233" s="300"/>
      <c r="AE233" s="300"/>
    </row>
    <row r="234" spans="2:31" ht="14.5">
      <c r="B234" s="405">
        <f t="shared" si="6"/>
        <v>189</v>
      </c>
      <c r="C234" s="413" t="str" cm="1">
        <f t="array" aca="1" ref="C234" ca="1">IF(B234&lt;=$C$9,GetGetCDSName(B234),"")</f>
        <v/>
      </c>
      <c r="D234" s="373"/>
      <c r="E234" s="406"/>
      <c r="F234" s="325"/>
      <c r="G234" s="325"/>
      <c r="H234" s="325"/>
      <c r="I234" s="325"/>
      <c r="J234" s="325"/>
      <c r="K234" s="325"/>
      <c r="L234" s="325"/>
      <c r="M234" s="325"/>
      <c r="N234" s="407"/>
      <c r="O234" s="300"/>
      <c r="P234" s="300"/>
      <c r="Q234" s="300"/>
      <c r="R234" s="300"/>
      <c r="S234" s="300"/>
      <c r="T234" s="300"/>
      <c r="U234" s="300"/>
      <c r="V234" s="300"/>
      <c r="W234" s="300"/>
      <c r="X234" s="300"/>
      <c r="Y234" s="300"/>
      <c r="Z234" s="300"/>
      <c r="AA234" s="300"/>
      <c r="AB234" s="300"/>
      <c r="AC234" s="300"/>
      <c r="AD234" s="300"/>
      <c r="AE234" s="300"/>
    </row>
    <row r="235" spans="2:31" ht="14.5">
      <c r="B235" s="405">
        <f t="shared" si="6"/>
        <v>190</v>
      </c>
      <c r="C235" s="413" t="str" cm="1">
        <f t="array" aca="1" ref="C235" ca="1">IF(B235&lt;=$C$9,GetGetCDSName(B235),"")</f>
        <v/>
      </c>
      <c r="D235" s="373"/>
      <c r="E235" s="406"/>
      <c r="F235" s="325"/>
      <c r="G235" s="325"/>
      <c r="H235" s="325"/>
      <c r="I235" s="325"/>
      <c r="J235" s="325"/>
      <c r="K235" s="325"/>
      <c r="L235" s="325"/>
      <c r="M235" s="325"/>
      <c r="N235" s="407"/>
      <c r="O235" s="300"/>
      <c r="P235" s="300"/>
      <c r="Q235" s="300"/>
      <c r="R235" s="300"/>
      <c r="S235" s="300"/>
      <c r="T235" s="300"/>
      <c r="U235" s="300"/>
      <c r="V235" s="300"/>
      <c r="W235" s="300"/>
      <c r="X235" s="300"/>
      <c r="Y235" s="300"/>
      <c r="Z235" s="300"/>
      <c r="AA235" s="300"/>
      <c r="AB235" s="300"/>
      <c r="AC235" s="300"/>
      <c r="AD235" s="300"/>
      <c r="AE235" s="300"/>
    </row>
    <row r="236" spans="2:31" ht="14.5">
      <c r="B236" s="405">
        <f t="shared" si="6"/>
        <v>191</v>
      </c>
      <c r="C236" s="413" t="str" cm="1">
        <f t="array" aca="1" ref="C236" ca="1">IF(B236&lt;=$C$9,GetGetCDSName(B236),"")</f>
        <v/>
      </c>
      <c r="D236" s="373"/>
      <c r="E236" s="406"/>
      <c r="F236" s="325"/>
      <c r="G236" s="325"/>
      <c r="H236" s="325"/>
      <c r="I236" s="325"/>
      <c r="J236" s="325"/>
      <c r="K236" s="325"/>
      <c r="L236" s="325"/>
      <c r="M236" s="325"/>
      <c r="N236" s="407"/>
      <c r="O236" s="300"/>
      <c r="P236" s="300"/>
      <c r="Q236" s="300"/>
      <c r="R236" s="300"/>
      <c r="S236" s="300"/>
      <c r="T236" s="300"/>
      <c r="U236" s="300"/>
      <c r="V236" s="300"/>
      <c r="W236" s="300"/>
      <c r="X236" s="300"/>
      <c r="Y236" s="300"/>
      <c r="Z236" s="300"/>
      <c r="AA236" s="300"/>
      <c r="AB236" s="300"/>
      <c r="AC236" s="300"/>
      <c r="AD236" s="300"/>
      <c r="AE236" s="300"/>
    </row>
    <row r="237" spans="2:31" ht="14.5">
      <c r="B237" s="405">
        <f t="shared" si="6"/>
        <v>192</v>
      </c>
      <c r="C237" s="413" t="str" cm="1">
        <f t="array" aca="1" ref="C237" ca="1">IF(B237&lt;=$C$9,GetGetCDSName(B237),"")</f>
        <v/>
      </c>
      <c r="D237" s="373"/>
      <c r="E237" s="406"/>
      <c r="F237" s="325"/>
      <c r="G237" s="325"/>
      <c r="H237" s="325"/>
      <c r="I237" s="325"/>
      <c r="J237" s="325"/>
      <c r="K237" s="325"/>
      <c r="L237" s="325"/>
      <c r="M237" s="325"/>
      <c r="N237" s="407"/>
      <c r="O237" s="300"/>
      <c r="P237" s="300"/>
      <c r="Q237" s="300"/>
      <c r="R237" s="300"/>
      <c r="S237" s="300"/>
      <c r="T237" s="300"/>
      <c r="U237" s="300"/>
      <c r="V237" s="300"/>
      <c r="W237" s="300"/>
      <c r="X237" s="300"/>
      <c r="Y237" s="300"/>
      <c r="Z237" s="300"/>
      <c r="AA237" s="300"/>
      <c r="AB237" s="300"/>
      <c r="AC237" s="300"/>
      <c r="AD237" s="300"/>
      <c r="AE237" s="300"/>
    </row>
    <row r="238" spans="2:31" ht="14.5">
      <c r="B238" s="405">
        <f t="shared" si="6"/>
        <v>193</v>
      </c>
      <c r="C238" s="413" t="str" cm="1">
        <f t="array" aca="1" ref="C238" ca="1">IF(B238&lt;=$C$9,GetGetCDSName(B238),"")</f>
        <v/>
      </c>
      <c r="D238" s="373"/>
      <c r="E238" s="406"/>
      <c r="F238" s="325"/>
      <c r="G238" s="325"/>
      <c r="H238" s="325"/>
      <c r="I238" s="325"/>
      <c r="J238" s="325"/>
      <c r="K238" s="325"/>
      <c r="L238" s="325"/>
      <c r="M238" s="325"/>
      <c r="N238" s="407"/>
      <c r="O238" s="300"/>
      <c r="P238" s="300"/>
      <c r="Q238" s="300"/>
      <c r="R238" s="300"/>
      <c r="S238" s="300"/>
      <c r="T238" s="300"/>
      <c r="U238" s="300"/>
      <c r="V238" s="300"/>
      <c r="W238" s="300"/>
      <c r="X238" s="300"/>
      <c r="Y238" s="300"/>
      <c r="Z238" s="300"/>
      <c r="AA238" s="300"/>
      <c r="AB238" s="300"/>
      <c r="AC238" s="300"/>
      <c r="AD238" s="300"/>
      <c r="AE238" s="300"/>
    </row>
    <row r="239" spans="2:31" ht="14.5">
      <c r="B239" s="405">
        <f t="shared" ref="B239:B302" si="7">B238+1</f>
        <v>194</v>
      </c>
      <c r="C239" s="413" t="str" cm="1">
        <f t="array" aca="1" ref="C239" ca="1">IF(B239&lt;=$C$9,GetGetCDSName(B239),"")</f>
        <v/>
      </c>
      <c r="D239" s="373"/>
      <c r="E239" s="406"/>
      <c r="F239" s="325"/>
      <c r="G239" s="325"/>
      <c r="H239" s="325"/>
      <c r="I239" s="325"/>
      <c r="J239" s="325"/>
      <c r="K239" s="325"/>
      <c r="L239" s="325"/>
      <c r="M239" s="325"/>
      <c r="N239" s="407"/>
      <c r="O239" s="300"/>
      <c r="P239" s="300"/>
      <c r="Q239" s="300"/>
      <c r="R239" s="300"/>
      <c r="S239" s="300"/>
      <c r="T239" s="300"/>
      <c r="U239" s="300"/>
      <c r="V239" s="300"/>
      <c r="W239" s="300"/>
      <c r="X239" s="300"/>
      <c r="Y239" s="300"/>
      <c r="Z239" s="300"/>
      <c r="AA239" s="300"/>
      <c r="AB239" s="300"/>
      <c r="AC239" s="300"/>
      <c r="AD239" s="300"/>
      <c r="AE239" s="300"/>
    </row>
    <row r="240" spans="2:31" ht="14.5">
      <c r="B240" s="405">
        <f t="shared" si="7"/>
        <v>195</v>
      </c>
      <c r="C240" s="413" t="str" cm="1">
        <f t="array" aca="1" ref="C240" ca="1">IF(B240&lt;=$C$9,GetGetCDSName(B240),"")</f>
        <v/>
      </c>
      <c r="D240" s="373"/>
      <c r="E240" s="406"/>
      <c r="F240" s="325"/>
      <c r="G240" s="325"/>
      <c r="H240" s="325"/>
      <c r="I240" s="325"/>
      <c r="J240" s="325"/>
      <c r="K240" s="325"/>
      <c r="L240" s="325"/>
      <c r="M240" s="325"/>
      <c r="N240" s="407"/>
      <c r="O240" s="300"/>
      <c r="P240" s="300"/>
      <c r="Q240" s="300"/>
      <c r="R240" s="300"/>
      <c r="S240" s="300"/>
      <c r="T240" s="300"/>
      <c r="U240" s="300"/>
      <c r="V240" s="300"/>
      <c r="W240" s="300"/>
      <c r="X240" s="300"/>
      <c r="Y240" s="300"/>
      <c r="Z240" s="300"/>
      <c r="AA240" s="300"/>
      <c r="AB240" s="300"/>
      <c r="AC240" s="300"/>
      <c r="AD240" s="300"/>
      <c r="AE240" s="300"/>
    </row>
    <row r="241" spans="2:31" ht="14.5">
      <c r="B241" s="405">
        <f t="shared" si="7"/>
        <v>196</v>
      </c>
      <c r="C241" s="413" t="str" cm="1">
        <f t="array" aca="1" ref="C241" ca="1">IF(B241&lt;=$C$9,GetGetCDSName(B241),"")</f>
        <v/>
      </c>
      <c r="D241" s="373"/>
      <c r="E241" s="406"/>
      <c r="F241" s="325"/>
      <c r="G241" s="325"/>
      <c r="H241" s="325"/>
      <c r="I241" s="325"/>
      <c r="J241" s="325"/>
      <c r="K241" s="325"/>
      <c r="L241" s="325"/>
      <c r="M241" s="325"/>
      <c r="N241" s="407"/>
      <c r="O241" s="300"/>
      <c r="P241" s="300"/>
      <c r="Q241" s="300"/>
      <c r="R241" s="300"/>
      <c r="S241" s="300"/>
      <c r="T241" s="300"/>
      <c r="U241" s="300"/>
      <c r="V241" s="300"/>
      <c r="W241" s="300"/>
      <c r="X241" s="300"/>
      <c r="Y241" s="300"/>
      <c r="Z241" s="300"/>
      <c r="AA241" s="300"/>
      <c r="AB241" s="300"/>
      <c r="AC241" s="300"/>
      <c r="AD241" s="300"/>
      <c r="AE241" s="300"/>
    </row>
    <row r="242" spans="2:31" ht="14.5">
      <c r="B242" s="405">
        <f t="shared" si="7"/>
        <v>197</v>
      </c>
      <c r="C242" s="413" t="str" cm="1">
        <f t="array" aca="1" ref="C242" ca="1">IF(B242&lt;=$C$9,GetGetCDSName(B242),"")</f>
        <v/>
      </c>
      <c r="D242" s="373"/>
      <c r="E242" s="406"/>
      <c r="F242" s="325"/>
      <c r="G242" s="325"/>
      <c r="H242" s="325"/>
      <c r="I242" s="325"/>
      <c r="J242" s="325"/>
      <c r="K242" s="325"/>
      <c r="L242" s="325"/>
      <c r="M242" s="325"/>
      <c r="N242" s="407"/>
      <c r="O242" s="300"/>
      <c r="P242" s="300"/>
      <c r="Q242" s="300"/>
      <c r="R242" s="300"/>
      <c r="S242" s="300"/>
      <c r="T242" s="300"/>
      <c r="U242" s="300"/>
      <c r="V242" s="300"/>
      <c r="W242" s="300"/>
      <c r="X242" s="300"/>
      <c r="Y242" s="300"/>
      <c r="Z242" s="300"/>
      <c r="AA242" s="300"/>
      <c r="AB242" s="300"/>
      <c r="AC242" s="300"/>
      <c r="AD242" s="300"/>
      <c r="AE242" s="300"/>
    </row>
    <row r="243" spans="2:31" ht="14.5">
      <c r="B243" s="405">
        <f t="shared" si="7"/>
        <v>198</v>
      </c>
      <c r="C243" s="413" t="str" cm="1">
        <f t="array" aca="1" ref="C243" ca="1">IF(B243&lt;=$C$9,GetGetCDSName(B243),"")</f>
        <v/>
      </c>
      <c r="D243" s="373"/>
      <c r="E243" s="406"/>
      <c r="F243" s="325"/>
      <c r="G243" s="325"/>
      <c r="H243" s="325"/>
      <c r="I243" s="325"/>
      <c r="J243" s="325"/>
      <c r="K243" s="325"/>
      <c r="L243" s="325"/>
      <c r="M243" s="325"/>
      <c r="N243" s="407"/>
      <c r="O243" s="300"/>
      <c r="P243" s="300"/>
      <c r="Q243" s="300"/>
      <c r="R243" s="300"/>
      <c r="S243" s="300"/>
      <c r="T243" s="300"/>
      <c r="U243" s="300"/>
      <c r="V243" s="300"/>
      <c r="W243" s="300"/>
      <c r="X243" s="300"/>
      <c r="Y243" s="300"/>
      <c r="Z243" s="300"/>
      <c r="AA243" s="300"/>
      <c r="AB243" s="300"/>
      <c r="AC243" s="300"/>
      <c r="AD243" s="300"/>
      <c r="AE243" s="300"/>
    </row>
    <row r="244" spans="2:31" ht="14.5">
      <c r="B244" s="405">
        <f t="shared" si="7"/>
        <v>199</v>
      </c>
      <c r="C244" s="413" t="str" cm="1">
        <f t="array" aca="1" ref="C244" ca="1">IF(B244&lt;=$C$9,GetGetCDSName(B244),"")</f>
        <v/>
      </c>
      <c r="D244" s="373"/>
      <c r="E244" s="406"/>
      <c r="F244" s="325"/>
      <c r="G244" s="325"/>
      <c r="H244" s="325"/>
      <c r="I244" s="325"/>
      <c r="J244" s="325"/>
      <c r="K244" s="325"/>
      <c r="L244" s="325"/>
      <c r="M244" s="325"/>
      <c r="N244" s="407"/>
      <c r="O244" s="300"/>
      <c r="P244" s="300"/>
      <c r="Q244" s="300"/>
      <c r="R244" s="300"/>
      <c r="S244" s="300"/>
      <c r="T244" s="300"/>
      <c r="U244" s="300"/>
      <c r="V244" s="300"/>
      <c r="W244" s="300"/>
      <c r="X244" s="300"/>
      <c r="Y244" s="300"/>
      <c r="Z244" s="300"/>
      <c r="AA244" s="300"/>
      <c r="AB244" s="300"/>
      <c r="AC244" s="300"/>
      <c r="AD244" s="300"/>
      <c r="AE244" s="300"/>
    </row>
    <row r="245" spans="2:31" ht="14.5">
      <c r="B245" s="405">
        <f t="shared" si="7"/>
        <v>200</v>
      </c>
      <c r="C245" s="413" t="str" cm="1">
        <f t="array" aca="1" ref="C245" ca="1">IF(B245&lt;=$C$9,GetGetCDSName(B245),"")</f>
        <v/>
      </c>
      <c r="D245" s="373"/>
      <c r="E245" s="406"/>
      <c r="F245" s="325"/>
      <c r="G245" s="325"/>
      <c r="H245" s="325"/>
      <c r="I245" s="325"/>
      <c r="J245" s="325"/>
      <c r="K245" s="325"/>
      <c r="L245" s="325"/>
      <c r="M245" s="325"/>
      <c r="N245" s="407"/>
      <c r="O245" s="300"/>
      <c r="P245" s="300"/>
      <c r="Q245" s="300"/>
      <c r="R245" s="300"/>
      <c r="S245" s="300"/>
      <c r="T245" s="300"/>
      <c r="U245" s="300"/>
      <c r="V245" s="300"/>
      <c r="W245" s="300"/>
      <c r="X245" s="300"/>
      <c r="Y245" s="300"/>
      <c r="Z245" s="300"/>
      <c r="AA245" s="300"/>
      <c r="AB245" s="300"/>
      <c r="AC245" s="300"/>
      <c r="AD245" s="300"/>
      <c r="AE245" s="300"/>
    </row>
    <row r="246" spans="2:31" ht="14.5">
      <c r="B246" s="405">
        <f t="shared" si="7"/>
        <v>201</v>
      </c>
      <c r="C246" s="413" t="str" cm="1">
        <f t="array" aca="1" ref="C246" ca="1">IF(B246&lt;=$C$9,GetGetCDSName(B246),"")</f>
        <v/>
      </c>
      <c r="D246" s="373"/>
      <c r="E246" s="406"/>
      <c r="F246" s="325"/>
      <c r="G246" s="325"/>
      <c r="H246" s="325"/>
      <c r="I246" s="325"/>
      <c r="J246" s="325"/>
      <c r="K246" s="325"/>
      <c r="L246" s="325"/>
      <c r="M246" s="325"/>
      <c r="N246" s="407"/>
      <c r="O246" s="300"/>
      <c r="P246" s="300"/>
      <c r="Q246" s="300"/>
      <c r="R246" s="300"/>
      <c r="S246" s="300"/>
      <c r="T246" s="300"/>
      <c r="U246" s="300"/>
      <c r="V246" s="300"/>
      <c r="W246" s="300"/>
      <c r="X246" s="300"/>
      <c r="Y246" s="300"/>
      <c r="Z246" s="300"/>
      <c r="AA246" s="300"/>
      <c r="AB246" s="300"/>
      <c r="AC246" s="300"/>
      <c r="AD246" s="300"/>
      <c r="AE246" s="300"/>
    </row>
    <row r="247" spans="2:31" ht="14.5">
      <c r="B247" s="405">
        <f t="shared" si="7"/>
        <v>202</v>
      </c>
      <c r="C247" s="413" t="str" cm="1">
        <f t="array" aca="1" ref="C247" ca="1">IF(B247&lt;=$C$9,GetGetCDSName(B247),"")</f>
        <v/>
      </c>
      <c r="D247" s="373"/>
      <c r="E247" s="406"/>
      <c r="F247" s="325"/>
      <c r="G247" s="325"/>
      <c r="H247" s="325"/>
      <c r="I247" s="325"/>
      <c r="J247" s="325"/>
      <c r="K247" s="325"/>
      <c r="L247" s="325"/>
      <c r="M247" s="325"/>
      <c r="N247" s="407"/>
      <c r="O247" s="300"/>
      <c r="P247" s="300"/>
      <c r="Q247" s="300"/>
      <c r="R247" s="300"/>
      <c r="S247" s="300"/>
      <c r="T247" s="300"/>
      <c r="U247" s="300"/>
      <c r="V247" s="300"/>
      <c r="W247" s="300"/>
      <c r="X247" s="300"/>
      <c r="Y247" s="300"/>
      <c r="Z247" s="300"/>
      <c r="AA247" s="300"/>
      <c r="AB247" s="300"/>
      <c r="AC247" s="300"/>
      <c r="AD247" s="300"/>
      <c r="AE247" s="300"/>
    </row>
    <row r="248" spans="2:31" ht="14.5">
      <c r="B248" s="405">
        <f t="shared" si="7"/>
        <v>203</v>
      </c>
      <c r="C248" s="413" t="str" cm="1">
        <f t="array" aca="1" ref="C248" ca="1">IF(B248&lt;=$C$9,GetGetCDSName(B248),"")</f>
        <v/>
      </c>
      <c r="D248" s="373"/>
      <c r="E248" s="406"/>
      <c r="F248" s="325"/>
      <c r="G248" s="325"/>
      <c r="H248" s="325"/>
      <c r="I248" s="325"/>
      <c r="J248" s="325"/>
      <c r="K248" s="325"/>
      <c r="L248" s="325"/>
      <c r="M248" s="325"/>
      <c r="N248" s="407"/>
      <c r="O248" s="300"/>
      <c r="P248" s="300"/>
      <c r="Q248" s="300"/>
      <c r="R248" s="300"/>
      <c r="S248" s="300"/>
      <c r="T248" s="300"/>
      <c r="U248" s="300"/>
      <c r="V248" s="300"/>
      <c r="W248" s="300"/>
      <c r="X248" s="300"/>
      <c r="Y248" s="300"/>
      <c r="Z248" s="300"/>
      <c r="AA248" s="300"/>
      <c r="AB248" s="300"/>
      <c r="AC248" s="300"/>
      <c r="AD248" s="300"/>
      <c r="AE248" s="300"/>
    </row>
    <row r="249" spans="2:31" ht="14.5">
      <c r="B249" s="405">
        <f t="shared" si="7"/>
        <v>204</v>
      </c>
      <c r="C249" s="413" t="str" cm="1">
        <f t="array" aca="1" ref="C249" ca="1">IF(B249&lt;=$C$9,GetGetCDSName(B249),"")</f>
        <v/>
      </c>
      <c r="D249" s="373"/>
      <c r="E249" s="406"/>
      <c r="F249" s="325"/>
      <c r="G249" s="325"/>
      <c r="H249" s="325"/>
      <c r="I249" s="325"/>
      <c r="J249" s="325"/>
      <c r="K249" s="325"/>
      <c r="L249" s="325"/>
      <c r="M249" s="325"/>
      <c r="N249" s="407"/>
      <c r="O249" s="300"/>
      <c r="P249" s="300"/>
      <c r="Q249" s="300"/>
      <c r="R249" s="300"/>
      <c r="S249" s="300"/>
      <c r="T249" s="300"/>
      <c r="U249" s="300"/>
      <c r="V249" s="300"/>
      <c r="W249" s="300"/>
      <c r="X249" s="300"/>
      <c r="Y249" s="300"/>
      <c r="Z249" s="300"/>
      <c r="AA249" s="300"/>
      <c r="AB249" s="300"/>
      <c r="AC249" s="300"/>
      <c r="AD249" s="300"/>
      <c r="AE249" s="300"/>
    </row>
    <row r="250" spans="2:31" ht="14.5">
      <c r="B250" s="405">
        <f t="shared" si="7"/>
        <v>205</v>
      </c>
      <c r="C250" s="413" t="str" cm="1">
        <f t="array" aca="1" ref="C250" ca="1">IF(B250&lt;=$C$9,GetGetCDSName(B250),"")</f>
        <v/>
      </c>
      <c r="D250" s="373"/>
      <c r="E250" s="406"/>
      <c r="F250" s="325"/>
      <c r="G250" s="325"/>
      <c r="H250" s="325"/>
      <c r="I250" s="325"/>
      <c r="J250" s="325"/>
      <c r="K250" s="325"/>
      <c r="L250" s="325"/>
      <c r="M250" s="325"/>
      <c r="N250" s="407"/>
      <c r="O250" s="300"/>
      <c r="P250" s="300"/>
      <c r="Q250" s="300"/>
      <c r="R250" s="300"/>
      <c r="S250" s="300"/>
      <c r="T250" s="300"/>
      <c r="U250" s="300"/>
      <c r="V250" s="300"/>
      <c r="W250" s="300"/>
      <c r="X250" s="300"/>
      <c r="Y250" s="300"/>
      <c r="Z250" s="300"/>
      <c r="AA250" s="300"/>
      <c r="AB250" s="300"/>
      <c r="AC250" s="300"/>
      <c r="AD250" s="300"/>
      <c r="AE250" s="300"/>
    </row>
    <row r="251" spans="2:31" ht="14.5">
      <c r="B251" s="405">
        <f t="shared" si="7"/>
        <v>206</v>
      </c>
      <c r="C251" s="413" t="str" cm="1">
        <f t="array" aca="1" ref="C251" ca="1">IF(B251&lt;=$C$9,GetGetCDSName(B251),"")</f>
        <v/>
      </c>
      <c r="D251" s="373"/>
      <c r="E251" s="406"/>
      <c r="F251" s="325"/>
      <c r="G251" s="325"/>
      <c r="H251" s="325"/>
      <c r="I251" s="325"/>
      <c r="J251" s="325"/>
      <c r="K251" s="325"/>
      <c r="L251" s="325"/>
      <c r="M251" s="325"/>
      <c r="N251" s="407"/>
      <c r="O251" s="300"/>
      <c r="P251" s="300"/>
      <c r="Q251" s="300"/>
      <c r="R251" s="300"/>
      <c r="S251" s="300"/>
      <c r="T251" s="300"/>
      <c r="U251" s="300"/>
      <c r="V251" s="300"/>
      <c r="W251" s="300"/>
      <c r="X251" s="300"/>
      <c r="Y251" s="300"/>
      <c r="Z251" s="300"/>
      <c r="AA251" s="300"/>
      <c r="AB251" s="300"/>
      <c r="AC251" s="300"/>
      <c r="AD251" s="300"/>
      <c r="AE251" s="300"/>
    </row>
    <row r="252" spans="2:31" ht="14.5">
      <c r="B252" s="405">
        <f t="shared" si="7"/>
        <v>207</v>
      </c>
      <c r="C252" s="413" t="str" cm="1">
        <f t="array" aca="1" ref="C252" ca="1">IF(B252&lt;=$C$9,GetGetCDSName(B252),"")</f>
        <v/>
      </c>
      <c r="D252" s="373"/>
      <c r="E252" s="406"/>
      <c r="F252" s="325"/>
      <c r="G252" s="325"/>
      <c r="H252" s="325"/>
      <c r="I252" s="325"/>
      <c r="J252" s="325"/>
      <c r="K252" s="325"/>
      <c r="L252" s="325"/>
      <c r="M252" s="325"/>
      <c r="N252" s="407"/>
      <c r="O252" s="300"/>
      <c r="P252" s="300"/>
      <c r="Q252" s="300"/>
      <c r="R252" s="300"/>
      <c r="S252" s="300"/>
      <c r="T252" s="300"/>
      <c r="U252" s="300"/>
      <c r="V252" s="300"/>
      <c r="W252" s="300"/>
      <c r="X252" s="300"/>
      <c r="Y252" s="300"/>
      <c r="Z252" s="300"/>
      <c r="AA252" s="300"/>
      <c r="AB252" s="300"/>
      <c r="AC252" s="300"/>
      <c r="AD252" s="300"/>
      <c r="AE252" s="300"/>
    </row>
    <row r="253" spans="2:31" ht="14.5">
      <c r="B253" s="405">
        <f t="shared" si="7"/>
        <v>208</v>
      </c>
      <c r="C253" s="413" t="str" cm="1">
        <f t="array" aca="1" ref="C253" ca="1">IF(B253&lt;=$C$9,GetGetCDSName(B253),"")</f>
        <v/>
      </c>
      <c r="D253" s="373"/>
      <c r="E253" s="406"/>
      <c r="F253" s="325"/>
      <c r="G253" s="325"/>
      <c r="H253" s="325"/>
      <c r="I253" s="325"/>
      <c r="J253" s="325"/>
      <c r="K253" s="325"/>
      <c r="L253" s="325"/>
      <c r="M253" s="325"/>
      <c r="N253" s="407"/>
      <c r="O253" s="300"/>
      <c r="P253" s="300"/>
      <c r="Q253" s="300"/>
      <c r="R253" s="300"/>
      <c r="S253" s="300"/>
      <c r="T253" s="300"/>
      <c r="U253" s="300"/>
      <c r="V253" s="300"/>
      <c r="W253" s="300"/>
      <c r="X253" s="300"/>
      <c r="Y253" s="300"/>
      <c r="Z253" s="300"/>
      <c r="AA253" s="300"/>
      <c r="AB253" s="300"/>
      <c r="AC253" s="300"/>
      <c r="AD253" s="300"/>
      <c r="AE253" s="300"/>
    </row>
    <row r="254" spans="2:31" ht="14.5">
      <c r="B254" s="405">
        <f t="shared" si="7"/>
        <v>209</v>
      </c>
      <c r="C254" s="413" t="str" cm="1">
        <f t="array" aca="1" ref="C254" ca="1">IF(B254&lt;=$C$9,GetGetCDSName(B254),"")</f>
        <v/>
      </c>
      <c r="D254" s="373"/>
      <c r="E254" s="406"/>
      <c r="F254" s="325"/>
      <c r="G254" s="325"/>
      <c r="H254" s="325"/>
      <c r="I254" s="325"/>
      <c r="J254" s="325"/>
      <c r="K254" s="325"/>
      <c r="L254" s="325"/>
      <c r="M254" s="325"/>
      <c r="N254" s="407"/>
      <c r="O254" s="300"/>
      <c r="P254" s="300"/>
      <c r="Q254" s="300"/>
      <c r="R254" s="300"/>
      <c r="S254" s="300"/>
      <c r="T254" s="300"/>
      <c r="U254" s="300"/>
      <c r="V254" s="300"/>
      <c r="W254" s="300"/>
      <c r="X254" s="300"/>
      <c r="Y254" s="300"/>
      <c r="Z254" s="300"/>
      <c r="AA254" s="300"/>
      <c r="AB254" s="300"/>
      <c r="AC254" s="300"/>
      <c r="AD254" s="300"/>
      <c r="AE254" s="300"/>
    </row>
    <row r="255" spans="2:31" ht="14.5">
      <c r="B255" s="405">
        <f t="shared" si="7"/>
        <v>210</v>
      </c>
      <c r="C255" s="413" t="str" cm="1">
        <f t="array" aca="1" ref="C255" ca="1">IF(B255&lt;=$C$9,GetGetCDSName(B255),"")</f>
        <v/>
      </c>
      <c r="D255" s="373"/>
      <c r="E255" s="406"/>
      <c r="F255" s="325"/>
      <c r="G255" s="325"/>
      <c r="H255" s="325"/>
      <c r="I255" s="325"/>
      <c r="J255" s="325"/>
      <c r="K255" s="325"/>
      <c r="L255" s="325"/>
      <c r="M255" s="325"/>
      <c r="N255" s="407"/>
      <c r="O255" s="300"/>
      <c r="P255" s="300"/>
      <c r="Q255" s="300"/>
      <c r="R255" s="300"/>
      <c r="S255" s="300"/>
      <c r="T255" s="300"/>
      <c r="U255" s="300"/>
      <c r="V255" s="300"/>
      <c r="W255" s="300"/>
      <c r="X255" s="300"/>
      <c r="Y255" s="300"/>
      <c r="Z255" s="300"/>
      <c r="AA255" s="300"/>
      <c r="AB255" s="300"/>
      <c r="AC255" s="300"/>
      <c r="AD255" s="300"/>
      <c r="AE255" s="300"/>
    </row>
    <row r="256" spans="2:31" ht="14.5">
      <c r="B256" s="405">
        <f t="shared" si="7"/>
        <v>211</v>
      </c>
      <c r="C256" s="413" t="str" cm="1">
        <f t="array" aca="1" ref="C256" ca="1">IF(B256&lt;=$C$9,GetGetCDSName(B256),"")</f>
        <v/>
      </c>
      <c r="D256" s="373"/>
      <c r="E256" s="406"/>
      <c r="F256" s="325"/>
      <c r="G256" s="325"/>
      <c r="H256" s="325"/>
      <c r="I256" s="325"/>
      <c r="J256" s="325"/>
      <c r="K256" s="325"/>
      <c r="L256" s="325"/>
      <c r="M256" s="325"/>
      <c r="N256" s="407"/>
      <c r="O256" s="300"/>
      <c r="P256" s="300"/>
      <c r="Q256" s="300"/>
      <c r="R256" s="300"/>
      <c r="S256" s="300"/>
      <c r="T256" s="300"/>
      <c r="U256" s="300"/>
      <c r="V256" s="300"/>
      <c r="W256" s="300"/>
      <c r="X256" s="300"/>
      <c r="Y256" s="300"/>
      <c r="Z256" s="300"/>
      <c r="AA256" s="300"/>
      <c r="AB256" s="300"/>
      <c r="AC256" s="300"/>
      <c r="AD256" s="300"/>
      <c r="AE256" s="300"/>
    </row>
    <row r="257" spans="2:31" ht="14.5">
      <c r="B257" s="405">
        <f t="shared" si="7"/>
        <v>212</v>
      </c>
      <c r="C257" s="413" t="str" cm="1">
        <f t="array" aca="1" ref="C257" ca="1">IF(B257&lt;=$C$9,GetGetCDSName(B257),"")</f>
        <v/>
      </c>
      <c r="D257" s="373"/>
      <c r="E257" s="406"/>
      <c r="F257" s="325"/>
      <c r="G257" s="325"/>
      <c r="H257" s="325"/>
      <c r="I257" s="325"/>
      <c r="J257" s="325"/>
      <c r="K257" s="325"/>
      <c r="L257" s="325"/>
      <c r="M257" s="325"/>
      <c r="N257" s="407"/>
      <c r="O257" s="300"/>
      <c r="P257" s="300"/>
      <c r="Q257" s="300"/>
      <c r="R257" s="300"/>
      <c r="S257" s="300"/>
      <c r="T257" s="300"/>
      <c r="U257" s="300"/>
      <c r="V257" s="300"/>
      <c r="W257" s="300"/>
      <c r="X257" s="300"/>
      <c r="Y257" s="300"/>
      <c r="Z257" s="300"/>
      <c r="AA257" s="300"/>
      <c r="AB257" s="300"/>
      <c r="AC257" s="300"/>
      <c r="AD257" s="300"/>
      <c r="AE257" s="300"/>
    </row>
    <row r="258" spans="2:31" ht="14.5">
      <c r="B258" s="405">
        <f t="shared" si="7"/>
        <v>213</v>
      </c>
      <c r="C258" s="413" t="str" cm="1">
        <f t="array" aca="1" ref="C258" ca="1">IF(B258&lt;=$C$9,GetGetCDSName(B258),"")</f>
        <v/>
      </c>
      <c r="D258" s="373"/>
      <c r="E258" s="406"/>
      <c r="F258" s="325"/>
      <c r="G258" s="325"/>
      <c r="H258" s="325"/>
      <c r="I258" s="325"/>
      <c r="J258" s="325"/>
      <c r="K258" s="325"/>
      <c r="L258" s="325"/>
      <c r="M258" s="325"/>
      <c r="N258" s="407"/>
      <c r="O258" s="300"/>
      <c r="P258" s="300"/>
      <c r="Q258" s="300"/>
      <c r="R258" s="300"/>
      <c r="S258" s="300"/>
      <c r="T258" s="300"/>
      <c r="U258" s="300"/>
      <c r="V258" s="300"/>
      <c r="W258" s="300"/>
      <c r="X258" s="300"/>
      <c r="Y258" s="300"/>
      <c r="Z258" s="300"/>
      <c r="AA258" s="300"/>
      <c r="AB258" s="300"/>
      <c r="AC258" s="300"/>
      <c r="AD258" s="300"/>
      <c r="AE258" s="300"/>
    </row>
    <row r="259" spans="2:31" ht="14.5">
      <c r="B259" s="405">
        <f t="shared" si="7"/>
        <v>214</v>
      </c>
      <c r="C259" s="413" t="str" cm="1">
        <f t="array" aca="1" ref="C259" ca="1">IF(B259&lt;=$C$9,GetGetCDSName(B259),"")</f>
        <v/>
      </c>
      <c r="D259" s="373"/>
      <c r="E259" s="406"/>
      <c r="F259" s="325"/>
      <c r="G259" s="325"/>
      <c r="H259" s="325"/>
      <c r="I259" s="325"/>
      <c r="J259" s="325"/>
      <c r="K259" s="325"/>
      <c r="L259" s="325"/>
      <c r="M259" s="325"/>
      <c r="N259" s="407"/>
      <c r="O259" s="300"/>
      <c r="P259" s="300"/>
      <c r="Q259" s="300"/>
      <c r="R259" s="300"/>
      <c r="S259" s="300"/>
      <c r="T259" s="300"/>
      <c r="U259" s="300"/>
      <c r="V259" s="300"/>
      <c r="W259" s="300"/>
      <c r="X259" s="300"/>
      <c r="Y259" s="300"/>
      <c r="Z259" s="300"/>
      <c r="AA259" s="300"/>
      <c r="AB259" s="300"/>
      <c r="AC259" s="300"/>
      <c r="AD259" s="300"/>
      <c r="AE259" s="300"/>
    </row>
    <row r="260" spans="2:31" ht="14.5">
      <c r="B260" s="405">
        <f t="shared" si="7"/>
        <v>215</v>
      </c>
      <c r="C260" s="413" t="str" cm="1">
        <f t="array" aca="1" ref="C260" ca="1">IF(B260&lt;=$C$9,GetGetCDSName(B260),"")</f>
        <v/>
      </c>
      <c r="D260" s="373"/>
      <c r="E260" s="406"/>
      <c r="F260" s="325"/>
      <c r="G260" s="325"/>
      <c r="H260" s="325"/>
      <c r="I260" s="325"/>
      <c r="J260" s="325"/>
      <c r="K260" s="325"/>
      <c r="L260" s="325"/>
      <c r="M260" s="325"/>
      <c r="N260" s="407"/>
      <c r="O260" s="300"/>
      <c r="P260" s="300"/>
      <c r="Q260" s="300"/>
      <c r="R260" s="300"/>
      <c r="S260" s="300"/>
      <c r="T260" s="300"/>
      <c r="U260" s="300"/>
      <c r="V260" s="300"/>
      <c r="W260" s="300"/>
      <c r="X260" s="300"/>
      <c r="Y260" s="300"/>
      <c r="Z260" s="300"/>
      <c r="AA260" s="300"/>
      <c r="AB260" s="300"/>
      <c r="AC260" s="300"/>
      <c r="AD260" s="300"/>
      <c r="AE260" s="300"/>
    </row>
    <row r="261" spans="2:31" ht="14.5">
      <c r="B261" s="405">
        <f t="shared" si="7"/>
        <v>216</v>
      </c>
      <c r="C261" s="413" t="str" cm="1">
        <f t="array" aca="1" ref="C261" ca="1">IF(B261&lt;=$C$9,GetGetCDSName(B261),"")</f>
        <v/>
      </c>
      <c r="D261" s="373"/>
      <c r="E261" s="406"/>
      <c r="F261" s="325"/>
      <c r="G261" s="325"/>
      <c r="H261" s="325"/>
      <c r="I261" s="325"/>
      <c r="J261" s="325"/>
      <c r="K261" s="325"/>
      <c r="L261" s="325"/>
      <c r="M261" s="325"/>
      <c r="N261" s="407"/>
      <c r="O261" s="300"/>
      <c r="P261" s="300"/>
      <c r="Q261" s="300"/>
      <c r="R261" s="300"/>
      <c r="S261" s="300"/>
      <c r="T261" s="300"/>
      <c r="U261" s="300"/>
      <c r="V261" s="300"/>
      <c r="W261" s="300"/>
      <c r="X261" s="300"/>
      <c r="Y261" s="300"/>
      <c r="Z261" s="300"/>
      <c r="AA261" s="300"/>
      <c r="AB261" s="300"/>
      <c r="AC261" s="300"/>
      <c r="AD261" s="300"/>
      <c r="AE261" s="300"/>
    </row>
    <row r="262" spans="2:31" ht="14.5">
      <c r="B262" s="405">
        <f t="shared" si="7"/>
        <v>217</v>
      </c>
      <c r="C262" s="413" t="str" cm="1">
        <f t="array" aca="1" ref="C262" ca="1">IF(B262&lt;=$C$9,GetGetCDSName(B262),"")</f>
        <v/>
      </c>
      <c r="D262" s="373"/>
      <c r="E262" s="406"/>
      <c r="F262" s="325"/>
      <c r="G262" s="325"/>
      <c r="H262" s="325"/>
      <c r="I262" s="325"/>
      <c r="J262" s="325"/>
      <c r="K262" s="325"/>
      <c r="L262" s="325"/>
      <c r="M262" s="325"/>
      <c r="N262" s="407"/>
      <c r="O262" s="300"/>
      <c r="P262" s="300"/>
      <c r="Q262" s="300"/>
      <c r="R262" s="300"/>
      <c r="S262" s="300"/>
      <c r="T262" s="300"/>
      <c r="U262" s="300"/>
      <c r="V262" s="300"/>
      <c r="W262" s="300"/>
      <c r="X262" s="300"/>
      <c r="Y262" s="300"/>
      <c r="Z262" s="300"/>
      <c r="AA262" s="300"/>
      <c r="AB262" s="300"/>
      <c r="AC262" s="300"/>
      <c r="AD262" s="300"/>
      <c r="AE262" s="300"/>
    </row>
    <row r="263" spans="2:31" ht="14.5">
      <c r="B263" s="405">
        <f t="shared" si="7"/>
        <v>218</v>
      </c>
      <c r="C263" s="413" t="str" cm="1">
        <f t="array" aca="1" ref="C263" ca="1">IF(B263&lt;=$C$9,GetGetCDSName(B263),"")</f>
        <v/>
      </c>
      <c r="D263" s="373"/>
      <c r="E263" s="406"/>
      <c r="F263" s="325"/>
      <c r="G263" s="325"/>
      <c r="H263" s="325"/>
      <c r="I263" s="325"/>
      <c r="J263" s="325"/>
      <c r="K263" s="325"/>
      <c r="L263" s="325"/>
      <c r="M263" s="325"/>
      <c r="N263" s="407"/>
      <c r="O263" s="300"/>
      <c r="P263" s="300"/>
      <c r="Q263" s="300"/>
      <c r="R263" s="300"/>
      <c r="S263" s="300"/>
      <c r="T263" s="300"/>
      <c r="U263" s="300"/>
      <c r="V263" s="300"/>
      <c r="W263" s="300"/>
      <c r="X263" s="300"/>
      <c r="Y263" s="300"/>
      <c r="Z263" s="300"/>
      <c r="AA263" s="300"/>
      <c r="AB263" s="300"/>
      <c r="AC263" s="300"/>
      <c r="AD263" s="300"/>
      <c r="AE263" s="300"/>
    </row>
    <row r="264" spans="2:31" ht="14.5">
      <c r="B264" s="405">
        <f t="shared" si="7"/>
        <v>219</v>
      </c>
      <c r="C264" s="413" t="str" cm="1">
        <f t="array" aca="1" ref="C264" ca="1">IF(B264&lt;=$C$9,GetGetCDSName(B264),"")</f>
        <v/>
      </c>
      <c r="D264" s="373"/>
      <c r="E264" s="406"/>
      <c r="F264" s="325"/>
      <c r="G264" s="325"/>
      <c r="H264" s="325"/>
      <c r="I264" s="325"/>
      <c r="J264" s="325"/>
      <c r="K264" s="325"/>
      <c r="L264" s="325"/>
      <c r="M264" s="325"/>
      <c r="N264" s="407"/>
      <c r="O264" s="300"/>
      <c r="P264" s="300"/>
      <c r="Q264" s="300"/>
      <c r="R264" s="300"/>
      <c r="S264" s="300"/>
      <c r="T264" s="300"/>
      <c r="U264" s="300"/>
      <c r="V264" s="300"/>
      <c r="W264" s="300"/>
      <c r="X264" s="300"/>
      <c r="Y264" s="300"/>
      <c r="Z264" s="300"/>
      <c r="AA264" s="300"/>
      <c r="AB264" s="300"/>
      <c r="AC264" s="300"/>
      <c r="AD264" s="300"/>
      <c r="AE264" s="300"/>
    </row>
    <row r="265" spans="2:31" ht="14.5">
      <c r="B265" s="405">
        <f t="shared" si="7"/>
        <v>220</v>
      </c>
      <c r="C265" s="413" t="str" cm="1">
        <f t="array" aca="1" ref="C265" ca="1">IF(B265&lt;=$C$9,GetGetCDSName(B265),"")</f>
        <v/>
      </c>
      <c r="D265" s="373"/>
      <c r="E265" s="406"/>
      <c r="F265" s="325"/>
      <c r="G265" s="325"/>
      <c r="H265" s="325"/>
      <c r="I265" s="325"/>
      <c r="J265" s="325"/>
      <c r="K265" s="325"/>
      <c r="L265" s="325"/>
      <c r="M265" s="325"/>
      <c r="N265" s="407"/>
      <c r="O265" s="300"/>
      <c r="P265" s="300"/>
      <c r="Q265" s="300"/>
      <c r="R265" s="300"/>
      <c r="S265" s="300"/>
      <c r="T265" s="300"/>
      <c r="U265" s="300"/>
      <c r="V265" s="300"/>
      <c r="W265" s="300"/>
      <c r="X265" s="300"/>
      <c r="Y265" s="300"/>
      <c r="Z265" s="300"/>
      <c r="AA265" s="300"/>
      <c r="AB265" s="300"/>
      <c r="AC265" s="300"/>
      <c r="AD265" s="300"/>
      <c r="AE265" s="300"/>
    </row>
    <row r="266" spans="2:31" ht="14.5">
      <c r="B266" s="405">
        <f t="shared" si="7"/>
        <v>221</v>
      </c>
      <c r="C266" s="413" t="str" cm="1">
        <f t="array" aca="1" ref="C266" ca="1">IF(B266&lt;=$C$9,GetGetCDSName(B266),"")</f>
        <v/>
      </c>
      <c r="D266" s="373"/>
      <c r="E266" s="406"/>
      <c r="F266" s="325"/>
      <c r="G266" s="325"/>
      <c r="H266" s="325"/>
      <c r="I266" s="325"/>
      <c r="J266" s="325"/>
      <c r="K266" s="325"/>
      <c r="L266" s="325"/>
      <c r="M266" s="325"/>
      <c r="N266" s="407"/>
      <c r="O266" s="300"/>
      <c r="P266" s="300"/>
      <c r="Q266" s="300"/>
      <c r="R266" s="300"/>
      <c r="S266" s="300"/>
      <c r="T266" s="300"/>
      <c r="U266" s="300"/>
      <c r="V266" s="300"/>
      <c r="W266" s="300"/>
      <c r="X266" s="300"/>
      <c r="Y266" s="300"/>
      <c r="Z266" s="300"/>
      <c r="AA266" s="300"/>
      <c r="AB266" s="300"/>
      <c r="AC266" s="300"/>
      <c r="AD266" s="300"/>
      <c r="AE266" s="300"/>
    </row>
    <row r="267" spans="2:31" ht="14.5">
      <c r="B267" s="405">
        <f t="shared" si="7"/>
        <v>222</v>
      </c>
      <c r="C267" s="413" t="str" cm="1">
        <f t="array" aca="1" ref="C267" ca="1">IF(B267&lt;=$C$9,GetGetCDSName(B267),"")</f>
        <v/>
      </c>
      <c r="D267" s="373"/>
      <c r="E267" s="406"/>
      <c r="F267" s="325"/>
      <c r="G267" s="325"/>
      <c r="H267" s="325"/>
      <c r="I267" s="325"/>
      <c r="J267" s="325"/>
      <c r="K267" s="325"/>
      <c r="L267" s="325"/>
      <c r="M267" s="325"/>
      <c r="N267" s="407"/>
      <c r="O267" s="300"/>
      <c r="P267" s="300"/>
      <c r="Q267" s="300"/>
      <c r="R267" s="300"/>
      <c r="S267" s="300"/>
      <c r="T267" s="300"/>
      <c r="U267" s="300"/>
      <c r="V267" s="300"/>
      <c r="W267" s="300"/>
      <c r="X267" s="300"/>
      <c r="Y267" s="300"/>
      <c r="Z267" s="300"/>
      <c r="AA267" s="300"/>
      <c r="AB267" s="300"/>
      <c r="AC267" s="300"/>
      <c r="AD267" s="300"/>
      <c r="AE267" s="300"/>
    </row>
    <row r="268" spans="2:31" ht="14.5">
      <c r="B268" s="405">
        <f t="shared" si="7"/>
        <v>223</v>
      </c>
      <c r="C268" s="413" t="str" cm="1">
        <f t="array" aca="1" ref="C268" ca="1">IF(B268&lt;=$C$9,GetGetCDSName(B268),"")</f>
        <v/>
      </c>
      <c r="D268" s="373"/>
      <c r="E268" s="406"/>
      <c r="F268" s="325"/>
      <c r="G268" s="325"/>
      <c r="H268" s="325"/>
      <c r="I268" s="325"/>
      <c r="J268" s="325"/>
      <c r="K268" s="325"/>
      <c r="L268" s="325"/>
      <c r="M268" s="325"/>
      <c r="N268" s="407"/>
      <c r="O268" s="300"/>
      <c r="P268" s="300"/>
      <c r="Q268" s="300"/>
      <c r="R268" s="300"/>
      <c r="S268" s="300"/>
      <c r="T268" s="300"/>
      <c r="U268" s="300"/>
      <c r="V268" s="300"/>
      <c r="W268" s="300"/>
      <c r="X268" s="300"/>
      <c r="Y268" s="300"/>
      <c r="Z268" s="300"/>
      <c r="AA268" s="300"/>
      <c r="AB268" s="300"/>
      <c r="AC268" s="300"/>
      <c r="AD268" s="300"/>
      <c r="AE268" s="300"/>
    </row>
    <row r="269" spans="2:31" ht="14.5">
      <c r="B269" s="405">
        <f t="shared" si="7"/>
        <v>224</v>
      </c>
      <c r="C269" s="413" t="str" cm="1">
        <f t="array" aca="1" ref="C269" ca="1">IF(B269&lt;=$C$9,GetGetCDSName(B269),"")</f>
        <v/>
      </c>
      <c r="D269" s="373"/>
      <c r="E269" s="406"/>
      <c r="F269" s="325"/>
      <c r="G269" s="325"/>
      <c r="H269" s="325"/>
      <c r="I269" s="325"/>
      <c r="J269" s="325"/>
      <c r="K269" s="325"/>
      <c r="L269" s="325"/>
      <c r="M269" s="325"/>
      <c r="N269" s="407"/>
      <c r="O269" s="300"/>
      <c r="P269" s="300"/>
      <c r="Q269" s="300"/>
      <c r="R269" s="300"/>
      <c r="S269" s="300"/>
      <c r="T269" s="300"/>
      <c r="U269" s="300"/>
      <c r="V269" s="300"/>
      <c r="W269" s="300"/>
      <c r="X269" s="300"/>
      <c r="Y269" s="300"/>
      <c r="Z269" s="300"/>
      <c r="AA269" s="300"/>
      <c r="AB269" s="300"/>
      <c r="AC269" s="300"/>
      <c r="AD269" s="300"/>
      <c r="AE269" s="300"/>
    </row>
    <row r="270" spans="2:31" ht="14.5">
      <c r="B270" s="405">
        <f t="shared" si="7"/>
        <v>225</v>
      </c>
      <c r="C270" s="413" t="str" cm="1">
        <f t="array" aca="1" ref="C270" ca="1">IF(B270&lt;=$C$9,GetGetCDSName(B270),"")</f>
        <v/>
      </c>
      <c r="D270" s="373"/>
      <c r="E270" s="406"/>
      <c r="F270" s="325"/>
      <c r="G270" s="325"/>
      <c r="H270" s="325"/>
      <c r="I270" s="325"/>
      <c r="J270" s="325"/>
      <c r="K270" s="325"/>
      <c r="L270" s="325"/>
      <c r="M270" s="325"/>
      <c r="N270" s="407"/>
      <c r="O270" s="300"/>
      <c r="P270" s="300"/>
      <c r="Q270" s="300"/>
      <c r="R270" s="300"/>
      <c r="S270" s="300"/>
      <c r="T270" s="300"/>
      <c r="U270" s="300"/>
      <c r="V270" s="300"/>
      <c r="W270" s="300"/>
      <c r="X270" s="300"/>
      <c r="Y270" s="300"/>
      <c r="Z270" s="300"/>
      <c r="AA270" s="300"/>
      <c r="AB270" s="300"/>
      <c r="AC270" s="300"/>
      <c r="AD270" s="300"/>
      <c r="AE270" s="300"/>
    </row>
    <row r="271" spans="2:31" ht="14.5">
      <c r="B271" s="405">
        <f t="shared" si="7"/>
        <v>226</v>
      </c>
      <c r="C271" s="413" t="str" cm="1">
        <f t="array" aca="1" ref="C271" ca="1">IF(B271&lt;=$C$9,GetGetCDSName(B271),"")</f>
        <v/>
      </c>
      <c r="D271" s="373"/>
      <c r="E271" s="406"/>
      <c r="F271" s="325"/>
      <c r="G271" s="325"/>
      <c r="H271" s="325"/>
      <c r="I271" s="325"/>
      <c r="J271" s="325"/>
      <c r="K271" s="325"/>
      <c r="L271" s="325"/>
      <c r="M271" s="325"/>
      <c r="N271" s="407"/>
      <c r="O271" s="300"/>
      <c r="P271" s="300"/>
      <c r="Q271" s="300"/>
      <c r="R271" s="300"/>
      <c r="S271" s="300"/>
      <c r="T271" s="300"/>
      <c r="U271" s="300"/>
      <c r="V271" s="300"/>
      <c r="W271" s="300"/>
      <c r="X271" s="300"/>
      <c r="Y271" s="300"/>
      <c r="Z271" s="300"/>
      <c r="AA271" s="300"/>
      <c r="AB271" s="300"/>
      <c r="AC271" s="300"/>
      <c r="AD271" s="300"/>
      <c r="AE271" s="300"/>
    </row>
    <row r="272" spans="2:31" ht="14.5">
      <c r="B272" s="405">
        <f t="shared" si="7"/>
        <v>227</v>
      </c>
      <c r="C272" s="413" t="str" cm="1">
        <f t="array" aca="1" ref="C272" ca="1">IF(B272&lt;=$C$9,GetGetCDSName(B272),"")</f>
        <v/>
      </c>
      <c r="D272" s="373"/>
      <c r="E272" s="406"/>
      <c r="F272" s="325"/>
      <c r="G272" s="325"/>
      <c r="H272" s="325"/>
      <c r="I272" s="325"/>
      <c r="J272" s="325"/>
      <c r="K272" s="325"/>
      <c r="L272" s="325"/>
      <c r="M272" s="325"/>
      <c r="N272" s="407"/>
      <c r="O272" s="300"/>
      <c r="P272" s="300"/>
      <c r="Q272" s="300"/>
      <c r="R272" s="300"/>
      <c r="S272" s="300"/>
      <c r="T272" s="300"/>
      <c r="U272" s="300"/>
      <c r="V272" s="300"/>
      <c r="W272" s="300"/>
      <c r="X272" s="300"/>
      <c r="Y272" s="300"/>
      <c r="Z272" s="300"/>
      <c r="AA272" s="300"/>
      <c r="AB272" s="300"/>
      <c r="AC272" s="300"/>
      <c r="AD272" s="300"/>
      <c r="AE272" s="300"/>
    </row>
    <row r="273" spans="2:31" ht="14.5">
      <c r="B273" s="405">
        <f t="shared" si="7"/>
        <v>228</v>
      </c>
      <c r="C273" s="413" t="str" cm="1">
        <f t="array" aca="1" ref="C273" ca="1">IF(B273&lt;=$C$9,GetGetCDSName(B273),"")</f>
        <v/>
      </c>
      <c r="D273" s="373"/>
      <c r="E273" s="406"/>
      <c r="F273" s="325"/>
      <c r="G273" s="325"/>
      <c r="H273" s="325"/>
      <c r="I273" s="325"/>
      <c r="J273" s="325"/>
      <c r="K273" s="325"/>
      <c r="L273" s="325"/>
      <c r="M273" s="325"/>
      <c r="N273" s="407"/>
      <c r="O273" s="300"/>
      <c r="P273" s="300"/>
      <c r="Q273" s="300"/>
      <c r="R273" s="300"/>
      <c r="S273" s="300"/>
      <c r="T273" s="300"/>
      <c r="U273" s="300"/>
      <c r="V273" s="300"/>
      <c r="W273" s="300"/>
      <c r="X273" s="300"/>
      <c r="Y273" s="300"/>
      <c r="Z273" s="300"/>
      <c r="AA273" s="300"/>
      <c r="AB273" s="300"/>
      <c r="AC273" s="300"/>
      <c r="AD273" s="300"/>
      <c r="AE273" s="300"/>
    </row>
    <row r="274" spans="2:31" ht="14.5">
      <c r="B274" s="405">
        <f t="shared" si="7"/>
        <v>229</v>
      </c>
      <c r="C274" s="413" t="str" cm="1">
        <f t="array" aca="1" ref="C274" ca="1">IF(B274&lt;=$C$9,GetGetCDSName(B274),"")</f>
        <v/>
      </c>
      <c r="D274" s="373"/>
      <c r="E274" s="406"/>
      <c r="F274" s="325"/>
      <c r="G274" s="325"/>
      <c r="H274" s="325"/>
      <c r="I274" s="325"/>
      <c r="J274" s="325"/>
      <c r="K274" s="325"/>
      <c r="L274" s="325"/>
      <c r="M274" s="325"/>
      <c r="N274" s="407"/>
      <c r="O274" s="300"/>
      <c r="P274" s="300"/>
      <c r="Q274" s="300"/>
      <c r="R274" s="300"/>
      <c r="S274" s="300"/>
      <c r="T274" s="300"/>
      <c r="U274" s="300"/>
      <c r="V274" s="300"/>
      <c r="W274" s="300"/>
      <c r="X274" s="300"/>
      <c r="Y274" s="300"/>
      <c r="Z274" s="300"/>
      <c r="AA274" s="300"/>
      <c r="AB274" s="300"/>
      <c r="AC274" s="300"/>
      <c r="AD274" s="300"/>
      <c r="AE274" s="300"/>
    </row>
    <row r="275" spans="2:31" ht="14.5">
      <c r="B275" s="405">
        <f t="shared" si="7"/>
        <v>230</v>
      </c>
      <c r="C275" s="413" t="str" cm="1">
        <f t="array" aca="1" ref="C275" ca="1">IF(B275&lt;=$C$9,GetGetCDSName(B275),"")</f>
        <v/>
      </c>
      <c r="D275" s="373"/>
      <c r="E275" s="406"/>
      <c r="F275" s="325"/>
      <c r="G275" s="325"/>
      <c r="H275" s="325"/>
      <c r="I275" s="325"/>
      <c r="J275" s="325"/>
      <c r="K275" s="325"/>
      <c r="L275" s="325"/>
      <c r="M275" s="325"/>
      <c r="N275" s="407"/>
      <c r="O275" s="300"/>
      <c r="P275" s="300"/>
      <c r="Q275" s="300"/>
      <c r="R275" s="300"/>
      <c r="S275" s="300"/>
      <c r="T275" s="300"/>
      <c r="U275" s="300"/>
      <c r="V275" s="300"/>
      <c r="W275" s="300"/>
      <c r="X275" s="300"/>
      <c r="Y275" s="300"/>
      <c r="Z275" s="300"/>
      <c r="AA275" s="300"/>
      <c r="AB275" s="300"/>
      <c r="AC275" s="300"/>
      <c r="AD275" s="300"/>
      <c r="AE275" s="300"/>
    </row>
    <row r="276" spans="2:31" ht="14.5">
      <c r="B276" s="405">
        <f t="shared" si="7"/>
        <v>231</v>
      </c>
      <c r="C276" s="413" t="str" cm="1">
        <f t="array" aca="1" ref="C276" ca="1">IF(B276&lt;=$C$9,GetGetCDSName(B276),"")</f>
        <v/>
      </c>
      <c r="D276" s="373"/>
      <c r="E276" s="406"/>
      <c r="F276" s="325"/>
      <c r="G276" s="325"/>
      <c r="H276" s="325"/>
      <c r="I276" s="325"/>
      <c r="J276" s="325"/>
      <c r="K276" s="325"/>
      <c r="L276" s="325"/>
      <c r="M276" s="325"/>
      <c r="N276" s="407"/>
      <c r="O276" s="300"/>
      <c r="P276" s="300"/>
      <c r="Q276" s="300"/>
      <c r="R276" s="300"/>
      <c r="S276" s="300"/>
      <c r="T276" s="300"/>
      <c r="U276" s="300"/>
      <c r="V276" s="300"/>
      <c r="W276" s="300"/>
      <c r="X276" s="300"/>
      <c r="Y276" s="300"/>
      <c r="Z276" s="300"/>
      <c r="AA276" s="300"/>
      <c r="AB276" s="300"/>
      <c r="AC276" s="300"/>
      <c r="AD276" s="300"/>
      <c r="AE276" s="300"/>
    </row>
    <row r="277" spans="2:31" ht="14.5">
      <c r="B277" s="405">
        <f t="shared" si="7"/>
        <v>232</v>
      </c>
      <c r="C277" s="413" t="str" cm="1">
        <f t="array" aca="1" ref="C277" ca="1">IF(B277&lt;=$C$9,GetGetCDSName(B277),"")</f>
        <v/>
      </c>
      <c r="D277" s="373"/>
      <c r="E277" s="406"/>
      <c r="F277" s="325"/>
      <c r="G277" s="325"/>
      <c r="H277" s="325"/>
      <c r="I277" s="325"/>
      <c r="J277" s="325"/>
      <c r="K277" s="325"/>
      <c r="L277" s="325"/>
      <c r="M277" s="325"/>
      <c r="N277" s="407"/>
      <c r="O277" s="300"/>
      <c r="P277" s="300"/>
      <c r="Q277" s="300"/>
      <c r="R277" s="300"/>
      <c r="S277" s="300"/>
      <c r="T277" s="300"/>
      <c r="U277" s="300"/>
      <c r="V277" s="300"/>
      <c r="W277" s="300"/>
      <c r="X277" s="300"/>
      <c r="Y277" s="300"/>
      <c r="Z277" s="300"/>
      <c r="AA277" s="300"/>
      <c r="AB277" s="300"/>
      <c r="AC277" s="300"/>
      <c r="AD277" s="300"/>
      <c r="AE277" s="300"/>
    </row>
    <row r="278" spans="2:31" ht="14.5">
      <c r="B278" s="405">
        <f t="shared" si="7"/>
        <v>233</v>
      </c>
      <c r="C278" s="413" t="str" cm="1">
        <f t="array" aca="1" ref="C278" ca="1">IF(B278&lt;=$C$9,GetGetCDSName(B278),"")</f>
        <v/>
      </c>
      <c r="D278" s="373"/>
      <c r="E278" s="406"/>
      <c r="F278" s="325"/>
      <c r="G278" s="325"/>
      <c r="H278" s="325"/>
      <c r="I278" s="325"/>
      <c r="J278" s="325"/>
      <c r="K278" s="325"/>
      <c r="L278" s="325"/>
      <c r="M278" s="325"/>
      <c r="N278" s="407"/>
      <c r="O278" s="300"/>
      <c r="P278" s="300"/>
      <c r="Q278" s="300"/>
      <c r="R278" s="300"/>
      <c r="S278" s="300"/>
      <c r="T278" s="300"/>
      <c r="U278" s="300"/>
      <c r="V278" s="300"/>
      <c r="W278" s="300"/>
      <c r="X278" s="300"/>
      <c r="Y278" s="300"/>
      <c r="Z278" s="300"/>
      <c r="AA278" s="300"/>
      <c r="AB278" s="300"/>
      <c r="AC278" s="300"/>
      <c r="AD278" s="300"/>
      <c r="AE278" s="300"/>
    </row>
    <row r="279" spans="2:31" ht="14.5">
      <c r="B279" s="405">
        <f t="shared" si="7"/>
        <v>234</v>
      </c>
      <c r="C279" s="413" t="str" cm="1">
        <f t="array" aca="1" ref="C279" ca="1">IF(B279&lt;=$C$9,GetGetCDSName(B279),"")</f>
        <v/>
      </c>
      <c r="D279" s="373"/>
      <c r="E279" s="406"/>
      <c r="F279" s="325"/>
      <c r="G279" s="325"/>
      <c r="H279" s="325"/>
      <c r="I279" s="325"/>
      <c r="J279" s="325"/>
      <c r="K279" s="325"/>
      <c r="L279" s="325"/>
      <c r="M279" s="325"/>
      <c r="N279" s="407"/>
      <c r="O279" s="300"/>
      <c r="P279" s="300"/>
      <c r="Q279" s="300"/>
      <c r="R279" s="300"/>
      <c r="S279" s="300"/>
      <c r="T279" s="300"/>
      <c r="U279" s="300"/>
      <c r="V279" s="300"/>
      <c r="W279" s="300"/>
      <c r="X279" s="300"/>
      <c r="Y279" s="300"/>
      <c r="Z279" s="300"/>
      <c r="AA279" s="300"/>
      <c r="AB279" s="300"/>
      <c r="AC279" s="300"/>
      <c r="AD279" s="300"/>
      <c r="AE279" s="300"/>
    </row>
    <row r="280" spans="2:31" ht="14.5">
      <c r="B280" s="405">
        <f t="shared" si="7"/>
        <v>235</v>
      </c>
      <c r="C280" s="413" t="str" cm="1">
        <f t="array" aca="1" ref="C280" ca="1">IF(B280&lt;=$C$9,GetGetCDSName(B280),"")</f>
        <v/>
      </c>
      <c r="D280" s="373"/>
      <c r="E280" s="406"/>
      <c r="F280" s="325"/>
      <c r="G280" s="325"/>
      <c r="H280" s="325"/>
      <c r="I280" s="325"/>
      <c r="J280" s="325"/>
      <c r="K280" s="325"/>
      <c r="L280" s="325"/>
      <c r="M280" s="325"/>
      <c r="N280" s="407"/>
      <c r="O280" s="300"/>
      <c r="P280" s="300"/>
      <c r="Q280" s="300"/>
      <c r="R280" s="300"/>
      <c r="S280" s="300"/>
      <c r="T280" s="300"/>
      <c r="U280" s="300"/>
      <c r="V280" s="300"/>
      <c r="W280" s="300"/>
      <c r="X280" s="300"/>
      <c r="Y280" s="300"/>
      <c r="Z280" s="300"/>
      <c r="AA280" s="300"/>
      <c r="AB280" s="300"/>
      <c r="AC280" s="300"/>
      <c r="AD280" s="300"/>
      <c r="AE280" s="300"/>
    </row>
    <row r="281" spans="2:31" ht="14.5">
      <c r="B281" s="405">
        <f t="shared" si="7"/>
        <v>236</v>
      </c>
      <c r="C281" s="413" t="str" cm="1">
        <f t="array" aca="1" ref="C281" ca="1">IF(B281&lt;=$C$9,GetGetCDSName(B281),"")</f>
        <v/>
      </c>
      <c r="D281" s="373"/>
      <c r="E281" s="406"/>
      <c r="F281" s="325"/>
      <c r="G281" s="325"/>
      <c r="H281" s="325"/>
      <c r="I281" s="325"/>
      <c r="J281" s="325"/>
      <c r="K281" s="325"/>
      <c r="L281" s="325"/>
      <c r="M281" s="325"/>
      <c r="N281" s="407"/>
      <c r="O281" s="300"/>
      <c r="P281" s="300"/>
      <c r="Q281" s="300"/>
      <c r="R281" s="300"/>
      <c r="S281" s="300"/>
      <c r="T281" s="300"/>
      <c r="U281" s="300"/>
      <c r="V281" s="300"/>
      <c r="W281" s="300"/>
      <c r="X281" s="300"/>
      <c r="Y281" s="300"/>
      <c r="Z281" s="300"/>
      <c r="AA281" s="300"/>
      <c r="AB281" s="300"/>
      <c r="AC281" s="300"/>
      <c r="AD281" s="300"/>
      <c r="AE281" s="300"/>
    </row>
    <row r="282" spans="2:31" ht="14.5">
      <c r="B282" s="405">
        <f t="shared" si="7"/>
        <v>237</v>
      </c>
      <c r="C282" s="413" t="str" cm="1">
        <f t="array" aca="1" ref="C282" ca="1">IF(B282&lt;=$C$9,GetGetCDSName(B282),"")</f>
        <v/>
      </c>
      <c r="D282" s="373"/>
      <c r="E282" s="406"/>
      <c r="F282" s="325"/>
      <c r="G282" s="325"/>
      <c r="H282" s="325"/>
      <c r="I282" s="325"/>
      <c r="J282" s="325"/>
      <c r="K282" s="325"/>
      <c r="L282" s="325"/>
      <c r="M282" s="325"/>
      <c r="N282" s="407"/>
      <c r="O282" s="300"/>
      <c r="P282" s="300"/>
      <c r="Q282" s="300"/>
      <c r="R282" s="300"/>
      <c r="S282" s="300"/>
      <c r="T282" s="300"/>
      <c r="U282" s="300"/>
      <c r="V282" s="300"/>
      <c r="W282" s="300"/>
      <c r="X282" s="300"/>
      <c r="Y282" s="300"/>
      <c r="Z282" s="300"/>
      <c r="AA282" s="300"/>
      <c r="AB282" s="300"/>
      <c r="AC282" s="300"/>
      <c r="AD282" s="300"/>
      <c r="AE282" s="300"/>
    </row>
    <row r="283" spans="2:31" ht="14.5">
      <c r="B283" s="405">
        <f t="shared" si="7"/>
        <v>238</v>
      </c>
      <c r="C283" s="413" t="str" cm="1">
        <f t="array" aca="1" ref="C283" ca="1">IF(B283&lt;=$C$9,GetGetCDSName(B283),"")</f>
        <v/>
      </c>
      <c r="D283" s="373"/>
      <c r="E283" s="406"/>
      <c r="F283" s="325"/>
      <c r="G283" s="325"/>
      <c r="H283" s="325"/>
      <c r="I283" s="325"/>
      <c r="J283" s="325"/>
      <c r="K283" s="325"/>
      <c r="L283" s="325"/>
      <c r="M283" s="325"/>
      <c r="N283" s="407"/>
      <c r="O283" s="300"/>
      <c r="P283" s="300"/>
      <c r="Q283" s="300"/>
      <c r="R283" s="300"/>
      <c r="S283" s="300"/>
      <c r="T283" s="300"/>
      <c r="U283" s="300"/>
      <c r="V283" s="300"/>
      <c r="W283" s="300"/>
      <c r="X283" s="300"/>
      <c r="Y283" s="300"/>
      <c r="Z283" s="300"/>
      <c r="AA283" s="300"/>
      <c r="AB283" s="300"/>
      <c r="AC283" s="300"/>
      <c r="AD283" s="300"/>
      <c r="AE283" s="300"/>
    </row>
    <row r="284" spans="2:31" ht="14.5">
      <c r="B284" s="405">
        <f t="shared" si="7"/>
        <v>239</v>
      </c>
      <c r="C284" s="413" t="str" cm="1">
        <f t="array" aca="1" ref="C284" ca="1">IF(B284&lt;=$C$9,GetGetCDSName(B284),"")</f>
        <v/>
      </c>
      <c r="D284" s="373"/>
      <c r="E284" s="406"/>
      <c r="F284" s="325"/>
      <c r="G284" s="325"/>
      <c r="H284" s="325"/>
      <c r="I284" s="325"/>
      <c r="J284" s="325"/>
      <c r="K284" s="325"/>
      <c r="L284" s="325"/>
      <c r="M284" s="325"/>
      <c r="N284" s="407"/>
      <c r="O284" s="300"/>
      <c r="P284" s="300"/>
      <c r="Q284" s="300"/>
      <c r="R284" s="300"/>
      <c r="S284" s="300"/>
      <c r="T284" s="300"/>
      <c r="U284" s="300"/>
      <c r="V284" s="300"/>
      <c r="W284" s="300"/>
      <c r="X284" s="300"/>
      <c r="Y284" s="300"/>
      <c r="Z284" s="300"/>
      <c r="AA284" s="300"/>
      <c r="AB284" s="300"/>
      <c r="AC284" s="300"/>
      <c r="AD284" s="300"/>
      <c r="AE284" s="300"/>
    </row>
    <row r="285" spans="2:31" ht="14.5">
      <c r="B285" s="405">
        <f t="shared" si="7"/>
        <v>240</v>
      </c>
      <c r="C285" s="413" t="str" cm="1">
        <f t="array" aca="1" ref="C285" ca="1">IF(B285&lt;=$C$9,GetGetCDSName(B285),"")</f>
        <v/>
      </c>
      <c r="D285" s="373"/>
      <c r="E285" s="406"/>
      <c r="F285" s="325"/>
      <c r="G285" s="325"/>
      <c r="H285" s="325"/>
      <c r="I285" s="325"/>
      <c r="J285" s="325"/>
      <c r="K285" s="325"/>
      <c r="L285" s="325"/>
      <c r="M285" s="325"/>
      <c r="N285" s="407"/>
      <c r="O285" s="300"/>
      <c r="P285" s="300"/>
      <c r="Q285" s="300"/>
      <c r="R285" s="300"/>
      <c r="S285" s="300"/>
      <c r="T285" s="300"/>
      <c r="U285" s="300"/>
      <c r="V285" s="300"/>
      <c r="W285" s="300"/>
      <c r="X285" s="300"/>
      <c r="Y285" s="300"/>
      <c r="Z285" s="300"/>
      <c r="AA285" s="300"/>
      <c r="AB285" s="300"/>
      <c r="AC285" s="300"/>
      <c r="AD285" s="300"/>
      <c r="AE285" s="300"/>
    </row>
    <row r="286" spans="2:31" ht="14.5">
      <c r="B286" s="405">
        <f t="shared" si="7"/>
        <v>241</v>
      </c>
      <c r="C286" s="413" t="str" cm="1">
        <f t="array" aca="1" ref="C286" ca="1">IF(B286&lt;=$C$9,GetGetCDSName(B286),"")</f>
        <v/>
      </c>
      <c r="D286" s="373"/>
      <c r="E286" s="406"/>
      <c r="F286" s="325"/>
      <c r="G286" s="325"/>
      <c r="H286" s="325"/>
      <c r="I286" s="325"/>
      <c r="J286" s="325"/>
      <c r="K286" s="325"/>
      <c r="L286" s="325"/>
      <c r="M286" s="325"/>
      <c r="N286" s="407"/>
      <c r="O286" s="300"/>
      <c r="P286" s="300"/>
      <c r="Q286" s="300"/>
      <c r="R286" s="300"/>
      <c r="S286" s="300"/>
      <c r="T286" s="300"/>
      <c r="U286" s="300"/>
      <c r="V286" s="300"/>
      <c r="W286" s="300"/>
      <c r="X286" s="300"/>
      <c r="Y286" s="300"/>
      <c r="Z286" s="300"/>
      <c r="AA286" s="300"/>
      <c r="AB286" s="300"/>
      <c r="AC286" s="300"/>
      <c r="AD286" s="300"/>
      <c r="AE286" s="300"/>
    </row>
    <row r="287" spans="2:31" ht="14.5">
      <c r="B287" s="405">
        <f t="shared" si="7"/>
        <v>242</v>
      </c>
      <c r="C287" s="413" t="str" cm="1">
        <f t="array" aca="1" ref="C287" ca="1">IF(B287&lt;=$C$9,GetGetCDSName(B287),"")</f>
        <v/>
      </c>
      <c r="D287" s="373"/>
      <c r="E287" s="406"/>
      <c r="F287" s="325"/>
      <c r="G287" s="325"/>
      <c r="H287" s="325"/>
      <c r="I287" s="325"/>
      <c r="J287" s="325"/>
      <c r="K287" s="325"/>
      <c r="L287" s="325"/>
      <c r="M287" s="325"/>
      <c r="N287" s="407"/>
      <c r="O287" s="300"/>
      <c r="P287" s="300"/>
      <c r="Q287" s="300"/>
      <c r="R287" s="300"/>
      <c r="S287" s="300"/>
      <c r="T287" s="300"/>
      <c r="U287" s="300"/>
      <c r="V287" s="300"/>
      <c r="W287" s="300"/>
      <c r="X287" s="300"/>
      <c r="Y287" s="300"/>
      <c r="Z287" s="300"/>
      <c r="AA287" s="300"/>
      <c r="AB287" s="300"/>
      <c r="AC287" s="300"/>
      <c r="AD287" s="300"/>
      <c r="AE287" s="300"/>
    </row>
    <row r="288" spans="2:31" ht="14.5">
      <c r="B288" s="405">
        <f t="shared" si="7"/>
        <v>243</v>
      </c>
      <c r="C288" s="413" t="str" cm="1">
        <f t="array" aca="1" ref="C288" ca="1">IF(B288&lt;=$C$9,GetGetCDSName(B288),"")</f>
        <v/>
      </c>
      <c r="D288" s="373"/>
      <c r="E288" s="406"/>
      <c r="F288" s="325"/>
      <c r="G288" s="325"/>
      <c r="H288" s="325"/>
      <c r="I288" s="325"/>
      <c r="J288" s="325"/>
      <c r="K288" s="325"/>
      <c r="L288" s="325"/>
      <c r="M288" s="325"/>
      <c r="N288" s="407"/>
      <c r="O288" s="300"/>
      <c r="P288" s="300"/>
      <c r="Q288" s="300"/>
      <c r="R288" s="300"/>
      <c r="S288" s="300"/>
      <c r="T288" s="300"/>
      <c r="U288" s="300"/>
      <c r="V288" s="300"/>
      <c r="W288" s="300"/>
      <c r="X288" s="300"/>
      <c r="Y288" s="300"/>
      <c r="Z288" s="300"/>
      <c r="AA288" s="300"/>
      <c r="AB288" s="300"/>
      <c r="AC288" s="300"/>
      <c r="AD288" s="300"/>
      <c r="AE288" s="300"/>
    </row>
    <row r="289" spans="2:31" ht="14.5">
      <c r="B289" s="405">
        <f t="shared" si="7"/>
        <v>244</v>
      </c>
      <c r="C289" s="413" t="str" cm="1">
        <f t="array" aca="1" ref="C289" ca="1">IF(B289&lt;=$C$9,GetGetCDSName(B289),"")</f>
        <v/>
      </c>
      <c r="D289" s="373"/>
      <c r="E289" s="406"/>
      <c r="F289" s="325"/>
      <c r="G289" s="325"/>
      <c r="H289" s="325"/>
      <c r="I289" s="325"/>
      <c r="J289" s="325"/>
      <c r="K289" s="325"/>
      <c r="L289" s="325"/>
      <c r="M289" s="325"/>
      <c r="N289" s="407"/>
      <c r="O289" s="300"/>
      <c r="P289" s="300"/>
      <c r="Q289" s="300"/>
      <c r="R289" s="300"/>
      <c r="S289" s="300"/>
      <c r="T289" s="300"/>
      <c r="U289" s="300"/>
      <c r="V289" s="300"/>
      <c r="W289" s="300"/>
      <c r="X289" s="300"/>
      <c r="Y289" s="300"/>
      <c r="Z289" s="300"/>
      <c r="AA289" s="300"/>
      <c r="AB289" s="300"/>
      <c r="AC289" s="300"/>
      <c r="AD289" s="300"/>
      <c r="AE289" s="300"/>
    </row>
    <row r="290" spans="2:31" ht="14.5">
      <c r="B290" s="405">
        <f t="shared" si="7"/>
        <v>245</v>
      </c>
      <c r="C290" s="413" t="str" cm="1">
        <f t="array" aca="1" ref="C290" ca="1">IF(B290&lt;=$C$9,GetGetCDSName(B290),"")</f>
        <v/>
      </c>
      <c r="D290" s="373"/>
      <c r="E290" s="406"/>
      <c r="F290" s="325"/>
      <c r="G290" s="325"/>
      <c r="H290" s="325"/>
      <c r="I290" s="325"/>
      <c r="J290" s="325"/>
      <c r="K290" s="325"/>
      <c r="L290" s="325"/>
      <c r="M290" s="325"/>
      <c r="N290" s="407"/>
      <c r="O290" s="300"/>
      <c r="P290" s="300"/>
      <c r="Q290" s="300"/>
      <c r="R290" s="300"/>
      <c r="S290" s="300"/>
      <c r="T290" s="300"/>
      <c r="U290" s="300"/>
      <c r="V290" s="300"/>
      <c r="W290" s="300"/>
      <c r="X290" s="300"/>
      <c r="Y290" s="300"/>
      <c r="Z290" s="300"/>
      <c r="AA290" s="300"/>
      <c r="AB290" s="300"/>
      <c r="AC290" s="300"/>
      <c r="AD290" s="300"/>
      <c r="AE290" s="300"/>
    </row>
    <row r="291" spans="2:31" ht="14.5">
      <c r="B291" s="405">
        <f t="shared" si="7"/>
        <v>246</v>
      </c>
      <c r="C291" s="413" t="str" cm="1">
        <f t="array" aca="1" ref="C291" ca="1">IF(B291&lt;=$C$9,GetGetCDSName(B291),"")</f>
        <v/>
      </c>
      <c r="D291" s="373"/>
      <c r="E291" s="406"/>
      <c r="F291" s="325"/>
      <c r="G291" s="325"/>
      <c r="H291" s="325"/>
      <c r="I291" s="325"/>
      <c r="J291" s="325"/>
      <c r="K291" s="325"/>
      <c r="L291" s="325"/>
      <c r="M291" s="325"/>
      <c r="N291" s="407"/>
      <c r="O291" s="300"/>
      <c r="P291" s="300"/>
      <c r="Q291" s="300"/>
      <c r="R291" s="300"/>
      <c r="S291" s="300"/>
      <c r="T291" s="300"/>
      <c r="U291" s="300"/>
      <c r="V291" s="300"/>
      <c r="W291" s="300"/>
      <c r="X291" s="300"/>
      <c r="Y291" s="300"/>
      <c r="Z291" s="300"/>
      <c r="AA291" s="300"/>
      <c r="AB291" s="300"/>
      <c r="AC291" s="300"/>
      <c r="AD291" s="300"/>
      <c r="AE291" s="300"/>
    </row>
    <row r="292" spans="2:31" ht="14.5">
      <c r="B292" s="405">
        <f t="shared" si="7"/>
        <v>247</v>
      </c>
      <c r="C292" s="413" t="str" cm="1">
        <f t="array" aca="1" ref="C292" ca="1">IF(B292&lt;=$C$9,GetGetCDSName(B292),"")</f>
        <v/>
      </c>
      <c r="D292" s="373"/>
      <c r="E292" s="406"/>
      <c r="F292" s="325"/>
      <c r="G292" s="325"/>
      <c r="H292" s="325"/>
      <c r="I292" s="325"/>
      <c r="J292" s="325"/>
      <c r="K292" s="325"/>
      <c r="L292" s="325"/>
      <c r="M292" s="325"/>
      <c r="N292" s="407"/>
      <c r="O292" s="300"/>
      <c r="P292" s="300"/>
      <c r="Q292" s="300"/>
      <c r="R292" s="300"/>
      <c r="S292" s="300"/>
      <c r="T292" s="300"/>
      <c r="U292" s="300"/>
      <c r="V292" s="300"/>
      <c r="W292" s="300"/>
      <c r="X292" s="300"/>
      <c r="Y292" s="300"/>
      <c r="Z292" s="300"/>
      <c r="AA292" s="300"/>
      <c r="AB292" s="300"/>
      <c r="AC292" s="300"/>
      <c r="AD292" s="300"/>
      <c r="AE292" s="300"/>
    </row>
    <row r="293" spans="2:31" ht="14.5">
      <c r="B293" s="405">
        <f t="shared" si="7"/>
        <v>248</v>
      </c>
      <c r="C293" s="413" t="str" cm="1">
        <f t="array" aca="1" ref="C293" ca="1">IF(B293&lt;=$C$9,GetGetCDSName(B293),"")</f>
        <v/>
      </c>
      <c r="D293" s="373"/>
      <c r="E293" s="406"/>
      <c r="F293" s="325"/>
      <c r="G293" s="325"/>
      <c r="H293" s="325"/>
      <c r="I293" s="325"/>
      <c r="J293" s="325"/>
      <c r="K293" s="325"/>
      <c r="L293" s="325"/>
      <c r="M293" s="325"/>
      <c r="N293" s="407"/>
      <c r="O293" s="300"/>
      <c r="P293" s="300"/>
      <c r="Q293" s="300"/>
      <c r="R293" s="300"/>
      <c r="S293" s="300"/>
      <c r="T293" s="300"/>
      <c r="U293" s="300"/>
      <c r="V293" s="300"/>
      <c r="W293" s="300"/>
      <c r="X293" s="300"/>
      <c r="Y293" s="300"/>
      <c r="Z293" s="300"/>
      <c r="AA293" s="300"/>
      <c r="AB293" s="300"/>
      <c r="AC293" s="300"/>
      <c r="AD293" s="300"/>
      <c r="AE293" s="300"/>
    </row>
    <row r="294" spans="2:31" ht="14.5">
      <c r="B294" s="405">
        <f t="shared" si="7"/>
        <v>249</v>
      </c>
      <c r="C294" s="413" t="str" cm="1">
        <f t="array" aca="1" ref="C294" ca="1">IF(B294&lt;=$C$9,GetGetCDSName(B294),"")</f>
        <v/>
      </c>
      <c r="D294" s="373"/>
      <c r="E294" s="406"/>
      <c r="F294" s="325"/>
      <c r="G294" s="325"/>
      <c r="H294" s="325"/>
      <c r="I294" s="325"/>
      <c r="J294" s="325"/>
      <c r="K294" s="325"/>
      <c r="L294" s="325"/>
      <c r="M294" s="325"/>
      <c r="N294" s="407"/>
      <c r="O294" s="300"/>
      <c r="P294" s="300"/>
      <c r="Q294" s="300"/>
      <c r="R294" s="300"/>
      <c r="S294" s="300"/>
      <c r="T294" s="300"/>
      <c r="U294" s="300"/>
      <c r="V294" s="300"/>
      <c r="W294" s="300"/>
      <c r="X294" s="300"/>
      <c r="Y294" s="300"/>
      <c r="Z294" s="300"/>
      <c r="AA294" s="300"/>
      <c r="AB294" s="300"/>
      <c r="AC294" s="300"/>
      <c r="AD294" s="300"/>
      <c r="AE294" s="300"/>
    </row>
    <row r="295" spans="2:31" ht="14.5">
      <c r="B295" s="405">
        <f t="shared" si="7"/>
        <v>250</v>
      </c>
      <c r="C295" s="413" t="str" cm="1">
        <f t="array" aca="1" ref="C295" ca="1">IF(B295&lt;=$C$9,GetGetCDSName(B295),"")</f>
        <v/>
      </c>
      <c r="D295" s="373"/>
      <c r="E295" s="406"/>
      <c r="F295" s="325"/>
      <c r="G295" s="325"/>
      <c r="H295" s="325"/>
      <c r="I295" s="325"/>
      <c r="J295" s="325"/>
      <c r="K295" s="325"/>
      <c r="L295" s="325"/>
      <c r="M295" s="325"/>
      <c r="N295" s="407"/>
      <c r="O295" s="300"/>
      <c r="P295" s="300"/>
      <c r="Q295" s="300"/>
      <c r="R295" s="300"/>
      <c r="S295" s="300"/>
      <c r="T295" s="300"/>
      <c r="U295" s="300"/>
      <c r="V295" s="300"/>
      <c r="W295" s="300"/>
      <c r="X295" s="300"/>
      <c r="Y295" s="300"/>
      <c r="Z295" s="300"/>
      <c r="AA295" s="300"/>
      <c r="AB295" s="300"/>
      <c r="AC295" s="300"/>
      <c r="AD295" s="300"/>
      <c r="AE295" s="300"/>
    </row>
    <row r="296" spans="2:31" ht="14.5">
      <c r="B296" s="405">
        <f t="shared" si="7"/>
        <v>251</v>
      </c>
      <c r="C296" s="413" t="str" cm="1">
        <f t="array" aca="1" ref="C296" ca="1">IF(B296&lt;=$C$9,GetGetCDSName(B296),"")</f>
        <v/>
      </c>
      <c r="D296" s="373"/>
      <c r="E296" s="406"/>
      <c r="F296" s="325"/>
      <c r="G296" s="325"/>
      <c r="H296" s="325"/>
      <c r="I296" s="325"/>
      <c r="J296" s="325"/>
      <c r="K296" s="325"/>
      <c r="L296" s="325"/>
      <c r="M296" s="325"/>
      <c r="N296" s="407"/>
      <c r="O296" s="300"/>
      <c r="P296" s="300"/>
      <c r="Q296" s="300"/>
      <c r="R296" s="300"/>
      <c r="S296" s="300"/>
      <c r="T296" s="300"/>
      <c r="U296" s="300"/>
      <c r="V296" s="300"/>
      <c r="W296" s="300"/>
      <c r="X296" s="300"/>
      <c r="Y296" s="300"/>
      <c r="Z296" s="300"/>
      <c r="AA296" s="300"/>
      <c r="AB296" s="300"/>
      <c r="AC296" s="300"/>
      <c r="AD296" s="300"/>
      <c r="AE296" s="300"/>
    </row>
    <row r="297" spans="2:31" ht="14.5">
      <c r="B297" s="405">
        <f t="shared" si="7"/>
        <v>252</v>
      </c>
      <c r="C297" s="413" t="str" cm="1">
        <f t="array" aca="1" ref="C297" ca="1">IF(B297&lt;=$C$9,GetGetCDSName(B297),"")</f>
        <v/>
      </c>
      <c r="D297" s="373"/>
      <c r="E297" s="406"/>
      <c r="F297" s="325"/>
      <c r="G297" s="325"/>
      <c r="H297" s="325"/>
      <c r="I297" s="325"/>
      <c r="J297" s="325"/>
      <c r="K297" s="325"/>
      <c r="L297" s="325"/>
      <c r="M297" s="325"/>
      <c r="N297" s="407"/>
      <c r="O297" s="300"/>
      <c r="P297" s="300"/>
      <c r="Q297" s="300"/>
      <c r="R297" s="300"/>
      <c r="S297" s="300"/>
      <c r="T297" s="300"/>
      <c r="U297" s="300"/>
      <c r="V297" s="300"/>
      <c r="W297" s="300"/>
      <c r="X297" s="300"/>
      <c r="Y297" s="300"/>
      <c r="Z297" s="300"/>
      <c r="AA297" s="300"/>
      <c r="AB297" s="300"/>
      <c r="AC297" s="300"/>
      <c r="AD297" s="300"/>
      <c r="AE297" s="300"/>
    </row>
    <row r="298" spans="2:31" ht="14.5">
      <c r="B298" s="405">
        <f t="shared" si="7"/>
        <v>253</v>
      </c>
      <c r="C298" s="413" t="str" cm="1">
        <f t="array" aca="1" ref="C298" ca="1">IF(B298&lt;=$C$9,GetGetCDSName(B298),"")</f>
        <v/>
      </c>
      <c r="D298" s="373"/>
      <c r="E298" s="406"/>
      <c r="F298" s="325"/>
      <c r="G298" s="325"/>
      <c r="H298" s="325"/>
      <c r="I298" s="325"/>
      <c r="J298" s="325"/>
      <c r="K298" s="325"/>
      <c r="L298" s="325"/>
      <c r="M298" s="325"/>
      <c r="N298" s="407"/>
      <c r="O298" s="300"/>
      <c r="P298" s="300"/>
      <c r="Q298" s="300"/>
      <c r="R298" s="300"/>
      <c r="S298" s="300"/>
      <c r="T298" s="300"/>
      <c r="U298" s="300"/>
      <c r="V298" s="300"/>
      <c r="W298" s="300"/>
      <c r="X298" s="300"/>
      <c r="Y298" s="300"/>
      <c r="Z298" s="300"/>
      <c r="AA298" s="300"/>
      <c r="AB298" s="300"/>
      <c r="AC298" s="300"/>
      <c r="AD298" s="300"/>
      <c r="AE298" s="300"/>
    </row>
    <row r="299" spans="2:31" ht="14.5">
      <c r="B299" s="405">
        <f t="shared" si="7"/>
        <v>254</v>
      </c>
      <c r="C299" s="413" t="str" cm="1">
        <f t="array" aca="1" ref="C299" ca="1">IF(B299&lt;=$C$9,GetGetCDSName(B299),"")</f>
        <v/>
      </c>
      <c r="D299" s="373"/>
      <c r="E299" s="406"/>
      <c r="F299" s="325"/>
      <c r="G299" s="325"/>
      <c r="H299" s="325"/>
      <c r="I299" s="325"/>
      <c r="J299" s="325"/>
      <c r="K299" s="325"/>
      <c r="L299" s="325"/>
      <c r="M299" s="325"/>
      <c r="N299" s="407"/>
      <c r="O299" s="300"/>
      <c r="P299" s="300"/>
      <c r="Q299" s="300"/>
      <c r="R299" s="300"/>
      <c r="S299" s="300"/>
      <c r="T299" s="300"/>
      <c r="U299" s="300"/>
      <c r="V299" s="300"/>
      <c r="W299" s="300"/>
      <c r="X299" s="300"/>
      <c r="Y299" s="300"/>
      <c r="Z299" s="300"/>
      <c r="AA299" s="300"/>
      <c r="AB299" s="300"/>
      <c r="AC299" s="300"/>
      <c r="AD299" s="300"/>
      <c r="AE299" s="300"/>
    </row>
    <row r="300" spans="2:31" ht="14.5">
      <c r="B300" s="405">
        <f t="shared" si="7"/>
        <v>255</v>
      </c>
      <c r="C300" s="413" t="str" cm="1">
        <f t="array" aca="1" ref="C300" ca="1">IF(B300&lt;=$C$9,GetGetCDSName(B300),"")</f>
        <v/>
      </c>
      <c r="D300" s="373"/>
      <c r="E300" s="406"/>
      <c r="F300" s="325"/>
      <c r="G300" s="325"/>
      <c r="H300" s="325"/>
      <c r="I300" s="325"/>
      <c r="J300" s="325"/>
      <c r="K300" s="325"/>
      <c r="L300" s="325"/>
      <c r="M300" s="325"/>
      <c r="N300" s="407"/>
      <c r="O300" s="300"/>
      <c r="P300" s="300"/>
      <c r="Q300" s="300"/>
      <c r="R300" s="300"/>
      <c r="S300" s="300"/>
      <c r="T300" s="300"/>
      <c r="U300" s="300"/>
      <c r="V300" s="300"/>
      <c r="W300" s="300"/>
      <c r="X300" s="300"/>
      <c r="Y300" s="300"/>
      <c r="Z300" s="300"/>
      <c r="AA300" s="300"/>
      <c r="AB300" s="300"/>
      <c r="AC300" s="300"/>
      <c r="AD300" s="300"/>
      <c r="AE300" s="300"/>
    </row>
    <row r="301" spans="2:31" ht="14.5">
      <c r="B301" s="405">
        <f t="shared" si="7"/>
        <v>256</v>
      </c>
      <c r="C301" s="413" t="str" cm="1">
        <f t="array" aca="1" ref="C301" ca="1">IF(B301&lt;=$C$9,GetGetCDSName(B301),"")</f>
        <v/>
      </c>
      <c r="D301" s="373"/>
      <c r="E301" s="406"/>
      <c r="F301" s="325"/>
      <c r="G301" s="325"/>
      <c r="H301" s="325"/>
      <c r="I301" s="325"/>
      <c r="J301" s="325"/>
      <c r="K301" s="325"/>
      <c r="L301" s="325"/>
      <c r="M301" s="325"/>
      <c r="N301" s="407"/>
      <c r="O301" s="300"/>
      <c r="P301" s="300"/>
      <c r="Q301" s="300"/>
      <c r="R301" s="300"/>
      <c r="S301" s="300"/>
      <c r="T301" s="300"/>
      <c r="U301" s="300"/>
      <c r="V301" s="300"/>
      <c r="W301" s="300"/>
      <c r="X301" s="300"/>
      <c r="Y301" s="300"/>
      <c r="Z301" s="300"/>
      <c r="AA301" s="300"/>
      <c r="AB301" s="300"/>
      <c r="AC301" s="300"/>
      <c r="AD301" s="300"/>
      <c r="AE301" s="300"/>
    </row>
    <row r="302" spans="2:31" ht="14.5">
      <c r="B302" s="405">
        <f t="shared" si="7"/>
        <v>257</v>
      </c>
      <c r="C302" s="413" t="str" cm="1">
        <f t="array" aca="1" ref="C302" ca="1">IF(B302&lt;=$C$9,GetGetCDSName(B302),"")</f>
        <v/>
      </c>
      <c r="D302" s="373"/>
      <c r="E302" s="406"/>
      <c r="F302" s="325"/>
      <c r="G302" s="325"/>
      <c r="H302" s="325"/>
      <c r="I302" s="325"/>
      <c r="J302" s="325"/>
      <c r="K302" s="325"/>
      <c r="L302" s="325"/>
      <c r="M302" s="325"/>
      <c r="N302" s="407"/>
      <c r="O302" s="300"/>
      <c r="P302" s="300"/>
      <c r="Q302" s="300"/>
      <c r="R302" s="300"/>
      <c r="S302" s="300"/>
      <c r="T302" s="300"/>
      <c r="U302" s="300"/>
      <c r="V302" s="300"/>
      <c r="W302" s="300"/>
      <c r="X302" s="300"/>
      <c r="Y302" s="300"/>
      <c r="Z302" s="300"/>
      <c r="AA302" s="300"/>
      <c r="AB302" s="300"/>
      <c r="AC302" s="300"/>
      <c r="AD302" s="300"/>
      <c r="AE302" s="300"/>
    </row>
    <row r="303" spans="2:31" ht="14.5">
      <c r="B303" s="405">
        <f t="shared" ref="B303:B345" si="8">B302+1</f>
        <v>258</v>
      </c>
      <c r="C303" s="413" t="str" cm="1">
        <f t="array" aca="1" ref="C303" ca="1">IF(B303&lt;=$C$9,GetGetCDSName(B303),"")</f>
        <v/>
      </c>
      <c r="D303" s="373"/>
      <c r="E303" s="406"/>
      <c r="F303" s="325"/>
      <c r="G303" s="325"/>
      <c r="H303" s="325"/>
      <c r="I303" s="325"/>
      <c r="J303" s="325"/>
      <c r="K303" s="325"/>
      <c r="L303" s="325"/>
      <c r="M303" s="325"/>
      <c r="N303" s="407"/>
      <c r="O303" s="300"/>
      <c r="P303" s="300"/>
      <c r="Q303" s="300"/>
      <c r="R303" s="300"/>
      <c r="S303" s="300"/>
      <c r="T303" s="300"/>
      <c r="U303" s="300"/>
      <c r="V303" s="300"/>
      <c r="W303" s="300"/>
      <c r="X303" s="300"/>
      <c r="Y303" s="300"/>
      <c r="Z303" s="300"/>
      <c r="AA303" s="300"/>
      <c r="AB303" s="300"/>
      <c r="AC303" s="300"/>
      <c r="AD303" s="300"/>
      <c r="AE303" s="300"/>
    </row>
    <row r="304" spans="2:31" ht="14.5">
      <c r="B304" s="405">
        <f t="shared" si="8"/>
        <v>259</v>
      </c>
      <c r="C304" s="413" t="str" cm="1">
        <f t="array" aca="1" ref="C304" ca="1">IF(B304&lt;=$C$9,GetGetCDSName(B304),"")</f>
        <v/>
      </c>
      <c r="D304" s="373"/>
      <c r="E304" s="406"/>
      <c r="F304" s="325"/>
      <c r="G304" s="325"/>
      <c r="H304" s="325"/>
      <c r="I304" s="325"/>
      <c r="J304" s="325"/>
      <c r="K304" s="325"/>
      <c r="L304" s="325"/>
      <c r="M304" s="325"/>
      <c r="N304" s="407"/>
      <c r="O304" s="300"/>
      <c r="P304" s="300"/>
      <c r="Q304" s="300"/>
      <c r="R304" s="300"/>
      <c r="S304" s="300"/>
      <c r="T304" s="300"/>
      <c r="U304" s="300"/>
      <c r="V304" s="300"/>
      <c r="W304" s="300"/>
      <c r="X304" s="300"/>
      <c r="Y304" s="300"/>
      <c r="Z304" s="300"/>
      <c r="AA304" s="300"/>
      <c r="AB304" s="300"/>
      <c r="AC304" s="300"/>
      <c r="AD304" s="300"/>
      <c r="AE304" s="300"/>
    </row>
    <row r="305" spans="2:31" ht="14.5">
      <c r="B305" s="405">
        <f t="shared" si="8"/>
        <v>260</v>
      </c>
      <c r="C305" s="413" t="str" cm="1">
        <f t="array" aca="1" ref="C305" ca="1">IF(B305&lt;=$C$9,GetGetCDSName(B305),"")</f>
        <v/>
      </c>
      <c r="D305" s="373"/>
      <c r="E305" s="406"/>
      <c r="F305" s="325"/>
      <c r="G305" s="325"/>
      <c r="H305" s="325"/>
      <c r="I305" s="325"/>
      <c r="J305" s="325"/>
      <c r="K305" s="325"/>
      <c r="L305" s="325"/>
      <c r="M305" s="325"/>
      <c r="N305" s="407"/>
      <c r="O305" s="300"/>
      <c r="P305" s="300"/>
      <c r="Q305" s="300"/>
      <c r="R305" s="300"/>
      <c r="S305" s="300"/>
      <c r="T305" s="300"/>
      <c r="U305" s="300"/>
      <c r="V305" s="300"/>
      <c r="W305" s="300"/>
      <c r="X305" s="300"/>
      <c r="Y305" s="300"/>
      <c r="Z305" s="300"/>
      <c r="AA305" s="300"/>
      <c r="AB305" s="300"/>
      <c r="AC305" s="300"/>
      <c r="AD305" s="300"/>
      <c r="AE305" s="300"/>
    </row>
    <row r="306" spans="2:31" ht="14.5">
      <c r="B306" s="405">
        <f t="shared" si="8"/>
        <v>261</v>
      </c>
      <c r="C306" s="413" t="str" cm="1">
        <f t="array" aca="1" ref="C306" ca="1">IF(B306&lt;=$C$9,GetGetCDSName(B306),"")</f>
        <v/>
      </c>
      <c r="D306" s="373"/>
      <c r="E306" s="406"/>
      <c r="F306" s="325"/>
      <c r="G306" s="325"/>
      <c r="H306" s="325"/>
      <c r="I306" s="325"/>
      <c r="J306" s="325"/>
      <c r="K306" s="325"/>
      <c r="L306" s="325"/>
      <c r="M306" s="325"/>
      <c r="N306" s="407"/>
      <c r="O306" s="300"/>
      <c r="P306" s="300"/>
      <c r="Q306" s="300"/>
      <c r="R306" s="300"/>
      <c r="S306" s="300"/>
      <c r="T306" s="300"/>
      <c r="U306" s="300"/>
      <c r="V306" s="300"/>
      <c r="W306" s="300"/>
      <c r="X306" s="300"/>
      <c r="Y306" s="300"/>
      <c r="Z306" s="300"/>
      <c r="AA306" s="300"/>
      <c r="AB306" s="300"/>
      <c r="AC306" s="300"/>
      <c r="AD306" s="300"/>
      <c r="AE306" s="300"/>
    </row>
    <row r="307" spans="2:31" ht="14.5">
      <c r="B307" s="405">
        <f t="shared" si="8"/>
        <v>262</v>
      </c>
      <c r="C307" s="413" t="str" cm="1">
        <f t="array" aca="1" ref="C307" ca="1">IF(B307&lt;=$C$9,GetGetCDSName(B307),"")</f>
        <v/>
      </c>
      <c r="D307" s="373"/>
      <c r="E307" s="406"/>
      <c r="F307" s="325"/>
      <c r="G307" s="325"/>
      <c r="H307" s="325"/>
      <c r="I307" s="325"/>
      <c r="J307" s="325"/>
      <c r="K307" s="325"/>
      <c r="L307" s="325"/>
      <c r="M307" s="325"/>
      <c r="N307" s="407"/>
      <c r="O307" s="300"/>
      <c r="P307" s="300"/>
      <c r="Q307" s="300"/>
      <c r="R307" s="300"/>
      <c r="S307" s="300"/>
      <c r="T307" s="300"/>
      <c r="U307" s="300"/>
      <c r="V307" s="300"/>
      <c r="W307" s="300"/>
      <c r="X307" s="300"/>
      <c r="Y307" s="300"/>
      <c r="Z307" s="300"/>
      <c r="AA307" s="300"/>
      <c r="AB307" s="300"/>
      <c r="AC307" s="300"/>
      <c r="AD307" s="300"/>
      <c r="AE307" s="300"/>
    </row>
    <row r="308" spans="2:31" ht="14.5">
      <c r="B308" s="405">
        <f t="shared" si="8"/>
        <v>263</v>
      </c>
      <c r="C308" s="413" t="str" cm="1">
        <f t="array" aca="1" ref="C308" ca="1">IF(B308&lt;=$C$9,GetGetCDSName(B308),"")</f>
        <v/>
      </c>
      <c r="D308" s="373"/>
      <c r="E308" s="406"/>
      <c r="F308" s="325"/>
      <c r="G308" s="325"/>
      <c r="H308" s="325"/>
      <c r="I308" s="325"/>
      <c r="J308" s="325"/>
      <c r="K308" s="325"/>
      <c r="L308" s="325"/>
      <c r="M308" s="325"/>
      <c r="N308" s="407"/>
      <c r="O308" s="300"/>
      <c r="P308" s="300"/>
      <c r="Q308" s="300"/>
      <c r="R308" s="300"/>
      <c r="S308" s="300"/>
      <c r="T308" s="300"/>
      <c r="U308" s="300"/>
      <c r="V308" s="300"/>
      <c r="W308" s="300"/>
      <c r="X308" s="300"/>
      <c r="Y308" s="300"/>
      <c r="Z308" s="300"/>
      <c r="AA308" s="300"/>
      <c r="AB308" s="300"/>
      <c r="AC308" s="300"/>
      <c r="AD308" s="300"/>
      <c r="AE308" s="300"/>
    </row>
    <row r="309" spans="2:31" ht="14.5">
      <c r="B309" s="405">
        <f t="shared" si="8"/>
        <v>264</v>
      </c>
      <c r="C309" s="413" t="str" cm="1">
        <f t="array" aca="1" ref="C309" ca="1">IF(B309&lt;=$C$9,GetGetCDSName(B309),"")</f>
        <v/>
      </c>
      <c r="D309" s="373"/>
      <c r="E309" s="406"/>
      <c r="F309" s="325"/>
      <c r="G309" s="325"/>
      <c r="H309" s="325"/>
      <c r="I309" s="325"/>
      <c r="J309" s="325"/>
      <c r="K309" s="325"/>
      <c r="L309" s="325"/>
      <c r="M309" s="325"/>
      <c r="N309" s="407"/>
      <c r="O309" s="300"/>
      <c r="P309" s="300"/>
      <c r="Q309" s="300"/>
      <c r="R309" s="300"/>
      <c r="S309" s="300"/>
      <c r="T309" s="300"/>
      <c r="U309" s="300"/>
      <c r="V309" s="300"/>
      <c r="W309" s="300"/>
      <c r="X309" s="300"/>
      <c r="Y309" s="300"/>
      <c r="Z309" s="300"/>
      <c r="AA309" s="300"/>
      <c r="AB309" s="300"/>
      <c r="AC309" s="300"/>
      <c r="AD309" s="300"/>
      <c r="AE309" s="300"/>
    </row>
    <row r="310" spans="2:31" ht="14.5">
      <c r="B310" s="405">
        <f t="shared" si="8"/>
        <v>265</v>
      </c>
      <c r="C310" s="413" t="str" cm="1">
        <f t="array" aca="1" ref="C310" ca="1">IF(B310&lt;=$C$9,GetGetCDSName(B310),"")</f>
        <v/>
      </c>
      <c r="D310" s="373"/>
      <c r="E310" s="406"/>
      <c r="F310" s="325"/>
      <c r="G310" s="325"/>
      <c r="H310" s="325"/>
      <c r="I310" s="325"/>
      <c r="J310" s="325"/>
      <c r="K310" s="325"/>
      <c r="L310" s="325"/>
      <c r="M310" s="325"/>
      <c r="N310" s="407"/>
      <c r="O310" s="300"/>
      <c r="P310" s="300"/>
      <c r="Q310" s="300"/>
      <c r="R310" s="300"/>
      <c r="S310" s="300"/>
      <c r="T310" s="300"/>
      <c r="U310" s="300"/>
      <c r="V310" s="300"/>
      <c r="W310" s="300"/>
      <c r="X310" s="300"/>
      <c r="Y310" s="300"/>
      <c r="Z310" s="300"/>
      <c r="AA310" s="300"/>
      <c r="AB310" s="300"/>
      <c r="AC310" s="300"/>
      <c r="AD310" s="300"/>
      <c r="AE310" s="300"/>
    </row>
    <row r="311" spans="2:31" ht="14.5">
      <c r="B311" s="405">
        <f t="shared" si="8"/>
        <v>266</v>
      </c>
      <c r="C311" s="413" t="str" cm="1">
        <f t="array" aca="1" ref="C311" ca="1">IF(B311&lt;=$C$9,GetGetCDSName(B311),"")</f>
        <v/>
      </c>
      <c r="D311" s="373"/>
      <c r="E311" s="406"/>
      <c r="F311" s="325"/>
      <c r="G311" s="325"/>
      <c r="H311" s="325"/>
      <c r="I311" s="325"/>
      <c r="J311" s="325"/>
      <c r="K311" s="325"/>
      <c r="L311" s="325"/>
      <c r="M311" s="325"/>
      <c r="N311" s="407"/>
      <c r="O311" s="300"/>
      <c r="P311" s="300"/>
      <c r="Q311" s="300"/>
      <c r="R311" s="300"/>
      <c r="S311" s="300"/>
      <c r="T311" s="300"/>
      <c r="U311" s="300"/>
      <c r="V311" s="300"/>
      <c r="W311" s="300"/>
      <c r="X311" s="300"/>
      <c r="Y311" s="300"/>
      <c r="Z311" s="300"/>
      <c r="AA311" s="300"/>
      <c r="AB311" s="300"/>
      <c r="AC311" s="300"/>
      <c r="AD311" s="300"/>
      <c r="AE311" s="300"/>
    </row>
    <row r="312" spans="2:31" ht="14.5">
      <c r="B312" s="405">
        <f t="shared" si="8"/>
        <v>267</v>
      </c>
      <c r="C312" s="413" t="str" cm="1">
        <f t="array" aca="1" ref="C312" ca="1">IF(B312&lt;=$C$9,GetGetCDSName(B312),"")</f>
        <v/>
      </c>
      <c r="D312" s="373"/>
      <c r="E312" s="406"/>
      <c r="F312" s="325"/>
      <c r="G312" s="325"/>
      <c r="H312" s="325"/>
      <c r="I312" s="325"/>
      <c r="J312" s="325"/>
      <c r="K312" s="325"/>
      <c r="L312" s="325"/>
      <c r="M312" s="325"/>
      <c r="N312" s="407"/>
      <c r="O312" s="300"/>
      <c r="P312" s="300"/>
      <c r="Q312" s="300"/>
      <c r="R312" s="300"/>
      <c r="S312" s="300"/>
      <c r="T312" s="300"/>
      <c r="U312" s="300"/>
      <c r="V312" s="300"/>
      <c r="W312" s="300"/>
      <c r="X312" s="300"/>
      <c r="Y312" s="300"/>
      <c r="Z312" s="300"/>
      <c r="AA312" s="300"/>
      <c r="AB312" s="300"/>
      <c r="AC312" s="300"/>
      <c r="AD312" s="300"/>
      <c r="AE312" s="300"/>
    </row>
    <row r="313" spans="2:31" ht="14.5">
      <c r="B313" s="405">
        <f t="shared" si="8"/>
        <v>268</v>
      </c>
      <c r="C313" s="413" t="str" cm="1">
        <f t="array" aca="1" ref="C313" ca="1">IF(B313&lt;=$C$9,GetGetCDSName(B313),"")</f>
        <v/>
      </c>
      <c r="D313" s="373"/>
      <c r="E313" s="406"/>
      <c r="F313" s="325"/>
      <c r="G313" s="325"/>
      <c r="H313" s="325"/>
      <c r="I313" s="325"/>
      <c r="J313" s="325"/>
      <c r="K313" s="325"/>
      <c r="L313" s="325"/>
      <c r="M313" s="325"/>
      <c r="N313" s="407"/>
      <c r="O313" s="300"/>
      <c r="P313" s="300"/>
      <c r="Q313" s="300"/>
      <c r="R313" s="300"/>
      <c r="S313" s="300"/>
      <c r="T313" s="300"/>
      <c r="U313" s="300"/>
      <c r="V313" s="300"/>
      <c r="W313" s="300"/>
      <c r="X313" s="300"/>
      <c r="Y313" s="300"/>
      <c r="Z313" s="300"/>
      <c r="AA313" s="300"/>
      <c r="AB313" s="300"/>
      <c r="AC313" s="300"/>
      <c r="AD313" s="300"/>
      <c r="AE313" s="300"/>
    </row>
    <row r="314" spans="2:31" ht="14.5">
      <c r="B314" s="405">
        <f t="shared" si="8"/>
        <v>269</v>
      </c>
      <c r="C314" s="413" t="str" cm="1">
        <f t="array" aca="1" ref="C314" ca="1">IF(B314&lt;=$C$9,GetGetCDSName(B314),"")</f>
        <v/>
      </c>
      <c r="D314" s="373"/>
      <c r="E314" s="406"/>
      <c r="F314" s="325"/>
      <c r="G314" s="325"/>
      <c r="H314" s="325"/>
      <c r="I314" s="325"/>
      <c r="J314" s="325"/>
      <c r="K314" s="325"/>
      <c r="L314" s="325"/>
      <c r="M314" s="325"/>
      <c r="N314" s="407"/>
      <c r="O314" s="300"/>
      <c r="P314" s="300"/>
      <c r="Q314" s="300"/>
      <c r="R314" s="300"/>
      <c r="S314" s="300"/>
      <c r="T314" s="300"/>
      <c r="U314" s="300"/>
      <c r="V314" s="300"/>
      <c r="W314" s="300"/>
      <c r="X314" s="300"/>
      <c r="Y314" s="300"/>
      <c r="Z314" s="300"/>
      <c r="AA314" s="300"/>
      <c r="AB314" s="300"/>
      <c r="AC314" s="300"/>
      <c r="AD314" s="300"/>
      <c r="AE314" s="300"/>
    </row>
    <row r="315" spans="2:31" ht="14.5">
      <c r="B315" s="405">
        <f t="shared" si="8"/>
        <v>270</v>
      </c>
      <c r="C315" s="413" t="str" cm="1">
        <f t="array" aca="1" ref="C315" ca="1">IF(B315&lt;=$C$9,GetGetCDSName(B315),"")</f>
        <v/>
      </c>
      <c r="D315" s="373"/>
      <c r="E315" s="406"/>
      <c r="F315" s="325"/>
      <c r="G315" s="325"/>
      <c r="H315" s="325"/>
      <c r="I315" s="325"/>
      <c r="J315" s="325"/>
      <c r="K315" s="325"/>
      <c r="L315" s="325"/>
      <c r="M315" s="325"/>
      <c r="N315" s="407"/>
      <c r="O315" s="300"/>
      <c r="P315" s="300"/>
      <c r="Q315" s="300"/>
      <c r="R315" s="300"/>
      <c r="S315" s="300"/>
      <c r="T315" s="300"/>
      <c r="U315" s="300"/>
      <c r="V315" s="300"/>
      <c r="W315" s="300"/>
      <c r="X315" s="300"/>
      <c r="Y315" s="300"/>
      <c r="Z315" s="300"/>
      <c r="AA315" s="300"/>
      <c r="AB315" s="300"/>
      <c r="AC315" s="300"/>
      <c r="AD315" s="300"/>
      <c r="AE315" s="300"/>
    </row>
    <row r="316" spans="2:31" ht="14.5">
      <c r="B316" s="405">
        <f t="shared" si="8"/>
        <v>271</v>
      </c>
      <c r="C316" s="413" t="str" cm="1">
        <f t="array" aca="1" ref="C316" ca="1">IF(B316&lt;=$C$9,GetGetCDSName(B316),"")</f>
        <v/>
      </c>
      <c r="D316" s="373"/>
      <c r="E316" s="406"/>
      <c r="F316" s="325"/>
      <c r="G316" s="325"/>
      <c r="H316" s="325"/>
      <c r="I316" s="325"/>
      <c r="J316" s="325"/>
      <c r="K316" s="325"/>
      <c r="L316" s="325"/>
      <c r="M316" s="325"/>
      <c r="N316" s="407"/>
      <c r="O316" s="300"/>
      <c r="P316" s="300"/>
      <c r="Q316" s="300"/>
      <c r="R316" s="300"/>
      <c r="S316" s="300"/>
      <c r="T316" s="300"/>
      <c r="U316" s="300"/>
      <c r="V316" s="300"/>
      <c r="W316" s="300"/>
      <c r="X316" s="300"/>
      <c r="Y316" s="300"/>
      <c r="Z316" s="300"/>
      <c r="AA316" s="300"/>
      <c r="AB316" s="300"/>
      <c r="AC316" s="300"/>
      <c r="AD316" s="300"/>
      <c r="AE316" s="300"/>
    </row>
    <row r="317" spans="2:31" ht="14.5">
      <c r="B317" s="405">
        <f t="shared" si="8"/>
        <v>272</v>
      </c>
      <c r="C317" s="413" t="str" cm="1">
        <f t="array" aca="1" ref="C317" ca="1">IF(B317&lt;=$C$9,GetGetCDSName(B317),"")</f>
        <v/>
      </c>
      <c r="D317" s="373"/>
      <c r="E317" s="406"/>
      <c r="F317" s="325"/>
      <c r="G317" s="325"/>
      <c r="H317" s="325"/>
      <c r="I317" s="325"/>
      <c r="J317" s="325"/>
      <c r="K317" s="325"/>
      <c r="L317" s="325"/>
      <c r="M317" s="325"/>
      <c r="N317" s="407"/>
      <c r="O317" s="300"/>
      <c r="P317" s="300"/>
      <c r="Q317" s="300"/>
      <c r="R317" s="300"/>
      <c r="S317" s="300"/>
      <c r="T317" s="300"/>
      <c r="U317" s="300"/>
      <c r="V317" s="300"/>
      <c r="W317" s="300"/>
      <c r="X317" s="300"/>
      <c r="Y317" s="300"/>
      <c r="Z317" s="300"/>
      <c r="AA317" s="300"/>
      <c r="AB317" s="300"/>
      <c r="AC317" s="300"/>
      <c r="AD317" s="300"/>
      <c r="AE317" s="300"/>
    </row>
    <row r="318" spans="2:31" ht="14.5">
      <c r="B318" s="405">
        <f t="shared" si="8"/>
        <v>273</v>
      </c>
      <c r="C318" s="413" t="str" cm="1">
        <f t="array" aca="1" ref="C318" ca="1">IF(B318&lt;=$C$9,GetGetCDSName(B318),"")</f>
        <v/>
      </c>
      <c r="D318" s="373"/>
      <c r="E318" s="406"/>
      <c r="F318" s="325"/>
      <c r="G318" s="325"/>
      <c r="H318" s="325"/>
      <c r="I318" s="325"/>
      <c r="J318" s="325"/>
      <c r="K318" s="325"/>
      <c r="L318" s="325"/>
      <c r="M318" s="325"/>
      <c r="N318" s="407"/>
      <c r="O318" s="300"/>
      <c r="P318" s="300"/>
      <c r="Q318" s="300"/>
      <c r="R318" s="300"/>
      <c r="S318" s="300"/>
      <c r="T318" s="300"/>
      <c r="U318" s="300"/>
      <c r="V318" s="300"/>
      <c r="W318" s="300"/>
      <c r="X318" s="300"/>
      <c r="Y318" s="300"/>
      <c r="Z318" s="300"/>
      <c r="AA318" s="300"/>
      <c r="AB318" s="300"/>
      <c r="AC318" s="300"/>
      <c r="AD318" s="300"/>
      <c r="AE318" s="300"/>
    </row>
    <row r="319" spans="2:31" ht="14.5">
      <c r="B319" s="405">
        <f t="shared" si="8"/>
        <v>274</v>
      </c>
      <c r="C319" s="413" t="str" cm="1">
        <f t="array" aca="1" ref="C319" ca="1">IF(B319&lt;=$C$9,GetGetCDSName(B319),"")</f>
        <v/>
      </c>
      <c r="D319" s="373"/>
      <c r="E319" s="406"/>
      <c r="F319" s="325"/>
      <c r="G319" s="325"/>
      <c r="H319" s="325"/>
      <c r="I319" s="325"/>
      <c r="J319" s="325"/>
      <c r="K319" s="325"/>
      <c r="L319" s="325"/>
      <c r="M319" s="325"/>
      <c r="N319" s="407"/>
      <c r="O319" s="300"/>
      <c r="P319" s="300"/>
      <c r="Q319" s="300"/>
      <c r="R319" s="300"/>
      <c r="S319" s="300"/>
      <c r="T319" s="300"/>
      <c r="U319" s="300"/>
      <c r="V319" s="300"/>
      <c r="W319" s="300"/>
      <c r="X319" s="300"/>
      <c r="Y319" s="300"/>
      <c r="Z319" s="300"/>
      <c r="AA319" s="300"/>
      <c r="AB319" s="300"/>
      <c r="AC319" s="300"/>
      <c r="AD319" s="300"/>
      <c r="AE319" s="300"/>
    </row>
    <row r="320" spans="2:31" ht="14.5">
      <c r="B320" s="405">
        <f t="shared" si="8"/>
        <v>275</v>
      </c>
      <c r="C320" s="413" t="str" cm="1">
        <f t="array" aca="1" ref="C320" ca="1">IF(B320&lt;=$C$9,GetGetCDSName(B320),"")</f>
        <v/>
      </c>
      <c r="D320" s="373"/>
      <c r="E320" s="406"/>
      <c r="F320" s="325"/>
      <c r="G320" s="325"/>
      <c r="H320" s="325"/>
      <c r="I320" s="325"/>
      <c r="J320" s="325"/>
      <c r="K320" s="325"/>
      <c r="L320" s="325"/>
      <c r="M320" s="325"/>
      <c r="N320" s="407"/>
      <c r="O320" s="300"/>
      <c r="P320" s="300"/>
      <c r="Q320" s="300"/>
      <c r="R320" s="300"/>
      <c r="S320" s="300"/>
      <c r="T320" s="300"/>
      <c r="U320" s="300"/>
      <c r="V320" s="300"/>
      <c r="W320" s="300"/>
      <c r="X320" s="300"/>
      <c r="Y320" s="300"/>
      <c r="Z320" s="300"/>
      <c r="AA320" s="300"/>
      <c r="AB320" s="300"/>
      <c r="AC320" s="300"/>
      <c r="AD320" s="300"/>
      <c r="AE320" s="300"/>
    </row>
    <row r="321" spans="2:31" ht="14.5">
      <c r="B321" s="405">
        <f t="shared" si="8"/>
        <v>276</v>
      </c>
      <c r="C321" s="413" t="str" cm="1">
        <f t="array" aca="1" ref="C321" ca="1">IF(B321&lt;=$C$9,GetGetCDSName(B321),"")</f>
        <v/>
      </c>
      <c r="D321" s="373"/>
      <c r="E321" s="406"/>
      <c r="F321" s="325"/>
      <c r="G321" s="325"/>
      <c r="H321" s="325"/>
      <c r="I321" s="325"/>
      <c r="J321" s="325"/>
      <c r="K321" s="325"/>
      <c r="L321" s="325"/>
      <c r="M321" s="325"/>
      <c r="N321" s="407"/>
      <c r="O321" s="300"/>
      <c r="P321" s="300"/>
      <c r="Q321" s="300"/>
      <c r="R321" s="300"/>
      <c r="S321" s="300"/>
      <c r="T321" s="300"/>
      <c r="U321" s="300"/>
      <c r="V321" s="300"/>
      <c r="W321" s="300"/>
      <c r="X321" s="300"/>
      <c r="Y321" s="300"/>
      <c r="Z321" s="300"/>
      <c r="AA321" s="300"/>
      <c r="AB321" s="300"/>
      <c r="AC321" s="300"/>
      <c r="AD321" s="300"/>
      <c r="AE321" s="300"/>
    </row>
    <row r="322" spans="2:31" ht="14.5">
      <c r="B322" s="405">
        <f t="shared" si="8"/>
        <v>277</v>
      </c>
      <c r="C322" s="413" t="str" cm="1">
        <f t="array" aca="1" ref="C322" ca="1">IF(B322&lt;=$C$9,GetGetCDSName(B322),"")</f>
        <v/>
      </c>
      <c r="D322" s="373"/>
      <c r="E322" s="406"/>
      <c r="F322" s="325"/>
      <c r="G322" s="325"/>
      <c r="H322" s="325"/>
      <c r="I322" s="325"/>
      <c r="J322" s="325"/>
      <c r="K322" s="325"/>
      <c r="L322" s="325"/>
      <c r="M322" s="325"/>
      <c r="N322" s="407"/>
      <c r="O322" s="300"/>
      <c r="P322" s="300"/>
      <c r="Q322" s="300"/>
      <c r="R322" s="300"/>
      <c r="S322" s="300"/>
      <c r="T322" s="300"/>
      <c r="U322" s="300"/>
      <c r="V322" s="300"/>
      <c r="W322" s="300"/>
      <c r="X322" s="300"/>
      <c r="Y322" s="300"/>
      <c r="Z322" s="300"/>
      <c r="AA322" s="300"/>
      <c r="AB322" s="300"/>
      <c r="AC322" s="300"/>
      <c r="AD322" s="300"/>
      <c r="AE322" s="300"/>
    </row>
    <row r="323" spans="2:31" ht="14.5">
      <c r="B323" s="405">
        <f t="shared" si="8"/>
        <v>278</v>
      </c>
      <c r="C323" s="413" t="str" cm="1">
        <f t="array" aca="1" ref="C323" ca="1">IF(B323&lt;=$C$9,GetGetCDSName(B323),"")</f>
        <v/>
      </c>
      <c r="D323" s="373"/>
      <c r="E323" s="406"/>
      <c r="F323" s="325"/>
      <c r="G323" s="325"/>
      <c r="H323" s="325"/>
      <c r="I323" s="325"/>
      <c r="J323" s="325"/>
      <c r="K323" s="325"/>
      <c r="L323" s="325"/>
      <c r="M323" s="325"/>
      <c r="N323" s="407"/>
      <c r="O323" s="300"/>
      <c r="P323" s="300"/>
      <c r="Q323" s="300"/>
      <c r="R323" s="300"/>
      <c r="S323" s="300"/>
      <c r="T323" s="300"/>
      <c r="U323" s="300"/>
      <c r="V323" s="300"/>
      <c r="W323" s="300"/>
      <c r="X323" s="300"/>
      <c r="Y323" s="300"/>
      <c r="Z323" s="300"/>
      <c r="AA323" s="300"/>
      <c r="AB323" s="300"/>
      <c r="AC323" s="300"/>
      <c r="AD323" s="300"/>
      <c r="AE323" s="300"/>
    </row>
    <row r="324" spans="2:31" ht="14.5">
      <c r="B324" s="405">
        <f t="shared" si="8"/>
        <v>279</v>
      </c>
      <c r="C324" s="413" t="str" cm="1">
        <f t="array" aca="1" ref="C324" ca="1">IF(B324&lt;=$C$9,GetGetCDSName(B324),"")</f>
        <v/>
      </c>
      <c r="D324" s="373"/>
      <c r="E324" s="406"/>
      <c r="F324" s="325"/>
      <c r="G324" s="325"/>
      <c r="H324" s="325"/>
      <c r="I324" s="325"/>
      <c r="J324" s="325"/>
      <c r="K324" s="325"/>
      <c r="L324" s="325"/>
      <c r="M324" s="325"/>
      <c r="N324" s="407"/>
      <c r="O324" s="300"/>
      <c r="P324" s="300"/>
      <c r="Q324" s="300"/>
      <c r="R324" s="300"/>
      <c r="S324" s="300"/>
      <c r="T324" s="300"/>
      <c r="U324" s="300"/>
      <c r="V324" s="300"/>
      <c r="W324" s="300"/>
      <c r="X324" s="300"/>
      <c r="Y324" s="300"/>
      <c r="Z324" s="300"/>
      <c r="AA324" s="300"/>
      <c r="AB324" s="300"/>
      <c r="AC324" s="300"/>
      <c r="AD324" s="300"/>
      <c r="AE324" s="300"/>
    </row>
    <row r="325" spans="2:31" ht="14.5">
      <c r="B325" s="405">
        <f t="shared" si="8"/>
        <v>280</v>
      </c>
      <c r="C325" s="413" t="str" cm="1">
        <f t="array" aca="1" ref="C325" ca="1">IF(B325&lt;=$C$9,GetGetCDSName(B325),"")</f>
        <v/>
      </c>
      <c r="D325" s="373"/>
      <c r="E325" s="406"/>
      <c r="F325" s="325"/>
      <c r="G325" s="325"/>
      <c r="H325" s="325"/>
      <c r="I325" s="325"/>
      <c r="J325" s="325"/>
      <c r="K325" s="325"/>
      <c r="L325" s="325"/>
      <c r="M325" s="325"/>
      <c r="N325" s="407"/>
      <c r="O325" s="300"/>
      <c r="P325" s="300"/>
      <c r="Q325" s="300"/>
      <c r="R325" s="300"/>
      <c r="S325" s="300"/>
      <c r="T325" s="300"/>
      <c r="U325" s="300"/>
      <c r="V325" s="300"/>
      <c r="W325" s="300"/>
      <c r="X325" s="300"/>
      <c r="Y325" s="300"/>
      <c r="Z325" s="300"/>
      <c r="AA325" s="300"/>
      <c r="AB325" s="300"/>
      <c r="AC325" s="300"/>
      <c r="AD325" s="300"/>
      <c r="AE325" s="300"/>
    </row>
    <row r="326" spans="2:31" ht="14.5">
      <c r="B326" s="405">
        <f t="shared" si="8"/>
        <v>281</v>
      </c>
      <c r="C326" s="413" t="str" cm="1">
        <f t="array" aca="1" ref="C326" ca="1">IF(B326&lt;=$C$9,GetGetCDSName(B326),"")</f>
        <v/>
      </c>
      <c r="D326" s="373"/>
      <c r="E326" s="406"/>
      <c r="F326" s="325"/>
      <c r="G326" s="325"/>
      <c r="H326" s="325"/>
      <c r="I326" s="325"/>
      <c r="J326" s="325"/>
      <c r="K326" s="325"/>
      <c r="L326" s="325"/>
      <c r="M326" s="325"/>
      <c r="N326" s="407"/>
      <c r="O326" s="300"/>
      <c r="P326" s="300"/>
      <c r="Q326" s="300"/>
      <c r="R326" s="300"/>
      <c r="S326" s="300"/>
      <c r="T326" s="300"/>
      <c r="U326" s="300"/>
      <c r="V326" s="300"/>
      <c r="W326" s="300"/>
      <c r="X326" s="300"/>
      <c r="Y326" s="300"/>
      <c r="Z326" s="300"/>
      <c r="AA326" s="300"/>
      <c r="AB326" s="300"/>
      <c r="AC326" s="300"/>
      <c r="AD326" s="300"/>
      <c r="AE326" s="300"/>
    </row>
    <row r="327" spans="2:31" ht="14.5">
      <c r="B327" s="405">
        <f t="shared" si="8"/>
        <v>282</v>
      </c>
      <c r="C327" s="413" t="str" cm="1">
        <f t="array" aca="1" ref="C327" ca="1">IF(B327&lt;=$C$9,GetGetCDSName(B327),"")</f>
        <v/>
      </c>
      <c r="D327" s="373"/>
      <c r="E327" s="406"/>
      <c r="F327" s="325"/>
      <c r="G327" s="325"/>
      <c r="H327" s="325"/>
      <c r="I327" s="325"/>
      <c r="J327" s="325"/>
      <c r="K327" s="325"/>
      <c r="L327" s="325"/>
      <c r="M327" s="325"/>
      <c r="N327" s="407"/>
      <c r="O327" s="300"/>
      <c r="P327" s="300"/>
      <c r="Q327" s="300"/>
      <c r="R327" s="300"/>
      <c r="S327" s="300"/>
      <c r="T327" s="300"/>
      <c r="U327" s="300"/>
      <c r="V327" s="300"/>
      <c r="W327" s="300"/>
      <c r="X327" s="300"/>
      <c r="Y327" s="300"/>
      <c r="Z327" s="300"/>
      <c r="AA327" s="300"/>
      <c r="AB327" s="300"/>
      <c r="AC327" s="300"/>
      <c r="AD327" s="300"/>
      <c r="AE327" s="300"/>
    </row>
    <row r="328" spans="2:31" ht="14.5">
      <c r="B328" s="405">
        <f t="shared" si="8"/>
        <v>283</v>
      </c>
      <c r="C328" s="413" t="str" cm="1">
        <f t="array" aca="1" ref="C328" ca="1">IF(B328&lt;=$C$9,GetGetCDSName(B328),"")</f>
        <v/>
      </c>
      <c r="D328" s="373"/>
      <c r="E328" s="406"/>
      <c r="F328" s="325"/>
      <c r="G328" s="325"/>
      <c r="H328" s="325"/>
      <c r="I328" s="325"/>
      <c r="J328" s="325"/>
      <c r="K328" s="325"/>
      <c r="L328" s="325"/>
      <c r="M328" s="325"/>
      <c r="N328" s="407"/>
      <c r="O328" s="300"/>
      <c r="P328" s="300"/>
      <c r="Q328" s="300"/>
      <c r="R328" s="300"/>
      <c r="S328" s="300"/>
      <c r="T328" s="300"/>
      <c r="U328" s="300"/>
      <c r="V328" s="300"/>
      <c r="W328" s="300"/>
      <c r="X328" s="300"/>
      <c r="Y328" s="300"/>
      <c r="Z328" s="300"/>
      <c r="AA328" s="300"/>
      <c r="AB328" s="300"/>
      <c r="AC328" s="300"/>
      <c r="AD328" s="300"/>
      <c r="AE328" s="300"/>
    </row>
    <row r="329" spans="2:31" ht="14.5">
      <c r="B329" s="405">
        <f t="shared" si="8"/>
        <v>284</v>
      </c>
      <c r="C329" s="413" t="str" cm="1">
        <f t="array" aca="1" ref="C329" ca="1">IF(B329&lt;=$C$9,GetGetCDSName(B329),"")</f>
        <v/>
      </c>
      <c r="D329" s="373"/>
      <c r="E329" s="406"/>
      <c r="F329" s="325"/>
      <c r="G329" s="325"/>
      <c r="H329" s="325"/>
      <c r="I329" s="325"/>
      <c r="J329" s="325"/>
      <c r="K329" s="325"/>
      <c r="L329" s="325"/>
      <c r="M329" s="325"/>
      <c r="N329" s="407"/>
      <c r="O329" s="300"/>
      <c r="P329" s="300"/>
      <c r="Q329" s="300"/>
      <c r="R329" s="300"/>
      <c r="S329" s="300"/>
      <c r="T329" s="300"/>
      <c r="U329" s="300"/>
      <c r="V329" s="300"/>
      <c r="W329" s="300"/>
      <c r="X329" s="300"/>
      <c r="Y329" s="300"/>
      <c r="Z329" s="300"/>
      <c r="AA329" s="300"/>
      <c r="AB329" s="300"/>
      <c r="AC329" s="300"/>
      <c r="AD329" s="300"/>
      <c r="AE329" s="300"/>
    </row>
    <row r="330" spans="2:31" ht="14.5">
      <c r="B330" s="405">
        <f t="shared" si="8"/>
        <v>285</v>
      </c>
      <c r="C330" s="413" t="str" cm="1">
        <f t="array" aca="1" ref="C330" ca="1">IF(B330&lt;=$C$9,GetGetCDSName(B330),"")</f>
        <v/>
      </c>
      <c r="D330" s="373"/>
      <c r="E330" s="406"/>
      <c r="F330" s="325"/>
      <c r="G330" s="325"/>
      <c r="H330" s="325"/>
      <c r="I330" s="325"/>
      <c r="J330" s="325"/>
      <c r="K330" s="325"/>
      <c r="L330" s="325"/>
      <c r="M330" s="325"/>
      <c r="N330" s="407"/>
      <c r="O330" s="300"/>
      <c r="P330" s="300"/>
      <c r="Q330" s="300"/>
      <c r="R330" s="300"/>
      <c r="S330" s="300"/>
      <c r="T330" s="300"/>
      <c r="U330" s="300"/>
      <c r="V330" s="300"/>
      <c r="W330" s="300"/>
      <c r="X330" s="300"/>
      <c r="Y330" s="300"/>
      <c r="Z330" s="300"/>
      <c r="AA330" s="300"/>
      <c r="AB330" s="300"/>
      <c r="AC330" s="300"/>
      <c r="AD330" s="300"/>
      <c r="AE330" s="300"/>
    </row>
    <row r="331" spans="2:31" ht="14.5">
      <c r="B331" s="405">
        <f t="shared" si="8"/>
        <v>286</v>
      </c>
      <c r="C331" s="413" t="str" cm="1">
        <f t="array" aca="1" ref="C331" ca="1">IF(B331&lt;=$C$9,GetGetCDSName(B331),"")</f>
        <v/>
      </c>
      <c r="D331" s="373"/>
      <c r="E331" s="406"/>
      <c r="F331" s="325"/>
      <c r="G331" s="325"/>
      <c r="H331" s="325"/>
      <c r="I331" s="325"/>
      <c r="J331" s="325"/>
      <c r="K331" s="325"/>
      <c r="L331" s="325"/>
      <c r="M331" s="325"/>
      <c r="N331" s="407"/>
      <c r="O331" s="300"/>
      <c r="P331" s="300"/>
      <c r="Q331" s="300"/>
      <c r="R331" s="300"/>
      <c r="S331" s="300"/>
      <c r="T331" s="300"/>
      <c r="U331" s="300"/>
      <c r="V331" s="300"/>
      <c r="W331" s="300"/>
      <c r="X331" s="300"/>
      <c r="Y331" s="300"/>
      <c r="Z331" s="300"/>
      <c r="AA331" s="300"/>
      <c r="AB331" s="300"/>
      <c r="AC331" s="300"/>
      <c r="AD331" s="300"/>
      <c r="AE331" s="300"/>
    </row>
    <row r="332" spans="2:31" ht="14.5">
      <c r="B332" s="405">
        <f t="shared" si="8"/>
        <v>287</v>
      </c>
      <c r="C332" s="413" t="str" cm="1">
        <f t="array" aca="1" ref="C332" ca="1">IF(B332&lt;=$C$9,GetGetCDSName(B332),"")</f>
        <v/>
      </c>
      <c r="D332" s="373"/>
      <c r="E332" s="406"/>
      <c r="F332" s="325"/>
      <c r="G332" s="325"/>
      <c r="H332" s="325"/>
      <c r="I332" s="325"/>
      <c r="J332" s="325"/>
      <c r="K332" s="325"/>
      <c r="L332" s="325"/>
      <c r="M332" s="325"/>
      <c r="N332" s="407"/>
      <c r="O332" s="300"/>
      <c r="P332" s="300"/>
      <c r="Q332" s="300"/>
      <c r="R332" s="300"/>
      <c r="S332" s="300"/>
      <c r="T332" s="300"/>
      <c r="U332" s="300"/>
      <c r="V332" s="300"/>
      <c r="W332" s="300"/>
      <c r="X332" s="300"/>
      <c r="Y332" s="300"/>
      <c r="Z332" s="300"/>
      <c r="AA332" s="300"/>
      <c r="AB332" s="300"/>
      <c r="AC332" s="300"/>
      <c r="AD332" s="300"/>
      <c r="AE332" s="300"/>
    </row>
    <row r="333" spans="2:31" ht="14.5">
      <c r="B333" s="405">
        <f t="shared" si="8"/>
        <v>288</v>
      </c>
      <c r="C333" s="413" t="str" cm="1">
        <f t="array" aca="1" ref="C333" ca="1">IF(B333&lt;=$C$9,GetGetCDSName(B333),"")</f>
        <v/>
      </c>
      <c r="D333" s="373"/>
      <c r="E333" s="406"/>
      <c r="F333" s="325"/>
      <c r="G333" s="325"/>
      <c r="H333" s="325"/>
      <c r="I333" s="325"/>
      <c r="J333" s="325"/>
      <c r="K333" s="325"/>
      <c r="L333" s="325"/>
      <c r="M333" s="325"/>
      <c r="N333" s="407"/>
      <c r="O333" s="300"/>
      <c r="P333" s="300"/>
      <c r="Q333" s="300"/>
      <c r="R333" s="300"/>
      <c r="S333" s="300"/>
      <c r="T333" s="300"/>
      <c r="U333" s="300"/>
      <c r="V333" s="300"/>
      <c r="W333" s="300"/>
      <c r="X333" s="300"/>
      <c r="Y333" s="300"/>
      <c r="Z333" s="300"/>
      <c r="AA333" s="300"/>
      <c r="AB333" s="300"/>
      <c r="AC333" s="300"/>
      <c r="AD333" s="300"/>
      <c r="AE333" s="300"/>
    </row>
    <row r="334" spans="2:31" ht="14.5">
      <c r="B334" s="405">
        <f t="shared" si="8"/>
        <v>289</v>
      </c>
      <c r="C334" s="413" t="str" cm="1">
        <f t="array" aca="1" ref="C334" ca="1">IF(B334&lt;=$C$9,GetGetCDSName(B334),"")</f>
        <v/>
      </c>
      <c r="D334" s="373"/>
      <c r="E334" s="406"/>
      <c r="F334" s="325"/>
      <c r="G334" s="325"/>
      <c r="H334" s="325"/>
      <c r="I334" s="325"/>
      <c r="J334" s="325"/>
      <c r="K334" s="325"/>
      <c r="L334" s="325"/>
      <c r="M334" s="325"/>
      <c r="N334" s="407"/>
      <c r="O334" s="300"/>
      <c r="P334" s="300"/>
      <c r="Q334" s="300"/>
      <c r="R334" s="300"/>
      <c r="S334" s="300"/>
      <c r="T334" s="300"/>
      <c r="U334" s="300"/>
      <c r="V334" s="300"/>
      <c r="W334" s="300"/>
      <c r="X334" s="300"/>
      <c r="Y334" s="300"/>
      <c r="Z334" s="300"/>
      <c r="AA334" s="300"/>
      <c r="AB334" s="300"/>
      <c r="AC334" s="300"/>
      <c r="AD334" s="300"/>
      <c r="AE334" s="300"/>
    </row>
    <row r="335" spans="2:31" ht="14.5">
      <c r="B335" s="405">
        <f t="shared" si="8"/>
        <v>290</v>
      </c>
      <c r="C335" s="413" t="str" cm="1">
        <f t="array" aca="1" ref="C335" ca="1">IF(B335&lt;=$C$9,GetGetCDSName(B335),"")</f>
        <v/>
      </c>
      <c r="D335" s="373"/>
      <c r="E335" s="406"/>
      <c r="F335" s="325"/>
      <c r="G335" s="325"/>
      <c r="H335" s="325"/>
      <c r="I335" s="325"/>
      <c r="J335" s="325"/>
      <c r="K335" s="325"/>
      <c r="L335" s="325"/>
      <c r="M335" s="325"/>
      <c r="N335" s="407"/>
      <c r="O335" s="300"/>
      <c r="P335" s="300"/>
      <c r="Q335" s="300"/>
      <c r="R335" s="300"/>
      <c r="S335" s="300"/>
      <c r="T335" s="300"/>
      <c r="U335" s="300"/>
      <c r="V335" s="300"/>
      <c r="W335" s="300"/>
      <c r="X335" s="300"/>
      <c r="Y335" s="300"/>
      <c r="Z335" s="300"/>
      <c r="AA335" s="300"/>
      <c r="AB335" s="300"/>
      <c r="AC335" s="300"/>
      <c r="AD335" s="300"/>
      <c r="AE335" s="300"/>
    </row>
    <row r="336" spans="2:31" ht="14.5">
      <c r="B336" s="405">
        <f t="shared" si="8"/>
        <v>291</v>
      </c>
      <c r="C336" s="413" t="str" cm="1">
        <f t="array" aca="1" ref="C336" ca="1">IF(B336&lt;=$C$9,GetGetCDSName(B336),"")</f>
        <v/>
      </c>
      <c r="D336" s="373"/>
      <c r="E336" s="406"/>
      <c r="F336" s="325"/>
      <c r="G336" s="325"/>
      <c r="H336" s="325"/>
      <c r="I336" s="325"/>
      <c r="J336" s="325"/>
      <c r="K336" s="325"/>
      <c r="L336" s="325"/>
      <c r="M336" s="325"/>
      <c r="N336" s="407"/>
      <c r="O336" s="300"/>
      <c r="P336" s="300"/>
      <c r="Q336" s="300"/>
      <c r="R336" s="300"/>
      <c r="S336" s="300"/>
      <c r="T336" s="300"/>
      <c r="U336" s="300"/>
      <c r="V336" s="300"/>
      <c r="W336" s="300"/>
      <c r="X336" s="300"/>
      <c r="Y336" s="300"/>
      <c r="Z336" s="300"/>
      <c r="AA336" s="300"/>
      <c r="AB336" s="300"/>
      <c r="AC336" s="300"/>
      <c r="AD336" s="300"/>
      <c r="AE336" s="300"/>
    </row>
    <row r="337" spans="2:31" ht="14.5">
      <c r="B337" s="405">
        <f t="shared" si="8"/>
        <v>292</v>
      </c>
      <c r="C337" s="413" t="str" cm="1">
        <f t="array" aca="1" ref="C337" ca="1">IF(B337&lt;=$C$9,GetGetCDSName(B337),"")</f>
        <v/>
      </c>
      <c r="D337" s="373"/>
      <c r="E337" s="406"/>
      <c r="F337" s="325"/>
      <c r="G337" s="325"/>
      <c r="H337" s="325"/>
      <c r="I337" s="325"/>
      <c r="J337" s="325"/>
      <c r="K337" s="325"/>
      <c r="L337" s="325"/>
      <c r="M337" s="325"/>
      <c r="N337" s="407"/>
      <c r="O337" s="300"/>
      <c r="P337" s="300"/>
      <c r="Q337" s="300"/>
      <c r="R337" s="300"/>
      <c r="S337" s="300"/>
      <c r="T337" s="300"/>
      <c r="U337" s="300"/>
      <c r="V337" s="300"/>
      <c r="W337" s="300"/>
      <c r="X337" s="300"/>
      <c r="Y337" s="300"/>
      <c r="Z337" s="300"/>
      <c r="AA337" s="300"/>
      <c r="AB337" s="300"/>
      <c r="AC337" s="300"/>
      <c r="AD337" s="300"/>
      <c r="AE337" s="300"/>
    </row>
    <row r="338" spans="2:31" ht="14.5">
      <c r="B338" s="405">
        <f t="shared" si="8"/>
        <v>293</v>
      </c>
      <c r="C338" s="413" t="str" cm="1">
        <f t="array" aca="1" ref="C338" ca="1">IF(B338&lt;=$C$9,GetGetCDSName(B338),"")</f>
        <v/>
      </c>
      <c r="D338" s="373"/>
      <c r="E338" s="406"/>
      <c r="F338" s="325"/>
      <c r="G338" s="325"/>
      <c r="H338" s="325"/>
      <c r="I338" s="325"/>
      <c r="J338" s="325"/>
      <c r="K338" s="325"/>
      <c r="L338" s="325"/>
      <c r="M338" s="325"/>
      <c r="N338" s="407"/>
      <c r="O338" s="300"/>
      <c r="P338" s="300"/>
      <c r="Q338" s="300"/>
      <c r="R338" s="300"/>
      <c r="S338" s="300"/>
      <c r="T338" s="300"/>
      <c r="U338" s="300"/>
      <c r="V338" s="300"/>
      <c r="W338" s="300"/>
      <c r="X338" s="300"/>
      <c r="Y338" s="300"/>
      <c r="Z338" s="300"/>
      <c r="AA338" s="300"/>
      <c r="AB338" s="300"/>
      <c r="AC338" s="300"/>
      <c r="AD338" s="300"/>
      <c r="AE338" s="300"/>
    </row>
    <row r="339" spans="2:31" ht="14.5">
      <c r="B339" s="405">
        <f t="shared" si="8"/>
        <v>294</v>
      </c>
      <c r="C339" s="413" t="str" cm="1">
        <f t="array" aca="1" ref="C339" ca="1">IF(B339&lt;=$C$9,GetGetCDSName(B339),"")</f>
        <v/>
      </c>
      <c r="D339" s="373"/>
      <c r="E339" s="406"/>
      <c r="F339" s="325"/>
      <c r="G339" s="325"/>
      <c r="H339" s="325"/>
      <c r="I339" s="325"/>
      <c r="J339" s="325"/>
      <c r="K339" s="325"/>
      <c r="L339" s="325"/>
      <c r="M339" s="325"/>
      <c r="N339" s="407"/>
      <c r="O339" s="300"/>
      <c r="P339" s="300"/>
      <c r="Q339" s="300"/>
      <c r="R339" s="300"/>
      <c r="S339" s="300"/>
      <c r="T339" s="300"/>
      <c r="U339" s="300"/>
      <c r="V339" s="300"/>
      <c r="W339" s="300"/>
      <c r="X339" s="300"/>
      <c r="Y339" s="300"/>
      <c r="Z339" s="300"/>
      <c r="AA339" s="300"/>
      <c r="AB339" s="300"/>
      <c r="AC339" s="300"/>
      <c r="AD339" s="300"/>
      <c r="AE339" s="300"/>
    </row>
    <row r="340" spans="2:31" ht="14.5">
      <c r="B340" s="405">
        <f t="shared" si="8"/>
        <v>295</v>
      </c>
      <c r="C340" s="413" t="str" cm="1">
        <f t="array" aca="1" ref="C340" ca="1">IF(B340&lt;=$C$9,GetGetCDSName(B340),"")</f>
        <v/>
      </c>
      <c r="D340" s="373"/>
      <c r="E340" s="406"/>
      <c r="F340" s="325"/>
      <c r="G340" s="325"/>
      <c r="H340" s="325"/>
      <c r="I340" s="325"/>
      <c r="J340" s="325"/>
      <c r="K340" s="325"/>
      <c r="L340" s="325"/>
      <c r="M340" s="325"/>
      <c r="N340" s="407"/>
      <c r="O340" s="300"/>
      <c r="P340" s="300"/>
      <c r="Q340" s="300"/>
      <c r="R340" s="300"/>
      <c r="S340" s="300"/>
      <c r="T340" s="300"/>
      <c r="U340" s="300"/>
      <c r="V340" s="300"/>
      <c r="W340" s="300"/>
      <c r="X340" s="300"/>
      <c r="Y340" s="300"/>
      <c r="Z340" s="300"/>
      <c r="AA340" s="300"/>
      <c r="AB340" s="300"/>
      <c r="AC340" s="300"/>
      <c r="AD340" s="300"/>
      <c r="AE340" s="300"/>
    </row>
    <row r="341" spans="2:31" ht="14.5">
      <c r="B341" s="405">
        <f t="shared" si="8"/>
        <v>296</v>
      </c>
      <c r="C341" s="413" t="str" cm="1">
        <f t="array" aca="1" ref="C341" ca="1">IF(B341&lt;=$C$9,GetGetCDSName(B341),"")</f>
        <v/>
      </c>
      <c r="D341" s="373"/>
      <c r="E341" s="406"/>
      <c r="F341" s="325"/>
      <c r="G341" s="325"/>
      <c r="H341" s="325"/>
      <c r="I341" s="325"/>
      <c r="J341" s="325"/>
      <c r="K341" s="325"/>
      <c r="L341" s="325"/>
      <c r="M341" s="325"/>
      <c r="N341" s="407"/>
      <c r="O341" s="300"/>
      <c r="P341" s="300"/>
      <c r="Q341" s="300"/>
      <c r="R341" s="300"/>
      <c r="S341" s="300"/>
      <c r="T341" s="300"/>
      <c r="U341" s="300"/>
      <c r="V341" s="300"/>
      <c r="W341" s="300"/>
      <c r="X341" s="300"/>
      <c r="Y341" s="300"/>
      <c r="Z341" s="300"/>
      <c r="AA341" s="300"/>
      <c r="AB341" s="300"/>
      <c r="AC341" s="300"/>
      <c r="AD341" s="300"/>
      <c r="AE341" s="300"/>
    </row>
    <row r="342" spans="2:31" ht="14.5">
      <c r="B342" s="405">
        <f t="shared" si="8"/>
        <v>297</v>
      </c>
      <c r="C342" s="413" t="str" cm="1">
        <f t="array" aca="1" ref="C342" ca="1">IF(B342&lt;=$C$9,GetGetCDSName(B342),"")</f>
        <v/>
      </c>
      <c r="D342" s="373"/>
      <c r="E342" s="406"/>
      <c r="F342" s="325"/>
      <c r="G342" s="325"/>
      <c r="H342" s="325"/>
      <c r="I342" s="325"/>
      <c r="J342" s="325"/>
      <c r="K342" s="325"/>
      <c r="L342" s="325"/>
      <c r="M342" s="325"/>
      <c r="N342" s="407"/>
      <c r="O342" s="300"/>
      <c r="P342" s="300"/>
      <c r="Q342" s="300"/>
      <c r="R342" s="300"/>
      <c r="S342" s="300"/>
      <c r="T342" s="300"/>
      <c r="U342" s="300"/>
      <c r="V342" s="300"/>
      <c r="W342" s="300"/>
      <c r="X342" s="300"/>
      <c r="Y342" s="300"/>
      <c r="Z342" s="300"/>
      <c r="AA342" s="300"/>
      <c r="AB342" s="300"/>
      <c r="AC342" s="300"/>
      <c r="AD342" s="300"/>
      <c r="AE342" s="300"/>
    </row>
    <row r="343" spans="2:31" ht="14.5">
      <c r="B343" s="405">
        <f t="shared" si="8"/>
        <v>298</v>
      </c>
      <c r="C343" s="413" t="str" cm="1">
        <f t="array" aca="1" ref="C343" ca="1">IF(B343&lt;=$C$9,GetGetCDSName(B343),"")</f>
        <v/>
      </c>
      <c r="D343" s="373"/>
      <c r="E343" s="406"/>
      <c r="F343" s="325"/>
      <c r="G343" s="325"/>
      <c r="H343" s="325"/>
      <c r="I343" s="325"/>
      <c r="J343" s="325"/>
      <c r="K343" s="325"/>
      <c r="L343" s="325"/>
      <c r="M343" s="325"/>
      <c r="N343" s="407"/>
      <c r="O343" s="300"/>
      <c r="P343" s="300"/>
      <c r="Q343" s="300"/>
      <c r="R343" s="300"/>
      <c r="S343" s="300"/>
      <c r="T343" s="300"/>
      <c r="U343" s="300"/>
      <c r="V343" s="300"/>
      <c r="W343" s="300"/>
      <c r="X343" s="300"/>
      <c r="Y343" s="300"/>
      <c r="Z343" s="300"/>
      <c r="AA343" s="300"/>
      <c r="AB343" s="300"/>
      <c r="AC343" s="300"/>
      <c r="AD343" s="300"/>
      <c r="AE343" s="300"/>
    </row>
    <row r="344" spans="2:31" ht="14.5">
      <c r="B344" s="405">
        <f t="shared" si="8"/>
        <v>299</v>
      </c>
      <c r="C344" s="413" t="str" cm="1">
        <f t="array" aca="1" ref="C344" ca="1">IF(B344&lt;=$C$9,GetGetCDSName(B344),"")</f>
        <v/>
      </c>
      <c r="D344" s="373"/>
      <c r="E344" s="406"/>
      <c r="F344" s="325"/>
      <c r="G344" s="325"/>
      <c r="H344" s="325"/>
      <c r="I344" s="325"/>
      <c r="J344" s="325"/>
      <c r="K344" s="325"/>
      <c r="L344" s="325"/>
      <c r="M344" s="325"/>
      <c r="N344" s="407"/>
      <c r="O344" s="300"/>
      <c r="P344" s="300"/>
      <c r="Q344" s="300"/>
      <c r="R344" s="300"/>
      <c r="S344" s="300"/>
      <c r="T344" s="300"/>
      <c r="U344" s="300"/>
      <c r="V344" s="300"/>
      <c r="W344" s="300"/>
      <c r="X344" s="300"/>
      <c r="Y344" s="300"/>
      <c r="Z344" s="300"/>
      <c r="AA344" s="300"/>
      <c r="AB344" s="300"/>
      <c r="AC344" s="300"/>
      <c r="AD344" s="300"/>
      <c r="AE344" s="300"/>
    </row>
    <row r="345" spans="2:31" ht="15" thickBot="1">
      <c r="B345" s="408">
        <f t="shared" si="8"/>
        <v>300</v>
      </c>
      <c r="C345" s="413" t="str" cm="1">
        <f t="array" aca="1" ref="C345" ca="1">IF(B345&lt;=$C$9,GetGetCDSName(B345),"")</f>
        <v/>
      </c>
      <c r="D345" s="409"/>
      <c r="E345" s="410"/>
      <c r="F345" s="411"/>
      <c r="G345" s="411"/>
      <c r="H345" s="411"/>
      <c r="I345" s="411"/>
      <c r="J345" s="411"/>
      <c r="K345" s="411"/>
      <c r="L345" s="411"/>
      <c r="M345" s="411"/>
      <c r="N345" s="412"/>
      <c r="O345" s="300"/>
      <c r="P345" s="300"/>
      <c r="Q345" s="300"/>
      <c r="R345" s="300"/>
      <c r="S345" s="300"/>
      <c r="T345" s="300"/>
      <c r="U345" s="300"/>
      <c r="V345" s="300"/>
      <c r="W345" s="300"/>
      <c r="X345" s="300"/>
      <c r="Y345" s="300"/>
      <c r="Z345" s="300"/>
      <c r="AA345" s="300"/>
      <c r="AB345" s="300"/>
      <c r="AC345" s="300"/>
      <c r="AD345" s="300"/>
      <c r="AE345" s="300"/>
    </row>
    <row r="346" spans="2:31">
      <c r="O346" s="300"/>
      <c r="P346" s="300"/>
      <c r="Q346" s="300"/>
      <c r="R346" s="300"/>
      <c r="S346" s="300"/>
      <c r="T346" s="300"/>
      <c r="U346" s="300"/>
      <c r="V346" s="300"/>
      <c r="W346" s="300"/>
      <c r="X346" s="300"/>
      <c r="Y346" s="300"/>
      <c r="Z346" s="300"/>
      <c r="AA346" s="300"/>
      <c r="AB346" s="300"/>
      <c r="AC346" s="300"/>
      <c r="AD346" s="300"/>
      <c r="AE346" s="300"/>
    </row>
    <row r="347" spans="2:31">
      <c r="O347" s="300"/>
      <c r="P347" s="300"/>
      <c r="Q347" s="300"/>
      <c r="R347" s="300"/>
      <c r="S347" s="300"/>
      <c r="T347" s="300"/>
      <c r="U347" s="300"/>
      <c r="V347" s="300"/>
      <c r="W347" s="300"/>
      <c r="X347" s="300"/>
      <c r="Y347" s="300"/>
      <c r="Z347" s="300"/>
      <c r="AA347" s="300"/>
      <c r="AB347" s="300"/>
      <c r="AC347" s="300"/>
      <c r="AD347" s="300"/>
      <c r="AE347" s="300"/>
    </row>
    <row r="348" spans="2:31">
      <c r="O348" s="300"/>
      <c r="P348" s="300"/>
      <c r="Q348" s="300"/>
      <c r="R348" s="300"/>
      <c r="S348" s="300"/>
      <c r="T348" s="300"/>
      <c r="U348" s="300"/>
      <c r="V348" s="300"/>
      <c r="W348" s="300"/>
      <c r="X348" s="300"/>
      <c r="Y348" s="300"/>
      <c r="Z348" s="300"/>
      <c r="AA348" s="300"/>
      <c r="AB348" s="300"/>
      <c r="AC348" s="300"/>
      <c r="AD348" s="300"/>
      <c r="AE348" s="300"/>
    </row>
    <row r="349" spans="2:31">
      <c r="O349" s="300"/>
      <c r="P349" s="300"/>
      <c r="Q349" s="300"/>
      <c r="R349" s="300"/>
      <c r="S349" s="300"/>
      <c r="T349" s="300"/>
      <c r="U349" s="300"/>
      <c r="V349" s="300"/>
      <c r="W349" s="300"/>
      <c r="X349" s="300"/>
      <c r="Y349" s="300"/>
      <c r="Z349" s="300"/>
      <c r="AA349" s="300"/>
      <c r="AB349" s="300"/>
      <c r="AC349" s="300"/>
      <c r="AD349" s="300"/>
      <c r="AE349" s="300"/>
    </row>
    <row r="350" spans="2:31">
      <c r="O350" s="300"/>
      <c r="P350" s="300"/>
      <c r="Q350" s="300"/>
      <c r="R350" s="300"/>
      <c r="S350" s="300"/>
      <c r="T350" s="300"/>
      <c r="U350" s="300"/>
      <c r="V350" s="300"/>
      <c r="W350" s="300"/>
      <c r="X350" s="300"/>
      <c r="Y350" s="300"/>
      <c r="Z350" s="300"/>
      <c r="AA350" s="300"/>
      <c r="AB350" s="300"/>
      <c r="AC350" s="300"/>
      <c r="AD350" s="300"/>
      <c r="AE350" s="300"/>
    </row>
    <row r="351" spans="2:31">
      <c r="O351" s="300"/>
      <c r="P351" s="300"/>
      <c r="Q351" s="300"/>
      <c r="R351" s="300"/>
      <c r="S351" s="300"/>
      <c r="T351" s="300"/>
      <c r="U351" s="300"/>
      <c r="V351" s="300"/>
      <c r="W351" s="300"/>
      <c r="X351" s="300"/>
      <c r="Y351" s="300"/>
      <c r="Z351" s="300"/>
      <c r="AA351" s="300"/>
      <c r="AB351" s="300"/>
      <c r="AC351" s="300"/>
      <c r="AD351" s="300"/>
      <c r="AE351" s="300"/>
    </row>
    <row r="352" spans="2:31">
      <c r="O352" s="300"/>
      <c r="P352" s="300"/>
      <c r="Q352" s="300"/>
      <c r="R352" s="300"/>
      <c r="S352" s="300"/>
      <c r="T352" s="300"/>
      <c r="U352" s="300"/>
      <c r="V352" s="300"/>
      <c r="W352" s="300"/>
      <c r="X352" s="300"/>
      <c r="Y352" s="300"/>
      <c r="Z352" s="300"/>
      <c r="AA352" s="300"/>
      <c r="AB352" s="300"/>
      <c r="AC352" s="300"/>
      <c r="AD352" s="300"/>
      <c r="AE352" s="300"/>
    </row>
    <row r="353" spans="15:31">
      <c r="O353" s="300"/>
      <c r="P353" s="300"/>
      <c r="Q353" s="300"/>
      <c r="R353" s="300"/>
      <c r="S353" s="300"/>
      <c r="T353" s="300"/>
      <c r="U353" s="300"/>
      <c r="V353" s="300"/>
      <c r="W353" s="300"/>
      <c r="X353" s="300"/>
      <c r="Y353" s="300"/>
      <c r="Z353" s="300"/>
      <c r="AA353" s="300"/>
      <c r="AB353" s="300"/>
      <c r="AC353" s="300"/>
      <c r="AD353" s="300"/>
      <c r="AE353" s="300"/>
    </row>
    <row r="354" spans="15:31">
      <c r="O354" s="300"/>
      <c r="P354" s="300"/>
      <c r="Q354" s="300"/>
      <c r="R354" s="300"/>
      <c r="S354" s="300"/>
      <c r="T354" s="300"/>
      <c r="U354" s="300"/>
      <c r="V354" s="300"/>
      <c r="W354" s="300"/>
      <c r="X354" s="300"/>
      <c r="Y354" s="300"/>
      <c r="Z354" s="300"/>
      <c r="AA354" s="300"/>
      <c r="AB354" s="300"/>
      <c r="AC354" s="300"/>
      <c r="AD354" s="300"/>
      <c r="AE354" s="300"/>
    </row>
    <row r="355" spans="15:31">
      <c r="O355" s="300"/>
      <c r="P355" s="300"/>
      <c r="Q355" s="300"/>
      <c r="R355" s="300"/>
      <c r="S355" s="300"/>
      <c r="T355" s="300"/>
      <c r="U355" s="300"/>
      <c r="V355" s="300"/>
      <c r="W355" s="300"/>
      <c r="X355" s="300"/>
      <c r="Y355" s="300"/>
      <c r="Z355" s="300"/>
      <c r="AA355" s="300"/>
      <c r="AB355" s="300"/>
      <c r="AC355" s="300"/>
      <c r="AD355" s="300"/>
      <c r="AE355" s="300"/>
    </row>
    <row r="356" spans="15:31">
      <c r="O356" s="300"/>
      <c r="P356" s="300"/>
      <c r="Q356" s="300"/>
      <c r="R356" s="300"/>
      <c r="S356" s="300"/>
      <c r="T356" s="300"/>
      <c r="U356" s="300"/>
      <c r="V356" s="300"/>
      <c r="W356" s="300"/>
      <c r="X356" s="300"/>
      <c r="Y356" s="300"/>
      <c r="Z356" s="300"/>
      <c r="AA356" s="300"/>
      <c r="AB356" s="300"/>
      <c r="AC356" s="300"/>
      <c r="AD356" s="300"/>
      <c r="AE356" s="300"/>
    </row>
    <row r="357" spans="15:31">
      <c r="O357" s="300"/>
      <c r="P357" s="300"/>
      <c r="Q357" s="300"/>
      <c r="R357" s="300"/>
      <c r="S357" s="300"/>
      <c r="T357" s="300"/>
      <c r="U357" s="300"/>
      <c r="V357" s="300"/>
      <c r="W357" s="300"/>
      <c r="X357" s="300"/>
      <c r="Y357" s="300"/>
      <c r="Z357" s="300"/>
      <c r="AA357" s="300"/>
      <c r="AB357" s="300"/>
      <c r="AC357" s="300"/>
      <c r="AD357" s="300"/>
      <c r="AE357" s="300"/>
    </row>
    <row r="358" spans="15:31">
      <c r="O358" s="300"/>
      <c r="P358" s="300"/>
      <c r="Q358" s="300"/>
      <c r="R358" s="300"/>
      <c r="S358" s="300"/>
      <c r="T358" s="300"/>
      <c r="U358" s="300"/>
      <c r="V358" s="300"/>
      <c r="W358" s="300"/>
      <c r="X358" s="300"/>
      <c r="Y358" s="300"/>
      <c r="Z358" s="300"/>
      <c r="AA358" s="300"/>
      <c r="AB358" s="300"/>
      <c r="AC358" s="300"/>
      <c r="AD358" s="300"/>
      <c r="AE358" s="300"/>
    </row>
    <row r="359" spans="15:31">
      <c r="O359" s="300"/>
      <c r="P359" s="300"/>
      <c r="Q359" s="300"/>
      <c r="R359" s="300"/>
      <c r="S359" s="300"/>
      <c r="T359" s="300"/>
      <c r="U359" s="300"/>
      <c r="V359" s="300"/>
      <c r="W359" s="300"/>
      <c r="X359" s="300"/>
      <c r="Y359" s="300"/>
      <c r="Z359" s="300"/>
      <c r="AA359" s="300"/>
      <c r="AB359" s="300"/>
      <c r="AC359" s="300"/>
      <c r="AD359" s="300"/>
      <c r="AE359" s="300"/>
    </row>
    <row r="360" spans="15:31">
      <c r="O360" s="300"/>
      <c r="P360" s="300"/>
      <c r="Q360" s="300"/>
      <c r="R360" s="300"/>
      <c r="S360" s="300"/>
      <c r="T360" s="300"/>
      <c r="U360" s="300"/>
      <c r="V360" s="300"/>
      <c r="W360" s="300"/>
      <c r="X360" s="300"/>
      <c r="Y360" s="300"/>
      <c r="Z360" s="300"/>
      <c r="AA360" s="300"/>
      <c r="AB360" s="300"/>
      <c r="AC360" s="300"/>
      <c r="AD360" s="300"/>
      <c r="AE360" s="300"/>
    </row>
    <row r="361" spans="15:31">
      <c r="O361" s="300"/>
      <c r="P361" s="300"/>
      <c r="Q361" s="300"/>
      <c r="R361" s="300"/>
      <c r="S361" s="300"/>
      <c r="T361" s="300"/>
      <c r="U361" s="300"/>
      <c r="V361" s="300"/>
      <c r="W361" s="300"/>
      <c r="X361" s="300"/>
      <c r="Y361" s="300"/>
      <c r="Z361" s="300"/>
      <c r="AA361" s="300"/>
      <c r="AB361" s="300"/>
      <c r="AC361" s="300"/>
      <c r="AD361" s="300"/>
      <c r="AE361" s="300"/>
    </row>
    <row r="362" spans="15:31">
      <c r="O362" s="300"/>
      <c r="P362" s="300"/>
      <c r="Q362" s="300"/>
      <c r="R362" s="300"/>
      <c r="S362" s="300"/>
      <c r="T362" s="300"/>
      <c r="U362" s="300"/>
      <c r="V362" s="300"/>
      <c r="W362" s="300"/>
      <c r="X362" s="300"/>
      <c r="Y362" s="300"/>
      <c r="Z362" s="300"/>
      <c r="AA362" s="300"/>
      <c r="AB362" s="300"/>
      <c r="AC362" s="300"/>
      <c r="AD362" s="300"/>
      <c r="AE362" s="300"/>
    </row>
    <row r="363" spans="15:31">
      <c r="O363" s="300"/>
      <c r="P363" s="300"/>
      <c r="Q363" s="300"/>
      <c r="R363" s="300"/>
      <c r="S363" s="300"/>
      <c r="T363" s="300"/>
      <c r="U363" s="300"/>
      <c r="V363" s="300"/>
      <c r="W363" s="300"/>
      <c r="X363" s="300"/>
      <c r="Y363" s="300"/>
      <c r="Z363" s="300"/>
      <c r="AA363" s="300"/>
      <c r="AB363" s="300"/>
      <c r="AC363" s="300"/>
      <c r="AD363" s="300"/>
      <c r="AE363" s="300"/>
    </row>
    <row r="364" spans="15:31">
      <c r="O364" s="300"/>
      <c r="P364" s="300"/>
      <c r="Q364" s="300"/>
      <c r="R364" s="300"/>
      <c r="S364" s="300"/>
      <c r="T364" s="300"/>
      <c r="U364" s="300"/>
      <c r="V364" s="300"/>
      <c r="W364" s="300"/>
      <c r="X364" s="300"/>
      <c r="Y364" s="300"/>
      <c r="Z364" s="300"/>
      <c r="AA364" s="300"/>
      <c r="AB364" s="300"/>
      <c r="AC364" s="300"/>
      <c r="AD364" s="300"/>
      <c r="AE364" s="300"/>
    </row>
    <row r="365" spans="15:31">
      <c r="O365" s="300"/>
      <c r="P365" s="300"/>
      <c r="Q365" s="300"/>
      <c r="R365" s="300"/>
      <c r="S365" s="300"/>
      <c r="T365" s="300"/>
      <c r="U365" s="300"/>
      <c r="V365" s="300"/>
      <c r="W365" s="300"/>
      <c r="X365" s="300"/>
      <c r="Y365" s="300"/>
      <c r="Z365" s="300"/>
      <c r="AA365" s="300"/>
      <c r="AB365" s="300"/>
      <c r="AC365" s="300"/>
      <c r="AD365" s="300"/>
      <c r="AE365" s="300"/>
    </row>
    <row r="366" spans="15:31">
      <c r="O366" s="300"/>
      <c r="P366" s="300"/>
      <c r="Q366" s="300"/>
      <c r="R366" s="300"/>
      <c r="S366" s="300"/>
      <c r="T366" s="300"/>
      <c r="U366" s="300"/>
      <c r="V366" s="300"/>
      <c r="W366" s="300"/>
      <c r="X366" s="300"/>
      <c r="Y366" s="300"/>
      <c r="Z366" s="300"/>
      <c r="AA366" s="300"/>
      <c r="AB366" s="300"/>
      <c r="AC366" s="300"/>
      <c r="AD366" s="300"/>
      <c r="AE366" s="300"/>
    </row>
    <row r="367" spans="15:31">
      <c r="O367" s="300"/>
      <c r="P367" s="300"/>
      <c r="Q367" s="300"/>
      <c r="R367" s="300"/>
      <c r="S367" s="300"/>
      <c r="T367" s="300"/>
      <c r="U367" s="300"/>
      <c r="V367" s="300"/>
      <c r="W367" s="300"/>
      <c r="X367" s="300"/>
      <c r="Y367" s="300"/>
      <c r="Z367" s="300"/>
      <c r="AA367" s="300"/>
      <c r="AB367" s="300"/>
      <c r="AC367" s="300"/>
      <c r="AD367" s="300"/>
      <c r="AE367" s="300"/>
    </row>
    <row r="368" spans="15:31">
      <c r="O368" s="300"/>
      <c r="P368" s="300"/>
      <c r="Q368" s="300"/>
      <c r="R368" s="300"/>
      <c r="S368" s="300"/>
      <c r="T368" s="300"/>
      <c r="U368" s="300"/>
      <c r="V368" s="300"/>
      <c r="W368" s="300"/>
      <c r="X368" s="300"/>
      <c r="Y368" s="300"/>
      <c r="Z368" s="300"/>
      <c r="AA368" s="300"/>
      <c r="AB368" s="300"/>
      <c r="AC368" s="300"/>
      <c r="AD368" s="300"/>
      <c r="AE368" s="300"/>
    </row>
    <row r="369" spans="15:31">
      <c r="O369" s="300"/>
      <c r="P369" s="300"/>
      <c r="Q369" s="300"/>
      <c r="R369" s="300"/>
      <c r="S369" s="300"/>
      <c r="T369" s="300"/>
      <c r="U369" s="300"/>
      <c r="V369" s="300"/>
      <c r="W369" s="300"/>
      <c r="X369" s="300"/>
      <c r="Y369" s="300"/>
      <c r="Z369" s="300"/>
      <c r="AA369" s="300"/>
      <c r="AB369" s="300"/>
      <c r="AC369" s="300"/>
      <c r="AD369" s="300"/>
      <c r="AE369" s="300"/>
    </row>
    <row r="370" spans="15:31">
      <c r="O370" s="300"/>
      <c r="P370" s="300"/>
      <c r="Q370" s="300"/>
      <c r="R370" s="300"/>
      <c r="S370" s="300"/>
      <c r="T370" s="300"/>
      <c r="U370" s="300"/>
      <c r="V370" s="300"/>
      <c r="W370" s="300"/>
      <c r="X370" s="300"/>
      <c r="Y370" s="300"/>
      <c r="Z370" s="300"/>
      <c r="AA370" s="300"/>
      <c r="AB370" s="300"/>
      <c r="AC370" s="300"/>
      <c r="AD370" s="300"/>
      <c r="AE370" s="300"/>
    </row>
    <row r="371" spans="15:31">
      <c r="O371" s="300"/>
      <c r="P371" s="300"/>
      <c r="Q371" s="300"/>
      <c r="R371" s="300"/>
      <c r="S371" s="300"/>
      <c r="T371" s="300"/>
      <c r="U371" s="300"/>
      <c r="V371" s="300"/>
      <c r="W371" s="300"/>
      <c r="X371" s="300"/>
      <c r="Y371" s="300"/>
      <c r="Z371" s="300"/>
      <c r="AA371" s="300"/>
      <c r="AB371" s="300"/>
      <c r="AC371" s="300"/>
      <c r="AD371" s="300"/>
      <c r="AE371" s="300"/>
    </row>
    <row r="372" spans="15:31">
      <c r="O372" s="300"/>
      <c r="P372" s="300"/>
      <c r="Q372" s="300"/>
      <c r="R372" s="300"/>
      <c r="S372" s="300"/>
      <c r="T372" s="300"/>
      <c r="U372" s="300"/>
      <c r="V372" s="300"/>
      <c r="W372" s="300"/>
      <c r="X372" s="300"/>
      <c r="Y372" s="300"/>
      <c r="Z372" s="300"/>
      <c r="AA372" s="300"/>
      <c r="AB372" s="300"/>
      <c r="AC372" s="300"/>
      <c r="AD372" s="300"/>
      <c r="AE372" s="300"/>
    </row>
    <row r="373" spans="15:31">
      <c r="O373" s="300"/>
      <c r="P373" s="300"/>
      <c r="Q373" s="300"/>
      <c r="R373" s="300"/>
      <c r="S373" s="300"/>
      <c r="T373" s="300"/>
      <c r="U373" s="300"/>
      <c r="V373" s="300"/>
      <c r="W373" s="300"/>
      <c r="X373" s="300"/>
      <c r="Y373" s="300"/>
      <c r="Z373" s="300"/>
      <c r="AA373" s="300"/>
      <c r="AB373" s="300"/>
      <c r="AC373" s="300"/>
      <c r="AD373" s="300"/>
      <c r="AE373" s="300"/>
    </row>
    <row r="374" spans="15:31">
      <c r="O374" s="300"/>
      <c r="P374" s="300"/>
      <c r="Q374" s="300"/>
      <c r="R374" s="300"/>
      <c r="S374" s="300"/>
      <c r="T374" s="300"/>
      <c r="U374" s="300"/>
      <c r="V374" s="300"/>
      <c r="W374" s="300"/>
      <c r="X374" s="300"/>
      <c r="Y374" s="300"/>
      <c r="Z374" s="300"/>
      <c r="AA374" s="300"/>
      <c r="AB374" s="300"/>
      <c r="AC374" s="300"/>
      <c r="AD374" s="300"/>
      <c r="AE374" s="300"/>
    </row>
    <row r="375" spans="15:31">
      <c r="O375" s="300"/>
      <c r="P375" s="300"/>
      <c r="Q375" s="300"/>
      <c r="R375" s="300"/>
      <c r="S375" s="300"/>
      <c r="T375" s="300"/>
      <c r="U375" s="300"/>
      <c r="V375" s="300"/>
      <c r="W375" s="300"/>
      <c r="X375" s="300"/>
      <c r="Y375" s="300"/>
      <c r="Z375" s="300"/>
      <c r="AA375" s="300"/>
      <c r="AB375" s="300"/>
      <c r="AC375" s="300"/>
      <c r="AD375" s="300"/>
      <c r="AE375" s="300"/>
    </row>
    <row r="376" spans="15:31">
      <c r="O376" s="300"/>
      <c r="P376" s="300"/>
      <c r="Q376" s="300"/>
      <c r="R376" s="300"/>
      <c r="S376" s="300"/>
      <c r="T376" s="300"/>
      <c r="U376" s="300"/>
      <c r="V376" s="300"/>
      <c r="W376" s="300"/>
      <c r="X376" s="300"/>
      <c r="Y376" s="300"/>
      <c r="Z376" s="300"/>
      <c r="AA376" s="300"/>
      <c r="AB376" s="300"/>
      <c r="AC376" s="300"/>
      <c r="AD376" s="300"/>
      <c r="AE376" s="300"/>
    </row>
    <row r="377" spans="15:31">
      <c r="O377" s="300"/>
      <c r="P377" s="300"/>
      <c r="Q377" s="300"/>
      <c r="R377" s="300"/>
      <c r="S377" s="300"/>
      <c r="T377" s="300"/>
      <c r="U377" s="300"/>
      <c r="V377" s="300"/>
      <c r="W377" s="300"/>
      <c r="X377" s="300"/>
      <c r="Y377" s="300"/>
      <c r="Z377" s="300"/>
      <c r="AA377" s="300"/>
      <c r="AB377" s="300"/>
      <c r="AC377" s="300"/>
      <c r="AD377" s="300"/>
      <c r="AE377" s="300"/>
    </row>
    <row r="378" spans="15:31">
      <c r="O378" s="300"/>
      <c r="P378" s="300"/>
      <c r="Q378" s="300"/>
      <c r="R378" s="300"/>
      <c r="S378" s="300"/>
      <c r="T378" s="300"/>
      <c r="U378" s="300"/>
      <c r="V378" s="300"/>
      <c r="W378" s="300"/>
      <c r="X378" s="300"/>
      <c r="Y378" s="300"/>
      <c r="Z378" s="300"/>
      <c r="AA378" s="300"/>
      <c r="AB378" s="300"/>
      <c r="AC378" s="300"/>
      <c r="AD378" s="300"/>
      <c r="AE378" s="300"/>
    </row>
    <row r="379" spans="15:31">
      <c r="O379" s="300"/>
      <c r="P379" s="300"/>
      <c r="Q379" s="300"/>
      <c r="R379" s="300"/>
      <c r="S379" s="300"/>
      <c r="T379" s="300"/>
      <c r="U379" s="300"/>
      <c r="V379" s="300"/>
      <c r="W379" s="300"/>
      <c r="X379" s="300"/>
      <c r="Y379" s="300"/>
      <c r="Z379" s="300"/>
      <c r="AA379" s="300"/>
      <c r="AB379" s="300"/>
      <c r="AC379" s="300"/>
      <c r="AD379" s="300"/>
      <c r="AE379" s="300"/>
    </row>
    <row r="380" spans="15:31">
      <c r="O380" s="300"/>
      <c r="P380" s="300"/>
      <c r="Q380" s="300"/>
      <c r="R380" s="300"/>
      <c r="S380" s="300"/>
      <c r="T380" s="300"/>
      <c r="U380" s="300"/>
      <c r="V380" s="300"/>
      <c r="W380" s="300"/>
      <c r="X380" s="300"/>
      <c r="Y380" s="300"/>
      <c r="Z380" s="300"/>
      <c r="AA380" s="300"/>
      <c r="AB380" s="300"/>
      <c r="AC380" s="300"/>
      <c r="AD380" s="300"/>
      <c r="AE380" s="300"/>
    </row>
    <row r="381" spans="15:31">
      <c r="O381" s="300"/>
      <c r="P381" s="300"/>
      <c r="Q381" s="300"/>
      <c r="R381" s="300"/>
      <c r="S381" s="300"/>
      <c r="T381" s="300"/>
      <c r="U381" s="300"/>
      <c r="V381" s="300"/>
      <c r="W381" s="300"/>
      <c r="X381" s="300"/>
      <c r="Y381" s="300"/>
      <c r="Z381" s="300"/>
      <c r="AA381" s="300"/>
      <c r="AB381" s="300"/>
      <c r="AC381" s="300"/>
      <c r="AD381" s="300"/>
      <c r="AE381" s="300"/>
    </row>
    <row r="382" spans="15:31">
      <c r="O382" s="300"/>
      <c r="P382" s="300"/>
      <c r="Q382" s="300"/>
      <c r="R382" s="300"/>
      <c r="S382" s="300"/>
      <c r="T382" s="300"/>
      <c r="U382" s="300"/>
      <c r="V382" s="300"/>
      <c r="W382" s="300"/>
      <c r="X382" s="300"/>
      <c r="Y382" s="300"/>
      <c r="Z382" s="300"/>
      <c r="AA382" s="300"/>
      <c r="AB382" s="300"/>
      <c r="AC382" s="300"/>
      <c r="AD382" s="300"/>
      <c r="AE382" s="300"/>
    </row>
    <row r="383" spans="15:31">
      <c r="O383" s="300"/>
      <c r="P383" s="300"/>
      <c r="Q383" s="300"/>
      <c r="R383" s="300"/>
      <c r="S383" s="300"/>
      <c r="T383" s="300"/>
      <c r="U383" s="300"/>
      <c r="V383" s="300"/>
      <c r="W383" s="300"/>
      <c r="X383" s="300"/>
      <c r="Y383" s="300"/>
      <c r="Z383" s="300"/>
      <c r="AA383" s="300"/>
      <c r="AB383" s="300"/>
      <c r="AC383" s="300"/>
      <c r="AD383" s="300"/>
      <c r="AE383" s="300"/>
    </row>
    <row r="384" spans="15:31">
      <c r="O384" s="300"/>
      <c r="P384" s="300"/>
      <c r="Q384" s="300"/>
      <c r="R384" s="300"/>
      <c r="S384" s="300"/>
      <c r="T384" s="300"/>
      <c r="U384" s="300"/>
      <c r="V384" s="300"/>
      <c r="W384" s="300"/>
      <c r="X384" s="300"/>
      <c r="Y384" s="300"/>
      <c r="Z384" s="300"/>
      <c r="AA384" s="300"/>
      <c r="AB384" s="300"/>
      <c r="AC384" s="300"/>
      <c r="AD384" s="300"/>
      <c r="AE384" s="300"/>
    </row>
    <row r="385" spans="15:31">
      <c r="O385" s="300"/>
      <c r="P385" s="300"/>
      <c r="Q385" s="300"/>
      <c r="R385" s="300"/>
      <c r="S385" s="300"/>
      <c r="T385" s="300"/>
      <c r="U385" s="300"/>
      <c r="V385" s="300"/>
      <c r="W385" s="300"/>
      <c r="X385" s="300"/>
      <c r="Y385" s="300"/>
      <c r="Z385" s="300"/>
      <c r="AA385" s="300"/>
      <c r="AB385" s="300"/>
      <c r="AC385" s="300"/>
      <c r="AD385" s="300"/>
      <c r="AE385" s="300"/>
    </row>
    <row r="386" spans="15:31">
      <c r="O386" s="300"/>
      <c r="P386" s="300"/>
      <c r="Q386" s="300"/>
      <c r="R386" s="300"/>
      <c r="S386" s="300"/>
      <c r="T386" s="300"/>
      <c r="U386" s="300"/>
      <c r="V386" s="300"/>
      <c r="W386" s="300"/>
      <c r="X386" s="300"/>
      <c r="Y386" s="300"/>
      <c r="Z386" s="300"/>
      <c r="AA386" s="300"/>
      <c r="AB386" s="300"/>
      <c r="AC386" s="300"/>
      <c r="AD386" s="300"/>
      <c r="AE386" s="300"/>
    </row>
    <row r="387" spans="15:31">
      <c r="O387" s="300"/>
      <c r="P387" s="300"/>
      <c r="Q387" s="300"/>
      <c r="R387" s="300"/>
      <c r="S387" s="300"/>
      <c r="T387" s="300"/>
      <c r="U387" s="300"/>
      <c r="V387" s="300"/>
      <c r="W387" s="300"/>
      <c r="X387" s="300"/>
      <c r="Y387" s="300"/>
      <c r="Z387" s="300"/>
      <c r="AA387" s="300"/>
      <c r="AB387" s="300"/>
      <c r="AC387" s="300"/>
      <c r="AD387" s="300"/>
      <c r="AE387" s="300"/>
    </row>
    <row r="388" spans="15:31">
      <c r="O388" s="300"/>
      <c r="P388" s="300"/>
      <c r="Q388" s="300"/>
      <c r="R388" s="300"/>
      <c r="S388" s="300"/>
      <c r="T388" s="300"/>
      <c r="U388" s="300"/>
      <c r="V388" s="300"/>
      <c r="W388" s="300"/>
      <c r="X388" s="300"/>
      <c r="Y388" s="300"/>
      <c r="Z388" s="300"/>
      <c r="AA388" s="300"/>
      <c r="AB388" s="300"/>
      <c r="AC388" s="300"/>
      <c r="AD388" s="300"/>
      <c r="AE388" s="300"/>
    </row>
    <row r="389" spans="15:31">
      <c r="O389" s="300"/>
      <c r="P389" s="300"/>
      <c r="Q389" s="300"/>
      <c r="R389" s="300"/>
      <c r="S389" s="300"/>
      <c r="T389" s="300"/>
      <c r="U389" s="300"/>
      <c r="V389" s="300"/>
      <c r="W389" s="300"/>
      <c r="X389" s="300"/>
      <c r="Y389" s="300"/>
      <c r="Z389" s="300"/>
      <c r="AA389" s="300"/>
      <c r="AB389" s="300"/>
      <c r="AC389" s="300"/>
      <c r="AD389" s="300"/>
      <c r="AE389" s="300"/>
    </row>
    <row r="390" spans="15:31">
      <c r="O390" s="300"/>
      <c r="P390" s="300"/>
      <c r="Q390" s="300"/>
      <c r="R390" s="300"/>
      <c r="S390" s="300"/>
      <c r="T390" s="300"/>
      <c r="U390" s="300"/>
      <c r="V390" s="300"/>
      <c r="W390" s="300"/>
      <c r="X390" s="300"/>
      <c r="Y390" s="300"/>
      <c r="Z390" s="300"/>
      <c r="AA390" s="300"/>
      <c r="AB390" s="300"/>
      <c r="AC390" s="300"/>
      <c r="AD390" s="300"/>
      <c r="AE390" s="300"/>
    </row>
    <row r="391" spans="15:31">
      <c r="O391" s="300"/>
      <c r="P391" s="300"/>
      <c r="Q391" s="300"/>
      <c r="R391" s="300"/>
      <c r="S391" s="300"/>
      <c r="T391" s="300"/>
      <c r="U391" s="300"/>
      <c r="V391" s="300"/>
      <c r="W391" s="300"/>
      <c r="X391" s="300"/>
      <c r="Y391" s="300"/>
      <c r="Z391" s="300"/>
      <c r="AA391" s="300"/>
      <c r="AB391" s="300"/>
      <c r="AC391" s="300"/>
      <c r="AD391" s="300"/>
      <c r="AE391" s="300"/>
    </row>
    <row r="392" spans="15:31">
      <c r="O392" s="300"/>
      <c r="P392" s="300"/>
      <c r="Q392" s="300"/>
      <c r="R392" s="300"/>
      <c r="S392" s="300"/>
      <c r="T392" s="300"/>
      <c r="U392" s="300"/>
      <c r="V392" s="300"/>
      <c r="W392" s="300"/>
      <c r="X392" s="300"/>
      <c r="Y392" s="300"/>
      <c r="Z392" s="300"/>
      <c r="AA392" s="300"/>
      <c r="AB392" s="300"/>
      <c r="AC392" s="300"/>
      <c r="AD392" s="300"/>
      <c r="AE392" s="300"/>
    </row>
    <row r="393" spans="15:31">
      <c r="O393" s="300"/>
      <c r="P393" s="300"/>
      <c r="Q393" s="300"/>
      <c r="R393" s="300"/>
      <c r="S393" s="300"/>
      <c r="T393" s="300"/>
      <c r="U393" s="300"/>
      <c r="V393" s="300"/>
      <c r="W393" s="300"/>
      <c r="X393" s="300"/>
      <c r="Y393" s="300"/>
      <c r="Z393" s="300"/>
      <c r="AA393" s="300"/>
      <c r="AB393" s="300"/>
      <c r="AC393" s="300"/>
      <c r="AD393" s="300"/>
      <c r="AE393" s="300"/>
    </row>
    <row r="394" spans="15:31">
      <c r="O394" s="300"/>
      <c r="P394" s="300"/>
      <c r="Q394" s="300"/>
      <c r="R394" s="300"/>
      <c r="S394" s="300"/>
      <c r="T394" s="300"/>
      <c r="U394" s="300"/>
      <c r="V394" s="300"/>
      <c r="W394" s="300"/>
      <c r="X394" s="300"/>
      <c r="Y394" s="300"/>
      <c r="Z394" s="300"/>
      <c r="AA394" s="300"/>
      <c r="AB394" s="300"/>
      <c r="AC394" s="300"/>
      <c r="AD394" s="300"/>
      <c r="AE394" s="300"/>
    </row>
    <row r="395" spans="15:31">
      <c r="O395" s="300"/>
      <c r="P395" s="300"/>
      <c r="Q395" s="300"/>
      <c r="R395" s="300"/>
      <c r="S395" s="300"/>
      <c r="T395" s="300"/>
      <c r="U395" s="300"/>
      <c r="V395" s="300"/>
      <c r="W395" s="300"/>
      <c r="X395" s="300"/>
      <c r="Y395" s="300"/>
      <c r="Z395" s="300"/>
      <c r="AA395" s="300"/>
      <c r="AB395" s="300"/>
      <c r="AC395" s="300"/>
      <c r="AD395" s="300"/>
      <c r="AE395" s="300"/>
    </row>
    <row r="396" spans="15:31">
      <c r="O396" s="300"/>
      <c r="P396" s="300"/>
      <c r="Q396" s="300"/>
      <c r="R396" s="300"/>
      <c r="S396" s="300"/>
      <c r="T396" s="300"/>
      <c r="U396" s="300"/>
      <c r="V396" s="300"/>
      <c r="W396" s="300"/>
      <c r="X396" s="300"/>
      <c r="Y396" s="300"/>
      <c r="Z396" s="300"/>
      <c r="AA396" s="300"/>
      <c r="AB396" s="300"/>
      <c r="AC396" s="300"/>
      <c r="AD396" s="300"/>
      <c r="AE396" s="300"/>
    </row>
    <row r="397" spans="15:31">
      <c r="O397" s="300"/>
      <c r="P397" s="300"/>
      <c r="Q397" s="300"/>
      <c r="R397" s="300"/>
      <c r="S397" s="300"/>
      <c r="T397" s="300"/>
      <c r="U397" s="300"/>
      <c r="V397" s="300"/>
      <c r="W397" s="300"/>
      <c r="X397" s="300"/>
      <c r="Y397" s="300"/>
      <c r="Z397" s="300"/>
      <c r="AA397" s="300"/>
      <c r="AB397" s="300"/>
      <c r="AC397" s="300"/>
      <c r="AD397" s="300"/>
      <c r="AE397" s="300"/>
    </row>
    <row r="398" spans="15:31">
      <c r="O398" s="300"/>
      <c r="P398" s="300"/>
      <c r="Q398" s="300"/>
      <c r="R398" s="300"/>
      <c r="S398" s="300"/>
      <c r="T398" s="300"/>
      <c r="U398" s="300"/>
      <c r="V398" s="300"/>
      <c r="W398" s="300"/>
      <c r="X398" s="300"/>
      <c r="Y398" s="300"/>
      <c r="Z398" s="300"/>
      <c r="AA398" s="300"/>
      <c r="AB398" s="300"/>
      <c r="AC398" s="300"/>
      <c r="AD398" s="300"/>
      <c r="AE398" s="300"/>
    </row>
    <row r="399" spans="15:31">
      <c r="O399" s="300"/>
      <c r="P399" s="300"/>
      <c r="Q399" s="300"/>
      <c r="R399" s="300"/>
      <c r="S399" s="300"/>
      <c r="T399" s="300"/>
      <c r="U399" s="300"/>
      <c r="V399" s="300"/>
      <c r="W399" s="300"/>
      <c r="X399" s="300"/>
      <c r="Y399" s="300"/>
      <c r="Z399" s="300"/>
      <c r="AA399" s="300"/>
      <c r="AB399" s="300"/>
      <c r="AC399" s="300"/>
      <c r="AD399" s="300"/>
      <c r="AE399" s="300"/>
    </row>
    <row r="400" spans="15:31">
      <c r="O400" s="300"/>
      <c r="P400" s="300"/>
      <c r="Q400" s="300"/>
      <c r="R400" s="300"/>
      <c r="S400" s="300"/>
      <c r="T400" s="300"/>
      <c r="U400" s="300"/>
      <c r="V400" s="300"/>
      <c r="W400" s="300"/>
      <c r="X400" s="300"/>
      <c r="Y400" s="300"/>
      <c r="Z400" s="300"/>
      <c r="AA400" s="300"/>
      <c r="AB400" s="300"/>
      <c r="AC400" s="300"/>
      <c r="AD400" s="300"/>
      <c r="AE400" s="300"/>
    </row>
    <row r="401" spans="15:31">
      <c r="O401" s="300"/>
      <c r="P401" s="300"/>
      <c r="Q401" s="300"/>
      <c r="R401" s="300"/>
      <c r="S401" s="300"/>
      <c r="T401" s="300"/>
      <c r="U401" s="300"/>
      <c r="V401" s="300"/>
      <c r="W401" s="300"/>
      <c r="X401" s="300"/>
      <c r="Y401" s="300"/>
      <c r="Z401" s="300"/>
      <c r="AA401" s="300"/>
      <c r="AB401" s="300"/>
      <c r="AC401" s="300"/>
      <c r="AD401" s="300"/>
      <c r="AE401" s="300"/>
    </row>
    <row r="402" spans="15:31">
      <c r="O402" s="300"/>
      <c r="P402" s="300"/>
      <c r="Q402" s="300"/>
      <c r="R402" s="300"/>
      <c r="S402" s="300"/>
      <c r="T402" s="300"/>
      <c r="U402" s="300"/>
      <c r="V402" s="300"/>
      <c r="W402" s="300"/>
      <c r="X402" s="300"/>
      <c r="Y402" s="300"/>
      <c r="Z402" s="300"/>
      <c r="AA402" s="300"/>
      <c r="AB402" s="300"/>
      <c r="AC402" s="300"/>
      <c r="AD402" s="300"/>
      <c r="AE402" s="300"/>
    </row>
    <row r="403" spans="15:31">
      <c r="O403" s="300"/>
      <c r="P403" s="300"/>
      <c r="Q403" s="300"/>
      <c r="R403" s="300"/>
      <c r="S403" s="300"/>
      <c r="T403" s="300"/>
      <c r="U403" s="300"/>
      <c r="V403" s="300"/>
      <c r="W403" s="300"/>
      <c r="X403" s="300"/>
      <c r="Y403" s="300"/>
      <c r="Z403" s="300"/>
      <c r="AA403" s="300"/>
      <c r="AB403" s="300"/>
      <c r="AC403" s="300"/>
      <c r="AD403" s="300"/>
      <c r="AE403" s="300"/>
    </row>
    <row r="404" spans="15:31">
      <c r="O404" s="300"/>
      <c r="P404" s="300"/>
      <c r="Q404" s="300"/>
      <c r="R404" s="300"/>
      <c r="S404" s="300"/>
      <c r="T404" s="300"/>
      <c r="U404" s="300"/>
      <c r="V404" s="300"/>
      <c r="W404" s="300"/>
      <c r="X404" s="300"/>
      <c r="Y404" s="300"/>
      <c r="Z404" s="300"/>
      <c r="AA404" s="300"/>
      <c r="AB404" s="300"/>
      <c r="AC404" s="300"/>
      <c r="AD404" s="300"/>
      <c r="AE404" s="300"/>
    </row>
    <row r="405" spans="15:31">
      <c r="O405" s="300"/>
      <c r="P405" s="300"/>
      <c r="Q405" s="300"/>
      <c r="R405" s="300"/>
      <c r="S405" s="300"/>
      <c r="T405" s="300"/>
      <c r="U405" s="300"/>
      <c r="V405" s="300"/>
      <c r="W405" s="300"/>
      <c r="X405" s="300"/>
      <c r="Y405" s="300"/>
      <c r="Z405" s="300"/>
      <c r="AA405" s="300"/>
      <c r="AB405" s="300"/>
      <c r="AC405" s="300"/>
      <c r="AD405" s="300"/>
      <c r="AE405" s="300"/>
    </row>
    <row r="406" spans="15:31">
      <c r="O406" s="300"/>
      <c r="P406" s="300"/>
      <c r="Q406" s="300"/>
      <c r="R406" s="300"/>
      <c r="S406" s="300"/>
      <c r="T406" s="300"/>
      <c r="U406" s="300"/>
      <c r="V406" s="300"/>
      <c r="W406" s="300"/>
      <c r="X406" s="300"/>
      <c r="Y406" s="300"/>
      <c r="Z406" s="300"/>
      <c r="AA406" s="300"/>
      <c r="AB406" s="300"/>
      <c r="AC406" s="300"/>
      <c r="AD406" s="300"/>
      <c r="AE406" s="300"/>
    </row>
    <row r="407" spans="15:31">
      <c r="O407" s="300"/>
      <c r="P407" s="300"/>
      <c r="Q407" s="300"/>
      <c r="R407" s="300"/>
      <c r="S407" s="300"/>
      <c r="T407" s="300"/>
      <c r="U407" s="300"/>
      <c r="V407" s="300"/>
      <c r="W407" s="300"/>
      <c r="X407" s="300"/>
      <c r="Y407" s="300"/>
      <c r="Z407" s="300"/>
      <c r="AA407" s="300"/>
      <c r="AB407" s="300"/>
      <c r="AC407" s="300"/>
      <c r="AD407" s="300"/>
      <c r="AE407" s="300"/>
    </row>
    <row r="408" spans="15:31">
      <c r="O408" s="300"/>
      <c r="P408" s="300"/>
      <c r="Q408" s="300"/>
      <c r="R408" s="300"/>
      <c r="S408" s="300"/>
      <c r="T408" s="300"/>
      <c r="U408" s="300"/>
      <c r="V408" s="300"/>
      <c r="W408" s="300"/>
      <c r="X408" s="300"/>
      <c r="Y408" s="300"/>
      <c r="Z408" s="300"/>
      <c r="AA408" s="300"/>
      <c r="AB408" s="300"/>
      <c r="AC408" s="300"/>
      <c r="AD408" s="300"/>
      <c r="AE408" s="300"/>
    </row>
    <row r="409" spans="15:31">
      <c r="O409" s="300"/>
      <c r="P409" s="300"/>
      <c r="Q409" s="300"/>
      <c r="R409" s="300"/>
      <c r="S409" s="300"/>
      <c r="T409" s="300"/>
      <c r="U409" s="300"/>
      <c r="V409" s="300"/>
      <c r="W409" s="300"/>
      <c r="X409" s="300"/>
      <c r="Y409" s="300"/>
      <c r="Z409" s="300"/>
      <c r="AA409" s="300"/>
      <c r="AB409" s="300"/>
      <c r="AC409" s="300"/>
      <c r="AD409" s="300"/>
      <c r="AE409" s="300"/>
    </row>
    <row r="410" spans="15:31">
      <c r="O410" s="300"/>
      <c r="P410" s="300"/>
      <c r="Q410" s="300"/>
      <c r="R410" s="300"/>
      <c r="S410" s="300"/>
      <c r="T410" s="300"/>
      <c r="U410" s="300"/>
      <c r="V410" s="300"/>
      <c r="W410" s="300"/>
      <c r="X410" s="300"/>
      <c r="Y410" s="300"/>
      <c r="Z410" s="300"/>
      <c r="AA410" s="300"/>
      <c r="AB410" s="300"/>
      <c r="AC410" s="300"/>
      <c r="AD410" s="300"/>
      <c r="AE410" s="300"/>
    </row>
    <row r="411" spans="15:31">
      <c r="O411" s="300"/>
      <c r="P411" s="300"/>
      <c r="Q411" s="300"/>
      <c r="R411" s="300"/>
      <c r="S411" s="300"/>
      <c r="T411" s="300"/>
      <c r="U411" s="300"/>
      <c r="V411" s="300"/>
      <c r="W411" s="300"/>
      <c r="X411" s="300"/>
      <c r="Y411" s="300"/>
      <c r="Z411" s="300"/>
      <c r="AA411" s="300"/>
      <c r="AB411" s="300"/>
      <c r="AC411" s="300"/>
      <c r="AD411" s="300"/>
      <c r="AE411" s="300"/>
    </row>
    <row r="412" spans="15:31">
      <c r="O412" s="300"/>
      <c r="P412" s="300"/>
      <c r="Q412" s="300"/>
      <c r="R412" s="300"/>
      <c r="S412" s="300"/>
      <c r="T412" s="300"/>
      <c r="U412" s="300"/>
      <c r="V412" s="300"/>
      <c r="W412" s="300"/>
      <c r="X412" s="300"/>
      <c r="Y412" s="300"/>
      <c r="Z412" s="300"/>
      <c r="AA412" s="300"/>
      <c r="AB412" s="300"/>
      <c r="AC412" s="300"/>
      <c r="AD412" s="300"/>
      <c r="AE412" s="300"/>
    </row>
    <row r="413" spans="15:31">
      <c r="O413" s="300"/>
      <c r="P413" s="300"/>
      <c r="Q413" s="300"/>
      <c r="R413" s="300"/>
      <c r="S413" s="300"/>
      <c r="T413" s="300"/>
      <c r="U413" s="300"/>
      <c r="V413" s="300"/>
      <c r="W413" s="300"/>
      <c r="X413" s="300"/>
      <c r="Y413" s="300"/>
      <c r="Z413" s="300"/>
      <c r="AA413" s="300"/>
      <c r="AB413" s="300"/>
      <c r="AC413" s="300"/>
      <c r="AD413" s="300"/>
      <c r="AE413" s="300"/>
    </row>
    <row r="414" spans="15:31">
      <c r="O414" s="300"/>
      <c r="P414" s="300"/>
      <c r="Q414" s="300"/>
      <c r="R414" s="300"/>
      <c r="S414" s="300"/>
      <c r="T414" s="300"/>
      <c r="U414" s="300"/>
      <c r="V414" s="300"/>
      <c r="W414" s="300"/>
      <c r="X414" s="300"/>
      <c r="Y414" s="300"/>
      <c r="Z414" s="300"/>
      <c r="AA414" s="300"/>
      <c r="AB414" s="300"/>
      <c r="AC414" s="300"/>
      <c r="AD414" s="300"/>
      <c r="AE414" s="300"/>
    </row>
    <row r="415" spans="15:31">
      <c r="O415" s="300"/>
      <c r="P415" s="300"/>
      <c r="Q415" s="300"/>
      <c r="R415" s="300"/>
      <c r="S415" s="300"/>
      <c r="T415" s="300"/>
      <c r="U415" s="300"/>
      <c r="V415" s="300"/>
      <c r="W415" s="300"/>
      <c r="X415" s="300"/>
      <c r="Y415" s="300"/>
      <c r="Z415" s="300"/>
      <c r="AA415" s="300"/>
      <c r="AB415" s="300"/>
      <c r="AC415" s="300"/>
      <c r="AD415" s="300"/>
      <c r="AE415" s="300"/>
    </row>
    <row r="416" spans="15:31">
      <c r="O416" s="300"/>
      <c r="P416" s="300"/>
      <c r="Q416" s="300"/>
      <c r="R416" s="300"/>
      <c r="S416" s="300"/>
      <c r="T416" s="300"/>
      <c r="U416" s="300"/>
      <c r="V416" s="300"/>
      <c r="W416" s="300"/>
      <c r="X416" s="300"/>
      <c r="Y416" s="300"/>
      <c r="Z416" s="300"/>
      <c r="AA416" s="300"/>
      <c r="AB416" s="300"/>
      <c r="AC416" s="300"/>
      <c r="AD416" s="300"/>
      <c r="AE416" s="300"/>
    </row>
    <row r="417" spans="15:31">
      <c r="O417" s="300"/>
      <c r="P417" s="300"/>
      <c r="Q417" s="300"/>
      <c r="R417" s="300"/>
      <c r="S417" s="300"/>
      <c r="T417" s="300"/>
      <c r="U417" s="300"/>
      <c r="V417" s="300"/>
      <c r="W417" s="300"/>
      <c r="X417" s="300"/>
      <c r="Y417" s="300"/>
      <c r="Z417" s="300"/>
      <c r="AA417" s="300"/>
      <c r="AB417" s="300"/>
      <c r="AC417" s="300"/>
      <c r="AD417" s="300"/>
      <c r="AE417" s="300"/>
    </row>
    <row r="418" spans="15:31">
      <c r="O418" s="300"/>
      <c r="P418" s="300"/>
      <c r="Q418" s="300"/>
      <c r="R418" s="300"/>
      <c r="S418" s="300"/>
      <c r="T418" s="300"/>
      <c r="U418" s="300"/>
      <c r="V418" s="300"/>
      <c r="W418" s="300"/>
      <c r="X418" s="300"/>
      <c r="Y418" s="300"/>
      <c r="Z418" s="300"/>
      <c r="AA418" s="300"/>
      <c r="AB418" s="300"/>
      <c r="AC418" s="300"/>
      <c r="AD418" s="300"/>
      <c r="AE418" s="300"/>
    </row>
    <row r="419" spans="15:31">
      <c r="O419" s="300"/>
      <c r="P419" s="300"/>
      <c r="Q419" s="300"/>
      <c r="R419" s="300"/>
      <c r="S419" s="300"/>
      <c r="T419" s="300"/>
      <c r="U419" s="300"/>
      <c r="V419" s="300"/>
      <c r="W419" s="300"/>
      <c r="X419" s="300"/>
      <c r="Y419" s="300"/>
      <c r="Z419" s="300"/>
      <c r="AA419" s="300"/>
      <c r="AB419" s="300"/>
      <c r="AC419" s="300"/>
      <c r="AD419" s="300"/>
      <c r="AE419" s="300"/>
    </row>
    <row r="420" spans="15:31">
      <c r="O420" s="300"/>
      <c r="P420" s="300"/>
      <c r="Q420" s="300"/>
      <c r="R420" s="300"/>
      <c r="S420" s="300"/>
      <c r="T420" s="300"/>
      <c r="U420" s="300"/>
      <c r="V420" s="300"/>
      <c r="W420" s="300"/>
      <c r="X420" s="300"/>
      <c r="Y420" s="300"/>
      <c r="Z420" s="300"/>
      <c r="AA420" s="300"/>
      <c r="AB420" s="300"/>
      <c r="AC420" s="300"/>
      <c r="AD420" s="300"/>
      <c r="AE420" s="300"/>
    </row>
    <row r="421" spans="15:31">
      <c r="O421" s="300"/>
      <c r="P421" s="300"/>
      <c r="Q421" s="300"/>
      <c r="R421" s="300"/>
      <c r="S421" s="300"/>
      <c r="T421" s="300"/>
      <c r="U421" s="300"/>
      <c r="V421" s="300"/>
      <c r="W421" s="300"/>
      <c r="X421" s="300"/>
      <c r="Y421" s="300"/>
      <c r="Z421" s="300"/>
      <c r="AA421" s="300"/>
      <c r="AB421" s="300"/>
      <c r="AC421" s="300"/>
      <c r="AD421" s="300"/>
      <c r="AE421" s="300"/>
    </row>
    <row r="422" spans="15:31">
      <c r="O422" s="300"/>
      <c r="P422" s="300"/>
      <c r="Q422" s="300"/>
      <c r="R422" s="300"/>
      <c r="S422" s="300"/>
      <c r="T422" s="300"/>
      <c r="U422" s="300"/>
      <c r="V422" s="300"/>
      <c r="W422" s="300"/>
      <c r="X422" s="300"/>
      <c r="Y422" s="300"/>
      <c r="Z422" s="300"/>
      <c r="AA422" s="300"/>
      <c r="AB422" s="300"/>
      <c r="AC422" s="300"/>
      <c r="AD422" s="300"/>
      <c r="AE422" s="300"/>
    </row>
    <row r="423" spans="15:31">
      <c r="O423" s="300"/>
      <c r="P423" s="300"/>
      <c r="Q423" s="300"/>
      <c r="R423" s="300"/>
      <c r="S423" s="300"/>
      <c r="T423" s="300"/>
      <c r="U423" s="300"/>
      <c r="V423" s="300"/>
      <c r="W423" s="300"/>
      <c r="X423" s="300"/>
      <c r="Y423" s="300"/>
      <c r="Z423" s="300"/>
      <c r="AA423" s="300"/>
      <c r="AB423" s="300"/>
      <c r="AC423" s="300"/>
      <c r="AD423" s="300"/>
      <c r="AE423" s="300"/>
    </row>
    <row r="424" spans="15:31">
      <c r="O424" s="300"/>
      <c r="P424" s="300"/>
      <c r="Q424" s="300"/>
      <c r="R424" s="300"/>
      <c r="S424" s="300"/>
      <c r="T424" s="300"/>
      <c r="U424" s="300"/>
      <c r="V424" s="300"/>
      <c r="W424" s="300"/>
      <c r="X424" s="300"/>
      <c r="Y424" s="300"/>
      <c r="Z424" s="300"/>
      <c r="AA424" s="300"/>
      <c r="AB424" s="300"/>
      <c r="AC424" s="300"/>
      <c r="AD424" s="300"/>
      <c r="AE424" s="300"/>
    </row>
    <row r="425" spans="15:31">
      <c r="O425" s="300"/>
      <c r="P425" s="300"/>
      <c r="Q425" s="300"/>
      <c r="R425" s="300"/>
      <c r="S425" s="300"/>
      <c r="T425" s="300"/>
      <c r="U425" s="300"/>
      <c r="V425" s="300"/>
      <c r="W425" s="300"/>
      <c r="X425" s="300"/>
      <c r="Y425" s="300"/>
      <c r="Z425" s="300"/>
      <c r="AA425" s="300"/>
      <c r="AB425" s="300"/>
      <c r="AC425" s="300"/>
      <c r="AD425" s="300"/>
      <c r="AE425" s="300"/>
    </row>
    <row r="426" spans="15:31">
      <c r="O426" s="300"/>
      <c r="P426" s="300"/>
      <c r="Q426" s="300"/>
      <c r="R426" s="300"/>
      <c r="S426" s="300"/>
      <c r="T426" s="300"/>
      <c r="U426" s="300"/>
      <c r="V426" s="300"/>
      <c r="W426" s="300"/>
      <c r="X426" s="300"/>
      <c r="Y426" s="300"/>
      <c r="Z426" s="300"/>
      <c r="AA426" s="300"/>
      <c r="AB426" s="300"/>
      <c r="AC426" s="300"/>
      <c r="AD426" s="300"/>
      <c r="AE426" s="300"/>
    </row>
    <row r="427" spans="15:31">
      <c r="O427" s="300"/>
      <c r="P427" s="300"/>
      <c r="Q427" s="300"/>
      <c r="R427" s="300"/>
      <c r="S427" s="300"/>
      <c r="T427" s="300"/>
      <c r="U427" s="300"/>
      <c r="V427" s="300"/>
      <c r="W427" s="300"/>
      <c r="X427" s="300"/>
      <c r="Y427" s="300"/>
      <c r="Z427" s="300"/>
      <c r="AA427" s="300"/>
      <c r="AB427" s="300"/>
      <c r="AC427" s="300"/>
      <c r="AD427" s="300"/>
      <c r="AE427" s="300"/>
    </row>
    <row r="428" spans="15:31">
      <c r="O428" s="300"/>
      <c r="P428" s="300"/>
      <c r="Q428" s="300"/>
      <c r="R428" s="300"/>
      <c r="S428" s="300"/>
      <c r="T428" s="300"/>
      <c r="U428" s="300"/>
      <c r="V428" s="300"/>
      <c r="W428" s="300"/>
      <c r="X428" s="300"/>
      <c r="Y428" s="300"/>
      <c r="Z428" s="300"/>
      <c r="AA428" s="300"/>
      <c r="AB428" s="300"/>
      <c r="AC428" s="300"/>
      <c r="AD428" s="300"/>
      <c r="AE428" s="300"/>
    </row>
    <row r="429" spans="15:31">
      <c r="O429" s="300"/>
      <c r="P429" s="300"/>
      <c r="Q429" s="300"/>
      <c r="R429" s="300"/>
      <c r="S429" s="300"/>
      <c r="T429" s="300"/>
      <c r="U429" s="300"/>
      <c r="V429" s="300"/>
      <c r="W429" s="300"/>
      <c r="X429" s="300"/>
      <c r="Y429" s="300"/>
      <c r="Z429" s="300"/>
      <c r="AA429" s="300"/>
      <c r="AB429" s="300"/>
      <c r="AC429" s="300"/>
      <c r="AD429" s="300"/>
      <c r="AE429" s="300"/>
    </row>
    <row r="430" spans="15:31">
      <c r="O430" s="300"/>
      <c r="P430" s="300"/>
      <c r="Q430" s="300"/>
      <c r="R430" s="300"/>
      <c r="S430" s="300"/>
      <c r="T430" s="300"/>
      <c r="U430" s="300"/>
      <c r="V430" s="300"/>
      <c r="W430" s="300"/>
      <c r="X430" s="300"/>
      <c r="Y430" s="300"/>
      <c r="Z430" s="300"/>
      <c r="AA430" s="300"/>
      <c r="AB430" s="300"/>
      <c r="AC430" s="300"/>
      <c r="AD430" s="300"/>
      <c r="AE430" s="300"/>
    </row>
    <row r="431" spans="15:31">
      <c r="O431" s="300"/>
      <c r="P431" s="300"/>
      <c r="Q431" s="300"/>
      <c r="R431" s="300"/>
      <c r="S431" s="300"/>
      <c r="T431" s="300"/>
      <c r="U431" s="300"/>
      <c r="V431" s="300"/>
      <c r="W431" s="300"/>
      <c r="X431" s="300"/>
      <c r="Y431" s="300"/>
      <c r="Z431" s="300"/>
      <c r="AA431" s="300"/>
      <c r="AB431" s="300"/>
      <c r="AC431" s="300"/>
      <c r="AD431" s="300"/>
      <c r="AE431" s="300"/>
    </row>
    <row r="432" spans="15:31">
      <c r="O432" s="300"/>
      <c r="P432" s="300"/>
      <c r="Q432" s="300"/>
      <c r="R432" s="300"/>
      <c r="S432" s="300"/>
      <c r="T432" s="300"/>
      <c r="U432" s="300"/>
      <c r="V432" s="300"/>
      <c r="W432" s="300"/>
      <c r="X432" s="300"/>
      <c r="Y432" s="300"/>
      <c r="Z432" s="300"/>
      <c r="AA432" s="300"/>
      <c r="AB432" s="300"/>
      <c r="AC432" s="300"/>
      <c r="AD432" s="300"/>
      <c r="AE432" s="300"/>
    </row>
    <row r="433" spans="15:31">
      <c r="O433" s="300"/>
      <c r="P433" s="300"/>
      <c r="Q433" s="300"/>
      <c r="R433" s="300"/>
      <c r="S433" s="300"/>
      <c r="T433" s="300"/>
      <c r="U433" s="300"/>
      <c r="V433" s="300"/>
      <c r="W433" s="300"/>
      <c r="X433" s="300"/>
      <c r="Y433" s="300"/>
      <c r="Z433" s="300"/>
      <c r="AA433" s="300"/>
      <c r="AB433" s="300"/>
      <c r="AC433" s="300"/>
      <c r="AD433" s="300"/>
      <c r="AE433" s="300"/>
    </row>
    <row r="434" spans="15:31">
      <c r="O434" s="300"/>
      <c r="P434" s="300"/>
      <c r="Q434" s="300"/>
      <c r="R434" s="300"/>
      <c r="S434" s="300"/>
      <c r="T434" s="300"/>
      <c r="U434" s="300"/>
      <c r="V434" s="300"/>
      <c r="W434" s="300"/>
      <c r="X434" s="300"/>
      <c r="Y434" s="300"/>
      <c r="Z434" s="300"/>
      <c r="AA434" s="300"/>
      <c r="AB434" s="300"/>
      <c r="AC434" s="300"/>
      <c r="AD434" s="300"/>
      <c r="AE434" s="300"/>
    </row>
    <row r="435" spans="15:31">
      <c r="O435" s="300"/>
      <c r="P435" s="300"/>
      <c r="Q435" s="300"/>
      <c r="R435" s="300"/>
      <c r="S435" s="300"/>
      <c r="T435" s="300"/>
      <c r="U435" s="300"/>
      <c r="V435" s="300"/>
      <c r="W435" s="300"/>
      <c r="X435" s="300"/>
      <c r="Y435" s="300"/>
      <c r="Z435" s="300"/>
      <c r="AA435" s="300"/>
      <c r="AB435" s="300"/>
      <c r="AC435" s="300"/>
      <c r="AD435" s="300"/>
      <c r="AE435" s="300"/>
    </row>
    <row r="436" spans="15:31">
      <c r="O436" s="300"/>
      <c r="P436" s="300"/>
      <c r="Q436" s="300"/>
      <c r="R436" s="300"/>
      <c r="S436" s="300"/>
      <c r="T436" s="300"/>
      <c r="U436" s="300"/>
      <c r="V436" s="300"/>
      <c r="W436" s="300"/>
      <c r="X436" s="300"/>
      <c r="Y436" s="300"/>
      <c r="Z436" s="300"/>
      <c r="AA436" s="300"/>
      <c r="AB436" s="300"/>
      <c r="AC436" s="300"/>
      <c r="AD436" s="300"/>
      <c r="AE436" s="300"/>
    </row>
    <row r="437" spans="15:31">
      <c r="O437" s="300"/>
      <c r="P437" s="300"/>
      <c r="Q437" s="300"/>
      <c r="R437" s="300"/>
      <c r="S437" s="300"/>
      <c r="T437" s="300"/>
      <c r="U437" s="300"/>
      <c r="V437" s="300"/>
      <c r="W437" s="300"/>
      <c r="X437" s="300"/>
      <c r="Y437" s="300"/>
      <c r="Z437" s="300"/>
      <c r="AA437" s="300"/>
      <c r="AB437" s="300"/>
      <c r="AC437" s="300"/>
      <c r="AD437" s="300"/>
      <c r="AE437" s="300"/>
    </row>
    <row r="438" spans="15:31">
      <c r="O438" s="300"/>
      <c r="P438" s="300"/>
      <c r="Q438" s="300"/>
      <c r="R438" s="300"/>
      <c r="S438" s="300"/>
      <c r="T438" s="300"/>
      <c r="U438" s="300"/>
      <c r="V438" s="300"/>
      <c r="W438" s="300"/>
      <c r="X438" s="300"/>
      <c r="Y438" s="300"/>
      <c r="Z438" s="300"/>
      <c r="AA438" s="300"/>
      <c r="AB438" s="300"/>
      <c r="AC438" s="300"/>
      <c r="AD438" s="300"/>
      <c r="AE438" s="300"/>
    </row>
    <row r="439" spans="15:31">
      <c r="O439" s="300"/>
      <c r="P439" s="300"/>
      <c r="Q439" s="300"/>
      <c r="R439" s="300"/>
      <c r="S439" s="300"/>
      <c r="T439" s="300"/>
      <c r="U439" s="300"/>
      <c r="V439" s="300"/>
      <c r="W439" s="300"/>
      <c r="X439" s="300"/>
      <c r="Y439" s="300"/>
      <c r="Z439" s="300"/>
      <c r="AA439" s="300"/>
      <c r="AB439" s="300"/>
      <c r="AC439" s="300"/>
      <c r="AD439" s="300"/>
      <c r="AE439" s="300"/>
    </row>
    <row r="440" spans="15:31">
      <c r="O440" s="300"/>
      <c r="P440" s="300"/>
      <c r="Q440" s="300"/>
      <c r="R440" s="300"/>
      <c r="S440" s="300"/>
      <c r="T440" s="300"/>
      <c r="U440" s="300"/>
      <c r="V440" s="300"/>
      <c r="W440" s="300"/>
      <c r="X440" s="300"/>
      <c r="Y440" s="300"/>
      <c r="Z440" s="300"/>
      <c r="AA440" s="300"/>
      <c r="AB440" s="300"/>
      <c r="AC440" s="300"/>
      <c r="AD440" s="300"/>
      <c r="AE440" s="300"/>
    </row>
    <row r="441" spans="15:31">
      <c r="O441" s="300"/>
      <c r="P441" s="300"/>
      <c r="Q441" s="300"/>
      <c r="R441" s="300"/>
      <c r="S441" s="300"/>
      <c r="T441" s="300"/>
      <c r="U441" s="300"/>
      <c r="V441" s="300"/>
      <c r="W441" s="300"/>
      <c r="X441" s="300"/>
      <c r="Y441" s="300"/>
      <c r="Z441" s="300"/>
      <c r="AA441" s="300"/>
      <c r="AB441" s="300"/>
      <c r="AC441" s="300"/>
      <c r="AD441" s="300"/>
      <c r="AE441" s="300"/>
    </row>
    <row r="442" spans="15:31">
      <c r="O442" s="300"/>
      <c r="P442" s="300"/>
      <c r="Q442" s="300"/>
      <c r="R442" s="300"/>
      <c r="S442" s="300"/>
      <c r="T442" s="300"/>
      <c r="U442" s="300"/>
      <c r="V442" s="300"/>
      <c r="W442" s="300"/>
      <c r="X442" s="300"/>
      <c r="Y442" s="300"/>
      <c r="Z442" s="300"/>
      <c r="AA442" s="300"/>
      <c r="AB442" s="300"/>
      <c r="AC442" s="300"/>
      <c r="AD442" s="300"/>
      <c r="AE442" s="300"/>
    </row>
    <row r="443" spans="15:31">
      <c r="O443" s="300"/>
      <c r="P443" s="300"/>
      <c r="Q443" s="300"/>
      <c r="R443" s="300"/>
      <c r="S443" s="300"/>
      <c r="T443" s="300"/>
      <c r="U443" s="300"/>
      <c r="V443" s="300"/>
      <c r="W443" s="300"/>
      <c r="X443" s="300"/>
      <c r="Y443" s="300"/>
      <c r="Z443" s="300"/>
      <c r="AA443" s="300"/>
      <c r="AB443" s="300"/>
      <c r="AC443" s="300"/>
      <c r="AD443" s="300"/>
      <c r="AE443" s="300"/>
    </row>
    <row r="444" spans="15:31">
      <c r="O444" s="300"/>
      <c r="P444" s="300"/>
      <c r="Q444" s="300"/>
      <c r="R444" s="300"/>
      <c r="S444" s="300"/>
      <c r="T444" s="300"/>
      <c r="U444" s="300"/>
      <c r="V444" s="300"/>
      <c r="W444" s="300"/>
      <c r="X444" s="300"/>
      <c r="Y444" s="300"/>
      <c r="Z444" s="300"/>
      <c r="AA444" s="300"/>
      <c r="AB444" s="300"/>
      <c r="AC444" s="300"/>
      <c r="AD444" s="300"/>
      <c r="AE444" s="300"/>
    </row>
    <row r="445" spans="15:31">
      <c r="O445" s="300"/>
      <c r="P445" s="300"/>
      <c r="Q445" s="300"/>
      <c r="R445" s="300"/>
      <c r="S445" s="300"/>
      <c r="T445" s="300"/>
      <c r="U445" s="300"/>
      <c r="V445" s="300"/>
      <c r="W445" s="300"/>
      <c r="X445" s="300"/>
      <c r="Y445" s="300"/>
      <c r="Z445" s="300"/>
      <c r="AA445" s="300"/>
      <c r="AB445" s="300"/>
      <c r="AC445" s="300"/>
      <c r="AD445" s="300"/>
      <c r="AE445" s="300"/>
    </row>
    <row r="446" spans="15:31">
      <c r="O446" s="300"/>
      <c r="P446" s="300"/>
      <c r="Q446" s="300"/>
      <c r="R446" s="300"/>
      <c r="S446" s="300"/>
      <c r="T446" s="300"/>
      <c r="U446" s="300"/>
      <c r="V446" s="300"/>
      <c r="W446" s="300"/>
      <c r="X446" s="300"/>
      <c r="Y446" s="300"/>
      <c r="Z446" s="300"/>
      <c r="AA446" s="300"/>
      <c r="AB446" s="300"/>
      <c r="AC446" s="300"/>
      <c r="AD446" s="300"/>
      <c r="AE446" s="300"/>
    </row>
    <row r="447" spans="15:31">
      <c r="O447" s="300"/>
      <c r="P447" s="300"/>
      <c r="Q447" s="300"/>
      <c r="R447" s="300"/>
      <c r="S447" s="300"/>
      <c r="T447" s="300"/>
      <c r="U447" s="300"/>
      <c r="V447" s="300"/>
      <c r="W447" s="300"/>
      <c r="X447" s="300"/>
      <c r="Y447" s="300"/>
      <c r="Z447" s="300"/>
      <c r="AA447" s="300"/>
      <c r="AB447" s="300"/>
      <c r="AC447" s="300"/>
      <c r="AD447" s="300"/>
      <c r="AE447" s="300"/>
    </row>
    <row r="448" spans="15:31">
      <c r="O448" s="300"/>
      <c r="P448" s="300"/>
      <c r="Q448" s="300"/>
      <c r="R448" s="300"/>
      <c r="S448" s="300"/>
      <c r="T448" s="300"/>
      <c r="U448" s="300"/>
      <c r="V448" s="300"/>
      <c r="W448" s="300"/>
      <c r="X448" s="300"/>
      <c r="Y448" s="300"/>
      <c r="Z448" s="300"/>
      <c r="AA448" s="300"/>
      <c r="AB448" s="300"/>
      <c r="AC448" s="300"/>
      <c r="AD448" s="300"/>
      <c r="AE448" s="300"/>
    </row>
    <row r="449" spans="15:31">
      <c r="O449" s="300"/>
      <c r="P449" s="300"/>
      <c r="Q449" s="300"/>
      <c r="R449" s="300"/>
      <c r="S449" s="300"/>
      <c r="T449" s="300"/>
      <c r="U449" s="300"/>
      <c r="V449" s="300"/>
      <c r="W449" s="300"/>
      <c r="X449" s="300"/>
      <c r="Y449" s="300"/>
      <c r="Z449" s="300"/>
      <c r="AA449" s="300"/>
      <c r="AB449" s="300"/>
      <c r="AC449" s="300"/>
      <c r="AD449" s="300"/>
      <c r="AE449" s="300"/>
    </row>
    <row r="450" spans="15:31">
      <c r="O450" s="300"/>
      <c r="P450" s="300"/>
      <c r="Q450" s="300"/>
      <c r="R450" s="300"/>
      <c r="S450" s="300"/>
      <c r="T450" s="300"/>
      <c r="U450" s="300"/>
      <c r="V450" s="300"/>
      <c r="W450" s="300"/>
      <c r="X450" s="300"/>
      <c r="Y450" s="300"/>
      <c r="Z450" s="300"/>
      <c r="AA450" s="300"/>
      <c r="AB450" s="300"/>
      <c r="AC450" s="300"/>
      <c r="AD450" s="300"/>
      <c r="AE450" s="300"/>
    </row>
    <row r="451" spans="15:31">
      <c r="O451" s="300"/>
      <c r="P451" s="300"/>
      <c r="Q451" s="300"/>
      <c r="R451" s="300"/>
      <c r="S451" s="300"/>
      <c r="T451" s="300"/>
      <c r="U451" s="300"/>
      <c r="V451" s="300"/>
      <c r="W451" s="300"/>
      <c r="X451" s="300"/>
      <c r="Y451" s="300"/>
      <c r="Z451" s="300"/>
      <c r="AA451" s="300"/>
      <c r="AB451" s="300"/>
      <c r="AC451" s="300"/>
      <c r="AD451" s="300"/>
      <c r="AE451" s="300"/>
    </row>
    <row r="452" spans="15:31">
      <c r="O452" s="300"/>
      <c r="P452" s="300"/>
      <c r="Q452" s="300"/>
      <c r="R452" s="300"/>
      <c r="S452" s="300"/>
      <c r="T452" s="300"/>
      <c r="U452" s="300"/>
      <c r="V452" s="300"/>
      <c r="W452" s="300"/>
      <c r="X452" s="300"/>
      <c r="Y452" s="300"/>
      <c r="Z452" s="300"/>
      <c r="AA452" s="300"/>
      <c r="AB452" s="300"/>
      <c r="AC452" s="300"/>
      <c r="AD452" s="300"/>
      <c r="AE452" s="300"/>
    </row>
    <row r="453" spans="15:31">
      <c r="O453" s="300"/>
      <c r="P453" s="300"/>
      <c r="Q453" s="300"/>
      <c r="R453" s="300"/>
      <c r="S453" s="300"/>
      <c r="T453" s="300"/>
      <c r="U453" s="300"/>
      <c r="V453" s="300"/>
      <c r="W453" s="300"/>
      <c r="X453" s="300"/>
      <c r="Y453" s="300"/>
      <c r="Z453" s="300"/>
      <c r="AA453" s="300"/>
      <c r="AB453" s="300"/>
      <c r="AC453" s="300"/>
      <c r="AD453" s="300"/>
      <c r="AE453" s="300"/>
    </row>
    <row r="454" spans="15:31">
      <c r="O454" s="300"/>
      <c r="P454" s="300"/>
      <c r="Q454" s="300"/>
      <c r="R454" s="300"/>
      <c r="S454" s="300"/>
      <c r="T454" s="300"/>
      <c r="U454" s="300"/>
      <c r="V454" s="300"/>
      <c r="W454" s="300"/>
      <c r="X454" s="300"/>
      <c r="Y454" s="300"/>
      <c r="Z454" s="300"/>
      <c r="AA454" s="300"/>
      <c r="AB454" s="300"/>
      <c r="AC454" s="300"/>
      <c r="AD454" s="300"/>
      <c r="AE454" s="300"/>
    </row>
    <row r="455" spans="15:31">
      <c r="O455" s="300"/>
      <c r="P455" s="300"/>
      <c r="Q455" s="300"/>
      <c r="R455" s="300"/>
      <c r="S455" s="300"/>
      <c r="T455" s="300"/>
      <c r="U455" s="300"/>
      <c r="V455" s="300"/>
      <c r="W455" s="300"/>
      <c r="X455" s="300"/>
      <c r="Y455" s="300"/>
      <c r="Z455" s="300"/>
      <c r="AA455" s="300"/>
      <c r="AB455" s="300"/>
      <c r="AC455" s="300"/>
      <c r="AD455" s="300"/>
      <c r="AE455" s="300"/>
    </row>
    <row r="456" spans="15:31">
      <c r="O456" s="300"/>
      <c r="P456" s="300"/>
      <c r="Q456" s="300"/>
      <c r="R456" s="300"/>
      <c r="S456" s="300"/>
      <c r="T456" s="300"/>
      <c r="U456" s="300"/>
      <c r="V456" s="300"/>
      <c r="W456" s="300"/>
      <c r="X456" s="300"/>
      <c r="Y456" s="300"/>
      <c r="Z456" s="300"/>
      <c r="AA456" s="300"/>
      <c r="AB456" s="300"/>
      <c r="AC456" s="300"/>
      <c r="AD456" s="300"/>
      <c r="AE456" s="300"/>
    </row>
    <row r="457" spans="15:31">
      <c r="O457" s="300"/>
      <c r="P457" s="300"/>
      <c r="Q457" s="300"/>
      <c r="R457" s="300"/>
      <c r="S457" s="300"/>
      <c r="T457" s="300"/>
      <c r="U457" s="300"/>
      <c r="V457" s="300"/>
      <c r="W457" s="300"/>
      <c r="X457" s="300"/>
      <c r="Y457" s="300"/>
      <c r="Z457" s="300"/>
      <c r="AA457" s="300"/>
      <c r="AB457" s="300"/>
      <c r="AC457" s="300"/>
      <c r="AD457" s="300"/>
      <c r="AE457" s="300"/>
    </row>
    <row r="458" spans="15:31">
      <c r="O458" s="300"/>
      <c r="P458" s="300"/>
      <c r="Q458" s="300"/>
      <c r="R458" s="300"/>
      <c r="S458" s="300"/>
      <c r="T458" s="300"/>
      <c r="U458" s="300"/>
      <c r="V458" s="300"/>
      <c r="W458" s="300"/>
      <c r="X458" s="300"/>
      <c r="Y458" s="300"/>
      <c r="Z458" s="300"/>
      <c r="AA458" s="300"/>
      <c r="AB458" s="300"/>
      <c r="AC458" s="300"/>
      <c r="AD458" s="300"/>
      <c r="AE458" s="300"/>
    </row>
    <row r="459" spans="15:31">
      <c r="O459" s="300"/>
      <c r="P459" s="300"/>
      <c r="Q459" s="300"/>
      <c r="R459" s="300"/>
      <c r="S459" s="300"/>
      <c r="T459" s="300"/>
      <c r="U459" s="300"/>
      <c r="V459" s="300"/>
      <c r="W459" s="300"/>
      <c r="X459" s="300"/>
      <c r="Y459" s="300"/>
      <c r="Z459" s="300"/>
      <c r="AA459" s="300"/>
      <c r="AB459" s="300"/>
      <c r="AC459" s="300"/>
      <c r="AD459" s="300"/>
      <c r="AE459" s="300"/>
    </row>
    <row r="460" spans="15:31">
      <c r="O460" s="300"/>
      <c r="P460" s="300"/>
      <c r="Q460" s="300"/>
      <c r="R460" s="300"/>
      <c r="S460" s="300"/>
      <c r="T460" s="300"/>
      <c r="U460" s="300"/>
      <c r="V460" s="300"/>
      <c r="W460" s="300"/>
      <c r="X460" s="300"/>
      <c r="Y460" s="300"/>
      <c r="Z460" s="300"/>
      <c r="AA460" s="300"/>
      <c r="AB460" s="300"/>
      <c r="AC460" s="300"/>
      <c r="AD460" s="300"/>
      <c r="AE460" s="300"/>
    </row>
    <row r="461" spans="15:31">
      <c r="O461" s="300"/>
      <c r="P461" s="300"/>
      <c r="Q461" s="300"/>
      <c r="R461" s="300"/>
      <c r="S461" s="300"/>
      <c r="T461" s="300"/>
      <c r="U461" s="300"/>
      <c r="V461" s="300"/>
      <c r="W461" s="300"/>
      <c r="X461" s="300"/>
      <c r="Y461" s="300"/>
      <c r="Z461" s="300"/>
      <c r="AA461" s="300"/>
      <c r="AB461" s="300"/>
      <c r="AC461" s="300"/>
      <c r="AD461" s="300"/>
      <c r="AE461" s="300"/>
    </row>
    <row r="462" spans="15:31">
      <c r="O462" s="300"/>
      <c r="P462" s="300"/>
      <c r="Q462" s="300"/>
      <c r="R462" s="300"/>
      <c r="S462" s="300"/>
      <c r="T462" s="300"/>
      <c r="U462" s="300"/>
      <c r="V462" s="300"/>
      <c r="W462" s="300"/>
      <c r="X462" s="300"/>
      <c r="Y462" s="300"/>
      <c r="Z462" s="300"/>
      <c r="AA462" s="300"/>
      <c r="AB462" s="300"/>
      <c r="AC462" s="300"/>
      <c r="AD462" s="300"/>
      <c r="AE462" s="300"/>
    </row>
    <row r="463" spans="15:31">
      <c r="O463" s="300"/>
      <c r="P463" s="300"/>
      <c r="Q463" s="300"/>
      <c r="R463" s="300"/>
      <c r="S463" s="300"/>
      <c r="T463" s="300"/>
      <c r="U463" s="300"/>
      <c r="V463" s="300"/>
      <c r="W463" s="300"/>
      <c r="X463" s="300"/>
      <c r="Y463" s="300"/>
      <c r="Z463" s="300"/>
      <c r="AA463" s="300"/>
      <c r="AB463" s="300"/>
      <c r="AC463" s="300"/>
      <c r="AD463" s="300"/>
      <c r="AE463" s="300"/>
    </row>
    <row r="464" spans="15:31">
      <c r="O464" s="300"/>
      <c r="P464" s="300"/>
      <c r="Q464" s="300"/>
      <c r="R464" s="300"/>
      <c r="S464" s="300"/>
      <c r="T464" s="300"/>
      <c r="U464" s="300"/>
      <c r="V464" s="300"/>
      <c r="W464" s="300"/>
      <c r="X464" s="300"/>
      <c r="Y464" s="300"/>
      <c r="Z464" s="300"/>
      <c r="AA464" s="300"/>
      <c r="AB464" s="300"/>
      <c r="AC464" s="300"/>
      <c r="AD464" s="300"/>
      <c r="AE464" s="300"/>
    </row>
    <row r="465" spans="15:31">
      <c r="O465" s="300"/>
      <c r="P465" s="300"/>
      <c r="Q465" s="300"/>
      <c r="R465" s="300"/>
      <c r="S465" s="300"/>
      <c r="T465" s="300"/>
      <c r="U465" s="300"/>
      <c r="V465" s="300"/>
      <c r="W465" s="300"/>
      <c r="X465" s="300"/>
      <c r="Y465" s="300"/>
      <c r="Z465" s="300"/>
      <c r="AA465" s="300"/>
      <c r="AB465" s="300"/>
      <c r="AC465" s="300"/>
      <c r="AD465" s="300"/>
      <c r="AE465" s="300"/>
    </row>
    <row r="466" spans="15:31">
      <c r="O466" s="300"/>
      <c r="P466" s="300"/>
      <c r="Q466" s="300"/>
      <c r="R466" s="300"/>
      <c r="S466" s="300"/>
      <c r="T466" s="300"/>
      <c r="U466" s="300"/>
      <c r="V466" s="300"/>
      <c r="W466" s="300"/>
      <c r="X466" s="300"/>
      <c r="Y466" s="300"/>
      <c r="Z466" s="300"/>
      <c r="AA466" s="300"/>
      <c r="AB466" s="300"/>
      <c r="AC466" s="300"/>
      <c r="AD466" s="300"/>
      <c r="AE466" s="300"/>
    </row>
    <row r="467" spans="15:31">
      <c r="O467" s="300"/>
      <c r="P467" s="300"/>
      <c r="Q467" s="300"/>
      <c r="R467" s="300"/>
      <c r="S467" s="300"/>
      <c r="T467" s="300"/>
      <c r="U467" s="300"/>
      <c r="V467" s="300"/>
      <c r="W467" s="300"/>
      <c r="X467" s="300"/>
      <c r="Y467" s="300"/>
      <c r="Z467" s="300"/>
      <c r="AA467" s="300"/>
      <c r="AB467" s="300"/>
      <c r="AC467" s="300"/>
      <c r="AD467" s="300"/>
      <c r="AE467" s="300"/>
    </row>
    <row r="468" spans="15:31">
      <c r="O468" s="300"/>
      <c r="P468" s="300"/>
      <c r="Q468" s="300"/>
      <c r="R468" s="300"/>
      <c r="S468" s="300"/>
      <c r="T468" s="300"/>
      <c r="U468" s="300"/>
      <c r="V468" s="300"/>
      <c r="W468" s="300"/>
      <c r="X468" s="300"/>
      <c r="Y468" s="300"/>
      <c r="Z468" s="300"/>
      <c r="AA468" s="300"/>
      <c r="AB468" s="300"/>
      <c r="AC468" s="300"/>
      <c r="AD468" s="300"/>
      <c r="AE468" s="300"/>
    </row>
    <row r="469" spans="15:31">
      <c r="O469" s="300"/>
      <c r="P469" s="300"/>
      <c r="Q469" s="300"/>
      <c r="R469" s="300"/>
      <c r="S469" s="300"/>
      <c r="T469" s="300"/>
      <c r="U469" s="300"/>
      <c r="V469" s="300"/>
      <c r="W469" s="300"/>
      <c r="X469" s="300"/>
      <c r="Y469" s="300"/>
      <c r="Z469" s="300"/>
      <c r="AA469" s="300"/>
      <c r="AB469" s="300"/>
      <c r="AC469" s="300"/>
      <c r="AD469" s="300"/>
      <c r="AE469" s="300"/>
    </row>
    <row r="470" spans="15:31">
      <c r="O470" s="300"/>
      <c r="P470" s="300"/>
      <c r="Q470" s="300"/>
      <c r="R470" s="300"/>
      <c r="S470" s="300"/>
      <c r="T470" s="300"/>
      <c r="U470" s="300"/>
      <c r="V470" s="300"/>
      <c r="W470" s="300"/>
      <c r="X470" s="300"/>
      <c r="Y470" s="300"/>
      <c r="Z470" s="300"/>
      <c r="AA470" s="300"/>
      <c r="AB470" s="300"/>
      <c r="AC470" s="300"/>
      <c r="AD470" s="300"/>
      <c r="AE470" s="300"/>
    </row>
    <row r="471" spans="15:31">
      <c r="O471" s="300"/>
      <c r="P471" s="300"/>
      <c r="Q471" s="300"/>
      <c r="R471" s="300"/>
      <c r="S471" s="300"/>
      <c r="T471" s="300"/>
      <c r="U471" s="300"/>
      <c r="V471" s="300"/>
      <c r="W471" s="300"/>
      <c r="X471" s="300"/>
      <c r="Y471" s="300"/>
      <c r="Z471" s="300"/>
      <c r="AA471" s="300"/>
      <c r="AB471" s="300"/>
      <c r="AC471" s="300"/>
      <c r="AD471" s="300"/>
      <c r="AE471" s="300"/>
    </row>
    <row r="472" spans="15:31">
      <c r="O472" s="300"/>
      <c r="P472" s="300"/>
      <c r="Q472" s="300"/>
      <c r="R472" s="300"/>
      <c r="S472" s="300"/>
      <c r="T472" s="300"/>
      <c r="U472" s="300"/>
      <c r="V472" s="300"/>
      <c r="W472" s="300"/>
      <c r="X472" s="300"/>
      <c r="Y472" s="300"/>
      <c r="Z472" s="300"/>
      <c r="AA472" s="300"/>
      <c r="AB472" s="300"/>
      <c r="AC472" s="300"/>
      <c r="AD472" s="300"/>
      <c r="AE472" s="300"/>
    </row>
    <row r="473" spans="15:31">
      <c r="O473" s="300"/>
      <c r="P473" s="300"/>
      <c r="Q473" s="300"/>
      <c r="R473" s="300"/>
      <c r="S473" s="300"/>
      <c r="T473" s="300"/>
      <c r="U473" s="300"/>
      <c r="V473" s="300"/>
      <c r="W473" s="300"/>
      <c r="X473" s="300"/>
      <c r="Y473" s="300"/>
      <c r="Z473" s="300"/>
      <c r="AA473" s="300"/>
      <c r="AB473" s="300"/>
      <c r="AC473" s="300"/>
      <c r="AD473" s="300"/>
      <c r="AE473" s="300"/>
    </row>
    <row r="474" spans="15:31">
      <c r="O474" s="300"/>
      <c r="P474" s="300"/>
      <c r="Q474" s="300"/>
      <c r="R474" s="300"/>
      <c r="S474" s="300"/>
      <c r="T474" s="300"/>
      <c r="U474" s="300"/>
      <c r="V474" s="300"/>
      <c r="W474" s="300"/>
      <c r="X474" s="300"/>
      <c r="Y474" s="300"/>
      <c r="Z474" s="300"/>
      <c r="AA474" s="300"/>
      <c r="AB474" s="300"/>
      <c r="AC474" s="300"/>
      <c r="AD474" s="300"/>
      <c r="AE474" s="300"/>
    </row>
    <row r="475" spans="15:31">
      <c r="O475" s="300"/>
      <c r="P475" s="300"/>
      <c r="Q475" s="300"/>
      <c r="R475" s="300"/>
      <c r="S475" s="300"/>
      <c r="T475" s="300"/>
      <c r="U475" s="300"/>
      <c r="V475" s="300"/>
      <c r="W475" s="300"/>
      <c r="X475" s="300"/>
      <c r="Y475" s="300"/>
      <c r="Z475" s="300"/>
      <c r="AA475" s="300"/>
      <c r="AB475" s="300"/>
      <c r="AC475" s="300"/>
      <c r="AD475" s="300"/>
      <c r="AE475" s="300"/>
    </row>
    <row r="476" spans="15:31">
      <c r="O476" s="300"/>
      <c r="P476" s="300"/>
      <c r="Q476" s="300"/>
      <c r="R476" s="300"/>
      <c r="S476" s="300"/>
      <c r="T476" s="300"/>
      <c r="U476" s="300"/>
      <c r="V476" s="300"/>
      <c r="W476" s="300"/>
      <c r="X476" s="300"/>
      <c r="Y476" s="300"/>
      <c r="Z476" s="300"/>
      <c r="AA476" s="300"/>
      <c r="AB476" s="300"/>
      <c r="AC476" s="300"/>
      <c r="AD476" s="300"/>
      <c r="AE476" s="300"/>
    </row>
    <row r="477" spans="15:31">
      <c r="O477" s="300"/>
      <c r="P477" s="300"/>
      <c r="Q477" s="300"/>
      <c r="R477" s="300"/>
      <c r="S477" s="300"/>
      <c r="T477" s="300"/>
      <c r="U477" s="300"/>
      <c r="V477" s="300"/>
      <c r="W477" s="300"/>
      <c r="X477" s="300"/>
      <c r="Y477" s="300"/>
      <c r="Z477" s="300"/>
      <c r="AA477" s="300"/>
      <c r="AB477" s="300"/>
      <c r="AC477" s="300"/>
      <c r="AD477" s="300"/>
      <c r="AE477" s="300"/>
    </row>
    <row r="478" spans="15:31">
      <c r="O478" s="300"/>
      <c r="P478" s="300"/>
      <c r="Q478" s="300"/>
      <c r="R478" s="300"/>
      <c r="S478" s="300"/>
      <c r="T478" s="300"/>
      <c r="U478" s="300"/>
      <c r="V478" s="300"/>
      <c r="W478" s="300"/>
      <c r="X478" s="300"/>
      <c r="Y478" s="300"/>
      <c r="Z478" s="300"/>
      <c r="AA478" s="300"/>
      <c r="AB478" s="300"/>
      <c r="AC478" s="300"/>
      <c r="AD478" s="300"/>
      <c r="AE478" s="300"/>
    </row>
    <row r="479" spans="15:31">
      <c r="O479" s="300"/>
      <c r="P479" s="300"/>
      <c r="Q479" s="300"/>
      <c r="R479" s="300"/>
      <c r="S479" s="300"/>
      <c r="T479" s="300"/>
      <c r="U479" s="300"/>
      <c r="V479" s="300"/>
      <c r="W479" s="300"/>
      <c r="X479" s="300"/>
      <c r="Y479" s="300"/>
      <c r="Z479" s="300"/>
      <c r="AA479" s="300"/>
      <c r="AB479" s="300"/>
      <c r="AC479" s="300"/>
      <c r="AD479" s="300"/>
      <c r="AE479" s="300"/>
    </row>
    <row r="480" spans="15:31">
      <c r="O480" s="300"/>
      <c r="P480" s="300"/>
      <c r="Q480" s="300"/>
      <c r="R480" s="300"/>
      <c r="S480" s="300"/>
      <c r="T480" s="300"/>
      <c r="U480" s="300"/>
      <c r="V480" s="300"/>
      <c r="W480" s="300"/>
      <c r="X480" s="300"/>
      <c r="Y480" s="300"/>
      <c r="Z480" s="300"/>
      <c r="AA480" s="300"/>
      <c r="AB480" s="300"/>
      <c r="AC480" s="300"/>
      <c r="AD480" s="300"/>
      <c r="AE480" s="300"/>
    </row>
    <row r="481" spans="15:31">
      <c r="O481" s="300"/>
      <c r="P481" s="300"/>
      <c r="Q481" s="300"/>
      <c r="R481" s="300"/>
      <c r="S481" s="300"/>
      <c r="T481" s="300"/>
      <c r="U481" s="300"/>
      <c r="V481" s="300"/>
      <c r="W481" s="300"/>
      <c r="X481" s="300"/>
      <c r="Y481" s="300"/>
      <c r="Z481" s="300"/>
      <c r="AA481" s="300"/>
      <c r="AB481" s="300"/>
      <c r="AC481" s="300"/>
      <c r="AD481" s="300"/>
      <c r="AE481" s="300"/>
    </row>
    <row r="482" spans="15:31">
      <c r="O482" s="300"/>
      <c r="P482" s="300"/>
      <c r="Q482" s="300"/>
      <c r="R482" s="300"/>
      <c r="S482" s="300"/>
      <c r="T482" s="300"/>
      <c r="U482" s="300"/>
      <c r="V482" s="300"/>
      <c r="W482" s="300"/>
      <c r="X482" s="300"/>
      <c r="Y482" s="300"/>
      <c r="Z482" s="300"/>
      <c r="AA482" s="300"/>
      <c r="AB482" s="300"/>
      <c r="AC482" s="300"/>
      <c r="AD482" s="300"/>
      <c r="AE482" s="300"/>
    </row>
    <row r="483" spans="15:31">
      <c r="O483" s="300"/>
      <c r="P483" s="300"/>
      <c r="Q483" s="300"/>
      <c r="R483" s="300"/>
      <c r="S483" s="300"/>
      <c r="T483" s="300"/>
      <c r="U483" s="300"/>
      <c r="V483" s="300"/>
      <c r="W483" s="300"/>
      <c r="X483" s="300"/>
      <c r="Y483" s="300"/>
      <c r="Z483" s="300"/>
      <c r="AA483" s="300"/>
      <c r="AB483" s="300"/>
      <c r="AC483" s="300"/>
      <c r="AD483" s="300"/>
      <c r="AE483" s="300"/>
    </row>
    <row r="484" spans="15:31">
      <c r="O484" s="300"/>
      <c r="P484" s="300"/>
      <c r="Q484" s="300"/>
      <c r="R484" s="300"/>
      <c r="S484" s="300"/>
      <c r="T484" s="300"/>
      <c r="U484" s="300"/>
      <c r="V484" s="300"/>
      <c r="W484" s="300"/>
      <c r="X484" s="300"/>
      <c r="Y484" s="300"/>
      <c r="Z484" s="300"/>
      <c r="AA484" s="300"/>
      <c r="AB484" s="300"/>
      <c r="AC484" s="300"/>
      <c r="AD484" s="300"/>
      <c r="AE484" s="300"/>
    </row>
    <row r="485" spans="15:31">
      <c r="O485" s="300"/>
      <c r="P485" s="300"/>
      <c r="Q485" s="300"/>
      <c r="R485" s="300"/>
      <c r="S485" s="300"/>
      <c r="T485" s="300"/>
      <c r="U485" s="300"/>
      <c r="V485" s="300"/>
      <c r="W485" s="300"/>
      <c r="X485" s="300"/>
      <c r="Y485" s="300"/>
      <c r="Z485" s="300"/>
      <c r="AA485" s="300"/>
      <c r="AB485" s="300"/>
      <c r="AC485" s="300"/>
      <c r="AD485" s="300"/>
      <c r="AE485" s="300"/>
    </row>
    <row r="486" spans="15:31">
      <c r="O486" s="300"/>
      <c r="P486" s="300"/>
      <c r="Q486" s="300"/>
      <c r="R486" s="300"/>
      <c r="S486" s="300"/>
      <c r="T486" s="300"/>
      <c r="U486" s="300"/>
      <c r="V486" s="300"/>
      <c r="W486" s="300"/>
      <c r="X486" s="300"/>
      <c r="Y486" s="300"/>
      <c r="Z486" s="300"/>
      <c r="AA486" s="300"/>
      <c r="AB486" s="300"/>
      <c r="AC486" s="300"/>
      <c r="AD486" s="300"/>
      <c r="AE486" s="300"/>
    </row>
    <row r="487" spans="15:31">
      <c r="O487" s="300"/>
      <c r="P487" s="300"/>
      <c r="Q487" s="300"/>
      <c r="R487" s="300"/>
      <c r="S487" s="300"/>
      <c r="T487" s="300"/>
      <c r="U487" s="300"/>
      <c r="V487" s="300"/>
      <c r="W487" s="300"/>
      <c r="X487" s="300"/>
      <c r="Y487" s="300"/>
      <c r="Z487" s="300"/>
      <c r="AA487" s="300"/>
      <c r="AB487" s="300"/>
      <c r="AC487" s="300"/>
      <c r="AD487" s="300"/>
      <c r="AE487" s="300"/>
    </row>
    <row r="488" spans="15:31">
      <c r="O488" s="300"/>
      <c r="P488" s="300"/>
      <c r="Q488" s="300"/>
      <c r="R488" s="300"/>
      <c r="S488" s="300"/>
      <c r="T488" s="300"/>
      <c r="U488" s="300"/>
      <c r="V488" s="300"/>
      <c r="W488" s="300"/>
      <c r="X488" s="300"/>
      <c r="Y488" s="300"/>
      <c r="Z488" s="300"/>
      <c r="AA488" s="300"/>
      <c r="AB488" s="300"/>
      <c r="AC488" s="300"/>
      <c r="AD488" s="300"/>
      <c r="AE488" s="300"/>
    </row>
    <row r="489" spans="15:31">
      <c r="O489" s="300"/>
      <c r="P489" s="300"/>
      <c r="Q489" s="300"/>
      <c r="R489" s="300"/>
      <c r="S489" s="300"/>
      <c r="T489" s="300"/>
      <c r="U489" s="300"/>
      <c r="V489" s="300"/>
      <c r="W489" s="300"/>
      <c r="X489" s="300"/>
      <c r="Y489" s="300"/>
      <c r="Z489" s="300"/>
      <c r="AA489" s="300"/>
      <c r="AB489" s="300"/>
      <c r="AC489" s="300"/>
      <c r="AD489" s="300"/>
      <c r="AE489" s="300"/>
    </row>
    <row r="490" spans="15:31">
      <c r="O490" s="300"/>
      <c r="P490" s="300"/>
      <c r="Q490" s="300"/>
      <c r="R490" s="300"/>
      <c r="S490" s="300"/>
      <c r="T490" s="300"/>
      <c r="U490" s="300"/>
      <c r="V490" s="300"/>
      <c r="W490" s="300"/>
      <c r="X490" s="300"/>
      <c r="Y490" s="300"/>
      <c r="Z490" s="300"/>
      <c r="AA490" s="300"/>
      <c r="AB490" s="300"/>
      <c r="AC490" s="300"/>
      <c r="AD490" s="300"/>
      <c r="AE490" s="300"/>
    </row>
    <row r="491" spans="15:31">
      <c r="O491" s="300"/>
      <c r="P491" s="300"/>
      <c r="Q491" s="300"/>
      <c r="R491" s="300"/>
      <c r="S491" s="300"/>
      <c r="T491" s="300"/>
      <c r="U491" s="300"/>
      <c r="V491" s="300"/>
      <c r="W491" s="300"/>
      <c r="X491" s="300"/>
      <c r="Y491" s="300"/>
      <c r="Z491" s="300"/>
      <c r="AA491" s="300"/>
      <c r="AB491" s="300"/>
      <c r="AC491" s="300"/>
      <c r="AD491" s="300"/>
      <c r="AE491" s="300"/>
    </row>
    <row r="492" spans="15:31">
      <c r="O492" s="300"/>
      <c r="P492" s="300"/>
      <c r="Q492" s="300"/>
      <c r="R492" s="300"/>
      <c r="S492" s="300"/>
      <c r="T492" s="300"/>
      <c r="U492" s="300"/>
      <c r="V492" s="300"/>
      <c r="W492" s="300"/>
      <c r="X492" s="300"/>
      <c r="Y492" s="300"/>
      <c r="Z492" s="300"/>
      <c r="AA492" s="300"/>
      <c r="AB492" s="300"/>
      <c r="AC492" s="300"/>
      <c r="AD492" s="300"/>
      <c r="AE492" s="300"/>
    </row>
    <row r="493" spans="15:31">
      <c r="O493" s="300"/>
      <c r="P493" s="300"/>
      <c r="Q493" s="300"/>
      <c r="R493" s="300"/>
      <c r="S493" s="300"/>
      <c r="T493" s="300"/>
      <c r="U493" s="300"/>
      <c r="V493" s="300"/>
      <c r="W493" s="300"/>
      <c r="X493" s="300"/>
      <c r="Y493" s="300"/>
      <c r="Z493" s="300"/>
      <c r="AA493" s="300"/>
      <c r="AB493" s="300"/>
      <c r="AC493" s="300"/>
      <c r="AD493" s="300"/>
      <c r="AE493" s="300"/>
    </row>
    <row r="494" spans="15:31">
      <c r="O494" s="300"/>
      <c r="P494" s="300"/>
      <c r="Q494" s="300"/>
      <c r="R494" s="300"/>
      <c r="S494" s="300"/>
      <c r="T494" s="300"/>
      <c r="U494" s="300"/>
      <c r="V494" s="300"/>
      <c r="W494" s="300"/>
      <c r="X494" s="300"/>
      <c r="Y494" s="300"/>
      <c r="Z494" s="300"/>
      <c r="AA494" s="300"/>
      <c r="AB494" s="300"/>
      <c r="AC494" s="300"/>
      <c r="AD494" s="300"/>
      <c r="AE494" s="300"/>
    </row>
    <row r="495" spans="15:31">
      <c r="O495" s="300"/>
      <c r="P495" s="300"/>
      <c r="Q495" s="300"/>
      <c r="R495" s="300"/>
      <c r="S495" s="300"/>
      <c r="T495" s="300"/>
      <c r="U495" s="300"/>
      <c r="V495" s="300"/>
      <c r="W495" s="300"/>
      <c r="X495" s="300"/>
      <c r="Y495" s="300"/>
      <c r="Z495" s="300"/>
      <c r="AA495" s="300"/>
      <c r="AB495" s="300"/>
      <c r="AC495" s="300"/>
      <c r="AD495" s="300"/>
      <c r="AE495" s="300"/>
    </row>
    <row r="496" spans="15:31">
      <c r="O496" s="300"/>
      <c r="P496" s="300"/>
      <c r="Q496" s="300"/>
      <c r="R496" s="300"/>
      <c r="S496" s="300"/>
      <c r="T496" s="300"/>
      <c r="U496" s="300"/>
      <c r="V496" s="300"/>
      <c r="W496" s="300"/>
      <c r="X496" s="300"/>
      <c r="Y496" s="300"/>
      <c r="Z496" s="300"/>
      <c r="AA496" s="300"/>
      <c r="AB496" s="300"/>
      <c r="AC496" s="300"/>
      <c r="AD496" s="300"/>
      <c r="AE496" s="300"/>
    </row>
    <row r="497" spans="15:31">
      <c r="O497" s="300"/>
      <c r="P497" s="300"/>
      <c r="Q497" s="300"/>
      <c r="R497" s="300"/>
      <c r="S497" s="300"/>
      <c r="T497" s="300"/>
      <c r="U497" s="300"/>
      <c r="V497" s="300"/>
      <c r="W497" s="300"/>
      <c r="X497" s="300"/>
      <c r="Y497" s="300"/>
      <c r="Z497" s="300"/>
      <c r="AA497" s="300"/>
      <c r="AB497" s="300"/>
      <c r="AC497" s="300"/>
      <c r="AD497" s="300"/>
      <c r="AE497" s="300"/>
    </row>
    <row r="498" spans="15:31">
      <c r="O498" s="300"/>
      <c r="P498" s="300"/>
      <c r="Q498" s="300"/>
      <c r="R498" s="300"/>
      <c r="S498" s="300"/>
      <c r="T498" s="300"/>
      <c r="U498" s="300"/>
      <c r="V498" s="300"/>
      <c r="W498" s="300"/>
      <c r="X498" s="300"/>
      <c r="Y498" s="300"/>
      <c r="Z498" s="300"/>
      <c r="AA498" s="300"/>
      <c r="AB498" s="300"/>
      <c r="AC498" s="300"/>
      <c r="AD498" s="300"/>
      <c r="AE498" s="300"/>
    </row>
    <row r="499" spans="15:31">
      <c r="O499" s="300"/>
      <c r="P499" s="300"/>
      <c r="Q499" s="300"/>
      <c r="R499" s="300"/>
      <c r="S499" s="300"/>
      <c r="T499" s="300"/>
      <c r="U499" s="300"/>
      <c r="V499" s="300"/>
      <c r="W499" s="300"/>
      <c r="X499" s="300"/>
      <c r="Y499" s="300"/>
      <c r="Z499" s="300"/>
      <c r="AA499" s="300"/>
      <c r="AB499" s="300"/>
      <c r="AC499" s="300"/>
      <c r="AD499" s="300"/>
      <c r="AE499" s="300"/>
    </row>
    <row r="500" spans="15:31">
      <c r="O500" s="300"/>
      <c r="P500" s="300"/>
      <c r="Q500" s="300"/>
      <c r="R500" s="300"/>
      <c r="S500" s="300"/>
      <c r="T500" s="300"/>
      <c r="U500" s="300"/>
      <c r="V500" s="300"/>
      <c r="W500" s="300"/>
      <c r="X500" s="300"/>
      <c r="Y500" s="300"/>
      <c r="Z500" s="300"/>
      <c r="AA500" s="300"/>
      <c r="AB500" s="300"/>
      <c r="AC500" s="300"/>
      <c r="AD500" s="300"/>
      <c r="AE500" s="300"/>
    </row>
    <row r="501" spans="15:31">
      <c r="O501" s="300"/>
      <c r="P501" s="300"/>
      <c r="Q501" s="300"/>
      <c r="R501" s="300"/>
      <c r="S501" s="300"/>
      <c r="T501" s="300"/>
      <c r="U501" s="300"/>
      <c r="V501" s="300"/>
      <c r="W501" s="300"/>
      <c r="X501" s="300"/>
      <c r="Y501" s="300"/>
      <c r="Z501" s="300"/>
      <c r="AA501" s="300"/>
      <c r="AB501" s="300"/>
      <c r="AC501" s="300"/>
      <c r="AD501" s="300"/>
      <c r="AE501" s="300"/>
    </row>
    <row r="502" spans="15:31">
      <c r="O502" s="300"/>
      <c r="P502" s="300"/>
      <c r="Q502" s="300"/>
      <c r="R502" s="300"/>
      <c r="S502" s="300"/>
      <c r="T502" s="300"/>
      <c r="U502" s="300"/>
      <c r="V502" s="300"/>
      <c r="W502" s="300"/>
      <c r="X502" s="300"/>
      <c r="Y502" s="300"/>
      <c r="Z502" s="300"/>
      <c r="AA502" s="300"/>
      <c r="AB502" s="300"/>
      <c r="AC502" s="300"/>
      <c r="AD502" s="300"/>
      <c r="AE502" s="300"/>
    </row>
    <row r="503" spans="15:31">
      <c r="O503" s="300"/>
      <c r="P503" s="300"/>
      <c r="Q503" s="300"/>
      <c r="R503" s="300"/>
      <c r="S503" s="300"/>
      <c r="T503" s="300"/>
      <c r="U503" s="300"/>
      <c r="V503" s="300"/>
      <c r="W503" s="300"/>
      <c r="X503" s="300"/>
      <c r="Y503" s="300"/>
      <c r="Z503" s="300"/>
      <c r="AA503" s="300"/>
      <c r="AB503" s="300"/>
      <c r="AC503" s="300"/>
      <c r="AD503" s="300"/>
      <c r="AE503" s="300"/>
    </row>
    <row r="504" spans="15:31">
      <c r="O504" s="300"/>
      <c r="P504" s="300"/>
      <c r="Q504" s="300"/>
      <c r="R504" s="300"/>
      <c r="S504" s="300"/>
      <c r="T504" s="300"/>
      <c r="U504" s="300"/>
      <c r="V504" s="300"/>
      <c r="W504" s="300"/>
      <c r="X504" s="300"/>
      <c r="Y504" s="300"/>
      <c r="Z504" s="300"/>
      <c r="AA504" s="300"/>
      <c r="AB504" s="300"/>
      <c r="AC504" s="300"/>
      <c r="AD504" s="300"/>
      <c r="AE504" s="300"/>
    </row>
    <row r="505" spans="15:31">
      <c r="O505" s="300"/>
      <c r="P505" s="300"/>
      <c r="Q505" s="300"/>
      <c r="R505" s="300"/>
      <c r="S505" s="300"/>
      <c r="T505" s="300"/>
      <c r="U505" s="300"/>
      <c r="V505" s="300"/>
      <c r="W505" s="300"/>
      <c r="X505" s="300"/>
      <c r="Y505" s="300"/>
      <c r="Z505" s="300"/>
      <c r="AA505" s="300"/>
      <c r="AB505" s="300"/>
      <c r="AC505" s="300"/>
      <c r="AD505" s="300"/>
      <c r="AE505" s="300"/>
    </row>
    <row r="506" spans="15:31">
      <c r="O506" s="300"/>
      <c r="P506" s="300"/>
      <c r="Q506" s="300"/>
      <c r="R506" s="300"/>
      <c r="S506" s="300"/>
      <c r="T506" s="300"/>
      <c r="U506" s="300"/>
      <c r="V506" s="300"/>
      <c r="W506" s="300"/>
      <c r="X506" s="300"/>
      <c r="Y506" s="300"/>
      <c r="Z506" s="300"/>
      <c r="AA506" s="300"/>
      <c r="AB506" s="300"/>
      <c r="AC506" s="300"/>
      <c r="AD506" s="300"/>
      <c r="AE506" s="300"/>
    </row>
    <row r="507" spans="15:31">
      <c r="O507" s="300"/>
      <c r="P507" s="300"/>
      <c r="Q507" s="300"/>
      <c r="R507" s="300"/>
      <c r="S507" s="300"/>
      <c r="T507" s="300"/>
      <c r="U507" s="300"/>
      <c r="V507" s="300"/>
      <c r="W507" s="300"/>
      <c r="X507" s="300"/>
      <c r="Y507" s="300"/>
      <c r="Z507" s="300"/>
      <c r="AA507" s="300"/>
      <c r="AB507" s="300"/>
      <c r="AC507" s="300"/>
      <c r="AD507" s="300"/>
      <c r="AE507" s="300"/>
    </row>
    <row r="508" spans="15:31">
      <c r="O508" s="300"/>
      <c r="P508" s="300"/>
      <c r="Q508" s="300"/>
      <c r="R508" s="300"/>
      <c r="S508" s="300"/>
      <c r="T508" s="300"/>
      <c r="U508" s="300"/>
      <c r="V508" s="300"/>
      <c r="W508" s="300"/>
      <c r="X508" s="300"/>
      <c r="Y508" s="300"/>
      <c r="Z508" s="300"/>
      <c r="AA508" s="300"/>
      <c r="AB508" s="300"/>
      <c r="AC508" s="300"/>
      <c r="AD508" s="300"/>
      <c r="AE508" s="300"/>
    </row>
    <row r="509" spans="15:31">
      <c r="O509" s="300"/>
      <c r="P509" s="300"/>
      <c r="Q509" s="300"/>
      <c r="R509" s="300"/>
      <c r="S509" s="300"/>
      <c r="T509" s="300"/>
      <c r="U509" s="300"/>
      <c r="V509" s="300"/>
      <c r="W509" s="300"/>
      <c r="X509" s="300"/>
      <c r="Y509" s="300"/>
      <c r="Z509" s="300"/>
      <c r="AA509" s="300"/>
      <c r="AB509" s="300"/>
      <c r="AC509" s="300"/>
      <c r="AD509" s="300"/>
      <c r="AE509" s="300"/>
    </row>
    <row r="510" spans="15:31">
      <c r="O510" s="300"/>
      <c r="P510" s="300"/>
      <c r="Q510" s="300"/>
      <c r="R510" s="300"/>
      <c r="S510" s="300"/>
      <c r="T510" s="300"/>
      <c r="U510" s="300"/>
      <c r="V510" s="300"/>
      <c r="W510" s="300"/>
      <c r="X510" s="300"/>
      <c r="Y510" s="300"/>
      <c r="Z510" s="300"/>
      <c r="AA510" s="300"/>
      <c r="AB510" s="300"/>
      <c r="AC510" s="300"/>
      <c r="AD510" s="300"/>
      <c r="AE510" s="300"/>
    </row>
    <row r="511" spans="15:31">
      <c r="O511" s="300"/>
      <c r="P511" s="300"/>
      <c r="Q511" s="300"/>
      <c r="R511" s="300"/>
      <c r="S511" s="300"/>
      <c r="T511" s="300"/>
      <c r="U511" s="300"/>
      <c r="V511" s="300"/>
      <c r="W511" s="300"/>
      <c r="X511" s="300"/>
      <c r="Y511" s="300"/>
      <c r="Z511" s="300"/>
      <c r="AA511" s="300"/>
      <c r="AB511" s="300"/>
      <c r="AC511" s="300"/>
      <c r="AD511" s="300"/>
      <c r="AE511" s="300"/>
    </row>
    <row r="512" spans="15:31">
      <c r="O512" s="300"/>
      <c r="P512" s="300"/>
      <c r="Q512" s="300"/>
      <c r="R512" s="300"/>
      <c r="S512" s="300"/>
      <c r="T512" s="300"/>
      <c r="U512" s="300"/>
      <c r="V512" s="300"/>
      <c r="W512" s="300"/>
      <c r="X512" s="300"/>
      <c r="Y512" s="300"/>
      <c r="Z512" s="300"/>
      <c r="AA512" s="300"/>
      <c r="AB512" s="300"/>
      <c r="AC512" s="300"/>
      <c r="AD512" s="300"/>
      <c r="AE512" s="300"/>
    </row>
    <row r="513" spans="15:31">
      <c r="O513" s="300"/>
      <c r="P513" s="300"/>
      <c r="Q513" s="300"/>
      <c r="R513" s="300"/>
      <c r="S513" s="300"/>
      <c r="T513" s="300"/>
      <c r="U513" s="300"/>
      <c r="V513" s="300"/>
      <c r="W513" s="300"/>
      <c r="X513" s="300"/>
      <c r="Y513" s="300"/>
      <c r="Z513" s="300"/>
      <c r="AA513" s="300"/>
      <c r="AB513" s="300"/>
      <c r="AC513" s="300"/>
      <c r="AD513" s="300"/>
      <c r="AE513" s="300"/>
    </row>
    <row r="514" spans="15:31">
      <c r="O514" s="300"/>
      <c r="P514" s="300"/>
      <c r="Q514" s="300"/>
      <c r="R514" s="300"/>
      <c r="S514" s="300"/>
      <c r="T514" s="300"/>
      <c r="U514" s="300"/>
      <c r="V514" s="300"/>
      <c r="W514" s="300"/>
      <c r="X514" s="300"/>
      <c r="Y514" s="300"/>
      <c r="Z514" s="300"/>
      <c r="AA514" s="300"/>
      <c r="AB514" s="300"/>
      <c r="AC514" s="300"/>
      <c r="AD514" s="300"/>
      <c r="AE514" s="300"/>
    </row>
    <row r="515" spans="15:31">
      <c r="O515" s="300"/>
      <c r="P515" s="300"/>
      <c r="Q515" s="300"/>
      <c r="R515" s="300"/>
      <c r="S515" s="300"/>
      <c r="T515" s="300"/>
      <c r="U515" s="300"/>
      <c r="V515" s="300"/>
      <c r="W515" s="300"/>
      <c r="X515" s="300"/>
      <c r="Y515" s="300"/>
      <c r="Z515" s="300"/>
      <c r="AA515" s="300"/>
      <c r="AB515" s="300"/>
      <c r="AC515" s="300"/>
      <c r="AD515" s="300"/>
      <c r="AE515" s="300"/>
    </row>
    <row r="516" spans="15:31">
      <c r="O516" s="300"/>
      <c r="P516" s="300"/>
      <c r="Q516" s="300"/>
      <c r="R516" s="300"/>
      <c r="S516" s="300"/>
      <c r="T516" s="300"/>
      <c r="U516" s="300"/>
      <c r="V516" s="300"/>
      <c r="W516" s="300"/>
      <c r="X516" s="300"/>
      <c r="Y516" s="300"/>
      <c r="Z516" s="300"/>
      <c r="AA516" s="300"/>
      <c r="AB516" s="300"/>
      <c r="AC516" s="300"/>
      <c r="AD516" s="300"/>
      <c r="AE516" s="300"/>
    </row>
    <row r="517" spans="15:31">
      <c r="O517" s="300"/>
      <c r="P517" s="300"/>
      <c r="Q517" s="300"/>
      <c r="R517" s="300"/>
      <c r="S517" s="300"/>
      <c r="T517" s="300"/>
      <c r="U517" s="300"/>
      <c r="V517" s="300"/>
      <c r="W517" s="300"/>
      <c r="X517" s="300"/>
      <c r="Y517" s="300"/>
      <c r="Z517" s="300"/>
      <c r="AA517" s="300"/>
      <c r="AB517" s="300"/>
      <c r="AC517" s="300"/>
      <c r="AD517" s="300"/>
      <c r="AE517" s="300"/>
    </row>
    <row r="518" spans="15:31">
      <c r="O518" s="300"/>
      <c r="P518" s="300"/>
      <c r="Q518" s="300"/>
      <c r="R518" s="300"/>
      <c r="S518" s="300"/>
      <c r="T518" s="300"/>
      <c r="U518" s="300"/>
      <c r="V518" s="300"/>
      <c r="W518" s="300"/>
      <c r="X518" s="300"/>
      <c r="Y518" s="300"/>
      <c r="Z518" s="300"/>
      <c r="AA518" s="300"/>
      <c r="AB518" s="300"/>
      <c r="AC518" s="300"/>
      <c r="AD518" s="300"/>
      <c r="AE518" s="300"/>
    </row>
    <row r="519" spans="15:31">
      <c r="O519" s="300"/>
      <c r="P519" s="300"/>
      <c r="Q519" s="300"/>
      <c r="R519" s="300"/>
      <c r="S519" s="300"/>
      <c r="T519" s="300"/>
      <c r="U519" s="300"/>
      <c r="V519" s="300"/>
      <c r="W519" s="300"/>
      <c r="X519" s="300"/>
      <c r="Y519" s="300"/>
      <c r="Z519" s="300"/>
      <c r="AA519" s="300"/>
      <c r="AB519" s="300"/>
      <c r="AC519" s="300"/>
      <c r="AD519" s="300"/>
      <c r="AE519" s="300"/>
    </row>
    <row r="520" spans="15:31">
      <c r="O520" s="300"/>
      <c r="P520" s="300"/>
      <c r="Q520" s="300"/>
      <c r="R520" s="300"/>
      <c r="S520" s="300"/>
      <c r="T520" s="300"/>
      <c r="U520" s="300"/>
      <c r="V520" s="300"/>
      <c r="W520" s="300"/>
      <c r="X520" s="300"/>
      <c r="Y520" s="300"/>
      <c r="Z520" s="300"/>
      <c r="AA520" s="300"/>
      <c r="AB520" s="300"/>
      <c r="AC520" s="300"/>
      <c r="AD520" s="300"/>
      <c r="AE520" s="300"/>
    </row>
    <row r="521" spans="15:31">
      <c r="O521" s="300"/>
      <c r="P521" s="300"/>
      <c r="Q521" s="300"/>
      <c r="R521" s="300"/>
      <c r="S521" s="300"/>
      <c r="T521" s="300"/>
      <c r="U521" s="300"/>
      <c r="V521" s="300"/>
      <c r="W521" s="300"/>
      <c r="X521" s="300"/>
      <c r="Y521" s="300"/>
      <c r="Z521" s="300"/>
      <c r="AA521" s="300"/>
      <c r="AB521" s="300"/>
      <c r="AC521" s="300"/>
      <c r="AD521" s="300"/>
      <c r="AE521" s="300"/>
    </row>
    <row r="522" spans="15:31">
      <c r="O522" s="300"/>
      <c r="P522" s="300"/>
      <c r="Q522" s="300"/>
      <c r="R522" s="300"/>
      <c r="S522" s="300"/>
      <c r="T522" s="300"/>
      <c r="U522" s="300"/>
      <c r="V522" s="300"/>
      <c r="W522" s="300"/>
      <c r="X522" s="300"/>
      <c r="Y522" s="300"/>
      <c r="Z522" s="300"/>
      <c r="AA522" s="300"/>
      <c r="AB522" s="300"/>
      <c r="AC522" s="300"/>
      <c r="AD522" s="300"/>
      <c r="AE522" s="300"/>
    </row>
    <row r="523" spans="15:31">
      <c r="O523" s="300"/>
      <c r="P523" s="300"/>
      <c r="Q523" s="300"/>
      <c r="R523" s="300"/>
      <c r="S523" s="300"/>
      <c r="T523" s="300"/>
      <c r="U523" s="300"/>
      <c r="V523" s="300"/>
      <c r="W523" s="300"/>
      <c r="X523" s="300"/>
      <c r="Y523" s="300"/>
      <c r="Z523" s="300"/>
      <c r="AA523" s="300"/>
      <c r="AB523" s="300"/>
      <c r="AC523" s="300"/>
      <c r="AD523" s="300"/>
      <c r="AE523" s="300"/>
    </row>
    <row r="524" spans="15:31">
      <c r="O524" s="300"/>
      <c r="P524" s="300"/>
      <c r="Q524" s="300"/>
      <c r="R524" s="300"/>
      <c r="S524" s="300"/>
      <c r="T524" s="300"/>
      <c r="U524" s="300"/>
      <c r="V524" s="300"/>
      <c r="W524" s="300"/>
      <c r="X524" s="300"/>
      <c r="Y524" s="300"/>
      <c r="Z524" s="300"/>
      <c r="AA524" s="300"/>
      <c r="AB524" s="300"/>
      <c r="AC524" s="300"/>
      <c r="AD524" s="300"/>
      <c r="AE524" s="300"/>
    </row>
    <row r="525" spans="15:31">
      <c r="O525" s="300"/>
      <c r="P525" s="300"/>
      <c r="Q525" s="300"/>
      <c r="R525" s="300"/>
      <c r="S525" s="300"/>
      <c r="T525" s="300"/>
      <c r="U525" s="300"/>
      <c r="V525" s="300"/>
      <c r="W525" s="300"/>
      <c r="X525" s="300"/>
      <c r="Y525" s="300"/>
      <c r="Z525" s="300"/>
      <c r="AA525" s="300"/>
      <c r="AB525" s="300"/>
      <c r="AC525" s="300"/>
      <c r="AD525" s="300"/>
      <c r="AE525" s="300"/>
    </row>
    <row r="526" spans="15:31">
      <c r="O526" s="300"/>
      <c r="P526" s="300"/>
      <c r="Q526" s="300"/>
      <c r="R526" s="300"/>
      <c r="S526" s="300"/>
      <c r="T526" s="300"/>
      <c r="U526" s="300"/>
      <c r="V526" s="300"/>
      <c r="W526" s="300"/>
      <c r="X526" s="300"/>
      <c r="Y526" s="300"/>
      <c r="Z526" s="300"/>
      <c r="AA526" s="300"/>
      <c r="AB526" s="300"/>
      <c r="AC526" s="300"/>
      <c r="AD526" s="300"/>
      <c r="AE526" s="300"/>
    </row>
    <row r="527" spans="15:31">
      <c r="O527" s="300"/>
      <c r="P527" s="300"/>
      <c r="Q527" s="300"/>
      <c r="R527" s="300"/>
      <c r="S527" s="300"/>
      <c r="T527" s="300"/>
      <c r="U527" s="300"/>
      <c r="V527" s="300"/>
      <c r="W527" s="300"/>
      <c r="X527" s="300"/>
      <c r="Y527" s="300"/>
      <c r="Z527" s="300"/>
      <c r="AA527" s="300"/>
      <c r="AB527" s="300"/>
      <c r="AC527" s="300"/>
      <c r="AD527" s="300"/>
      <c r="AE527" s="300"/>
    </row>
    <row r="528" spans="15:31">
      <c r="O528" s="300"/>
      <c r="P528" s="300"/>
      <c r="Q528" s="300"/>
      <c r="R528" s="300"/>
      <c r="S528" s="300"/>
      <c r="T528" s="300"/>
      <c r="U528" s="300"/>
      <c r="V528" s="300"/>
      <c r="W528" s="300"/>
      <c r="X528" s="300"/>
      <c r="Y528" s="300"/>
      <c r="Z528" s="300"/>
      <c r="AA528" s="300"/>
      <c r="AB528" s="300"/>
      <c r="AC528" s="300"/>
      <c r="AD528" s="300"/>
      <c r="AE528" s="300"/>
    </row>
    <row r="529" spans="15:31">
      <c r="O529" s="300"/>
      <c r="P529" s="300"/>
      <c r="Q529" s="300"/>
      <c r="R529" s="300"/>
      <c r="S529" s="300"/>
      <c r="T529" s="300"/>
      <c r="U529" s="300"/>
      <c r="V529" s="300"/>
      <c r="W529" s="300"/>
      <c r="X529" s="300"/>
      <c r="Y529" s="300"/>
      <c r="Z529" s="300"/>
      <c r="AA529" s="300"/>
      <c r="AB529" s="300"/>
      <c r="AC529" s="300"/>
      <c r="AD529" s="300"/>
      <c r="AE529" s="300"/>
    </row>
    <row r="530" spans="15:31">
      <c r="O530" s="300"/>
      <c r="P530" s="300"/>
      <c r="Q530" s="300"/>
      <c r="R530" s="300"/>
      <c r="S530" s="300"/>
      <c r="T530" s="300"/>
      <c r="U530" s="300"/>
      <c r="V530" s="300"/>
      <c r="W530" s="300"/>
      <c r="X530" s="300"/>
      <c r="Y530" s="300"/>
      <c r="Z530" s="300"/>
      <c r="AA530" s="300"/>
      <c r="AB530" s="300"/>
      <c r="AC530" s="300"/>
      <c r="AD530" s="300"/>
      <c r="AE530" s="300"/>
    </row>
    <row r="531" spans="15:31">
      <c r="O531" s="300"/>
      <c r="P531" s="300"/>
      <c r="Q531" s="300"/>
      <c r="R531" s="300"/>
      <c r="S531" s="300"/>
      <c r="T531" s="300"/>
      <c r="U531" s="300"/>
      <c r="V531" s="300"/>
      <c r="W531" s="300"/>
      <c r="X531" s="300"/>
      <c r="Y531" s="300"/>
      <c r="Z531" s="300"/>
      <c r="AA531" s="300"/>
      <c r="AB531" s="300"/>
      <c r="AC531" s="300"/>
      <c r="AD531" s="300"/>
      <c r="AE531" s="300"/>
    </row>
    <row r="532" spans="15:31">
      <c r="O532" s="300"/>
      <c r="P532" s="300"/>
      <c r="Q532" s="300"/>
      <c r="R532" s="300"/>
      <c r="S532" s="300"/>
      <c r="T532" s="300"/>
      <c r="U532" s="300"/>
      <c r="V532" s="300"/>
      <c r="W532" s="300"/>
      <c r="X532" s="300"/>
      <c r="Y532" s="300"/>
      <c r="Z532" s="300"/>
      <c r="AA532" s="300"/>
      <c r="AB532" s="300"/>
      <c r="AC532" s="300"/>
      <c r="AD532" s="300"/>
      <c r="AE532" s="300"/>
    </row>
    <row r="533" spans="15:31">
      <c r="O533" s="300"/>
      <c r="P533" s="300"/>
      <c r="Q533" s="300"/>
      <c r="R533" s="300"/>
      <c r="S533" s="300"/>
      <c r="T533" s="300"/>
      <c r="U533" s="300"/>
      <c r="V533" s="300"/>
      <c r="W533" s="300"/>
      <c r="X533" s="300"/>
      <c r="Y533" s="300"/>
      <c r="Z533" s="300"/>
      <c r="AA533" s="300"/>
      <c r="AB533" s="300"/>
      <c r="AC533" s="300"/>
      <c r="AD533" s="300"/>
      <c r="AE533" s="300"/>
    </row>
    <row r="534" spans="15:31">
      <c r="O534" s="300"/>
      <c r="P534" s="300"/>
      <c r="Q534" s="300"/>
      <c r="R534" s="300"/>
      <c r="S534" s="300"/>
      <c r="T534" s="300"/>
      <c r="U534" s="300"/>
      <c r="V534" s="300"/>
      <c r="W534" s="300"/>
      <c r="X534" s="300"/>
      <c r="Y534" s="300"/>
      <c r="Z534" s="300"/>
      <c r="AA534" s="300"/>
      <c r="AB534" s="300"/>
      <c r="AC534" s="300"/>
      <c r="AD534" s="300"/>
      <c r="AE534" s="300"/>
    </row>
    <row r="535" spans="15:31">
      <c r="O535" s="300"/>
      <c r="P535" s="300"/>
      <c r="Q535" s="300"/>
      <c r="R535" s="300"/>
      <c r="S535" s="300"/>
      <c r="T535" s="300"/>
      <c r="U535" s="300"/>
      <c r="V535" s="300"/>
      <c r="W535" s="300"/>
      <c r="X535" s="300"/>
      <c r="Y535" s="300"/>
      <c r="Z535" s="300"/>
      <c r="AA535" s="300"/>
      <c r="AB535" s="300"/>
      <c r="AC535" s="300"/>
      <c r="AD535" s="300"/>
      <c r="AE535" s="300"/>
    </row>
    <row r="536" spans="15:31">
      <c r="O536" s="300"/>
      <c r="P536" s="300"/>
      <c r="Q536" s="300"/>
      <c r="R536" s="300"/>
      <c r="S536" s="300"/>
      <c r="T536" s="300"/>
      <c r="U536" s="300"/>
      <c r="V536" s="300"/>
      <c r="W536" s="300"/>
      <c r="X536" s="300"/>
      <c r="Y536" s="300"/>
      <c r="Z536" s="300"/>
      <c r="AA536" s="300"/>
      <c r="AB536" s="300"/>
      <c r="AC536" s="300"/>
      <c r="AD536" s="300"/>
      <c r="AE536" s="300"/>
    </row>
    <row r="537" spans="15:31">
      <c r="O537" s="300"/>
      <c r="P537" s="300"/>
      <c r="Q537" s="300"/>
      <c r="R537" s="300"/>
      <c r="S537" s="300"/>
      <c r="T537" s="300"/>
      <c r="U537" s="300"/>
      <c r="V537" s="300"/>
      <c r="W537" s="300"/>
      <c r="X537" s="300"/>
      <c r="Y537" s="300"/>
      <c r="Z537" s="300"/>
      <c r="AA537" s="300"/>
      <c r="AB537" s="300"/>
      <c r="AC537" s="300"/>
      <c r="AD537" s="300"/>
      <c r="AE537" s="300"/>
    </row>
    <row r="538" spans="15:31">
      <c r="O538" s="300"/>
      <c r="P538" s="300"/>
      <c r="Q538" s="300"/>
      <c r="R538" s="300"/>
      <c r="S538" s="300"/>
      <c r="T538" s="300"/>
      <c r="U538" s="300"/>
      <c r="V538" s="300"/>
      <c r="W538" s="300"/>
      <c r="X538" s="300"/>
      <c r="Y538" s="300"/>
      <c r="Z538" s="300"/>
      <c r="AA538" s="300"/>
      <c r="AB538" s="300"/>
      <c r="AC538" s="300"/>
      <c r="AD538" s="300"/>
      <c r="AE538" s="300"/>
    </row>
    <row r="539" spans="15:31">
      <c r="O539" s="300"/>
      <c r="P539" s="300"/>
      <c r="Q539" s="300"/>
      <c r="R539" s="300"/>
      <c r="S539" s="300"/>
      <c r="T539" s="300"/>
      <c r="U539" s="300"/>
      <c r="V539" s="300"/>
      <c r="W539" s="300"/>
      <c r="X539" s="300"/>
      <c r="Y539" s="300"/>
      <c r="Z539" s="300"/>
      <c r="AA539" s="300"/>
      <c r="AB539" s="300"/>
      <c r="AC539" s="300"/>
      <c r="AD539" s="300"/>
      <c r="AE539" s="300"/>
    </row>
    <row r="540" spans="15:31">
      <c r="O540" s="300"/>
      <c r="P540" s="300"/>
      <c r="Q540" s="300"/>
      <c r="R540" s="300"/>
      <c r="S540" s="300"/>
      <c r="T540" s="300"/>
      <c r="U540" s="300"/>
      <c r="V540" s="300"/>
      <c r="W540" s="300"/>
      <c r="X540" s="300"/>
      <c r="Y540" s="300"/>
      <c r="Z540" s="300"/>
      <c r="AA540" s="300"/>
      <c r="AB540" s="300"/>
      <c r="AC540" s="300"/>
      <c r="AD540" s="300"/>
      <c r="AE540" s="300"/>
    </row>
    <row r="541" spans="15:31">
      <c r="O541" s="300"/>
      <c r="P541" s="300"/>
      <c r="Q541" s="300"/>
      <c r="R541" s="300"/>
      <c r="S541" s="300"/>
      <c r="T541" s="300"/>
      <c r="U541" s="300"/>
      <c r="V541" s="300"/>
      <c r="W541" s="300"/>
      <c r="X541" s="300"/>
      <c r="Y541" s="300"/>
      <c r="Z541" s="300"/>
      <c r="AA541" s="300"/>
      <c r="AB541" s="300"/>
      <c r="AC541" s="300"/>
      <c r="AD541" s="300"/>
      <c r="AE541" s="300"/>
    </row>
    <row r="542" spans="15:31">
      <c r="O542" s="300"/>
      <c r="P542" s="300"/>
      <c r="Q542" s="300"/>
      <c r="R542" s="300"/>
      <c r="S542" s="300"/>
      <c r="T542" s="300"/>
      <c r="U542" s="300"/>
      <c r="V542" s="300"/>
      <c r="W542" s="300"/>
      <c r="X542" s="300"/>
      <c r="Y542" s="300"/>
      <c r="Z542" s="300"/>
      <c r="AA542" s="300"/>
      <c r="AB542" s="300"/>
      <c r="AC542" s="300"/>
      <c r="AD542" s="300"/>
      <c r="AE542" s="300"/>
    </row>
    <row r="543" spans="15:31">
      <c r="O543" s="300"/>
      <c r="P543" s="300"/>
      <c r="Q543" s="300"/>
      <c r="R543" s="300"/>
      <c r="S543" s="300"/>
      <c r="T543" s="300"/>
      <c r="U543" s="300"/>
      <c r="V543" s="300"/>
      <c r="W543" s="300"/>
      <c r="X543" s="300"/>
      <c r="Y543" s="300"/>
      <c r="Z543" s="300"/>
      <c r="AA543" s="300"/>
      <c r="AB543" s="300"/>
      <c r="AC543" s="300"/>
      <c r="AD543" s="300"/>
      <c r="AE543" s="300"/>
    </row>
    <row r="544" spans="15:31">
      <c r="O544" s="300"/>
      <c r="P544" s="300"/>
      <c r="Q544" s="300"/>
      <c r="R544" s="300"/>
      <c r="S544" s="300"/>
      <c r="T544" s="300"/>
      <c r="U544" s="300"/>
      <c r="V544" s="300"/>
      <c r="W544" s="300"/>
      <c r="X544" s="300"/>
      <c r="Y544" s="300"/>
      <c r="Z544" s="300"/>
      <c r="AA544" s="300"/>
      <c r="AB544" s="300"/>
      <c r="AC544" s="300"/>
      <c r="AD544" s="300"/>
      <c r="AE544" s="300"/>
    </row>
    <row r="545" spans="15:31">
      <c r="O545" s="300"/>
      <c r="P545" s="300"/>
      <c r="Q545" s="300"/>
      <c r="R545" s="300"/>
      <c r="S545" s="300"/>
      <c r="T545" s="300"/>
      <c r="U545" s="300"/>
      <c r="V545" s="300"/>
      <c r="W545" s="300"/>
      <c r="X545" s="300"/>
      <c r="Y545" s="300"/>
      <c r="Z545" s="300"/>
      <c r="AA545" s="300"/>
      <c r="AB545" s="300"/>
      <c r="AC545" s="300"/>
      <c r="AD545" s="300"/>
      <c r="AE545" s="300"/>
    </row>
    <row r="546" spans="15:31">
      <c r="O546" s="300"/>
      <c r="P546" s="300"/>
      <c r="Q546" s="300"/>
      <c r="R546" s="300"/>
      <c r="S546" s="300"/>
      <c r="T546" s="300"/>
      <c r="U546" s="300"/>
      <c r="V546" s="300"/>
      <c r="W546" s="300"/>
      <c r="X546" s="300"/>
      <c r="Y546" s="300"/>
      <c r="Z546" s="300"/>
      <c r="AA546" s="300"/>
      <c r="AB546" s="300"/>
      <c r="AC546" s="300"/>
      <c r="AD546" s="300"/>
      <c r="AE546" s="300"/>
    </row>
    <row r="547" spans="15:31">
      <c r="O547" s="300"/>
      <c r="P547" s="300"/>
      <c r="Q547" s="300"/>
      <c r="R547" s="300"/>
      <c r="S547" s="300"/>
      <c r="T547" s="300"/>
      <c r="U547" s="300"/>
      <c r="V547" s="300"/>
      <c r="W547" s="300"/>
      <c r="X547" s="300"/>
      <c r="Y547" s="300"/>
      <c r="Z547" s="300"/>
      <c r="AA547" s="300"/>
      <c r="AB547" s="300"/>
      <c r="AC547" s="300"/>
      <c r="AD547" s="300"/>
      <c r="AE547" s="300"/>
    </row>
    <row r="548" spans="15:31">
      <c r="O548" s="300"/>
      <c r="P548" s="300"/>
      <c r="Q548" s="300"/>
      <c r="R548" s="300"/>
      <c r="S548" s="300"/>
      <c r="T548" s="300"/>
      <c r="U548" s="300"/>
      <c r="V548" s="300"/>
      <c r="W548" s="300"/>
      <c r="X548" s="300"/>
      <c r="Y548" s="300"/>
      <c r="Z548" s="300"/>
      <c r="AA548" s="300"/>
      <c r="AB548" s="300"/>
      <c r="AC548" s="300"/>
      <c r="AD548" s="300"/>
      <c r="AE548" s="300"/>
    </row>
    <row r="549" spans="15:31">
      <c r="O549" s="300"/>
      <c r="P549" s="300"/>
      <c r="Q549" s="300"/>
      <c r="R549" s="300"/>
      <c r="S549" s="300"/>
      <c r="T549" s="300"/>
      <c r="U549" s="300"/>
      <c r="V549" s="300"/>
      <c r="W549" s="300"/>
      <c r="X549" s="300"/>
      <c r="Y549" s="300"/>
      <c r="Z549" s="300"/>
      <c r="AA549" s="300"/>
      <c r="AB549" s="300"/>
      <c r="AC549" s="300"/>
      <c r="AD549" s="300"/>
      <c r="AE549" s="300"/>
    </row>
    <row r="550" spans="15:31">
      <c r="O550" s="300"/>
      <c r="P550" s="300"/>
      <c r="Q550" s="300"/>
      <c r="R550" s="300"/>
      <c r="S550" s="300"/>
      <c r="T550" s="300"/>
      <c r="U550" s="300"/>
      <c r="V550" s="300"/>
      <c r="W550" s="300"/>
      <c r="X550" s="300"/>
      <c r="Y550" s="300"/>
      <c r="Z550" s="300"/>
      <c r="AA550" s="300"/>
      <c r="AB550" s="300"/>
      <c r="AC550" s="300"/>
      <c r="AD550" s="300"/>
      <c r="AE550" s="300"/>
    </row>
    <row r="551" spans="15:31">
      <c r="O551" s="300"/>
      <c r="P551" s="300"/>
      <c r="Q551" s="300"/>
      <c r="R551" s="300"/>
      <c r="S551" s="300"/>
      <c r="T551" s="300"/>
      <c r="U551" s="300"/>
      <c r="V551" s="300"/>
      <c r="W551" s="300"/>
      <c r="X551" s="300"/>
      <c r="Y551" s="300"/>
      <c r="Z551" s="300"/>
      <c r="AA551" s="300"/>
      <c r="AB551" s="300"/>
      <c r="AC551" s="300"/>
      <c r="AD551" s="300"/>
      <c r="AE551" s="300"/>
    </row>
    <row r="552" spans="15:31">
      <c r="O552" s="300"/>
      <c r="P552" s="300"/>
      <c r="Q552" s="300"/>
      <c r="R552" s="300"/>
      <c r="S552" s="300"/>
      <c r="T552" s="300"/>
      <c r="U552" s="300"/>
      <c r="V552" s="300"/>
      <c r="W552" s="300"/>
      <c r="X552" s="300"/>
      <c r="Y552" s="300"/>
      <c r="Z552" s="300"/>
      <c r="AA552" s="300"/>
      <c r="AB552" s="300"/>
      <c r="AC552" s="300"/>
      <c r="AD552" s="300"/>
      <c r="AE552" s="300"/>
    </row>
    <row r="553" spans="15:31">
      <c r="O553" s="300"/>
      <c r="P553" s="300"/>
      <c r="Q553" s="300"/>
      <c r="R553" s="300"/>
      <c r="S553" s="300"/>
      <c r="T553" s="300"/>
      <c r="U553" s="300"/>
      <c r="V553" s="300"/>
      <c r="W553" s="300"/>
      <c r="X553" s="300"/>
      <c r="Y553" s="300"/>
      <c r="Z553" s="300"/>
      <c r="AA553" s="300"/>
      <c r="AB553" s="300"/>
      <c r="AC553" s="300"/>
      <c r="AD553" s="300"/>
      <c r="AE553" s="300"/>
    </row>
    <row r="554" spans="15:31">
      <c r="O554" s="300"/>
      <c r="P554" s="300"/>
      <c r="Q554" s="300"/>
      <c r="R554" s="300"/>
      <c r="S554" s="300"/>
      <c r="T554" s="300"/>
      <c r="U554" s="300"/>
      <c r="V554" s="300"/>
      <c r="W554" s="300"/>
      <c r="X554" s="300"/>
      <c r="Y554" s="300"/>
      <c r="Z554" s="300"/>
      <c r="AA554" s="300"/>
      <c r="AB554" s="300"/>
      <c r="AC554" s="300"/>
      <c r="AD554" s="300"/>
      <c r="AE554" s="300"/>
    </row>
    <row r="555" spans="15:31">
      <c r="O555" s="300"/>
      <c r="P555" s="300"/>
      <c r="Q555" s="300"/>
      <c r="R555" s="300"/>
      <c r="S555" s="300"/>
      <c r="T555" s="300"/>
      <c r="U555" s="300"/>
      <c r="V555" s="300"/>
      <c r="W555" s="300"/>
      <c r="X555" s="300"/>
      <c r="Y555" s="300"/>
      <c r="Z555" s="300"/>
      <c r="AA555" s="300"/>
      <c r="AB555" s="300"/>
      <c r="AC555" s="300"/>
      <c r="AD555" s="300"/>
      <c r="AE555" s="300"/>
    </row>
    <row r="556" spans="15:31">
      <c r="O556" s="300"/>
      <c r="P556" s="300"/>
      <c r="Q556" s="300"/>
      <c r="R556" s="300"/>
      <c r="S556" s="300"/>
      <c r="T556" s="300"/>
      <c r="U556" s="300"/>
      <c r="V556" s="300"/>
      <c r="W556" s="300"/>
      <c r="X556" s="300"/>
      <c r="Y556" s="300"/>
      <c r="Z556" s="300"/>
      <c r="AA556" s="300"/>
      <c r="AB556" s="300"/>
      <c r="AC556" s="300"/>
      <c r="AD556" s="300"/>
      <c r="AE556" s="300"/>
    </row>
    <row r="557" spans="15:31">
      <c r="O557" s="300"/>
      <c r="P557" s="300"/>
      <c r="Q557" s="300"/>
      <c r="R557" s="300"/>
      <c r="S557" s="300"/>
      <c r="T557" s="300"/>
      <c r="U557" s="300"/>
      <c r="V557" s="300"/>
      <c r="W557" s="300"/>
      <c r="X557" s="300"/>
      <c r="Y557" s="300"/>
      <c r="Z557" s="300"/>
      <c r="AA557" s="300"/>
      <c r="AB557" s="300"/>
      <c r="AC557" s="300"/>
      <c r="AD557" s="300"/>
      <c r="AE557" s="300"/>
    </row>
    <row r="558" spans="15:31">
      <c r="O558" s="300"/>
      <c r="P558" s="300"/>
      <c r="Q558" s="300"/>
      <c r="R558" s="300"/>
      <c r="S558" s="300"/>
      <c r="T558" s="300"/>
      <c r="U558" s="300"/>
      <c r="V558" s="300"/>
      <c r="W558" s="300"/>
      <c r="X558" s="300"/>
      <c r="Y558" s="300"/>
      <c r="Z558" s="300"/>
      <c r="AA558" s="300"/>
      <c r="AB558" s="300"/>
      <c r="AC558" s="300"/>
      <c r="AD558" s="300"/>
      <c r="AE558" s="300"/>
    </row>
    <row r="559" spans="15:31">
      <c r="O559" s="300"/>
      <c r="P559" s="300"/>
      <c r="Q559" s="300"/>
      <c r="R559" s="300"/>
      <c r="S559" s="300"/>
      <c r="T559" s="300"/>
      <c r="U559" s="300"/>
      <c r="V559" s="300"/>
      <c r="W559" s="300"/>
      <c r="X559" s="300"/>
      <c r="Y559" s="300"/>
      <c r="Z559" s="300"/>
      <c r="AA559" s="300"/>
      <c r="AB559" s="300"/>
      <c r="AC559" s="300"/>
      <c r="AD559" s="300"/>
      <c r="AE559" s="300"/>
    </row>
    <row r="560" spans="15:31">
      <c r="O560" s="300"/>
      <c r="P560" s="300"/>
      <c r="Q560" s="300"/>
      <c r="R560" s="300"/>
      <c r="S560" s="300"/>
      <c r="T560" s="300"/>
      <c r="U560" s="300"/>
      <c r="V560" s="300"/>
      <c r="W560" s="300"/>
      <c r="X560" s="300"/>
      <c r="Y560" s="300"/>
      <c r="Z560" s="300"/>
      <c r="AA560" s="300"/>
      <c r="AB560" s="300"/>
      <c r="AC560" s="300"/>
      <c r="AD560" s="300"/>
      <c r="AE560" s="300"/>
    </row>
    <row r="561" spans="15:31">
      <c r="O561" s="300"/>
      <c r="P561" s="300"/>
      <c r="Q561" s="300"/>
      <c r="R561" s="300"/>
      <c r="S561" s="300"/>
      <c r="T561" s="300"/>
      <c r="U561" s="300"/>
      <c r="V561" s="300"/>
      <c r="W561" s="300"/>
      <c r="X561" s="300"/>
      <c r="Y561" s="300"/>
      <c r="Z561" s="300"/>
      <c r="AA561" s="300"/>
      <c r="AB561" s="300"/>
      <c r="AC561" s="300"/>
      <c r="AD561" s="300"/>
      <c r="AE561" s="300"/>
    </row>
    <row r="562" spans="15:31">
      <c r="O562" s="300"/>
      <c r="P562" s="300"/>
      <c r="Q562" s="300"/>
      <c r="R562" s="300"/>
      <c r="S562" s="300"/>
      <c r="T562" s="300"/>
      <c r="U562" s="300"/>
      <c r="V562" s="300"/>
      <c r="W562" s="300"/>
      <c r="X562" s="300"/>
      <c r="Y562" s="300"/>
      <c r="Z562" s="300"/>
      <c r="AA562" s="300"/>
      <c r="AB562" s="300"/>
      <c r="AC562" s="300"/>
      <c r="AD562" s="300"/>
      <c r="AE562" s="300"/>
    </row>
    <row r="563" spans="15:31">
      <c r="O563" s="300"/>
      <c r="P563" s="300"/>
      <c r="Q563" s="300"/>
      <c r="R563" s="300"/>
      <c r="S563" s="300"/>
      <c r="T563" s="300"/>
      <c r="U563" s="300"/>
      <c r="V563" s="300"/>
      <c r="W563" s="300"/>
      <c r="X563" s="300"/>
      <c r="Y563" s="300"/>
      <c r="Z563" s="300"/>
      <c r="AA563" s="300"/>
      <c r="AB563" s="300"/>
      <c r="AC563" s="300"/>
      <c r="AD563" s="300"/>
      <c r="AE563" s="300"/>
    </row>
    <row r="564" spans="15:31">
      <c r="O564" s="300"/>
      <c r="P564" s="300"/>
      <c r="Q564" s="300"/>
      <c r="R564" s="300"/>
      <c r="S564" s="300"/>
      <c r="T564" s="300"/>
      <c r="U564" s="300"/>
      <c r="V564" s="300"/>
      <c r="W564" s="300"/>
      <c r="X564" s="300"/>
      <c r="Y564" s="300"/>
      <c r="Z564" s="300"/>
      <c r="AA564" s="300"/>
      <c r="AB564" s="300"/>
      <c r="AC564" s="300"/>
      <c r="AD564" s="300"/>
      <c r="AE564" s="300"/>
    </row>
    <row r="565" spans="15:31">
      <c r="O565" s="300"/>
      <c r="P565" s="300"/>
      <c r="Q565" s="300"/>
      <c r="R565" s="300"/>
      <c r="S565" s="300"/>
      <c r="T565" s="300"/>
      <c r="U565" s="300"/>
      <c r="V565" s="300"/>
      <c r="W565" s="300"/>
      <c r="X565" s="300"/>
      <c r="Y565" s="300"/>
      <c r="Z565" s="300"/>
      <c r="AA565" s="300"/>
      <c r="AB565" s="300"/>
      <c r="AC565" s="300"/>
      <c r="AD565" s="300"/>
      <c r="AE565" s="300"/>
    </row>
    <row r="566" spans="15:31">
      <c r="O566" s="300"/>
      <c r="P566" s="300"/>
      <c r="Q566" s="300"/>
      <c r="R566" s="300"/>
      <c r="S566" s="300"/>
      <c r="T566" s="300"/>
      <c r="U566" s="300"/>
      <c r="V566" s="300"/>
      <c r="W566" s="300"/>
      <c r="X566" s="300"/>
      <c r="Y566" s="300"/>
      <c r="Z566" s="300"/>
      <c r="AA566" s="300"/>
      <c r="AB566" s="300"/>
      <c r="AC566" s="300"/>
      <c r="AD566" s="300"/>
      <c r="AE566" s="300"/>
    </row>
    <row r="567" spans="15:31">
      <c r="O567" s="300"/>
      <c r="P567" s="300"/>
      <c r="Q567" s="300"/>
      <c r="R567" s="300"/>
      <c r="S567" s="300"/>
      <c r="T567" s="300"/>
      <c r="U567" s="300"/>
      <c r="V567" s="300"/>
      <c r="W567" s="300"/>
      <c r="X567" s="300"/>
      <c r="Y567" s="300"/>
      <c r="Z567" s="300"/>
      <c r="AA567" s="300"/>
      <c r="AB567" s="300"/>
      <c r="AC567" s="300"/>
      <c r="AD567" s="300"/>
      <c r="AE567" s="300"/>
    </row>
    <row r="568" spans="15:31">
      <c r="O568" s="300"/>
      <c r="P568" s="300"/>
      <c r="Q568" s="300"/>
      <c r="R568" s="300"/>
      <c r="S568" s="300"/>
      <c r="T568" s="300"/>
      <c r="U568" s="300"/>
      <c r="V568" s="300"/>
      <c r="W568" s="300"/>
      <c r="X568" s="300"/>
      <c r="Y568" s="300"/>
      <c r="Z568" s="300"/>
      <c r="AA568" s="300"/>
      <c r="AB568" s="300"/>
      <c r="AC568" s="300"/>
      <c r="AD568" s="300"/>
      <c r="AE568" s="300"/>
    </row>
    <row r="569" spans="15:31">
      <c r="O569" s="300"/>
      <c r="P569" s="300"/>
      <c r="Q569" s="300"/>
      <c r="R569" s="300"/>
      <c r="S569" s="300"/>
      <c r="T569" s="300"/>
      <c r="U569" s="300"/>
      <c r="V569" s="300"/>
      <c r="W569" s="300"/>
      <c r="X569" s="300"/>
      <c r="Y569" s="300"/>
      <c r="Z569" s="300"/>
      <c r="AA569" s="300"/>
      <c r="AB569" s="300"/>
      <c r="AC569" s="300"/>
      <c r="AD569" s="300"/>
      <c r="AE569" s="300"/>
    </row>
    <row r="570" spans="15:31">
      <c r="O570" s="300"/>
      <c r="P570" s="300"/>
      <c r="Q570" s="300"/>
      <c r="R570" s="300"/>
      <c r="S570" s="300"/>
      <c r="T570" s="300"/>
      <c r="U570" s="300"/>
      <c r="V570" s="300"/>
      <c r="W570" s="300"/>
      <c r="X570" s="300"/>
      <c r="Y570" s="300"/>
      <c r="Z570" s="300"/>
      <c r="AA570" s="300"/>
      <c r="AB570" s="300"/>
      <c r="AC570" s="300"/>
      <c r="AD570" s="300"/>
      <c r="AE570" s="300"/>
    </row>
    <row r="571" spans="15:31">
      <c r="O571" s="300"/>
      <c r="P571" s="300"/>
      <c r="Q571" s="300"/>
      <c r="R571" s="300"/>
      <c r="S571" s="300"/>
      <c r="T571" s="300"/>
      <c r="U571" s="300"/>
      <c r="V571" s="300"/>
      <c r="W571" s="300"/>
      <c r="X571" s="300"/>
      <c r="Y571" s="300"/>
      <c r="Z571" s="300"/>
      <c r="AA571" s="300"/>
      <c r="AB571" s="300"/>
      <c r="AC571" s="300"/>
      <c r="AD571" s="300"/>
      <c r="AE571" s="300"/>
    </row>
    <row r="572" spans="15:31">
      <c r="O572" s="300"/>
      <c r="P572" s="300"/>
      <c r="Q572" s="300"/>
      <c r="R572" s="300"/>
      <c r="S572" s="300"/>
      <c r="T572" s="300"/>
      <c r="U572" s="300"/>
      <c r="V572" s="300"/>
      <c r="W572" s="300"/>
      <c r="X572" s="300"/>
      <c r="Y572" s="300"/>
      <c r="Z572" s="300"/>
      <c r="AA572" s="300"/>
      <c r="AB572" s="300"/>
      <c r="AC572" s="300"/>
      <c r="AD572" s="300"/>
      <c r="AE572" s="300"/>
    </row>
    <row r="573" spans="15:31">
      <c r="O573" s="300"/>
      <c r="P573" s="300"/>
      <c r="Q573" s="300"/>
      <c r="R573" s="300"/>
      <c r="S573" s="300"/>
      <c r="T573" s="300"/>
      <c r="U573" s="300"/>
      <c r="V573" s="300"/>
      <c r="W573" s="300"/>
      <c r="X573" s="300"/>
      <c r="Y573" s="300"/>
      <c r="Z573" s="300"/>
      <c r="AA573" s="300"/>
      <c r="AB573" s="300"/>
      <c r="AC573" s="300"/>
      <c r="AD573" s="300"/>
      <c r="AE573" s="300"/>
    </row>
    <row r="574" spans="15:31">
      <c r="O574" s="300"/>
      <c r="P574" s="300"/>
      <c r="Q574" s="300"/>
      <c r="R574" s="300"/>
      <c r="S574" s="300"/>
      <c r="T574" s="300"/>
      <c r="U574" s="300"/>
      <c r="V574" s="300"/>
      <c r="W574" s="300"/>
      <c r="X574" s="300"/>
      <c r="Y574" s="300"/>
      <c r="Z574" s="300"/>
      <c r="AA574" s="300"/>
      <c r="AB574" s="300"/>
      <c r="AC574" s="300"/>
      <c r="AD574" s="300"/>
      <c r="AE574" s="300"/>
    </row>
    <row r="575" spans="15:31">
      <c r="O575" s="300"/>
      <c r="P575" s="300"/>
      <c r="Q575" s="300"/>
      <c r="R575" s="300"/>
      <c r="S575" s="300"/>
      <c r="T575" s="300"/>
      <c r="U575" s="300"/>
      <c r="V575" s="300"/>
      <c r="W575" s="300"/>
      <c r="X575" s="300"/>
      <c r="Y575" s="300"/>
      <c r="Z575" s="300"/>
      <c r="AA575" s="300"/>
      <c r="AB575" s="300"/>
      <c r="AC575" s="300"/>
      <c r="AD575" s="300"/>
      <c r="AE575" s="300"/>
    </row>
    <row r="576" spans="15:31">
      <c r="O576" s="300"/>
      <c r="P576" s="300"/>
      <c r="Q576" s="300"/>
      <c r="R576" s="300"/>
      <c r="S576" s="300"/>
      <c r="T576" s="300"/>
      <c r="U576" s="300"/>
      <c r="V576" s="300"/>
      <c r="W576" s="300"/>
      <c r="X576" s="300"/>
      <c r="Y576" s="300"/>
      <c r="Z576" s="300"/>
      <c r="AA576" s="300"/>
      <c r="AB576" s="300"/>
      <c r="AC576" s="300"/>
      <c r="AD576" s="300"/>
      <c r="AE576" s="300"/>
    </row>
    <row r="577" spans="15:31">
      <c r="O577" s="300"/>
      <c r="P577" s="300"/>
      <c r="Q577" s="300"/>
      <c r="R577" s="300"/>
      <c r="S577" s="300"/>
      <c r="T577" s="300"/>
      <c r="U577" s="300"/>
      <c r="V577" s="300"/>
      <c r="W577" s="300"/>
      <c r="X577" s="300"/>
      <c r="Y577" s="300"/>
      <c r="Z577" s="300"/>
      <c r="AA577" s="300"/>
      <c r="AB577" s="300"/>
      <c r="AC577" s="300"/>
      <c r="AD577" s="300"/>
      <c r="AE577" s="300"/>
    </row>
    <row r="578" spans="15:31">
      <c r="O578" s="300"/>
      <c r="P578" s="300"/>
      <c r="Q578" s="300"/>
      <c r="R578" s="300"/>
      <c r="S578" s="300"/>
      <c r="T578" s="300"/>
      <c r="U578" s="300"/>
      <c r="V578" s="300"/>
      <c r="W578" s="300"/>
      <c r="X578" s="300"/>
      <c r="Y578" s="300"/>
      <c r="Z578" s="300"/>
      <c r="AA578" s="300"/>
      <c r="AB578" s="300"/>
      <c r="AC578" s="300"/>
      <c r="AD578" s="300"/>
      <c r="AE578" s="300"/>
    </row>
    <row r="579" spans="15:31">
      <c r="O579" s="300"/>
      <c r="P579" s="300"/>
      <c r="Q579" s="300"/>
      <c r="R579" s="300"/>
      <c r="S579" s="300"/>
      <c r="T579" s="300"/>
      <c r="U579" s="300"/>
      <c r="V579" s="300"/>
      <c r="W579" s="300"/>
      <c r="X579" s="300"/>
      <c r="Y579" s="300"/>
      <c r="Z579" s="300"/>
      <c r="AA579" s="300"/>
      <c r="AB579" s="300"/>
      <c r="AC579" s="300"/>
      <c r="AD579" s="300"/>
      <c r="AE579" s="300"/>
    </row>
    <row r="580" spans="15:31">
      <c r="O580" s="300"/>
      <c r="P580" s="300"/>
      <c r="Q580" s="300"/>
      <c r="R580" s="300"/>
      <c r="S580" s="300"/>
      <c r="T580" s="300"/>
      <c r="U580" s="300"/>
      <c r="V580" s="300"/>
      <c r="W580" s="300"/>
      <c r="X580" s="300"/>
      <c r="Y580" s="300"/>
      <c r="Z580" s="300"/>
      <c r="AA580" s="300"/>
      <c r="AB580" s="300"/>
      <c r="AC580" s="300"/>
      <c r="AD580" s="300"/>
      <c r="AE580" s="300"/>
    </row>
    <row r="581" spans="15:31">
      <c r="O581" s="300"/>
      <c r="P581" s="300"/>
      <c r="Q581" s="300"/>
      <c r="R581" s="300"/>
      <c r="S581" s="300"/>
      <c r="T581" s="300"/>
      <c r="U581" s="300"/>
      <c r="V581" s="300"/>
      <c r="W581" s="300"/>
      <c r="X581" s="300"/>
      <c r="Y581" s="300"/>
      <c r="Z581" s="300"/>
      <c r="AA581" s="300"/>
      <c r="AB581" s="300"/>
      <c r="AC581" s="300"/>
      <c r="AD581" s="300"/>
      <c r="AE581" s="300"/>
    </row>
    <row r="582" spans="15:31">
      <c r="O582" s="300"/>
      <c r="P582" s="300"/>
      <c r="Q582" s="300"/>
      <c r="R582" s="300"/>
      <c r="S582" s="300"/>
      <c r="T582" s="300"/>
      <c r="U582" s="300"/>
      <c r="V582" s="300"/>
      <c r="W582" s="300"/>
      <c r="X582" s="300"/>
      <c r="Y582" s="300"/>
      <c r="Z582" s="300"/>
      <c r="AA582" s="300"/>
      <c r="AB582" s="300"/>
      <c r="AC582" s="300"/>
      <c r="AD582" s="300"/>
      <c r="AE582" s="300"/>
    </row>
    <row r="583" spans="15:31">
      <c r="O583" s="300"/>
      <c r="P583" s="300"/>
      <c r="Q583" s="300"/>
      <c r="R583" s="300"/>
      <c r="S583" s="300"/>
      <c r="T583" s="300"/>
      <c r="U583" s="300"/>
      <c r="V583" s="300"/>
      <c r="W583" s="300"/>
      <c r="X583" s="300"/>
      <c r="Y583" s="300"/>
      <c r="Z583" s="300"/>
      <c r="AA583" s="300"/>
      <c r="AB583" s="300"/>
      <c r="AC583" s="300"/>
      <c r="AD583" s="300"/>
      <c r="AE583" s="300"/>
    </row>
    <row r="584" spans="15:31">
      <c r="O584" s="300"/>
      <c r="P584" s="300"/>
      <c r="Q584" s="300"/>
      <c r="R584" s="300"/>
      <c r="S584" s="300"/>
      <c r="T584" s="300"/>
      <c r="U584" s="300"/>
      <c r="V584" s="300"/>
      <c r="W584" s="300"/>
      <c r="X584" s="300"/>
      <c r="Y584" s="300"/>
      <c r="Z584" s="300"/>
      <c r="AA584" s="300"/>
      <c r="AB584" s="300"/>
      <c r="AC584" s="300"/>
      <c r="AD584" s="300"/>
      <c r="AE584" s="300"/>
    </row>
    <row r="585" spans="15:31">
      <c r="O585" s="300"/>
      <c r="P585" s="300"/>
      <c r="Q585" s="300"/>
      <c r="R585" s="300"/>
      <c r="S585" s="300"/>
      <c r="T585" s="300"/>
      <c r="U585" s="300"/>
      <c r="V585" s="300"/>
      <c r="W585" s="300"/>
      <c r="X585" s="300"/>
      <c r="Y585" s="300"/>
      <c r="Z585" s="300"/>
      <c r="AA585" s="300"/>
      <c r="AB585" s="300"/>
      <c r="AC585" s="300"/>
      <c r="AD585" s="300"/>
      <c r="AE585" s="300"/>
    </row>
    <row r="586" spans="15:31">
      <c r="O586" s="300"/>
      <c r="P586" s="300"/>
      <c r="Q586" s="300"/>
      <c r="R586" s="300"/>
      <c r="S586" s="300"/>
      <c r="T586" s="300"/>
      <c r="U586" s="300"/>
      <c r="V586" s="300"/>
      <c r="W586" s="300"/>
      <c r="X586" s="300"/>
      <c r="Y586" s="300"/>
      <c r="Z586" s="300"/>
      <c r="AA586" s="300"/>
      <c r="AB586" s="300"/>
      <c r="AC586" s="300"/>
      <c r="AD586" s="300"/>
      <c r="AE586" s="300"/>
    </row>
    <row r="587" spans="15:31">
      <c r="O587" s="300"/>
      <c r="P587" s="300"/>
      <c r="Q587" s="300"/>
      <c r="R587" s="300"/>
      <c r="S587" s="300"/>
      <c r="T587" s="300"/>
      <c r="U587" s="300"/>
      <c r="V587" s="300"/>
      <c r="W587" s="300"/>
      <c r="X587" s="300"/>
      <c r="Y587" s="300"/>
      <c r="Z587" s="300"/>
      <c r="AA587" s="300"/>
      <c r="AB587" s="300"/>
      <c r="AC587" s="300"/>
      <c r="AD587" s="300"/>
      <c r="AE587" s="300"/>
    </row>
    <row r="588" spans="15:31">
      <c r="O588" s="300"/>
      <c r="P588" s="300"/>
      <c r="Q588" s="300"/>
      <c r="R588" s="300"/>
      <c r="S588" s="300"/>
      <c r="T588" s="300"/>
      <c r="U588" s="300"/>
      <c r="V588" s="300"/>
      <c r="W588" s="300"/>
      <c r="X588" s="300"/>
      <c r="Y588" s="300"/>
      <c r="Z588" s="300"/>
      <c r="AA588" s="300"/>
      <c r="AB588" s="300"/>
      <c r="AC588" s="300"/>
      <c r="AD588" s="300"/>
      <c r="AE588" s="300"/>
    </row>
    <row r="589" spans="15:31">
      <c r="O589" s="300"/>
      <c r="P589" s="300"/>
      <c r="Q589" s="300"/>
      <c r="R589" s="300"/>
      <c r="S589" s="300"/>
      <c r="T589" s="300"/>
      <c r="U589" s="300"/>
      <c r="V589" s="300"/>
      <c r="W589" s="300"/>
      <c r="X589" s="300"/>
      <c r="Y589" s="300"/>
      <c r="Z589" s="300"/>
      <c r="AA589" s="300"/>
      <c r="AB589" s="300"/>
      <c r="AC589" s="300"/>
      <c r="AD589" s="300"/>
      <c r="AE589" s="300"/>
    </row>
    <row r="590" spans="15:31">
      <c r="O590" s="300"/>
      <c r="P590" s="300"/>
      <c r="Q590" s="300"/>
      <c r="R590" s="300"/>
      <c r="S590" s="300"/>
      <c r="T590" s="300"/>
      <c r="U590" s="300"/>
      <c r="V590" s="300"/>
      <c r="W590" s="300"/>
      <c r="X590" s="300"/>
      <c r="Y590" s="300"/>
      <c r="Z590" s="300"/>
      <c r="AA590" s="300"/>
      <c r="AB590" s="300"/>
      <c r="AC590" s="300"/>
      <c r="AD590" s="300"/>
      <c r="AE590" s="300"/>
    </row>
    <row r="591" spans="15:31">
      <c r="O591" s="300"/>
      <c r="P591" s="300"/>
      <c r="Q591" s="300"/>
      <c r="R591" s="300"/>
      <c r="S591" s="300"/>
      <c r="T591" s="300"/>
      <c r="U591" s="300"/>
      <c r="V591" s="300"/>
      <c r="W591" s="300"/>
      <c r="X591" s="300"/>
      <c r="Y591" s="300"/>
      <c r="Z591" s="300"/>
      <c r="AA591" s="300"/>
      <c r="AB591" s="300"/>
      <c r="AC591" s="300"/>
      <c r="AD591" s="300"/>
      <c r="AE591" s="300"/>
    </row>
    <row r="592" spans="15:31">
      <c r="O592" s="300"/>
      <c r="P592" s="300"/>
      <c r="Q592" s="300"/>
      <c r="R592" s="300"/>
      <c r="S592" s="300"/>
      <c r="T592" s="300"/>
      <c r="U592" s="300"/>
      <c r="V592" s="300"/>
      <c r="W592" s="300"/>
      <c r="X592" s="300"/>
      <c r="Y592" s="300"/>
      <c r="Z592" s="300"/>
      <c r="AA592" s="300"/>
      <c r="AB592" s="300"/>
      <c r="AC592" s="300"/>
      <c r="AD592" s="300"/>
      <c r="AE592" s="300"/>
    </row>
    <row r="593" spans="15:31">
      <c r="O593" s="300"/>
      <c r="P593" s="300"/>
      <c r="Q593" s="300"/>
      <c r="R593" s="300"/>
      <c r="S593" s="300"/>
      <c r="T593" s="300"/>
      <c r="U593" s="300"/>
      <c r="V593" s="300"/>
      <c r="W593" s="300"/>
      <c r="X593" s="300"/>
      <c r="Y593" s="300"/>
      <c r="Z593" s="300"/>
      <c r="AA593" s="300"/>
      <c r="AB593" s="300"/>
      <c r="AC593" s="300"/>
      <c r="AD593" s="300"/>
      <c r="AE593" s="300"/>
    </row>
    <row r="594" spans="15:31">
      <c r="O594" s="300"/>
      <c r="P594" s="300"/>
      <c r="Q594" s="300"/>
      <c r="R594" s="300"/>
      <c r="S594" s="300"/>
      <c r="T594" s="300"/>
      <c r="U594" s="300"/>
      <c r="V594" s="300"/>
      <c r="W594" s="300"/>
      <c r="X594" s="300"/>
      <c r="Y594" s="300"/>
      <c r="Z594" s="300"/>
      <c r="AA594" s="300"/>
      <c r="AB594" s="300"/>
      <c r="AC594" s="300"/>
      <c r="AD594" s="300"/>
      <c r="AE594" s="300"/>
    </row>
    <row r="595" spans="15:31">
      <c r="O595" s="300"/>
      <c r="P595" s="300"/>
      <c r="Q595" s="300"/>
      <c r="R595" s="300"/>
      <c r="S595" s="300"/>
      <c r="T595" s="300"/>
      <c r="U595" s="300"/>
      <c r="V595" s="300"/>
      <c r="W595" s="300"/>
      <c r="X595" s="300"/>
      <c r="Y595" s="300"/>
      <c r="Z595" s="300"/>
      <c r="AA595" s="300"/>
      <c r="AB595" s="300"/>
      <c r="AC595" s="300"/>
      <c r="AD595" s="300"/>
      <c r="AE595" s="300"/>
    </row>
    <row r="596" spans="15:31">
      <c r="O596" s="300"/>
      <c r="P596" s="300"/>
      <c r="Q596" s="300"/>
      <c r="R596" s="300"/>
      <c r="S596" s="300"/>
      <c r="T596" s="300"/>
      <c r="U596" s="300"/>
      <c r="V596" s="300"/>
      <c r="W596" s="300"/>
      <c r="X596" s="300"/>
      <c r="Y596" s="300"/>
      <c r="Z596" s="300"/>
      <c r="AA596" s="300"/>
      <c r="AB596" s="300"/>
      <c r="AC596" s="300"/>
      <c r="AD596" s="300"/>
      <c r="AE596" s="300"/>
    </row>
    <row r="597" spans="15:31">
      <c r="O597" s="300"/>
      <c r="P597" s="300"/>
      <c r="Q597" s="300"/>
      <c r="R597" s="300"/>
      <c r="S597" s="300"/>
      <c r="T597" s="300"/>
      <c r="U597" s="300"/>
      <c r="V597" s="300"/>
      <c r="W597" s="300"/>
      <c r="X597" s="300"/>
      <c r="Y597" s="300"/>
      <c r="Z597" s="300"/>
      <c r="AA597" s="300"/>
      <c r="AB597" s="300"/>
      <c r="AC597" s="300"/>
      <c r="AD597" s="300"/>
      <c r="AE597" s="300"/>
    </row>
    <row r="598" spans="15:31">
      <c r="O598" s="300"/>
      <c r="P598" s="300"/>
      <c r="Q598" s="300"/>
      <c r="R598" s="300"/>
      <c r="S598" s="300"/>
      <c r="T598" s="300"/>
      <c r="U598" s="300"/>
      <c r="V598" s="300"/>
      <c r="W598" s="300"/>
      <c r="X598" s="300"/>
      <c r="Y598" s="300"/>
      <c r="Z598" s="300"/>
      <c r="AA598" s="300"/>
      <c r="AB598" s="300"/>
      <c r="AC598" s="300"/>
      <c r="AD598" s="300"/>
      <c r="AE598" s="300"/>
    </row>
    <row r="599" spans="15:31">
      <c r="O599" s="300"/>
      <c r="P599" s="300"/>
      <c r="Q599" s="300"/>
      <c r="R599" s="300"/>
      <c r="S599" s="300"/>
      <c r="T599" s="300"/>
      <c r="U599" s="300"/>
      <c r="V599" s="300"/>
      <c r="W599" s="300"/>
      <c r="X599" s="300"/>
      <c r="Y599" s="300"/>
      <c r="Z599" s="300"/>
      <c r="AA599" s="300"/>
      <c r="AB599" s="300"/>
      <c r="AC599" s="300"/>
      <c r="AD599" s="300"/>
      <c r="AE599" s="300"/>
    </row>
    <row r="600" spans="15:31">
      <c r="O600" s="300"/>
      <c r="P600" s="300"/>
      <c r="Q600" s="300"/>
      <c r="R600" s="300"/>
      <c r="S600" s="300"/>
      <c r="T600" s="300"/>
      <c r="U600" s="300"/>
      <c r="V600" s="300"/>
      <c r="W600" s="300"/>
      <c r="X600" s="300"/>
      <c r="Y600" s="300"/>
      <c r="Z600" s="300"/>
      <c r="AA600" s="300"/>
      <c r="AB600" s="300"/>
      <c r="AC600" s="300"/>
      <c r="AD600" s="300"/>
      <c r="AE600" s="300"/>
    </row>
    <row r="601" spans="15:31">
      <c r="O601" s="300"/>
      <c r="P601" s="300"/>
      <c r="Q601" s="300"/>
      <c r="R601" s="300"/>
      <c r="S601" s="300"/>
      <c r="T601" s="300"/>
      <c r="U601" s="300"/>
      <c r="V601" s="300"/>
      <c r="W601" s="300"/>
      <c r="X601" s="300"/>
      <c r="Y601" s="300"/>
      <c r="Z601" s="300"/>
      <c r="AA601" s="300"/>
      <c r="AB601" s="300"/>
      <c r="AC601" s="300"/>
      <c r="AD601" s="300"/>
      <c r="AE601" s="300"/>
    </row>
    <row r="602" spans="15:31">
      <c r="O602" s="300"/>
      <c r="P602" s="300"/>
      <c r="Q602" s="300"/>
      <c r="R602" s="300"/>
      <c r="S602" s="300"/>
      <c r="T602" s="300"/>
      <c r="U602" s="300"/>
      <c r="V602" s="300"/>
      <c r="W602" s="300"/>
      <c r="X602" s="300"/>
      <c r="Y602" s="300"/>
      <c r="Z602" s="300"/>
      <c r="AA602" s="300"/>
      <c r="AB602" s="300"/>
      <c r="AC602" s="300"/>
      <c r="AD602" s="300"/>
      <c r="AE602" s="300"/>
    </row>
    <row r="603" spans="15:31">
      <c r="O603" s="300"/>
      <c r="P603" s="300"/>
      <c r="Q603" s="300"/>
      <c r="R603" s="300"/>
      <c r="S603" s="300"/>
      <c r="T603" s="300"/>
      <c r="U603" s="300"/>
      <c r="V603" s="300"/>
      <c r="W603" s="300"/>
      <c r="X603" s="300"/>
      <c r="Y603" s="300"/>
      <c r="Z603" s="300"/>
      <c r="AA603" s="300"/>
      <c r="AB603" s="300"/>
      <c r="AC603" s="300"/>
      <c r="AD603" s="300"/>
      <c r="AE603" s="300"/>
    </row>
    <row r="604" spans="15:31">
      <c r="O604" s="300"/>
      <c r="P604" s="300"/>
      <c r="Q604" s="300"/>
      <c r="R604" s="300"/>
      <c r="S604" s="300"/>
      <c r="T604" s="300"/>
      <c r="U604" s="300"/>
      <c r="V604" s="300"/>
      <c r="W604" s="300"/>
      <c r="X604" s="300"/>
      <c r="Y604" s="300"/>
      <c r="Z604" s="300"/>
      <c r="AA604" s="300"/>
      <c r="AB604" s="300"/>
      <c r="AC604" s="300"/>
      <c r="AD604" s="300"/>
      <c r="AE604" s="300"/>
    </row>
    <row r="605" spans="15:31">
      <c r="O605" s="300"/>
      <c r="P605" s="300"/>
      <c r="Q605" s="300"/>
      <c r="R605" s="300"/>
      <c r="S605" s="300"/>
      <c r="T605" s="300"/>
      <c r="U605" s="300"/>
      <c r="V605" s="300"/>
      <c r="W605" s="300"/>
      <c r="X605" s="300"/>
      <c r="Y605" s="300"/>
      <c r="Z605" s="300"/>
      <c r="AA605" s="300"/>
      <c r="AB605" s="300"/>
      <c r="AC605" s="300"/>
      <c r="AD605" s="300"/>
      <c r="AE605" s="300"/>
    </row>
    <row r="606" spans="15:31">
      <c r="O606" s="300"/>
      <c r="P606" s="300"/>
      <c r="Q606" s="300"/>
      <c r="R606" s="300"/>
      <c r="S606" s="300"/>
      <c r="T606" s="300"/>
      <c r="U606" s="300"/>
      <c r="V606" s="300"/>
      <c r="W606" s="300"/>
      <c r="X606" s="300"/>
      <c r="Y606" s="300"/>
      <c r="Z606" s="300"/>
      <c r="AA606" s="300"/>
      <c r="AB606" s="300"/>
      <c r="AC606" s="300"/>
      <c r="AD606" s="300"/>
      <c r="AE606" s="300"/>
    </row>
    <row r="607" spans="15:31">
      <c r="O607" s="300"/>
      <c r="P607" s="300"/>
      <c r="Q607" s="300"/>
      <c r="R607" s="300"/>
      <c r="S607" s="300"/>
      <c r="T607" s="300"/>
      <c r="U607" s="300"/>
      <c r="V607" s="300"/>
      <c r="W607" s="300"/>
      <c r="X607" s="300"/>
      <c r="Y607" s="300"/>
      <c r="Z607" s="300"/>
      <c r="AA607" s="300"/>
      <c r="AB607" s="300"/>
      <c r="AC607" s="300"/>
      <c r="AD607" s="300"/>
      <c r="AE607" s="300"/>
    </row>
    <row r="608" spans="15:31">
      <c r="O608" s="300"/>
      <c r="P608" s="300"/>
      <c r="Q608" s="300"/>
      <c r="R608" s="300"/>
      <c r="S608" s="300"/>
      <c r="T608" s="300"/>
      <c r="U608" s="300"/>
      <c r="V608" s="300"/>
      <c r="W608" s="300"/>
      <c r="X608" s="300"/>
      <c r="Y608" s="300"/>
      <c r="Z608" s="300"/>
      <c r="AA608" s="300"/>
      <c r="AB608" s="300"/>
      <c r="AC608" s="300"/>
      <c r="AD608" s="300"/>
      <c r="AE608" s="300"/>
    </row>
    <row r="609" spans="15:31">
      <c r="O609" s="300"/>
      <c r="P609" s="300"/>
      <c r="Q609" s="300"/>
      <c r="R609" s="300"/>
      <c r="S609" s="300"/>
      <c r="T609" s="300"/>
      <c r="U609" s="300"/>
      <c r="V609" s="300"/>
      <c r="W609" s="300"/>
      <c r="X609" s="300"/>
      <c r="Y609" s="300"/>
      <c r="Z609" s="300"/>
      <c r="AA609" s="300"/>
      <c r="AB609" s="300"/>
      <c r="AC609" s="300"/>
      <c r="AD609" s="300"/>
      <c r="AE609" s="300"/>
    </row>
    <row r="610" spans="15:31">
      <c r="O610" s="300"/>
      <c r="P610" s="300"/>
      <c r="Q610" s="300"/>
      <c r="R610" s="300"/>
      <c r="S610" s="300"/>
      <c r="T610" s="300"/>
      <c r="U610" s="300"/>
      <c r="V610" s="300"/>
      <c r="W610" s="300"/>
      <c r="X610" s="300"/>
      <c r="Y610" s="300"/>
      <c r="Z610" s="300"/>
      <c r="AA610" s="300"/>
      <c r="AB610" s="300"/>
      <c r="AC610" s="300"/>
      <c r="AD610" s="300"/>
      <c r="AE610" s="300"/>
    </row>
    <row r="611" spans="15:31">
      <c r="O611" s="300"/>
      <c r="P611" s="300"/>
      <c r="Q611" s="300"/>
      <c r="R611" s="300"/>
      <c r="S611" s="300"/>
      <c r="T611" s="300"/>
      <c r="U611" s="300"/>
      <c r="V611" s="300"/>
      <c r="W611" s="300"/>
      <c r="X611" s="300"/>
      <c r="Y611" s="300"/>
      <c r="Z611" s="300"/>
      <c r="AA611" s="300"/>
      <c r="AB611" s="300"/>
      <c r="AC611" s="300"/>
      <c r="AD611" s="300"/>
      <c r="AE611" s="300"/>
    </row>
    <row r="612" spans="15:31">
      <c r="O612" s="300"/>
      <c r="P612" s="300"/>
      <c r="Q612" s="300"/>
      <c r="R612" s="300"/>
      <c r="S612" s="300"/>
      <c r="T612" s="300"/>
      <c r="U612" s="300"/>
      <c r="V612" s="300"/>
      <c r="W612" s="300"/>
      <c r="X612" s="300"/>
      <c r="Y612" s="300"/>
      <c r="Z612" s="300"/>
      <c r="AA612" s="300"/>
      <c r="AB612" s="300"/>
      <c r="AC612" s="300"/>
      <c r="AD612" s="300"/>
      <c r="AE612" s="300"/>
    </row>
    <row r="613" spans="15:31">
      <c r="O613" s="300"/>
      <c r="P613" s="300"/>
      <c r="Q613" s="300"/>
      <c r="R613" s="300"/>
      <c r="S613" s="300"/>
      <c r="T613" s="300"/>
      <c r="U613" s="300"/>
      <c r="V613" s="300"/>
      <c r="W613" s="300"/>
      <c r="X613" s="300"/>
      <c r="Y613" s="300"/>
      <c r="Z613" s="300"/>
      <c r="AA613" s="300"/>
      <c r="AB613" s="300"/>
      <c r="AC613" s="300"/>
      <c r="AD613" s="300"/>
      <c r="AE613" s="300"/>
    </row>
    <row r="614" spans="15:31">
      <c r="O614" s="300"/>
      <c r="P614" s="300"/>
      <c r="Q614" s="300"/>
      <c r="R614" s="300"/>
      <c r="S614" s="300"/>
      <c r="T614" s="300"/>
      <c r="U614" s="300"/>
      <c r="V614" s="300"/>
      <c r="W614" s="300"/>
      <c r="X614" s="300"/>
      <c r="Y614" s="300"/>
      <c r="Z614" s="300"/>
      <c r="AA614" s="300"/>
      <c r="AB614" s="300"/>
      <c r="AC614" s="300"/>
      <c r="AD614" s="300"/>
      <c r="AE614" s="300"/>
    </row>
    <row r="615" spans="15:31">
      <c r="O615" s="300"/>
      <c r="P615" s="300"/>
      <c r="Q615" s="300"/>
      <c r="R615" s="300"/>
      <c r="S615" s="300"/>
      <c r="T615" s="300"/>
      <c r="U615" s="300"/>
      <c r="V615" s="300"/>
      <c r="W615" s="300"/>
      <c r="X615" s="300"/>
      <c r="Y615" s="300"/>
      <c r="Z615" s="300"/>
      <c r="AA615" s="300"/>
      <c r="AB615" s="300"/>
      <c r="AC615" s="300"/>
      <c r="AD615" s="300"/>
      <c r="AE615" s="300"/>
    </row>
    <row r="616" spans="15:31">
      <c r="O616" s="300"/>
      <c r="P616" s="300"/>
      <c r="Q616" s="300"/>
      <c r="R616" s="300"/>
      <c r="S616" s="300"/>
      <c r="T616" s="300"/>
      <c r="U616" s="300"/>
      <c r="V616" s="300"/>
      <c r="W616" s="300"/>
      <c r="X616" s="300"/>
      <c r="Y616" s="300"/>
      <c r="Z616" s="300"/>
      <c r="AA616" s="300"/>
      <c r="AB616" s="300"/>
      <c r="AC616" s="300"/>
      <c r="AD616" s="300"/>
      <c r="AE616" s="300"/>
    </row>
    <row r="617" spans="15:31">
      <c r="O617" s="300"/>
      <c r="P617" s="300"/>
      <c r="Q617" s="300"/>
      <c r="R617" s="300"/>
      <c r="S617" s="300"/>
      <c r="T617" s="300"/>
      <c r="U617" s="300"/>
      <c r="V617" s="300"/>
      <c r="W617" s="300"/>
      <c r="X617" s="300"/>
      <c r="Y617" s="300"/>
      <c r="Z617" s="300"/>
      <c r="AA617" s="300"/>
      <c r="AB617" s="300"/>
      <c r="AC617" s="300"/>
      <c r="AD617" s="300"/>
      <c r="AE617" s="300"/>
    </row>
    <row r="618" spans="15:31">
      <c r="O618" s="300"/>
      <c r="P618" s="300"/>
      <c r="Q618" s="300"/>
      <c r="R618" s="300"/>
      <c r="S618" s="300"/>
      <c r="T618" s="300"/>
      <c r="U618" s="300"/>
      <c r="V618" s="300"/>
      <c r="W618" s="300"/>
      <c r="X618" s="300"/>
      <c r="Y618" s="300"/>
      <c r="Z618" s="300"/>
      <c r="AA618" s="300"/>
      <c r="AB618" s="300"/>
      <c r="AC618" s="300"/>
      <c r="AD618" s="300"/>
      <c r="AE618" s="300"/>
    </row>
    <row r="619" spans="15:31">
      <c r="O619" s="300"/>
      <c r="P619" s="300"/>
      <c r="Q619" s="300"/>
      <c r="R619" s="300"/>
      <c r="S619" s="300"/>
      <c r="T619" s="300"/>
      <c r="U619" s="300"/>
      <c r="V619" s="300"/>
      <c r="W619" s="300"/>
      <c r="X619" s="300"/>
      <c r="Y619" s="300"/>
      <c r="Z619" s="300"/>
      <c r="AA619" s="300"/>
      <c r="AB619" s="300"/>
      <c r="AC619" s="300"/>
      <c r="AD619" s="300"/>
      <c r="AE619" s="300"/>
    </row>
    <row r="620" spans="15:31">
      <c r="O620" s="300"/>
      <c r="P620" s="300"/>
      <c r="Q620" s="300"/>
      <c r="R620" s="300"/>
      <c r="S620" s="300"/>
      <c r="T620" s="300"/>
      <c r="U620" s="300"/>
      <c r="V620" s="300"/>
      <c r="W620" s="300"/>
      <c r="X620" s="300"/>
      <c r="Y620" s="300"/>
      <c r="Z620" s="300"/>
      <c r="AA620" s="300"/>
      <c r="AB620" s="300"/>
      <c r="AC620" s="300"/>
      <c r="AD620" s="300"/>
      <c r="AE620" s="300"/>
    </row>
    <row r="621" spans="15:31">
      <c r="O621" s="300"/>
      <c r="P621" s="300"/>
      <c r="Q621" s="300"/>
      <c r="R621" s="300"/>
      <c r="S621" s="300"/>
      <c r="T621" s="300"/>
      <c r="U621" s="300"/>
      <c r="V621" s="300"/>
      <c r="W621" s="300"/>
      <c r="X621" s="300"/>
      <c r="Y621" s="300"/>
      <c r="Z621" s="300"/>
      <c r="AA621" s="300"/>
      <c r="AB621" s="300"/>
      <c r="AC621" s="300"/>
      <c r="AD621" s="300"/>
      <c r="AE621" s="300"/>
    </row>
    <row r="622" spans="15:31">
      <c r="O622" s="300"/>
      <c r="P622" s="300"/>
      <c r="Q622" s="300"/>
      <c r="R622" s="300"/>
      <c r="S622" s="300"/>
      <c r="T622" s="300"/>
      <c r="U622" s="300"/>
      <c r="V622" s="300"/>
      <c r="W622" s="300"/>
      <c r="X622" s="300"/>
      <c r="Y622" s="300"/>
      <c r="Z622" s="300"/>
      <c r="AA622" s="300"/>
      <c r="AB622" s="300"/>
      <c r="AC622" s="300"/>
      <c r="AD622" s="300"/>
      <c r="AE622" s="300"/>
    </row>
    <row r="623" spans="15:31">
      <c r="O623" s="300"/>
      <c r="P623" s="300"/>
      <c r="Q623" s="300"/>
      <c r="R623" s="300"/>
      <c r="S623" s="300"/>
      <c r="T623" s="300"/>
      <c r="U623" s="300"/>
      <c r="V623" s="300"/>
      <c r="W623" s="300"/>
      <c r="X623" s="300"/>
      <c r="Y623" s="300"/>
      <c r="Z623" s="300"/>
      <c r="AA623" s="300"/>
      <c r="AB623" s="300"/>
      <c r="AC623" s="300"/>
      <c r="AD623" s="300"/>
      <c r="AE623" s="300"/>
    </row>
    <row r="624" spans="15:31">
      <c r="O624" s="300"/>
      <c r="P624" s="300"/>
      <c r="Q624" s="300"/>
      <c r="R624" s="300"/>
      <c r="S624" s="300"/>
      <c r="T624" s="300"/>
      <c r="U624" s="300"/>
      <c r="V624" s="300"/>
      <c r="W624" s="300"/>
      <c r="X624" s="300"/>
      <c r="Y624" s="300"/>
      <c r="Z624" s="300"/>
      <c r="AA624" s="300"/>
      <c r="AB624" s="300"/>
      <c r="AC624" s="300"/>
      <c r="AD624" s="300"/>
      <c r="AE624" s="300"/>
    </row>
    <row r="625" spans="15:31">
      <c r="O625" s="300"/>
      <c r="P625" s="300"/>
      <c r="Q625" s="300"/>
      <c r="R625" s="300"/>
      <c r="S625" s="300"/>
      <c r="T625" s="300"/>
      <c r="U625" s="300"/>
      <c r="V625" s="300"/>
      <c r="W625" s="300"/>
      <c r="X625" s="300"/>
      <c r="Y625" s="300"/>
      <c r="Z625" s="300"/>
      <c r="AA625" s="300"/>
      <c r="AB625" s="300"/>
      <c r="AC625" s="300"/>
      <c r="AD625" s="300"/>
      <c r="AE625" s="300"/>
    </row>
    <row r="626" spans="15:31">
      <c r="O626" s="300"/>
      <c r="P626" s="300"/>
      <c r="Q626" s="300"/>
      <c r="R626" s="300"/>
      <c r="S626" s="300"/>
      <c r="T626" s="300"/>
      <c r="U626" s="300"/>
      <c r="V626" s="300"/>
      <c r="W626" s="300"/>
      <c r="X626" s="300"/>
      <c r="Y626" s="300"/>
      <c r="Z626" s="300"/>
      <c r="AA626" s="300"/>
      <c r="AB626" s="300"/>
      <c r="AC626" s="300"/>
      <c r="AD626" s="300"/>
      <c r="AE626" s="300"/>
    </row>
    <row r="627" spans="15:31">
      <c r="O627" s="300"/>
      <c r="P627" s="300"/>
      <c r="Q627" s="300"/>
      <c r="R627" s="300"/>
      <c r="S627" s="300"/>
      <c r="T627" s="300"/>
      <c r="U627" s="300"/>
      <c r="V627" s="300"/>
      <c r="W627" s="300"/>
      <c r="X627" s="300"/>
      <c r="Y627" s="300"/>
      <c r="Z627" s="300"/>
      <c r="AA627" s="300"/>
      <c r="AB627" s="300"/>
      <c r="AC627" s="300"/>
      <c r="AD627" s="300"/>
      <c r="AE627" s="300"/>
    </row>
    <row r="628" spans="15:31">
      <c r="O628" s="300"/>
      <c r="P628" s="300"/>
      <c r="Q628" s="300"/>
      <c r="R628" s="300"/>
      <c r="S628" s="300"/>
      <c r="T628" s="300"/>
      <c r="U628" s="300"/>
      <c r="V628" s="300"/>
      <c r="W628" s="300"/>
      <c r="X628" s="300"/>
      <c r="Y628" s="300"/>
      <c r="Z628" s="300"/>
      <c r="AA628" s="300"/>
      <c r="AB628" s="300"/>
      <c r="AC628" s="300"/>
      <c r="AD628" s="300"/>
      <c r="AE628" s="300"/>
    </row>
    <row r="629" spans="15:31">
      <c r="O629" s="300"/>
      <c r="P629" s="300"/>
      <c r="Q629" s="300"/>
      <c r="R629" s="300"/>
      <c r="S629" s="300"/>
      <c r="T629" s="300"/>
      <c r="U629" s="300"/>
      <c r="V629" s="300"/>
      <c r="W629" s="300"/>
      <c r="X629" s="300"/>
      <c r="Y629" s="300"/>
      <c r="Z629" s="300"/>
      <c r="AA629" s="300"/>
      <c r="AB629" s="300"/>
      <c r="AC629" s="300"/>
      <c r="AD629" s="300"/>
      <c r="AE629" s="300"/>
    </row>
    <row r="630" spans="15:31">
      <c r="O630" s="300"/>
      <c r="P630" s="300"/>
      <c r="Q630" s="300"/>
      <c r="R630" s="300"/>
      <c r="S630" s="300"/>
      <c r="T630" s="300"/>
      <c r="U630" s="300"/>
      <c r="V630" s="300"/>
      <c r="W630" s="300"/>
      <c r="X630" s="300"/>
      <c r="Y630" s="300"/>
      <c r="Z630" s="300"/>
      <c r="AA630" s="300"/>
      <c r="AB630" s="300"/>
      <c r="AC630" s="300"/>
      <c r="AD630" s="300"/>
      <c r="AE630" s="300"/>
    </row>
    <row r="631" spans="15:31">
      <c r="O631" s="300"/>
      <c r="P631" s="300"/>
      <c r="Q631" s="300"/>
      <c r="R631" s="300"/>
      <c r="S631" s="300"/>
      <c r="T631" s="300"/>
      <c r="U631" s="300"/>
      <c r="V631" s="300"/>
      <c r="W631" s="300"/>
      <c r="X631" s="300"/>
      <c r="Y631" s="300"/>
      <c r="Z631" s="300"/>
      <c r="AA631" s="300"/>
      <c r="AB631" s="300"/>
      <c r="AC631" s="300"/>
      <c r="AD631" s="300"/>
      <c r="AE631" s="300"/>
    </row>
    <row r="632" spans="15:31">
      <c r="O632" s="300"/>
      <c r="P632" s="300"/>
      <c r="Q632" s="300"/>
      <c r="R632" s="300"/>
      <c r="S632" s="300"/>
      <c r="T632" s="300"/>
      <c r="U632" s="300"/>
      <c r="V632" s="300"/>
      <c r="W632" s="300"/>
      <c r="X632" s="300"/>
      <c r="Y632" s="300"/>
      <c r="Z632" s="300"/>
      <c r="AA632" s="300"/>
      <c r="AB632" s="300"/>
      <c r="AC632" s="300"/>
      <c r="AD632" s="300"/>
      <c r="AE632" s="300"/>
    </row>
    <row r="633" spans="15:31">
      <c r="O633" s="300"/>
      <c r="P633" s="300"/>
      <c r="Q633" s="300"/>
      <c r="R633" s="300"/>
      <c r="S633" s="300"/>
      <c r="T633" s="300"/>
      <c r="U633" s="300"/>
      <c r="V633" s="300"/>
      <c r="W633" s="300"/>
      <c r="X633" s="300"/>
      <c r="Y633" s="300"/>
      <c r="Z633" s="300"/>
      <c r="AA633" s="300"/>
      <c r="AB633" s="300"/>
      <c r="AC633" s="300"/>
      <c r="AD633" s="300"/>
      <c r="AE633" s="300"/>
    </row>
    <row r="634" spans="15:31">
      <c r="O634" s="300"/>
      <c r="P634" s="300"/>
      <c r="Q634" s="300"/>
      <c r="R634" s="300"/>
      <c r="S634" s="300"/>
      <c r="T634" s="300"/>
      <c r="U634" s="300"/>
      <c r="V634" s="300"/>
      <c r="W634" s="300"/>
      <c r="X634" s="300"/>
      <c r="Y634" s="300"/>
      <c r="Z634" s="300"/>
      <c r="AA634" s="300"/>
      <c r="AB634" s="300"/>
      <c r="AC634" s="300"/>
      <c r="AD634" s="300"/>
      <c r="AE634" s="300"/>
    </row>
    <row r="635" spans="15:31">
      <c r="O635" s="300"/>
      <c r="P635" s="300"/>
      <c r="Q635" s="300"/>
      <c r="R635" s="300"/>
      <c r="S635" s="300"/>
      <c r="T635" s="300"/>
      <c r="U635" s="300"/>
      <c r="V635" s="300"/>
      <c r="W635" s="300"/>
      <c r="X635" s="300"/>
      <c r="Y635" s="300"/>
      <c r="Z635" s="300"/>
      <c r="AA635" s="300"/>
      <c r="AB635" s="300"/>
      <c r="AC635" s="300"/>
      <c r="AD635" s="300"/>
      <c r="AE635" s="300"/>
    </row>
    <row r="636" spans="15:31">
      <c r="O636" s="300"/>
      <c r="P636" s="300"/>
      <c r="Q636" s="300"/>
      <c r="R636" s="300"/>
      <c r="S636" s="300"/>
      <c r="T636" s="300"/>
      <c r="U636" s="300"/>
      <c r="V636" s="300"/>
      <c r="W636" s="300"/>
      <c r="X636" s="300"/>
      <c r="Y636" s="300"/>
      <c r="Z636" s="300"/>
      <c r="AA636" s="300"/>
      <c r="AB636" s="300"/>
      <c r="AC636" s="300"/>
      <c r="AD636" s="300"/>
      <c r="AE636" s="300"/>
    </row>
    <row r="637" spans="15:31">
      <c r="O637" s="300"/>
      <c r="P637" s="300"/>
      <c r="Q637" s="300"/>
      <c r="R637" s="300"/>
      <c r="S637" s="300"/>
      <c r="T637" s="300"/>
      <c r="U637" s="300"/>
      <c r="V637" s="300"/>
      <c r="W637" s="300"/>
      <c r="X637" s="300"/>
      <c r="Y637" s="300"/>
      <c r="Z637" s="300"/>
      <c r="AA637" s="300"/>
      <c r="AB637" s="300"/>
      <c r="AC637" s="300"/>
      <c r="AD637" s="300"/>
      <c r="AE637" s="300"/>
    </row>
    <row r="638" spans="15:31">
      <c r="O638" s="300"/>
      <c r="P638" s="300"/>
      <c r="Q638" s="300"/>
      <c r="R638" s="300"/>
      <c r="S638" s="300"/>
      <c r="T638" s="300"/>
      <c r="U638" s="300"/>
      <c r="V638" s="300"/>
      <c r="W638" s="300"/>
      <c r="X638" s="300"/>
      <c r="Y638" s="300"/>
      <c r="Z638" s="300"/>
      <c r="AA638" s="300"/>
      <c r="AB638" s="300"/>
      <c r="AC638" s="300"/>
      <c r="AD638" s="300"/>
      <c r="AE638" s="300"/>
    </row>
    <row r="639" spans="15:31">
      <c r="O639" s="300"/>
      <c r="P639" s="300"/>
      <c r="Q639" s="300"/>
      <c r="R639" s="300"/>
      <c r="S639" s="300"/>
      <c r="T639" s="300"/>
      <c r="U639" s="300"/>
      <c r="V639" s="300"/>
      <c r="W639" s="300"/>
      <c r="X639" s="300"/>
      <c r="Y639" s="300"/>
      <c r="Z639" s="300"/>
      <c r="AA639" s="300"/>
      <c r="AB639" s="300"/>
      <c r="AC639" s="300"/>
      <c r="AD639" s="300"/>
      <c r="AE639" s="300"/>
    </row>
    <row r="640" spans="15:31">
      <c r="O640" s="300"/>
      <c r="P640" s="300"/>
      <c r="Q640" s="300"/>
      <c r="R640" s="300"/>
      <c r="S640" s="300"/>
      <c r="T640" s="300"/>
      <c r="U640" s="300"/>
      <c r="V640" s="300"/>
      <c r="W640" s="300"/>
      <c r="X640" s="300"/>
      <c r="Y640" s="300"/>
      <c r="Z640" s="300"/>
      <c r="AA640" s="300"/>
      <c r="AB640" s="300"/>
      <c r="AC640" s="300"/>
      <c r="AD640" s="300"/>
      <c r="AE640" s="300"/>
    </row>
    <row r="641" spans="15:31">
      <c r="O641" s="300"/>
      <c r="P641" s="300"/>
      <c r="Q641" s="300"/>
      <c r="R641" s="300"/>
      <c r="S641" s="300"/>
      <c r="T641" s="300"/>
      <c r="U641" s="300"/>
      <c r="V641" s="300"/>
      <c r="W641" s="300"/>
      <c r="X641" s="300"/>
      <c r="Y641" s="300"/>
      <c r="Z641" s="300"/>
      <c r="AA641" s="300"/>
      <c r="AB641" s="300"/>
      <c r="AC641" s="300"/>
      <c r="AD641" s="300"/>
      <c r="AE641" s="300"/>
    </row>
    <row r="642" spans="15:31">
      <c r="O642" s="300"/>
      <c r="P642" s="300"/>
      <c r="Q642" s="300"/>
      <c r="R642" s="300"/>
      <c r="S642" s="300"/>
      <c r="T642" s="300"/>
      <c r="U642" s="300"/>
      <c r="V642" s="300"/>
      <c r="W642" s="300"/>
      <c r="X642" s="300"/>
      <c r="Y642" s="300"/>
      <c r="Z642" s="300"/>
      <c r="AA642" s="300"/>
      <c r="AB642" s="300"/>
      <c r="AC642" s="300"/>
      <c r="AD642" s="300"/>
      <c r="AE642" s="300"/>
    </row>
    <row r="643" spans="15:31">
      <c r="O643" s="300"/>
      <c r="P643" s="300"/>
      <c r="Q643" s="300"/>
      <c r="R643" s="300"/>
      <c r="S643" s="300"/>
      <c r="T643" s="300"/>
      <c r="U643" s="300"/>
      <c r="V643" s="300"/>
      <c r="W643" s="300"/>
      <c r="X643" s="300"/>
      <c r="Y643" s="300"/>
      <c r="Z643" s="300"/>
      <c r="AA643" s="300"/>
      <c r="AB643" s="300"/>
      <c r="AC643" s="300"/>
      <c r="AD643" s="300"/>
      <c r="AE643" s="300"/>
    </row>
    <row r="644" spans="15:31">
      <c r="O644" s="300"/>
      <c r="P644" s="300"/>
      <c r="Q644" s="300"/>
      <c r="R644" s="300"/>
      <c r="S644" s="300"/>
      <c r="T644" s="300"/>
      <c r="U644" s="300"/>
      <c r="V644" s="300"/>
      <c r="W644" s="300"/>
      <c r="X644" s="300"/>
      <c r="Y644" s="300"/>
      <c r="Z644" s="300"/>
      <c r="AA644" s="300"/>
      <c r="AB644" s="300"/>
      <c r="AC644" s="300"/>
      <c r="AD644" s="300"/>
      <c r="AE644" s="300"/>
    </row>
    <row r="645" spans="15:31">
      <c r="O645" s="300"/>
      <c r="P645" s="300"/>
      <c r="Q645" s="300"/>
      <c r="R645" s="300"/>
      <c r="S645" s="300"/>
      <c r="T645" s="300"/>
      <c r="U645" s="300"/>
      <c r="V645" s="300"/>
      <c r="W645" s="300"/>
      <c r="X645" s="300"/>
      <c r="Y645" s="300"/>
      <c r="Z645" s="300"/>
      <c r="AA645" s="300"/>
      <c r="AB645" s="300"/>
      <c r="AC645" s="300"/>
      <c r="AD645" s="300"/>
      <c r="AE645" s="300"/>
    </row>
    <row r="646" spans="15:31">
      <c r="O646" s="300"/>
      <c r="P646" s="300"/>
      <c r="Q646" s="300"/>
      <c r="R646" s="300"/>
      <c r="S646" s="300"/>
      <c r="T646" s="300"/>
      <c r="U646" s="300"/>
      <c r="V646" s="300"/>
      <c r="W646" s="300"/>
      <c r="X646" s="300"/>
      <c r="Y646" s="300"/>
      <c r="Z646" s="300"/>
      <c r="AA646" s="300"/>
      <c r="AB646" s="300"/>
      <c r="AC646" s="300"/>
      <c r="AD646" s="300"/>
      <c r="AE646" s="300"/>
    </row>
    <row r="647" spans="15:31">
      <c r="O647" s="300"/>
      <c r="P647" s="300"/>
      <c r="Q647" s="300"/>
      <c r="R647" s="300"/>
      <c r="S647" s="300"/>
      <c r="T647" s="300"/>
      <c r="U647" s="300"/>
      <c r="V647" s="300"/>
      <c r="W647" s="300"/>
      <c r="X647" s="300"/>
      <c r="Y647" s="300"/>
      <c r="Z647" s="300"/>
      <c r="AA647" s="300"/>
      <c r="AB647" s="300"/>
      <c r="AC647" s="300"/>
      <c r="AD647" s="300"/>
      <c r="AE647" s="300"/>
    </row>
    <row r="648" spans="15:31">
      <c r="O648" s="300"/>
      <c r="P648" s="300"/>
      <c r="Q648" s="300"/>
      <c r="R648" s="300"/>
      <c r="S648" s="300"/>
      <c r="T648" s="300"/>
      <c r="U648" s="300"/>
      <c r="V648" s="300"/>
      <c r="W648" s="300"/>
      <c r="X648" s="300"/>
      <c r="Y648" s="300"/>
      <c r="Z648" s="300"/>
      <c r="AA648" s="300"/>
      <c r="AB648" s="300"/>
      <c r="AC648" s="300"/>
      <c r="AD648" s="300"/>
      <c r="AE648" s="300"/>
    </row>
    <row r="649" spans="15:31">
      <c r="O649" s="300"/>
      <c r="P649" s="300"/>
      <c r="Q649" s="300"/>
      <c r="R649" s="300"/>
      <c r="S649" s="300"/>
      <c r="T649" s="300"/>
      <c r="U649" s="300"/>
      <c r="V649" s="300"/>
      <c r="W649" s="300"/>
      <c r="X649" s="300"/>
      <c r="Y649" s="300"/>
      <c r="Z649" s="300"/>
      <c r="AA649" s="300"/>
      <c r="AB649" s="300"/>
      <c r="AC649" s="300"/>
      <c r="AD649" s="300"/>
      <c r="AE649" s="300"/>
    </row>
    <row r="650" spans="15:31">
      <c r="O650" s="300"/>
      <c r="P650" s="300"/>
      <c r="Q650" s="300"/>
      <c r="R650" s="300"/>
      <c r="S650" s="300"/>
      <c r="T650" s="300"/>
      <c r="U650" s="300"/>
      <c r="V650" s="300"/>
      <c r="W650" s="300"/>
      <c r="X650" s="300"/>
      <c r="Y650" s="300"/>
      <c r="Z650" s="300"/>
      <c r="AA650" s="300"/>
      <c r="AB650" s="300"/>
      <c r="AC650" s="300"/>
      <c r="AD650" s="300"/>
      <c r="AE650" s="300"/>
    </row>
    <row r="651" spans="15:31">
      <c r="O651" s="300"/>
      <c r="P651" s="300"/>
      <c r="Q651" s="300"/>
      <c r="R651" s="300"/>
      <c r="S651" s="300"/>
      <c r="T651" s="300"/>
      <c r="U651" s="300"/>
      <c r="V651" s="300"/>
      <c r="W651" s="300"/>
      <c r="X651" s="300"/>
      <c r="Y651" s="300"/>
      <c r="Z651" s="300"/>
      <c r="AA651" s="300"/>
      <c r="AB651" s="300"/>
      <c r="AC651" s="300"/>
      <c r="AD651" s="300"/>
      <c r="AE651" s="300"/>
    </row>
    <row r="652" spans="15:31">
      <c r="O652" s="300"/>
      <c r="P652" s="300"/>
      <c r="Q652" s="300"/>
      <c r="R652" s="300"/>
      <c r="S652" s="300"/>
      <c r="T652" s="300"/>
      <c r="U652" s="300"/>
      <c r="V652" s="300"/>
      <c r="W652" s="300"/>
      <c r="X652" s="300"/>
      <c r="Y652" s="300"/>
      <c r="Z652" s="300"/>
      <c r="AA652" s="300"/>
      <c r="AB652" s="300"/>
      <c r="AC652" s="300"/>
      <c r="AD652" s="300"/>
      <c r="AE652" s="300"/>
    </row>
    <row r="653" spans="15:31">
      <c r="O653" s="300"/>
      <c r="P653" s="300"/>
      <c r="Q653" s="300"/>
      <c r="R653" s="300"/>
      <c r="S653" s="300"/>
      <c r="T653" s="300"/>
      <c r="U653" s="300"/>
      <c r="V653" s="300"/>
      <c r="W653" s="300"/>
      <c r="X653" s="300"/>
      <c r="Y653" s="300"/>
      <c r="Z653" s="300"/>
      <c r="AA653" s="300"/>
      <c r="AB653" s="300"/>
      <c r="AC653" s="300"/>
      <c r="AD653" s="300"/>
      <c r="AE653" s="300"/>
    </row>
    <row r="654" spans="15:31">
      <c r="O654" s="300"/>
      <c r="P654" s="300"/>
      <c r="Q654" s="300"/>
      <c r="R654" s="300"/>
      <c r="S654" s="300"/>
      <c r="T654" s="300"/>
      <c r="U654" s="300"/>
      <c r="V654" s="300"/>
      <c r="W654" s="300"/>
      <c r="X654" s="300"/>
      <c r="Y654" s="300"/>
      <c r="Z654" s="300"/>
      <c r="AA654" s="300"/>
      <c r="AB654" s="300"/>
      <c r="AC654" s="300"/>
      <c r="AD654" s="300"/>
      <c r="AE654" s="300"/>
    </row>
    <row r="655" spans="15:31">
      <c r="O655" s="300"/>
      <c r="P655" s="300"/>
      <c r="Q655" s="300"/>
      <c r="R655" s="300"/>
      <c r="S655" s="300"/>
      <c r="T655" s="300"/>
      <c r="U655" s="300"/>
      <c r="V655" s="300"/>
      <c r="W655" s="300"/>
      <c r="X655" s="300"/>
      <c r="Y655" s="300"/>
      <c r="Z655" s="300"/>
      <c r="AA655" s="300"/>
      <c r="AB655" s="300"/>
      <c r="AC655" s="300"/>
      <c r="AD655" s="300"/>
      <c r="AE655" s="300"/>
    </row>
    <row r="656" spans="15:31">
      <c r="O656" s="300"/>
      <c r="P656" s="300"/>
      <c r="Q656" s="300"/>
      <c r="R656" s="300"/>
      <c r="S656" s="300"/>
      <c r="T656" s="300"/>
      <c r="U656" s="300"/>
      <c r="V656" s="300"/>
      <c r="W656" s="300"/>
      <c r="X656" s="300"/>
      <c r="Y656" s="300"/>
      <c r="Z656" s="300"/>
      <c r="AA656" s="300"/>
      <c r="AB656" s="300"/>
      <c r="AC656" s="300"/>
      <c r="AD656" s="300"/>
      <c r="AE656" s="300"/>
    </row>
    <row r="657" spans="15:31">
      <c r="O657" s="300"/>
      <c r="P657" s="300"/>
      <c r="Q657" s="300"/>
      <c r="R657" s="300"/>
      <c r="S657" s="300"/>
      <c r="T657" s="300"/>
      <c r="U657" s="300"/>
      <c r="V657" s="300"/>
      <c r="W657" s="300"/>
      <c r="X657" s="300"/>
      <c r="Y657" s="300"/>
      <c r="Z657" s="300"/>
      <c r="AA657" s="300"/>
      <c r="AB657" s="300"/>
      <c r="AC657" s="300"/>
      <c r="AD657" s="300"/>
      <c r="AE657" s="300"/>
    </row>
    <row r="658" spans="15:31">
      <c r="O658" s="300"/>
      <c r="P658" s="300"/>
      <c r="Q658" s="300"/>
      <c r="R658" s="300"/>
      <c r="S658" s="300"/>
      <c r="T658" s="300"/>
      <c r="U658" s="300"/>
      <c r="V658" s="300"/>
      <c r="W658" s="300"/>
      <c r="X658" s="300"/>
      <c r="Y658" s="300"/>
      <c r="Z658" s="300"/>
      <c r="AA658" s="300"/>
      <c r="AB658" s="300"/>
      <c r="AC658" s="300"/>
      <c r="AD658" s="300"/>
      <c r="AE658" s="300"/>
    </row>
    <row r="659" spans="15:31">
      <c r="O659" s="300"/>
      <c r="P659" s="300"/>
      <c r="Q659" s="300"/>
      <c r="R659" s="300"/>
      <c r="S659" s="300"/>
      <c r="T659" s="300"/>
      <c r="U659" s="300"/>
      <c r="V659" s="300"/>
      <c r="W659" s="300"/>
      <c r="X659" s="300"/>
      <c r="Y659" s="300"/>
      <c r="Z659" s="300"/>
      <c r="AA659" s="300"/>
      <c r="AB659" s="300"/>
      <c r="AC659" s="300"/>
      <c r="AD659" s="300"/>
      <c r="AE659" s="300"/>
    </row>
    <row r="660" spans="15:31">
      <c r="O660" s="300"/>
      <c r="P660" s="300"/>
      <c r="Q660" s="300"/>
      <c r="R660" s="300"/>
      <c r="S660" s="300"/>
      <c r="T660" s="300"/>
      <c r="U660" s="300"/>
      <c r="V660" s="300"/>
      <c r="W660" s="300"/>
      <c r="X660" s="300"/>
      <c r="Y660" s="300"/>
      <c r="Z660" s="300"/>
      <c r="AA660" s="300"/>
      <c r="AB660" s="300"/>
      <c r="AC660" s="300"/>
      <c r="AD660" s="300"/>
      <c r="AE660" s="300"/>
    </row>
    <row r="661" spans="15:31">
      <c r="O661" s="300"/>
      <c r="P661" s="300"/>
      <c r="Q661" s="300"/>
      <c r="R661" s="300"/>
      <c r="S661" s="300"/>
      <c r="T661" s="300"/>
      <c r="U661" s="300"/>
      <c r="V661" s="300"/>
      <c r="W661" s="300"/>
      <c r="X661" s="300"/>
      <c r="Y661" s="300"/>
      <c r="Z661" s="300"/>
      <c r="AA661" s="300"/>
      <c r="AB661" s="300"/>
      <c r="AC661" s="300"/>
      <c r="AD661" s="300"/>
      <c r="AE661" s="300"/>
    </row>
    <row r="662" spans="15:31">
      <c r="O662" s="300"/>
      <c r="P662" s="300"/>
      <c r="Q662" s="300"/>
      <c r="R662" s="300"/>
      <c r="S662" s="300"/>
      <c r="T662" s="300"/>
      <c r="U662" s="300"/>
      <c r="V662" s="300"/>
      <c r="W662" s="300"/>
      <c r="X662" s="300"/>
      <c r="Y662" s="300"/>
      <c r="Z662" s="300"/>
      <c r="AA662" s="300"/>
      <c r="AB662" s="300"/>
      <c r="AC662" s="300"/>
      <c r="AD662" s="300"/>
      <c r="AE662" s="300"/>
    </row>
    <row r="663" spans="15:31">
      <c r="O663" s="300"/>
      <c r="P663" s="300"/>
      <c r="Q663" s="300"/>
      <c r="R663" s="300"/>
      <c r="S663" s="300"/>
      <c r="T663" s="300"/>
      <c r="U663" s="300"/>
      <c r="V663" s="300"/>
      <c r="W663" s="300"/>
      <c r="X663" s="300"/>
      <c r="Y663" s="300"/>
      <c r="Z663" s="300"/>
      <c r="AA663" s="300"/>
      <c r="AB663" s="300"/>
      <c r="AC663" s="300"/>
      <c r="AD663" s="300"/>
      <c r="AE663" s="300"/>
    </row>
    <row r="664" spans="15:31">
      <c r="O664" s="300"/>
      <c r="P664" s="300"/>
      <c r="Q664" s="300"/>
      <c r="R664" s="300"/>
      <c r="S664" s="300"/>
      <c r="T664" s="300"/>
      <c r="U664" s="300"/>
      <c r="V664" s="300"/>
      <c r="W664" s="300"/>
      <c r="X664" s="300"/>
      <c r="Y664" s="300"/>
      <c r="Z664" s="300"/>
      <c r="AA664" s="300"/>
      <c r="AB664" s="300"/>
      <c r="AC664" s="300"/>
      <c r="AD664" s="300"/>
      <c r="AE664" s="300"/>
    </row>
    <row r="665" spans="15:31">
      <c r="O665" s="300"/>
      <c r="P665" s="300"/>
      <c r="Q665" s="300"/>
      <c r="R665" s="300"/>
      <c r="S665" s="300"/>
      <c r="T665" s="300"/>
      <c r="U665" s="300"/>
      <c r="V665" s="300"/>
      <c r="W665" s="300"/>
      <c r="X665" s="300"/>
      <c r="Y665" s="300"/>
      <c r="Z665" s="300"/>
      <c r="AA665" s="300"/>
      <c r="AB665" s="300"/>
      <c r="AC665" s="300"/>
      <c r="AD665" s="300"/>
      <c r="AE665" s="300"/>
    </row>
    <row r="666" spans="15:31">
      <c r="O666" s="300"/>
      <c r="P666" s="300"/>
      <c r="Q666" s="300"/>
      <c r="R666" s="300"/>
      <c r="S666" s="300"/>
      <c r="T666" s="300"/>
      <c r="U666" s="300"/>
      <c r="V666" s="300"/>
      <c r="W666" s="300"/>
      <c r="X666" s="300"/>
      <c r="Y666" s="300"/>
      <c r="Z666" s="300"/>
      <c r="AA666" s="300"/>
      <c r="AB666" s="300"/>
      <c r="AC666" s="300"/>
      <c r="AD666" s="300"/>
      <c r="AE666" s="300"/>
    </row>
    <row r="667" spans="15:31">
      <c r="O667" s="300"/>
      <c r="P667" s="300"/>
      <c r="Q667" s="300"/>
      <c r="R667" s="300"/>
      <c r="S667" s="300"/>
      <c r="T667" s="300"/>
      <c r="U667" s="300"/>
      <c r="V667" s="300"/>
      <c r="W667" s="300"/>
      <c r="X667" s="300"/>
      <c r="Y667" s="300"/>
      <c r="Z667" s="300"/>
      <c r="AA667" s="300"/>
      <c r="AB667" s="300"/>
      <c r="AC667" s="300"/>
      <c r="AD667" s="300"/>
      <c r="AE667" s="300"/>
    </row>
    <row r="668" spans="15:31">
      <c r="O668" s="300"/>
      <c r="P668" s="300"/>
      <c r="Q668" s="300"/>
      <c r="R668" s="300"/>
      <c r="S668" s="300"/>
      <c r="T668" s="300"/>
      <c r="U668" s="300"/>
      <c r="V668" s="300"/>
      <c r="W668" s="300"/>
      <c r="X668" s="300"/>
      <c r="Y668" s="300"/>
      <c r="Z668" s="300"/>
      <c r="AA668" s="300"/>
      <c r="AB668" s="300"/>
      <c r="AC668" s="300"/>
      <c r="AD668" s="300"/>
      <c r="AE668" s="300"/>
    </row>
    <row r="669" spans="15:31">
      <c r="O669" s="300"/>
      <c r="P669" s="300"/>
      <c r="Q669" s="300"/>
      <c r="R669" s="300"/>
      <c r="S669" s="300"/>
      <c r="T669" s="300"/>
      <c r="U669" s="300"/>
      <c r="V669" s="300"/>
      <c r="W669" s="300"/>
      <c r="X669" s="300"/>
      <c r="Y669" s="300"/>
      <c r="Z669" s="300"/>
      <c r="AA669" s="300"/>
      <c r="AB669" s="300"/>
      <c r="AC669" s="300"/>
      <c r="AD669" s="300"/>
      <c r="AE669" s="300"/>
    </row>
    <row r="670" spans="15:31">
      <c r="O670" s="300"/>
      <c r="P670" s="300"/>
      <c r="Q670" s="300"/>
      <c r="R670" s="300"/>
      <c r="S670" s="300"/>
      <c r="T670" s="300"/>
      <c r="U670" s="300"/>
      <c r="V670" s="300"/>
      <c r="W670" s="300"/>
      <c r="X670" s="300"/>
      <c r="Y670" s="300"/>
      <c r="Z670" s="300"/>
      <c r="AA670" s="300"/>
      <c r="AB670" s="300"/>
      <c r="AC670" s="300"/>
      <c r="AD670" s="300"/>
      <c r="AE670" s="300"/>
    </row>
    <row r="671" spans="15:31">
      <c r="O671" s="300"/>
      <c r="P671" s="300"/>
      <c r="Q671" s="300"/>
      <c r="R671" s="300"/>
      <c r="S671" s="300"/>
      <c r="T671" s="300"/>
      <c r="U671" s="300"/>
      <c r="V671" s="300"/>
      <c r="W671" s="300"/>
      <c r="X671" s="300"/>
      <c r="Y671" s="300"/>
      <c r="Z671" s="300"/>
      <c r="AA671" s="300"/>
      <c r="AB671" s="300"/>
      <c r="AC671" s="300"/>
      <c r="AD671" s="300"/>
      <c r="AE671" s="300"/>
    </row>
    <row r="672" spans="15:31">
      <c r="O672" s="300"/>
      <c r="P672" s="300"/>
      <c r="Q672" s="300"/>
      <c r="R672" s="300"/>
      <c r="S672" s="300"/>
      <c r="T672" s="300"/>
      <c r="U672" s="300"/>
      <c r="V672" s="300"/>
      <c r="W672" s="300"/>
      <c r="X672" s="300"/>
      <c r="Y672" s="300"/>
      <c r="Z672" s="300"/>
      <c r="AA672" s="300"/>
      <c r="AB672" s="300"/>
      <c r="AC672" s="300"/>
      <c r="AD672" s="300"/>
      <c r="AE672" s="300"/>
    </row>
    <row r="673" spans="15:31">
      <c r="O673" s="300"/>
      <c r="P673" s="300"/>
      <c r="Q673" s="300"/>
      <c r="R673" s="300"/>
      <c r="S673" s="300"/>
      <c r="T673" s="300"/>
      <c r="U673" s="300"/>
      <c r="V673" s="300"/>
      <c r="W673" s="300"/>
      <c r="X673" s="300"/>
      <c r="Y673" s="300"/>
      <c r="Z673" s="300"/>
      <c r="AA673" s="300"/>
      <c r="AB673" s="300"/>
      <c r="AC673" s="300"/>
      <c r="AD673" s="300"/>
      <c r="AE673" s="300"/>
    </row>
    <row r="674" spans="15:31">
      <c r="O674" s="300"/>
      <c r="P674" s="300"/>
      <c r="Q674" s="300"/>
      <c r="R674" s="300"/>
      <c r="S674" s="300"/>
      <c r="T674" s="300"/>
      <c r="U674" s="300"/>
      <c r="V674" s="300"/>
      <c r="W674" s="300"/>
      <c r="X674" s="300"/>
      <c r="Y674" s="300"/>
      <c r="Z674" s="300"/>
      <c r="AA674" s="300"/>
      <c r="AB674" s="300"/>
      <c r="AC674" s="300"/>
      <c r="AD674" s="300"/>
      <c r="AE674" s="300"/>
    </row>
    <row r="675" spans="15:31">
      <c r="O675" s="300"/>
      <c r="P675" s="300"/>
      <c r="Q675" s="300"/>
      <c r="R675" s="300"/>
      <c r="S675" s="300"/>
      <c r="T675" s="300"/>
      <c r="U675" s="300"/>
      <c r="V675" s="300"/>
      <c r="W675" s="300"/>
      <c r="X675" s="300"/>
      <c r="Y675" s="300"/>
      <c r="Z675" s="300"/>
      <c r="AA675" s="300"/>
      <c r="AB675" s="300"/>
      <c r="AC675" s="300"/>
      <c r="AD675" s="300"/>
      <c r="AE675" s="300"/>
    </row>
    <row r="676" spans="15:31">
      <c r="O676" s="300"/>
      <c r="P676" s="300"/>
      <c r="Q676" s="300"/>
      <c r="R676" s="300"/>
      <c r="S676" s="300"/>
      <c r="T676" s="300"/>
      <c r="U676" s="300"/>
      <c r="V676" s="300"/>
      <c r="W676" s="300"/>
      <c r="X676" s="300"/>
      <c r="Y676" s="300"/>
      <c r="Z676" s="300"/>
      <c r="AA676" s="300"/>
      <c r="AB676" s="300"/>
      <c r="AC676" s="300"/>
      <c r="AD676" s="300"/>
      <c r="AE676" s="300"/>
    </row>
    <row r="677" spans="15:31">
      <c r="O677" s="300"/>
      <c r="P677" s="300"/>
      <c r="Q677" s="300"/>
      <c r="R677" s="300"/>
      <c r="S677" s="300"/>
      <c r="T677" s="300"/>
      <c r="U677" s="300"/>
      <c r="V677" s="300"/>
      <c r="W677" s="300"/>
      <c r="X677" s="300"/>
      <c r="Y677" s="300"/>
      <c r="Z677" s="300"/>
      <c r="AA677" s="300"/>
      <c r="AB677" s="300"/>
      <c r="AC677" s="300"/>
      <c r="AD677" s="300"/>
      <c r="AE677" s="300"/>
    </row>
    <row r="678" spans="15:31">
      <c r="O678" s="300"/>
      <c r="P678" s="300"/>
      <c r="Q678" s="300"/>
      <c r="R678" s="300"/>
      <c r="S678" s="300"/>
      <c r="T678" s="300"/>
      <c r="U678" s="300"/>
      <c r="V678" s="300"/>
      <c r="W678" s="300"/>
      <c r="X678" s="300"/>
      <c r="Y678" s="300"/>
      <c r="Z678" s="300"/>
      <c r="AA678" s="300"/>
      <c r="AB678" s="300"/>
      <c r="AC678" s="300"/>
      <c r="AD678" s="300"/>
      <c r="AE678" s="300"/>
    </row>
    <row r="679" spans="15:31">
      <c r="O679" s="300"/>
      <c r="P679" s="300"/>
      <c r="Q679" s="300"/>
      <c r="R679" s="300"/>
      <c r="S679" s="300"/>
      <c r="T679" s="300"/>
      <c r="U679" s="300"/>
      <c r="V679" s="300"/>
      <c r="W679" s="300"/>
      <c r="X679" s="300"/>
      <c r="Y679" s="300"/>
      <c r="Z679" s="300"/>
      <c r="AA679" s="300"/>
      <c r="AB679" s="300"/>
      <c r="AC679" s="300"/>
      <c r="AD679" s="300"/>
      <c r="AE679" s="300"/>
    </row>
    <row r="680" spans="15:31">
      <c r="O680" s="300"/>
      <c r="P680" s="300"/>
      <c r="Q680" s="300"/>
      <c r="R680" s="300"/>
      <c r="S680" s="300"/>
      <c r="T680" s="300"/>
      <c r="U680" s="300"/>
      <c r="V680" s="300"/>
      <c r="W680" s="300"/>
      <c r="X680" s="300"/>
      <c r="Y680" s="300"/>
      <c r="Z680" s="300"/>
      <c r="AA680" s="300"/>
      <c r="AB680" s="300"/>
      <c r="AC680" s="300"/>
      <c r="AD680" s="300"/>
      <c r="AE680" s="300"/>
    </row>
    <row r="681" spans="15:31">
      <c r="O681" s="300"/>
      <c r="P681" s="300"/>
      <c r="Q681" s="300"/>
      <c r="R681" s="300"/>
      <c r="S681" s="300"/>
      <c r="T681" s="300"/>
      <c r="U681" s="300"/>
      <c r="V681" s="300"/>
      <c r="W681" s="300"/>
      <c r="X681" s="300"/>
      <c r="Y681" s="300"/>
      <c r="Z681" s="300"/>
      <c r="AA681" s="300"/>
      <c r="AB681" s="300"/>
      <c r="AC681" s="300"/>
      <c r="AD681" s="300"/>
      <c r="AE681" s="300"/>
    </row>
    <row r="682" spans="15:31">
      <c r="O682" s="300"/>
      <c r="P682" s="300"/>
      <c r="Q682" s="300"/>
      <c r="R682" s="300"/>
      <c r="S682" s="300"/>
      <c r="T682" s="300"/>
      <c r="U682" s="300"/>
      <c r="V682" s="300"/>
      <c r="W682" s="300"/>
      <c r="X682" s="300"/>
      <c r="Y682" s="300"/>
      <c r="Z682" s="300"/>
      <c r="AA682" s="300"/>
      <c r="AB682" s="300"/>
      <c r="AC682" s="300"/>
      <c r="AD682" s="300"/>
      <c r="AE682" s="300"/>
    </row>
    <row r="683" spans="15:31">
      <c r="O683" s="300"/>
      <c r="P683" s="300"/>
      <c r="Q683" s="300"/>
      <c r="R683" s="300"/>
      <c r="S683" s="300"/>
      <c r="T683" s="300"/>
      <c r="U683" s="300"/>
      <c r="V683" s="300"/>
      <c r="W683" s="300"/>
      <c r="X683" s="300"/>
      <c r="Y683" s="300"/>
      <c r="Z683" s="300"/>
      <c r="AA683" s="300"/>
      <c r="AB683" s="300"/>
      <c r="AC683" s="300"/>
      <c r="AD683" s="300"/>
      <c r="AE683" s="300"/>
    </row>
    <row r="684" spans="15:31">
      <c r="O684" s="300"/>
      <c r="P684" s="300"/>
      <c r="Q684" s="300"/>
      <c r="R684" s="300"/>
      <c r="S684" s="300"/>
      <c r="T684" s="300"/>
      <c r="U684" s="300"/>
      <c r="V684" s="300"/>
      <c r="W684" s="300"/>
      <c r="X684" s="300"/>
      <c r="Y684" s="300"/>
      <c r="Z684" s="300"/>
      <c r="AA684" s="300"/>
      <c r="AB684" s="300"/>
      <c r="AC684" s="300"/>
      <c r="AD684" s="300"/>
      <c r="AE684" s="300"/>
    </row>
    <row r="685" spans="15:31">
      <c r="O685" s="300"/>
      <c r="P685" s="300"/>
      <c r="Q685" s="300"/>
      <c r="R685" s="300"/>
      <c r="S685" s="300"/>
      <c r="T685" s="300"/>
      <c r="U685" s="300"/>
      <c r="V685" s="300"/>
      <c r="W685" s="300"/>
      <c r="X685" s="300"/>
      <c r="Y685" s="300"/>
      <c r="Z685" s="300"/>
      <c r="AA685" s="300"/>
      <c r="AB685" s="300"/>
      <c r="AC685" s="300"/>
      <c r="AD685" s="300"/>
      <c r="AE685" s="300"/>
    </row>
    <row r="686" spans="15:31">
      <c r="O686" s="300"/>
      <c r="P686" s="300"/>
      <c r="Q686" s="300"/>
      <c r="R686" s="300"/>
      <c r="S686" s="300"/>
      <c r="T686" s="300"/>
      <c r="U686" s="300"/>
      <c r="V686" s="300"/>
      <c r="W686" s="300"/>
      <c r="X686" s="300"/>
      <c r="Y686" s="300"/>
      <c r="Z686" s="300"/>
      <c r="AA686" s="300"/>
      <c r="AB686" s="300"/>
      <c r="AC686" s="300"/>
      <c r="AD686" s="300"/>
      <c r="AE686" s="300"/>
    </row>
    <row r="687" spans="15:31">
      <c r="O687" s="300"/>
      <c r="P687" s="300"/>
      <c r="Q687" s="300"/>
      <c r="R687" s="300"/>
      <c r="S687" s="300"/>
      <c r="T687" s="300"/>
      <c r="U687" s="300"/>
      <c r="V687" s="300"/>
      <c r="W687" s="300"/>
      <c r="X687" s="300"/>
      <c r="Y687" s="300"/>
      <c r="Z687" s="300"/>
      <c r="AA687" s="300"/>
      <c r="AB687" s="300"/>
      <c r="AC687" s="300"/>
      <c r="AD687" s="300"/>
      <c r="AE687" s="300"/>
    </row>
    <row r="688" spans="15:31">
      <c r="O688" s="300"/>
      <c r="P688" s="300"/>
      <c r="Q688" s="300"/>
      <c r="R688" s="300"/>
      <c r="S688" s="300"/>
      <c r="T688" s="300"/>
      <c r="U688" s="300"/>
      <c r="V688" s="300"/>
      <c r="W688" s="300"/>
      <c r="X688" s="300"/>
      <c r="Y688" s="300"/>
      <c r="Z688" s="300"/>
      <c r="AA688" s="300"/>
      <c r="AB688" s="300"/>
      <c r="AC688" s="300"/>
      <c r="AD688" s="300"/>
      <c r="AE688" s="300"/>
    </row>
    <row r="689" spans="15:31">
      <c r="O689" s="300"/>
      <c r="P689" s="300"/>
      <c r="Q689" s="300"/>
      <c r="R689" s="300"/>
      <c r="S689" s="300"/>
      <c r="T689" s="300"/>
      <c r="U689" s="300"/>
      <c r="V689" s="300"/>
      <c r="W689" s="300"/>
      <c r="X689" s="300"/>
      <c r="Y689" s="300"/>
      <c r="Z689" s="300"/>
      <c r="AA689" s="300"/>
      <c r="AB689" s="300"/>
      <c r="AC689" s="300"/>
      <c r="AD689" s="300"/>
      <c r="AE689" s="300"/>
    </row>
    <row r="690" spans="15:31">
      <c r="O690" s="300"/>
      <c r="P690" s="300"/>
      <c r="Q690" s="300"/>
      <c r="R690" s="300"/>
      <c r="S690" s="300"/>
      <c r="T690" s="300"/>
      <c r="U690" s="300"/>
      <c r="V690" s="300"/>
      <c r="W690" s="300"/>
      <c r="X690" s="300"/>
      <c r="Y690" s="300"/>
      <c r="Z690" s="300"/>
      <c r="AA690" s="300"/>
      <c r="AB690" s="300"/>
      <c r="AC690" s="300"/>
      <c r="AD690" s="300"/>
      <c r="AE690" s="300"/>
    </row>
    <row r="691" spans="15:31">
      <c r="O691" s="300"/>
      <c r="P691" s="300"/>
      <c r="Q691" s="300"/>
      <c r="R691" s="300"/>
      <c r="S691" s="300"/>
      <c r="T691" s="300"/>
      <c r="U691" s="300"/>
      <c r="V691" s="300"/>
      <c r="W691" s="300"/>
      <c r="X691" s="300"/>
      <c r="Y691" s="300"/>
      <c r="Z691" s="300"/>
      <c r="AA691" s="300"/>
      <c r="AB691" s="300"/>
      <c r="AC691" s="300"/>
      <c r="AD691" s="300"/>
      <c r="AE691" s="300"/>
    </row>
    <row r="692" spans="15:31">
      <c r="O692" s="300"/>
      <c r="P692" s="300"/>
      <c r="Q692" s="300"/>
      <c r="R692" s="300"/>
      <c r="S692" s="300"/>
      <c r="T692" s="300"/>
      <c r="U692" s="300"/>
      <c r="V692" s="300"/>
      <c r="W692" s="300"/>
      <c r="X692" s="300"/>
      <c r="Y692" s="300"/>
      <c r="Z692" s="300"/>
      <c r="AA692" s="300"/>
      <c r="AB692" s="300"/>
      <c r="AC692" s="300"/>
      <c r="AD692" s="300"/>
      <c r="AE692" s="300"/>
    </row>
    <row r="693" spans="15:31">
      <c r="O693" s="300"/>
      <c r="P693" s="300"/>
      <c r="Q693" s="300"/>
      <c r="R693" s="300"/>
      <c r="S693" s="300"/>
      <c r="T693" s="300"/>
      <c r="U693" s="300"/>
      <c r="V693" s="300"/>
      <c r="W693" s="300"/>
      <c r="X693" s="300"/>
      <c r="Y693" s="300"/>
      <c r="Z693" s="300"/>
      <c r="AA693" s="300"/>
      <c r="AB693" s="300"/>
      <c r="AC693" s="300"/>
      <c r="AD693" s="300"/>
      <c r="AE693" s="300"/>
    </row>
    <row r="694" spans="15:31">
      <c r="O694" s="300"/>
      <c r="P694" s="300"/>
      <c r="Q694" s="300"/>
      <c r="R694" s="300"/>
      <c r="S694" s="300"/>
      <c r="T694" s="300"/>
      <c r="U694" s="300"/>
      <c r="V694" s="300"/>
      <c r="W694" s="300"/>
      <c r="X694" s="300"/>
      <c r="Y694" s="300"/>
      <c r="Z694" s="300"/>
      <c r="AA694" s="300"/>
      <c r="AB694" s="300"/>
      <c r="AC694" s="300"/>
      <c r="AD694" s="300"/>
      <c r="AE694" s="300"/>
    </row>
    <row r="695" spans="15:31">
      <c r="O695" s="300"/>
      <c r="P695" s="300"/>
      <c r="Q695" s="300"/>
      <c r="R695" s="300"/>
      <c r="S695" s="300"/>
      <c r="T695" s="300"/>
      <c r="U695" s="300"/>
      <c r="V695" s="300"/>
      <c r="W695" s="300"/>
      <c r="X695" s="300"/>
      <c r="Y695" s="300"/>
      <c r="Z695" s="300"/>
      <c r="AA695" s="300"/>
      <c r="AB695" s="300"/>
      <c r="AC695" s="300"/>
      <c r="AD695" s="300"/>
      <c r="AE695" s="300"/>
    </row>
    <row r="696" spans="15:31">
      <c r="O696" s="300"/>
      <c r="P696" s="300"/>
      <c r="Q696" s="300"/>
      <c r="R696" s="300"/>
      <c r="S696" s="300"/>
      <c r="T696" s="300"/>
      <c r="U696" s="300"/>
      <c r="V696" s="300"/>
      <c r="W696" s="300"/>
      <c r="X696" s="300"/>
      <c r="Y696" s="300"/>
      <c r="Z696" s="300"/>
      <c r="AA696" s="300"/>
      <c r="AB696" s="300"/>
      <c r="AC696" s="300"/>
      <c r="AD696" s="300"/>
      <c r="AE696" s="300"/>
    </row>
    <row r="697" spans="15:31">
      <c r="O697" s="300"/>
      <c r="P697" s="300"/>
      <c r="Q697" s="300"/>
      <c r="R697" s="300"/>
      <c r="S697" s="300"/>
      <c r="T697" s="300"/>
      <c r="U697" s="300"/>
      <c r="V697" s="300"/>
      <c r="W697" s="300"/>
      <c r="X697" s="300"/>
      <c r="Y697" s="300"/>
      <c r="Z697" s="300"/>
      <c r="AA697" s="300"/>
      <c r="AB697" s="300"/>
      <c r="AC697" s="300"/>
      <c r="AD697" s="300"/>
      <c r="AE697" s="300"/>
    </row>
    <row r="698" spans="15:31">
      <c r="O698" s="300"/>
      <c r="P698" s="300"/>
      <c r="Q698" s="300"/>
      <c r="R698" s="300"/>
      <c r="S698" s="300"/>
      <c r="T698" s="300"/>
      <c r="U698" s="300"/>
      <c r="V698" s="300"/>
      <c r="W698" s="300"/>
      <c r="X698" s="300"/>
      <c r="Y698" s="300"/>
      <c r="Z698" s="300"/>
      <c r="AA698" s="300"/>
      <c r="AB698" s="300"/>
      <c r="AC698" s="300"/>
      <c r="AD698" s="300"/>
      <c r="AE698" s="300"/>
    </row>
    <row r="699" spans="15:31">
      <c r="O699" s="300"/>
      <c r="P699" s="300"/>
      <c r="Q699" s="300"/>
      <c r="R699" s="300"/>
      <c r="S699" s="300"/>
      <c r="T699" s="300"/>
      <c r="U699" s="300"/>
      <c r="V699" s="300"/>
      <c r="W699" s="300"/>
      <c r="X699" s="300"/>
      <c r="Y699" s="300"/>
      <c r="Z699" s="300"/>
      <c r="AA699" s="300"/>
      <c r="AB699" s="300"/>
      <c r="AC699" s="300"/>
      <c r="AD699" s="300"/>
      <c r="AE699" s="300"/>
    </row>
    <row r="700" spans="15:31">
      <c r="O700" s="300"/>
      <c r="P700" s="300"/>
      <c r="Q700" s="300"/>
      <c r="R700" s="300"/>
      <c r="S700" s="300"/>
      <c r="T700" s="300"/>
      <c r="U700" s="300"/>
      <c r="V700" s="300"/>
      <c r="W700" s="300"/>
      <c r="X700" s="300"/>
      <c r="Y700" s="300"/>
      <c r="Z700" s="300"/>
      <c r="AA700" s="300"/>
      <c r="AB700" s="300"/>
      <c r="AC700" s="300"/>
      <c r="AD700" s="300"/>
      <c r="AE700" s="300"/>
    </row>
    <row r="701" spans="15:31">
      <c r="O701" s="300"/>
      <c r="P701" s="300"/>
      <c r="Q701" s="300"/>
      <c r="R701" s="300"/>
      <c r="S701" s="300"/>
      <c r="T701" s="300"/>
      <c r="U701" s="300"/>
      <c r="V701" s="300"/>
      <c r="W701" s="300"/>
      <c r="X701" s="300"/>
      <c r="Y701" s="300"/>
      <c r="Z701" s="300"/>
      <c r="AA701" s="300"/>
      <c r="AB701" s="300"/>
      <c r="AC701" s="300"/>
      <c r="AD701" s="300"/>
      <c r="AE701" s="300"/>
    </row>
    <row r="702" spans="15:31">
      <c r="O702" s="300"/>
      <c r="P702" s="300"/>
      <c r="Q702" s="300"/>
      <c r="R702" s="300"/>
      <c r="S702" s="300"/>
      <c r="T702" s="300"/>
      <c r="U702" s="300"/>
      <c r="V702" s="300"/>
      <c r="W702" s="300"/>
      <c r="X702" s="300"/>
      <c r="Y702" s="300"/>
      <c r="Z702" s="300"/>
      <c r="AA702" s="300"/>
      <c r="AB702" s="300"/>
      <c r="AC702" s="300"/>
      <c r="AD702" s="300"/>
      <c r="AE702" s="300"/>
    </row>
    <row r="703" spans="15:31">
      <c r="O703" s="300"/>
      <c r="P703" s="300"/>
      <c r="Q703" s="300"/>
      <c r="R703" s="300"/>
      <c r="S703" s="300"/>
      <c r="T703" s="300"/>
      <c r="U703" s="300"/>
      <c r="V703" s="300"/>
      <c r="W703" s="300"/>
      <c r="X703" s="300"/>
      <c r="Y703" s="300"/>
      <c r="Z703" s="300"/>
      <c r="AA703" s="300"/>
      <c r="AB703" s="300"/>
      <c r="AC703" s="300"/>
      <c r="AD703" s="300"/>
      <c r="AE703" s="300"/>
    </row>
    <row r="704" spans="15:31">
      <c r="O704" s="300"/>
      <c r="P704" s="300"/>
      <c r="Q704" s="300"/>
      <c r="R704" s="300"/>
      <c r="S704" s="300"/>
      <c r="T704" s="300"/>
      <c r="U704" s="300"/>
      <c r="V704" s="300"/>
      <c r="W704" s="300"/>
      <c r="X704" s="300"/>
      <c r="Y704" s="300"/>
      <c r="Z704" s="300"/>
      <c r="AA704" s="300"/>
      <c r="AB704" s="300"/>
      <c r="AC704" s="300"/>
      <c r="AD704" s="300"/>
      <c r="AE704" s="300"/>
    </row>
    <row r="705" spans="15:31">
      <c r="O705" s="300"/>
      <c r="P705" s="300"/>
      <c r="Q705" s="300"/>
      <c r="R705" s="300"/>
      <c r="S705" s="300"/>
      <c r="T705" s="300"/>
      <c r="U705" s="300"/>
      <c r="V705" s="300"/>
      <c r="W705" s="300"/>
      <c r="X705" s="300"/>
      <c r="Y705" s="300"/>
      <c r="Z705" s="300"/>
      <c r="AA705" s="300"/>
      <c r="AB705" s="300"/>
      <c r="AC705" s="300"/>
      <c r="AD705" s="300"/>
      <c r="AE705" s="300"/>
    </row>
    <row r="706" spans="15:31">
      <c r="O706" s="300"/>
      <c r="P706" s="300"/>
      <c r="Q706" s="300"/>
      <c r="R706" s="300"/>
      <c r="S706" s="300"/>
      <c r="T706" s="300"/>
      <c r="U706" s="300"/>
      <c r="V706" s="300"/>
      <c r="W706" s="300"/>
      <c r="X706" s="300"/>
      <c r="Y706" s="300"/>
      <c r="Z706" s="300"/>
      <c r="AA706" s="300"/>
      <c r="AB706" s="300"/>
      <c r="AC706" s="300"/>
      <c r="AD706" s="300"/>
      <c r="AE706" s="300"/>
    </row>
    <row r="707" spans="15:31">
      <c r="O707" s="300"/>
      <c r="P707" s="300"/>
      <c r="Q707" s="300"/>
      <c r="R707" s="300"/>
      <c r="S707" s="300"/>
      <c r="T707" s="300"/>
      <c r="U707" s="300"/>
      <c r="V707" s="300"/>
      <c r="W707" s="300"/>
      <c r="X707" s="300"/>
      <c r="Y707" s="300"/>
      <c r="Z707" s="300"/>
      <c r="AA707" s="300"/>
      <c r="AB707" s="300"/>
      <c r="AC707" s="300"/>
      <c r="AD707" s="300"/>
      <c r="AE707" s="300"/>
    </row>
    <row r="708" spans="15:31">
      <c r="O708" s="300"/>
      <c r="P708" s="300"/>
      <c r="Q708" s="300"/>
      <c r="R708" s="300"/>
      <c r="S708" s="300"/>
      <c r="T708" s="300"/>
      <c r="U708" s="300"/>
      <c r="V708" s="300"/>
      <c r="W708" s="300"/>
      <c r="X708" s="300"/>
      <c r="Y708" s="300"/>
      <c r="Z708" s="300"/>
      <c r="AA708" s="300"/>
      <c r="AB708" s="300"/>
      <c r="AC708" s="300"/>
      <c r="AD708" s="300"/>
      <c r="AE708" s="300"/>
    </row>
    <row r="709" spans="15:31">
      <c r="O709" s="300"/>
      <c r="P709" s="300"/>
      <c r="Q709" s="300"/>
      <c r="R709" s="300"/>
      <c r="S709" s="300"/>
      <c r="T709" s="300"/>
      <c r="U709" s="300"/>
      <c r="V709" s="300"/>
      <c r="W709" s="300"/>
      <c r="X709" s="300"/>
      <c r="Y709" s="300"/>
      <c r="Z709" s="300"/>
      <c r="AA709" s="300"/>
      <c r="AB709" s="300"/>
      <c r="AC709" s="300"/>
      <c r="AD709" s="300"/>
      <c r="AE709" s="300"/>
    </row>
    <row r="710" spans="15:31">
      <c r="O710" s="300"/>
      <c r="P710" s="300"/>
      <c r="Q710" s="300"/>
      <c r="R710" s="300"/>
      <c r="S710" s="300"/>
      <c r="T710" s="300"/>
      <c r="U710" s="300"/>
      <c r="V710" s="300"/>
      <c r="W710" s="300"/>
      <c r="X710" s="300"/>
      <c r="Y710" s="300"/>
      <c r="Z710" s="300"/>
      <c r="AA710" s="300"/>
      <c r="AB710" s="300"/>
      <c r="AC710" s="300"/>
      <c r="AD710" s="300"/>
      <c r="AE710" s="300"/>
    </row>
    <row r="711" spans="15:31">
      <c r="O711" s="300"/>
      <c r="P711" s="300"/>
      <c r="Q711" s="300"/>
      <c r="R711" s="300"/>
      <c r="S711" s="300"/>
      <c r="T711" s="300"/>
      <c r="U711" s="300"/>
      <c r="V711" s="300"/>
      <c r="W711" s="300"/>
      <c r="X711" s="300"/>
      <c r="Y711" s="300"/>
      <c r="Z711" s="300"/>
      <c r="AA711" s="300"/>
      <c r="AB711" s="300"/>
      <c r="AC711" s="300"/>
      <c r="AD711" s="300"/>
      <c r="AE711" s="300"/>
    </row>
    <row r="712" spans="15:31">
      <c r="O712" s="300"/>
      <c r="P712" s="300"/>
      <c r="Q712" s="300"/>
      <c r="R712" s="300"/>
      <c r="S712" s="300"/>
      <c r="T712" s="300"/>
      <c r="U712" s="300"/>
      <c r="V712" s="300"/>
      <c r="W712" s="300"/>
      <c r="X712" s="300"/>
      <c r="Y712" s="300"/>
      <c r="Z712" s="300"/>
      <c r="AA712" s="300"/>
      <c r="AB712" s="300"/>
      <c r="AC712" s="300"/>
      <c r="AD712" s="300"/>
      <c r="AE712" s="300"/>
    </row>
    <row r="713" spans="15:31">
      <c r="O713" s="300"/>
      <c r="P713" s="300"/>
      <c r="Q713" s="300"/>
      <c r="R713" s="300"/>
      <c r="S713" s="300"/>
      <c r="T713" s="300"/>
      <c r="U713" s="300"/>
      <c r="V713" s="300"/>
      <c r="W713" s="300"/>
      <c r="X713" s="300"/>
      <c r="Y713" s="300"/>
      <c r="Z713" s="300"/>
      <c r="AA713" s="300"/>
      <c r="AB713" s="300"/>
      <c r="AC713" s="300"/>
      <c r="AD713" s="300"/>
      <c r="AE713" s="300"/>
    </row>
    <row r="714" spans="15:31">
      <c r="O714" s="300"/>
      <c r="P714" s="300"/>
      <c r="Q714" s="300"/>
      <c r="R714" s="300"/>
      <c r="S714" s="300"/>
      <c r="T714" s="300"/>
      <c r="U714" s="300"/>
      <c r="V714" s="300"/>
      <c r="W714" s="300"/>
      <c r="X714" s="300"/>
      <c r="Y714" s="300"/>
      <c r="Z714" s="300"/>
      <c r="AA714" s="300"/>
      <c r="AB714" s="300"/>
      <c r="AC714" s="300"/>
      <c r="AD714" s="300"/>
      <c r="AE714" s="300"/>
    </row>
    <row r="715" spans="15:31">
      <c r="O715" s="300"/>
      <c r="P715" s="300"/>
      <c r="Q715" s="300"/>
      <c r="R715" s="300"/>
      <c r="S715" s="300"/>
      <c r="T715" s="300"/>
      <c r="U715" s="300"/>
      <c r="V715" s="300"/>
      <c r="W715" s="300"/>
      <c r="X715" s="300"/>
      <c r="Y715" s="300"/>
      <c r="Z715" s="300"/>
      <c r="AA715" s="300"/>
      <c r="AB715" s="300"/>
      <c r="AC715" s="300"/>
      <c r="AD715" s="300"/>
      <c r="AE715" s="300"/>
    </row>
    <row r="716" spans="15:31">
      <c r="O716" s="300"/>
      <c r="P716" s="300"/>
      <c r="Q716" s="300"/>
      <c r="R716" s="300"/>
      <c r="S716" s="300"/>
      <c r="T716" s="300"/>
      <c r="U716" s="300"/>
      <c r="V716" s="300"/>
      <c r="W716" s="300"/>
      <c r="X716" s="300"/>
      <c r="Y716" s="300"/>
      <c r="Z716" s="300"/>
      <c r="AA716" s="300"/>
      <c r="AB716" s="300"/>
      <c r="AC716" s="300"/>
      <c r="AD716" s="300"/>
      <c r="AE716" s="300"/>
    </row>
    <row r="717" spans="15:31">
      <c r="O717" s="300"/>
      <c r="P717" s="300"/>
      <c r="Q717" s="300"/>
      <c r="R717" s="300"/>
      <c r="S717" s="300"/>
      <c r="T717" s="300"/>
      <c r="U717" s="300"/>
      <c r="V717" s="300"/>
      <c r="W717" s="300"/>
      <c r="X717" s="300"/>
      <c r="Y717" s="300"/>
      <c r="Z717" s="300"/>
      <c r="AA717" s="300"/>
      <c r="AB717" s="300"/>
      <c r="AC717" s="300"/>
      <c r="AD717" s="300"/>
      <c r="AE717" s="300"/>
    </row>
    <row r="718" spans="15:31">
      <c r="O718" s="300"/>
      <c r="P718" s="300"/>
      <c r="Q718" s="300"/>
      <c r="R718" s="300"/>
      <c r="S718" s="300"/>
      <c r="T718" s="300"/>
      <c r="U718" s="300"/>
      <c r="V718" s="300"/>
      <c r="W718" s="300"/>
      <c r="X718" s="300"/>
      <c r="Y718" s="300"/>
      <c r="Z718" s="300"/>
      <c r="AA718" s="300"/>
      <c r="AB718" s="300"/>
      <c r="AC718" s="300"/>
      <c r="AD718" s="300"/>
      <c r="AE718" s="300"/>
    </row>
    <row r="719" spans="15:31">
      <c r="O719" s="300"/>
      <c r="P719" s="300"/>
      <c r="Q719" s="300"/>
      <c r="R719" s="300"/>
      <c r="S719" s="300"/>
      <c r="T719" s="300"/>
      <c r="U719" s="300"/>
      <c r="V719" s="300"/>
      <c r="W719" s="300"/>
      <c r="X719" s="300"/>
      <c r="Y719" s="300"/>
      <c r="Z719" s="300"/>
      <c r="AA719" s="300"/>
      <c r="AB719" s="300"/>
      <c r="AC719" s="300"/>
      <c r="AD719" s="300"/>
      <c r="AE719" s="300"/>
    </row>
    <row r="720" spans="15:31">
      <c r="O720" s="300"/>
      <c r="P720" s="300"/>
      <c r="Q720" s="300"/>
      <c r="R720" s="300"/>
      <c r="S720" s="300"/>
      <c r="T720" s="300"/>
      <c r="U720" s="300"/>
      <c r="V720" s="300"/>
      <c r="W720" s="300"/>
      <c r="X720" s="300"/>
      <c r="Y720" s="300"/>
      <c r="Z720" s="300"/>
      <c r="AA720" s="300"/>
      <c r="AB720" s="300"/>
      <c r="AC720" s="300"/>
      <c r="AD720" s="300"/>
      <c r="AE720" s="300"/>
    </row>
    <row r="721" spans="15:31">
      <c r="O721" s="300"/>
      <c r="P721" s="300"/>
      <c r="Q721" s="300"/>
      <c r="R721" s="300"/>
      <c r="S721" s="300"/>
      <c r="T721" s="300"/>
      <c r="U721" s="300"/>
      <c r="V721" s="300"/>
      <c r="W721" s="300"/>
      <c r="X721" s="300"/>
      <c r="Y721" s="300"/>
      <c r="Z721" s="300"/>
      <c r="AA721" s="300"/>
      <c r="AB721" s="300"/>
      <c r="AC721" s="300"/>
      <c r="AD721" s="300"/>
      <c r="AE721" s="300"/>
    </row>
    <row r="722" spans="15:31">
      <c r="O722" s="300"/>
      <c r="P722" s="300"/>
      <c r="Q722" s="300"/>
      <c r="R722" s="300"/>
      <c r="S722" s="300"/>
      <c r="T722" s="300"/>
      <c r="U722" s="300"/>
      <c r="V722" s="300"/>
      <c r="W722" s="300"/>
      <c r="X722" s="300"/>
      <c r="Y722" s="300"/>
      <c r="Z722" s="300"/>
      <c r="AA722" s="300"/>
      <c r="AB722" s="300"/>
      <c r="AC722" s="300"/>
      <c r="AD722" s="300"/>
      <c r="AE722" s="300"/>
    </row>
    <row r="723" spans="15:31">
      <c r="O723" s="300"/>
      <c r="P723" s="300"/>
      <c r="Q723" s="300"/>
      <c r="R723" s="300"/>
      <c r="S723" s="300"/>
      <c r="T723" s="300"/>
      <c r="U723" s="300"/>
      <c r="V723" s="300"/>
      <c r="W723" s="300"/>
      <c r="X723" s="300"/>
      <c r="Y723" s="300"/>
      <c r="Z723" s="300"/>
      <c r="AA723" s="300"/>
      <c r="AB723" s="300"/>
      <c r="AC723" s="300"/>
      <c r="AD723" s="300"/>
      <c r="AE723" s="300"/>
    </row>
    <row r="724" spans="15:31">
      <c r="O724" s="300"/>
      <c r="P724" s="300"/>
      <c r="Q724" s="300"/>
      <c r="R724" s="300"/>
      <c r="S724" s="300"/>
      <c r="T724" s="300"/>
      <c r="U724" s="300"/>
      <c r="V724" s="300"/>
      <c r="W724" s="300"/>
      <c r="X724" s="300"/>
      <c r="Y724" s="300"/>
      <c r="Z724" s="300"/>
      <c r="AA724" s="300"/>
      <c r="AB724" s="300"/>
      <c r="AC724" s="300"/>
      <c r="AD724" s="300"/>
      <c r="AE724" s="300"/>
    </row>
    <row r="725" spans="15:31">
      <c r="O725" s="300"/>
      <c r="P725" s="300"/>
      <c r="Q725" s="300"/>
      <c r="R725" s="300"/>
      <c r="S725" s="300"/>
      <c r="T725" s="300"/>
      <c r="U725" s="300"/>
      <c r="V725" s="300"/>
      <c r="W725" s="300"/>
      <c r="X725" s="300"/>
      <c r="Y725" s="300"/>
      <c r="Z725" s="300"/>
      <c r="AA725" s="300"/>
      <c r="AB725" s="300"/>
      <c r="AC725" s="300"/>
      <c r="AD725" s="300"/>
      <c r="AE725" s="300"/>
    </row>
    <row r="726" spans="15:31">
      <c r="O726" s="300"/>
      <c r="P726" s="300"/>
      <c r="Q726" s="300"/>
      <c r="R726" s="300"/>
      <c r="S726" s="300"/>
      <c r="T726" s="300"/>
      <c r="U726" s="300"/>
      <c r="V726" s="300"/>
      <c r="W726" s="300"/>
      <c r="X726" s="300"/>
      <c r="Y726" s="300"/>
      <c r="Z726" s="300"/>
      <c r="AA726" s="300"/>
      <c r="AB726" s="300"/>
      <c r="AC726" s="300"/>
      <c r="AD726" s="300"/>
      <c r="AE726" s="300"/>
    </row>
    <row r="727" spans="15:31">
      <c r="O727" s="300"/>
      <c r="P727" s="300"/>
      <c r="Q727" s="300"/>
      <c r="R727" s="300"/>
      <c r="S727" s="300"/>
      <c r="T727" s="300"/>
      <c r="U727" s="300"/>
      <c r="V727" s="300"/>
      <c r="W727" s="300"/>
      <c r="X727" s="300"/>
      <c r="Y727" s="300"/>
      <c r="Z727" s="300"/>
      <c r="AA727" s="300"/>
      <c r="AB727" s="300"/>
      <c r="AC727" s="300"/>
      <c r="AD727" s="300"/>
      <c r="AE727" s="300"/>
    </row>
    <row r="728" spans="15:31">
      <c r="O728" s="300"/>
      <c r="P728" s="300"/>
      <c r="Q728" s="300"/>
      <c r="R728" s="300"/>
      <c r="S728" s="300"/>
      <c r="T728" s="300"/>
      <c r="U728" s="300"/>
      <c r="V728" s="300"/>
      <c r="W728" s="300"/>
      <c r="X728" s="300"/>
      <c r="Y728" s="300"/>
      <c r="Z728" s="300"/>
      <c r="AA728" s="300"/>
      <c r="AB728" s="300"/>
      <c r="AC728" s="300"/>
      <c r="AD728" s="300"/>
      <c r="AE728" s="300"/>
    </row>
    <row r="729" spans="15:31">
      <c r="O729" s="300"/>
      <c r="P729" s="300"/>
      <c r="Q729" s="300"/>
      <c r="R729" s="300"/>
      <c r="S729" s="300"/>
      <c r="T729" s="300"/>
      <c r="U729" s="300"/>
      <c r="V729" s="300"/>
      <c r="W729" s="300"/>
      <c r="X729" s="300"/>
      <c r="Y729" s="300"/>
      <c r="Z729" s="300"/>
      <c r="AA729" s="300"/>
      <c r="AB729" s="300"/>
      <c r="AC729" s="300"/>
      <c r="AD729" s="300"/>
      <c r="AE729" s="300"/>
    </row>
    <row r="730" spans="15:31">
      <c r="O730" s="300"/>
      <c r="P730" s="300"/>
      <c r="Q730" s="300"/>
      <c r="R730" s="300"/>
      <c r="S730" s="300"/>
      <c r="T730" s="300"/>
      <c r="U730" s="300"/>
      <c r="V730" s="300"/>
      <c r="W730" s="300"/>
      <c r="X730" s="300"/>
      <c r="Y730" s="300"/>
      <c r="Z730" s="300"/>
      <c r="AA730" s="300"/>
      <c r="AB730" s="300"/>
      <c r="AC730" s="300"/>
      <c r="AD730" s="300"/>
      <c r="AE730" s="300"/>
    </row>
    <row r="731" spans="15:31">
      <c r="O731" s="300"/>
      <c r="P731" s="300"/>
      <c r="Q731" s="300"/>
      <c r="R731" s="300"/>
      <c r="S731" s="300"/>
      <c r="T731" s="300"/>
      <c r="U731" s="300"/>
      <c r="V731" s="300"/>
      <c r="W731" s="300"/>
      <c r="X731" s="300"/>
      <c r="Y731" s="300"/>
      <c r="Z731" s="300"/>
      <c r="AA731" s="300"/>
      <c r="AB731" s="300"/>
      <c r="AC731" s="300"/>
      <c r="AD731" s="300"/>
      <c r="AE731" s="300"/>
    </row>
    <row r="732" spans="15:31">
      <c r="O732" s="300"/>
      <c r="P732" s="300"/>
      <c r="Q732" s="300"/>
      <c r="R732" s="300"/>
      <c r="S732" s="300"/>
      <c r="T732" s="300"/>
      <c r="U732" s="300"/>
      <c r="V732" s="300"/>
      <c r="W732" s="300"/>
      <c r="X732" s="300"/>
      <c r="Y732" s="300"/>
      <c r="Z732" s="300"/>
      <c r="AA732" s="300"/>
      <c r="AB732" s="300"/>
      <c r="AC732" s="300"/>
      <c r="AD732" s="300"/>
      <c r="AE732" s="300"/>
    </row>
    <row r="733" spans="15:31">
      <c r="O733" s="300"/>
      <c r="P733" s="300"/>
      <c r="Q733" s="300"/>
      <c r="R733" s="300"/>
      <c r="S733" s="300"/>
      <c r="T733" s="300"/>
      <c r="U733" s="300"/>
      <c r="V733" s="300"/>
      <c r="W733" s="300"/>
      <c r="X733" s="300"/>
      <c r="Y733" s="300"/>
      <c r="Z733" s="300"/>
      <c r="AA733" s="300"/>
      <c r="AB733" s="300"/>
      <c r="AC733" s="300"/>
      <c r="AD733" s="300"/>
      <c r="AE733" s="300"/>
    </row>
    <row r="734" spans="15:31">
      <c r="O734" s="300"/>
      <c r="P734" s="300"/>
      <c r="Q734" s="300"/>
      <c r="R734" s="300"/>
      <c r="S734" s="300"/>
      <c r="T734" s="300"/>
      <c r="U734" s="300"/>
      <c r="V734" s="300"/>
      <c r="W734" s="300"/>
      <c r="X734" s="300"/>
      <c r="Y734" s="300"/>
      <c r="Z734" s="300"/>
      <c r="AA734" s="300"/>
      <c r="AB734" s="300"/>
      <c r="AC734" s="300"/>
      <c r="AD734" s="300"/>
      <c r="AE734" s="300"/>
    </row>
    <row r="735" spans="15:31">
      <c r="O735" s="300"/>
      <c r="P735" s="300"/>
      <c r="Q735" s="300"/>
      <c r="R735" s="300"/>
      <c r="S735" s="300"/>
      <c r="T735" s="300"/>
      <c r="U735" s="300"/>
      <c r="V735" s="300"/>
      <c r="W735" s="300"/>
      <c r="X735" s="300"/>
      <c r="Y735" s="300"/>
      <c r="Z735" s="300"/>
      <c r="AA735" s="300"/>
      <c r="AB735" s="300"/>
      <c r="AC735" s="300"/>
      <c r="AD735" s="300"/>
      <c r="AE735" s="300"/>
    </row>
    <row r="736" spans="15:31">
      <c r="O736" s="300"/>
      <c r="P736" s="300"/>
      <c r="Q736" s="300"/>
      <c r="R736" s="300"/>
      <c r="S736" s="300"/>
      <c r="T736" s="300"/>
      <c r="U736" s="300"/>
      <c r="V736" s="300"/>
      <c r="W736" s="300"/>
      <c r="X736" s="300"/>
      <c r="Y736" s="300"/>
      <c r="Z736" s="300"/>
      <c r="AA736" s="300"/>
      <c r="AB736" s="300"/>
      <c r="AC736" s="300"/>
      <c r="AD736" s="300"/>
      <c r="AE736" s="300"/>
    </row>
    <row r="737" spans="15:31">
      <c r="O737" s="300"/>
      <c r="P737" s="300"/>
      <c r="Q737" s="300"/>
      <c r="R737" s="300"/>
      <c r="S737" s="300"/>
      <c r="T737" s="300"/>
      <c r="U737" s="300"/>
      <c r="V737" s="300"/>
      <c r="W737" s="300"/>
      <c r="X737" s="300"/>
      <c r="Y737" s="300"/>
      <c r="Z737" s="300"/>
      <c r="AA737" s="300"/>
      <c r="AB737" s="300"/>
      <c r="AC737" s="300"/>
      <c r="AD737" s="300"/>
      <c r="AE737" s="300"/>
    </row>
    <row r="738" spans="15:31">
      <c r="O738" s="300"/>
      <c r="P738" s="300"/>
      <c r="Q738" s="300"/>
      <c r="R738" s="300"/>
      <c r="S738" s="300"/>
      <c r="T738" s="300"/>
      <c r="U738" s="300"/>
      <c r="V738" s="300"/>
      <c r="W738" s="300"/>
      <c r="X738" s="300"/>
      <c r="Y738" s="300"/>
      <c r="Z738" s="300"/>
      <c r="AA738" s="300"/>
      <c r="AB738" s="300"/>
      <c r="AC738" s="300"/>
      <c r="AD738" s="300"/>
      <c r="AE738" s="300"/>
    </row>
    <row r="739" spans="15:31">
      <c r="O739" s="300"/>
      <c r="P739" s="300"/>
      <c r="Q739" s="300"/>
      <c r="R739" s="300"/>
      <c r="S739" s="300"/>
      <c r="T739" s="300"/>
      <c r="U739" s="300"/>
      <c r="V739" s="300"/>
      <c r="W739" s="300"/>
      <c r="X739" s="300"/>
      <c r="Y739" s="300"/>
      <c r="Z739" s="300"/>
      <c r="AA739" s="300"/>
      <c r="AB739" s="300"/>
      <c r="AC739" s="300"/>
      <c r="AD739" s="300"/>
      <c r="AE739" s="300"/>
    </row>
    <row r="740" spans="15:31">
      <c r="O740" s="300"/>
      <c r="P740" s="300"/>
      <c r="Q740" s="300"/>
      <c r="R740" s="300"/>
      <c r="S740" s="300"/>
      <c r="T740" s="300"/>
      <c r="U740" s="300"/>
      <c r="V740" s="300"/>
      <c r="W740" s="300"/>
      <c r="X740" s="300"/>
      <c r="Y740" s="300"/>
      <c r="Z740" s="300"/>
      <c r="AA740" s="300"/>
      <c r="AB740" s="300"/>
      <c r="AC740" s="300"/>
      <c r="AD740" s="300"/>
      <c r="AE740" s="300"/>
    </row>
    <row r="741" spans="15:31">
      <c r="O741" s="300"/>
      <c r="P741" s="300"/>
      <c r="Q741" s="300"/>
      <c r="R741" s="300"/>
      <c r="S741" s="300"/>
      <c r="T741" s="300"/>
      <c r="U741" s="300"/>
      <c r="V741" s="300"/>
      <c r="W741" s="300"/>
      <c r="X741" s="300"/>
      <c r="Y741" s="300"/>
      <c r="Z741" s="300"/>
      <c r="AA741" s="300"/>
      <c r="AB741" s="300"/>
      <c r="AC741" s="300"/>
      <c r="AD741" s="300"/>
      <c r="AE741" s="300"/>
    </row>
    <row r="742" spans="15:31">
      <c r="O742" s="300"/>
      <c r="P742" s="300"/>
      <c r="Q742" s="300"/>
      <c r="R742" s="300"/>
      <c r="S742" s="300"/>
      <c r="T742" s="300"/>
      <c r="U742" s="300"/>
      <c r="V742" s="300"/>
      <c r="W742" s="300"/>
      <c r="X742" s="300"/>
      <c r="Y742" s="300"/>
      <c r="Z742" s="300"/>
      <c r="AA742" s="300"/>
      <c r="AB742" s="300"/>
      <c r="AC742" s="300"/>
      <c r="AD742" s="300"/>
      <c r="AE742" s="300"/>
    </row>
    <row r="743" spans="15:31">
      <c r="O743" s="300"/>
      <c r="P743" s="300"/>
      <c r="Q743" s="300"/>
      <c r="R743" s="300"/>
      <c r="S743" s="300"/>
      <c r="T743" s="300"/>
      <c r="U743" s="300"/>
      <c r="V743" s="300"/>
      <c r="W743" s="300"/>
      <c r="X743" s="300"/>
      <c r="Y743" s="300"/>
      <c r="Z743" s="300"/>
      <c r="AA743" s="300"/>
      <c r="AB743" s="300"/>
      <c r="AC743" s="300"/>
      <c r="AD743" s="300"/>
      <c r="AE743" s="300"/>
    </row>
    <row r="744" spans="15:31">
      <c r="O744" s="300"/>
      <c r="P744" s="300"/>
      <c r="Q744" s="300"/>
      <c r="R744" s="300"/>
      <c r="S744" s="300"/>
      <c r="T744" s="300"/>
      <c r="U744" s="300"/>
      <c r="V744" s="300"/>
      <c r="W744" s="300"/>
      <c r="X744" s="300"/>
      <c r="Y744" s="300"/>
      <c r="Z744" s="300"/>
      <c r="AA744" s="300"/>
      <c r="AB744" s="300"/>
      <c r="AC744" s="300"/>
      <c r="AD744" s="300"/>
      <c r="AE744" s="300"/>
    </row>
    <row r="745" spans="15:31">
      <c r="O745" s="300"/>
      <c r="P745" s="300"/>
      <c r="Q745" s="300"/>
      <c r="R745" s="300"/>
      <c r="S745" s="300"/>
      <c r="T745" s="300"/>
      <c r="U745" s="300"/>
      <c r="V745" s="300"/>
      <c r="W745" s="300"/>
      <c r="X745" s="300"/>
      <c r="Y745" s="300"/>
      <c r="Z745" s="300"/>
      <c r="AA745" s="300"/>
      <c r="AB745" s="300"/>
      <c r="AC745" s="300"/>
      <c r="AD745" s="300"/>
      <c r="AE745" s="300"/>
    </row>
    <row r="746" spans="15:31">
      <c r="O746" s="300"/>
      <c r="P746" s="300"/>
      <c r="Q746" s="300"/>
      <c r="R746" s="300"/>
      <c r="S746" s="300"/>
      <c r="T746" s="300"/>
      <c r="U746" s="300"/>
      <c r="V746" s="300"/>
      <c r="W746" s="300"/>
      <c r="X746" s="300"/>
      <c r="Y746" s="300"/>
      <c r="Z746" s="300"/>
      <c r="AA746" s="300"/>
      <c r="AB746" s="300"/>
      <c r="AC746" s="300"/>
      <c r="AD746" s="300"/>
      <c r="AE746" s="300"/>
    </row>
    <row r="747" spans="15:31">
      <c r="O747" s="300"/>
      <c r="P747" s="300"/>
      <c r="Q747" s="300"/>
      <c r="R747" s="300"/>
      <c r="S747" s="300"/>
      <c r="T747" s="300"/>
      <c r="U747" s="300"/>
      <c r="V747" s="300"/>
      <c r="W747" s="300"/>
      <c r="X747" s="300"/>
      <c r="Y747" s="300"/>
      <c r="Z747" s="300"/>
      <c r="AA747" s="300"/>
      <c r="AB747" s="300"/>
      <c r="AC747" s="300"/>
      <c r="AD747" s="300"/>
      <c r="AE747" s="300"/>
    </row>
    <row r="748" spans="15:31">
      <c r="O748" s="300"/>
      <c r="P748" s="300"/>
      <c r="Q748" s="300"/>
      <c r="R748" s="300"/>
      <c r="S748" s="300"/>
      <c r="T748" s="300"/>
      <c r="U748" s="300"/>
      <c r="V748" s="300"/>
      <c r="W748" s="300"/>
      <c r="X748" s="300"/>
      <c r="Y748" s="300"/>
      <c r="Z748" s="300"/>
      <c r="AA748" s="300"/>
      <c r="AB748" s="300"/>
      <c r="AC748" s="300"/>
      <c r="AD748" s="300"/>
      <c r="AE748" s="300"/>
    </row>
    <row r="749" spans="15:31">
      <c r="O749" s="300"/>
      <c r="P749" s="300"/>
      <c r="Q749" s="300"/>
      <c r="R749" s="300"/>
      <c r="S749" s="300"/>
      <c r="T749" s="300"/>
      <c r="U749" s="300"/>
      <c r="V749" s="300"/>
      <c r="W749" s="300"/>
      <c r="X749" s="300"/>
      <c r="Y749" s="300"/>
      <c r="Z749" s="300"/>
      <c r="AA749" s="300"/>
      <c r="AB749" s="300"/>
      <c r="AC749" s="300"/>
      <c r="AD749" s="300"/>
      <c r="AE749" s="300"/>
    </row>
    <row r="750" spans="15:31">
      <c r="O750" s="300"/>
      <c r="P750" s="300"/>
      <c r="Q750" s="300"/>
      <c r="R750" s="300"/>
      <c r="S750" s="300"/>
      <c r="T750" s="300"/>
      <c r="U750" s="300"/>
      <c r="V750" s="300"/>
      <c r="W750" s="300"/>
      <c r="X750" s="300"/>
      <c r="Y750" s="300"/>
      <c r="Z750" s="300"/>
      <c r="AA750" s="300"/>
      <c r="AB750" s="300"/>
      <c r="AC750" s="300"/>
      <c r="AD750" s="300"/>
      <c r="AE750" s="300"/>
    </row>
    <row r="751" spans="15:31">
      <c r="O751" s="300"/>
      <c r="P751" s="300"/>
      <c r="Q751" s="300"/>
      <c r="R751" s="300"/>
      <c r="S751" s="300"/>
      <c r="T751" s="300"/>
      <c r="U751" s="300"/>
      <c r="V751" s="300"/>
      <c r="W751" s="300"/>
      <c r="X751" s="300"/>
      <c r="Y751" s="300"/>
      <c r="Z751" s="300"/>
      <c r="AA751" s="300"/>
      <c r="AB751" s="300"/>
      <c r="AC751" s="300"/>
      <c r="AD751" s="300"/>
      <c r="AE751" s="300"/>
    </row>
    <row r="752" spans="15:31">
      <c r="O752" s="300"/>
      <c r="P752" s="300"/>
      <c r="Q752" s="300"/>
      <c r="R752" s="300"/>
      <c r="S752" s="300"/>
      <c r="T752" s="300"/>
      <c r="U752" s="300"/>
      <c r="V752" s="300"/>
      <c r="W752" s="300"/>
      <c r="X752" s="300"/>
      <c r="Y752" s="300"/>
      <c r="Z752" s="300"/>
      <c r="AA752" s="300"/>
      <c r="AB752" s="300"/>
      <c r="AC752" s="300"/>
      <c r="AD752" s="300"/>
      <c r="AE752" s="300"/>
    </row>
    <row r="753" spans="15:31">
      <c r="O753" s="300"/>
      <c r="P753" s="300"/>
      <c r="Q753" s="300"/>
      <c r="R753" s="300"/>
      <c r="S753" s="300"/>
      <c r="T753" s="300"/>
      <c r="U753" s="300"/>
      <c r="V753" s="300"/>
      <c r="W753" s="300"/>
      <c r="X753" s="300"/>
      <c r="Y753" s="300"/>
      <c r="Z753" s="300"/>
      <c r="AA753" s="300"/>
      <c r="AB753" s="300"/>
      <c r="AC753" s="300"/>
      <c r="AD753" s="300"/>
      <c r="AE753" s="300"/>
    </row>
    <row r="754" spans="15:31">
      <c r="O754" s="300"/>
      <c r="P754" s="300"/>
      <c r="Q754" s="300"/>
      <c r="R754" s="300"/>
      <c r="S754" s="300"/>
      <c r="T754" s="300"/>
      <c r="U754" s="300"/>
      <c r="V754" s="300"/>
      <c r="W754" s="300"/>
      <c r="X754" s="300"/>
      <c r="Y754" s="300"/>
      <c r="Z754" s="300"/>
      <c r="AA754" s="300"/>
      <c r="AB754" s="300"/>
      <c r="AC754" s="300"/>
      <c r="AD754" s="300"/>
      <c r="AE754" s="300"/>
    </row>
    <row r="755" spans="15:31">
      <c r="O755" s="300"/>
      <c r="P755" s="300"/>
      <c r="Q755" s="300"/>
      <c r="R755" s="300"/>
      <c r="S755" s="300"/>
      <c r="T755" s="300"/>
      <c r="U755" s="300"/>
      <c r="V755" s="300"/>
      <c r="W755" s="300"/>
      <c r="X755" s="300"/>
      <c r="Y755" s="300"/>
      <c r="Z755" s="300"/>
      <c r="AA755" s="300"/>
      <c r="AB755" s="300"/>
      <c r="AC755" s="300"/>
      <c r="AD755" s="300"/>
      <c r="AE755" s="300"/>
    </row>
    <row r="756" spans="15:31">
      <c r="O756" s="300"/>
      <c r="P756" s="300"/>
      <c r="Q756" s="300"/>
      <c r="R756" s="300"/>
      <c r="S756" s="300"/>
      <c r="T756" s="300"/>
      <c r="U756" s="300"/>
      <c r="V756" s="300"/>
      <c r="W756" s="300"/>
      <c r="X756" s="300"/>
      <c r="Y756" s="300"/>
      <c r="Z756" s="300"/>
      <c r="AA756" s="300"/>
      <c r="AB756" s="300"/>
      <c r="AC756" s="300"/>
      <c r="AD756" s="300"/>
      <c r="AE756" s="300"/>
    </row>
    <row r="757" spans="15:31">
      <c r="O757" s="300"/>
      <c r="P757" s="300"/>
      <c r="Q757" s="300"/>
      <c r="R757" s="300"/>
      <c r="S757" s="300"/>
      <c r="T757" s="300"/>
      <c r="U757" s="300"/>
      <c r="V757" s="300"/>
      <c r="W757" s="300"/>
      <c r="X757" s="300"/>
      <c r="Y757" s="300"/>
      <c r="Z757" s="300"/>
      <c r="AA757" s="300"/>
      <c r="AB757" s="300"/>
      <c r="AC757" s="300"/>
      <c r="AD757" s="300"/>
      <c r="AE757" s="300"/>
    </row>
    <row r="758" spans="15:31">
      <c r="O758" s="300"/>
      <c r="P758" s="300"/>
      <c r="Q758" s="300"/>
      <c r="R758" s="300"/>
      <c r="S758" s="300"/>
      <c r="T758" s="300"/>
      <c r="U758" s="300"/>
      <c r="V758" s="300"/>
      <c r="W758" s="300"/>
      <c r="X758" s="300"/>
      <c r="Y758" s="300"/>
      <c r="Z758" s="300"/>
      <c r="AA758" s="300"/>
      <c r="AB758" s="300"/>
      <c r="AC758" s="300"/>
      <c r="AD758" s="300"/>
      <c r="AE758" s="300"/>
    </row>
    <row r="759" spans="15:31">
      <c r="O759" s="300"/>
      <c r="P759" s="300"/>
      <c r="Q759" s="300"/>
      <c r="R759" s="300"/>
      <c r="S759" s="300"/>
      <c r="T759" s="300"/>
      <c r="U759" s="300"/>
      <c r="V759" s="300"/>
      <c r="W759" s="300"/>
      <c r="X759" s="300"/>
      <c r="Y759" s="300"/>
      <c r="Z759" s="300"/>
      <c r="AA759" s="300"/>
      <c r="AB759" s="300"/>
      <c r="AC759" s="300"/>
      <c r="AD759" s="300"/>
      <c r="AE759" s="300"/>
    </row>
    <row r="760" spans="15:31">
      <c r="O760" s="300"/>
      <c r="P760" s="300"/>
      <c r="Q760" s="300"/>
      <c r="R760" s="300"/>
      <c r="S760" s="300"/>
      <c r="T760" s="300"/>
      <c r="U760" s="300"/>
      <c r="V760" s="300"/>
      <c r="W760" s="300"/>
      <c r="X760" s="300"/>
      <c r="Y760" s="300"/>
      <c r="Z760" s="300"/>
      <c r="AA760" s="300"/>
      <c r="AB760" s="300"/>
      <c r="AC760" s="300"/>
      <c r="AD760" s="300"/>
      <c r="AE760" s="300"/>
    </row>
    <row r="761" spans="15:31">
      <c r="O761" s="300"/>
      <c r="P761" s="300"/>
      <c r="Q761" s="300"/>
      <c r="R761" s="300"/>
      <c r="S761" s="300"/>
      <c r="T761" s="300"/>
      <c r="U761" s="300"/>
      <c r="V761" s="300"/>
      <c r="W761" s="300"/>
      <c r="X761" s="300"/>
      <c r="Y761" s="300"/>
      <c r="Z761" s="300"/>
      <c r="AA761" s="300"/>
      <c r="AB761" s="300"/>
      <c r="AC761" s="300"/>
      <c r="AD761" s="300"/>
      <c r="AE761" s="300"/>
    </row>
    <row r="762" spans="15:31">
      <c r="O762" s="300"/>
      <c r="P762" s="300"/>
      <c r="Q762" s="300"/>
      <c r="R762" s="300"/>
      <c r="S762" s="300"/>
      <c r="T762" s="300"/>
      <c r="U762" s="300"/>
      <c r="V762" s="300"/>
      <c r="W762" s="300"/>
      <c r="X762" s="300"/>
      <c r="Y762" s="300"/>
      <c r="Z762" s="300"/>
      <c r="AA762" s="300"/>
      <c r="AB762" s="300"/>
      <c r="AC762" s="300"/>
      <c r="AD762" s="300"/>
      <c r="AE762" s="300"/>
    </row>
    <row r="763" spans="15:31">
      <c r="O763" s="300"/>
      <c r="P763" s="300"/>
      <c r="Q763" s="300"/>
      <c r="R763" s="300"/>
      <c r="S763" s="300"/>
      <c r="T763" s="300"/>
      <c r="U763" s="300"/>
      <c r="V763" s="300"/>
      <c r="W763" s="300"/>
      <c r="X763" s="300"/>
      <c r="Y763" s="300"/>
      <c r="Z763" s="300"/>
      <c r="AA763" s="300"/>
      <c r="AB763" s="300"/>
      <c r="AC763" s="300"/>
      <c r="AD763" s="300"/>
      <c r="AE763" s="300"/>
    </row>
    <row r="764" spans="15:31">
      <c r="O764" s="300"/>
      <c r="P764" s="300"/>
      <c r="Q764" s="300"/>
      <c r="R764" s="300"/>
      <c r="S764" s="300"/>
      <c r="T764" s="300"/>
      <c r="U764" s="300"/>
      <c r="V764" s="300"/>
      <c r="W764" s="300"/>
      <c r="X764" s="300"/>
      <c r="Y764" s="300"/>
      <c r="Z764" s="300"/>
      <c r="AA764" s="300"/>
      <c r="AB764" s="300"/>
      <c r="AC764" s="300"/>
      <c r="AD764" s="300"/>
      <c r="AE764" s="300"/>
    </row>
    <row r="765" spans="15:31">
      <c r="O765" s="300"/>
      <c r="P765" s="300"/>
      <c r="Q765" s="300"/>
      <c r="R765" s="300"/>
      <c r="S765" s="300"/>
      <c r="T765" s="300"/>
      <c r="U765" s="300"/>
      <c r="V765" s="300"/>
      <c r="W765" s="300"/>
      <c r="X765" s="300"/>
      <c r="Y765" s="300"/>
      <c r="Z765" s="300"/>
      <c r="AA765" s="300"/>
      <c r="AB765" s="300"/>
      <c r="AC765" s="300"/>
      <c r="AD765" s="300"/>
      <c r="AE765" s="300"/>
    </row>
    <row r="766" spans="15:31">
      <c r="O766" s="300"/>
      <c r="P766" s="300"/>
      <c r="Q766" s="300"/>
      <c r="R766" s="300"/>
      <c r="S766" s="300"/>
      <c r="T766" s="300"/>
      <c r="U766" s="300"/>
      <c r="V766" s="300"/>
      <c r="W766" s="300"/>
      <c r="X766" s="300"/>
      <c r="Y766" s="300"/>
      <c r="Z766" s="300"/>
      <c r="AA766" s="300"/>
      <c r="AB766" s="300"/>
      <c r="AC766" s="300"/>
      <c r="AD766" s="300"/>
      <c r="AE766" s="300"/>
    </row>
    <row r="767" spans="15:31">
      <c r="O767" s="300"/>
      <c r="P767" s="300"/>
      <c r="Q767" s="300"/>
      <c r="R767" s="300"/>
      <c r="S767" s="300"/>
      <c r="T767" s="300"/>
      <c r="U767" s="300"/>
      <c r="V767" s="300"/>
      <c r="W767" s="300"/>
      <c r="X767" s="300"/>
      <c r="Y767" s="300"/>
      <c r="Z767" s="300"/>
      <c r="AA767" s="300"/>
      <c r="AB767" s="300"/>
      <c r="AC767" s="300"/>
      <c r="AD767" s="300"/>
      <c r="AE767" s="300"/>
    </row>
    <row r="768" spans="15:31">
      <c r="O768" s="300"/>
      <c r="P768" s="300"/>
      <c r="Q768" s="300"/>
      <c r="R768" s="300"/>
      <c r="S768" s="300"/>
      <c r="T768" s="300"/>
      <c r="U768" s="300"/>
      <c r="V768" s="300"/>
      <c r="W768" s="300"/>
      <c r="X768" s="300"/>
      <c r="Y768" s="300"/>
      <c r="Z768" s="300"/>
      <c r="AA768" s="300"/>
      <c r="AB768" s="300"/>
      <c r="AC768" s="300"/>
      <c r="AD768" s="300"/>
      <c r="AE768" s="300"/>
    </row>
    <row r="769" spans="15:31">
      <c r="O769" s="300"/>
      <c r="P769" s="300"/>
      <c r="Q769" s="300"/>
      <c r="R769" s="300"/>
      <c r="S769" s="300"/>
      <c r="T769" s="300"/>
      <c r="U769" s="300"/>
      <c r="V769" s="300"/>
      <c r="W769" s="300"/>
      <c r="X769" s="300"/>
      <c r="Y769" s="300"/>
      <c r="Z769" s="300"/>
      <c r="AA769" s="300"/>
      <c r="AB769" s="300"/>
      <c r="AC769" s="300"/>
      <c r="AD769" s="300"/>
      <c r="AE769" s="300"/>
    </row>
    <row r="770" spans="15:31">
      <c r="O770" s="300"/>
      <c r="P770" s="300"/>
      <c r="Q770" s="300"/>
      <c r="R770" s="300"/>
      <c r="S770" s="300"/>
      <c r="T770" s="300"/>
      <c r="U770" s="300"/>
      <c r="V770" s="300"/>
      <c r="W770" s="300"/>
      <c r="X770" s="300"/>
      <c r="Y770" s="300"/>
      <c r="Z770" s="300"/>
      <c r="AA770" s="300"/>
      <c r="AB770" s="300"/>
      <c r="AC770" s="300"/>
      <c r="AD770" s="300"/>
      <c r="AE770" s="300"/>
    </row>
    <row r="771" spans="15:31">
      <c r="O771" s="300"/>
      <c r="P771" s="300"/>
      <c r="Q771" s="300"/>
      <c r="R771" s="300"/>
      <c r="S771" s="300"/>
      <c r="T771" s="300"/>
      <c r="U771" s="300"/>
      <c r="V771" s="300"/>
      <c r="W771" s="300"/>
      <c r="X771" s="300"/>
      <c r="Y771" s="300"/>
      <c r="Z771" s="300"/>
      <c r="AA771" s="300"/>
      <c r="AB771" s="300"/>
      <c r="AC771" s="300"/>
      <c r="AD771" s="300"/>
      <c r="AE771" s="300"/>
    </row>
    <row r="772" spans="15:31">
      <c r="O772" s="300"/>
      <c r="P772" s="300"/>
      <c r="Q772" s="300"/>
      <c r="R772" s="300"/>
      <c r="S772" s="300"/>
      <c r="T772" s="300"/>
      <c r="U772" s="300"/>
      <c r="V772" s="300"/>
      <c r="W772" s="300"/>
      <c r="X772" s="300"/>
      <c r="Y772" s="300"/>
      <c r="Z772" s="300"/>
      <c r="AA772" s="300"/>
      <c r="AB772" s="300"/>
      <c r="AC772" s="300"/>
      <c r="AD772" s="300"/>
      <c r="AE772" s="300"/>
    </row>
    <row r="773" spans="15:31">
      <c r="O773" s="300"/>
      <c r="P773" s="300"/>
      <c r="Q773" s="300"/>
      <c r="R773" s="300"/>
      <c r="S773" s="300"/>
      <c r="T773" s="300"/>
      <c r="U773" s="300"/>
      <c r="V773" s="300"/>
      <c r="W773" s="300"/>
      <c r="X773" s="300"/>
      <c r="Y773" s="300"/>
      <c r="Z773" s="300"/>
      <c r="AA773" s="300"/>
      <c r="AB773" s="300"/>
      <c r="AC773" s="300"/>
      <c r="AD773" s="300"/>
      <c r="AE773" s="300"/>
    </row>
    <row r="774" spans="15:31">
      <c r="O774" s="300"/>
      <c r="P774" s="300"/>
      <c r="Q774" s="300"/>
      <c r="R774" s="300"/>
      <c r="S774" s="300"/>
      <c r="T774" s="300"/>
      <c r="U774" s="300"/>
      <c r="V774" s="300"/>
      <c r="W774" s="300"/>
      <c r="X774" s="300"/>
      <c r="Y774" s="300"/>
      <c r="Z774" s="300"/>
      <c r="AA774" s="300"/>
      <c r="AB774" s="300"/>
      <c r="AC774" s="300"/>
      <c r="AD774" s="300"/>
      <c r="AE774" s="300"/>
    </row>
    <row r="775" spans="15:31">
      <c r="O775" s="300"/>
      <c r="P775" s="300"/>
      <c r="Q775" s="300"/>
      <c r="R775" s="300"/>
      <c r="S775" s="300"/>
      <c r="T775" s="300"/>
      <c r="U775" s="300"/>
      <c r="V775" s="300"/>
      <c r="W775" s="300"/>
      <c r="X775" s="300"/>
      <c r="Y775" s="300"/>
      <c r="Z775" s="300"/>
      <c r="AA775" s="300"/>
      <c r="AB775" s="300"/>
      <c r="AC775" s="300"/>
      <c r="AD775" s="300"/>
      <c r="AE775" s="300"/>
    </row>
    <row r="776" spans="15:31">
      <c r="O776" s="300"/>
      <c r="P776" s="300"/>
      <c r="Q776" s="300"/>
      <c r="R776" s="300"/>
      <c r="S776" s="300"/>
      <c r="T776" s="300"/>
      <c r="U776" s="300"/>
      <c r="V776" s="300"/>
      <c r="W776" s="300"/>
      <c r="X776" s="300"/>
      <c r="Y776" s="300"/>
      <c r="Z776" s="300"/>
      <c r="AA776" s="300"/>
      <c r="AB776" s="300"/>
      <c r="AC776" s="300"/>
      <c r="AD776" s="300"/>
      <c r="AE776" s="300"/>
    </row>
    <row r="777" spans="15:31">
      <c r="O777" s="300"/>
      <c r="P777" s="300"/>
      <c r="Q777" s="300"/>
      <c r="R777" s="300"/>
      <c r="S777" s="300"/>
      <c r="T777" s="300"/>
      <c r="U777" s="300"/>
      <c r="V777" s="300"/>
      <c r="W777" s="300"/>
      <c r="X777" s="300"/>
      <c r="Y777" s="300"/>
      <c r="Z777" s="300"/>
      <c r="AA777" s="300"/>
      <c r="AB777" s="300"/>
      <c r="AC777" s="300"/>
      <c r="AD777" s="300"/>
      <c r="AE777" s="300"/>
    </row>
    <row r="778" spans="15:31">
      <c r="O778" s="300"/>
      <c r="P778" s="300"/>
      <c r="Q778" s="300"/>
      <c r="R778" s="300"/>
      <c r="S778" s="300"/>
      <c r="T778" s="300"/>
      <c r="U778" s="300"/>
      <c r="V778" s="300"/>
      <c r="W778" s="300"/>
      <c r="X778" s="300"/>
      <c r="Y778" s="300"/>
      <c r="Z778" s="300"/>
      <c r="AA778" s="300"/>
      <c r="AB778" s="300"/>
      <c r="AC778" s="300"/>
      <c r="AD778" s="300"/>
      <c r="AE778" s="300"/>
    </row>
    <row r="779" spans="15:31">
      <c r="O779" s="300"/>
      <c r="P779" s="300"/>
      <c r="Q779" s="300"/>
      <c r="R779" s="300"/>
      <c r="S779" s="300"/>
      <c r="T779" s="300"/>
      <c r="U779" s="300"/>
      <c r="V779" s="300"/>
      <c r="W779" s="300"/>
      <c r="X779" s="300"/>
      <c r="Y779" s="300"/>
      <c r="Z779" s="300"/>
      <c r="AA779" s="300"/>
      <c r="AB779" s="300"/>
      <c r="AC779" s="300"/>
      <c r="AD779" s="300"/>
      <c r="AE779" s="300"/>
    </row>
    <row r="780" spans="15:31">
      <c r="O780" s="300"/>
      <c r="P780" s="300"/>
      <c r="Q780" s="300"/>
      <c r="R780" s="300"/>
      <c r="S780" s="300"/>
      <c r="T780" s="300"/>
      <c r="U780" s="300"/>
      <c r="V780" s="300"/>
      <c r="W780" s="300"/>
      <c r="X780" s="300"/>
      <c r="Y780" s="300"/>
      <c r="Z780" s="300"/>
      <c r="AA780" s="300"/>
      <c r="AB780" s="300"/>
      <c r="AC780" s="300"/>
      <c r="AD780" s="300"/>
      <c r="AE780" s="300"/>
    </row>
    <row r="781" spans="15:31">
      <c r="O781" s="300"/>
      <c r="P781" s="300"/>
      <c r="Q781" s="300"/>
      <c r="R781" s="300"/>
      <c r="S781" s="300"/>
      <c r="T781" s="300"/>
      <c r="U781" s="300"/>
      <c r="V781" s="300"/>
      <c r="W781" s="300"/>
      <c r="X781" s="300"/>
      <c r="Y781" s="300"/>
      <c r="Z781" s="300"/>
      <c r="AA781" s="300"/>
      <c r="AB781" s="300"/>
      <c r="AC781" s="300"/>
      <c r="AD781" s="300"/>
      <c r="AE781" s="300"/>
    </row>
    <row r="782" spans="15:31">
      <c r="O782" s="300"/>
      <c r="P782" s="300"/>
      <c r="Q782" s="300"/>
      <c r="R782" s="300"/>
      <c r="S782" s="300"/>
      <c r="T782" s="300"/>
      <c r="U782" s="300"/>
      <c r="V782" s="300"/>
      <c r="W782" s="300"/>
      <c r="X782" s="300"/>
      <c r="Y782" s="300"/>
      <c r="Z782" s="300"/>
      <c r="AA782" s="300"/>
      <c r="AB782" s="300"/>
      <c r="AC782" s="300"/>
      <c r="AD782" s="300"/>
      <c r="AE782" s="300"/>
    </row>
    <row r="783" spans="15:31">
      <c r="O783" s="300"/>
      <c r="P783" s="300"/>
      <c r="Q783" s="300"/>
      <c r="R783" s="300"/>
      <c r="S783" s="300"/>
      <c r="T783" s="300"/>
      <c r="U783" s="300"/>
      <c r="V783" s="300"/>
      <c r="W783" s="300"/>
      <c r="X783" s="300"/>
      <c r="Y783" s="300"/>
      <c r="Z783" s="300"/>
      <c r="AA783" s="300"/>
      <c r="AB783" s="300"/>
      <c r="AC783" s="300"/>
      <c r="AD783" s="300"/>
      <c r="AE783" s="300"/>
    </row>
    <row r="784" spans="15:31">
      <c r="O784" s="300"/>
      <c r="P784" s="300"/>
      <c r="Q784" s="300"/>
      <c r="R784" s="300"/>
      <c r="S784" s="300"/>
      <c r="T784" s="300"/>
      <c r="U784" s="300"/>
      <c r="V784" s="300"/>
      <c r="W784" s="300"/>
      <c r="X784" s="300"/>
      <c r="Y784" s="300"/>
      <c r="Z784" s="300"/>
      <c r="AA784" s="300"/>
      <c r="AB784" s="300"/>
      <c r="AC784" s="300"/>
      <c r="AD784" s="300"/>
      <c r="AE784" s="300"/>
    </row>
    <row r="785" spans="15:31">
      <c r="O785" s="300"/>
      <c r="P785" s="300"/>
      <c r="Q785" s="300"/>
      <c r="R785" s="300"/>
      <c r="S785" s="300"/>
      <c r="T785" s="300"/>
      <c r="U785" s="300"/>
      <c r="V785" s="300"/>
      <c r="W785" s="300"/>
      <c r="X785" s="300"/>
      <c r="Y785" s="300"/>
      <c r="Z785" s="300"/>
      <c r="AA785" s="300"/>
      <c r="AB785" s="300"/>
      <c r="AC785" s="300"/>
      <c r="AD785" s="300"/>
      <c r="AE785" s="300"/>
    </row>
    <row r="786" spans="15:31">
      <c r="O786" s="300"/>
      <c r="P786" s="300"/>
      <c r="Q786" s="300"/>
      <c r="R786" s="300"/>
      <c r="S786" s="300"/>
      <c r="T786" s="300"/>
      <c r="U786" s="300"/>
      <c r="V786" s="300"/>
      <c r="W786" s="300"/>
      <c r="X786" s="300"/>
      <c r="Y786" s="300"/>
      <c r="Z786" s="300"/>
      <c r="AA786" s="300"/>
      <c r="AB786" s="300"/>
      <c r="AC786" s="300"/>
      <c r="AD786" s="300"/>
      <c r="AE786" s="300"/>
    </row>
    <row r="787" spans="15:31">
      <c r="O787" s="300"/>
      <c r="P787" s="300"/>
      <c r="Q787" s="300"/>
      <c r="R787" s="300"/>
      <c r="S787" s="300"/>
      <c r="T787" s="300"/>
      <c r="U787" s="300"/>
      <c r="V787" s="300"/>
      <c r="W787" s="300"/>
      <c r="X787" s="300"/>
      <c r="Y787" s="300"/>
      <c r="Z787" s="300"/>
      <c r="AA787" s="300"/>
      <c r="AB787" s="300"/>
      <c r="AC787" s="300"/>
      <c r="AD787" s="300"/>
      <c r="AE787" s="300"/>
    </row>
    <row r="788" spans="15:31">
      <c r="O788" s="300"/>
      <c r="P788" s="300"/>
      <c r="Q788" s="300"/>
      <c r="R788" s="300"/>
      <c r="S788" s="300"/>
      <c r="T788" s="300"/>
      <c r="U788" s="300"/>
      <c r="V788" s="300"/>
      <c r="W788" s="300"/>
      <c r="X788" s="300"/>
      <c r="Y788" s="300"/>
      <c r="Z788" s="300"/>
      <c r="AA788" s="300"/>
      <c r="AB788" s="300"/>
      <c r="AC788" s="300"/>
      <c r="AD788" s="300"/>
      <c r="AE788" s="300"/>
    </row>
    <row r="789" spans="15:31">
      <c r="O789" s="300"/>
      <c r="P789" s="300"/>
      <c r="Q789" s="300"/>
      <c r="R789" s="300"/>
      <c r="S789" s="300"/>
      <c r="T789" s="300"/>
      <c r="U789" s="300"/>
      <c r="V789" s="300"/>
      <c r="W789" s="300"/>
      <c r="X789" s="300"/>
      <c r="Y789" s="300"/>
      <c r="Z789" s="300"/>
      <c r="AA789" s="300"/>
      <c r="AB789" s="300"/>
      <c r="AC789" s="300"/>
      <c r="AD789" s="300"/>
      <c r="AE789" s="300"/>
    </row>
    <row r="790" spans="15:31">
      <c r="O790" s="300"/>
      <c r="P790" s="300"/>
      <c r="Q790" s="300"/>
      <c r="R790" s="300"/>
      <c r="S790" s="300"/>
      <c r="T790" s="300"/>
      <c r="U790" s="300"/>
      <c r="V790" s="300"/>
      <c r="W790" s="300"/>
      <c r="X790" s="300"/>
      <c r="Y790" s="300"/>
      <c r="Z790" s="300"/>
      <c r="AA790" s="300"/>
      <c r="AB790" s="300"/>
      <c r="AC790" s="300"/>
      <c r="AD790" s="300"/>
      <c r="AE790" s="300"/>
    </row>
    <row r="791" spans="15:31">
      <c r="O791" s="300"/>
      <c r="P791" s="300"/>
      <c r="Q791" s="300"/>
      <c r="R791" s="300"/>
      <c r="S791" s="300"/>
      <c r="T791" s="300"/>
      <c r="U791" s="300"/>
      <c r="V791" s="300"/>
      <c r="W791" s="300"/>
      <c r="X791" s="300"/>
      <c r="Y791" s="300"/>
      <c r="Z791" s="300"/>
      <c r="AA791" s="300"/>
      <c r="AB791" s="300"/>
      <c r="AC791" s="300"/>
      <c r="AD791" s="300"/>
      <c r="AE791" s="300"/>
    </row>
    <row r="792" spans="15:31">
      <c r="O792" s="300"/>
      <c r="P792" s="300"/>
      <c r="Q792" s="300"/>
      <c r="R792" s="300"/>
      <c r="S792" s="300"/>
      <c r="T792" s="300"/>
      <c r="U792" s="300"/>
      <c r="V792" s="300"/>
      <c r="W792" s="300"/>
      <c r="X792" s="300"/>
      <c r="Y792" s="300"/>
      <c r="Z792" s="300"/>
      <c r="AA792" s="300"/>
      <c r="AB792" s="300"/>
      <c r="AC792" s="300"/>
      <c r="AD792" s="300"/>
      <c r="AE792" s="300"/>
    </row>
    <row r="793" spans="15:31">
      <c r="O793" s="300"/>
      <c r="P793" s="300"/>
      <c r="Q793" s="300"/>
      <c r="R793" s="300"/>
      <c r="S793" s="300"/>
      <c r="T793" s="300"/>
      <c r="U793" s="300"/>
      <c r="V793" s="300"/>
      <c r="W793" s="300"/>
      <c r="X793" s="300"/>
      <c r="Y793" s="300"/>
      <c r="Z793" s="300"/>
      <c r="AA793" s="300"/>
      <c r="AB793" s="300"/>
      <c r="AC793" s="300"/>
      <c r="AD793" s="300"/>
      <c r="AE793" s="300"/>
    </row>
    <row r="794" spans="15:31">
      <c r="O794" s="300"/>
      <c r="P794" s="300"/>
      <c r="Q794" s="300"/>
      <c r="R794" s="300"/>
      <c r="S794" s="300"/>
      <c r="T794" s="300"/>
      <c r="U794" s="300"/>
      <c r="V794" s="300"/>
      <c r="W794" s="300"/>
      <c r="X794" s="300"/>
      <c r="Y794" s="300"/>
      <c r="Z794" s="300"/>
      <c r="AA794" s="300"/>
      <c r="AB794" s="300"/>
      <c r="AC794" s="300"/>
      <c r="AD794" s="300"/>
      <c r="AE794" s="300"/>
    </row>
    <row r="795" spans="15:31">
      <c r="O795" s="300"/>
      <c r="P795" s="300"/>
      <c r="Q795" s="300"/>
      <c r="R795" s="300"/>
      <c r="S795" s="300"/>
      <c r="T795" s="300"/>
      <c r="U795" s="300"/>
      <c r="V795" s="300"/>
      <c r="W795" s="300"/>
      <c r="X795" s="300"/>
      <c r="Y795" s="300"/>
      <c r="Z795" s="300"/>
      <c r="AA795" s="300"/>
      <c r="AB795" s="300"/>
      <c r="AC795" s="300"/>
      <c r="AD795" s="300"/>
      <c r="AE795" s="300"/>
    </row>
    <row r="796" spans="15:31">
      <c r="O796" s="300"/>
      <c r="P796" s="300"/>
      <c r="Q796" s="300"/>
      <c r="R796" s="300"/>
      <c r="S796" s="300"/>
      <c r="T796" s="300"/>
      <c r="U796" s="300"/>
      <c r="V796" s="300"/>
      <c r="W796" s="300"/>
      <c r="X796" s="300"/>
      <c r="Y796" s="300"/>
      <c r="Z796" s="300"/>
      <c r="AA796" s="300"/>
      <c r="AB796" s="300"/>
      <c r="AC796" s="300"/>
      <c r="AD796" s="300"/>
      <c r="AE796" s="300"/>
    </row>
    <row r="797" spans="15:31">
      <c r="O797" s="300"/>
      <c r="P797" s="300"/>
      <c r="Q797" s="300"/>
      <c r="R797" s="300"/>
      <c r="S797" s="300"/>
      <c r="T797" s="300"/>
      <c r="U797" s="300"/>
      <c r="V797" s="300"/>
      <c r="W797" s="300"/>
      <c r="X797" s="300"/>
      <c r="Y797" s="300"/>
      <c r="Z797" s="300"/>
      <c r="AA797" s="300"/>
      <c r="AB797" s="300"/>
      <c r="AC797" s="300"/>
      <c r="AD797" s="300"/>
      <c r="AE797" s="300"/>
    </row>
    <row r="798" spans="15:31">
      <c r="O798" s="300"/>
      <c r="P798" s="300"/>
      <c r="Q798" s="300"/>
      <c r="R798" s="300"/>
      <c r="S798" s="300"/>
      <c r="T798" s="300"/>
      <c r="U798" s="300"/>
      <c r="V798" s="300"/>
      <c r="W798" s="300"/>
      <c r="X798" s="300"/>
      <c r="Y798" s="300"/>
      <c r="Z798" s="300"/>
      <c r="AA798" s="300"/>
      <c r="AB798" s="300"/>
      <c r="AC798" s="300"/>
      <c r="AD798" s="300"/>
      <c r="AE798" s="300"/>
    </row>
    <row r="799" spans="15:31">
      <c r="O799" s="300"/>
      <c r="P799" s="300"/>
      <c r="Q799" s="300"/>
      <c r="R799" s="300"/>
      <c r="S799" s="300"/>
      <c r="T799" s="300"/>
      <c r="U799" s="300"/>
      <c r="V799" s="300"/>
      <c r="W799" s="300"/>
      <c r="X799" s="300"/>
      <c r="Y799" s="300"/>
      <c r="Z799" s="300"/>
      <c r="AA799" s="300"/>
      <c r="AB799" s="300"/>
      <c r="AC799" s="300"/>
      <c r="AD799" s="300"/>
      <c r="AE799" s="300"/>
    </row>
    <row r="800" spans="15:31">
      <c r="O800" s="300"/>
      <c r="P800" s="300"/>
      <c r="Q800" s="300"/>
      <c r="R800" s="300"/>
      <c r="S800" s="300"/>
      <c r="T800" s="300"/>
      <c r="U800" s="300"/>
      <c r="V800" s="300"/>
      <c r="W800" s="300"/>
      <c r="X800" s="300"/>
      <c r="Y800" s="300"/>
      <c r="Z800" s="300"/>
      <c r="AA800" s="300"/>
      <c r="AB800" s="300"/>
      <c r="AC800" s="300"/>
      <c r="AD800" s="300"/>
      <c r="AE800" s="300"/>
    </row>
    <row r="801" spans="15:31">
      <c r="O801" s="300"/>
      <c r="P801" s="300"/>
      <c r="Q801" s="300"/>
      <c r="R801" s="300"/>
      <c r="S801" s="300"/>
      <c r="T801" s="300"/>
      <c r="U801" s="300"/>
      <c r="V801" s="300"/>
      <c r="W801" s="300"/>
      <c r="X801" s="300"/>
      <c r="Y801" s="300"/>
      <c r="Z801" s="300"/>
      <c r="AA801" s="300"/>
      <c r="AB801" s="300"/>
      <c r="AC801" s="300"/>
      <c r="AD801" s="300"/>
      <c r="AE801" s="300"/>
    </row>
    <row r="802" spans="15:31">
      <c r="O802" s="300"/>
      <c r="P802" s="300"/>
      <c r="Q802" s="300"/>
      <c r="R802" s="300"/>
      <c r="S802" s="300"/>
      <c r="T802" s="300"/>
      <c r="U802" s="300"/>
      <c r="V802" s="300"/>
      <c r="W802" s="300"/>
      <c r="X802" s="300"/>
      <c r="Y802" s="300"/>
      <c r="Z802" s="300"/>
      <c r="AA802" s="300"/>
      <c r="AB802" s="300"/>
      <c r="AC802" s="300"/>
      <c r="AD802" s="300"/>
      <c r="AE802" s="300"/>
    </row>
    <row r="803" spans="15:31">
      <c r="O803" s="300"/>
      <c r="P803" s="300"/>
      <c r="Q803" s="300"/>
      <c r="R803" s="300"/>
      <c r="S803" s="300"/>
      <c r="T803" s="300"/>
      <c r="U803" s="300"/>
      <c r="V803" s="300"/>
      <c r="W803" s="300"/>
      <c r="X803" s="300"/>
      <c r="Y803" s="300"/>
      <c r="Z803" s="300"/>
      <c r="AA803" s="300"/>
      <c r="AB803" s="300"/>
      <c r="AC803" s="300"/>
      <c r="AD803" s="300"/>
      <c r="AE803" s="300"/>
    </row>
    <row r="804" spans="15:31">
      <c r="O804" s="300"/>
      <c r="P804" s="300"/>
      <c r="Q804" s="300"/>
      <c r="R804" s="300"/>
      <c r="S804" s="300"/>
      <c r="T804" s="300"/>
      <c r="U804" s="300"/>
      <c r="V804" s="300"/>
      <c r="W804" s="300"/>
      <c r="X804" s="300"/>
      <c r="Y804" s="300"/>
      <c r="Z804" s="300"/>
      <c r="AA804" s="300"/>
      <c r="AB804" s="300"/>
      <c r="AC804" s="300"/>
      <c r="AD804" s="300"/>
      <c r="AE804" s="300"/>
    </row>
    <row r="805" spans="15:31">
      <c r="O805" s="300"/>
      <c r="P805" s="300"/>
      <c r="Q805" s="300"/>
      <c r="R805" s="300"/>
      <c r="S805" s="300"/>
      <c r="T805" s="300"/>
      <c r="U805" s="300"/>
      <c r="V805" s="300"/>
      <c r="W805" s="300"/>
      <c r="X805" s="300"/>
      <c r="Y805" s="300"/>
      <c r="Z805" s="300"/>
      <c r="AA805" s="300"/>
      <c r="AB805" s="300"/>
      <c r="AC805" s="300"/>
      <c r="AD805" s="300"/>
      <c r="AE805" s="300"/>
    </row>
    <row r="806" spans="15:31">
      <c r="O806" s="300"/>
      <c r="P806" s="300"/>
      <c r="Q806" s="300"/>
      <c r="R806" s="300"/>
      <c r="S806" s="300"/>
      <c r="T806" s="300"/>
      <c r="U806" s="300"/>
      <c r="V806" s="300"/>
      <c r="W806" s="300"/>
      <c r="X806" s="300"/>
      <c r="Y806" s="300"/>
      <c r="Z806" s="300"/>
      <c r="AA806" s="300"/>
      <c r="AB806" s="300"/>
      <c r="AC806" s="300"/>
      <c r="AD806" s="300"/>
      <c r="AE806" s="300"/>
    </row>
    <row r="807" spans="15:31">
      <c r="O807" s="300"/>
      <c r="P807" s="300"/>
      <c r="Q807" s="300"/>
      <c r="R807" s="300"/>
      <c r="S807" s="300"/>
      <c r="T807" s="300"/>
      <c r="U807" s="300"/>
      <c r="V807" s="300"/>
      <c r="W807" s="300"/>
      <c r="X807" s="300"/>
      <c r="Y807" s="300"/>
      <c r="Z807" s="300"/>
      <c r="AA807" s="300"/>
      <c r="AB807" s="300"/>
      <c r="AC807" s="300"/>
      <c r="AD807" s="300"/>
      <c r="AE807" s="300"/>
    </row>
    <row r="808" spans="15:31">
      <c r="O808" s="300"/>
      <c r="P808" s="300"/>
      <c r="Q808" s="300"/>
      <c r="R808" s="300"/>
      <c r="S808" s="300"/>
      <c r="T808" s="300"/>
      <c r="U808" s="300"/>
      <c r="V808" s="300"/>
      <c r="W808" s="300"/>
      <c r="X808" s="300"/>
      <c r="Y808" s="300"/>
      <c r="Z808" s="300"/>
      <c r="AA808" s="300"/>
      <c r="AB808" s="300"/>
      <c r="AC808" s="300"/>
      <c r="AD808" s="300"/>
      <c r="AE808" s="300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2024-05-28T13:40:55Z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